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4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J:\Макросы_25_01\Готово\"/>
    </mc:Choice>
  </mc:AlternateContent>
  <bookViews>
    <workbookView xWindow="3528" yWindow="348" windowWidth="9576" windowHeight="11640" tabRatio="623"/>
  </bookViews>
  <sheets>
    <sheet name="Настройки" sheetId="1" r:id="rId1"/>
    <sheet name="Список" sheetId="8" r:id="rId2"/>
    <sheet name="Счета" sheetId="10" r:id="rId3"/>
    <sheet name="РВПС" sheetId="11" r:id="rId4"/>
    <sheet name="Отделения" sheetId="9" r:id="rId5"/>
    <sheet name="RVPS" sheetId="16" r:id="rId6"/>
    <sheet name="7-24" sheetId="18" r:id="rId7"/>
    <sheet name="7-100" sheetId="19" r:id="rId8"/>
    <sheet name="ОстВК" sheetId="21" r:id="rId9"/>
  </sheets>
  <definedNames>
    <definedName name="_xlnm._FilterDatabase" localSheetId="7" hidden="1">'7-100'!$A$7:$BB$139</definedName>
    <definedName name="_xlnm._FilterDatabase" localSheetId="6" hidden="1">'7-24'!$A$2:$AI$82</definedName>
    <definedName name="_xlnm._FilterDatabase" localSheetId="3" hidden="1">РВПС!$A$1:$I$934</definedName>
    <definedName name="_xlnm._FilterDatabase" localSheetId="1" hidden="1">Список!$P$1:$S$169</definedName>
    <definedName name="SIM_P01_3A">'7-100'!$T$125</definedName>
    <definedName name="SIM_P01_3B">'7-100'!$Z$125</definedName>
    <definedName name="SIM_P01_3C">'7-100'!$AF$125</definedName>
    <definedName name="SIM_P01_3D">'7-100'!$AL$125</definedName>
    <definedName name="SIM_P04_3A">'7-100'!$U$125</definedName>
    <definedName name="SIM_P04_3B">'7-100'!$AA$125</definedName>
    <definedName name="SIM_P04_3C">'7-100'!$AG$125</definedName>
    <definedName name="SIM_P04_3D">'7-100'!$AM$125</definedName>
    <definedName name="SIM_S01_3A">'7-100'!#REF!</definedName>
    <definedName name="SIM_S01_3B">'7-100'!#REF!</definedName>
    <definedName name="SIM_S01_3C">'7-100'!#REF!</definedName>
    <definedName name="SIM_S01_3D">'7-100'!#REF!</definedName>
    <definedName name="SIM_S01A">'7-24'!#REF!</definedName>
    <definedName name="SIM_S01B">'7-24'!#REF!</definedName>
    <definedName name="SIM_S01C">'7-24'!#REF!</definedName>
    <definedName name="SIM_S01D">'7-24'!#REF!</definedName>
    <definedName name="SIM_S04_3A">'7-100'!$S$125</definedName>
    <definedName name="SIM_S04_3B">'7-100'!$Y$125</definedName>
    <definedName name="SIM_S04_3C">'7-100'!$AE$125</definedName>
    <definedName name="SIM_S04_3D">'7-100'!$AK$125</definedName>
    <definedName name="SIM_V01_3A">'7-100'!$P$125</definedName>
    <definedName name="SIM_V01_3B">'7-100'!$V$125</definedName>
    <definedName name="SIM_V01_3C">'7-100'!$AB$125</definedName>
    <definedName name="SIM_V01_3D">'7-100'!$AH$125</definedName>
    <definedName name="SIM_V04_3A">'7-100'!$Q$125</definedName>
    <definedName name="SIM_V04_3B">'7-100'!$W$125</definedName>
    <definedName name="SIM_V04_3C">'7-100'!$AC$125</definedName>
    <definedName name="SIM_V04_3D">'7-100'!$AI$125</definedName>
  </definedNames>
  <calcPr calcId="162913"/>
</workbook>
</file>

<file path=xl/calcChain.xml><?xml version="1.0" encoding="utf-8"?>
<calcChain xmlns="http://schemas.openxmlformats.org/spreadsheetml/2006/main">
  <c r="X7" i="19" l="1"/>
  <c r="Y7" i="19"/>
  <c r="Z7" i="19"/>
  <c r="AA7" i="19"/>
  <c r="AB7" i="19"/>
  <c r="AC7" i="19"/>
  <c r="AD7" i="19"/>
  <c r="AE7" i="19"/>
  <c r="AF7" i="19"/>
  <c r="AG7" i="19"/>
  <c r="AH7" i="19"/>
  <c r="AI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D97" i="19"/>
  <c r="D103" i="19" s="1"/>
  <c r="F97" i="19"/>
  <c r="G97" i="19"/>
  <c r="H97" i="19"/>
  <c r="H103" i="19" s="1"/>
  <c r="J97" i="19"/>
  <c r="J103" i="19" s="1"/>
  <c r="K97" i="19"/>
  <c r="K103" i="19" s="1"/>
  <c r="D98" i="19"/>
  <c r="F98" i="19"/>
  <c r="F104" i="19" s="1"/>
  <c r="G98" i="19"/>
  <c r="G104" i="19" s="1"/>
  <c r="H98" i="19"/>
  <c r="I98" i="19"/>
  <c r="I104" i="19" s="1"/>
  <c r="J98" i="19"/>
  <c r="K98" i="19"/>
  <c r="D100" i="19"/>
  <c r="E100" i="19"/>
  <c r="D101" i="19"/>
  <c r="E101" i="19"/>
  <c r="H101" i="19"/>
  <c r="F103" i="19"/>
  <c r="G103" i="19"/>
  <c r="D104" i="19"/>
  <c r="H104" i="19"/>
  <c r="J104" i="19"/>
  <c r="K104" i="19"/>
  <c r="J3" i="18"/>
  <c r="K3" i="18"/>
  <c r="R3" i="18"/>
  <c r="S3" i="18"/>
  <c r="U3" i="18"/>
  <c r="Y3" i="18" s="1"/>
  <c r="V3" i="18"/>
  <c r="W3" i="18"/>
  <c r="J4" i="18"/>
  <c r="K4" i="18"/>
  <c r="R4" i="18"/>
  <c r="S4" i="18"/>
  <c r="T4" i="18"/>
  <c r="U4" i="18"/>
  <c r="V4" i="18"/>
  <c r="W4" i="18"/>
  <c r="BA49" i="19"/>
  <c r="J5" i="18"/>
  <c r="K5" i="18"/>
  <c r="R5" i="18"/>
  <c r="X5" i="18" s="1"/>
  <c r="S5" i="18"/>
  <c r="Y5" i="18" s="1"/>
  <c r="T5" i="18"/>
  <c r="U5" i="18"/>
  <c r="V5" i="18"/>
  <c r="W5" i="18"/>
  <c r="BA48" i="19"/>
  <c r="J6" i="18"/>
  <c r="K6" i="18"/>
  <c r="R6" i="18"/>
  <c r="S6" i="18"/>
  <c r="T6" i="18"/>
  <c r="U6" i="18"/>
  <c r="V6" i="18"/>
  <c r="W6" i="18"/>
  <c r="BA47" i="19"/>
  <c r="J7" i="18"/>
  <c r="K7" i="18"/>
  <c r="R7" i="18"/>
  <c r="X7" i="18" s="1"/>
  <c r="S7" i="18"/>
  <c r="Y7" i="18" s="1"/>
  <c r="T7" i="18"/>
  <c r="U7" i="18"/>
  <c r="V7" i="18"/>
  <c r="W7" i="18"/>
  <c r="BA46" i="19"/>
  <c r="J8" i="18"/>
  <c r="K8" i="18"/>
  <c r="R8" i="18"/>
  <c r="X8" i="18" s="1"/>
  <c r="S8" i="18"/>
  <c r="T8" i="18"/>
  <c r="U8" i="18"/>
  <c r="V8" i="18"/>
  <c r="W8" i="18"/>
  <c r="J9" i="18"/>
  <c r="K9" i="18"/>
  <c r="R9" i="18"/>
  <c r="X9" i="18" s="1"/>
  <c r="S9" i="18"/>
  <c r="T9" i="18"/>
  <c r="U9" i="18"/>
  <c r="V9" i="18"/>
  <c r="W9" i="18"/>
  <c r="BA45" i="19"/>
  <c r="J10" i="18"/>
  <c r="K10" i="18"/>
  <c r="R10" i="18"/>
  <c r="S10" i="18"/>
  <c r="Y10" i="18" s="1"/>
  <c r="T10" i="18"/>
  <c r="U10" i="18"/>
  <c r="V10" i="18"/>
  <c r="W10" i="18"/>
  <c r="BA44" i="19"/>
  <c r="J11" i="18"/>
  <c r="K11" i="18"/>
  <c r="R11" i="18"/>
  <c r="S11" i="18"/>
  <c r="Y11" i="18" s="1"/>
  <c r="T11" i="18"/>
  <c r="U11" i="18"/>
  <c r="V11" i="18"/>
  <c r="W11" i="18"/>
  <c r="BA43" i="19"/>
  <c r="J12" i="18"/>
  <c r="K12" i="18"/>
  <c r="R12" i="18"/>
  <c r="S12" i="18"/>
  <c r="Y12" i="18" s="1"/>
  <c r="T12" i="18"/>
  <c r="U12" i="18"/>
  <c r="V12" i="18"/>
  <c r="W12" i="18"/>
  <c r="BA42" i="19"/>
  <c r="J13" i="18"/>
  <c r="K13" i="18"/>
  <c r="R13" i="18"/>
  <c r="S13" i="18"/>
  <c r="T13" i="18"/>
  <c r="U13" i="18"/>
  <c r="V13" i="18"/>
  <c r="W13" i="18"/>
  <c r="BA41" i="19"/>
  <c r="J14" i="18"/>
  <c r="K14" i="18"/>
  <c r="R14" i="18"/>
  <c r="S14" i="18"/>
  <c r="T14" i="18"/>
  <c r="U14" i="18"/>
  <c r="V14" i="18"/>
  <c r="W14" i="18"/>
  <c r="BA40" i="19"/>
  <c r="J15" i="18"/>
  <c r="K15" i="18"/>
  <c r="R15" i="18"/>
  <c r="X15" i="18" s="1"/>
  <c r="S15" i="18"/>
  <c r="T15" i="18"/>
  <c r="U15" i="18"/>
  <c r="V15" i="18"/>
  <c r="W15" i="18"/>
  <c r="BA39" i="19"/>
  <c r="J16" i="18"/>
  <c r="K16" i="18"/>
  <c r="R16" i="18"/>
  <c r="S16" i="18"/>
  <c r="Y16" i="18" s="1"/>
  <c r="T16" i="18"/>
  <c r="U16" i="18"/>
  <c r="V16" i="18"/>
  <c r="W16" i="18"/>
  <c r="BA38" i="19"/>
  <c r="J17" i="18"/>
  <c r="K17" i="18"/>
  <c r="R17" i="18"/>
  <c r="S17" i="18"/>
  <c r="T17" i="18"/>
  <c r="U17" i="18"/>
  <c r="V17" i="18"/>
  <c r="W17" i="18"/>
  <c r="BA37" i="19"/>
  <c r="J18" i="18"/>
  <c r="K18" i="18"/>
  <c r="R18" i="18"/>
  <c r="S18" i="18"/>
  <c r="T18" i="18"/>
  <c r="U18" i="18"/>
  <c r="V18" i="18"/>
  <c r="W18" i="18"/>
  <c r="BA36" i="19"/>
  <c r="J19" i="18"/>
  <c r="K19" i="18"/>
  <c r="R19" i="18"/>
  <c r="X19" i="18" s="1"/>
  <c r="S19" i="18"/>
  <c r="Y19" i="18" s="1"/>
  <c r="T19" i="18"/>
  <c r="U19" i="18"/>
  <c r="V19" i="18"/>
  <c r="W19" i="18"/>
  <c r="BA35" i="19"/>
  <c r="J20" i="18"/>
  <c r="K20" i="18"/>
  <c r="R20" i="18"/>
  <c r="S20" i="18"/>
  <c r="Y20" i="18" s="1"/>
  <c r="T20" i="18"/>
  <c r="U20" i="18"/>
  <c r="V20" i="18"/>
  <c r="W20" i="18"/>
  <c r="BA34" i="19"/>
  <c r="J21" i="18"/>
  <c r="K21" i="18"/>
  <c r="R21" i="18"/>
  <c r="S21" i="18"/>
  <c r="T21" i="18"/>
  <c r="U21" i="18"/>
  <c r="V21" i="18"/>
  <c r="W21" i="18"/>
  <c r="J22" i="18"/>
  <c r="K22" i="18"/>
  <c r="R22" i="18"/>
  <c r="X22" i="18" s="1"/>
  <c r="S22" i="18"/>
  <c r="T22" i="18"/>
  <c r="U22" i="18"/>
  <c r="Y22" i="18" s="1"/>
  <c r="V22" i="18"/>
  <c r="W22" i="18"/>
  <c r="BA33" i="19"/>
  <c r="J23" i="18"/>
  <c r="K23" i="18"/>
  <c r="R23" i="18"/>
  <c r="S23" i="18"/>
  <c r="T23" i="18"/>
  <c r="U23" i="18"/>
  <c r="V23" i="18"/>
  <c r="W23" i="18"/>
  <c r="BA32" i="19"/>
  <c r="J24" i="18"/>
  <c r="K24" i="18"/>
  <c r="R24" i="18"/>
  <c r="S24" i="18"/>
  <c r="Y24" i="18" s="1"/>
  <c r="T24" i="18"/>
  <c r="U24" i="18"/>
  <c r="V24" i="18"/>
  <c r="W24" i="18"/>
  <c r="X24" i="18"/>
  <c r="BA31" i="19"/>
  <c r="J25" i="18"/>
  <c r="K25" i="18"/>
  <c r="R25" i="18"/>
  <c r="X25" i="18" s="1"/>
  <c r="S25" i="18"/>
  <c r="T25" i="18"/>
  <c r="U25" i="18"/>
  <c r="V25" i="18"/>
  <c r="W25" i="18"/>
  <c r="BA30" i="19"/>
  <c r="J26" i="18"/>
  <c r="K26" i="18"/>
  <c r="R26" i="18"/>
  <c r="X26" i="18" s="1"/>
  <c r="S26" i="18"/>
  <c r="T26" i="18"/>
  <c r="U26" i="18"/>
  <c r="Y26" i="18" s="1"/>
  <c r="V26" i="18"/>
  <c r="W26" i="18"/>
  <c r="J27" i="18"/>
  <c r="K27" i="18"/>
  <c r="R27" i="18"/>
  <c r="S27" i="18"/>
  <c r="T27" i="18"/>
  <c r="U27" i="18"/>
  <c r="V27" i="18"/>
  <c r="W27" i="18"/>
  <c r="BA29" i="19"/>
  <c r="J28" i="18"/>
  <c r="K28" i="18"/>
  <c r="R28" i="18"/>
  <c r="S28" i="18"/>
  <c r="T28" i="18"/>
  <c r="U28" i="18"/>
  <c r="Y28" i="18" s="1"/>
  <c r="V28" i="18"/>
  <c r="W28" i="18"/>
  <c r="J29" i="18"/>
  <c r="K29" i="18"/>
  <c r="R29" i="18"/>
  <c r="S29" i="18"/>
  <c r="T29" i="18"/>
  <c r="U29" i="18"/>
  <c r="Y29" i="18" s="1"/>
  <c r="V29" i="18"/>
  <c r="W29" i="18"/>
  <c r="BA28" i="19"/>
  <c r="J30" i="18"/>
  <c r="K30" i="18"/>
  <c r="R30" i="18"/>
  <c r="S30" i="18"/>
  <c r="T30" i="18"/>
  <c r="U30" i="18"/>
  <c r="V30" i="18"/>
  <c r="W30" i="18"/>
  <c r="BA27" i="19"/>
  <c r="J31" i="18"/>
  <c r="K31" i="18"/>
  <c r="R31" i="18"/>
  <c r="X31" i="18" s="1"/>
  <c r="S31" i="18"/>
  <c r="T31" i="18"/>
  <c r="U31" i="18"/>
  <c r="V31" i="18"/>
  <c r="W31" i="18"/>
  <c r="BA26" i="19"/>
  <c r="J32" i="18"/>
  <c r="K32" i="18"/>
  <c r="R32" i="18"/>
  <c r="X32" i="18" s="1"/>
  <c r="S32" i="18"/>
  <c r="T32" i="18"/>
  <c r="U32" i="18"/>
  <c r="V32" i="18"/>
  <c r="W32" i="18"/>
  <c r="BA25" i="19"/>
  <c r="J33" i="18"/>
  <c r="K33" i="18"/>
  <c r="R33" i="18"/>
  <c r="S33" i="18"/>
  <c r="U33" i="18"/>
  <c r="V33" i="18"/>
  <c r="W33" i="18"/>
  <c r="BA24" i="19"/>
  <c r="J34" i="18"/>
  <c r="K34" i="18"/>
  <c r="R34" i="18"/>
  <c r="S34" i="18"/>
  <c r="T34" i="18"/>
  <c r="U34" i="18"/>
  <c r="V34" i="18"/>
  <c r="W34" i="18"/>
  <c r="BA23" i="19"/>
  <c r="J35" i="18"/>
  <c r="K35" i="18"/>
  <c r="R35" i="18"/>
  <c r="S35" i="18"/>
  <c r="T35" i="18"/>
  <c r="U35" i="18"/>
  <c r="V35" i="18"/>
  <c r="W35" i="18"/>
  <c r="BA22" i="19"/>
  <c r="J36" i="18"/>
  <c r="K36" i="18"/>
  <c r="R36" i="18"/>
  <c r="S36" i="18"/>
  <c r="U36" i="18"/>
  <c r="V36" i="18"/>
  <c r="W36" i="18"/>
  <c r="J37" i="18"/>
  <c r="K37" i="18"/>
  <c r="R37" i="18"/>
  <c r="S37" i="18"/>
  <c r="T37" i="18"/>
  <c r="U37" i="18"/>
  <c r="V37" i="18"/>
  <c r="W37" i="18"/>
  <c r="BA20" i="19"/>
  <c r="J38" i="18"/>
  <c r="K38" i="18"/>
  <c r="R38" i="18"/>
  <c r="X38" i="18" s="1"/>
  <c r="S38" i="18"/>
  <c r="T38" i="18"/>
  <c r="U38" i="18"/>
  <c r="V38" i="18"/>
  <c r="W38" i="18"/>
  <c r="BA19" i="19"/>
  <c r="J39" i="18"/>
  <c r="K39" i="18"/>
  <c r="R39" i="18"/>
  <c r="X39" i="18" s="1"/>
  <c r="S39" i="18"/>
  <c r="Y39" i="18" s="1"/>
  <c r="T39" i="18"/>
  <c r="U39" i="18"/>
  <c r="V39" i="18"/>
  <c r="W39" i="18"/>
  <c r="BA18" i="19"/>
  <c r="J40" i="18"/>
  <c r="K40" i="18"/>
  <c r="R40" i="18"/>
  <c r="S40" i="18"/>
  <c r="Y40" i="18" s="1"/>
  <c r="T40" i="18"/>
  <c r="U40" i="18"/>
  <c r="V40" i="18"/>
  <c r="W40" i="18"/>
  <c r="BA17" i="19"/>
  <c r="J41" i="18"/>
  <c r="K41" i="18"/>
  <c r="R41" i="18"/>
  <c r="S41" i="18"/>
  <c r="T41" i="18"/>
  <c r="U41" i="18"/>
  <c r="V41" i="18"/>
  <c r="W41" i="18"/>
  <c r="BA16" i="19"/>
  <c r="J42" i="18"/>
  <c r="K42" i="18"/>
  <c r="R42" i="18"/>
  <c r="X42" i="18" s="1"/>
  <c r="S42" i="18"/>
  <c r="T42" i="18"/>
  <c r="U42" i="18"/>
  <c r="V42" i="18"/>
  <c r="W42" i="18"/>
  <c r="BA15" i="19"/>
  <c r="J43" i="18"/>
  <c r="K43" i="18"/>
  <c r="R43" i="18"/>
  <c r="X43" i="18" s="1"/>
  <c r="S43" i="18"/>
  <c r="Y43" i="18" s="1"/>
  <c r="T43" i="18"/>
  <c r="U43" i="18"/>
  <c r="V43" i="18"/>
  <c r="W43" i="18"/>
  <c r="BA14" i="19"/>
  <c r="J44" i="18"/>
  <c r="K44" i="18"/>
  <c r="R44" i="18"/>
  <c r="S44" i="18"/>
  <c r="Y44" i="18" s="1"/>
  <c r="U44" i="18"/>
  <c r="V44" i="18"/>
  <c r="W44" i="18"/>
  <c r="J45" i="18"/>
  <c r="K45" i="18"/>
  <c r="R45" i="18"/>
  <c r="S45" i="18"/>
  <c r="T45" i="18"/>
  <c r="U45" i="18"/>
  <c r="V45" i="18"/>
  <c r="W45" i="18"/>
  <c r="BA12" i="19"/>
  <c r="J46" i="18"/>
  <c r="K46" i="18"/>
  <c r="R46" i="18"/>
  <c r="S46" i="18"/>
  <c r="T46" i="18"/>
  <c r="U46" i="18"/>
  <c r="V46" i="18"/>
  <c r="W46" i="18"/>
  <c r="BA11" i="19"/>
  <c r="J47" i="18"/>
  <c r="K47" i="18"/>
  <c r="R47" i="18"/>
  <c r="S47" i="18"/>
  <c r="Y47" i="18" s="1"/>
  <c r="T47" i="18"/>
  <c r="U47" i="18"/>
  <c r="V47" i="18"/>
  <c r="W47" i="18"/>
  <c r="BA10" i="19"/>
  <c r="J48" i="18"/>
  <c r="K48" i="18"/>
  <c r="R48" i="18"/>
  <c r="S48" i="18"/>
  <c r="T48" i="18"/>
  <c r="U48" i="18"/>
  <c r="V48" i="18"/>
  <c r="W48" i="18"/>
  <c r="BA9" i="19"/>
  <c r="J49" i="18"/>
  <c r="K49" i="18"/>
  <c r="R49" i="18"/>
  <c r="S49" i="18"/>
  <c r="T49" i="18"/>
  <c r="U49" i="18"/>
  <c r="V49" i="18"/>
  <c r="W49" i="18"/>
  <c r="J50" i="18"/>
  <c r="K50" i="18"/>
  <c r="R50" i="18"/>
  <c r="X50" i="18" s="1"/>
  <c r="S50" i="18"/>
  <c r="T50" i="18"/>
  <c r="U50" i="18"/>
  <c r="V50" i="18"/>
  <c r="W50" i="18"/>
  <c r="J51" i="18"/>
  <c r="K51" i="18"/>
  <c r="R51" i="18"/>
  <c r="S51" i="18"/>
  <c r="Y51" i="18" s="1"/>
  <c r="T51" i="18"/>
  <c r="U51" i="18"/>
  <c r="V51" i="18"/>
  <c r="W51" i="18"/>
  <c r="J52" i="18"/>
  <c r="K52" i="18"/>
  <c r="R52" i="18"/>
  <c r="S52" i="18"/>
  <c r="Y52" i="18" s="1"/>
  <c r="T52" i="18"/>
  <c r="U52" i="18"/>
  <c r="V52" i="18"/>
  <c r="W52" i="18"/>
  <c r="X52" i="18"/>
  <c r="J53" i="18"/>
  <c r="K53" i="18"/>
  <c r="R53" i="18"/>
  <c r="X53" i="18" s="1"/>
  <c r="S53" i="18"/>
  <c r="T53" i="18"/>
  <c r="U53" i="18"/>
  <c r="V53" i="18"/>
  <c r="W53" i="18"/>
  <c r="J54" i="18"/>
  <c r="K54" i="18"/>
  <c r="R54" i="18"/>
  <c r="S54" i="18"/>
  <c r="Y54" i="18" s="1"/>
  <c r="U54" i="18"/>
  <c r="V54" i="18"/>
  <c r="W54" i="18"/>
  <c r="J55" i="18"/>
  <c r="K55" i="18"/>
  <c r="R55" i="18"/>
  <c r="S55" i="18"/>
  <c r="T55" i="18"/>
  <c r="U55" i="18"/>
  <c r="V55" i="18"/>
  <c r="W55" i="18"/>
  <c r="J56" i="18"/>
  <c r="K56" i="18"/>
  <c r="R56" i="18"/>
  <c r="X56" i="18" s="1"/>
  <c r="S56" i="18"/>
  <c r="T56" i="18"/>
  <c r="U56" i="18"/>
  <c r="Y56" i="18" s="1"/>
  <c r="V56" i="18"/>
  <c r="W56" i="18"/>
  <c r="J57" i="18"/>
  <c r="K57" i="18"/>
  <c r="R57" i="18"/>
  <c r="X57" i="18" s="1"/>
  <c r="S57" i="18"/>
  <c r="T57" i="18"/>
  <c r="U57" i="18"/>
  <c r="V57" i="18"/>
  <c r="W57" i="18"/>
  <c r="J58" i="18"/>
  <c r="K58" i="18"/>
  <c r="R58" i="18"/>
  <c r="S58" i="18"/>
  <c r="T58" i="18"/>
  <c r="U58" i="18"/>
  <c r="V58" i="18"/>
  <c r="W58" i="18"/>
  <c r="J59" i="18"/>
  <c r="K59" i="18"/>
  <c r="R59" i="18"/>
  <c r="S59" i="18"/>
  <c r="T59" i="18"/>
  <c r="U59" i="18"/>
  <c r="V59" i="18"/>
  <c r="W59" i="18"/>
  <c r="J60" i="18"/>
  <c r="K60" i="18"/>
  <c r="R60" i="18"/>
  <c r="X60" i="18" s="1"/>
  <c r="S60" i="18"/>
  <c r="T60" i="18"/>
  <c r="U60" i="18"/>
  <c r="Y60" i="18" s="1"/>
  <c r="V60" i="18"/>
  <c r="W60" i="18"/>
  <c r="J61" i="18"/>
  <c r="K61" i="18"/>
  <c r="R61" i="18"/>
  <c r="X61" i="18" s="1"/>
  <c r="S61" i="18"/>
  <c r="T61" i="18"/>
  <c r="U61" i="18"/>
  <c r="V61" i="18"/>
  <c r="W61" i="18"/>
  <c r="J62" i="18"/>
  <c r="K62" i="18"/>
  <c r="R62" i="18"/>
  <c r="S62" i="18"/>
  <c r="T62" i="18"/>
  <c r="U62" i="18"/>
  <c r="V62" i="18"/>
  <c r="W62" i="18"/>
  <c r="J63" i="18"/>
  <c r="K63" i="18"/>
  <c r="R63" i="18"/>
  <c r="S63" i="18"/>
  <c r="Y63" i="18" s="1"/>
  <c r="T63" i="18"/>
  <c r="U63" i="18"/>
  <c r="V63" i="18"/>
  <c r="W63" i="18"/>
  <c r="J64" i="18"/>
  <c r="K64" i="18"/>
  <c r="R64" i="18"/>
  <c r="S64" i="18"/>
  <c r="Y64" i="18" s="1"/>
  <c r="T64" i="18"/>
  <c r="U64" i="18"/>
  <c r="V64" i="18"/>
  <c r="W64" i="18"/>
  <c r="X64" i="18"/>
  <c r="J65" i="18"/>
  <c r="K65" i="18"/>
  <c r="R65" i="18"/>
  <c r="X65" i="18" s="1"/>
  <c r="S65" i="18"/>
  <c r="T65" i="18"/>
  <c r="U65" i="18"/>
  <c r="V65" i="18"/>
  <c r="W65" i="18"/>
  <c r="J66" i="18"/>
  <c r="K66" i="18"/>
  <c r="R66" i="18"/>
  <c r="X66" i="18" s="1"/>
  <c r="S66" i="18"/>
  <c r="Y66" i="18" s="1"/>
  <c r="T66" i="18"/>
  <c r="U66" i="18"/>
  <c r="V66" i="18"/>
  <c r="W66" i="18"/>
  <c r="J67" i="18"/>
  <c r="K67" i="18"/>
  <c r="R67" i="18"/>
  <c r="X67" i="18" s="1"/>
  <c r="S67" i="18"/>
  <c r="T67" i="18"/>
  <c r="U67" i="18"/>
  <c r="V67" i="18"/>
  <c r="W67" i="18"/>
  <c r="J68" i="18"/>
  <c r="K68" i="18"/>
  <c r="R68" i="18"/>
  <c r="X68" i="18" s="1"/>
  <c r="S68" i="18"/>
  <c r="Y68" i="18" s="1"/>
  <c r="T68" i="18"/>
  <c r="U68" i="18"/>
  <c r="V68" i="18"/>
  <c r="W68" i="18"/>
  <c r="J69" i="18"/>
  <c r="K69" i="18"/>
  <c r="R69" i="18"/>
  <c r="S69" i="18"/>
  <c r="T69" i="18"/>
  <c r="U69" i="18"/>
  <c r="V69" i="18"/>
  <c r="W69" i="18"/>
  <c r="J70" i="18"/>
  <c r="K70" i="18"/>
  <c r="R70" i="18"/>
  <c r="S70" i="18"/>
  <c r="T70" i="18"/>
  <c r="U70" i="18"/>
  <c r="V70" i="18"/>
  <c r="W70" i="18"/>
  <c r="Y70" i="18"/>
  <c r="J71" i="18"/>
  <c r="K71" i="18"/>
  <c r="R71" i="18"/>
  <c r="S71" i="18"/>
  <c r="Y71" i="18" s="1"/>
  <c r="T71" i="18"/>
  <c r="U71" i="18"/>
  <c r="V71" i="18"/>
  <c r="W71" i="18"/>
  <c r="J72" i="18"/>
  <c r="K72" i="18"/>
  <c r="R72" i="18"/>
  <c r="S72" i="18"/>
  <c r="T72" i="18"/>
  <c r="X72" i="18" s="1"/>
  <c r="U72" i="18"/>
  <c r="V72" i="18"/>
  <c r="W72" i="18"/>
  <c r="Y72" i="18"/>
  <c r="J73" i="18"/>
  <c r="K73" i="18"/>
  <c r="R73" i="18"/>
  <c r="X73" i="18" s="1"/>
  <c r="S73" i="18"/>
  <c r="Y73" i="18" s="1"/>
  <c r="T73" i="18"/>
  <c r="U73" i="18"/>
  <c r="V73" i="18"/>
  <c r="W73" i="18"/>
  <c r="J74" i="18"/>
  <c r="K74" i="18"/>
  <c r="R74" i="18"/>
  <c r="S74" i="18"/>
  <c r="Y74" i="18" s="1"/>
  <c r="T74" i="18"/>
  <c r="X74" i="18" s="1"/>
  <c r="U74" i="18"/>
  <c r="V74" i="18"/>
  <c r="W74" i="18"/>
  <c r="J75" i="18"/>
  <c r="K75" i="18"/>
  <c r="R75" i="18"/>
  <c r="X75" i="18" s="1"/>
  <c r="S75" i="18"/>
  <c r="T75" i="18"/>
  <c r="U75" i="18"/>
  <c r="V75" i="18"/>
  <c r="W75" i="18"/>
  <c r="J76" i="18"/>
  <c r="K76" i="18"/>
  <c r="R76" i="18"/>
  <c r="S76" i="18"/>
  <c r="Y76" i="18" s="1"/>
  <c r="T76" i="18"/>
  <c r="U76" i="18"/>
  <c r="V76" i="18"/>
  <c r="W76" i="18"/>
  <c r="J77" i="18"/>
  <c r="K77" i="18"/>
  <c r="R77" i="18"/>
  <c r="S77" i="18"/>
  <c r="T77" i="18"/>
  <c r="U77" i="18"/>
  <c r="V77" i="18"/>
  <c r="W77" i="18"/>
  <c r="J78" i="18"/>
  <c r="K78" i="18"/>
  <c r="R78" i="18"/>
  <c r="S78" i="18"/>
  <c r="T78" i="18"/>
  <c r="U78" i="18"/>
  <c r="Y78" i="18" s="1"/>
  <c r="V78" i="18"/>
  <c r="W78" i="18"/>
  <c r="J79" i="18"/>
  <c r="K79" i="18"/>
  <c r="R79" i="18"/>
  <c r="S79" i="18"/>
  <c r="Y79" i="18" s="1"/>
  <c r="T79" i="18"/>
  <c r="U79" i="18"/>
  <c r="V79" i="18"/>
  <c r="W79" i="18"/>
  <c r="J80" i="18"/>
  <c r="K80" i="18"/>
  <c r="R80" i="18"/>
  <c r="S80" i="18"/>
  <c r="T80" i="18"/>
  <c r="U80" i="18"/>
  <c r="Y80" i="18" s="1"/>
  <c r="V80" i="18"/>
  <c r="W80" i="18"/>
  <c r="X80" i="18"/>
  <c r="J81" i="18"/>
  <c r="K81" i="18"/>
  <c r="R81" i="18"/>
  <c r="X81" i="18" s="1"/>
  <c r="S81" i="18"/>
  <c r="Y81" i="18" s="1"/>
  <c r="T81" i="18"/>
  <c r="U81" i="18"/>
  <c r="V81" i="18"/>
  <c r="W81" i="18"/>
  <c r="K82" i="18"/>
  <c r="R82" i="18"/>
  <c r="S82" i="18"/>
  <c r="U82" i="18"/>
  <c r="V82" i="18"/>
  <c r="W82" i="18"/>
  <c r="CL47" i="16"/>
  <c r="CP47" i="16"/>
  <c r="CT47" i="16"/>
  <c r="CX47" i="16"/>
  <c r="DB47" i="16"/>
  <c r="DF47" i="16"/>
  <c r="CL48" i="16"/>
  <c r="CP48" i="16"/>
  <c r="CT48" i="16"/>
  <c r="CX48" i="16"/>
  <c r="DB48" i="16"/>
  <c r="DF48" i="16"/>
  <c r="CL49" i="16"/>
  <c r="CP49" i="16"/>
  <c r="CT49" i="16"/>
  <c r="CX49" i="16"/>
  <c r="DB49" i="16"/>
  <c r="DF49" i="16"/>
  <c r="CL50" i="16"/>
  <c r="CP50" i="16"/>
  <c r="CT50" i="16"/>
  <c r="CX50" i="16"/>
  <c r="DB50" i="16"/>
  <c r="DF50" i="16"/>
  <c r="CL51" i="16"/>
  <c r="CP51" i="16"/>
  <c r="CT51" i="16"/>
  <c r="CX51" i="16"/>
  <c r="DB51" i="16"/>
  <c r="DF51" i="16"/>
  <c r="CL52" i="16"/>
  <c r="CP52" i="16"/>
  <c r="CT52" i="16"/>
  <c r="CX52" i="16"/>
  <c r="DB52" i="16"/>
  <c r="DF52" i="16"/>
  <c r="CL53" i="16"/>
  <c r="CP53" i="16"/>
  <c r="CT53" i="16"/>
  <c r="CX53" i="16"/>
  <c r="DB53" i="16"/>
  <c r="DF53" i="16"/>
  <c r="CL54" i="16"/>
  <c r="CP54" i="16"/>
  <c r="CT54" i="16"/>
  <c r="CX54" i="16"/>
  <c r="DB54" i="16"/>
  <c r="DF54" i="16"/>
  <c r="CL55" i="16"/>
  <c r="CP55" i="16"/>
  <c r="CT55" i="16"/>
  <c r="CX55" i="16"/>
  <c r="DB55" i="16"/>
  <c r="DF55" i="16"/>
  <c r="CL56" i="16"/>
  <c r="CP56" i="16"/>
  <c r="CT56" i="16"/>
  <c r="CX56" i="16"/>
  <c r="DB56" i="16"/>
  <c r="DF56" i="16"/>
  <c r="CL57" i="16"/>
  <c r="CP57" i="16"/>
  <c r="CT57" i="16"/>
  <c r="CX57" i="16"/>
  <c r="DB57" i="16"/>
  <c r="DF57" i="16"/>
  <c r="CL58" i="16"/>
  <c r="CP58" i="16"/>
  <c r="CT58" i="16"/>
  <c r="CX58" i="16"/>
  <c r="DB58" i="16"/>
  <c r="DF58" i="16"/>
  <c r="CL59" i="16"/>
  <c r="CP59" i="16"/>
  <c r="CT59" i="16"/>
  <c r="CX59" i="16"/>
  <c r="DB59" i="16"/>
  <c r="DF59" i="16"/>
  <c r="CL60" i="16"/>
  <c r="CP60" i="16"/>
  <c r="CT60" i="16"/>
  <c r="CX60" i="16"/>
  <c r="DB60" i="16"/>
  <c r="DF60" i="16"/>
  <c r="CL61" i="16"/>
  <c r="CP61" i="16"/>
  <c r="CT61" i="16"/>
  <c r="CX61" i="16"/>
  <c r="DB61" i="16"/>
  <c r="DF61" i="16"/>
  <c r="CL62" i="16"/>
  <c r="CP62" i="16"/>
  <c r="CT62" i="16"/>
  <c r="CX62" i="16"/>
  <c r="DB62" i="16"/>
  <c r="DF62" i="16"/>
  <c r="CL63" i="16"/>
  <c r="CP63" i="16"/>
  <c r="CT63" i="16"/>
  <c r="CX63" i="16"/>
  <c r="DB63" i="16"/>
  <c r="DF63" i="16"/>
  <c r="CL64" i="16"/>
  <c r="CP64" i="16"/>
  <c r="CT64" i="16"/>
  <c r="CX64" i="16"/>
  <c r="DB64" i="16"/>
  <c r="DF64" i="16"/>
  <c r="CL65" i="16"/>
  <c r="CP65" i="16"/>
  <c r="CT65" i="16"/>
  <c r="CX65" i="16"/>
  <c r="DB65" i="16"/>
  <c r="DF65" i="16"/>
  <c r="CL66" i="16"/>
  <c r="CP66" i="16"/>
  <c r="CT66" i="16"/>
  <c r="CX66" i="16"/>
  <c r="DB66" i="16"/>
  <c r="DF66" i="16"/>
  <c r="CL67" i="16"/>
  <c r="CP67" i="16"/>
  <c r="CT67" i="16"/>
  <c r="CX67" i="16"/>
  <c r="DB67" i="16"/>
  <c r="DF67" i="16"/>
  <c r="CL68" i="16"/>
  <c r="CP68" i="16"/>
  <c r="CT68" i="16"/>
  <c r="CX68" i="16"/>
  <c r="DB68" i="16"/>
  <c r="DF68" i="16"/>
  <c r="CL69" i="16"/>
  <c r="CP69" i="16"/>
  <c r="CT69" i="16"/>
  <c r="CX69" i="16"/>
  <c r="DB69" i="16"/>
  <c r="DF69" i="16"/>
  <c r="CL70" i="16"/>
  <c r="CP70" i="16"/>
  <c r="CT70" i="16"/>
  <c r="CX70" i="16"/>
  <c r="DB70" i="16"/>
  <c r="DF70" i="16"/>
  <c r="CL71" i="16"/>
  <c r="CP71" i="16"/>
  <c r="CT71" i="16"/>
  <c r="CX71" i="16"/>
  <c r="DB71" i="16"/>
  <c r="DF71" i="16"/>
  <c r="CL72" i="16"/>
  <c r="CP72" i="16"/>
  <c r="CT72" i="16"/>
  <c r="CX72" i="16"/>
  <c r="DB72" i="16"/>
  <c r="DF72" i="16"/>
  <c r="CL73" i="16"/>
  <c r="CP73" i="16"/>
  <c r="CT73" i="16"/>
  <c r="CX73" i="16"/>
  <c r="DB73" i="16"/>
  <c r="DF73" i="16"/>
  <c r="CL74" i="16"/>
  <c r="CP74" i="16"/>
  <c r="CT74" i="16"/>
  <c r="CX74" i="16"/>
  <c r="DB74" i="16"/>
  <c r="DF74" i="16"/>
  <c r="CL75" i="16"/>
  <c r="CP75" i="16"/>
  <c r="CT75" i="16"/>
  <c r="CX75" i="16"/>
  <c r="DB75" i="16"/>
  <c r="DF75" i="16"/>
  <c r="CL76" i="16"/>
  <c r="CP76" i="16"/>
  <c r="CT76" i="16"/>
  <c r="CX76" i="16"/>
  <c r="DB76" i="16"/>
  <c r="DF76" i="16"/>
  <c r="CL77" i="16"/>
  <c r="CP77" i="16"/>
  <c r="CT77" i="16"/>
  <c r="CX77" i="16"/>
  <c r="DB77" i="16"/>
  <c r="DF77" i="16"/>
  <c r="CL78" i="16"/>
  <c r="CP78" i="16"/>
  <c r="CT78" i="16"/>
  <c r="CX78" i="16"/>
  <c r="DB78" i="16"/>
  <c r="DF78" i="16"/>
  <c r="CL79" i="16"/>
  <c r="CP79" i="16"/>
  <c r="CT79" i="16"/>
  <c r="CX79" i="16"/>
  <c r="DB79" i="16"/>
  <c r="DF79" i="16"/>
  <c r="CL80" i="16"/>
  <c r="CP80" i="16"/>
  <c r="CT80" i="16"/>
  <c r="CX80" i="16"/>
  <c r="DB80" i="16"/>
  <c r="DF80" i="16"/>
  <c r="CL81" i="16"/>
  <c r="CP81" i="16"/>
  <c r="CT81" i="16"/>
  <c r="CX81" i="16"/>
  <c r="DB81" i="16"/>
  <c r="DF81" i="16"/>
  <c r="J87" i="16"/>
  <c r="N87" i="16"/>
  <c r="R87" i="16"/>
  <c r="V87" i="16"/>
  <c r="Z87" i="16"/>
  <c r="AD87" i="16"/>
  <c r="AH87" i="16"/>
  <c r="AL87" i="16"/>
  <c r="AP87" i="16"/>
  <c r="AT87" i="16"/>
  <c r="AX87" i="16"/>
  <c r="BB87" i="16"/>
  <c r="BF87" i="16"/>
  <c r="BJ87" i="16"/>
  <c r="BN87" i="16"/>
  <c r="BR87" i="16"/>
  <c r="BV87" i="16"/>
  <c r="BZ87" i="16"/>
  <c r="CD87" i="16"/>
  <c r="CH87" i="16"/>
  <c r="CL87" i="16"/>
  <c r="CP87" i="16"/>
  <c r="CT87" i="16"/>
  <c r="CX87" i="16"/>
  <c r="DB87" i="16"/>
  <c r="DF87" i="16"/>
  <c r="J88" i="16"/>
  <c r="N88" i="16"/>
  <c r="R88" i="16"/>
  <c r="V88" i="16"/>
  <c r="Z88" i="16"/>
  <c r="AD88" i="16"/>
  <c r="AH88" i="16"/>
  <c r="AL88" i="16"/>
  <c r="AP88" i="16"/>
  <c r="AT88" i="16"/>
  <c r="AX88" i="16"/>
  <c r="BB88" i="16"/>
  <c r="BF88" i="16"/>
  <c r="BJ88" i="16"/>
  <c r="BN88" i="16"/>
  <c r="BR88" i="16"/>
  <c r="BV88" i="16"/>
  <c r="BZ88" i="16"/>
  <c r="CD88" i="16"/>
  <c r="CH88" i="16"/>
  <c r="CL88" i="16"/>
  <c r="CP88" i="16"/>
  <c r="CT88" i="16"/>
  <c r="CX88" i="16"/>
  <c r="DB88" i="16"/>
  <c r="DF88" i="16"/>
  <c r="J89" i="16"/>
  <c r="N89" i="16"/>
  <c r="R89" i="16"/>
  <c r="V89" i="16"/>
  <c r="Z89" i="16"/>
  <c r="AD89" i="16"/>
  <c r="AH89" i="16"/>
  <c r="AL89" i="16"/>
  <c r="AP89" i="16"/>
  <c r="AT89" i="16"/>
  <c r="AX89" i="16"/>
  <c r="BB89" i="16"/>
  <c r="BF89" i="16"/>
  <c r="BJ89" i="16"/>
  <c r="BN89" i="16"/>
  <c r="BR89" i="16"/>
  <c r="BV89" i="16"/>
  <c r="BZ89" i="16"/>
  <c r="CD89" i="16"/>
  <c r="CH89" i="16"/>
  <c r="CL89" i="16"/>
  <c r="CP89" i="16"/>
  <c r="CT89" i="16"/>
  <c r="CX89" i="16"/>
  <c r="DB89" i="16"/>
  <c r="DF89" i="16"/>
  <c r="J90" i="16"/>
  <c r="N90" i="16"/>
  <c r="R90" i="16"/>
  <c r="V90" i="16"/>
  <c r="Z90" i="16"/>
  <c r="AD90" i="16"/>
  <c r="AH90" i="16"/>
  <c r="AL90" i="16"/>
  <c r="AP90" i="16"/>
  <c r="AT90" i="16"/>
  <c r="AX90" i="16"/>
  <c r="BB90" i="16"/>
  <c r="BF90" i="16"/>
  <c r="BJ90" i="16"/>
  <c r="BN90" i="16"/>
  <c r="BR90" i="16"/>
  <c r="BV90" i="16"/>
  <c r="BZ90" i="16"/>
  <c r="CD90" i="16"/>
  <c r="CH90" i="16"/>
  <c r="CL90" i="16"/>
  <c r="CP90" i="16"/>
  <c r="CT90" i="16"/>
  <c r="CX90" i="16"/>
  <c r="DB90" i="16"/>
  <c r="DF90" i="16"/>
  <c r="J91" i="16"/>
  <c r="N91" i="16"/>
  <c r="R91" i="16"/>
  <c r="V91" i="16"/>
  <c r="Z91" i="16"/>
  <c r="AD91" i="16"/>
  <c r="AH91" i="16"/>
  <c r="AL91" i="16"/>
  <c r="AP91" i="16"/>
  <c r="AT91" i="16"/>
  <c r="AX91" i="16"/>
  <c r="BB91" i="16"/>
  <c r="BF91" i="16"/>
  <c r="BJ91" i="16"/>
  <c r="BN91" i="16"/>
  <c r="BR91" i="16"/>
  <c r="BV91" i="16"/>
  <c r="BZ91" i="16"/>
  <c r="CD91" i="16"/>
  <c r="CH91" i="16"/>
  <c r="CL91" i="16"/>
  <c r="CP91" i="16"/>
  <c r="CT91" i="16"/>
  <c r="CX91" i="16"/>
  <c r="DB91" i="16"/>
  <c r="DF91" i="16"/>
  <c r="J92" i="16"/>
  <c r="N92" i="16"/>
  <c r="R92" i="16"/>
  <c r="V92" i="16"/>
  <c r="Z92" i="16"/>
  <c r="AD92" i="16"/>
  <c r="AH92" i="16"/>
  <c r="AL92" i="16"/>
  <c r="AP92" i="16"/>
  <c r="AT92" i="16"/>
  <c r="AX92" i="16"/>
  <c r="BB92" i="16"/>
  <c r="BF92" i="16"/>
  <c r="BJ92" i="16"/>
  <c r="BN92" i="16"/>
  <c r="BR92" i="16"/>
  <c r="BV92" i="16"/>
  <c r="BZ92" i="16"/>
  <c r="CD92" i="16"/>
  <c r="CH92" i="16"/>
  <c r="CL92" i="16"/>
  <c r="CP92" i="16"/>
  <c r="CT92" i="16"/>
  <c r="CX92" i="16"/>
  <c r="DB92" i="16"/>
  <c r="DF92" i="16"/>
  <c r="J93" i="16"/>
  <c r="N93" i="16"/>
  <c r="R93" i="16"/>
  <c r="V93" i="16"/>
  <c r="Z93" i="16"/>
  <c r="AD93" i="16"/>
  <c r="AH93" i="16"/>
  <c r="AL93" i="16"/>
  <c r="AP93" i="16"/>
  <c r="AT93" i="16"/>
  <c r="AX93" i="16"/>
  <c r="BB93" i="16"/>
  <c r="BF93" i="16"/>
  <c r="BJ93" i="16"/>
  <c r="BN93" i="16"/>
  <c r="BR93" i="16"/>
  <c r="BV93" i="16"/>
  <c r="BZ93" i="16"/>
  <c r="CD93" i="16"/>
  <c r="CH93" i="16"/>
  <c r="CL93" i="16"/>
  <c r="CP93" i="16"/>
  <c r="CT93" i="16"/>
  <c r="CX93" i="16"/>
  <c r="DB93" i="16"/>
  <c r="DF93" i="16"/>
  <c r="J94" i="16"/>
  <c r="N94" i="16"/>
  <c r="R94" i="16"/>
  <c r="V94" i="16"/>
  <c r="Z94" i="16"/>
  <c r="AD94" i="16"/>
  <c r="AH94" i="16"/>
  <c r="AL94" i="16"/>
  <c r="AP94" i="16"/>
  <c r="AT94" i="16"/>
  <c r="AX94" i="16"/>
  <c r="BB94" i="16"/>
  <c r="BF94" i="16"/>
  <c r="BJ94" i="16"/>
  <c r="BN94" i="16"/>
  <c r="BR94" i="16"/>
  <c r="BV94" i="16"/>
  <c r="BZ94" i="16"/>
  <c r="CD94" i="16"/>
  <c r="CH94" i="16"/>
  <c r="CL94" i="16"/>
  <c r="CP94" i="16"/>
  <c r="CT94" i="16"/>
  <c r="CX94" i="16"/>
  <c r="DB94" i="16"/>
  <c r="DF94" i="16"/>
  <c r="J95" i="16"/>
  <c r="N95" i="16"/>
  <c r="R95" i="16"/>
  <c r="V95" i="16"/>
  <c r="Z95" i="16"/>
  <c r="AD95" i="16"/>
  <c r="AH95" i="16"/>
  <c r="AL95" i="16"/>
  <c r="AP95" i="16"/>
  <c r="AT95" i="16"/>
  <c r="AX95" i="16"/>
  <c r="BB95" i="16"/>
  <c r="BF95" i="16"/>
  <c r="BJ95" i="16"/>
  <c r="BN95" i="16"/>
  <c r="BR95" i="16"/>
  <c r="BV95" i="16"/>
  <c r="BZ95" i="16"/>
  <c r="CD95" i="16"/>
  <c r="CH95" i="16"/>
  <c r="CL95" i="16"/>
  <c r="CP95" i="16"/>
  <c r="CT95" i="16"/>
  <c r="CX95" i="16"/>
  <c r="DB95" i="16"/>
  <c r="DF95" i="16"/>
  <c r="J96" i="16"/>
  <c r="N96" i="16"/>
  <c r="R96" i="16"/>
  <c r="V96" i="16"/>
  <c r="Z96" i="16"/>
  <c r="AD96" i="16"/>
  <c r="AH96" i="16"/>
  <c r="AL96" i="16"/>
  <c r="AP96" i="16"/>
  <c r="AT96" i="16"/>
  <c r="AX96" i="16"/>
  <c r="BB96" i="16"/>
  <c r="BF96" i="16"/>
  <c r="BJ96" i="16"/>
  <c r="BN96" i="16"/>
  <c r="BR96" i="16"/>
  <c r="BV96" i="16"/>
  <c r="BZ96" i="16"/>
  <c r="CD96" i="16"/>
  <c r="CH96" i="16"/>
  <c r="CL96" i="16"/>
  <c r="CP96" i="16"/>
  <c r="CT96" i="16"/>
  <c r="CX96" i="16"/>
  <c r="DB96" i="16"/>
  <c r="DF96" i="16"/>
  <c r="J97" i="16"/>
  <c r="N97" i="16"/>
  <c r="R97" i="16"/>
  <c r="V97" i="16"/>
  <c r="Z97" i="16"/>
  <c r="AD97" i="16"/>
  <c r="AH97" i="16"/>
  <c r="AL97" i="16"/>
  <c r="AP97" i="16"/>
  <c r="AT97" i="16"/>
  <c r="AX97" i="16"/>
  <c r="BB97" i="16"/>
  <c r="BF97" i="16"/>
  <c r="BJ97" i="16"/>
  <c r="BN97" i="16"/>
  <c r="BR97" i="16"/>
  <c r="BV97" i="16"/>
  <c r="BZ97" i="16"/>
  <c r="CD97" i="16"/>
  <c r="CH97" i="16"/>
  <c r="CL97" i="16"/>
  <c r="CP97" i="16"/>
  <c r="CT97" i="16"/>
  <c r="CX97" i="16"/>
  <c r="DB97" i="16"/>
  <c r="DF97" i="16"/>
  <c r="J98" i="16"/>
  <c r="N98" i="16"/>
  <c r="R98" i="16"/>
  <c r="V98" i="16"/>
  <c r="Z98" i="16"/>
  <c r="AD98" i="16"/>
  <c r="AH98" i="16"/>
  <c r="AL98" i="16"/>
  <c r="AP98" i="16"/>
  <c r="AT98" i="16"/>
  <c r="AX98" i="16"/>
  <c r="BB98" i="16"/>
  <c r="BF98" i="16"/>
  <c r="BJ98" i="16"/>
  <c r="BN98" i="16"/>
  <c r="BR98" i="16"/>
  <c r="BV98" i="16"/>
  <c r="BZ98" i="16"/>
  <c r="CD98" i="16"/>
  <c r="CH98" i="16"/>
  <c r="CL98" i="16"/>
  <c r="CP98" i="16"/>
  <c r="CT98" i="16"/>
  <c r="CX98" i="16"/>
  <c r="DB98" i="16"/>
  <c r="DF98" i="16"/>
  <c r="J99" i="16"/>
  <c r="N99" i="16"/>
  <c r="R99" i="16"/>
  <c r="V99" i="16"/>
  <c r="Z99" i="16"/>
  <c r="AD99" i="16"/>
  <c r="AH99" i="16"/>
  <c r="AL99" i="16"/>
  <c r="AP99" i="16"/>
  <c r="AT99" i="16"/>
  <c r="AX99" i="16"/>
  <c r="BB99" i="16"/>
  <c r="BF99" i="16"/>
  <c r="BJ99" i="16"/>
  <c r="BN99" i="16"/>
  <c r="BR99" i="16"/>
  <c r="BV99" i="16"/>
  <c r="BZ99" i="16"/>
  <c r="CD99" i="16"/>
  <c r="CH99" i="16"/>
  <c r="CL99" i="16"/>
  <c r="CP99" i="16"/>
  <c r="CT99" i="16"/>
  <c r="CX99" i="16"/>
  <c r="DB99" i="16"/>
  <c r="DF99" i="16"/>
  <c r="J100" i="16"/>
  <c r="N100" i="16"/>
  <c r="R100" i="16"/>
  <c r="V100" i="16"/>
  <c r="Z100" i="16"/>
  <c r="AD100" i="16"/>
  <c r="AH100" i="16"/>
  <c r="AL100" i="16"/>
  <c r="AP100" i="16"/>
  <c r="AT100" i="16"/>
  <c r="AX100" i="16"/>
  <c r="BB100" i="16"/>
  <c r="BF100" i="16"/>
  <c r="BJ100" i="16"/>
  <c r="BN100" i="16"/>
  <c r="BR100" i="16"/>
  <c r="BV100" i="16"/>
  <c r="BZ100" i="16"/>
  <c r="CD100" i="16"/>
  <c r="CH100" i="16"/>
  <c r="CL100" i="16"/>
  <c r="CP100" i="16"/>
  <c r="CT100" i="16"/>
  <c r="CX100" i="16"/>
  <c r="DB100" i="16"/>
  <c r="DF100" i="16"/>
  <c r="J101" i="16"/>
  <c r="N101" i="16"/>
  <c r="R101" i="16"/>
  <c r="V101" i="16"/>
  <c r="Z101" i="16"/>
  <c r="AD101" i="16"/>
  <c r="AH101" i="16"/>
  <c r="AL101" i="16"/>
  <c r="AP101" i="16"/>
  <c r="AT101" i="16"/>
  <c r="AX101" i="16"/>
  <c r="BB101" i="16"/>
  <c r="BF101" i="16"/>
  <c r="BJ101" i="16"/>
  <c r="BN101" i="16"/>
  <c r="BR101" i="16"/>
  <c r="BV101" i="16"/>
  <c r="BZ101" i="16"/>
  <c r="CD101" i="16"/>
  <c r="CH101" i="16"/>
  <c r="CL101" i="16"/>
  <c r="CP101" i="16"/>
  <c r="CT101" i="16"/>
  <c r="CX101" i="16"/>
  <c r="DB101" i="16"/>
  <c r="DF101" i="16"/>
  <c r="J102" i="16"/>
  <c r="N102" i="16"/>
  <c r="R102" i="16"/>
  <c r="V102" i="16"/>
  <c r="Z102" i="16"/>
  <c r="AD102" i="16"/>
  <c r="AH102" i="16"/>
  <c r="AL102" i="16"/>
  <c r="AP102" i="16"/>
  <c r="AT102" i="16"/>
  <c r="AX102" i="16"/>
  <c r="BB102" i="16"/>
  <c r="BF102" i="16"/>
  <c r="BJ102" i="16"/>
  <c r="BN102" i="16"/>
  <c r="BR102" i="16"/>
  <c r="BV102" i="16"/>
  <c r="BZ102" i="16"/>
  <c r="CD102" i="16"/>
  <c r="CH102" i="16"/>
  <c r="CL102" i="16"/>
  <c r="CP102" i="16"/>
  <c r="CT102" i="16"/>
  <c r="CX102" i="16"/>
  <c r="DB102" i="16"/>
  <c r="DF102" i="16"/>
  <c r="J103" i="16"/>
  <c r="N103" i="16"/>
  <c r="R103" i="16"/>
  <c r="V103" i="16"/>
  <c r="Z103" i="16"/>
  <c r="AD103" i="16"/>
  <c r="AH103" i="16"/>
  <c r="AL103" i="16"/>
  <c r="AP103" i="16"/>
  <c r="AT103" i="16"/>
  <c r="AX103" i="16"/>
  <c r="BB103" i="16"/>
  <c r="BF103" i="16"/>
  <c r="BJ103" i="16"/>
  <c r="BN103" i="16"/>
  <c r="BR103" i="16"/>
  <c r="BV103" i="16"/>
  <c r="BZ103" i="16"/>
  <c r="CD103" i="16"/>
  <c r="CH103" i="16"/>
  <c r="CL103" i="16"/>
  <c r="CP103" i="16"/>
  <c r="CT103" i="16"/>
  <c r="CX103" i="16"/>
  <c r="DB103" i="16"/>
  <c r="DF103" i="16"/>
  <c r="J104" i="16"/>
  <c r="N104" i="16"/>
  <c r="R104" i="16"/>
  <c r="V104" i="16"/>
  <c r="Z104" i="16"/>
  <c r="AD104" i="16"/>
  <c r="AH104" i="16"/>
  <c r="AL104" i="16"/>
  <c r="AP104" i="16"/>
  <c r="AT104" i="16"/>
  <c r="AX104" i="16"/>
  <c r="BB104" i="16"/>
  <c r="BF104" i="16"/>
  <c r="BJ104" i="16"/>
  <c r="BN104" i="16"/>
  <c r="BR104" i="16"/>
  <c r="BV104" i="16"/>
  <c r="BZ104" i="16"/>
  <c r="CD104" i="16"/>
  <c r="CH104" i="16"/>
  <c r="CL104" i="16"/>
  <c r="CP104" i="16"/>
  <c r="CT104" i="16"/>
  <c r="CX104" i="16"/>
  <c r="DB104" i="16"/>
  <c r="DF104" i="16"/>
  <c r="J105" i="16"/>
  <c r="N105" i="16"/>
  <c r="R105" i="16"/>
  <c r="V105" i="16"/>
  <c r="Z105" i="16"/>
  <c r="AD105" i="16"/>
  <c r="AH105" i="16"/>
  <c r="AL105" i="16"/>
  <c r="AP105" i="16"/>
  <c r="AT105" i="16"/>
  <c r="AX105" i="16"/>
  <c r="BB105" i="16"/>
  <c r="BF105" i="16"/>
  <c r="BJ105" i="16"/>
  <c r="BN105" i="16"/>
  <c r="BR105" i="16"/>
  <c r="BV105" i="16"/>
  <c r="BZ105" i="16"/>
  <c r="CD105" i="16"/>
  <c r="CH105" i="16"/>
  <c r="CL105" i="16"/>
  <c r="CP105" i="16"/>
  <c r="CT105" i="16"/>
  <c r="CX105" i="16"/>
  <c r="DB105" i="16"/>
  <c r="DF105" i="16"/>
  <c r="J106" i="16"/>
  <c r="N106" i="16"/>
  <c r="R106" i="16"/>
  <c r="V106" i="16"/>
  <c r="Z106" i="16"/>
  <c r="AD106" i="16"/>
  <c r="AH106" i="16"/>
  <c r="AL106" i="16"/>
  <c r="AP106" i="16"/>
  <c r="AT106" i="16"/>
  <c r="AX106" i="16"/>
  <c r="BB106" i="16"/>
  <c r="BF106" i="16"/>
  <c r="BJ106" i="16"/>
  <c r="BN106" i="16"/>
  <c r="BR106" i="16"/>
  <c r="BV106" i="16"/>
  <c r="BZ106" i="16"/>
  <c r="CD106" i="16"/>
  <c r="CH106" i="16"/>
  <c r="CL106" i="16"/>
  <c r="CP106" i="16"/>
  <c r="CT106" i="16"/>
  <c r="CX106" i="16"/>
  <c r="DB106" i="16"/>
  <c r="DF106" i="16"/>
  <c r="J107" i="16"/>
  <c r="N107" i="16"/>
  <c r="R107" i="16"/>
  <c r="V107" i="16"/>
  <c r="Z107" i="16"/>
  <c r="AD107" i="16"/>
  <c r="AH107" i="16"/>
  <c r="AL107" i="16"/>
  <c r="AP107" i="16"/>
  <c r="AT107" i="16"/>
  <c r="AX107" i="16"/>
  <c r="BB107" i="16"/>
  <c r="BF107" i="16"/>
  <c r="BJ107" i="16"/>
  <c r="BN107" i="16"/>
  <c r="BR107" i="16"/>
  <c r="BV107" i="16"/>
  <c r="BZ107" i="16"/>
  <c r="CD107" i="16"/>
  <c r="CH107" i="16"/>
  <c r="CL107" i="16"/>
  <c r="CP107" i="16"/>
  <c r="CT107" i="16"/>
  <c r="CX107" i="16"/>
  <c r="DB107" i="16"/>
  <c r="DF107" i="16"/>
  <c r="J108" i="16"/>
  <c r="N108" i="16"/>
  <c r="R108" i="16"/>
  <c r="V108" i="16"/>
  <c r="Z108" i="16"/>
  <c r="AD108" i="16"/>
  <c r="AH108" i="16"/>
  <c r="AL108" i="16"/>
  <c r="AP108" i="16"/>
  <c r="AT108" i="16"/>
  <c r="AX108" i="16"/>
  <c r="BB108" i="16"/>
  <c r="BF108" i="16"/>
  <c r="BJ108" i="16"/>
  <c r="BN108" i="16"/>
  <c r="BR108" i="16"/>
  <c r="BV108" i="16"/>
  <c r="BZ108" i="16"/>
  <c r="CD108" i="16"/>
  <c r="CH108" i="16"/>
  <c r="CL108" i="16"/>
  <c r="CP108" i="16"/>
  <c r="CT108" i="16"/>
  <c r="CX108" i="16"/>
  <c r="DB108" i="16"/>
  <c r="DF108" i="16"/>
  <c r="J109" i="16"/>
  <c r="N109" i="16"/>
  <c r="R109" i="16"/>
  <c r="V109" i="16"/>
  <c r="Z109" i="16"/>
  <c r="AD109" i="16"/>
  <c r="AH109" i="16"/>
  <c r="AL109" i="16"/>
  <c r="AP109" i="16"/>
  <c r="AT109" i="16"/>
  <c r="AX109" i="16"/>
  <c r="BB109" i="16"/>
  <c r="BF109" i="16"/>
  <c r="BJ109" i="16"/>
  <c r="BN109" i="16"/>
  <c r="BR109" i="16"/>
  <c r="BV109" i="16"/>
  <c r="BZ109" i="16"/>
  <c r="CD109" i="16"/>
  <c r="CH109" i="16"/>
  <c r="CL109" i="16"/>
  <c r="CP109" i="16"/>
  <c r="CT109" i="16"/>
  <c r="CX109" i="16"/>
  <c r="DB109" i="16"/>
  <c r="DF109" i="16"/>
  <c r="J110" i="16"/>
  <c r="N110" i="16"/>
  <c r="R110" i="16"/>
  <c r="V110" i="16"/>
  <c r="Z110" i="16"/>
  <c r="AD110" i="16"/>
  <c r="AH110" i="16"/>
  <c r="AL110" i="16"/>
  <c r="AP110" i="16"/>
  <c r="AT110" i="16"/>
  <c r="AX110" i="16"/>
  <c r="BB110" i="16"/>
  <c r="BF110" i="16"/>
  <c r="BJ110" i="16"/>
  <c r="BN110" i="16"/>
  <c r="BR110" i="16"/>
  <c r="BV110" i="16"/>
  <c r="BZ110" i="16"/>
  <c r="CD110" i="16"/>
  <c r="CH110" i="16"/>
  <c r="CL110" i="16"/>
  <c r="CP110" i="16"/>
  <c r="CT110" i="16"/>
  <c r="CX110" i="16"/>
  <c r="DB110" i="16"/>
  <c r="DF110" i="16"/>
  <c r="J111" i="16"/>
  <c r="N111" i="16"/>
  <c r="R111" i="16"/>
  <c r="V111" i="16"/>
  <c r="Z111" i="16"/>
  <c r="AD111" i="16"/>
  <c r="AH111" i="16"/>
  <c r="AL111" i="16"/>
  <c r="AP111" i="16"/>
  <c r="AT111" i="16"/>
  <c r="AX111" i="16"/>
  <c r="BB111" i="16"/>
  <c r="BF111" i="16"/>
  <c r="BJ111" i="16"/>
  <c r="BN111" i="16"/>
  <c r="BR111" i="16"/>
  <c r="BV111" i="16"/>
  <c r="BZ111" i="16"/>
  <c r="CD111" i="16"/>
  <c r="CH111" i="16"/>
  <c r="CL111" i="16"/>
  <c r="CP111" i="16"/>
  <c r="CT111" i="16"/>
  <c r="CX111" i="16"/>
  <c r="DB111" i="16"/>
  <c r="DF111" i="16"/>
  <c r="J112" i="16"/>
  <c r="N112" i="16"/>
  <c r="R112" i="16"/>
  <c r="V112" i="16"/>
  <c r="Z112" i="16"/>
  <c r="AD112" i="16"/>
  <c r="AH112" i="16"/>
  <c r="AL112" i="16"/>
  <c r="AP112" i="16"/>
  <c r="AT112" i="16"/>
  <c r="AX112" i="16"/>
  <c r="BB112" i="16"/>
  <c r="BF112" i="16"/>
  <c r="BJ112" i="16"/>
  <c r="BN112" i="16"/>
  <c r="BR112" i="16"/>
  <c r="BV112" i="16"/>
  <c r="BZ112" i="16"/>
  <c r="CD112" i="16"/>
  <c r="CH112" i="16"/>
  <c r="CL112" i="16"/>
  <c r="CP112" i="16"/>
  <c r="CT112" i="16"/>
  <c r="CX112" i="16"/>
  <c r="DB112" i="16"/>
  <c r="DF112" i="16"/>
  <c r="J113" i="16"/>
  <c r="N113" i="16"/>
  <c r="R113" i="16"/>
  <c r="V113" i="16"/>
  <c r="Z113" i="16"/>
  <c r="AD113" i="16"/>
  <c r="AH113" i="16"/>
  <c r="AL113" i="16"/>
  <c r="AP113" i="16"/>
  <c r="AT113" i="16"/>
  <c r="AX113" i="16"/>
  <c r="BB113" i="16"/>
  <c r="BF113" i="16"/>
  <c r="BJ113" i="16"/>
  <c r="BN113" i="16"/>
  <c r="BR113" i="16"/>
  <c r="BV113" i="16"/>
  <c r="BZ113" i="16"/>
  <c r="CD113" i="16"/>
  <c r="CH113" i="16"/>
  <c r="CL113" i="16"/>
  <c r="CP113" i="16"/>
  <c r="CT113" i="16"/>
  <c r="CX113" i="16"/>
  <c r="DB113" i="16"/>
  <c r="DF113" i="16"/>
  <c r="J114" i="16"/>
  <c r="N114" i="16"/>
  <c r="R114" i="16"/>
  <c r="V114" i="16"/>
  <c r="Z114" i="16"/>
  <c r="AD114" i="16"/>
  <c r="AH114" i="16"/>
  <c r="AL114" i="16"/>
  <c r="AP114" i="16"/>
  <c r="AT114" i="16"/>
  <c r="AX114" i="16"/>
  <c r="BB114" i="16"/>
  <c r="BF114" i="16"/>
  <c r="BJ114" i="16"/>
  <c r="BN114" i="16"/>
  <c r="BR114" i="16"/>
  <c r="BV114" i="16"/>
  <c r="BZ114" i="16"/>
  <c r="CD114" i="16"/>
  <c r="CH114" i="16"/>
  <c r="CL114" i="16"/>
  <c r="CP114" i="16"/>
  <c r="CT114" i="16"/>
  <c r="CX114" i="16"/>
  <c r="DB114" i="16"/>
  <c r="DF114" i="16"/>
  <c r="J116" i="16"/>
  <c r="N116" i="16"/>
  <c r="R116" i="16"/>
  <c r="V116" i="16"/>
  <c r="Z116" i="16"/>
  <c r="AD116" i="16"/>
  <c r="AH116" i="16"/>
  <c r="AL116" i="16"/>
  <c r="AP116" i="16"/>
  <c r="AT116" i="16"/>
  <c r="AX116" i="16"/>
  <c r="BB116" i="16"/>
  <c r="BF116" i="16"/>
  <c r="BJ116" i="16"/>
  <c r="BN116" i="16"/>
  <c r="BR116" i="16"/>
  <c r="BV116" i="16"/>
  <c r="BZ116" i="16"/>
  <c r="CD116" i="16"/>
  <c r="CH116" i="16"/>
  <c r="CL116" i="16"/>
  <c r="CP116" i="16"/>
  <c r="CT116" i="16"/>
  <c r="CX116" i="16"/>
  <c r="DB116" i="16"/>
  <c r="DF116" i="16"/>
  <c r="J117" i="16"/>
  <c r="N117" i="16"/>
  <c r="R117" i="16"/>
  <c r="V117" i="16"/>
  <c r="Z117" i="16"/>
  <c r="AD117" i="16"/>
  <c r="AH117" i="16"/>
  <c r="AL117" i="16"/>
  <c r="AP117" i="16"/>
  <c r="AT117" i="16"/>
  <c r="AX117" i="16"/>
  <c r="BB117" i="16"/>
  <c r="BF117" i="16"/>
  <c r="BJ117" i="16"/>
  <c r="BN117" i="16"/>
  <c r="BR117" i="16"/>
  <c r="BV117" i="16"/>
  <c r="BZ117" i="16"/>
  <c r="CD117" i="16"/>
  <c r="CH117" i="16"/>
  <c r="CL117" i="16"/>
  <c r="CP117" i="16"/>
  <c r="CT117" i="16"/>
  <c r="CX117" i="16"/>
  <c r="DB117" i="16"/>
  <c r="DF117" i="16"/>
  <c r="J118" i="16"/>
  <c r="N118" i="16"/>
  <c r="R118" i="16"/>
  <c r="V118" i="16"/>
  <c r="Z118" i="16"/>
  <c r="AD118" i="16"/>
  <c r="AH118" i="16"/>
  <c r="AL118" i="16"/>
  <c r="AP118" i="16"/>
  <c r="AT118" i="16"/>
  <c r="AX118" i="16"/>
  <c r="BB118" i="16"/>
  <c r="BF118" i="16"/>
  <c r="BJ118" i="16"/>
  <c r="BN118" i="16"/>
  <c r="BR118" i="16"/>
  <c r="BV118" i="16"/>
  <c r="BZ118" i="16"/>
  <c r="CD118" i="16"/>
  <c r="CH118" i="16"/>
  <c r="CL118" i="16"/>
  <c r="CP118" i="16"/>
  <c r="CT118" i="16"/>
  <c r="CX118" i="16"/>
  <c r="DB118" i="16"/>
  <c r="DF118" i="16"/>
  <c r="J119" i="16"/>
  <c r="N119" i="16"/>
  <c r="R119" i="16"/>
  <c r="V119" i="16"/>
  <c r="Z119" i="16"/>
  <c r="AD119" i="16"/>
  <c r="AH119" i="16"/>
  <c r="AL119" i="16"/>
  <c r="AP119" i="16"/>
  <c r="AT119" i="16"/>
  <c r="AX119" i="16"/>
  <c r="BB119" i="16"/>
  <c r="BF119" i="16"/>
  <c r="BJ119" i="16"/>
  <c r="BN119" i="16"/>
  <c r="BR119" i="16"/>
  <c r="BV119" i="16"/>
  <c r="BZ119" i="16"/>
  <c r="CD119" i="16"/>
  <c r="CH119" i="16"/>
  <c r="CL119" i="16"/>
  <c r="CP119" i="16"/>
  <c r="CT119" i="16"/>
  <c r="CX119" i="16"/>
  <c r="DB119" i="16"/>
  <c r="DF119" i="16"/>
  <c r="J120" i="16"/>
  <c r="N120" i="16"/>
  <c r="R120" i="16"/>
  <c r="V120" i="16"/>
  <c r="Z120" i="16"/>
  <c r="AD120" i="16"/>
  <c r="AH120" i="16"/>
  <c r="AL120" i="16"/>
  <c r="AP120" i="16"/>
  <c r="AT120" i="16"/>
  <c r="AX120" i="16"/>
  <c r="BB120" i="16"/>
  <c r="BF120" i="16"/>
  <c r="BJ120" i="16"/>
  <c r="BN120" i="16"/>
  <c r="BR120" i="16"/>
  <c r="BV120" i="16"/>
  <c r="BZ120" i="16"/>
  <c r="CD120" i="16"/>
  <c r="CH120" i="16"/>
  <c r="CL120" i="16"/>
  <c r="CP120" i="16"/>
  <c r="CT120" i="16"/>
  <c r="CX120" i="16"/>
  <c r="DB120" i="16"/>
  <c r="DF120" i="16"/>
  <c r="J121" i="16"/>
  <c r="N121" i="16"/>
  <c r="R121" i="16"/>
  <c r="V121" i="16"/>
  <c r="Z121" i="16"/>
  <c r="AD121" i="16"/>
  <c r="AH121" i="16"/>
  <c r="AL121" i="16"/>
  <c r="AP121" i="16"/>
  <c r="AT121" i="16"/>
  <c r="AX121" i="16"/>
  <c r="BB121" i="16"/>
  <c r="BF121" i="16"/>
  <c r="BJ121" i="16"/>
  <c r="BN121" i="16"/>
  <c r="BR121" i="16"/>
  <c r="BV121" i="16"/>
  <c r="BZ121" i="16"/>
  <c r="CD121" i="16"/>
  <c r="CH121" i="16"/>
  <c r="CL121" i="16"/>
  <c r="CP121" i="16"/>
  <c r="CT121" i="16"/>
  <c r="CX121" i="16"/>
  <c r="DB121" i="16"/>
  <c r="DF121" i="16"/>
  <c r="G123" i="16"/>
  <c r="H123" i="16"/>
  <c r="AA123" i="16"/>
  <c r="AB123" i="16"/>
  <c r="AU123" i="16"/>
  <c r="AV123" i="16"/>
  <c r="CI123" i="16"/>
  <c r="CJ123" i="16"/>
  <c r="O3" i="9"/>
  <c r="T4" i="9"/>
  <c r="AJ4" i="9"/>
  <c r="BC3" i="9"/>
  <c r="AW42" i="9"/>
  <c r="I35" i="9"/>
  <c r="L35" i="9"/>
  <c r="P35" i="9"/>
  <c r="S35" i="9"/>
  <c r="W35" i="9"/>
  <c r="Z35" i="9"/>
  <c r="AC35" i="9"/>
  <c r="AW35" i="9"/>
  <c r="AY35" i="9"/>
  <c r="BA35" i="9" s="1"/>
  <c r="BC35" i="9"/>
  <c r="BF35" i="9"/>
  <c r="BI35" i="9"/>
  <c r="P36" i="9"/>
  <c r="S36" i="9"/>
  <c r="W36" i="9"/>
  <c r="Z36" i="9"/>
  <c r="BC47" i="9"/>
  <c r="P37" i="9"/>
  <c r="S37" i="9"/>
  <c r="W37" i="9"/>
  <c r="Z37" i="9"/>
  <c r="P38" i="9"/>
  <c r="S38" i="9"/>
  <c r="W38" i="9"/>
  <c r="Z38" i="9"/>
  <c r="P39" i="9"/>
  <c r="S39" i="9"/>
  <c r="W39" i="9"/>
  <c r="Z39" i="9"/>
  <c r="P40" i="9"/>
  <c r="S40" i="9"/>
  <c r="W40" i="9"/>
  <c r="Z40" i="9"/>
  <c r="AX41" i="9"/>
  <c r="AY42" i="9" s="1"/>
  <c r="BD41" i="9"/>
  <c r="BE41" i="9"/>
  <c r="BG41" i="9"/>
  <c r="BI41" i="9" s="1"/>
  <c r="BH41" i="9"/>
  <c r="G42" i="9"/>
  <c r="H42" i="9"/>
  <c r="H48" i="9" s="1"/>
  <c r="J42" i="9"/>
  <c r="K42" i="9"/>
  <c r="P42" i="9"/>
  <c r="Y42" i="9"/>
  <c r="AJ42" i="9"/>
  <c r="AK42" i="9"/>
  <c r="AL42" i="9"/>
  <c r="AM42" i="9"/>
  <c r="AN42" i="9"/>
  <c r="AO42" i="9"/>
  <c r="BD42" i="9"/>
  <c r="BD48" i="9" s="1"/>
  <c r="BJ42" i="9"/>
  <c r="BJ48" i="9" s="1"/>
  <c r="BK42" i="9"/>
  <c r="BL42" i="9"/>
  <c r="BM42" i="9"/>
  <c r="BN42" i="9"/>
  <c r="BN48" i="9" s="1"/>
  <c r="G44" i="9"/>
  <c r="H44" i="9"/>
  <c r="J44" i="9"/>
  <c r="K44" i="9"/>
  <c r="M44" i="9"/>
  <c r="N44" i="9"/>
  <c r="O44" i="9"/>
  <c r="P44" i="9"/>
  <c r="Q44" i="9"/>
  <c r="R44" i="9"/>
  <c r="T44" i="9"/>
  <c r="U44" i="9"/>
  <c r="V44" i="9"/>
  <c r="X44" i="9"/>
  <c r="Y44" i="9"/>
  <c r="AA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R48" i="9" s="1"/>
  <c r="AR52" i="9" s="1"/>
  <c r="AS44" i="9"/>
  <c r="AS48" i="9" s="1"/>
  <c r="AS52" i="9" s="1"/>
  <c r="AT44" i="9"/>
  <c r="AU44" i="9"/>
  <c r="AV44" i="9"/>
  <c r="AV48" i="9" s="1"/>
  <c r="AW44" i="9"/>
  <c r="AX44" i="9"/>
  <c r="BD44" i="9"/>
  <c r="BE44" i="9"/>
  <c r="BE48" i="9" s="1"/>
  <c r="BG44" i="9"/>
  <c r="BG48" i="9" s="1"/>
  <c r="BH44" i="9"/>
  <c r="BJ44" i="9"/>
  <c r="BK44" i="9"/>
  <c r="BL44" i="9"/>
  <c r="BL48" i="9" s="1"/>
  <c r="BM44" i="9"/>
  <c r="BN44" i="9"/>
  <c r="BA45" i="9"/>
  <c r="G46" i="9"/>
  <c r="H46" i="9"/>
  <c r="J46" i="9"/>
  <c r="K46" i="9"/>
  <c r="M46" i="9"/>
  <c r="M48" i="9" s="1"/>
  <c r="N46" i="9"/>
  <c r="O46" i="9"/>
  <c r="P46" i="9"/>
  <c r="Q46" i="9"/>
  <c r="R46" i="9"/>
  <c r="T46" i="9"/>
  <c r="U46" i="9"/>
  <c r="V46" i="9"/>
  <c r="X46" i="9"/>
  <c r="Y46" i="9"/>
  <c r="AA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P48" i="9" s="1"/>
  <c r="AP52" i="9" s="1"/>
  <c r="AQ46" i="9"/>
  <c r="AR46" i="9"/>
  <c r="AS46" i="9"/>
  <c r="AT46" i="9"/>
  <c r="AU46" i="9"/>
  <c r="AV46" i="9"/>
  <c r="AW46" i="9"/>
  <c r="AX46" i="9"/>
  <c r="AX48" i="9" s="1"/>
  <c r="BD46" i="9"/>
  <c r="BE46" i="9"/>
  <c r="BG46" i="9"/>
  <c r="BH46" i="9"/>
  <c r="BH48" i="9" s="1"/>
  <c r="BJ46" i="9"/>
  <c r="BK46" i="9"/>
  <c r="BL46" i="9"/>
  <c r="BM46" i="9"/>
  <c r="BN46" i="9"/>
  <c r="O48" i="9"/>
  <c r="Q48" i="9"/>
  <c r="AI48" i="9"/>
  <c r="AQ48" i="9"/>
  <c r="AQ52" i="9" s="1"/>
  <c r="AT48" i="9"/>
  <c r="AT52" i="9" s="1"/>
  <c r="AU48" i="9"/>
  <c r="BM48" i="9"/>
  <c r="BA49" i="9"/>
  <c r="H50" i="9"/>
  <c r="J50" i="9"/>
  <c r="N51" i="9"/>
  <c r="J2" i="11"/>
  <c r="E3" i="8"/>
  <c r="E4" i="8" s="1"/>
  <c r="E5" i="8" s="1"/>
  <c r="E6" i="8" s="1"/>
  <c r="E7" i="8" s="1"/>
  <c r="E8" i="8" s="1"/>
  <c r="E9" i="8" s="1"/>
  <c r="E10" i="8" s="1"/>
  <c r="E11" i="8" s="1"/>
  <c r="E12" i="8" s="1"/>
  <c r="E13" i="8" s="1"/>
  <c r="E14" i="8" s="1"/>
  <c r="E15" i="8" s="1"/>
  <c r="E16" i="8" s="1"/>
  <c r="E17" i="8" s="1"/>
  <c r="E18" i="8" s="1"/>
  <c r="E19" i="8" s="1"/>
  <c r="E20" i="8" s="1"/>
  <c r="E21" i="8" s="1"/>
  <c r="E22" i="8" s="1"/>
  <c r="E23" i="8" s="1"/>
  <c r="E24" i="8" s="1"/>
  <c r="E25" i="8" s="1"/>
  <c r="E26" i="8" s="1"/>
  <c r="E27" i="8" s="1"/>
  <c r="E28" i="8" s="1"/>
  <c r="E29" i="8" s="1"/>
  <c r="E30" i="8" s="1"/>
  <c r="E31" i="8" s="1"/>
  <c r="E32" i="8" s="1"/>
  <c r="E33" i="8" s="1"/>
  <c r="E34" i="8" s="1"/>
  <c r="E35" i="8" s="1"/>
  <c r="E36" i="8" s="1"/>
  <c r="E37" i="8" s="1"/>
  <c r="E38" i="8" s="1"/>
  <c r="E39" i="8" s="1"/>
  <c r="E40" i="8" s="1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A16" i="1"/>
  <c r="C41" i="1"/>
  <c r="Y33" i="18" l="1"/>
  <c r="X76" i="18"/>
  <c r="X70" i="18"/>
  <c r="X62" i="18"/>
  <c r="X58" i="18"/>
  <c r="Y50" i="18"/>
  <c r="Y48" i="18"/>
  <c r="X47" i="18"/>
  <c r="X45" i="18"/>
  <c r="Y41" i="18"/>
  <c r="X40" i="18"/>
  <c r="Y37" i="18"/>
  <c r="Y34" i="18"/>
  <c r="Y30" i="18"/>
  <c r="X29" i="18"/>
  <c r="Y27" i="18"/>
  <c r="Y23" i="18"/>
  <c r="Y21" i="18"/>
  <c r="X20" i="18"/>
  <c r="Y17" i="18"/>
  <c r="X16" i="18"/>
  <c r="Y13" i="18"/>
  <c r="X12" i="18"/>
  <c r="X10" i="18"/>
  <c r="X78" i="18"/>
  <c r="Y65" i="18"/>
  <c r="Y62" i="18"/>
  <c r="X59" i="18"/>
  <c r="Y58" i="18"/>
  <c r="X55" i="18"/>
  <c r="Y53" i="18"/>
  <c r="X46" i="18"/>
  <c r="Y42" i="18"/>
  <c r="X41" i="18"/>
  <c r="Y38" i="18"/>
  <c r="X37" i="18"/>
  <c r="Y36" i="18"/>
  <c r="Y35" i="18"/>
  <c r="X34" i="18"/>
  <c r="X30" i="18"/>
  <c r="X23" i="18"/>
  <c r="Y9" i="18"/>
  <c r="Y8" i="18"/>
  <c r="X6" i="18"/>
  <c r="Y82" i="18"/>
  <c r="X79" i="18"/>
  <c r="Y77" i="18"/>
  <c r="X71" i="18"/>
  <c r="Y69" i="18"/>
  <c r="X63" i="18"/>
  <c r="X51" i="18"/>
  <c r="Y49" i="18"/>
  <c r="X48" i="18"/>
  <c r="X35" i="18"/>
  <c r="X27" i="18"/>
  <c r="X11" i="18"/>
  <c r="Y6" i="18"/>
  <c r="X77" i="18"/>
  <c r="Y75" i="18"/>
  <c r="X69" i="18"/>
  <c r="Y67" i="18"/>
  <c r="Y61" i="18"/>
  <c r="Y59" i="18"/>
  <c r="Y57" i="18"/>
  <c r="Y55" i="18"/>
  <c r="X49" i="18"/>
  <c r="Y46" i="18"/>
  <c r="Y45" i="18"/>
  <c r="Y32" i="18"/>
  <c r="Y31" i="18"/>
  <c r="X28" i="18"/>
  <c r="Y25" i="18"/>
  <c r="X21" i="18"/>
  <c r="Y18" i="18"/>
  <c r="X17" i="18"/>
  <c r="Y14" i="18"/>
  <c r="X13" i="18"/>
  <c r="X4" i="18"/>
  <c r="X18" i="18"/>
  <c r="Y15" i="18"/>
  <c r="X14" i="18"/>
  <c r="Y4" i="18"/>
  <c r="BK48" i="9"/>
  <c r="G48" i="9"/>
  <c r="AX56" i="9"/>
  <c r="AX52" i="9"/>
  <c r="AO48" i="9"/>
  <c r="AN48" i="9"/>
  <c r="J48" i="9"/>
  <c r="AW48" i="9"/>
  <c r="AT57" i="9"/>
  <c r="K48" i="9"/>
  <c r="J82" i="18"/>
  <c r="T82" i="18"/>
  <c r="X82" i="18" s="1"/>
  <c r="BA21" i="19"/>
  <c r="T36" i="18"/>
  <c r="X36" i="18" s="1"/>
  <c r="E98" i="19"/>
  <c r="E104" i="19" s="1"/>
  <c r="I97" i="19"/>
  <c r="I103" i="19" s="1"/>
  <c r="E97" i="19"/>
  <c r="E103" i="19" s="1"/>
  <c r="BA51" i="19"/>
  <c r="T54" i="18"/>
  <c r="X54" i="18" s="1"/>
  <c r="BA13" i="19"/>
  <c r="T44" i="18"/>
  <c r="X44" i="18" s="1"/>
  <c r="T33" i="18"/>
  <c r="X33" i="18" s="1"/>
  <c r="BA50" i="19"/>
  <c r="T3" i="18"/>
  <c r="X3" i="18" s="1"/>
</calcChain>
</file>

<file path=xl/comments1.xml><?xml version="1.0" encoding="utf-8"?>
<comments xmlns="http://schemas.openxmlformats.org/spreadsheetml/2006/main">
  <authors>
    <author>Князев Александр Сергеевич</author>
  </authors>
  <commentList>
    <comment ref="W33" authorId="0" shapeId="0">
      <text>
        <r>
          <rPr>
            <b/>
            <sz val="8"/>
            <color indexed="81"/>
            <rFont val="Tahoma"/>
            <family val="2"/>
            <charset val="204"/>
          </rPr>
          <t>8617-89</t>
        </r>
      </text>
    </comment>
    <comment ref="W35" authorId="0" shapeId="0">
      <text>
        <r>
          <rPr>
            <b/>
            <sz val="8"/>
            <color indexed="81"/>
            <rFont val="Tahoma"/>
            <family val="2"/>
            <charset val="204"/>
          </rPr>
          <t>5912-03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<sst xmlns="http://schemas.openxmlformats.org/spreadsheetml/2006/main" count="10485" uniqueCount="4811">
  <si>
    <t>0729-69</t>
  </si>
  <si>
    <t>491631</t>
  </si>
  <si>
    <t>4917</t>
  </si>
  <si>
    <t>491637</t>
  </si>
  <si>
    <t>4923</t>
  </si>
  <si>
    <t>491638</t>
  </si>
  <si>
    <t>4924</t>
  </si>
  <si>
    <t>491640</t>
  </si>
  <si>
    <t>Ошибка погашено просрочки</t>
  </si>
  <si>
    <t>LADA-2105**</t>
  </si>
  <si>
    <t>LADA-2107**</t>
  </si>
  <si>
    <t>X7D</t>
  </si>
  <si>
    <t>Z7Z</t>
  </si>
  <si>
    <t>LADA-2111**</t>
  </si>
  <si>
    <t>LADA-2112**</t>
  </si>
  <si>
    <t>LADA-2113**</t>
  </si>
  <si>
    <t>вал</t>
  </si>
  <si>
    <t>руб</t>
  </si>
  <si>
    <t>итого жилищные</t>
  </si>
  <si>
    <t>итого ипотечные</t>
  </si>
  <si>
    <t>7-11 жилищные</t>
  </si>
  <si>
    <t>7-11 ипотечные</t>
  </si>
  <si>
    <t>БАШКИРСКАЯ АССР</t>
  </si>
  <si>
    <t>6909</t>
  </si>
  <si>
    <t>4107</t>
  </si>
  <si>
    <t>Жилищные</t>
  </si>
  <si>
    <t>Оверы</t>
  </si>
  <si>
    <t>Прочие</t>
  </si>
  <si>
    <t>Портфельная просрочка до 30 дней</t>
  </si>
  <si>
    <t>6269</t>
  </si>
  <si>
    <t>РЕСПУБЛИКА КАЛМЫКИЯ</t>
  </si>
  <si>
    <t>РАЙОНЫ РЕСПУБЛИКИ СЕВЕРНАЯ ОСЕТИЯ-АЛАНИЯ</t>
  </si>
  <si>
    <t>ПСКОВСКАЯ ОБЛАСТЬ</t>
  </si>
  <si>
    <t>ПРИМОРСКИЙ КРАЙ</t>
  </si>
  <si>
    <t>ПЕЧОРА</t>
  </si>
  <si>
    <t>ПЕРМСКИЙ КРАЙ</t>
  </si>
  <si>
    <t>ПЕРМСКИЙ</t>
  </si>
  <si>
    <t>ПЕРМСКАЯ</t>
  </si>
  <si>
    <t>ПЕНЗЕНСКАЯ ОБЛАСТЬ</t>
  </si>
  <si>
    <t>ОРЛОВСКАЯ ОБЛАСТЬ</t>
  </si>
  <si>
    <t>ОРЕНБУРГСКАЯ ОБЛАСТЬ</t>
  </si>
  <si>
    <t>ОМСКАЯ ОБЛАСТЬ</t>
  </si>
  <si>
    <t>ОДЕССКАЯ</t>
  </si>
  <si>
    <t>НОВОСИБИРСКАЯ ОБЛАСТЬ</t>
  </si>
  <si>
    <t>71</t>
  </si>
  <si>
    <t>79</t>
  </si>
  <si>
    <t>80</t>
  </si>
  <si>
    <t>72</t>
  </si>
  <si>
    <t>86</t>
  </si>
  <si>
    <t>75</t>
  </si>
  <si>
    <t>29</t>
  </si>
  <si>
    <t>77</t>
  </si>
  <si>
    <t>57</t>
  </si>
  <si>
    <t>38</t>
  </si>
  <si>
    <t>87</t>
  </si>
  <si>
    <t>62</t>
  </si>
  <si>
    <t>70</t>
  </si>
  <si>
    <t>63</t>
  </si>
  <si>
    <t>45515810128190001001</t>
  </si>
  <si>
    <t>45515810428190001002</t>
  </si>
  <si>
    <t>45515810728190001003</t>
  </si>
  <si>
    <t>45515810028190001004</t>
  </si>
  <si>
    <t>45515810628190001006</t>
  </si>
  <si>
    <t>45515810449230000714</t>
  </si>
  <si>
    <t>45515810528140021000</t>
  </si>
  <si>
    <t>45515810428150000001</t>
  </si>
  <si>
    <t>491623</t>
  </si>
  <si>
    <t>491629</t>
  </si>
  <si>
    <t>4915</t>
  </si>
  <si>
    <t>1640-47</t>
  </si>
  <si>
    <t>Калужская область</t>
  </si>
  <si>
    <t>Камчатская область</t>
  </si>
  <si>
    <t>Кировская область</t>
  </si>
  <si>
    <t>43</t>
  </si>
  <si>
    <t>Республика Коми</t>
  </si>
  <si>
    <t>Краснодарский край</t>
  </si>
  <si>
    <t>Красноярский край</t>
  </si>
  <si>
    <t>Курганская область</t>
  </si>
  <si>
    <t>Курская область</t>
  </si>
  <si>
    <t>Нижегородская область</t>
  </si>
  <si>
    <t>Омская область</t>
  </si>
  <si>
    <t>05</t>
  </si>
  <si>
    <t>Республика Адыгея</t>
  </si>
  <si>
    <t>45515810849090000143</t>
  </si>
  <si>
    <t>45515810268000059033</t>
  </si>
  <si>
    <t>45515810568000059034</t>
  </si>
  <si>
    <t>45515810849090000091</t>
  </si>
  <si>
    <t>45515810649090000110</t>
  </si>
  <si>
    <t>45515810749090000120</t>
  </si>
  <si>
    <t>45515810049090000121</t>
  </si>
  <si>
    <t>45515810349090000122</t>
  </si>
  <si>
    <t>45515810649090000123</t>
  </si>
  <si>
    <t>8618-63</t>
  </si>
  <si>
    <t>НЕНЕЦКИЙ АВТОНОМНЫЙ ОКРУГ (АРХАНГЕЛЬСКАЯ ОБЛАСТЬ)</t>
  </si>
  <si>
    <t>МУРМАНСКАЯ ОБЛАСТЬ</t>
  </si>
  <si>
    <t>МОСКОВСКАЯ ОБЛАСТЬ</t>
  </si>
  <si>
    <t>МИНСКАЯ ОБЛАСТЬ</t>
  </si>
  <si>
    <t>МАРИЙСКАЯ АССР</t>
  </si>
  <si>
    <t>МАГАДАНСКАЯ ОБЛАСТЬ</t>
  </si>
  <si>
    <t>ЛЬВОВСКИЙ</t>
  </si>
  <si>
    <t>ЛЬВОВСКАЯ ОБЛАСТЬ</t>
  </si>
  <si>
    <t>ЛЕНИНГРАДСКАЯ ОБЛАСТЬ</t>
  </si>
  <si>
    <t>Коми -Пермяцкий автономный окр</t>
  </si>
  <si>
    <t>КУРСКАЯ ОБЛАСТЬ</t>
  </si>
  <si>
    <t>КУРГАНСКАЯ ОБЛАСТЬ</t>
  </si>
  <si>
    <t>КРАСНОЯРСКИЙ КРАЙ</t>
  </si>
  <si>
    <t>КРАСНОДАРСКИЙ КРАЙ</t>
  </si>
  <si>
    <t>КОТОВСКИЙ</t>
  </si>
  <si>
    <t>Ост с/з вал ПОД КРПУ</t>
  </si>
  <si>
    <t xml:space="preserve">Ост с/з вал ПОД RVPS </t>
  </si>
  <si>
    <t>Ост с/з руб ПОД RVPS</t>
  </si>
  <si>
    <t>55</t>
  </si>
  <si>
    <t>47427 баланс</t>
  </si>
  <si>
    <t>Ошибка 47427 на ОД</t>
  </si>
  <si>
    <t>459 баланс</t>
  </si>
  <si>
    <t>Ипотека</t>
  </si>
  <si>
    <t>Задолженность по портфелям КРПУ</t>
  </si>
  <si>
    <t>Задолженность по портфелям е/д резерва</t>
  </si>
  <si>
    <t>Безнадежная</t>
  </si>
  <si>
    <t>КФ Доверительный кредит-аннуитет</t>
  </si>
  <si>
    <t>1637</t>
  </si>
  <si>
    <t>1638</t>
  </si>
  <si>
    <t>1640</t>
  </si>
  <si>
    <t>КРПУ на начало года</t>
  </si>
  <si>
    <t>45515810128000090283</t>
  </si>
  <si>
    <t>45515810668000061605</t>
  </si>
  <si>
    <t>45515810468000061973</t>
  </si>
  <si>
    <t>45515810149270000249</t>
  </si>
  <si>
    <t>45515810349270000269</t>
  </si>
  <si>
    <t>Самарская область</t>
  </si>
  <si>
    <t>Саратовская область</t>
  </si>
  <si>
    <t>Сахалинская область</t>
  </si>
  <si>
    <t>8617-56-03</t>
  </si>
  <si>
    <t>8617-02-69-05</t>
  </si>
  <si>
    <t>8618-13-04</t>
  </si>
  <si>
    <t>8618-24-03</t>
  </si>
  <si>
    <t>8618-39-03</t>
  </si>
  <si>
    <t>8618-098-03</t>
  </si>
  <si>
    <t>8618-60-04</t>
  </si>
  <si>
    <t>45515810028000090150</t>
  </si>
  <si>
    <t>45515810328000090151</t>
  </si>
  <si>
    <t>45515810128000090157</t>
  </si>
  <si>
    <t>ТАМБОВСКАЯ ОБЛАСТЬ</t>
  </si>
  <si>
    <t>Создано автоматически</t>
  </si>
  <si>
    <t>СТАВРОПОЛЬСКИЙ КРАЙ</t>
  </si>
  <si>
    <t>СМОЛЕНСКАЯ ОБЛАСТЬ</t>
  </si>
  <si>
    <t>СЕЛЬСКИЕ НАСЕЛЕННЫЕ ПУНКТЫ, ПОДЧИНЕННЫЕ АДМИНИСТРАЦИИ Г ТАРКО-САЛЕ</t>
  </si>
  <si>
    <t>СЕЛЬСКИЕ НАСЕЛЕННЫЕ ПУНКТЫ ГОРСКОЙ ВОЛОСТИ</t>
  </si>
  <si>
    <t>СЕЛЬСКИЕ НАСЕЛЕННЫЕ ПУНКТЫ АДМИНИСТРАТИВНОЙ ТЕРРИТОРИИ С КУРАТОВО</t>
  </si>
  <si>
    <t>СЕЛТИНСКИЙ</t>
  </si>
  <si>
    <t>СВЕРДЛОВСКАЯ ОБЛАСТЬ</t>
  </si>
  <si>
    <t>САХАЛИНСКАЯ ОБЛАСТЬ</t>
  </si>
  <si>
    <t>САРАТОВСКАЯ ОБЛАСТЬ</t>
  </si>
  <si>
    <t>САРАПУЛЬСКИЙ</t>
  </si>
  <si>
    <t>САМАРСКАЯ ОБЛАСТЬ</t>
  </si>
  <si>
    <t>РЯЗАНСКАЯ ОБЛАСТЬ</t>
  </si>
  <si>
    <t>РОСТОВСКАЯ ОБЛАСТЬ</t>
  </si>
  <si>
    <t>РЕСПУБЛИКА ХАКАСИЯ</t>
  </si>
  <si>
    <t>РЕСПУБЛИКА ТЫВА</t>
  </si>
  <si>
    <t>РЕСПУБЛИКА ТАТАРСТАН (ТАТАРСТАН)</t>
  </si>
  <si>
    <t>РЕСПУБЛИКА СЕВЕРНАЯ ОСЕТИЯ- АЛАНИЯ</t>
  </si>
  <si>
    <t>РЕСПУБЛИКА САХА (ЯКУТИЯ)</t>
  </si>
  <si>
    <t>РЕСПУБЛИКА МОРДОВИЯ</t>
  </si>
  <si>
    <t>Ост прос вал ПОД  RVPS</t>
  </si>
  <si>
    <t>Каталог 7-11</t>
  </si>
  <si>
    <t>26</t>
  </si>
  <si>
    <t>33</t>
  </si>
  <si>
    <t>1663</t>
  </si>
  <si>
    <t>4465</t>
  </si>
  <si>
    <t>4482</t>
  </si>
  <si>
    <t>8617</t>
  </si>
  <si>
    <t>7729</t>
  </si>
  <si>
    <t>Подразделение</t>
  </si>
  <si>
    <t>Филиал</t>
  </si>
  <si>
    <t>Автокредит</t>
  </si>
  <si>
    <t>47427.01 баланс</t>
  </si>
  <si>
    <t>45515810049180000044</t>
  </si>
  <si>
    <t>45515810149180000054</t>
  </si>
  <si>
    <t>45515810449180000055</t>
  </si>
  <si>
    <t>45515810749180000056</t>
  </si>
  <si>
    <t>Каталог KRVS</t>
  </si>
  <si>
    <t>Z8T</t>
  </si>
  <si>
    <t>PEUGEOT 308</t>
  </si>
  <si>
    <t>Очищать поля резервов при исправлении КРПУ</t>
  </si>
  <si>
    <t>1668-00-74</t>
  </si>
  <si>
    <t>6269-1-019</t>
  </si>
  <si>
    <t>91317 крпу</t>
  </si>
  <si>
    <t>91317 баланс</t>
  </si>
  <si>
    <t>Ошибка 91317 на ОД</t>
  </si>
  <si>
    <t>45515810328190005001</t>
  </si>
  <si>
    <t>45515810628190005002</t>
  </si>
  <si>
    <t>45515810928190005003</t>
  </si>
  <si>
    <t>45515810749540000065</t>
  </si>
  <si>
    <t>45515810349540000070</t>
  </si>
  <si>
    <t>45515810849540000075</t>
  </si>
  <si>
    <t>45515810249510010116</t>
  </si>
  <si>
    <t>45515810549510010117</t>
  </si>
  <si>
    <t>45515810849510010118</t>
  </si>
  <si>
    <t>45515810528000090090</t>
  </si>
  <si>
    <t>45515810828000090091</t>
  </si>
  <si>
    <t>ЧУКОТСКИЙ АВТОНОМНЫЙ ОКРУГ</t>
  </si>
  <si>
    <t>ХАНТЫ-МАНСИЙСКИЙ АВТОНОМНЫЙ ОКРУГ (ТЮМЕНСКАЯ ОБЛАСТЬ)</t>
  </si>
  <si>
    <t>PK_G</t>
  </si>
  <si>
    <t>Komi_G</t>
  </si>
  <si>
    <t>Udm_G</t>
  </si>
  <si>
    <t>PK_I</t>
  </si>
  <si>
    <t>Komi_I</t>
  </si>
  <si>
    <t>Udm_I</t>
  </si>
  <si>
    <t>ST</t>
  </si>
  <si>
    <t>SR</t>
  </si>
  <si>
    <t>Ханты-Мансийский А.О.</t>
  </si>
  <si>
    <t>71100</t>
  </si>
  <si>
    <t>xx</t>
  </si>
  <si>
    <t>Каталог 7-24 ПОД</t>
  </si>
  <si>
    <t>45515810849140000048</t>
  </si>
  <si>
    <t>45515810149140000049</t>
  </si>
  <si>
    <t>45515810549140000050</t>
  </si>
  <si>
    <t>45515810049150000171</t>
  </si>
  <si>
    <t>45515810528160021019</t>
  </si>
  <si>
    <t>Ост прос руб ПОД  RVPS</t>
  </si>
  <si>
    <t>31-60</t>
  </si>
  <si>
    <t>61-90</t>
  </si>
  <si>
    <t>91-180</t>
  </si>
  <si>
    <t>&gt; 180</t>
  </si>
  <si>
    <t>Жилье</t>
  </si>
  <si>
    <t>КРПУ</t>
  </si>
  <si>
    <t>Ежедневный</t>
  </si>
  <si>
    <t>RVPS</t>
  </si>
  <si>
    <t>pR</t>
  </si>
  <si>
    <t>pRP</t>
  </si>
  <si>
    <t>pV</t>
  </si>
  <si>
    <t>pVP</t>
  </si>
  <si>
    <t>pR_N</t>
  </si>
  <si>
    <t>pRP_N</t>
  </si>
  <si>
    <t>pV_N</t>
  </si>
  <si>
    <t>pVP_N</t>
  </si>
  <si>
    <t>osh</t>
  </si>
  <si>
    <t>№ отд</t>
  </si>
  <si>
    <t>Месяц</t>
  </si>
  <si>
    <t>Каталог</t>
  </si>
  <si>
    <t>45515810649090000152</t>
  </si>
  <si>
    <t>45515810828000090266</t>
  </si>
  <si>
    <t>8618-57-03</t>
  </si>
  <si>
    <t>NEW Реструктурированные/рефинансированные  ссуды физических лиц</t>
  </si>
  <si>
    <t>20</t>
  </si>
  <si>
    <t>new КФ Потребительский кредит</t>
  </si>
  <si>
    <t>КФ Кредит на неотложные нужды-аннуитет (без обеспечения)</t>
  </si>
  <si>
    <t>1629-00-54</t>
  </si>
  <si>
    <t>4929-19-13-04</t>
  </si>
  <si>
    <t>45515810649100000071</t>
  </si>
  <si>
    <t>45515810828140090294</t>
  </si>
  <si>
    <t>разница жилищные</t>
  </si>
  <si>
    <t>разница ипотечные</t>
  </si>
  <si>
    <t>45515810628140014001</t>
  </si>
  <si>
    <t>45515810928140014002</t>
  </si>
  <si>
    <t>45515810228140016001</t>
  </si>
  <si>
    <t>8405-05</t>
  </si>
  <si>
    <t>45515810749420000033</t>
  </si>
  <si>
    <t>ТОМСКАЯ ОБЛАСТЬ</t>
  </si>
  <si>
    <t>45515810449520000000</t>
  </si>
  <si>
    <t>45515810749520000001</t>
  </si>
  <si>
    <t>45515810649520000020</t>
  </si>
  <si>
    <t>45515810049520000057</t>
  </si>
  <si>
    <t>Воркутинское ОСБ</t>
  </si>
  <si>
    <t>46</t>
  </si>
  <si>
    <t>Интинское ОСБ</t>
  </si>
  <si>
    <t>60</t>
  </si>
  <si>
    <t>Коми  ОСБ</t>
  </si>
  <si>
    <t>61</t>
  </si>
  <si>
    <t>45818810528190101004</t>
  </si>
  <si>
    <t>45818810749000102003</t>
  </si>
  <si>
    <t>45515810168000000001</t>
  </si>
  <si>
    <t>45515810468000000002</t>
  </si>
  <si>
    <t>45515810668000000006</t>
  </si>
  <si>
    <t>45515810868000062433</t>
  </si>
  <si>
    <t>45515810368000062483</t>
  </si>
  <si>
    <t>45515810968000062540</t>
  </si>
  <si>
    <t>Наименование подразделения</t>
  </si>
  <si>
    <t>Баланс с/з на ОД</t>
  </si>
  <si>
    <t>Ост р-ва РВПС на ПОД</t>
  </si>
  <si>
    <t>Баланс р-ва на ПОД</t>
  </si>
  <si>
    <t>Ошибка р-ва на ПОД</t>
  </si>
  <si>
    <t>Ост р-ва РВПС на ОД</t>
  </si>
  <si>
    <t>Баланс р-ва на ОД</t>
  </si>
  <si>
    <t>Ошибка р-ва на ОД</t>
  </si>
  <si>
    <t>Увел р-ва РВПС</t>
  </si>
  <si>
    <t>8618-84</t>
  </si>
  <si>
    <t>ЯРОСЛАВСКАЯ ОБЛАСТЬ</t>
  </si>
  <si>
    <t>ЯМАЛО-НЕНЕЦКИЙ АВТОНОМНЫЙ ОКРУГ (ТЮМЕНСКАЯ ОБЛАСТЬ)</t>
  </si>
  <si>
    <t>ЮКАМЕНСКИЙ</t>
  </si>
  <si>
    <t>ШАРКАНСКИЙ</t>
  </si>
  <si>
    <t>ЧУВАШСКАЯ РЕСПУБЛИКА-ЧУВАШИЯ</t>
  </si>
  <si>
    <t>45515810628000090149</t>
  </si>
  <si>
    <t>45515810949540000085</t>
  </si>
  <si>
    <t>45515810249540000086</t>
  </si>
  <si>
    <t>45515810549540000087</t>
  </si>
  <si>
    <t>45515810368210002000</t>
  </si>
  <si>
    <t>45515810668210003000</t>
  </si>
  <si>
    <t>Безнадежная задолженность</t>
  </si>
  <si>
    <t>6131-03</t>
  </si>
  <si>
    <t>45515810949510000002</t>
  </si>
  <si>
    <t>45515810449510000007</t>
  </si>
  <si>
    <t>45515810749510000008</t>
  </si>
  <si>
    <t>45515810049510000012</t>
  </si>
  <si>
    <t>45515810349510000013</t>
  </si>
  <si>
    <t>45515810749510000118</t>
  </si>
  <si>
    <t>45515810249520000006</t>
  </si>
  <si>
    <t>45515810849520000037</t>
  </si>
  <si>
    <t>45515810028100090364</t>
  </si>
  <si>
    <t>45515810428140090393</t>
  </si>
  <si>
    <t>45515810128150090366</t>
  </si>
  <si>
    <t>45515810928160090352</t>
  </si>
  <si>
    <t>45515810928160090381</t>
  </si>
  <si>
    <t>45515810228160090382</t>
  </si>
  <si>
    <t>45515810028000000001</t>
  </si>
  <si>
    <t>45515810228000000005</t>
  </si>
  <si>
    <t>45515810128000000011</t>
  </si>
  <si>
    <t>45515810328000090313</t>
  </si>
  <si>
    <t>45515810028000090370</t>
  </si>
  <si>
    <t>45515810928000090373</t>
  </si>
  <si>
    <t>45515810728000090405</t>
  </si>
  <si>
    <t>Плановые гашения</t>
  </si>
  <si>
    <t xml:space="preserve">Оборотно-сальдовую ведомость с ваютным эквивалентом по счетам 4550, 457, 45815, 45817, 47427, 45915, 91604, </t>
  </si>
  <si>
    <t>45515810849370100035</t>
  </si>
  <si>
    <t>45515810949370100045</t>
  </si>
  <si>
    <t>45515810249370100046</t>
  </si>
  <si>
    <t>45515810549370100047</t>
  </si>
  <si>
    <t>45515810849370100048</t>
  </si>
  <si>
    <t>45515810749420000101</t>
  </si>
  <si>
    <t>45515810649420000104</t>
  </si>
  <si>
    <t>45515810949420000105</t>
  </si>
  <si>
    <t>УСТЬ-КУЛОМСКИЙ</t>
  </si>
  <si>
    <t>УЛЬЯНОВСКАЯ ОБЛАСТЬ</t>
  </si>
  <si>
    <t>УДМУРТСКАЯ РЕСПУБЛИКА</t>
  </si>
  <si>
    <t>УДМУРТСКАЯ АССР</t>
  </si>
  <si>
    <t>УВИНСКИЙ</t>
  </si>
  <si>
    <t>ТЮМЕНСКАЯ ОБЛАСТЬ</t>
  </si>
  <si>
    <t>ТУЛЬСКАЯ ОБЛАСТЬ</t>
  </si>
  <si>
    <t>Ошибка в Увел р-ва</t>
  </si>
  <si>
    <t>Умен р-ва РВПС</t>
  </si>
  <si>
    <t>8617-126-03</t>
  </si>
  <si>
    <t>8617-111</t>
  </si>
  <si>
    <t>45515810728000011002</t>
  </si>
  <si>
    <t>45515810328000014001</t>
  </si>
  <si>
    <t>45515810628000014002</t>
  </si>
  <si>
    <t>45515810928000014003</t>
  </si>
  <si>
    <t>45515810568090000213</t>
  </si>
  <si>
    <t>45515810168090000215</t>
  </si>
  <si>
    <t>45515810468090000216</t>
  </si>
  <si>
    <t>Погашено просрочки КРПУ</t>
  </si>
  <si>
    <t>Погашено просрочки баланс</t>
  </si>
  <si>
    <t>45515810828000090017</t>
  </si>
  <si>
    <t>45515810328000090180</t>
  </si>
  <si>
    <t>45515810628000090181</t>
  </si>
  <si>
    <t>45515810828000090185</t>
  </si>
  <si>
    <t>Проверка 459.15</t>
  </si>
  <si>
    <t>Остатки 47425.18 по Балансу</t>
  </si>
  <si>
    <t>Остатки 47425.18 в КРПУ</t>
  </si>
  <si>
    <t>Проверка 47425.18</t>
  </si>
  <si>
    <t>Резерв с/з</t>
  </si>
  <si>
    <t>45515810249470017000</t>
  </si>
  <si>
    <t>45515810549470018000</t>
  </si>
  <si>
    <t>45515810149160000223</t>
  </si>
  <si>
    <t>45515810449160000224</t>
  </si>
  <si>
    <t>45515810749160000225</t>
  </si>
  <si>
    <t>45515810049160000226</t>
  </si>
  <si>
    <t>45515810349160000230</t>
  </si>
  <si>
    <t>45515810628000090071</t>
  </si>
  <si>
    <t>45515810528140017001</t>
  </si>
  <si>
    <t>45515810828140018001</t>
  </si>
  <si>
    <t>45515810128140019001</t>
  </si>
  <si>
    <t>45515810549520000065</t>
  </si>
  <si>
    <t>45515810049520000073</t>
  </si>
  <si>
    <t>45515810349520000074</t>
  </si>
  <si>
    <t>45515810649520000075</t>
  </si>
  <si>
    <t>45515810949520000076</t>
  </si>
  <si>
    <t>Ошибка в Умен р-ва</t>
  </si>
  <si>
    <t>0049</t>
  </si>
  <si>
    <t>00</t>
  </si>
  <si>
    <t>Аппарат ТБ</t>
  </si>
  <si>
    <t>001</t>
  </si>
  <si>
    <t>Березниковское</t>
  </si>
  <si>
    <t>0022</t>
  </si>
  <si>
    <t>09</t>
  </si>
  <si>
    <t>Ленинское</t>
  </si>
  <si>
    <t>04</t>
  </si>
  <si>
    <t>10</t>
  </si>
  <si>
    <t>Верещагинское</t>
  </si>
  <si>
    <t>14</t>
  </si>
  <si>
    <t xml:space="preserve">Коми-Пермяцкое </t>
  </si>
  <si>
    <t>15</t>
  </si>
  <si>
    <t>Чусовское</t>
  </si>
  <si>
    <t>16</t>
  </si>
  <si>
    <t>Соликамское</t>
  </si>
  <si>
    <t>17</t>
  </si>
  <si>
    <t>Нытвенское</t>
  </si>
  <si>
    <t>18</t>
  </si>
  <si>
    <t>Очерское</t>
  </si>
  <si>
    <t>23</t>
  </si>
  <si>
    <t>Лысьвенское</t>
  </si>
  <si>
    <t>24</t>
  </si>
  <si>
    <t>Кунгурское</t>
  </si>
  <si>
    <t>06</t>
  </si>
  <si>
    <t>27</t>
  </si>
  <si>
    <t>Добрянское</t>
  </si>
  <si>
    <t>37</t>
  </si>
  <si>
    <t>Осинское</t>
  </si>
  <si>
    <t>42</t>
  </si>
  <si>
    <t>Чернушинское</t>
  </si>
  <si>
    <t>47</t>
  </si>
  <si>
    <t>Чайковское</t>
  </si>
  <si>
    <t>49</t>
  </si>
  <si>
    <t>Дзержинское</t>
  </si>
  <si>
    <t>50</t>
  </si>
  <si>
    <t>Мотовилихинское</t>
  </si>
  <si>
    <t>51</t>
  </si>
  <si>
    <t>№ п/п</t>
  </si>
  <si>
    <t>Модель автомобиля</t>
  </si>
  <si>
    <t>45515810368160001041</t>
  </si>
  <si>
    <t>Каталог INFL</t>
  </si>
  <si>
    <t>Остаток с/з</t>
  </si>
  <si>
    <t>Ошибка с/з</t>
  </si>
  <si>
    <t>Ошибка просрочки</t>
  </si>
  <si>
    <t>Кредитные карты</t>
  </si>
  <si>
    <t>Свердловская область</t>
  </si>
  <si>
    <t>Ставропольский край</t>
  </si>
  <si>
    <t>Тамбовская область</t>
  </si>
  <si>
    <t>Томская область</t>
  </si>
  <si>
    <t>1623-45</t>
  </si>
  <si>
    <t>1623-27</t>
  </si>
  <si>
    <t>Личное подсобное хозяйство</t>
  </si>
  <si>
    <t>Пенсионный кредит</t>
  </si>
  <si>
    <t>Fiat Doblo**</t>
  </si>
  <si>
    <t>Fiat Ducato**</t>
  </si>
  <si>
    <t>Z7G</t>
  </si>
  <si>
    <t>Ford Focus</t>
  </si>
  <si>
    <t>X9F</t>
  </si>
  <si>
    <t>Kia Spectra</t>
  </si>
  <si>
    <t>XWK</t>
  </si>
  <si>
    <t>LADA-1117**</t>
  </si>
  <si>
    <t>XTA</t>
  </si>
  <si>
    <t>45515810768090000217</t>
  </si>
  <si>
    <t>45515810068090000218</t>
  </si>
  <si>
    <t>45515810768090000220</t>
  </si>
  <si>
    <t>45515810368140060497</t>
  </si>
  <si>
    <t>45515810868140060502</t>
  </si>
  <si>
    <t>45515810368140060507</t>
  </si>
  <si>
    <t>45515810968140060512</t>
  </si>
  <si>
    <t>45515810068140060522</t>
  </si>
  <si>
    <t>45515810368140060523</t>
  </si>
  <si>
    <t>по кредитам в российских рублях</t>
  </si>
  <si>
    <t>по кредитам в иностранной валюте и драг. металлах</t>
  </si>
  <si>
    <t>РАЙОНЫ ПЕРМСКОГО КРАЯ</t>
  </si>
  <si>
    <t>КУЕДИНСКИЙ</t>
  </si>
  <si>
    <t>8405</t>
  </si>
  <si>
    <t>1623</t>
  </si>
  <si>
    <t>1629</t>
  </si>
  <si>
    <t>4929</t>
  </si>
  <si>
    <t>1631</t>
  </si>
  <si>
    <t>6131</t>
  </si>
  <si>
    <t>Обесцененные</t>
  </si>
  <si>
    <t>Проверка</t>
  </si>
  <si>
    <t>Остатки резерва в ежедневных файлах ПОД</t>
  </si>
  <si>
    <t>Каталог с е/д резервом ПОД</t>
  </si>
  <si>
    <t>45515810068160006045</t>
  </si>
  <si>
    <t>45515810968160006145</t>
  </si>
  <si>
    <t>45515810868160006245</t>
  </si>
  <si>
    <t>C:\Documents and Settings\Knyazev.Aleksan\Мои документы\ОТЧЕТЫ\RVPS\krpu</t>
  </si>
  <si>
    <t>№ Отчета</t>
  </si>
  <si>
    <t>№ ОСБ</t>
  </si>
  <si>
    <t>№ отделения в Бик IBSO</t>
  </si>
  <si>
    <t>45515810749500000034</t>
  </si>
  <si>
    <t>45515810249500000550</t>
  </si>
  <si>
    <t>45515810668000059060</t>
  </si>
  <si>
    <t>45515810868000060493</t>
  </si>
  <si>
    <t>45515810168000060494</t>
  </si>
  <si>
    <t>45515810349540000012</t>
  </si>
  <si>
    <t>45515810749540000023</t>
  </si>
  <si>
    <t>45515810649540000042</t>
  </si>
  <si>
    <t>45.  </t>
  </si>
  <si>
    <t>46.  </t>
  </si>
  <si>
    <t>47.  </t>
  </si>
  <si>
    <t>48.  </t>
  </si>
  <si>
    <t>49.  </t>
  </si>
  <si>
    <t>50.  </t>
  </si>
  <si>
    <t>Каталог с отчетом</t>
  </si>
  <si>
    <t>X96</t>
  </si>
  <si>
    <t>45515810749240000051</t>
  </si>
  <si>
    <t>45515810049240000052</t>
  </si>
  <si>
    <t>45515810149270000032</t>
  </si>
  <si>
    <t>45515810649270000082</t>
  </si>
  <si>
    <t>45515810249270000097</t>
  </si>
  <si>
    <t>45515810349270000117</t>
  </si>
  <si>
    <t>45515810849270000138</t>
  </si>
  <si>
    <t>4465-13-04</t>
  </si>
  <si>
    <t>8617-79</t>
  </si>
  <si>
    <t>6984-24</t>
  </si>
  <si>
    <t>Ипотечный кредит</t>
  </si>
  <si>
    <t>45515810249240000043</t>
  </si>
  <si>
    <t>45515810849240000045</t>
  </si>
  <si>
    <t>45515810249270000178</t>
  </si>
  <si>
    <t>45515810749370000060</t>
  </si>
  <si>
    <t>45515810249370100020</t>
  </si>
  <si>
    <t>45515810749370100025</t>
  </si>
  <si>
    <t>45515810349370100030</t>
  </si>
  <si>
    <t>4482-03</t>
  </si>
  <si>
    <t>1663-61</t>
  </si>
  <si>
    <t>6984-27</t>
  </si>
  <si>
    <t>1668-00-13-04</t>
  </si>
  <si>
    <t>0078-83</t>
  </si>
  <si>
    <t>1675-035</t>
  </si>
  <si>
    <t>1675-30-03</t>
  </si>
  <si>
    <t>1675-30</t>
  </si>
  <si>
    <t>1793-79</t>
  </si>
  <si>
    <t>8123-13-04</t>
  </si>
  <si>
    <t>8123-81</t>
  </si>
  <si>
    <t>7729-13-06</t>
  </si>
  <si>
    <t>4450-13-04</t>
  </si>
  <si>
    <t>1663-56</t>
  </si>
  <si>
    <t>45515810149090099993</t>
  </si>
  <si>
    <t>45515810449090099994</t>
  </si>
  <si>
    <t>45515810749090099995</t>
  </si>
  <si>
    <t>45515810649090099998</t>
  </si>
  <si>
    <t>45515810949090099999</t>
  </si>
  <si>
    <t>45515810349171000009</t>
  </si>
  <si>
    <t>45515810649171000013</t>
  </si>
  <si>
    <t>45515810249171000015</t>
  </si>
  <si>
    <t>45515810849171000020</t>
  </si>
  <si>
    <t>45515810349171000025</t>
  </si>
  <si>
    <t>ВОЛОГОДСКАЯ ОБЛАСТЬ</t>
  </si>
  <si>
    <t>ВОЛГОРЕЧЕНСК</t>
  </si>
  <si>
    <t>ВОЛГОГРАДСКАЯ ОБЛАСТЬ</t>
  </si>
  <si>
    <t>ВЛАДИМИРСКАЯ ОБЛАСТЬ</t>
  </si>
  <si>
    <t>ВИТЕБСКАЯ ОБЛАСТЬ</t>
  </si>
  <si>
    <t>БРЯНСКАЯ ОБЛАСТЬ</t>
  </si>
  <si>
    <t>РАЙОНЫ РЕСПУБЛИКИ КОМИ</t>
  </si>
  <si>
    <t>РАЙОНЫ РЕСПУБЛИКИ ДАГЕСТАН</t>
  </si>
  <si>
    <t>ЛИПЕЦКАЯ ОБЛАСТЬ</t>
  </si>
  <si>
    <t>INFL</t>
  </si>
  <si>
    <t>кол дог</t>
  </si>
  <si>
    <t>45515810068210001000</t>
  </si>
  <si>
    <t>45515810149540000005</t>
  </si>
  <si>
    <t>0729-00-03</t>
  </si>
  <si>
    <t>NEW Жилищные_2007  - обесц.требования 61-90</t>
  </si>
  <si>
    <t>NEW Жилищные_2007  - обесц.требования 181-</t>
  </si>
  <si>
    <t>45515810149510000077</t>
  </si>
  <si>
    <t>45515810449510000078</t>
  </si>
  <si>
    <t>45515810149510000080</t>
  </si>
  <si>
    <t>45515810549000000116</t>
  </si>
  <si>
    <t>45515810849000000117</t>
  </si>
  <si>
    <t>45515810749030000038</t>
  </si>
  <si>
    <t>45515810649030000057</t>
  </si>
  <si>
    <t>45515810249030000059</t>
  </si>
  <si>
    <t>45515810249420000106</t>
  </si>
  <si>
    <t>45515810549420000110</t>
  </si>
  <si>
    <t>45515810149420000112</t>
  </si>
  <si>
    <t>45515810449420000113</t>
  </si>
  <si>
    <t>45515810749420000114</t>
  </si>
  <si>
    <t>45515810049420000115</t>
  </si>
  <si>
    <t>NEW Неотложные нужды и Прочие - обесц. требования 61-90</t>
  </si>
  <si>
    <t>45515810849000000094</t>
  </si>
  <si>
    <t>45515810149000000095</t>
  </si>
  <si>
    <t>45515810449000000096</t>
  </si>
  <si>
    <t>45515810749000000097</t>
  </si>
  <si>
    <t>ХАНТЫ-МАНСИЙСКИЙ АВТОНОМНЫЙ ОКРУГ - ЮГРА (ТЮМЕНСКАЯ ОБЛАСТЬ)</t>
  </si>
  <si>
    <t>ВОРКУТА</t>
  </si>
  <si>
    <t>4909</t>
  </si>
  <si>
    <t>490078</t>
  </si>
  <si>
    <t>6821</t>
  </si>
  <si>
    <t>490729</t>
  </si>
  <si>
    <t>4914</t>
  </si>
  <si>
    <t>4910</t>
  </si>
  <si>
    <t>25.  </t>
  </si>
  <si>
    <t>26.  </t>
  </si>
  <si>
    <t>27.  </t>
  </si>
  <si>
    <t>28.  </t>
  </si>
  <si>
    <t>29.  </t>
  </si>
  <si>
    <t>30.  </t>
  </si>
  <si>
    <t>31.  </t>
  </si>
  <si>
    <t>32.  </t>
  </si>
  <si>
    <t>33.  </t>
  </si>
  <si>
    <t>34.  </t>
  </si>
  <si>
    <t>35.  </t>
  </si>
  <si>
    <t>36.  </t>
  </si>
  <si>
    <t>37.  </t>
  </si>
  <si>
    <t>38.  </t>
  </si>
  <si>
    <t>39.  </t>
  </si>
  <si>
    <t>40.  </t>
  </si>
  <si>
    <t>41.  </t>
  </si>
  <si>
    <t>42.  </t>
  </si>
  <si>
    <t>43.  </t>
  </si>
  <si>
    <t>44.  </t>
  </si>
  <si>
    <t>Вид кредита</t>
  </si>
  <si>
    <t>Подразделение # Код</t>
  </si>
  <si>
    <t>ГЛАЗОВСКИЙ РАЙОН</t>
  </si>
  <si>
    <t>FL</t>
  </si>
  <si>
    <t>ОСБ</t>
  </si>
  <si>
    <t>490000</t>
  </si>
  <si>
    <t>6800</t>
  </si>
  <si>
    <t>4900</t>
  </si>
  <si>
    <t>490022</t>
  </si>
  <si>
    <t>8617-57</t>
  </si>
  <si>
    <t>1663-01</t>
  </si>
  <si>
    <t>8618-30</t>
  </si>
  <si>
    <t>6984-31</t>
  </si>
  <si>
    <t>6984-22</t>
  </si>
  <si>
    <t>6984-82</t>
  </si>
  <si>
    <t>6984-34</t>
  </si>
  <si>
    <t>8617-83-03</t>
  </si>
  <si>
    <t>8617-06-80</t>
  </si>
  <si>
    <t>8617-115</t>
  </si>
  <si>
    <t>8617-22-33</t>
  </si>
  <si>
    <t>6897-72</t>
  </si>
  <si>
    <t>6897-72-03</t>
  </si>
  <si>
    <t>6897-00-81</t>
  </si>
  <si>
    <t>6897-72-08</t>
  </si>
  <si>
    <t>6269-2-102</t>
  </si>
  <si>
    <t>6269-1-112</t>
  </si>
  <si>
    <t>6984-65-08</t>
  </si>
  <si>
    <t>45515810049160000200</t>
  </si>
  <si>
    <t>Краснокамское</t>
  </si>
  <si>
    <t>52</t>
  </si>
  <si>
    <t>Пермское</t>
  </si>
  <si>
    <t>54</t>
  </si>
  <si>
    <t>Губахинское</t>
  </si>
  <si>
    <t>19</t>
  </si>
  <si>
    <t>Ухтинское ОСБ</t>
  </si>
  <si>
    <t>617</t>
  </si>
  <si>
    <t>36</t>
  </si>
  <si>
    <t>Усть-Цилемское ОСБ</t>
  </si>
  <si>
    <t>40</t>
  </si>
  <si>
    <t>Печорское ОСБ</t>
  </si>
  <si>
    <t>44</t>
  </si>
  <si>
    <t>Усинское ОСБ</t>
  </si>
  <si>
    <t>45</t>
  </si>
  <si>
    <t>45515810349140000027</t>
  </si>
  <si>
    <t>45515810949140000032</t>
  </si>
  <si>
    <t>45515810449140000037</t>
  </si>
  <si>
    <t>45515810049140000042</t>
  </si>
  <si>
    <t>45515810549140000047</t>
  </si>
  <si>
    <t>ТАТАРСКАЯ АССР</t>
  </si>
  <si>
    <t>ПЕРМЬ</t>
  </si>
  <si>
    <t>Ост прос руб ПОД</t>
  </si>
  <si>
    <t>Остатки задолженности на прошлую отчетную дату</t>
  </si>
  <si>
    <t>Остатки задолженности на отчетную дату</t>
  </si>
  <si>
    <t>Каталог с RVPS</t>
  </si>
  <si>
    <t>4929-19-87</t>
  </si>
  <si>
    <t>1668-52-03</t>
  </si>
  <si>
    <t>1668-03</t>
  </si>
  <si>
    <t>1668-40-03</t>
  </si>
  <si>
    <t>45515810268140061923</t>
  </si>
  <si>
    <t>Остатки резерва в ежедневных файлах</t>
  </si>
  <si>
    <t>Неоднородные</t>
  </si>
  <si>
    <t>Портфели</t>
  </si>
  <si>
    <t>Остаток</t>
  </si>
  <si>
    <t/>
  </si>
  <si>
    <t>Ошибка</t>
  </si>
  <si>
    <t>Клиент # Наименование</t>
  </si>
  <si>
    <t>Код авто</t>
  </si>
  <si>
    <t>Удмуртская Республика</t>
  </si>
  <si>
    <t>01</t>
  </si>
  <si>
    <t>Архангельская область</t>
  </si>
  <si>
    <t>Белгородская область</t>
  </si>
  <si>
    <t>Пермский край</t>
  </si>
  <si>
    <t>Тверская область</t>
  </si>
  <si>
    <t>Брянская область</t>
  </si>
  <si>
    <t>Владимирская область</t>
  </si>
  <si>
    <t>Волгоградская область</t>
  </si>
  <si>
    <t>Костромская область</t>
  </si>
  <si>
    <t>Вологодская область</t>
  </si>
  <si>
    <t>г. Москва</t>
  </si>
  <si>
    <t>г. Санкт-Петербург</t>
  </si>
  <si>
    <t>Ивановская область</t>
  </si>
  <si>
    <t>Иркутская область</t>
  </si>
  <si>
    <t>45515810428000090019</t>
  </si>
  <si>
    <t>Каталог с RVPS ПОД</t>
  </si>
  <si>
    <t>45515810349230000704</t>
  </si>
  <si>
    <t>45515810649230000705</t>
  </si>
  <si>
    <t>45515810949230000706</t>
  </si>
  <si>
    <t>45515810149240000046</t>
  </si>
  <si>
    <t>Ост с/з руб ПОД</t>
  </si>
  <si>
    <t>Ост прос вал ПОД</t>
  </si>
  <si>
    <t>Неотложка</t>
  </si>
  <si>
    <t>Овердрафты</t>
  </si>
  <si>
    <t>45515810128000090199</t>
  </si>
  <si>
    <t>45515810428000090200</t>
  </si>
  <si>
    <t>45515810768000000100</t>
  </si>
  <si>
    <t>45515810768000059025</t>
  </si>
  <si>
    <t>45515810668000059031</t>
  </si>
  <si>
    <t>45515810949470016000</t>
  </si>
  <si>
    <t>C:\Мои_документы\7-24\Июль\</t>
  </si>
  <si>
    <t>Неоднор проср крпу</t>
  </si>
  <si>
    <t>Неоднор проср rvps</t>
  </si>
  <si>
    <t>45515810068090000205</t>
  </si>
  <si>
    <t>45515810668090000210</t>
  </si>
  <si>
    <t>45515810049100000024</t>
  </si>
  <si>
    <t>45515810249100000028</t>
  </si>
  <si>
    <t>45515810549100000032</t>
  </si>
  <si>
    <t>45515810749100000036</t>
  </si>
  <si>
    <t>45515810049100000037</t>
  </si>
  <si>
    <t>45515810349100000038</t>
  </si>
  <si>
    <t>45515810649100000039</t>
  </si>
  <si>
    <t>Переместить столбец тер группы в конец</t>
  </si>
  <si>
    <t>8618-168</t>
  </si>
  <si>
    <t>8618-26</t>
  </si>
  <si>
    <t>4450-73-03</t>
  </si>
  <si>
    <t>4450-80-03</t>
  </si>
  <si>
    <t>4450-54</t>
  </si>
  <si>
    <t>4450-85</t>
  </si>
  <si>
    <t>4450-78</t>
  </si>
  <si>
    <t>4450-71-03</t>
  </si>
  <si>
    <t>8618-58</t>
  </si>
  <si>
    <t>7729-14</t>
  </si>
  <si>
    <t>8617-110</t>
  </si>
  <si>
    <t>8617-102-03</t>
  </si>
  <si>
    <t>45515810849500000565</t>
  </si>
  <si>
    <t>45515810149500000566</t>
  </si>
  <si>
    <t>45515810449500000567</t>
  </si>
  <si>
    <t>45515810749500000568</t>
  </si>
  <si>
    <t>45515810449510010000</t>
  </si>
  <si>
    <t>СсСчет</t>
  </si>
  <si>
    <t>Номер портфеля</t>
  </si>
  <si>
    <t>0729-00-13-04</t>
  </si>
  <si>
    <t>6131-87</t>
  </si>
  <si>
    <t>6131-47</t>
  </si>
  <si>
    <t>Доверительный плюс - аннуитет</t>
  </si>
  <si>
    <t>6131-26-100</t>
  </si>
  <si>
    <t>1668-40</t>
  </si>
  <si>
    <t>1668-00-39</t>
  </si>
  <si>
    <t>45515810849000000104</t>
  </si>
  <si>
    <t>45515810049000000108</t>
  </si>
  <si>
    <t>45515810349000000112</t>
  </si>
  <si>
    <t>45515810528160021022</t>
  </si>
  <si>
    <t>45515810828160021023</t>
  </si>
  <si>
    <t>Тюменская область</t>
  </si>
  <si>
    <t>Челябинская область</t>
  </si>
  <si>
    <t>Ярославская область</t>
  </si>
  <si>
    <t>Еврейская АО</t>
  </si>
  <si>
    <t>Липецкая область</t>
  </si>
  <si>
    <t>Республика Алтай</t>
  </si>
  <si>
    <t>Республика Бурятия</t>
  </si>
  <si>
    <t>Республика Калмыкия</t>
  </si>
  <si>
    <t>Чеченская Республика</t>
  </si>
  <si>
    <t>Чукотский АО</t>
  </si>
  <si>
    <t>45515810549090000142</t>
  </si>
  <si>
    <t>45515810649090000178</t>
  </si>
  <si>
    <t>ГОРОД САНКТ-ПЕТЕРБУРГ ГОРОД ФЕДЕРАЛЬНОГО ЗНАЧЕНИЯ</t>
  </si>
  <si>
    <t>ГОРОД МОСКВА СТОЛИЦА РОССИЙСКОЙ ФЕДЕРАЦИИ ГОРОД ФЕДЕРАЛЬНОГО ЗНАЧЕНИЯ</t>
  </si>
  <si>
    <t>ГОМЕЛЬСКАЯ ОБЛАСТЬ</t>
  </si>
  <si>
    <t>ГЛАЗОВСКИЙ</t>
  </si>
  <si>
    <t>ВОТКИНСКИЙ</t>
  </si>
  <si>
    <t>ВОРОНЕЖСКАЯ ОБЛАСТЬ</t>
  </si>
  <si>
    <t>45515810749500000555</t>
  </si>
  <si>
    <t>45515810349500000560</t>
  </si>
  <si>
    <t>45515810649500000561</t>
  </si>
  <si>
    <t>БРЕСТСКАЯ ОБЛАСТЬ</t>
  </si>
  <si>
    <t>БОРИСОВСКИЙ</t>
  </si>
  <si>
    <t>БЕЛОРУССИЯ</t>
  </si>
  <si>
    <t>45515810849510010105</t>
  </si>
  <si>
    <t>45515810449510010110</t>
  </si>
  <si>
    <t>66</t>
  </si>
  <si>
    <t>88</t>
  </si>
  <si>
    <t>Республика Башкортостан</t>
  </si>
  <si>
    <t>02</t>
  </si>
  <si>
    <t>Республика Дагестан</t>
  </si>
  <si>
    <t>Республика Марий-Эл</t>
  </si>
  <si>
    <t>Республика Саха (Якутия)</t>
  </si>
  <si>
    <t>Республика Татарстан</t>
  </si>
  <si>
    <t>Республика Тыва</t>
  </si>
  <si>
    <t>Ростовская область</t>
  </si>
  <si>
    <t>Рязанская область</t>
  </si>
  <si>
    <t>Ошибка с/з на ОД</t>
  </si>
  <si>
    <t>6805</t>
  </si>
  <si>
    <t>6810</t>
  </si>
  <si>
    <t>495912</t>
  </si>
  <si>
    <t>496131</t>
  </si>
  <si>
    <t>496269</t>
  </si>
  <si>
    <t>496897</t>
  </si>
  <si>
    <t>496909</t>
  </si>
  <si>
    <t>Заполнить отлько Таб 12 б</t>
  </si>
  <si>
    <t>Нет</t>
  </si>
  <si>
    <t>Заполнять по дням</t>
  </si>
  <si>
    <t>Да</t>
  </si>
  <si>
    <t>Выделенные</t>
  </si>
  <si>
    <t>Группировка по подразделению в национальном покрытии</t>
  </si>
  <si>
    <t>Увел р-ва по Балансу</t>
  </si>
  <si>
    <t>45515810028000090118</t>
  </si>
  <si>
    <t>45515810628000090123</t>
  </si>
  <si>
    <t>45818810628190101001</t>
  </si>
  <si>
    <t>45818810128190101006</t>
  </si>
  <si>
    <t>45515810949160000067</t>
  </si>
  <si>
    <t>Консолидировать</t>
  </si>
  <si>
    <t>По филиалам</t>
  </si>
  <si>
    <t>#</t>
  </si>
  <si>
    <t>RVPS60UL.xls</t>
  </si>
  <si>
    <t>rvps_61_03_31.xls</t>
  </si>
  <si>
    <t>last</t>
  </si>
  <si>
    <t>03</t>
  </si>
  <si>
    <t>C:\Documents and Settings\Knyazev.Aleksan\Мои документы\ОТЧЕТЫ\RVPS\Резервы</t>
  </si>
  <si>
    <t>45515810349470014000</t>
  </si>
  <si>
    <t>45515810568160061645</t>
  </si>
  <si>
    <t>45515810028190090183</t>
  </si>
  <si>
    <t>45515810128060012010</t>
  </si>
  <si>
    <t>45515810428060012011</t>
  </si>
  <si>
    <t>45515810028060012013</t>
  </si>
  <si>
    <t>45515810228060090152</t>
  </si>
  <si>
    <t>45515810428100080000</t>
  </si>
  <si>
    <t>45515810528100090000</t>
  </si>
  <si>
    <t>45515810528100100000</t>
  </si>
  <si>
    <t>45515810628100110000</t>
  </si>
  <si>
    <t>45515810928100110001</t>
  </si>
  <si>
    <t>45515810228100110002</t>
  </si>
  <si>
    <t>45515810528100110003</t>
  </si>
  <si>
    <t>Остатки резерва в файлах RVPS ОД</t>
  </si>
  <si>
    <t>Остатки 455.15 по Балансу</t>
  </si>
  <si>
    <t>Остатки 455.15 в КРПУ</t>
  </si>
  <si>
    <t>45515810628000090288</t>
  </si>
  <si>
    <t>45515810928000090289</t>
  </si>
  <si>
    <t>45515810328000090290</t>
  </si>
  <si>
    <t>45515810749240000048</t>
  </si>
  <si>
    <t>45515810049240000049</t>
  </si>
  <si>
    <t>45515810449240000050</t>
  </si>
  <si>
    <t>6984-03</t>
  </si>
  <si>
    <t>6984-20</t>
  </si>
  <si>
    <t>5294-03</t>
  </si>
  <si>
    <t>6897-00-08</t>
  </si>
  <si>
    <t>6897-56</t>
  </si>
  <si>
    <t>6897-61</t>
  </si>
  <si>
    <t>6897-00-03</t>
  </si>
  <si>
    <t>6269-13-06</t>
  </si>
  <si>
    <t>6269-2-01</t>
  </si>
  <si>
    <t>6269-3</t>
  </si>
  <si>
    <t>6269-1-090-03</t>
  </si>
  <si>
    <t>6269-2</t>
  </si>
  <si>
    <t>7128-13-06</t>
  </si>
  <si>
    <t>8617-120</t>
  </si>
  <si>
    <t>8617-51-03</t>
  </si>
  <si>
    <t>8617-52-01</t>
  </si>
  <si>
    <t>в иностранной валюте</t>
  </si>
  <si>
    <t>количество, шт.</t>
  </si>
  <si>
    <t>Объем,
тыс.руб</t>
  </si>
  <si>
    <t>Жилищные кредиты</t>
  </si>
  <si>
    <t>Ипотечные жилищные кредиты</t>
  </si>
  <si>
    <t>Код территории по ОКАТО</t>
  </si>
  <si>
    <t>V*T</t>
  </si>
  <si>
    <t>V*P</t>
  </si>
  <si>
    <t>V</t>
  </si>
  <si>
    <t>8618-157-03</t>
  </si>
  <si>
    <t>8618-70</t>
  </si>
  <si>
    <t>Кредит на неотложные нужды (Кредитование сотрудников)</t>
  </si>
  <si>
    <t>45515810449540000080</t>
  </si>
  <si>
    <t>45515810568090000200</t>
  </si>
  <si>
    <t>45515810749540000007</t>
  </si>
  <si>
    <t>6984-36</t>
  </si>
  <si>
    <t>6</t>
  </si>
  <si>
    <t>3</t>
  </si>
  <si>
    <t>1640-01</t>
  </si>
  <si>
    <t>1664-13</t>
  </si>
  <si>
    <t>45515810328160021028</t>
  </si>
  <si>
    <t>6269-2-104</t>
  </si>
  <si>
    <t>7128-72</t>
  </si>
  <si>
    <t>8618-86-03</t>
  </si>
  <si>
    <t>1638-35</t>
  </si>
  <si>
    <t>1664-56</t>
  </si>
  <si>
    <t>1675-36</t>
  </si>
  <si>
    <t>6984-107</t>
  </si>
  <si>
    <t>Средневзвешенная ставка, процентов</t>
  </si>
  <si>
    <t>496984</t>
  </si>
  <si>
    <t>497128</t>
  </si>
  <si>
    <t>497729</t>
  </si>
  <si>
    <t>498123</t>
  </si>
  <si>
    <t>498405</t>
  </si>
  <si>
    <t>498617</t>
  </si>
  <si>
    <t>498618</t>
  </si>
  <si>
    <t>495294</t>
  </si>
  <si>
    <t>Каталог с КРПУ</t>
  </si>
  <si>
    <t>Портфель</t>
  </si>
  <si>
    <t>кат кач</t>
  </si>
  <si>
    <t>% резерва</t>
  </si>
  <si>
    <t>Каталог с е/д резервом</t>
  </si>
  <si>
    <t>8618-166</t>
  </si>
  <si>
    <t>45515810249000000005</t>
  </si>
  <si>
    <t>45515810749090000010</t>
  </si>
  <si>
    <t>45515810049090000011</t>
  </si>
  <si>
    <t>45515810349090000012</t>
  </si>
  <si>
    <t>45515810649090000013</t>
  </si>
  <si>
    <t>45515810249090000099</t>
  </si>
  <si>
    <t>45515810149090000144</t>
  </si>
  <si>
    <t>45515810549090000210</t>
  </si>
  <si>
    <t>45515810149100000063</t>
  </si>
  <si>
    <t>45515810449100000077</t>
  </si>
  <si>
    <t>45515810049100000079</t>
  </si>
  <si>
    <t>45515810649100000084</t>
  </si>
  <si>
    <t>45515810349140000001</t>
  </si>
  <si>
    <t>45515810349160000007</t>
  </si>
  <si>
    <t>45515810749170000040</t>
  </si>
  <si>
    <t>45515810749180000001</t>
  </si>
  <si>
    <t>45515810649180000075</t>
  </si>
  <si>
    <t>45515810149230000001</t>
  </si>
  <si>
    <t>45515810049230000004</t>
  </si>
  <si>
    <t>45515810249240000001</t>
  </si>
  <si>
    <t>45515810749270000005</t>
  </si>
  <si>
    <t>45515810449370000001</t>
  </si>
  <si>
    <t>45515810549420000055</t>
  </si>
  <si>
    <t>45515810849420000056</t>
  </si>
  <si>
    <t>45515810749420000062</t>
  </si>
  <si>
    <t>45515810649420000065</t>
  </si>
  <si>
    <t>45515810349470000001</t>
  </si>
  <si>
    <t>45515810549470000005</t>
  </si>
  <si>
    <t>45515810449500000004</t>
  </si>
  <si>
    <t>45515810749500000005</t>
  </si>
  <si>
    <t>45515810649500000008</t>
  </si>
  <si>
    <t>45515810549500000014</t>
  </si>
  <si>
    <t>45515810149500000016</t>
  </si>
  <si>
    <t>45515810549500000182</t>
  </si>
  <si>
    <t>Анализировать неоднородников</t>
  </si>
  <si>
    <t>17.  </t>
  </si>
  <si>
    <t>18.  </t>
  </si>
  <si>
    <t>19.  </t>
  </si>
  <si>
    <t>20.  </t>
  </si>
  <si>
    <t>21.  </t>
  </si>
  <si>
    <t>22.  </t>
  </si>
  <si>
    <t>23.  </t>
  </si>
  <si>
    <t>24.  </t>
  </si>
  <si>
    <t>Резерв прос</t>
  </si>
  <si>
    <t>NEW Жилищные</t>
  </si>
  <si>
    <t>45515810968210062466</t>
  </si>
  <si>
    <t>45515810668220062536</t>
  </si>
  <si>
    <t>45818810828190102004</t>
  </si>
  <si>
    <t>ЧУВАШСКАЯ РЕСПУБЛИКА - ЧУВАШИЯ</t>
  </si>
  <si>
    <t>Чувашская Республика</t>
  </si>
  <si>
    <t>97</t>
  </si>
  <si>
    <t>45515810728000090052</t>
  </si>
  <si>
    <t>45515810028000090053</t>
  </si>
  <si>
    <t>Необходимые выгрузки:</t>
  </si>
  <si>
    <t>45515810949030000074</t>
  </si>
  <si>
    <t>45515810849090000004</t>
  </si>
  <si>
    <t>45515810049420000034</t>
  </si>
  <si>
    <t>8617-135</t>
  </si>
  <si>
    <t>8617-04-60</t>
  </si>
  <si>
    <t>8617-113</t>
  </si>
  <si>
    <t>NEW Неотложные нужды и Прочие</t>
  </si>
  <si>
    <t>NEW Неотложные нужды и Прочие - обесц. требования 31-60</t>
  </si>
  <si>
    <t>NEW Неотложные нужды и Прочие - обесц. требования 91-180</t>
  </si>
  <si>
    <t>NEW Неотложные нужды и Прочие - обесц. требования 181-</t>
  </si>
  <si>
    <t>NEW Ипотека</t>
  </si>
  <si>
    <t>NEW Автокредит</t>
  </si>
  <si>
    <t>25</t>
  </si>
  <si>
    <t>0729</t>
  </si>
  <si>
    <t>45515810049230000693</t>
  </si>
  <si>
    <t>45515810049230000703</t>
  </si>
  <si>
    <t>4927</t>
  </si>
  <si>
    <t>491663</t>
  </si>
  <si>
    <t>БН</t>
  </si>
  <si>
    <t>на 01.01.10</t>
  </si>
  <si>
    <t>45515810328000090258</t>
  </si>
  <si>
    <t>45515810968000061680</t>
  </si>
  <si>
    <t>Ост с/з вал ОД баланс</t>
  </si>
  <si>
    <t>45515810968210004000</t>
  </si>
  <si>
    <t>45515810368210060000</t>
  </si>
  <si>
    <t>45515810868210060131</t>
  </si>
  <si>
    <t>45515810068210060261</t>
  </si>
  <si>
    <t>45515810268210060391</t>
  </si>
  <si>
    <t>45515810468210061624</t>
  </si>
  <si>
    <t>45515810568220059047</t>
  </si>
  <si>
    <t>45515810268220059062</t>
  </si>
  <si>
    <t>45515810528000090061</t>
  </si>
  <si>
    <t>4929-20-77-08</t>
  </si>
  <si>
    <t>4929-19-31</t>
  </si>
  <si>
    <t>1623-03</t>
  </si>
  <si>
    <t>45515810528000090171</t>
  </si>
  <si>
    <t>45515810849160000060</t>
  </si>
  <si>
    <t>45515810449160000062</t>
  </si>
  <si>
    <t>45515810528000090139</t>
  </si>
  <si>
    <t>45515810068220059068</t>
  </si>
  <si>
    <t>45515810249030000062</t>
  </si>
  <si>
    <t>45515810449030000260</t>
  </si>
  <si>
    <t>2</t>
  </si>
  <si>
    <t>БЕЛГОРОДСКАЯ ОБЛАСТЬ</t>
  </si>
  <si>
    <t>АСТРАХАНСКАЯ ОБЛАСТЬ</t>
  </si>
  <si>
    <t>АРХАНГЕЛЬСКАЯ ОБЛАСТЬ</t>
  </si>
  <si>
    <t>АМУРСКАЯ ОБЛАСТЬ</t>
  </si>
  <si>
    <t>АЛТАЙСКИЙ КРАЙ</t>
  </si>
  <si>
    <t>АЛНАШСКИЙ</t>
  </si>
  <si>
    <t>Регион в IBSO</t>
  </si>
  <si>
    <t>Регион в отчете</t>
  </si>
  <si>
    <t>Код терр Статотчетность</t>
  </si>
  <si>
    <t>45515810328000090287</t>
  </si>
  <si>
    <t>6814</t>
  </si>
  <si>
    <t>4937</t>
  </si>
  <si>
    <t>491664</t>
  </si>
  <si>
    <t>491668</t>
  </si>
  <si>
    <t>4942</t>
  </si>
  <si>
    <t>491675</t>
  </si>
  <si>
    <t>4947</t>
  </si>
  <si>
    <t>491793</t>
  </si>
  <si>
    <t>4950</t>
  </si>
  <si>
    <t>494450</t>
  </si>
  <si>
    <t>6809</t>
  </si>
  <si>
    <t>494465</t>
  </si>
  <si>
    <t>6816</t>
  </si>
  <si>
    <t>494482</t>
  </si>
  <si>
    <t>6822</t>
  </si>
  <si>
    <t>494929</t>
  </si>
  <si>
    <t>4916</t>
  </si>
  <si>
    <t>495293</t>
  </si>
  <si>
    <t>4951</t>
  </si>
  <si>
    <t>Пл</t>
  </si>
  <si>
    <t>2800</t>
  </si>
  <si>
    <t>2803</t>
  </si>
  <si>
    <t>2804</t>
  </si>
  <si>
    <t>2809</t>
  </si>
  <si>
    <t>2810</t>
  </si>
  <si>
    <t>2812</t>
  </si>
  <si>
    <t>2814</t>
  </si>
  <si>
    <t>2815</t>
  </si>
  <si>
    <t>2816</t>
  </si>
  <si>
    <t>2818</t>
  </si>
  <si>
    <t>2819</t>
  </si>
  <si>
    <t>4903</t>
  </si>
  <si>
    <t>4918</t>
  </si>
  <si>
    <t>4949</t>
  </si>
  <si>
    <t>4952</t>
  </si>
  <si>
    <t>4954</t>
  </si>
  <si>
    <t>Первые 3 символа VIN-номера (WMI)</t>
  </si>
  <si>
    <t>Chevrolet NIVA</t>
  </si>
  <si>
    <t>X9L</t>
  </si>
  <si>
    <t>45515810949030000265</t>
  </si>
  <si>
    <t>45515810549030000270</t>
  </si>
  <si>
    <t>45515810049030000275</t>
  </si>
  <si>
    <t>45515810149030000285</t>
  </si>
  <si>
    <t>45515810449030000286</t>
  </si>
  <si>
    <t>45515810749030000287</t>
  </si>
  <si>
    <t>Оренбургская область</t>
  </si>
  <si>
    <t>Удмуртское ОСБ</t>
  </si>
  <si>
    <t>618</t>
  </si>
  <si>
    <t>65</t>
  </si>
  <si>
    <t>1640-03</t>
  </si>
  <si>
    <t>45515810849540000088</t>
  </si>
  <si>
    <t>Задолженность (включая просроченную) по кредитам на отчетную дату</t>
  </si>
  <si>
    <t>резерв всего</t>
  </si>
  <si>
    <t>47425.07 крпу</t>
  </si>
  <si>
    <t>47425.07 баланс</t>
  </si>
  <si>
    <t>Ошибка 47425.07 на ОД</t>
  </si>
  <si>
    <t>45515810968160002042</t>
  </si>
  <si>
    <t>45515810568160003043</t>
  </si>
  <si>
    <t>увеличение резерва</t>
  </si>
  <si>
    <t>6897-00-82</t>
  </si>
  <si>
    <t>45515810728190090399</t>
  </si>
  <si>
    <t>45515810028060090323</t>
  </si>
  <si>
    <t>45515810328060090324</t>
  </si>
  <si>
    <t>45515810628060090325</t>
  </si>
  <si>
    <t>LADA-2114**</t>
  </si>
  <si>
    <t>X7Y</t>
  </si>
  <si>
    <t>LADA-2115**</t>
  </si>
  <si>
    <t>LADA-2121**</t>
  </si>
  <si>
    <t>LADA-2131**</t>
  </si>
  <si>
    <t>X98</t>
  </si>
  <si>
    <t>LADA-2170**</t>
  </si>
  <si>
    <t>LADA-2171**</t>
  </si>
  <si>
    <t>LADA-2172**</t>
  </si>
  <si>
    <t>LADA-2329**</t>
  </si>
  <si>
    <t>Renault Logan</t>
  </si>
  <si>
    <t>X7L</t>
  </si>
  <si>
    <t>Skoda Fabia</t>
  </si>
  <si>
    <t>XW8</t>
  </si>
  <si>
    <t>Skoda Octavia</t>
  </si>
  <si>
    <t>UAZ Hunter**</t>
  </si>
  <si>
    <t>Кредит на недвижимость</t>
  </si>
  <si>
    <t>LADA-1118**</t>
  </si>
  <si>
    <t>LADA-1119**</t>
  </si>
  <si>
    <t>Остаток сроч+проср</t>
  </si>
  <si>
    <t>Остаток INFL</t>
  </si>
  <si>
    <t>45515810949470014031</t>
  </si>
  <si>
    <t>45515810649470015000</t>
  </si>
  <si>
    <t>31</t>
  </si>
  <si>
    <t>30</t>
  </si>
  <si>
    <t>32</t>
  </si>
  <si>
    <t>73</t>
  </si>
  <si>
    <t>28</t>
  </si>
  <si>
    <t>45515810528000090304</t>
  </si>
  <si>
    <t>Неоднор с/з крпу</t>
  </si>
  <si>
    <t>Неоднор с/з rvps</t>
  </si>
  <si>
    <t>45515810728000090188</t>
  </si>
  <si>
    <t>Ост с/з руб ОД RVPS</t>
  </si>
  <si>
    <t>Ост прос вал ОД RVPS</t>
  </si>
  <si>
    <t>Ост прос руб ОД RVPS</t>
  </si>
  <si>
    <t>1623-28</t>
  </si>
  <si>
    <t>1675-05</t>
  </si>
  <si>
    <t>6984-26</t>
  </si>
  <si>
    <t>6984-23</t>
  </si>
  <si>
    <t>6984-101-03</t>
  </si>
  <si>
    <t>45515810449150000218</t>
  </si>
  <si>
    <t>45515810649150000238</t>
  </si>
  <si>
    <t>45515810949150000239</t>
  </si>
  <si>
    <t>45515810928150000006</t>
  </si>
  <si>
    <t>45515810528150000011</t>
  </si>
  <si>
    <t>45515810649171000026</t>
  </si>
  <si>
    <t>45515810949171000027</t>
  </si>
  <si>
    <t>45515810249171000028</t>
  </si>
  <si>
    <t>11</t>
  </si>
  <si>
    <t>45515810028160021030</t>
  </si>
  <si>
    <t>45515810328160021031</t>
  </si>
  <si>
    <t>45515810628160021032</t>
  </si>
  <si>
    <t>45515810928160021033</t>
  </si>
  <si>
    <t>45515810528000090210</t>
  </si>
  <si>
    <t>45515810828000090211</t>
  </si>
  <si>
    <t>94</t>
  </si>
  <si>
    <t>64</t>
  </si>
  <si>
    <t>22</t>
  </si>
  <si>
    <t>56</t>
  </si>
  <si>
    <t>68</t>
  </si>
  <si>
    <t>45515810928000090027</t>
  </si>
  <si>
    <t>45515810428000090035</t>
  </si>
  <si>
    <t>Просроченная задолженность по кредитам на отчетную дату</t>
  </si>
  <si>
    <t>в валюте Российской Федерации, объем</t>
  </si>
  <si>
    <t>в иностранной валюте и драг. металлах, объем</t>
  </si>
  <si>
    <t>в валюте Российской Федерации</t>
  </si>
  <si>
    <t>в иностранной валюте и драг. металлах</t>
  </si>
  <si>
    <t>Каталог 7-24</t>
  </si>
  <si>
    <t>регион не указан</t>
  </si>
  <si>
    <t>Выданные с начала года кредиты</t>
  </si>
  <si>
    <t>Номер п/п</t>
  </si>
  <si>
    <t>45515810049160000213</t>
  </si>
  <si>
    <t>45515810349160000214</t>
  </si>
  <si>
    <t>45515810649160000215</t>
  </si>
  <si>
    <t>СЕЛЬСКИЕ НАСЕЛЕННЫЕ ПУНКТЫ, ВХОДЯЩИЕ В СОСТАВ ТАРУМОВСКОГО Р-НА</t>
  </si>
  <si>
    <t>45515810349230000393</t>
  </si>
  <si>
    <t>45515810749230000427</t>
  </si>
  <si>
    <t>45515810449230000688</t>
  </si>
  <si>
    <t>НОВГОРОДСКАЯ ОБЛАСТЬ</t>
  </si>
  <si>
    <t>НИКОЛАЕВСКАЯ ОБЛАСТЬ</t>
  </si>
  <si>
    <t>НИЖЕГОРОДСКАЯ ОБЛАСТЬ</t>
  </si>
  <si>
    <t>4450-69</t>
  </si>
  <si>
    <t>4450-59</t>
  </si>
  <si>
    <t>1663-03</t>
  </si>
  <si>
    <t>4465-45</t>
  </si>
  <si>
    <t>0078-03</t>
  </si>
  <si>
    <t>0078-53</t>
  </si>
  <si>
    <t>8405-70-02</t>
  </si>
  <si>
    <t>8405-64</t>
  </si>
  <si>
    <t>6897-64</t>
  </si>
  <si>
    <t>6269-1-93</t>
  </si>
  <si>
    <t>6269-5-113</t>
  </si>
  <si>
    <t>4107-13</t>
  </si>
  <si>
    <t>6909-13-06</t>
  </si>
  <si>
    <t>45818810228190101003</t>
  </si>
  <si>
    <t>КОСТРОМСКАЯ ОБЛАСТЬ</t>
  </si>
  <si>
    <t>КОМИ-ПЕРМЯЦКИЙ АВТОНОМНЫЙ ОКРУГ (ПЕРМСКИЙ КРАЙ)</t>
  </si>
  <si>
    <t>КОМИ АССР</t>
  </si>
  <si>
    <t>КНЯЖПОГОСТСКИЙ</t>
  </si>
  <si>
    <t>КИРОВСКАЯ ОБЛАСТЬ</t>
  </si>
  <si>
    <t>КИЗНЕРСКИЙ</t>
  </si>
  <si>
    <t>КЕМЕРОВСКАЯ ОБЛАСТЬ</t>
  </si>
  <si>
    <t>КВАРСИНСКИЙ</t>
  </si>
  <si>
    <t>КАРАЧАЕВО-ЧЕРКЕССКАЯ РЕСПУБЛИКА</t>
  </si>
  <si>
    <t>КАМЧАТСКАЯ ОБЛАСТЬ</t>
  </si>
  <si>
    <t>КАЛУЖСКАЯ ОБЛАСТЬ</t>
  </si>
  <si>
    <t>КАЛИНИНСКАЯ</t>
  </si>
  <si>
    <t>КАЛИНИНГРАДСКАЯ ОБЛАСТЬ</t>
  </si>
  <si>
    <t>КАБАРДИНО-БАЛКАРСКАЯ РЕСПУБЛИКА</t>
  </si>
  <si>
    <t>ИРКУТСКАЯ ОБЛАСТЬ</t>
  </si>
  <si>
    <t>ИГРИНСКИЙ РАЙОН</t>
  </si>
  <si>
    <t>ИВАНОВСКАЯ ОБЛАСТЬ</t>
  </si>
  <si>
    <t>Номер договора</t>
  </si>
  <si>
    <t>ТВЕРСКАЯ ОБЛАСТЬ</t>
  </si>
  <si>
    <t>СЕЛЬСКИЕ НАСЕЛЕННЫЕ ПУНКТЫ ОБЛАСТНОГО ПОДЧИНЕНИЯ САРАТОВСКОЙ ОБЛАСТИ, НАХОДЯЩИЕСЯ В ВЕДЕНИИ ФЕДЕРАЛЬНЫХ ОРГАНОВ ГОСУДАРСТВЕННОЙ ВЛАСТИ И УПРАВЛЕНИЯ</t>
  </si>
  <si>
    <t>XTT</t>
  </si>
  <si>
    <t>XU1</t>
  </si>
  <si>
    <t>UAZ Patriot**</t>
  </si>
  <si>
    <t>UAZ Pickup**</t>
  </si>
  <si>
    <t>ГАЗ-2217**</t>
  </si>
  <si>
    <t>ГАЗ-2310**</t>
  </si>
  <si>
    <t>ГАЗ-2705**</t>
  </si>
  <si>
    <t>ГАЗ-2752**</t>
  </si>
  <si>
    <t>ГАЗ-3221**</t>
  </si>
  <si>
    <t>ГАЗ-3302**</t>
  </si>
  <si>
    <t>УАЗ-2206**</t>
  </si>
  <si>
    <t>УАЗ-2360**</t>
  </si>
  <si>
    <t>УАЗ-3303**</t>
  </si>
  <si>
    <t>УАЗ-3741**</t>
  </si>
  <si>
    <t>УАЗ-3909**</t>
  </si>
  <si>
    <t>УАЗ-3962**</t>
  </si>
  <si>
    <t>USD</t>
  </si>
  <si>
    <t>EUR</t>
  </si>
  <si>
    <t>Volga Siber</t>
  </si>
  <si>
    <t>XTH</t>
  </si>
  <si>
    <t>ИЖ-2717**</t>
  </si>
  <si>
    <t>Hyundai Sonata</t>
  </si>
  <si>
    <t>X7M</t>
  </si>
  <si>
    <t>Hyundai Accent</t>
  </si>
  <si>
    <t>ТагАЗ С100</t>
  </si>
  <si>
    <t>ТагАЗ Road Partner</t>
  </si>
  <si>
    <t>ТагАЗ Tager</t>
  </si>
  <si>
    <t>ТагАЗ LC100</t>
  </si>
  <si>
    <t>1.      </t>
  </si>
  <si>
    <t>2.      </t>
  </si>
  <si>
    <t>3.      </t>
  </si>
  <si>
    <t>NEW Автокредит  - обесц.требования 181-</t>
  </si>
  <si>
    <t>34</t>
  </si>
  <si>
    <t>53</t>
  </si>
  <si>
    <t>59</t>
  </si>
  <si>
    <t>45515810728100120000</t>
  </si>
  <si>
    <t>45515810049030000288</t>
  </si>
  <si>
    <t>45515810149090000157</t>
  </si>
  <si>
    <t>45515810449090000158</t>
  </si>
  <si>
    <t>45515810649090000165</t>
  </si>
  <si>
    <t>45515810468090062160</t>
  </si>
  <si>
    <t>45515810268090062166</t>
  </si>
  <si>
    <t>45515810068090062188</t>
  </si>
  <si>
    <t>Просрочка</t>
  </si>
  <si>
    <t>всего</t>
  </si>
  <si>
    <t>ЧИТИНСКАЯ ОБЛАСТЬ</t>
  </si>
  <si>
    <t>ЧЕЛЯБИНСКАЯ ОБЛАСТЬ</t>
  </si>
  <si>
    <t>ЧАСТИНСКИЙ</t>
  </si>
  <si>
    <t>ХАБАРОВСКИЙ КРАЙ</t>
  </si>
  <si>
    <t>45515810149470018031</t>
  </si>
  <si>
    <t>45515810449470018061</t>
  </si>
  <si>
    <t>45515810749470018091</t>
  </si>
  <si>
    <t>45515810549470018181</t>
  </si>
  <si>
    <t>1</t>
  </si>
  <si>
    <t>93</t>
  </si>
  <si>
    <t>98</t>
  </si>
  <si>
    <t>92</t>
  </si>
  <si>
    <t>35</t>
  </si>
  <si>
    <t>12</t>
  </si>
  <si>
    <t>Просрочка &gt; 90 дней</t>
  </si>
  <si>
    <t>1629-55-03</t>
  </si>
  <si>
    <t>Проверка 455.15</t>
  </si>
  <si>
    <t>Остатки 458.18 по Балансу</t>
  </si>
  <si>
    <t>Остатки 458.18 в КРПУ</t>
  </si>
  <si>
    <t>Проверка 458.18</t>
  </si>
  <si>
    <t>Проверка резерва в КРПУ</t>
  </si>
  <si>
    <t>Остатки 459.15 по Балансу</t>
  </si>
  <si>
    <t>Остатки 459.15 в КРПУ</t>
  </si>
  <si>
    <t>78</t>
  </si>
  <si>
    <t>45515810149150000178</t>
  </si>
  <si>
    <t>45515810249150000188</t>
  </si>
  <si>
    <t>45515810449150000205</t>
  </si>
  <si>
    <t>45515810849150000216</t>
  </si>
  <si>
    <t>45515810049090000150</t>
  </si>
  <si>
    <t>45515810549090099991</t>
  </si>
  <si>
    <t>NEW Жилищные_2007  - обесц.требования 91-180</t>
  </si>
  <si>
    <t>NEW Овердрафты - резиденты</t>
  </si>
  <si>
    <t>LADA-2104**</t>
  </si>
  <si>
    <t>45515810349180000029</t>
  </si>
  <si>
    <t>45515810949180000034</t>
  </si>
  <si>
    <t>45515810449180000039</t>
  </si>
  <si>
    <t>7128</t>
  </si>
  <si>
    <t>8123</t>
  </si>
  <si>
    <t>РЕСПУБЛИКА МАРИЙ ЭЛ</t>
  </si>
  <si>
    <t>РЕСПУБЛИКА КОМИ</t>
  </si>
  <si>
    <t>РЕСПУБЛИКА КАРЕЛИЯ</t>
  </si>
  <si>
    <t>РЕСПУБЛИКА ИНГУШЕТИЯ</t>
  </si>
  <si>
    <t>РЕСПУБЛИКА ДАГЕСТАН</t>
  </si>
  <si>
    <t>РЕСПУБЛИКА БАШКОРТОСТАН</t>
  </si>
  <si>
    <t>РЕСПУБЛИКА АДЫГЕЯ (АДЫГЕЯ)</t>
  </si>
  <si>
    <t>4.      </t>
  </si>
  <si>
    <t>5.      </t>
  </si>
  <si>
    <t>6.      </t>
  </si>
  <si>
    <t>7.      </t>
  </si>
  <si>
    <t>8.      </t>
  </si>
  <si>
    <t>9.      </t>
  </si>
  <si>
    <t>10.  </t>
  </si>
  <si>
    <t>11.  </t>
  </si>
  <si>
    <t>12.  </t>
  </si>
  <si>
    <t>13.  </t>
  </si>
  <si>
    <t>14.  </t>
  </si>
  <si>
    <t>15.  </t>
  </si>
  <si>
    <t>16.  </t>
  </si>
  <si>
    <t>07</t>
  </si>
  <si>
    <t>Ост с/з руб ОД баланс</t>
  </si>
  <si>
    <t>Ост прос вал ОД баланс</t>
  </si>
  <si>
    <t>Ост прос руб ОД баланс</t>
  </si>
  <si>
    <t>Ост с/з вал ОД RVPS</t>
  </si>
  <si>
    <t>45515810028150000016</t>
  </si>
  <si>
    <t>45515810628150000021</t>
  </si>
  <si>
    <t>45515810928150000022</t>
  </si>
  <si>
    <t>45515810228150000023</t>
  </si>
  <si>
    <t>45515810528150000024</t>
  </si>
  <si>
    <t>45515810428000011001</t>
  </si>
  <si>
    <t>45515810428000090132</t>
  </si>
  <si>
    <t>45515810328000090135</t>
  </si>
  <si>
    <t>Наименование территории, на которой находится заемщик</t>
  </si>
  <si>
    <t>Предоставлено в отчетном периоде</t>
  </si>
  <si>
    <t>на ОД</t>
  </si>
  <si>
    <t>Кат кач</t>
  </si>
  <si>
    <t>Проц рез</t>
  </si>
  <si>
    <t>45515810928000016001</t>
  </si>
  <si>
    <t>45515810228000017001</t>
  </si>
  <si>
    <t>45515810528000018001</t>
  </si>
  <si>
    <t>45515810828000019001</t>
  </si>
  <si>
    <t>45515810228000021000</t>
  </si>
  <si>
    <t>8405-86</t>
  </si>
  <si>
    <t>0729-00-26</t>
  </si>
  <si>
    <t>1629-00-30</t>
  </si>
  <si>
    <t>1629-00-03</t>
  </si>
  <si>
    <t>4929-19-96</t>
  </si>
  <si>
    <t>Chevrolet Cruze</t>
  </si>
  <si>
    <t>XUF</t>
  </si>
  <si>
    <t>Fiat Albea</t>
  </si>
  <si>
    <t>XU3</t>
  </si>
  <si>
    <t>1664</t>
  </si>
  <si>
    <t>1668</t>
  </si>
  <si>
    <t>1675</t>
  </si>
  <si>
    <t>6984</t>
  </si>
  <si>
    <t>1793</t>
  </si>
  <si>
    <t>5293</t>
  </si>
  <si>
    <t>5294</t>
  </si>
  <si>
    <t>6897</t>
  </si>
  <si>
    <t>8618</t>
  </si>
  <si>
    <t xml:space="preserve">окончание файла </t>
  </si>
  <si>
    <t>45515810649510010114</t>
  </si>
  <si>
    <t>45515810949510010115</t>
  </si>
  <si>
    <t>45515810649000000100</t>
  </si>
  <si>
    <t>916 баланс</t>
  </si>
  <si>
    <t>Ошибка 459 на ОД</t>
  </si>
  <si>
    <t>Ошибка 916 на ОД</t>
  </si>
  <si>
    <t>916 пр крпу</t>
  </si>
  <si>
    <t>Ост с/з на ОД</t>
  </si>
  <si>
    <t>Ост проср на ОД</t>
  </si>
  <si>
    <t>Баланс проср на ОД</t>
  </si>
  <si>
    <t>Ошибка проср на ОД</t>
  </si>
  <si>
    <t>459 крпу</t>
  </si>
  <si>
    <t>916 крпу</t>
  </si>
  <si>
    <t>47427 крпу</t>
  </si>
  <si>
    <t>Игринское ОСБ</t>
  </si>
  <si>
    <t>69</t>
  </si>
  <si>
    <t>Глазовское ОСБ</t>
  </si>
  <si>
    <t>74</t>
  </si>
  <si>
    <t>Воткинское ОСБ</t>
  </si>
  <si>
    <t>76</t>
  </si>
  <si>
    <t>Можгинское ОСБ</t>
  </si>
  <si>
    <t>0078</t>
  </si>
  <si>
    <t>81</t>
  </si>
  <si>
    <t>Сарапульское ОСБ</t>
  </si>
  <si>
    <t>82</t>
  </si>
  <si>
    <t>Увинское ОСБ</t>
  </si>
  <si>
    <t>Каталог с балансами</t>
  </si>
  <si>
    <t>5912</t>
  </si>
  <si>
    <t>4450</t>
  </si>
  <si>
    <t>ПОЛТАВСКАЯ ОБЛАСТЬ</t>
  </si>
  <si>
    <t>КИЯСОВСКИЙ</t>
  </si>
  <si>
    <t>Умен р-ва по Балансу</t>
  </si>
  <si>
    <t>Кредит на неотложные нужды</t>
  </si>
  <si>
    <t>8405-08-08</t>
  </si>
  <si>
    <t>КФ Потребительский кредит с поручительством</t>
  </si>
  <si>
    <t>8405-02</t>
  </si>
  <si>
    <t>Доверительный кредит (положит. история, в т.ч. З/П проекты)</t>
  </si>
  <si>
    <t>4929-19-23</t>
  </si>
  <si>
    <t>4929-19-75</t>
  </si>
  <si>
    <t>4929-19-43</t>
  </si>
  <si>
    <t>4929-21-83</t>
  </si>
  <si>
    <t>1631-03</t>
  </si>
  <si>
    <t>1631-34</t>
  </si>
  <si>
    <t>1631-20</t>
  </si>
  <si>
    <t>1637-03</t>
  </si>
  <si>
    <t>4</t>
  </si>
  <si>
    <t>Задолженность на отчетную дату,           тыс. руб.</t>
  </si>
  <si>
    <t>Просроченная задолженность на отчетную дату, тыс. руб.</t>
  </si>
  <si>
    <t>Средневзвешенный срок кредитования, месяцев</t>
  </si>
  <si>
    <t>ИВАНО-ФРАНКОВСКАЯ ОБЛАСТЬ</t>
  </si>
  <si>
    <t>ЗАВЬЯЛОВСКИЙ</t>
  </si>
  <si>
    <t>ГРАХОВСКИЙ</t>
  </si>
  <si>
    <t>45515810668220059073</t>
  </si>
  <si>
    <t>45515810268220060488</t>
  </si>
  <si>
    <t>45515810568220060489</t>
  </si>
  <si>
    <t>45515810968220060490</t>
  </si>
  <si>
    <t>Пермская область</t>
  </si>
  <si>
    <t>85</t>
  </si>
  <si>
    <t>фл</t>
  </si>
  <si>
    <t>45515810368090062422</t>
  </si>
  <si>
    <t>45515810668090062423</t>
  </si>
  <si>
    <t>45515810968090062437</t>
  </si>
  <si>
    <t>45515810868090062456</t>
  </si>
  <si>
    <t>45515810268090062674</t>
  </si>
  <si>
    <t>45515810568140062538</t>
  </si>
  <si>
    <t>45515810168160062565</t>
  </si>
  <si>
    <t>1623-00-13-04</t>
  </si>
  <si>
    <t>1631-42-03</t>
  </si>
  <si>
    <t>0729-02</t>
  </si>
  <si>
    <t>0729-84</t>
  </si>
  <si>
    <t>1638-00-13-04</t>
  </si>
  <si>
    <t>6984-105</t>
  </si>
  <si>
    <t>8618-175</t>
  </si>
  <si>
    <t>0078-101-03</t>
  </si>
  <si>
    <t>1675-82</t>
  </si>
  <si>
    <t>Over</t>
  </si>
  <si>
    <t>C:\Мои_документы\ЕД_резерв</t>
  </si>
  <si>
    <t>45818810349000102021</t>
  </si>
  <si>
    <t>45818810449000102028</t>
  </si>
  <si>
    <t>45818810449000102031</t>
  </si>
  <si>
    <t>45818810749000102032</t>
  </si>
  <si>
    <t>45818810249000102037</t>
  </si>
  <si>
    <t>45818810149000102043</t>
  </si>
  <si>
    <t>45818810049000102046</t>
  </si>
  <si>
    <t>45818810249000102053</t>
  </si>
  <si>
    <t>45818810449000102060</t>
  </si>
  <si>
    <t>45818810449030102001</t>
  </si>
  <si>
    <t>45818810249030102010</t>
  </si>
  <si>
    <t>45818810449030102030</t>
  </si>
  <si>
    <t>45818810949030102035</t>
  </si>
  <si>
    <t>45818810249030102036</t>
  </si>
  <si>
    <t>45818810349030102046</t>
  </si>
  <si>
    <t>45818810249030102052</t>
  </si>
  <si>
    <t>45818810549030102053</t>
  </si>
  <si>
    <t>45818810449030102056</t>
  </si>
  <si>
    <t>45818810749030102060</t>
  </si>
  <si>
    <t>45818810349030102062</t>
  </si>
  <si>
    <t>45818810449030102072</t>
  </si>
  <si>
    <t>45818810049030102074</t>
  </si>
  <si>
    <t>45818810249030102078</t>
  </si>
  <si>
    <t>45818810949030102080</t>
  </si>
  <si>
    <t>45818810449100102025</t>
  </si>
  <si>
    <t>45818810749100102026</t>
  </si>
  <si>
    <t>45818810049100102027</t>
  </si>
  <si>
    <t>45818810149100102037</t>
  </si>
  <si>
    <t>45818810449100102038</t>
  </si>
  <si>
    <t>45818810049100102043</t>
  </si>
  <si>
    <t>45818810849100102049</t>
  </si>
  <si>
    <t>45818810849100102052</t>
  </si>
  <si>
    <t>45818810749100102055</t>
  </si>
  <si>
    <t>45818810949100102059</t>
  </si>
  <si>
    <t>45818810249100102063</t>
  </si>
  <si>
    <t>45818810849100102065</t>
  </si>
  <si>
    <t>45818810749100102068</t>
  </si>
  <si>
    <t>45818810649100102074</t>
  </si>
  <si>
    <t>45818810449140102001</t>
  </si>
  <si>
    <t>45818810249140102007</t>
  </si>
  <si>
    <t>45818810549140102008</t>
  </si>
  <si>
    <t>45818810849140102009</t>
  </si>
  <si>
    <t>45818810749140102015</t>
  </si>
  <si>
    <t>45818810349140102020</t>
  </si>
  <si>
    <t>45818810549140102024</t>
  </si>
  <si>
    <t>45818810449140102027</t>
  </si>
  <si>
    <t>45818810049140102029</t>
  </si>
  <si>
    <t>45818810049140102032</t>
  </si>
  <si>
    <t>45818810249140102036</t>
  </si>
  <si>
    <t>45818810849140102038</t>
  </si>
  <si>
    <t>45818810449140102043</t>
  </si>
  <si>
    <t>45818810749140102044</t>
  </si>
  <si>
    <t>45818810049140102045</t>
  </si>
  <si>
    <t>45818810349140102046</t>
  </si>
  <si>
    <t>45818810649140102047</t>
  </si>
  <si>
    <t>45818810249140102049</t>
  </si>
  <si>
    <t>45818810049150102019</t>
  </si>
  <si>
    <t>45818810749150102021</t>
  </si>
  <si>
    <t>45818810349150102023</t>
  </si>
  <si>
    <t>45818810249150102026</t>
  </si>
  <si>
    <t>45818810149150102029</t>
  </si>
  <si>
    <t>45818810849150102031</t>
  </si>
  <si>
    <t>45818810449150102033</t>
  </si>
  <si>
    <t>45818810749150102034</t>
  </si>
  <si>
    <t>45818810349150102036</t>
  </si>
  <si>
    <t>45818810849150102044</t>
  </si>
  <si>
    <t>45818810149150102045</t>
  </si>
  <si>
    <t>45818810049150102048</t>
  </si>
  <si>
    <t>45818810349150102049</t>
  </si>
  <si>
    <t>45818810149150102058</t>
  </si>
  <si>
    <t>45818810749150102063</t>
  </si>
  <si>
    <t>45818810549160102004</t>
  </si>
  <si>
    <t>45818810849160102005</t>
  </si>
  <si>
    <t>45818810049160102009</t>
  </si>
  <si>
    <t>45818810649160102014</t>
  </si>
  <si>
    <t>45818810249160102016</t>
  </si>
  <si>
    <t>45818810549160102017</t>
  </si>
  <si>
    <t>45818810549160102020</t>
  </si>
  <si>
    <t>45818810449160102023</t>
  </si>
  <si>
    <t>45818810749160102024</t>
  </si>
  <si>
    <t>45818810049160102025</t>
  </si>
  <si>
    <t>45818810249160102029</t>
  </si>
  <si>
    <t>45818810149160102035</t>
  </si>
  <si>
    <t>45818810049160102038</t>
  </si>
  <si>
    <t>45818810649160102043</t>
  </si>
  <si>
    <t>45818810949160102057</t>
  </si>
  <si>
    <t>45818810949160102060</t>
  </si>
  <si>
    <t>45818810049170102002</t>
  </si>
  <si>
    <t>45818810949170102005</t>
  </si>
  <si>
    <t>45818810249170102006</t>
  </si>
  <si>
    <t>45818810349170102016</t>
  </si>
  <si>
    <t>45818810549170102023</t>
  </si>
  <si>
    <t>45818810849170102024</t>
  </si>
  <si>
    <t>45818810749170102027</t>
  </si>
  <si>
    <t>45818810249170102035</t>
  </si>
  <si>
    <t>45818810449170102039</t>
  </si>
  <si>
    <t>45818810849170102040</t>
  </si>
  <si>
    <t>45818810149170102041</t>
  </si>
  <si>
    <t>45818810549170102052</t>
  </si>
  <si>
    <t>45818810449170102055</t>
  </si>
  <si>
    <t>45818810649170102059</t>
  </si>
  <si>
    <t>45818810749180102020</t>
  </si>
  <si>
    <t>45818810949180102040</t>
  </si>
  <si>
    <t>45818810749180102046</t>
  </si>
  <si>
    <t>45818810349180102048</t>
  </si>
  <si>
    <t>45818810749180102059</t>
  </si>
  <si>
    <t>45818810949180102066</t>
  </si>
  <si>
    <t>45818810649180102081</t>
  </si>
  <si>
    <t>45818810549230102002</t>
  </si>
  <si>
    <t>45818810849230102003</t>
  </si>
  <si>
    <t>45818810149230102004</t>
  </si>
  <si>
    <t>45818810649230102012</t>
  </si>
  <si>
    <t>45818810449230102021</t>
  </si>
  <si>
    <t>45818810749230102022</t>
  </si>
  <si>
    <t>45818810549230102028</t>
  </si>
  <si>
    <t>45818810449230102034</t>
  </si>
  <si>
    <t>45818810949230102039</t>
  </si>
  <si>
    <t>45818810649230102041</t>
  </si>
  <si>
    <t>45818810049230102049</t>
  </si>
  <si>
    <t>45818810449230102050</t>
  </si>
  <si>
    <t>45818810949240102003</t>
  </si>
  <si>
    <t>45818810249240102004</t>
  </si>
  <si>
    <t>45818810149240102010</t>
  </si>
  <si>
    <t>45818810649240102015</t>
  </si>
  <si>
    <t>45818810949240102016</t>
  </si>
  <si>
    <t>45818810549240102018</t>
  </si>
  <si>
    <t>45818810649240102031</t>
  </si>
  <si>
    <t>45818810449240102037</t>
  </si>
  <si>
    <t>45818810349240102043</t>
  </si>
  <si>
    <t>45818810249240102046</t>
  </si>
  <si>
    <t>45818810849240102048</t>
  </si>
  <si>
    <t>45818810149270102103</t>
  </si>
  <si>
    <t>45818810949270102125</t>
  </si>
  <si>
    <t>45818810049270102135</t>
  </si>
  <si>
    <t>45818810249270102142</t>
  </si>
  <si>
    <t>45818810549270102143</t>
  </si>
  <si>
    <t>45818810049370102006</t>
  </si>
  <si>
    <t>45818810649370102008</t>
  </si>
  <si>
    <t>45818810749370102021</t>
  </si>
  <si>
    <t>45818810349370102023</t>
  </si>
  <si>
    <t>45818810549370102030</t>
  </si>
  <si>
    <t>45818810149370102032</t>
  </si>
  <si>
    <t>45818810049370102035</t>
  </si>
  <si>
    <t>45818810949370102041</t>
  </si>
  <si>
    <t>45818810549370102043</t>
  </si>
  <si>
    <t>45818810049370102048</t>
  </si>
  <si>
    <t>45818810349370102049</t>
  </si>
  <si>
    <t>45818810749370102050</t>
  </si>
  <si>
    <t>45818810249420102002</t>
  </si>
  <si>
    <t>45818810049420102011</t>
  </si>
  <si>
    <t>45818810349420102012</t>
  </si>
  <si>
    <t>45818810649420102013</t>
  </si>
  <si>
    <t>45818810149420102018</t>
  </si>
  <si>
    <t>45818810749420102023</t>
  </si>
  <si>
    <t>45818810649420102026</t>
  </si>
  <si>
    <t>45818810949420102027</t>
  </si>
  <si>
    <t>45818810249420102031</t>
  </si>
  <si>
    <t>45818810749420102036</t>
  </si>
  <si>
    <t>45818810049420102040</t>
  </si>
  <si>
    <t>45818810849420102046</t>
  </si>
  <si>
    <t>45818810349420102067</t>
  </si>
  <si>
    <t>45818810449470102001</t>
  </si>
  <si>
    <t>45818810749470102002</t>
  </si>
  <si>
    <t>45818810349470102004</t>
  </si>
  <si>
    <t>45818810949470102006</t>
  </si>
  <si>
    <t>45818810249470102007</t>
  </si>
  <si>
    <t>45818810549470102008</t>
  </si>
  <si>
    <t>45818810849470102012</t>
  </si>
  <si>
    <t>45818810149470102013</t>
  </si>
  <si>
    <t>45818810649470102018</t>
  </si>
  <si>
    <t>45818810949470102019</t>
  </si>
  <si>
    <t>45818810949470102022</t>
  </si>
  <si>
    <t>45818810049470102029</t>
  </si>
  <si>
    <t>45818810449470102030</t>
  </si>
  <si>
    <t>45818810749470102031</t>
  </si>
  <si>
    <t>45818810049470102032</t>
  </si>
  <si>
    <t>45818810149470102039</t>
  </si>
  <si>
    <t>45818810949470102051</t>
  </si>
  <si>
    <t>45818810549470102053</t>
  </si>
  <si>
    <t>45818810149470102055</t>
  </si>
  <si>
    <t>45818810749470102057</t>
  </si>
  <si>
    <t>45818810049470102058</t>
  </si>
  <si>
    <t>45818810949470102064</t>
  </si>
  <si>
    <t>45818810249470102065</t>
  </si>
  <si>
    <t>45818810549470102066</t>
  </si>
  <si>
    <t>45818810849470102067</t>
  </si>
  <si>
    <t>45818810149470102068</t>
  </si>
  <si>
    <t>45818810449470102069</t>
  </si>
  <si>
    <t>45818810649500102001</t>
  </si>
  <si>
    <t>45818810949500102002</t>
  </si>
  <si>
    <t>45818810249500102003</t>
  </si>
  <si>
    <t>45818810549500102004</t>
  </si>
  <si>
    <t>45818810849500102005</t>
  </si>
  <si>
    <t>45818810449500102007</t>
  </si>
  <si>
    <t>45818810049500102009</t>
  </si>
  <si>
    <t>45818810749500102024</t>
  </si>
  <si>
    <t>45818810649500102027</t>
  </si>
  <si>
    <t>45818810249500102029</t>
  </si>
  <si>
    <t>45818810549500102033</t>
  </si>
  <si>
    <t>45818810849500102034</t>
  </si>
  <si>
    <t>45818810149500102035</t>
  </si>
  <si>
    <t>45818810049500102038</t>
  </si>
  <si>
    <t>45818810349500102039</t>
  </si>
  <si>
    <t>45818810549500102046</t>
  </si>
  <si>
    <t>45818810849500102047</t>
  </si>
  <si>
    <t>45818810149500102048</t>
  </si>
  <si>
    <t>45818810749500102053</t>
  </si>
  <si>
    <t>45818810549500102059</t>
  </si>
  <si>
    <t>45818810949500102060</t>
  </si>
  <si>
    <t>45818810249500102061</t>
  </si>
  <si>
    <t>45818810149500102064</t>
  </si>
  <si>
    <t>45818810649500102069</t>
  </si>
  <si>
    <t>45818810049500102070</t>
  </si>
  <si>
    <t>45818810349500102071</t>
  </si>
  <si>
    <t>45818810249500102074</t>
  </si>
  <si>
    <t>45818810849500102076</t>
  </si>
  <si>
    <t>45818810749500102079</t>
  </si>
  <si>
    <t>45818810349500102084</t>
  </si>
  <si>
    <t>45818810649500102085</t>
  </si>
  <si>
    <t>45818810249500102090</t>
  </si>
  <si>
    <t>45818810549500102091</t>
  </si>
  <si>
    <t>45818810149500102093</t>
  </si>
  <si>
    <t>45818810449500102094</t>
  </si>
  <si>
    <t>45818810749500102095</t>
  </si>
  <si>
    <t>45818810349500102097</t>
  </si>
  <si>
    <t>45818810149500102103</t>
  </si>
  <si>
    <t>45818810749500102105</t>
  </si>
  <si>
    <t>45818810349500102107</t>
  </si>
  <si>
    <t>45818810649500102108</t>
  </si>
  <si>
    <t>45818810049510102002</t>
  </si>
  <si>
    <t>45818810249510102006</t>
  </si>
  <si>
    <t>45818810849510102008</t>
  </si>
  <si>
    <t>45818810149510102009</t>
  </si>
  <si>
    <t>45818810849510102011</t>
  </si>
  <si>
    <t>45818810349510102016</t>
  </si>
  <si>
    <t>45818810749510102108</t>
  </si>
  <si>
    <t>45818810349510102113</t>
  </si>
  <si>
    <t>45818810849510102118</t>
  </si>
  <si>
    <t>45818810549510102120</t>
  </si>
  <si>
    <t>45818810849510102121</t>
  </si>
  <si>
    <t>45818810149510102122</t>
  </si>
  <si>
    <t>45818810349510102126</t>
  </si>
  <si>
    <t>45818810249510102129</t>
  </si>
  <si>
    <t>45818810649510102130</t>
  </si>
  <si>
    <t>45818810749510102137</t>
  </si>
  <si>
    <t>45818810349510102139</t>
  </si>
  <si>
    <t>45818810949510102144</t>
  </si>
  <si>
    <t>45818810149510102148</t>
  </si>
  <si>
    <t>45818810149520102002</t>
  </si>
  <si>
    <t>45818810349520102006</t>
  </si>
  <si>
    <t>45818810949520102008</t>
  </si>
  <si>
    <t>45818810249520102009</t>
  </si>
  <si>
    <t>45818810649520102010</t>
  </si>
  <si>
    <t>45818810949520102011</t>
  </si>
  <si>
    <t>45818810249520102012</t>
  </si>
  <si>
    <t>45818810549520102013</t>
  </si>
  <si>
    <t>45818810449520102016</t>
  </si>
  <si>
    <t>45818810349520102022</t>
  </si>
  <si>
    <t>45818810249520102025</t>
  </si>
  <si>
    <t>45818810549520102026</t>
  </si>
  <si>
    <t>45818810149520102028</t>
  </si>
  <si>
    <t>45818810849520102030</t>
  </si>
  <si>
    <t>45818810749520102033</t>
  </si>
  <si>
    <t>45818810349520102035</t>
  </si>
  <si>
    <t>45818810649520102036</t>
  </si>
  <si>
    <t>45818810549520102042</t>
  </si>
  <si>
    <t>45818810049520102047</t>
  </si>
  <si>
    <t>45818810649520102049</t>
  </si>
  <si>
    <t>45818810049520102050</t>
  </si>
  <si>
    <t>45818810749520102059</t>
  </si>
  <si>
    <t>45818810149520102060</t>
  </si>
  <si>
    <t>45818810849520102069</t>
  </si>
  <si>
    <t>45818810149520102073</t>
  </si>
  <si>
    <t>45818810049520102076</t>
  </si>
  <si>
    <t>45818810949520102082</t>
  </si>
  <si>
    <t>45818810249520102083</t>
  </si>
  <si>
    <t>45818810349540102002</t>
  </si>
  <si>
    <t>45818810249540102005</t>
  </si>
  <si>
    <t>45818810249540102018</t>
  </si>
  <si>
    <t>45818810549540102019</t>
  </si>
  <si>
    <t>45818810449540102025</t>
  </si>
  <si>
    <t>45818810649540102032</t>
  </si>
  <si>
    <t>45818810249540102034</t>
  </si>
  <si>
    <t>45818810549540102035</t>
  </si>
  <si>
    <t>45818810749540102042</t>
  </si>
  <si>
    <t>45818810049540102043</t>
  </si>
  <si>
    <t>45818810849540102052</t>
  </si>
  <si>
    <t>45818810649540102061</t>
  </si>
  <si>
    <t>45818810228190102002</t>
  </si>
  <si>
    <t>45818810028190102008</t>
  </si>
  <si>
    <t>45818810328190102009</t>
  </si>
  <si>
    <t>45818810728190102010</t>
  </si>
  <si>
    <t>45818810328190102012</t>
  </si>
  <si>
    <t>45818810628190102013</t>
  </si>
  <si>
    <t>45818810428190102022</t>
  </si>
  <si>
    <t>45818810028190102024</t>
  </si>
  <si>
    <t>45818810628190102026</t>
  </si>
  <si>
    <t>45818810228190102031</t>
  </si>
  <si>
    <t>45818810128190102034</t>
  </si>
  <si>
    <t>45818810428190102035</t>
  </si>
  <si>
    <t>45818810728190102036</t>
  </si>
  <si>
    <t>45818810328190102038</t>
  </si>
  <si>
    <t>45818810928190102043</t>
  </si>
  <si>
    <t>45818810428190102048</t>
  </si>
  <si>
    <t>45818810728190102052</t>
  </si>
  <si>
    <t>45818810628190102055</t>
  </si>
  <si>
    <t>45818810928190102056</t>
  </si>
  <si>
    <t>45818810828190102059</t>
  </si>
  <si>
    <t>45818810228190102060</t>
  </si>
  <si>
    <t>45818810328190102067</t>
  </si>
  <si>
    <t>45818810628190102068</t>
  </si>
  <si>
    <t>45818810728190102078</t>
  </si>
  <si>
    <t>45818810728190102081</t>
  </si>
  <si>
    <t>45818810428060102013</t>
  </si>
  <si>
    <t>45818810428100102025</t>
  </si>
  <si>
    <t>45818810328100102031</t>
  </si>
  <si>
    <t>45818810928100102033</t>
  </si>
  <si>
    <t>45818810228100102034</t>
  </si>
  <si>
    <t>45818810728100102039</t>
  </si>
  <si>
    <t>45818810728100102042</t>
  </si>
  <si>
    <t>45818810928100102046</t>
  </si>
  <si>
    <t>45818810228100102047</t>
  </si>
  <si>
    <t>45818810828100102052</t>
  </si>
  <si>
    <t>45818810128100102053</t>
  </si>
  <si>
    <t>45818810728140102002</t>
  </si>
  <si>
    <t>45818810328140102004</t>
  </si>
  <si>
    <t>45818810628140102005</t>
  </si>
  <si>
    <t>45818810828140102009</t>
  </si>
  <si>
    <t>45818810828140102012</t>
  </si>
  <si>
    <t>45818810628140102021</t>
  </si>
  <si>
    <t>45818810828140102025</t>
  </si>
  <si>
    <t>45818810428140102030</t>
  </si>
  <si>
    <t>45818810728140102031</t>
  </si>
  <si>
    <t>45818810028140102032</t>
  </si>
  <si>
    <t>45818810228140102036</t>
  </si>
  <si>
    <t>45818810828140102038</t>
  </si>
  <si>
    <t>45818810028140102359</t>
  </si>
  <si>
    <t>45818810128150102003</t>
  </si>
  <si>
    <t>45818810928150102009</t>
  </si>
  <si>
    <t>45818810328150102010</t>
  </si>
  <si>
    <t>45818810228150102013</t>
  </si>
  <si>
    <t>45818810528150102014</t>
  </si>
  <si>
    <t>45818810128150102016</t>
  </si>
  <si>
    <t>45818810028150102022</t>
  </si>
  <si>
    <t>45818810928150102025</t>
  </si>
  <si>
    <t>45818810228150102026</t>
  </si>
  <si>
    <t>45818810528150102027</t>
  </si>
  <si>
    <t>45818810128150102029</t>
  </si>
  <si>
    <t>45818810828150102031</t>
  </si>
  <si>
    <t>45818810328150102036</t>
  </si>
  <si>
    <t>45818810928150102038</t>
  </si>
  <si>
    <t>45818810628150102040</t>
  </si>
  <si>
    <t>45818810928150102041</t>
  </si>
  <si>
    <t>45818810728150102047</t>
  </si>
  <si>
    <t>45818810028150102048</t>
  </si>
  <si>
    <t>45818810328150102052</t>
  </si>
  <si>
    <t>45818810928160102002</t>
  </si>
  <si>
    <t>45818810428160102007</t>
  </si>
  <si>
    <t>45818810728160102011</t>
  </si>
  <si>
    <t>45818810128160102019</t>
  </si>
  <si>
    <t>45818810028160102025</t>
  </si>
  <si>
    <t>45818810628160102027</t>
  </si>
  <si>
    <t>45818810928160102031</t>
  </si>
  <si>
    <t>45818810228160102032</t>
  </si>
  <si>
    <t>45818810128160102035</t>
  </si>
  <si>
    <t>45818810728160102037</t>
  </si>
  <si>
    <t>45818810328160102039</t>
  </si>
  <si>
    <t>45818810328160102042</t>
  </si>
  <si>
    <t>45818810528160102046</t>
  </si>
  <si>
    <t>45818810828160102047</t>
  </si>
  <si>
    <t>45818810428160102049</t>
  </si>
  <si>
    <t>45818810128160102051</t>
  </si>
  <si>
    <t>45818810428160102052</t>
  </si>
  <si>
    <t>45818810428000102002</t>
  </si>
  <si>
    <t>45818810328000102005</t>
  </si>
  <si>
    <t>45818810028000102033</t>
  </si>
  <si>
    <t>45818810028000102046</t>
  </si>
  <si>
    <t>45818810628000102048</t>
  </si>
  <si>
    <t>45818810328000102050</t>
  </si>
  <si>
    <t>45818810228000102053</t>
  </si>
  <si>
    <t>45818810728000102061</t>
  </si>
  <si>
    <t>45818810228000102066</t>
  </si>
  <si>
    <t>45818810128000102069</t>
  </si>
  <si>
    <t>45818810128000102072</t>
  </si>
  <si>
    <t>45818810928000102078</t>
  </si>
  <si>
    <t>45818810628000102080</t>
  </si>
  <si>
    <t>45818810228000102082</t>
  </si>
  <si>
    <t>45818810828000102084</t>
  </si>
  <si>
    <t>45818810128000102098</t>
  </si>
  <si>
    <t>45818810728000102100</t>
  </si>
  <si>
    <t>45818810528000102106</t>
  </si>
  <si>
    <t>45818810828000102110</t>
  </si>
  <si>
    <t>45818810128000102111</t>
  </si>
  <si>
    <t>45818810228000102121</t>
  </si>
  <si>
    <t>45818810628000102129</t>
  </si>
  <si>
    <t>45818810628000102132</t>
  </si>
  <si>
    <t>45818810928000102133</t>
  </si>
  <si>
    <t>45818810228000102134</t>
  </si>
  <si>
    <t>45818810728000102142</t>
  </si>
  <si>
    <t>45818810028000102143</t>
  </si>
  <si>
    <t>45818810628000102145</t>
  </si>
  <si>
    <t>45818810028000102156</t>
  </si>
  <si>
    <t>45818810328000102160</t>
  </si>
  <si>
    <t>45818810428000102170</t>
  </si>
  <si>
    <t>45818810028000102172</t>
  </si>
  <si>
    <t>45818810128000102179</t>
  </si>
  <si>
    <t>45818810528000102180</t>
  </si>
  <si>
    <t>45818810828000102181</t>
  </si>
  <si>
    <t>45818810128000102182</t>
  </si>
  <si>
    <t>45818810228000102192</t>
  </si>
  <si>
    <t>45818810428000102196</t>
  </si>
  <si>
    <t>45818810328000102199</t>
  </si>
  <si>
    <t>45818810328000102209</t>
  </si>
  <si>
    <t>45818810268000102001</t>
  </si>
  <si>
    <t>45818810568000102002</t>
  </si>
  <si>
    <t>45818810868000102003</t>
  </si>
  <si>
    <t>45818810168000102004</t>
  </si>
  <si>
    <t>45818810768000102006</t>
  </si>
  <si>
    <t>45818810068000102007</t>
  </si>
  <si>
    <t>45818810368000102008</t>
  </si>
  <si>
    <t>45818810368000102011</t>
  </si>
  <si>
    <t>45818810568000102015</t>
  </si>
  <si>
    <t>45818810868000102016</t>
  </si>
  <si>
    <t>45818810468000102018</t>
  </si>
  <si>
    <t>45818810768000102019</t>
  </si>
  <si>
    <t>45818810068000102023</t>
  </si>
  <si>
    <t>45818810368000102024</t>
  </si>
  <si>
    <t>45818810668000102025</t>
  </si>
  <si>
    <t>45818810268000102027</t>
  </si>
  <si>
    <t>45818810568000102031</t>
  </si>
  <si>
    <t>45818810168000102033</t>
  </si>
  <si>
    <t>45818810468000102034</t>
  </si>
  <si>
    <t>45818810768000102035</t>
  </si>
  <si>
    <t>45818810068000102036</t>
  </si>
  <si>
    <t>45818810368000102037</t>
  </si>
  <si>
    <t>45818810668000102038</t>
  </si>
  <si>
    <t>45818810968000102039</t>
  </si>
  <si>
    <t>45818810368000102040</t>
  </si>
  <si>
    <t>45818810268000102043</t>
  </si>
  <si>
    <t>45818810768000102048</t>
  </si>
  <si>
    <t>45818810268000102072</t>
  </si>
  <si>
    <t>45818810068000102078</t>
  </si>
  <si>
    <t>45818810368000102079</t>
  </si>
  <si>
    <t>45818810068000102081</t>
  </si>
  <si>
    <t>45818810768090102016</t>
  </si>
  <si>
    <t>45818810868090102026</t>
  </si>
  <si>
    <t>45818810168090102027</t>
  </si>
  <si>
    <t>45818810168090102030</t>
  </si>
  <si>
    <t>45818810368090102034</t>
  </si>
  <si>
    <t>45818810568090102038</t>
  </si>
  <si>
    <t>45818810468090102044</t>
  </si>
  <si>
    <t>45818810768090102045</t>
  </si>
  <si>
    <t>45818810368090102050</t>
  </si>
  <si>
    <t>45818810968090102052</t>
  </si>
  <si>
    <t>45818810468090102060</t>
  </si>
  <si>
    <t>45818810368090102238</t>
  </si>
  <si>
    <t>45818810768090102304</t>
  </si>
  <si>
    <t>45818810768140102005</t>
  </si>
  <si>
    <t>45818810268140102013</t>
  </si>
  <si>
    <t>45818810568140102014</t>
  </si>
  <si>
    <t>45818810868140102015</t>
  </si>
  <si>
    <t>45818810768140102021</t>
  </si>
  <si>
    <t>45818810368140102023</t>
  </si>
  <si>
    <t>45818810668140102024</t>
  </si>
  <si>
    <t>45818810968140102025</t>
  </si>
  <si>
    <t>45818810568140102027</t>
  </si>
  <si>
    <t>45818810168140102029</t>
  </si>
  <si>
    <t>45818810568140102030</t>
  </si>
  <si>
    <t>45818810068140102035</t>
  </si>
  <si>
    <t>45818810268140102039</t>
  </si>
  <si>
    <t>45818810668140102040</t>
  </si>
  <si>
    <t>45818810868140102044</t>
  </si>
  <si>
    <t>45818810268140102343</t>
  </si>
  <si>
    <t>45818810068160102002</t>
  </si>
  <si>
    <t>45818810868160102008</t>
  </si>
  <si>
    <t>45818810368160102016</t>
  </si>
  <si>
    <t>45818810268160102019</t>
  </si>
  <si>
    <t>45818810268160102022</t>
  </si>
  <si>
    <t>45818810068160102028</t>
  </si>
  <si>
    <t>45818810368160102029</t>
  </si>
  <si>
    <t>45818810068160102031</t>
  </si>
  <si>
    <t>45818810568160102036</t>
  </si>
  <si>
    <t>45818810768160102043</t>
  </si>
  <si>
    <t>45818810368210102005</t>
  </si>
  <si>
    <t>45818810268210102008</t>
  </si>
  <si>
    <t>45818810168210102014</t>
  </si>
  <si>
    <t>45818810668210102022</t>
  </si>
  <si>
    <t>45818810968210102023</t>
  </si>
  <si>
    <t>45818810868210102026</t>
  </si>
  <si>
    <t>45818810168210102030</t>
  </si>
  <si>
    <t>45818810768210102032</t>
  </si>
  <si>
    <t>45818810068210102033</t>
  </si>
  <si>
    <t>45818810868210102039</t>
  </si>
  <si>
    <t>45818810868210102042</t>
  </si>
  <si>
    <t>45818810468210102044</t>
  </si>
  <si>
    <t>45818810768210102045</t>
  </si>
  <si>
    <t>45818810968210102052</t>
  </si>
  <si>
    <t>45818810268210102053</t>
  </si>
  <si>
    <t>45818810568210102054</t>
  </si>
  <si>
    <t>45818810968220102013</t>
  </si>
  <si>
    <t>45818810268220102014</t>
  </si>
  <si>
    <t>45818810068220102023</t>
  </si>
  <si>
    <t>45818810268220102027</t>
  </si>
  <si>
    <t>45818810868220102032</t>
  </si>
  <si>
    <t>45818810468220102034</t>
  </si>
  <si>
    <t>45818810968220102039</t>
  </si>
  <si>
    <t>45818810368220102040</t>
  </si>
  <si>
    <t>45818810468220102047</t>
  </si>
  <si>
    <t>45818810568220102316</t>
  </si>
  <si>
    <t>Голосова Оксана Юрьевна</t>
  </si>
  <si>
    <t>ЧЕРНОВИЦКАЯ ОБЛАСТЬ</t>
  </si>
  <si>
    <t>45818810649000102019</t>
  </si>
  <si>
    <t>45818810849000102042</t>
  </si>
  <si>
    <t>45818810349090102002</t>
  </si>
  <si>
    <t>45818810649090102003</t>
  </si>
  <si>
    <t>45818810949090102004</t>
  </si>
  <si>
    <t>45818810149090102008</t>
  </si>
  <si>
    <t>45818810849090102010</t>
  </si>
  <si>
    <t>45818810149090102011</t>
  </si>
  <si>
    <t>45818810749090102013</t>
  </si>
  <si>
    <t>45818810649090102016</t>
  </si>
  <si>
    <t>45818810949090102017</t>
  </si>
  <si>
    <t>45818810949090102020</t>
  </si>
  <si>
    <t>45818810849090102023</t>
  </si>
  <si>
    <t>45818810749090102026</t>
  </si>
  <si>
    <t>45818810049090102027</t>
  </si>
  <si>
    <t>45818810349090102028</t>
  </si>
  <si>
    <t>45818810649090102029</t>
  </si>
  <si>
    <t>45818810249090102034</t>
  </si>
  <si>
    <t>45818810449090102038</t>
  </si>
  <si>
    <t>45818810749090102039</t>
  </si>
  <si>
    <t>45818810449090102041</t>
  </si>
  <si>
    <t>45818810749090102042</t>
  </si>
  <si>
    <t>45818810349090102044</t>
  </si>
  <si>
    <t>45818810949090102046</t>
  </si>
  <si>
    <t>45818810249090102047</t>
  </si>
  <si>
    <t>45818810549090102048</t>
  </si>
  <si>
    <t>45818810849090102049</t>
  </si>
  <si>
    <t>45818810149090102053</t>
  </si>
  <si>
    <t>45818810449090102054</t>
  </si>
  <si>
    <t>45818810649090102058</t>
  </si>
  <si>
    <t>45818810949090102059</t>
  </si>
  <si>
    <t>45818810349090102060</t>
  </si>
  <si>
    <t>45818810549090102064</t>
  </si>
  <si>
    <t>45818810149090102066</t>
  </si>
  <si>
    <t>45818810449090102067</t>
  </si>
  <si>
    <t>45818810749090102068</t>
  </si>
  <si>
    <t>45818810449090102070</t>
  </si>
  <si>
    <t>45818810749090102071</t>
  </si>
  <si>
    <t>45818810049090102072</t>
  </si>
  <si>
    <t>45818810349090102073</t>
  </si>
  <si>
    <t>45818810249090102076</t>
  </si>
  <si>
    <t>45818810249090102092</t>
  </si>
  <si>
    <t>45818810549090102093</t>
  </si>
  <si>
    <t>45818810849090102094</t>
  </si>
  <si>
    <t>45818810449090102096</t>
  </si>
  <si>
    <t>45818810249090102102</t>
  </si>
  <si>
    <t>45818810649090102113</t>
  </si>
  <si>
    <t>45818810249090102115</t>
  </si>
  <si>
    <t>45818810449090102119</t>
  </si>
  <si>
    <t>45818810849090102120</t>
  </si>
  <si>
    <t>45818810749090102123</t>
  </si>
  <si>
    <t>45818810549090102129</t>
  </si>
  <si>
    <t>45818810349090102329</t>
  </si>
  <si>
    <t>45818810849090102492</t>
  </si>
  <si>
    <t>45818810449150102017</t>
  </si>
  <si>
    <t>45818810749150102542</t>
  </si>
  <si>
    <t>45818810549180102521</t>
  </si>
  <si>
    <t>45818810249270102126</t>
  </si>
  <si>
    <t>45818810249470102447</t>
  </si>
  <si>
    <t>45818810849520102001</t>
  </si>
  <si>
    <t>45818810349520102446</t>
  </si>
  <si>
    <t>45818810949520102545</t>
  </si>
  <si>
    <t>45818810428190102459</t>
  </si>
  <si>
    <t>45818810628100102029</t>
  </si>
  <si>
    <t>45818810368000102480</t>
  </si>
  <si>
    <t>45818810868090102411</t>
  </si>
  <si>
    <t>45818810068090102509</t>
  </si>
  <si>
    <t>45818810768210102029</t>
  </si>
  <si>
    <t>4929-20-77</t>
  </si>
  <si>
    <t>4929-20-77-03</t>
  </si>
  <si>
    <t>ПАРШАКОВ АЛЕКСАНДР ВЛАДИМИРОВИЧ</t>
  </si>
  <si>
    <t>45507810649170017468</t>
  </si>
  <si>
    <t>ДУТОВА ЕЛИЗАВЕТА НИКОЛАЕВНА</t>
  </si>
  <si>
    <t>45506810749180008656</t>
  </si>
  <si>
    <t>45507810849180014170</t>
  </si>
  <si>
    <t>НИКИТИНА ТАТЬЯНА МИХАЙЛОВНА</t>
  </si>
  <si>
    <t>45506810649180009056</t>
  </si>
  <si>
    <t>ПОПОВ ИВАН ЛЕОНИДОВИЧ</t>
  </si>
  <si>
    <t>45507810749180016948</t>
  </si>
  <si>
    <t>ПОПОВА ГАЛИНА ИВАНОВНА</t>
  </si>
  <si>
    <t>45507810449270013818</t>
  </si>
  <si>
    <t>45507810749270012988</t>
  </si>
  <si>
    <t>БОРОДИН АНАТОЛИЙ ЮРЬЕВИЧ</t>
  </si>
  <si>
    <t>45507810849420017293</t>
  </si>
  <si>
    <t>ФАТХИЕВ ФЛОРИТ ФЕДАРИСОВИЧ</t>
  </si>
  <si>
    <t>45507810149420022962</t>
  </si>
  <si>
    <t>ЮНИН СЕРГЕЙ ВАСИЛЬЕВИЧ</t>
  </si>
  <si>
    <t>45507810549420004111</t>
  </si>
  <si>
    <t>ЕХЛАКОВ АЛЕКСАНДР ВЛАДИМИРОВИЧ</t>
  </si>
  <si>
    <t>45506810349470006807</t>
  </si>
  <si>
    <t>45507810049470012200</t>
  </si>
  <si>
    <t>КРОТОВ ВАСИЛИЙ МИХАЙЛОВИЧ</t>
  </si>
  <si>
    <t>45507810549470013631</t>
  </si>
  <si>
    <t>АСЕЕВ ЮРИЙ ВЛАДИМИРОВИЧ</t>
  </si>
  <si>
    <t>45507810149490098201</t>
  </si>
  <si>
    <t>ТРУБИН АЛЕКСАНДР НИКОЛАЕВИЧ</t>
  </si>
  <si>
    <t>45507810749490022318</t>
  </si>
  <si>
    <t>ЧЕТИН ВАСИЛИЙ ИВАНОВИЧ</t>
  </si>
  <si>
    <t>45506810449500020789</t>
  </si>
  <si>
    <t>1793-20</t>
  </si>
  <si>
    <t>Вешкуров Станислав Николаевич</t>
  </si>
  <si>
    <t>45506810049520010742</t>
  </si>
  <si>
    <t>5294-57</t>
  </si>
  <si>
    <t>КОСТАРЕВА ЕЛЕНА АРКАДЬЕВНА</t>
  </si>
  <si>
    <t>45507810249520018417</t>
  </si>
  <si>
    <t>5294-84</t>
  </si>
  <si>
    <t>ЕРОХИНА ЛЮДМИЛА НИКОЛАЕВНА</t>
  </si>
  <si>
    <t>45507810049540003055</t>
  </si>
  <si>
    <t>Соловьев Олег Геннадьевич</t>
  </si>
  <si>
    <t>45506810728190006237</t>
  </si>
  <si>
    <t>Шайхуллин Халит Фаритович</t>
  </si>
  <si>
    <t>45506810128100008663</t>
  </si>
  <si>
    <t>new КФ Автокредит</t>
  </si>
  <si>
    <t>Волкова Валентина Нафанаиловна</t>
  </si>
  <si>
    <t>45507810928000076949</t>
  </si>
  <si>
    <t>Галкина Ольга Ивановна</t>
  </si>
  <si>
    <t>45507810028000066781</t>
  </si>
  <si>
    <t>Ройлян Николай Иванович</t>
  </si>
  <si>
    <t>45506810828000028810</t>
  </si>
  <si>
    <t>Тараскин Валерий Николаевич</t>
  </si>
  <si>
    <t>45507810328000023534</t>
  </si>
  <si>
    <t>ДЕГТЯННИКОВА МАРИНА ВИКТОРОВНА</t>
  </si>
  <si>
    <t>45507810068000074530</t>
  </si>
  <si>
    <t>8618-167</t>
  </si>
  <si>
    <t>Овсянникова Людмила Владимировна</t>
  </si>
  <si>
    <t>45506810168000041671</t>
  </si>
  <si>
    <t>РУССКИХ ЗИНАИДА СЕМЕНОВНА</t>
  </si>
  <si>
    <t>45506810568000045293</t>
  </si>
  <si>
    <t>БРАГИН ВЛАДИМИР ВЯЧЕСЛАВОВИЧ</t>
  </si>
  <si>
    <t>45507810068100010740</t>
  </si>
  <si>
    <t>ВДОВИН ДМИТРИЙ АЛЕКСЕЕВИЧ</t>
  </si>
  <si>
    <t>45507810368090000971</t>
  </si>
  <si>
    <t>Поторочин Виталий Серафимович</t>
  </si>
  <si>
    <t>45507810868090007076</t>
  </si>
  <si>
    <t>Серебренников Михаил Никонорович</t>
  </si>
  <si>
    <t>45505810068090001683</t>
  </si>
  <si>
    <t>Юрлов Александр Аркадьевич</t>
  </si>
  <si>
    <t>45507810668090016568</t>
  </si>
  <si>
    <t>ВОРОНЦОВА ТАТЬЯНА ВИКТОРОВНА</t>
  </si>
  <si>
    <t>45505810268140000897</t>
  </si>
  <si>
    <t>Аристов Сергей Аркадьевич</t>
  </si>
  <si>
    <t>45507810568210003956</t>
  </si>
  <si>
    <t>0078-68</t>
  </si>
  <si>
    <t>45507810768210025970</t>
  </si>
  <si>
    <t>0078-13-04</t>
  </si>
  <si>
    <t>45507810568210025785</t>
  </si>
  <si>
    <t>МЫМРИН АЛЕКСЕЙ ЮРЬЕВИЧ</t>
  </si>
  <si>
    <t>45507810368210022535</t>
  </si>
  <si>
    <t>Рыков Владимир Андреевич</t>
  </si>
  <si>
    <t>45507810068210026145</t>
  </si>
  <si>
    <t>МАЛЬЦЕВА НАТАЛЬЯ АНАТОЛЬЕВНА</t>
  </si>
  <si>
    <t>45507810968220004600</t>
  </si>
  <si>
    <t>C:\Мои_документы\KRVS\01-12-11</t>
  </si>
  <si>
    <t>РЕСПУБЛИКА СЕВЕРНАЯ ОСЕТИЯ-АЛАНИЯ</t>
  </si>
  <si>
    <t>ДНЕПРОПЕТРОВСКАЯ ОБЛАСТЬ</t>
  </si>
  <si>
    <t>БАЛЕЗИНСКИЙ</t>
  </si>
  <si>
    <t>45515810949000000101</t>
  </si>
  <si>
    <t>45515810349000000109</t>
  </si>
  <si>
    <t>45818810449000102002</t>
  </si>
  <si>
    <t>45515810849030000006</t>
  </si>
  <si>
    <t>45515810649030000015</t>
  </si>
  <si>
    <t>45515810949030000016</t>
  </si>
  <si>
    <t>45515810849090000033</t>
  </si>
  <si>
    <t>45515810649090000039</t>
  </si>
  <si>
    <t>45515810049090000040</t>
  </si>
  <si>
    <t>45515810149090000050</t>
  </si>
  <si>
    <t>45818810249090102005</t>
  </si>
  <si>
    <t>45818810249090102018</t>
  </si>
  <si>
    <t>45818810649090102032</t>
  </si>
  <si>
    <t>45818810149090102040</t>
  </si>
  <si>
    <t>45818810849090102544</t>
  </si>
  <si>
    <t>45515810049100000040</t>
  </si>
  <si>
    <t>45515810849100000046</t>
  </si>
  <si>
    <t>45515810249100000057</t>
  </si>
  <si>
    <t>45515810249140000017</t>
  </si>
  <si>
    <t>45515810849150000012</t>
  </si>
  <si>
    <t>45818810949150102656</t>
  </si>
  <si>
    <t>45515810149160000016</t>
  </si>
  <si>
    <t>45515810449160000020</t>
  </si>
  <si>
    <t>45515810349160000023</t>
  </si>
  <si>
    <t>45515810649160000024</t>
  </si>
  <si>
    <t>45515810649170000056</t>
  </si>
  <si>
    <t>45515810549170000059</t>
  </si>
  <si>
    <t>45515810249170000061</t>
  </si>
  <si>
    <t>45515810549180000049</t>
  </si>
  <si>
    <t>45515810949180000050</t>
  </si>
  <si>
    <t>45515810249180000051</t>
  </si>
  <si>
    <t>45515810549180000052</t>
  </si>
  <si>
    <t>45515810049180000057</t>
  </si>
  <si>
    <t>45515810849180000079</t>
  </si>
  <si>
    <t>45515810549180000081</t>
  </si>
  <si>
    <t>45515810749230000689</t>
  </si>
  <si>
    <t>45818810349230102037</t>
  </si>
  <si>
    <t>45515810649270000011</t>
  </si>
  <si>
    <t>45515810849270000015</t>
  </si>
  <si>
    <t>45515810549270000140</t>
  </si>
  <si>
    <t>45818810449270102104</t>
  </si>
  <si>
    <t>45515810249370000007</t>
  </si>
  <si>
    <t>45515810549370000008</t>
  </si>
  <si>
    <t>45818810949370102009</t>
  </si>
  <si>
    <t>45515810249420000070</t>
  </si>
  <si>
    <t>45515810949420000082</t>
  </si>
  <si>
    <t>45515810549420000084</t>
  </si>
  <si>
    <t>45515810649420007822</t>
  </si>
  <si>
    <t>45515810649470000015</t>
  </si>
  <si>
    <t>45515810949470000016</t>
  </si>
  <si>
    <t>45515810849500000002</t>
  </si>
  <si>
    <t>45515810049500000006</t>
  </si>
  <si>
    <t>45515810549500000030</t>
  </si>
  <si>
    <t>45515810549500000043</t>
  </si>
  <si>
    <t>45515810449500000172</t>
  </si>
  <si>
    <t>45515810549500000551</t>
  </si>
  <si>
    <t>45515810149500000553</t>
  </si>
  <si>
    <t>45515810049500000556</t>
  </si>
  <si>
    <t>45515810349500000557</t>
  </si>
  <si>
    <t>45515810549500000564</t>
  </si>
  <si>
    <t>45818810449500102023</t>
  </si>
  <si>
    <t>45818810349500102068</t>
  </si>
  <si>
    <t>45818810049500102083</t>
  </si>
  <si>
    <t>45818810749500102587</t>
  </si>
  <si>
    <t>45818810049500102588</t>
  </si>
  <si>
    <t>45515810449510000010</t>
  </si>
  <si>
    <t>45515810249510000016</t>
  </si>
  <si>
    <t>45515810249510000100</t>
  </si>
  <si>
    <t>45515810249510010103</t>
  </si>
  <si>
    <t>45515810749510010111</t>
  </si>
  <si>
    <t>45818810849510102147</t>
  </si>
  <si>
    <t>45515810549520000007</t>
  </si>
  <si>
    <t>45515810849520000011</t>
  </si>
  <si>
    <t>45515810149520000038</t>
  </si>
  <si>
    <t>45515810149520000041</t>
  </si>
  <si>
    <t>45515810449520000042</t>
  </si>
  <si>
    <t>45515810749520000043</t>
  </si>
  <si>
    <t>45515810349520000045</t>
  </si>
  <si>
    <t>45515810649520000046</t>
  </si>
  <si>
    <t>45515810649520000059</t>
  </si>
  <si>
    <t>45515810049520000060</t>
  </si>
  <si>
    <t>45515810849520000066</t>
  </si>
  <si>
    <t>45515810749520000069</t>
  </si>
  <si>
    <t>45818810749520102004</t>
  </si>
  <si>
    <t>45818810049520102018</t>
  </si>
  <si>
    <t>45818810349520102048</t>
  </si>
  <si>
    <t>45818810049520102610</t>
  </si>
  <si>
    <t>45818810349520102611</t>
  </si>
  <si>
    <t>45515810349540000009</t>
  </si>
  <si>
    <t>45818810049540102014</t>
  </si>
  <si>
    <t>45515810728190000020</t>
  </si>
  <si>
    <t>45515810028190000021</t>
  </si>
  <si>
    <t>45515810328190000022</t>
  </si>
  <si>
    <t>45515810128190000028</t>
  </si>
  <si>
    <t>45515810428190000029</t>
  </si>
  <si>
    <t>45515810828190000030</t>
  </si>
  <si>
    <t>45515810828190090341</t>
  </si>
  <si>
    <t>45818810828190102596</t>
  </si>
  <si>
    <t>45818810728190102609</t>
  </si>
  <si>
    <t>45515810828100000004</t>
  </si>
  <si>
    <t>45515810828100090360</t>
  </si>
  <si>
    <t>45818810228100102005</t>
  </si>
  <si>
    <t>45515810228140014003</t>
  </si>
  <si>
    <t>45515810028140090298</t>
  </si>
  <si>
    <t>45818810428140102580</t>
  </si>
  <si>
    <t>45818810728140102581</t>
  </si>
  <si>
    <t>45818810028140102582</t>
  </si>
  <si>
    <t>45818810328140102583</t>
  </si>
  <si>
    <t>45818810628140102584</t>
  </si>
  <si>
    <t>45818810628140102607</t>
  </si>
  <si>
    <t>45515810428150000030</t>
  </si>
  <si>
    <t>45515810728150000031</t>
  </si>
  <si>
    <t>45515810028150000032</t>
  </si>
  <si>
    <t>45515810328150000033</t>
  </si>
  <si>
    <t>45818810928160102594</t>
  </si>
  <si>
    <t>45515810528000000019</t>
  </si>
  <si>
    <t>45515810228000000034</t>
  </si>
  <si>
    <t>45515810128000000037</t>
  </si>
  <si>
    <t>45515810028000000043</t>
  </si>
  <si>
    <t>45515810928000000062</t>
  </si>
  <si>
    <t>45515810028000000069</t>
  </si>
  <si>
    <t>45515810928000000075</t>
  </si>
  <si>
    <t>45515810228000000076</t>
  </si>
  <si>
    <t>45515810528000000077</t>
  </si>
  <si>
    <t>45515810428000090404</t>
  </si>
  <si>
    <t>45818810228000102163</t>
  </si>
  <si>
    <t>45515810768000000016</t>
  </si>
  <si>
    <t>45515810668000000019</t>
  </si>
  <si>
    <t>45515810268000000037</t>
  </si>
  <si>
    <t>45515810568000000041</t>
  </si>
  <si>
    <t>45515810068000059039</t>
  </si>
  <si>
    <t>45515810968000059045</t>
  </si>
  <si>
    <t>45818810968000102042</t>
  </si>
  <si>
    <t>45515810468090000119</t>
  </si>
  <si>
    <t>45515810768090000327</t>
  </si>
  <si>
    <t>45515810368090000361</t>
  </si>
  <si>
    <t>45818810168090102043</t>
  </si>
  <si>
    <t>45515810368140000211</t>
  </si>
  <si>
    <t>45515810368140000318</t>
  </si>
  <si>
    <t>45515810668140060524</t>
  </si>
  <si>
    <t>45515810968140060525</t>
  </si>
  <si>
    <t>45515810968210000004</t>
  </si>
  <si>
    <t>45515810568210000006</t>
  </si>
  <si>
    <t>45515810268220000011</t>
  </si>
  <si>
    <t>45515810868220000013</t>
  </si>
  <si>
    <t>45515810168220000014</t>
  </si>
  <si>
    <t>45515810468220000015</t>
  </si>
  <si>
    <t>45515810768220000016</t>
  </si>
  <si>
    <t>1638-03</t>
  </si>
  <si>
    <t>1668-66</t>
  </si>
  <si>
    <t>1623-28-03</t>
  </si>
  <si>
    <t>1629-55</t>
  </si>
  <si>
    <t>5294-56</t>
  </si>
  <si>
    <t>1663-81</t>
  </si>
  <si>
    <t>4465-53</t>
  </si>
  <si>
    <t>4482-038</t>
  </si>
  <si>
    <t>ХАЛИУЛЛИНА ЮЛИЯ НИКОЛАЕВНА</t>
  </si>
  <si>
    <t>45507810249030025026</t>
  </si>
  <si>
    <t>КАШИНА НИНА МИХАЙЛОВНА</t>
  </si>
  <si>
    <t>45507810349100018889</t>
  </si>
  <si>
    <t>ЛЫКОВ ИГОРЬ АЛЕКСАНДРОВИЧ</t>
  </si>
  <si>
    <t>45507810149100015930</t>
  </si>
  <si>
    <t>КОЛЕСНИКОВА ОЛЬГА АЛЕКСЕЕВНА</t>
  </si>
  <si>
    <t>45507810049150017842</t>
  </si>
  <si>
    <t>ХИСМАТУЛИН ГАЛЕЙ МИНАБОВИЧ</t>
  </si>
  <si>
    <t>45507810149150007590</t>
  </si>
  <si>
    <t>НОВИКОВА СВЕТЛАНА ИВАНОВНА</t>
  </si>
  <si>
    <t>45506810749160016121</t>
  </si>
  <si>
    <t>ПЕТУХОВА ОЛЬГА ПАВЛОВНА</t>
  </si>
  <si>
    <t>45507810949170016868</t>
  </si>
  <si>
    <t>ГРЕХОВ АНДРЕЙ СТЕПАНОВИЧ</t>
  </si>
  <si>
    <t>45507810449240023074</t>
  </si>
  <si>
    <t>НАСРЕТДИНОВ АЛИ МУХАММЕТОВИЧ</t>
  </si>
  <si>
    <t>45507810349270013316</t>
  </si>
  <si>
    <t>ЗАГВОЗКИН АЛЕКСАНДР ПАВЛОВИЧ</t>
  </si>
  <si>
    <t>45507810349420025251</t>
  </si>
  <si>
    <t>МАКАРОВ МИХАИЛ ПЕТРОВИЧ</t>
  </si>
  <si>
    <t>45506810749420011248</t>
  </si>
  <si>
    <t>МУСИХИН СЕРГЕЙ АЛЕКСЕЕВИЧ</t>
  </si>
  <si>
    <t>45507810949420011296</t>
  </si>
  <si>
    <t>СУФИЯРОВ АЙДАР МАДХАТОВИЧ</t>
  </si>
  <si>
    <t>45507810749420027516</t>
  </si>
  <si>
    <t>КУЛАГИН ВЛАДИМИР НИКОЛАЕВИЧ</t>
  </si>
  <si>
    <t>45507810249470007536</t>
  </si>
  <si>
    <t>КРИВОШЕЕВ ВИКТОР ИГНАТЬЕВИЧ</t>
  </si>
  <si>
    <t>45506810949490026665</t>
  </si>
  <si>
    <t>КРОПАЧЕВА ИРИНА ЛЕОНИДОВНА</t>
  </si>
  <si>
    <t>45507810649490020672</t>
  </si>
  <si>
    <t>НОВОСЕЛОВ ДМИТРИЙ НИКОЛАЕВИЧ</t>
  </si>
  <si>
    <t>45507810149490028527</t>
  </si>
  <si>
    <t>СТОЖКОВ ИГОРЬ МИХАЙЛОВИЧ</t>
  </si>
  <si>
    <t>45507810249500025475</t>
  </si>
  <si>
    <t>Шибаров Александр Михайлович</t>
  </si>
  <si>
    <t>45507810749500024714</t>
  </si>
  <si>
    <t>ЛОШКАРЕВ ВИКТОР ВЛАДИМИРОВИЧ</t>
  </si>
  <si>
    <t>45507810649520017759</t>
  </si>
  <si>
    <t>45506810949520008029</t>
  </si>
  <si>
    <t>НАКАРЯКОВ АНДРЕЙ АЛЕКСАНДРОВИЧ</t>
  </si>
  <si>
    <t>1119-З</t>
  </si>
  <si>
    <t>45507810549520015071</t>
  </si>
  <si>
    <t>ЧЕРЕМНЫХ ГАЛИНА ВЛАДИМИРОВНА</t>
  </si>
  <si>
    <t>45507810449520014091</t>
  </si>
  <si>
    <t>КОНЫШЕВА СВЕТЛАНА ВАЛЕНТИНОВНА</t>
  </si>
  <si>
    <t>45507810049540012826</t>
  </si>
  <si>
    <t>ПЯТЫХ НИКОЛАЙ ВЛАДИМИРОВИЧ</t>
  </si>
  <si>
    <t>45506810949540010576</t>
  </si>
  <si>
    <t>Витязев Василий Егорович</t>
  </si>
  <si>
    <t>207-9</t>
  </si>
  <si>
    <t>45506810028050000824</t>
  </si>
  <si>
    <t>Канев Василий Иванович</t>
  </si>
  <si>
    <t>45506810228190012420</t>
  </si>
  <si>
    <t>Ясюк Роман Владимирович</t>
  </si>
  <si>
    <t>45507810728190013766</t>
  </si>
  <si>
    <t>Пашинская Зоя Александровна</t>
  </si>
  <si>
    <t>45506810128140003097</t>
  </si>
  <si>
    <t>45507810328140001801</t>
  </si>
  <si>
    <t>45507810628140002607</t>
  </si>
  <si>
    <t>45507810528140002765</t>
  </si>
  <si>
    <t>45507810328140003498</t>
  </si>
  <si>
    <t>Трофимчук Юрий Олегович</t>
  </si>
  <si>
    <t>45507810228140016899</t>
  </si>
  <si>
    <t>РАДЧЕНКО АЛЕКСАНДР СЕРГЕЕВИЧ</t>
  </si>
  <si>
    <t>45507810128160011453</t>
  </si>
  <si>
    <t>45507810028160010224</t>
  </si>
  <si>
    <t>ДАНИЛОВ ЕВГЕНИЙ ИЛЬИЧ</t>
  </si>
  <si>
    <t>45507810128000023394</t>
  </si>
  <si>
    <t>МИРОНОВ ДМИТРИЙ МИХАЙЛОВИЧ</t>
  </si>
  <si>
    <t>45507810028090014112</t>
  </si>
  <si>
    <t>Савельев Виктор Иванович</t>
  </si>
  <si>
    <t>45507810328090002604</t>
  </si>
  <si>
    <t>БУШМАКИН ВЯЧЕСЛАВ ЮРЬЕВИЧ</t>
  </si>
  <si>
    <t>45506810468000039367</t>
  </si>
  <si>
    <t>Муртузова Екатерина Евгеньевна</t>
  </si>
  <si>
    <t>45506810568000049024</t>
  </si>
  <si>
    <t>45506810068000045065</t>
  </si>
  <si>
    <t>ОЖГИХИНА НИНА ГРИГОРЬЕВНА</t>
  </si>
  <si>
    <t>45507810068000061909</t>
  </si>
  <si>
    <t>РОМАНОВ ЮРИЙ БОРИСОВИЧ</t>
  </si>
  <si>
    <t>45506810468050004193</t>
  </si>
  <si>
    <t>Русских Лариса Петровна</t>
  </si>
  <si>
    <t>45506810468000049852</t>
  </si>
  <si>
    <t>Серов Константин Григорьевич</t>
  </si>
  <si>
    <t>45507810868000059917</t>
  </si>
  <si>
    <t>Блинов Михаил Сергеевич</t>
  </si>
  <si>
    <t>45506810768090005771</t>
  </si>
  <si>
    <t>Вихарев Андрей Ефремович</t>
  </si>
  <si>
    <t>45506810468090006559</t>
  </si>
  <si>
    <t>Масленников Владимир Николаевич</t>
  </si>
  <si>
    <t>45507810668100010247</t>
  </si>
  <si>
    <t>45507810168090012075</t>
  </si>
  <si>
    <t>САКЕРИНА ЛЮДМИЛА СЕРГЕЕВНА</t>
  </si>
  <si>
    <t>45506810568050004145</t>
  </si>
  <si>
    <t>Городилов Виталий Николаевич</t>
  </si>
  <si>
    <t>45506810768140007807</t>
  </si>
  <si>
    <t>ИЛЬИНА ЛАРИСА ТИМОФЕЕВНА</t>
  </si>
  <si>
    <t>45507810568160022074</t>
  </si>
  <si>
    <t>Борисов Сергей Геннадьевич</t>
  </si>
  <si>
    <t>45507810068210005315</t>
  </si>
  <si>
    <t>Зворыгина Наталия Анатольевна</t>
  </si>
  <si>
    <t>45507810168220005629</t>
  </si>
  <si>
    <t>45506810568220008829</t>
  </si>
  <si>
    <t>45506810168220008274</t>
  </si>
  <si>
    <t>ЧЕТВЕРИКОВА ВАЛЕНТИНА ДЕМЬЯНОВНА</t>
  </si>
  <si>
    <t>45506810868220007669</t>
  </si>
  <si>
    <t>МОГИЛЕВСКАЯ ОБЛАСТЬ</t>
  </si>
  <si>
    <t>C:\Мои_документы\14мсфо\01-01-12</t>
  </si>
  <si>
    <t>Остатки на 01.01.12</t>
  </si>
  <si>
    <t>Остатки на 01.01.12 1 portf</t>
  </si>
  <si>
    <t>Остатки на 01.01.12 3 portf</t>
  </si>
  <si>
    <t>Остатки на 01.01.12 4 portf</t>
  </si>
  <si>
    <t>Остатки на 01.01.12 2 portf</t>
  </si>
  <si>
    <t>Остатки на 01.01.12 5 portf</t>
  </si>
  <si>
    <t>Остатки на 01.01.12 6 portf</t>
  </si>
  <si>
    <t>Остатки на 01.01.12 7 portf</t>
  </si>
  <si>
    <t>ГОСБ</t>
  </si>
  <si>
    <t>45818810149100102066</t>
  </si>
  <si>
    <t>45818810149160102556</t>
  </si>
  <si>
    <t>45818810549180102039</t>
  </si>
  <si>
    <t>45818810949180102037</t>
  </si>
  <si>
    <t>45818810749230102048</t>
  </si>
  <si>
    <t>45818810149240102007</t>
  </si>
  <si>
    <t>45818810349240102030</t>
  </si>
  <si>
    <t>45818810849370102015</t>
  </si>
  <si>
    <t>45818810749420102007</t>
  </si>
  <si>
    <t>45818810349540102028</t>
  </si>
  <si>
    <t>45818810649540102029</t>
  </si>
  <si>
    <t>45818810028190102053</t>
  </si>
  <si>
    <t>45818810328000102102</t>
  </si>
  <si>
    <t>45818810368000102862</t>
  </si>
  <si>
    <t>45818810768000102860</t>
  </si>
  <si>
    <t>45818810668090102035</t>
  </si>
  <si>
    <t>45818810768210102003</t>
  </si>
  <si>
    <t>6984-0296-13</t>
  </si>
  <si>
    <t>6984-0309-13</t>
  </si>
  <si>
    <t>6984-0255</t>
  </si>
  <si>
    <t>6984-0292</t>
  </si>
  <si>
    <t>6984-0214</t>
  </si>
  <si>
    <t>ЯРОСЛАВЦЕВ КОНСТАНТИН НИКОЛАЕВИЧ</t>
  </si>
  <si>
    <t>1104 Кредит на неотложные нужды</t>
  </si>
  <si>
    <t>1040 Кредит на недвижимость</t>
  </si>
  <si>
    <t>1863 КФ Потребительский кредит</t>
  </si>
  <si>
    <t>1588 КФ Кредит на неотложные нужды-аннуитет (без обеспечения)</t>
  </si>
  <si>
    <t>1588 КФ Доверительный кредит-аннуитет</t>
  </si>
  <si>
    <t>1864 Доверительный плюс - аннуитет</t>
  </si>
  <si>
    <t>1701 КФ Потребительский кредит с поручительством</t>
  </si>
  <si>
    <t>1429 Личное подсобное хозяйство</t>
  </si>
  <si>
    <t>1104 Пенсионный кредит</t>
  </si>
  <si>
    <t>1675-29</t>
  </si>
  <si>
    <t>ГУЛЯЕВ ВАСИЛИЙ МАКСИМОВИЧ</t>
  </si>
  <si>
    <t>45505810249470002957</t>
  </si>
  <si>
    <t>1736 КФ Автокредит</t>
  </si>
  <si>
    <t>ЗИКАНОВ ВЛАДИМИР АЛЕКСАНДРОВИЧ</t>
  </si>
  <si>
    <t>45506810149520009938</t>
  </si>
  <si>
    <t>ПОДОРОВА НИНА МИХАЙЛОВНА</t>
  </si>
  <si>
    <t>45507810928000071724</t>
  </si>
  <si>
    <t>8618-71-03</t>
  </si>
  <si>
    <t>ХАИРОВА ЛЮБОВЬ СТЕПАНОВНА</t>
  </si>
  <si>
    <t>45506810568050004776</t>
  </si>
  <si>
    <t>СЕЛЬСКИЕ НАСЕЛЕННЫЕ ПУНКТЫ, ПОДЧИНЕННЫЕ АДМИНИСТРАТИВНОЙ ТЕРРИТОРИИ Г МИКУНЬ</t>
  </si>
  <si>
    <t>АСТАФЬЕВА ЛЮДМИЛА ИВАНОВНА</t>
  </si>
  <si>
    <t>45506810449030015264</t>
  </si>
  <si>
    <t>КАЗАРИНОВА ЛЮДМИЛА ВИТАЛЬЕВНА</t>
  </si>
  <si>
    <t>45507810549100019374</t>
  </si>
  <si>
    <t>ПУТИН АЛЕКСАНДР ГЕОРГИЕВИЧ</t>
  </si>
  <si>
    <t>45507810449100015614</t>
  </si>
  <si>
    <t>45507810749100012812</t>
  </si>
  <si>
    <t>ЧАЛОВ ЮРИЙ АЛЕКСАНДРОВИЧ</t>
  </si>
  <si>
    <t>45507810149100015095</t>
  </si>
  <si>
    <t>НОВОСЕЛОВА ТАТЬЯНА ВАСИЛЬЕВНА</t>
  </si>
  <si>
    <t>45507810049150016717</t>
  </si>
  <si>
    <t>КОЧКИН ЮРИЙ ПАВЛОВИЧ</t>
  </si>
  <si>
    <t>45506810849090019936</t>
  </si>
  <si>
    <t>МЫШКИНА ЕЛЕНА ДМИТРИЕВНА</t>
  </si>
  <si>
    <t>45506810249090023933</t>
  </si>
  <si>
    <t xml:space="preserve">ШАПКИН ЮРИЙ НИКОЛАЕВИЧ </t>
  </si>
  <si>
    <t>45507810949500021122</t>
  </si>
  <si>
    <t>ЮГОВ ВЛАДИМИР ЯКОВЛЕВИЧ</t>
  </si>
  <si>
    <t>45507810949490033152</t>
  </si>
  <si>
    <t>РЕДЬКИН ПАВЕЛ АЛЕКСАНДРОВИЧ</t>
  </si>
  <si>
    <t>45507810549500012052</t>
  </si>
  <si>
    <t>ДЕНИСОВА ИРАИДА ФЕДОРОВНА</t>
  </si>
  <si>
    <t>45507810949540015253</t>
  </si>
  <si>
    <t>КАЛАЧЕВА ЛЮДМИЛА ЮРЬЕВНА</t>
  </si>
  <si>
    <t>45507810949540008639</t>
  </si>
  <si>
    <t>45507810349540007654</t>
  </si>
  <si>
    <t>Анисимов Сергей Иванович</t>
  </si>
  <si>
    <t>45507810528190016222</t>
  </si>
  <si>
    <t>Опанасенко Галина Ивановна</t>
  </si>
  <si>
    <t>45507810328190003202</t>
  </si>
  <si>
    <t>1007-5</t>
  </si>
  <si>
    <t>45507810328190025879</t>
  </si>
  <si>
    <t>Головин Михаил Семенович</t>
  </si>
  <si>
    <t>45506810328100008175</t>
  </si>
  <si>
    <t>Гурьев Александр Иванович</t>
  </si>
  <si>
    <t>45506810828000023433</t>
  </si>
  <si>
    <t>Жданович Александр Васильевич</t>
  </si>
  <si>
    <t>45507810728000023147</t>
  </si>
  <si>
    <t>Иевлев Василий Прокопьевич</t>
  </si>
  <si>
    <t>45507810028000085791</t>
  </si>
  <si>
    <t>8617-02-75</t>
  </si>
  <si>
    <t>Козловская Тамара Васильевна</t>
  </si>
  <si>
    <t>45507810728180000284</t>
  </si>
  <si>
    <t>Кудрицкая Валентина Ивановна</t>
  </si>
  <si>
    <t>45507810928030006662</t>
  </si>
  <si>
    <t>Моисеев Александр Петрович</t>
  </si>
  <si>
    <t>45507810928000074776</t>
  </si>
  <si>
    <t>Циммерман Людмила Сергеевна</t>
  </si>
  <si>
    <t>45507810828000070537</t>
  </si>
  <si>
    <t>45507810728000028427</t>
  </si>
  <si>
    <t>Бушков Алексей Валериевич</t>
  </si>
  <si>
    <t>45507810668000076530</t>
  </si>
  <si>
    <t>ГАБДРАХМАНОВ ЗИНУР МИНЗАНУРОВИЧ</t>
  </si>
  <si>
    <t>45507810868000071898</t>
  </si>
  <si>
    <t>Глушков Иван Владимирович</t>
  </si>
  <si>
    <t>45506810068000050089</t>
  </si>
  <si>
    <t>Исаева Татьяна Николаевна</t>
  </si>
  <si>
    <t>45507810268000063260</t>
  </si>
  <si>
    <t>Куликов Сергей Николаевич</t>
  </si>
  <si>
    <t>45506810368000046175</t>
  </si>
  <si>
    <t>ЛЯНГУЗОВ ВЛАДИМИР МИХАЙЛОВИЧ</t>
  </si>
  <si>
    <t>45506810668000044806</t>
  </si>
  <si>
    <t>Халимова Альфия Абударовна</t>
  </si>
  <si>
    <t>45507810168000046138</t>
  </si>
  <si>
    <t>Шишкин Антон Сергеевич</t>
  </si>
  <si>
    <t>45506810168000038820</t>
  </si>
  <si>
    <t>ЛАВРОВ ИГОРЬ НИКОЛАЕВИЧ</t>
  </si>
  <si>
    <t>45507810668210025533</t>
  </si>
  <si>
    <t>45515810049030000026</t>
  </si>
  <si>
    <t>45818810149030102026</t>
  </si>
  <si>
    <t>45818810249030102065</t>
  </si>
  <si>
    <t>45818810649030102005</t>
  </si>
  <si>
    <t>45515810549100000090</t>
  </si>
  <si>
    <t>45515810749150000015</t>
  </si>
  <si>
    <t>45818810549150102014</t>
  </si>
  <si>
    <t>45515810149160000032</t>
  </si>
  <si>
    <t>45818810249160102003</t>
  </si>
  <si>
    <t>45818810949170102047</t>
  </si>
  <si>
    <t>45818810349180102909</t>
  </si>
  <si>
    <t>45515810449270000143</t>
  </si>
  <si>
    <t>45818810149270102886</t>
  </si>
  <si>
    <t>45818810649270102111</t>
  </si>
  <si>
    <t>45818810649370102037</t>
  </si>
  <si>
    <t>45818810149420102005</t>
  </si>
  <si>
    <t>45818810649420102893</t>
  </si>
  <si>
    <t>45515810249470000017</t>
  </si>
  <si>
    <t>45515810549470000018</t>
  </si>
  <si>
    <t>45818810449470102894</t>
  </si>
  <si>
    <t>45818810749470102895</t>
  </si>
  <si>
    <t>45515810249540000060</t>
  </si>
  <si>
    <t>45515810549540000061</t>
  </si>
  <si>
    <t>45515810849540000062</t>
  </si>
  <si>
    <t>45818810549540102006</t>
  </si>
  <si>
    <t>45515810028190000034</t>
  </si>
  <si>
    <t>45515810028190090358</t>
  </si>
  <si>
    <t>45515810228190000038</t>
  </si>
  <si>
    <t>45515810528190000013</t>
  </si>
  <si>
    <t>45515810628190000036</t>
  </si>
  <si>
    <t>45515810928190000037</t>
  </si>
  <si>
    <t>45818810028190102891</t>
  </si>
  <si>
    <t>45818810728190102874</t>
  </si>
  <si>
    <t>45818810928190102001</t>
  </si>
  <si>
    <t>45818810928190102027</t>
  </si>
  <si>
    <t>45818810828100102049</t>
  </si>
  <si>
    <t>45818810228150102932</t>
  </si>
  <si>
    <t>45818810528160102020</t>
  </si>
  <si>
    <t>45515810128000000082</t>
  </si>
  <si>
    <t>45515810328000000099</t>
  </si>
  <si>
    <t>45515810828000000094</t>
  </si>
  <si>
    <t>45515810928000000088</t>
  </si>
  <si>
    <t>45515810928000090001</t>
  </si>
  <si>
    <t>45818810128000102001</t>
  </si>
  <si>
    <t>45515810068000000059</t>
  </si>
  <si>
    <t>45515810868000059035</t>
  </si>
  <si>
    <t>45515810668090000375</t>
  </si>
  <si>
    <t>45515810768090000369</t>
  </si>
  <si>
    <t>45515810768090000372</t>
  </si>
  <si>
    <t>45515810968090000376</t>
  </si>
  <si>
    <t>45818810968140102834</t>
  </si>
  <si>
    <t>45515810168160004044</t>
  </si>
  <si>
    <t>45515810768160006345</t>
  </si>
  <si>
    <t>45818810268160102006</t>
  </si>
  <si>
    <t>45515810068210000014</t>
  </si>
  <si>
    <t>45515810068210060481</t>
  </si>
  <si>
    <t>45515810068220000017</t>
  </si>
  <si>
    <t>45515810368220000018</t>
  </si>
  <si>
    <t>45515810368220059069</t>
  </si>
  <si>
    <t>45818810668220102025</t>
  </si>
  <si>
    <t>село Куратово</t>
  </si>
  <si>
    <t>Тарумовский район</t>
  </si>
  <si>
    <t>Районы Республики Дагестан/</t>
  </si>
  <si>
    <t>ПЕРМСКИЙ РАЙОН</t>
  </si>
  <si>
    <t>Забайкальский край</t>
  </si>
  <si>
    <t>6984-0245</t>
  </si>
  <si>
    <t>ГИЛЕВ ВИКТОР АЛЕКСЕЕВИЧ</t>
  </si>
  <si>
    <t>45507810949150016956</t>
  </si>
  <si>
    <t>ЛЯШКОВА ЖАННА ВЛАДИМИРОВНА</t>
  </si>
  <si>
    <t>45507810849160030996</t>
  </si>
  <si>
    <t>УДОВЕНКО АРТЁМ ЮРЬЕВИЧ</t>
  </si>
  <si>
    <t>45507810249180015546</t>
  </si>
  <si>
    <t>6131-00-13</t>
  </si>
  <si>
    <t>КУТЯВИН ЮРИЙ ЛЕОНИДОВИЧ</t>
  </si>
  <si>
    <t>45507810449230012176</t>
  </si>
  <si>
    <t>1441 Автокредит</t>
  </si>
  <si>
    <t>КИСЕЛЁВ АЛЕКСАНДР СЕРГЕЕВИЧ</t>
  </si>
  <si>
    <t>45507810749470016030</t>
  </si>
  <si>
    <t>1675-13-04</t>
  </si>
  <si>
    <t>45507810249470006773</t>
  </si>
  <si>
    <t>КРЫЛОВА АННА ИВАНОВНА</t>
  </si>
  <si>
    <t>45506810149470016369</t>
  </si>
  <si>
    <t>Зайнуллин Габделахать Валиахметович</t>
  </si>
  <si>
    <t>45506810049490019815</t>
  </si>
  <si>
    <t>1736 КФ Автокредит (субсидия)</t>
  </si>
  <si>
    <t>Никулин Александр Аркадьевич</t>
  </si>
  <si>
    <t>45507810449490038411</t>
  </si>
  <si>
    <t>45507810049490031779</t>
  </si>
  <si>
    <t>УСМАНОВ ЗУФЕР АХМЕТОВИЧ</t>
  </si>
  <si>
    <t>45506810949500018974</t>
  </si>
  <si>
    <t>ВАРАНКИН ОЛЕГ БОРИСОВИЧ</t>
  </si>
  <si>
    <t>45507810249520014673</t>
  </si>
  <si>
    <t>6984-0309</t>
  </si>
  <si>
    <t>КАТАЕВ ЛЕОНИД ЮРЬЕВИЧ</t>
  </si>
  <si>
    <t>45507810449540017447</t>
  </si>
  <si>
    <t xml:space="preserve">РУДНЕВ АЛЕКСАНДР НИКОЛАЕВИЧ </t>
  </si>
  <si>
    <t>45507810249540013311</t>
  </si>
  <si>
    <t>45507810649540016015</t>
  </si>
  <si>
    <t>СЕРГЕЕВА ЛЮДМИЛА ВИЛЬГЕЛЬМОВНА</t>
  </si>
  <si>
    <t>45507810649540013173</t>
  </si>
  <si>
    <t>Анищик Алексей Васильевич</t>
  </si>
  <si>
    <t>45507810028190002529</t>
  </si>
  <si>
    <t>6269-4-01</t>
  </si>
  <si>
    <t>Баскаков Николай Алексеевич</t>
  </si>
  <si>
    <t>45507810028190013437</t>
  </si>
  <si>
    <t>45507810028190008235</t>
  </si>
  <si>
    <t>45507810728190010565</t>
  </si>
  <si>
    <t>Родченкова Мария Терентьевна</t>
  </si>
  <si>
    <t>45507810228100007987</t>
  </si>
  <si>
    <t>Терентьев Евгений Александрович</t>
  </si>
  <si>
    <t>45507810228100006302</t>
  </si>
  <si>
    <t>1864 КФ Доверительный кредит</t>
  </si>
  <si>
    <t>Исмагилов Фарит Хабибрахманович</t>
  </si>
  <si>
    <t>45507810728150004388</t>
  </si>
  <si>
    <t>Барт Владимир Владимирович</t>
  </si>
  <si>
    <t>45507810728000073113</t>
  </si>
  <si>
    <t>Быков Юрий Алексеевич</t>
  </si>
  <si>
    <t>45507810528000067989</t>
  </si>
  <si>
    <t>Деденков Степан Филиппович</t>
  </si>
  <si>
    <t>45506810128000029768</t>
  </si>
  <si>
    <t>8617-02-74</t>
  </si>
  <si>
    <t>Ерофеев Вячеслав Рудольфович</t>
  </si>
  <si>
    <t>45506810828000019942</t>
  </si>
  <si>
    <t>Турышева Тамара Дмитриевна</t>
  </si>
  <si>
    <t>45506810528000030292</t>
  </si>
  <si>
    <t>Яшник Владимир Яковлевич</t>
  </si>
  <si>
    <t>45507810528000072398</t>
  </si>
  <si>
    <t>Губаева Ирина Владимировна</t>
  </si>
  <si>
    <t>45507810668000074309</t>
  </si>
  <si>
    <t>Димухаметов Ринат Миннемухаметович</t>
  </si>
  <si>
    <t>45507810568000078214</t>
  </si>
  <si>
    <t>Бузанаков Денис Фаридович</t>
  </si>
  <si>
    <t>45507810668090008026</t>
  </si>
  <si>
    <t>45507810668090022099</t>
  </si>
  <si>
    <t>Горбушин Лев Аркадьевич</t>
  </si>
  <si>
    <t>45506810168090010227</t>
  </si>
  <si>
    <t>45507810568090008003</t>
  </si>
  <si>
    <t>Калинин Сергей Анатольевич</t>
  </si>
  <si>
    <t>45506810668090007374</t>
  </si>
  <si>
    <t>ЛУПАНОВА ЛЮДМИЛА НИКОЛАЕВНА</t>
  </si>
  <si>
    <t>45506810668090009453</t>
  </si>
  <si>
    <t>Чиркова Римма Васильевна</t>
  </si>
  <si>
    <t>45506810568090008525</t>
  </si>
  <si>
    <t>СЕМЕНОВ ЛЕОНИД ЕЛИЗАРОВИЧ</t>
  </si>
  <si>
    <t>45506810168160009249</t>
  </si>
  <si>
    <t>Федоров Анатолий Серафимович</t>
  </si>
  <si>
    <t>45507810168220006822</t>
  </si>
  <si>
    <t>45507810768220009601</t>
  </si>
  <si>
    <t>953 Овердрафт разрешенный</t>
  </si>
  <si>
    <t>6984-0266</t>
  </si>
  <si>
    <t>6984-0287</t>
  </si>
  <si>
    <t>do 90</t>
  </si>
  <si>
    <t>&gt;90</t>
  </si>
  <si>
    <t>6984-0299</t>
  </si>
  <si>
    <t>6984-0296</t>
  </si>
  <si>
    <t>6984-30</t>
  </si>
  <si>
    <t>45515810349030000027</t>
  </si>
  <si>
    <t>45515810849030000271</t>
  </si>
  <si>
    <t>45818810549030102082</t>
  </si>
  <si>
    <t>45515810349100000096</t>
  </si>
  <si>
    <t>45515810849100000091</t>
  </si>
  <si>
    <t>45515810949100000056</t>
  </si>
  <si>
    <t>45515810049140000026</t>
  </si>
  <si>
    <t>45515810149140000023</t>
  </si>
  <si>
    <t>45515810249140000004</t>
  </si>
  <si>
    <t>45515810249140000059</t>
  </si>
  <si>
    <t>45515810449140000024</t>
  </si>
  <si>
    <t>45515810749140000025</t>
  </si>
  <si>
    <t>45515810949140000061</t>
  </si>
  <si>
    <t>45818810949140102006</t>
  </si>
  <si>
    <t>45515810349150000017</t>
  </si>
  <si>
    <t>45515810349150000020</t>
  </si>
  <si>
    <t>45515810649150000018</t>
  </si>
  <si>
    <t>45515810949150000019</t>
  </si>
  <si>
    <t>45515810949150000022</t>
  </si>
  <si>
    <t>45515810149160000003</t>
  </si>
  <si>
    <t>45515810349160000036</t>
  </si>
  <si>
    <t>45515810349160000201</t>
  </si>
  <si>
    <t>45515810649160000037</t>
  </si>
  <si>
    <t>45515810649160000040</t>
  </si>
  <si>
    <t>45515810749160000034</t>
  </si>
  <si>
    <t>45515810949160000038</t>
  </si>
  <si>
    <t>45818810649160102001</t>
  </si>
  <si>
    <t>45818810849160102034</t>
  </si>
  <si>
    <t>45515810049170000041</t>
  </si>
  <si>
    <t>45515810349170000071</t>
  </si>
  <si>
    <t>45515810449170000023</t>
  </si>
  <si>
    <t>45515810649170000069</t>
  </si>
  <si>
    <t>45818810049170102015</t>
  </si>
  <si>
    <t>45515810749180000085</t>
  </si>
  <si>
    <t>45515810849180000082</t>
  </si>
  <si>
    <t>45818810149230102033</t>
  </si>
  <si>
    <t>45818810649230102054</t>
  </si>
  <si>
    <t>45515810049240000023</t>
  </si>
  <si>
    <t>45515810549240000057</t>
  </si>
  <si>
    <t>45818810949240102993</t>
  </si>
  <si>
    <t>45818810749270102118</t>
  </si>
  <si>
    <t>45515810149370100049</t>
  </si>
  <si>
    <t>45515810549370000011</t>
  </si>
  <si>
    <t>45515810849370000012</t>
  </si>
  <si>
    <t>45515810349420000093</t>
  </si>
  <si>
    <t>45515810949420000095</t>
  </si>
  <si>
    <t>45515810049470000026</t>
  </si>
  <si>
    <t>45515810149470000023</t>
  </si>
  <si>
    <t>45515810349470000027</t>
  </si>
  <si>
    <t>45515810449470000024</t>
  </si>
  <si>
    <t>45515810649470000002</t>
  </si>
  <si>
    <t>45515810749470000025</t>
  </si>
  <si>
    <t>45818810249470102939</t>
  </si>
  <si>
    <t>45818810549470102037</t>
  </si>
  <si>
    <t>45818810849470102070</t>
  </si>
  <si>
    <t>45515810049540000011</t>
  </si>
  <si>
    <t>45515810049540000040</t>
  </si>
  <si>
    <t>45515810049540000095</t>
  </si>
  <si>
    <t>45515810649540000097</t>
  </si>
  <si>
    <t>45515810849540000091</t>
  </si>
  <si>
    <t>45818810049540102001</t>
  </si>
  <si>
    <t>45515810028190000047</t>
  </si>
  <si>
    <t>45515810028190004001</t>
  </si>
  <si>
    <t>45515810128190000044</t>
  </si>
  <si>
    <t>45515810128190090342</t>
  </si>
  <si>
    <t>45515810228190000041</t>
  </si>
  <si>
    <t>45515810328190000051</t>
  </si>
  <si>
    <t>45515810428190000045</t>
  </si>
  <si>
    <t>45515810428190002001</t>
  </si>
  <si>
    <t>45515810528190000042</t>
  </si>
  <si>
    <t>45515810628190000052</t>
  </si>
  <si>
    <t>45515810728190003001</t>
  </si>
  <si>
    <t>45818810228190102057</t>
  </si>
  <si>
    <t>45818810528190102003</t>
  </si>
  <si>
    <t>45818810628190102958</t>
  </si>
  <si>
    <t>45818810728190102955</t>
  </si>
  <si>
    <t>45818810928190102959</t>
  </si>
  <si>
    <t>45515810228100000015</t>
  </si>
  <si>
    <t>45515810828100000017</t>
  </si>
  <si>
    <t>45515810128140080001</t>
  </si>
  <si>
    <t>45818810328140102033</t>
  </si>
  <si>
    <t>45818810728140102044</t>
  </si>
  <si>
    <t>45515810928150000035</t>
  </si>
  <si>
    <t>45515810028000000108</t>
  </si>
  <si>
    <t>45515810128000000105</t>
  </si>
  <si>
    <t>45515810228000000115</t>
  </si>
  <si>
    <t>45515810328000090371</t>
  </si>
  <si>
    <t>45515810428000000106</t>
  </si>
  <si>
    <t>45515810528000000103</t>
  </si>
  <si>
    <t>45515810528000000116</t>
  </si>
  <si>
    <t>45515810628000000113</t>
  </si>
  <si>
    <t>45515810728000000013</t>
  </si>
  <si>
    <t>45515810828000000117</t>
  </si>
  <si>
    <t>45515810828000080001</t>
  </si>
  <si>
    <t>45515810928000000101</t>
  </si>
  <si>
    <t>45515810928000000114</t>
  </si>
  <si>
    <t>45818810528000102083</t>
  </si>
  <si>
    <t>45818810528000102973</t>
  </si>
  <si>
    <t>45818810728000102003</t>
  </si>
  <si>
    <t>45818810828000102974</t>
  </si>
  <si>
    <t>45515810068000000075</t>
  </si>
  <si>
    <t>45515810168000000069</t>
  </si>
  <si>
    <t>45515810168000000072</t>
  </si>
  <si>
    <t>45515810268000000079</t>
  </si>
  <si>
    <t>45515810368000000076</t>
  </si>
  <si>
    <t>45515810368000059043</t>
  </si>
  <si>
    <t>45515810468000000073</t>
  </si>
  <si>
    <t>45515810568000000070</t>
  </si>
  <si>
    <t>45515810668000000064</t>
  </si>
  <si>
    <t>45515810668000000077</t>
  </si>
  <si>
    <t>45515810668000000080</t>
  </si>
  <si>
    <t>45515810768000000074</t>
  </si>
  <si>
    <t>45515810768000062546</t>
  </si>
  <si>
    <t>45515810868000000068</t>
  </si>
  <si>
    <t>45515810968000000065</t>
  </si>
  <si>
    <t>45515810968000000078</t>
  </si>
  <si>
    <t>45818810468000102005</t>
  </si>
  <si>
    <t>45818810768000102093</t>
  </si>
  <si>
    <t>45818810768000102954</t>
  </si>
  <si>
    <t>45818810868000102045</t>
  </si>
  <si>
    <t>45515810268090000380</t>
  </si>
  <si>
    <t>45515810368090000387</t>
  </si>
  <si>
    <t>45515810568090000006</t>
  </si>
  <si>
    <t>45515810968090000211</t>
  </si>
  <si>
    <t>45818810868090102042</t>
  </si>
  <si>
    <t>45515810668140060508</t>
  </si>
  <si>
    <t>45818810168140102016</t>
  </si>
  <si>
    <t>45515810268160000032</t>
  </si>
  <si>
    <t>45515810468160003143</t>
  </si>
  <si>
    <t>45515810568160000033</t>
  </si>
  <si>
    <t>45515810968160000031</t>
  </si>
  <si>
    <t>45818810268160102048</t>
  </si>
  <si>
    <t>45818810868160102037</t>
  </si>
  <si>
    <t>45515810168210003131</t>
  </si>
  <si>
    <t>45515810268210000018</t>
  </si>
  <si>
    <t>45515810568210000019</t>
  </si>
  <si>
    <t>45515810968210000020</t>
  </si>
  <si>
    <t>45818810168210102056</t>
  </si>
  <si>
    <t>45818810968210102036</t>
  </si>
  <si>
    <t>45515810068220000020</t>
  </si>
  <si>
    <t>45515810368220000021</t>
  </si>
  <si>
    <t>45515810968220000023</t>
  </si>
  <si>
    <t>СЕДОВ СЕРГЕЙ СЕРГЕЕВИЧ</t>
  </si>
  <si>
    <t>45509978849090000020</t>
  </si>
  <si>
    <t>1207 Кредит на недвижимость по программе "Молодая семья"</t>
  </si>
  <si>
    <t>1040 Ипотечный +</t>
  </si>
  <si>
    <t>8618-38-03</t>
  </si>
  <si>
    <t>ФРУНЗЕНСКИЙ</t>
  </si>
  <si>
    <t>Районы Пермского края/</t>
  </si>
  <si>
    <t>Калининская область</t>
  </si>
  <si>
    <t>ГОРЬКОВСКИЙ</t>
  </si>
  <si>
    <t>4482-31</t>
  </si>
  <si>
    <t>ТОКАРЕВ АНАТОЛИЙ ВЛАДИМИРОВИЧ</t>
  </si>
  <si>
    <t>45507810949030024699</t>
  </si>
  <si>
    <t>АЗАНОВ ВЛАДИМИР ВАСИЛЬЕВИЧ</t>
  </si>
  <si>
    <t>45507810149100016793</t>
  </si>
  <si>
    <t>Балуева Любовь Константиновна</t>
  </si>
  <si>
    <t>45507810249100019632</t>
  </si>
  <si>
    <t>ЖЕРНАКОВА ТАМАРА СЕРГЕЕВНА</t>
  </si>
  <si>
    <t>45507810649100017616</t>
  </si>
  <si>
    <t>КОЧЕТОВ НИКОЛАЙ ЛЕОНТЬЕВИЧ</t>
  </si>
  <si>
    <t>45507810549100012973</t>
  </si>
  <si>
    <t>ОТИНОВ АЛЕКСАНДР ВАЛЕНТИНОВИЧ</t>
  </si>
  <si>
    <t>45507810749100020024</t>
  </si>
  <si>
    <t>45507810649100011256</t>
  </si>
  <si>
    <t>ПРОЗОРОВА МАРИНА АЛЕКСАНДРОВНА</t>
  </si>
  <si>
    <t>45506810149100008061</t>
  </si>
  <si>
    <t>СОЛОВЬЕВ АЛЕКСАНДР ВАЛЕРЬЕВИЧ</t>
  </si>
  <si>
    <t>45507810449100014741</t>
  </si>
  <si>
    <t>БАБИНА ЕЛЕНА ЕГОРОВНА</t>
  </si>
  <si>
    <t>45507810949140011563</t>
  </si>
  <si>
    <t>БАЯНДИНА ГАЛИНА ЕГОРОВНА</t>
  </si>
  <si>
    <t>45507810949140000257</t>
  </si>
  <si>
    <t>ВОЛКОВА ЕЛЕНА АРКАДЬЕВНА</t>
  </si>
  <si>
    <t>45507810749140013318</t>
  </si>
  <si>
    <t>0729-32</t>
  </si>
  <si>
    <t>ЛОПАТИНА ВАЛЕНТИНА МИХАЙЛОВНА</t>
  </si>
  <si>
    <t>45507810249140013193</t>
  </si>
  <si>
    <t>РАДОСТЕВ ЛЕОНИД АНДРЕЕВИЧ</t>
  </si>
  <si>
    <t>45507810449140006968</t>
  </si>
  <si>
    <t>САИТОВ СЕМЕН СЕРГЕЕВИЧ</t>
  </si>
  <si>
    <t>45506810149140015470</t>
  </si>
  <si>
    <t>0729-04</t>
  </si>
  <si>
    <t>ТУПИЦЫНА ЛАРИСА СЕРГЕЕВНА</t>
  </si>
  <si>
    <t>45506810149140015742</t>
  </si>
  <si>
    <t>ЯРКОВ АНДРЕЙ ЮРЬЕВИЧ</t>
  </si>
  <si>
    <t>45507810349140013611</t>
  </si>
  <si>
    <t>КОВЯЗОВ ВЛАДИМИР АВЕНИРОВИЧ</t>
  </si>
  <si>
    <t>45507810149150015867</t>
  </si>
  <si>
    <t>НОСЫРЕВ АЛЕКСЕЙ ЮРЬЕВИЧ</t>
  </si>
  <si>
    <t>45507810549150013032</t>
  </si>
  <si>
    <t>НУРИСЛАМОВ АЛЕКСАНДР САДРИЕВИЧ</t>
  </si>
  <si>
    <t>45507810449150018247</t>
  </si>
  <si>
    <t>СКОПИНСКИЙ ВЛАДИМИР ВИТАЛЬЕВИЧ</t>
  </si>
  <si>
    <t>45506810749150010933</t>
  </si>
  <si>
    <t>СЫРЧИН АЛЕКСЕЙ ВАСИЛЬЕВИЧ</t>
  </si>
  <si>
    <t>45507810549150013773</t>
  </si>
  <si>
    <t>ТЕБЕНЬКОВ СЕРГЕЙ ВАЛЕНТИНОВИЧ</t>
  </si>
  <si>
    <t>45507810249150018751</t>
  </si>
  <si>
    <t>ХОДЫРЕВА СВЕТЛАНА МИХАЙЛОВНА</t>
  </si>
  <si>
    <t>45507810249150011499</t>
  </si>
  <si>
    <t>ШМЫРОВ ЕВГЕНИЙ МИХАЙЛОВИЧ</t>
  </si>
  <si>
    <t>45507810449150013242</t>
  </si>
  <si>
    <t>ЕМЕЛЬЯНЕНКО ЗОЯ АЛЕКСАНДРОВНА</t>
  </si>
  <si>
    <t>45507810049160013797</t>
  </si>
  <si>
    <t>КИБАНОВА АННА АЛЕКСАНДРОВНА</t>
  </si>
  <si>
    <t>45507810849160024643</t>
  </si>
  <si>
    <t>НИКИТИН ОЛЕГ АЛЕКСАНДРОВИЧ</t>
  </si>
  <si>
    <t>45507810149160027036</t>
  </si>
  <si>
    <t>РЕПИН СЕРГЕЙ ПРОКОПЬЕВИЧ</t>
  </si>
  <si>
    <t>45507810249160023862</t>
  </si>
  <si>
    <t>45507810749160031600</t>
  </si>
  <si>
    <t>РУСИНОВА ВАЛЕНТИНА НИКОЛАЕВНА</t>
  </si>
  <si>
    <t>45506810349160015289</t>
  </si>
  <si>
    <t>ФИЛИПП ВЛАДИМИР ИВАНОВИЧ</t>
  </si>
  <si>
    <t>45507810449160019074</t>
  </si>
  <si>
    <t>ЦЫМБУЛОВ МАКСИМ ПЕТРОВИЧ</t>
  </si>
  <si>
    <t>45507810549160025780</t>
  </si>
  <si>
    <t>ЯКИМУК ВЛАДИМИР МИХАЙЛОВИЧ</t>
  </si>
  <si>
    <t>45507810049160028368</t>
  </si>
  <si>
    <t>АВДИЕНОК СЕРГЕЙ ДЖОНОВИЧ</t>
  </si>
  <si>
    <t>45507810249170011330</t>
  </si>
  <si>
    <t>БОРОДУЛИНА ЗОЯ АРКАДЬЕВНА</t>
  </si>
  <si>
    <t>45507810449170000002</t>
  </si>
  <si>
    <t>НИКОЛАЕВ СЕРГЕЙ ВЛАДИМИРОВИЧ</t>
  </si>
  <si>
    <t>45507810449170019161</t>
  </si>
  <si>
    <t>ШИЛКОВ СЕРГЕЙ ЮРЬЕВИЧ</t>
  </si>
  <si>
    <t>45507810649170016210</t>
  </si>
  <si>
    <t>ВДОВИНА АННА ПЕТРОВНА</t>
  </si>
  <si>
    <t>45506810249180007827</t>
  </si>
  <si>
    <t>МЕДЕННИКОВА НИНА АЛЕКСАНДРОВНА</t>
  </si>
  <si>
    <t>45507810649180014516</t>
  </si>
  <si>
    <t>САДИЛО ЗОЯ ПЕТРОВНА</t>
  </si>
  <si>
    <t>45507810749180014474</t>
  </si>
  <si>
    <t>БЕРЕСНЕВ ЕВГЕНИЙ СЕРГЕЕВИЧ</t>
  </si>
  <si>
    <t>45507810449230016444</t>
  </si>
  <si>
    <t>ЧЕЛУШКИНА ЗОЯ ИВАНОВНА</t>
  </si>
  <si>
    <t>45506810449230007713</t>
  </si>
  <si>
    <t>1637-50</t>
  </si>
  <si>
    <t>КИНЕВ ГРИГОРИЙ КСЕНОФОНТОВИЧ</t>
  </si>
  <si>
    <t>45507810649240028976</t>
  </si>
  <si>
    <t>1638-34</t>
  </si>
  <si>
    <t>Кудрявцева Любовь Петровна</t>
  </si>
  <si>
    <t>45506810449240015724</t>
  </si>
  <si>
    <t>МУРАТОВ ЮРИЙ ЛЕОНИДОВИЧ</t>
  </si>
  <si>
    <t>45506810249240011533</t>
  </si>
  <si>
    <t>ОСЕТРОВА ВАЛЕНТИНА МИХАЙЛОВНА</t>
  </si>
  <si>
    <t>45507810049240020765</t>
  </si>
  <si>
    <t>1638-17</t>
  </si>
  <si>
    <t>ПОПОВ ВЛАДИМИР НИКОЛАЕВИЧ</t>
  </si>
  <si>
    <t>45506810349240013583</t>
  </si>
  <si>
    <t>СУХОРОСЛОВ ЮРИЙ НИКОЛАЕВИЧ</t>
  </si>
  <si>
    <t>45507810549240027653</t>
  </si>
  <si>
    <t>1638-00-04</t>
  </si>
  <si>
    <t>ЩЕРБИНИН АНАТОЛИЙ НИКИТИЧ</t>
  </si>
  <si>
    <t>45507810749240026674</t>
  </si>
  <si>
    <t>ТОКАРЕВ ВАСИЛИЙ ПАВЛОВИЧ</t>
  </si>
  <si>
    <t>45507810349270014823</t>
  </si>
  <si>
    <t>ДАВЫДОВ НИКОЛАЙ ИВАНОВИЧ</t>
  </si>
  <si>
    <t>45507810749370013308</t>
  </si>
  <si>
    <t>1664-43</t>
  </si>
  <si>
    <t>НОВОСЕЛОВ АЛЕКСАНДР ЛЕОНИДОВИЧ</t>
  </si>
  <si>
    <t>45506810449370006755</t>
  </si>
  <si>
    <t>1664-00-65</t>
  </si>
  <si>
    <t>45507810349370011496</t>
  </si>
  <si>
    <t>СЕЛИВАНОВА АЛЕВТИНА АНАТОЛЬЕВНА</t>
  </si>
  <si>
    <t>45507810449370016825</t>
  </si>
  <si>
    <t>ГИЗЗАТОВА СУФИЯ ГАФИЕВНА</t>
  </si>
  <si>
    <t>45507810649420021421</t>
  </si>
  <si>
    <t>ГИЛЬМИТДИНОВ ГЕННАДИЙ ГИЛЬМАТИНОВИЧ</t>
  </si>
  <si>
    <t>45507810149420025448</t>
  </si>
  <si>
    <t>45506810849420011669</t>
  </si>
  <si>
    <t>ИБРАГИМОВ РИФАТ ГАФУРЬЯНОВИЧ</t>
  </si>
  <si>
    <t>45507810749420028531</t>
  </si>
  <si>
    <t>ОРЛИК ИВАН АЛЕКСАНДРОВИЧ</t>
  </si>
  <si>
    <t>45507810549420010118</t>
  </si>
  <si>
    <t>ПИКУЛЕВ СЕРГЕЙ ДМИТРИЕВИЧ</t>
  </si>
  <si>
    <t>45507810849420022916</t>
  </si>
  <si>
    <t>СУНЦОВА ГУЛЯРА АМИНОВНА</t>
  </si>
  <si>
    <t>45506810749420013301</t>
  </si>
  <si>
    <t>ХАЗИНУРОВ РАФАИЛ ИСМАГИЛОВИЧ</t>
  </si>
  <si>
    <t>45507810549420024298</t>
  </si>
  <si>
    <t>АНИСИМОВА ЛЮДМИЛА МИХАЙЛОВНА</t>
  </si>
  <si>
    <t>45507810649470015759</t>
  </si>
  <si>
    <t>БОГДАНОВ МИХАИЛ ВЛАДИМИРОВИЧ</t>
  </si>
  <si>
    <t>45506810049470009557</t>
  </si>
  <si>
    <t>1226 Доверительный кредит (положит. история, в т.ч. З/П проекты)</t>
  </si>
  <si>
    <t>ГОРБУНОВ МИХАИЛ АЛЕКСАНДРОВИЧ</t>
  </si>
  <si>
    <t>45507810949470018155</t>
  </si>
  <si>
    <t>КОРОВИНА НИНА АНАТОЛЬЕВНА</t>
  </si>
  <si>
    <t>45507810249470013371</t>
  </si>
  <si>
    <t>45507810949470015860</t>
  </si>
  <si>
    <t>Мухтазирова Раиса Фархутдиновна</t>
  </si>
  <si>
    <t>45507810549470016382</t>
  </si>
  <si>
    <t>НИКИФОРОВА ГАЛИНА ФЕДОРОВНА</t>
  </si>
  <si>
    <t>45506810249470011154</t>
  </si>
  <si>
    <t>СКАЧКОВ ВАЛЕРИЙ НИКОЛАЕВИЧ</t>
  </si>
  <si>
    <t>45506810149470016314</t>
  </si>
  <si>
    <t>СУББОТИН ЕВГЕНИЙ АЛЕКСАНДРОВИЧ</t>
  </si>
  <si>
    <t>45507810449470006311</t>
  </si>
  <si>
    <t>БАЖЕНОВ МИХАИЛ ПАВЛОВИЧ</t>
  </si>
  <si>
    <t>45507810349510016060</t>
  </si>
  <si>
    <t>БАТУЕВ ОЛЕГ ЕВГЕНЬЕВИЧ</t>
  </si>
  <si>
    <t>45506810749520008436</t>
  </si>
  <si>
    <t>ВЕДЕРНИКОВ МИХАИЛ ВИКТОРОВИЧ</t>
  </si>
  <si>
    <t>45506810949770003382</t>
  </si>
  <si>
    <t>ВОРОНОВА ИРИНА МИХАЙЛОВНА</t>
  </si>
  <si>
    <t>45505810549500004334</t>
  </si>
  <si>
    <t>Гонаго Дмитрий Иванович</t>
  </si>
  <si>
    <t>45506810549490021471</t>
  </si>
  <si>
    <t>Елькин Михаил Иванович</t>
  </si>
  <si>
    <t>45507810349770004906</t>
  </si>
  <si>
    <t>6984-0235</t>
  </si>
  <si>
    <t>КИРИКОВИЧ ЕВГЕНИЙ ВИКТОРОВИЧ</t>
  </si>
  <si>
    <t>45506810149490021266</t>
  </si>
  <si>
    <t>МЕХРЯКОВ СЕМЕН ПАВЛОВИЧ</t>
  </si>
  <si>
    <t>45505810949510001448</t>
  </si>
  <si>
    <t>6984-0299-13</t>
  </si>
  <si>
    <t>45507810449510018735</t>
  </si>
  <si>
    <t>6984-0307</t>
  </si>
  <si>
    <t>ОВЧИННИКОВ АНАТОЛИЙ ВЛАСОВИЧ</t>
  </si>
  <si>
    <t>45506810949520010910</t>
  </si>
  <si>
    <t>Романов Николай Афанасьевич</t>
  </si>
  <si>
    <t>45505810749500005421</t>
  </si>
  <si>
    <t>Севостьянова Любовь Григорьевна</t>
  </si>
  <si>
    <t>45506810349490023116</t>
  </si>
  <si>
    <t>Шеин Николай Сергеевич</t>
  </si>
  <si>
    <t>45506810249490027490</t>
  </si>
  <si>
    <t>ГЛАДЧЕНКО ГАЛИНА АНАТОЛЬЕВНА</t>
  </si>
  <si>
    <t>45507810949520014766</t>
  </si>
  <si>
    <t>6984-0325</t>
  </si>
  <si>
    <t>45507810749490006318</t>
  </si>
  <si>
    <t>РУМЯНЦЕВ ВЛАДИМИР ВЛАДИМИРОВИЧ</t>
  </si>
  <si>
    <t>45509810849090000162</t>
  </si>
  <si>
    <t>45509810549090001267</t>
  </si>
  <si>
    <t>СОГРИН ВИКТОР ВАСИЛЬЕВИЧ</t>
  </si>
  <si>
    <t>219-Ш</t>
  </si>
  <si>
    <t>45507810849520015195</t>
  </si>
  <si>
    <t>6984-0314</t>
  </si>
  <si>
    <t>СОКОЛОВ СЕРГЕЙ МИХАЙЛОВИЧ</t>
  </si>
  <si>
    <t>45507810649490023213</t>
  </si>
  <si>
    <t>КАЗАНЦЕВА ВЕРА КОНСТАНТИНОВНА</t>
  </si>
  <si>
    <t>45507810849540013627</t>
  </si>
  <si>
    <t>ПОПОВ ВЛАДИМИР АНАТОЛЬЕВИЧ</t>
  </si>
  <si>
    <t>45507810749540014111</t>
  </si>
  <si>
    <t>САРАПУЛЬЦЕВ ВЛАДИМИР НИКОЛАЕВИЧ</t>
  </si>
  <si>
    <t>45506810949540010987</t>
  </si>
  <si>
    <t>СЫСОЛЯТИН АЛЕКСАНДР МИХАЙЛОВИЧ</t>
  </si>
  <si>
    <t>45507810449540012604</t>
  </si>
  <si>
    <t>45505810449540002069</t>
  </si>
  <si>
    <t>ТИМОФЕЕВА ЛЯЛЯ МИХАЙЛОВНА</t>
  </si>
  <si>
    <t>45507810849540010743</t>
  </si>
  <si>
    <t>Бакланов Александр Петрович</t>
  </si>
  <si>
    <t>45507810028190010197</t>
  </si>
  <si>
    <t>Барабанова Елена Александровна</t>
  </si>
  <si>
    <t>45506810428190014260</t>
  </si>
  <si>
    <t>Бондарев Сергей Николаевич</t>
  </si>
  <si>
    <t>45507810628190002660</t>
  </si>
  <si>
    <t>Злобин Евгений Иванович</t>
  </si>
  <si>
    <t>45507810928190010048</t>
  </si>
  <si>
    <t>Князева Любовь Николаевна</t>
  </si>
  <si>
    <t>45506810428190010109</t>
  </si>
  <si>
    <t>Ляшенко Иван Павлович</t>
  </si>
  <si>
    <t>45507810628190004286</t>
  </si>
  <si>
    <t>Матус Николай Степанович</t>
  </si>
  <si>
    <t>45507810128190005060</t>
  </si>
  <si>
    <t>Милевская Надежда Александровна</t>
  </si>
  <si>
    <t>45506810728190014766</t>
  </si>
  <si>
    <t>45506810428190009408</t>
  </si>
  <si>
    <t>Милевский Александр Брониславович</t>
  </si>
  <si>
    <t>45506810328190007979</t>
  </si>
  <si>
    <t>45507810228190010683</t>
  </si>
  <si>
    <t>Николаев Владимир Владимирович</t>
  </si>
  <si>
    <t>45507810828190013860</t>
  </si>
  <si>
    <t>Пинягин Александр Васильевич</t>
  </si>
  <si>
    <t>45506810728190013686</t>
  </si>
  <si>
    <t>Пономаренко Григорий Фотиевич</t>
  </si>
  <si>
    <t>45506810228190015663</t>
  </si>
  <si>
    <t>Смышляев Владимир Петрович</t>
  </si>
  <si>
    <t>45507810028190009742</t>
  </si>
  <si>
    <t>Шулепов Андрей Иванович</t>
  </si>
  <si>
    <t>45509810728190027226</t>
  </si>
  <si>
    <t>Скрипов Александр Яковлевич</t>
  </si>
  <si>
    <t>45507810828100004759</t>
  </si>
  <si>
    <t>Стадник Андрей Степанович</t>
  </si>
  <si>
    <t>45507810028100006117</t>
  </si>
  <si>
    <t>Филиппов Анатолий Кесарьевич</t>
  </si>
  <si>
    <t>45507810128150012187</t>
  </si>
  <si>
    <t>Абатина Валентина Михайловна</t>
  </si>
  <si>
    <t>45507810328000018510</t>
  </si>
  <si>
    <t>Выборов Александр Алексеевич</t>
  </si>
  <si>
    <t>45507810428000014964</t>
  </si>
  <si>
    <t>Иванов Анатолий Григорьевич</t>
  </si>
  <si>
    <t>45507810928180001025</t>
  </si>
  <si>
    <t>Каранов Сергей Евгеньевич</t>
  </si>
  <si>
    <t>45507810728180007012</t>
  </si>
  <si>
    <t>Клинцевич Александр Янович</t>
  </si>
  <si>
    <t>45507810428030004452</t>
  </si>
  <si>
    <t>Попов Валентин Африканович</t>
  </si>
  <si>
    <t>45507810628000025193</t>
  </si>
  <si>
    <t>СУХАРЕВ СЕРГЕЙ ЕВГЕНЬЕВИЧ</t>
  </si>
  <si>
    <t>45507810528090014023</t>
  </si>
  <si>
    <t>Сысуев Василий Васильевич</t>
  </si>
  <si>
    <t>45507810828030004696</t>
  </si>
  <si>
    <t>Тропников Александр Александрович</t>
  </si>
  <si>
    <t>45507810228120000702</t>
  </si>
  <si>
    <t>Шарыгин Вадим Александрович</t>
  </si>
  <si>
    <t>45507810128000000618</t>
  </si>
  <si>
    <t>Шейн Александр Гелиевич</t>
  </si>
  <si>
    <t>45507810628000023807</t>
  </si>
  <si>
    <t>Шучалин Иван Дмитриевич</t>
  </si>
  <si>
    <t>45507810128120002020</t>
  </si>
  <si>
    <t>Гергележиу Леонид Андреевич</t>
  </si>
  <si>
    <t>45506810728000027351</t>
  </si>
  <si>
    <t>Засорин Анатолий Николаевич</t>
  </si>
  <si>
    <t>45506810228000031119</t>
  </si>
  <si>
    <t>45507810928000073939</t>
  </si>
  <si>
    <t>Мартынов Виктор Васильевич</t>
  </si>
  <si>
    <t>45506810428000027143</t>
  </si>
  <si>
    <t>Пыстин Александр Иванович</t>
  </si>
  <si>
    <t>45506810728000031839</t>
  </si>
  <si>
    <t>Савина Елена Николаевна</t>
  </si>
  <si>
    <t>45506810628000033555</t>
  </si>
  <si>
    <t>8617-03-58</t>
  </si>
  <si>
    <t>Сокольцев Алексей Александрович</t>
  </si>
  <si>
    <t>45507810028000082215</t>
  </si>
  <si>
    <t>Юркин Николай Иванович</t>
  </si>
  <si>
    <t>45507810428000092287</t>
  </si>
  <si>
    <t>БОГДАНОВА АЛЕКСАНДРА ГРИГОРЬЕВНА</t>
  </si>
  <si>
    <t>45506810168050005997</t>
  </si>
  <si>
    <t>Гоголев Михаил Михайлович</t>
  </si>
  <si>
    <t>45507810368000058311</t>
  </si>
  <si>
    <t>8618-41-08</t>
  </si>
  <si>
    <t>Залогов Валентин Данилович</t>
  </si>
  <si>
    <t>45507810468000058622</t>
  </si>
  <si>
    <t>Петухов Александр Сергеевич</t>
  </si>
  <si>
    <t>45506810868000054586</t>
  </si>
  <si>
    <t>Степанов Василий Петрович</t>
  </si>
  <si>
    <t>45507810368050011670</t>
  </si>
  <si>
    <t>ХАРИН ИВАН ФЕДОРОВИЧ</t>
  </si>
  <si>
    <t>45506810568050005474</t>
  </si>
  <si>
    <t>8618-176</t>
  </si>
  <si>
    <t>45506810768050005203</t>
  </si>
  <si>
    <t>ВАСИЛЬЕВ АНАТОЛИЙ АРКАДЬЕВИЧ</t>
  </si>
  <si>
    <t>45507810968050007738</t>
  </si>
  <si>
    <t>45507810568050009958</t>
  </si>
  <si>
    <t>Ваулин Виктор Макарович</t>
  </si>
  <si>
    <t>45507810468000048441</t>
  </si>
  <si>
    <t>ГАВРИЛОВ ВАЛЕРИЙ ЕВГЕНЬЕВИЧ</t>
  </si>
  <si>
    <t>45507810268000051298</t>
  </si>
  <si>
    <t>Губайдуллин Дамир Фаисович</t>
  </si>
  <si>
    <t>45507810068000042258</t>
  </si>
  <si>
    <t>Коротаев Сергей Иванович</t>
  </si>
  <si>
    <t>45507810968000047308</t>
  </si>
  <si>
    <t>Красильников Алексей Геннадьевич</t>
  </si>
  <si>
    <t>45507810568000062398</t>
  </si>
  <si>
    <t>Ломаев Александр Вячеславович</t>
  </si>
  <si>
    <t>45507810268000053173</t>
  </si>
  <si>
    <t>МАКСИМОВ НИКОЛАЙ ЯКОВЛЕВИЧ</t>
  </si>
  <si>
    <t>45507810368050008269</t>
  </si>
  <si>
    <t>Мокроусов Сергей Васильевич</t>
  </si>
  <si>
    <t>45507810168000056241</t>
  </si>
  <si>
    <t>Пименов Андрей Александрович</t>
  </si>
  <si>
    <t>45506810168000018112</t>
  </si>
  <si>
    <t>Рязанов Василий Михайлович</t>
  </si>
  <si>
    <t>45506810068000036964</t>
  </si>
  <si>
    <t>ТРОНИН АНАТОЛИЙ АНАТОЛЬЕВИЧ</t>
  </si>
  <si>
    <t>45507810268050002792</t>
  </si>
  <si>
    <t>ТРОНИН АНДРЕЙ ЮРЬЕВИЧ</t>
  </si>
  <si>
    <t>45507810768050010307</t>
  </si>
  <si>
    <t>ШИХОВ АЛЕКСАНДР СЕРГЕЕВИЧ</t>
  </si>
  <si>
    <t>45506810168000047170</t>
  </si>
  <si>
    <t>ВЛАДЫКИН ВИТАЛИЙ ВИКТОРОВИЧ</t>
  </si>
  <si>
    <t>45507810668100004059</t>
  </si>
  <si>
    <t>ВОЛКОВА ИРИНА ВИКТОРОВНА</t>
  </si>
  <si>
    <t>45507810868100002822</t>
  </si>
  <si>
    <t>ВОРОНЧИХИН АЛЕКСЕЙ НИКОЛАЕВИЧ</t>
  </si>
  <si>
    <t>45507810668100006536</t>
  </si>
  <si>
    <t>Данилов Константин Юрьевич</t>
  </si>
  <si>
    <t>45507810568090006377</t>
  </si>
  <si>
    <t>Золотарева Валентина Анатольевна</t>
  </si>
  <si>
    <t>45506810068090010686</t>
  </si>
  <si>
    <t>КОРЕПАНОВ ВАЛЕРИЙ ЮРЬЕВИЧ</t>
  </si>
  <si>
    <t>45507810168100003990</t>
  </si>
  <si>
    <t>Матвеева Лидия Евгеньевна</t>
  </si>
  <si>
    <t>45506810668090005622</t>
  </si>
  <si>
    <t>Удегов Алексей Николаевич</t>
  </si>
  <si>
    <t>45507810368090004922</t>
  </si>
  <si>
    <t>ФЕДОРОВ ВЯЧЕСЛАВ ПАВЛОВИЧ</t>
  </si>
  <si>
    <t>45506810468050005202</t>
  </si>
  <si>
    <t>Феофилактов Александр Артемьевич</t>
  </si>
  <si>
    <t>45505810168090003222</t>
  </si>
  <si>
    <t>45506810368090008149</t>
  </si>
  <si>
    <t>ВЯТКИНА ГАЛИНА ИОСИФОВНА</t>
  </si>
  <si>
    <t>45506810268160009204</t>
  </si>
  <si>
    <t>ГОРЮНОВ АНАТОЛИЙ НИКОЛАЕВИЧ</t>
  </si>
  <si>
    <t>45507810168160021996</t>
  </si>
  <si>
    <t>Егоров Николай Александрович</t>
  </si>
  <si>
    <t>45507810968160020579</t>
  </si>
  <si>
    <t>КУДРЯВЦЕВ НИКОЛАЙ НИКИТИЧ</t>
  </si>
  <si>
    <t>45507810268160008657</t>
  </si>
  <si>
    <t>ТРЕПАЛИНА СВЕТЛАНА ВАСИЛЬЕВНА</t>
  </si>
  <si>
    <t>45506810768160008514</t>
  </si>
  <si>
    <t>45506810268160009961</t>
  </si>
  <si>
    <t>ХАЛИТОВ ЕВГЕНИЙ НИКОЛАЕВИЧ</t>
  </si>
  <si>
    <t>45507810568160010390</t>
  </si>
  <si>
    <t>ВОСТРЕЦОВ СЕРГЕЙ НИКОЛАЕВИЧ</t>
  </si>
  <si>
    <t>45507810068210005111</t>
  </si>
  <si>
    <t>Некрасов Борис Петрович</t>
  </si>
  <si>
    <t>45506810068210008148</t>
  </si>
  <si>
    <t>0078-54</t>
  </si>
  <si>
    <t>ФЕДОРЕЦ МАРИНА ЮРЬЕВНА</t>
  </si>
  <si>
    <t>45507810268210018908</t>
  </si>
  <si>
    <t>Шишкин Виталий Геннадьевич</t>
  </si>
  <si>
    <t>45507810968210007057</t>
  </si>
  <si>
    <t>Ившин Алексей Михайлович</t>
  </si>
  <si>
    <t>45507810968220016203</t>
  </si>
  <si>
    <t>КАЙСИН НИКОЛАЙ ГУРЬЯНОВИЧ</t>
  </si>
  <si>
    <t>45507810768220008181</t>
  </si>
  <si>
    <t>Кузнецов Ерофей Сергеевич</t>
  </si>
  <si>
    <t>45507810068220008535</t>
  </si>
  <si>
    <t>ЛЮБИМОВ ВАСИЛИЙ СЕМЕНОВИЧ</t>
  </si>
  <si>
    <t>45506810068220006156</t>
  </si>
  <si>
    <t>ПОРОХОВ МАКСИМ ВЛАДИМИРОВИЧ</t>
  </si>
  <si>
    <t>45507810968220018256</t>
  </si>
  <si>
    <t>Начало периода</t>
  </si>
  <si>
    <t>Окончание периода</t>
  </si>
  <si>
    <t>c:\Мои_документы\КРПУ\ПОД\</t>
  </si>
  <si>
    <t>6984-0328</t>
  </si>
  <si>
    <t>45515810949030000029</t>
  </si>
  <si>
    <t>45515810249100000099</t>
  </si>
  <si>
    <t>45515810449100000051</t>
  </si>
  <si>
    <t>45818810149100102040</t>
  </si>
  <si>
    <t>45818810249140102052</t>
  </si>
  <si>
    <t>45818810949140102051</t>
  </si>
  <si>
    <t>45515810149150000026</t>
  </si>
  <si>
    <t>45515810849150000025</t>
  </si>
  <si>
    <t>45515810249160000042</t>
  </si>
  <si>
    <t>45515810549160000043</t>
  </si>
  <si>
    <t>45515810849160000044</t>
  </si>
  <si>
    <t>45818810849160102076</t>
  </si>
  <si>
    <t>45818810249170102051</t>
  </si>
  <si>
    <t>45515810049180000086</t>
  </si>
  <si>
    <t>45515810349180000087</t>
  </si>
  <si>
    <t>45515810649180000088</t>
  </si>
  <si>
    <t>45515810449240000063</t>
  </si>
  <si>
    <t>45515810749240000064</t>
  </si>
  <si>
    <t>45515810049370000016</t>
  </si>
  <si>
    <t>45515810349370000017</t>
  </si>
  <si>
    <t>45515810649370000018</t>
  </si>
  <si>
    <t>45515810749370000015</t>
  </si>
  <si>
    <t>45818810349370102052</t>
  </si>
  <si>
    <t>45515810549420000107</t>
  </si>
  <si>
    <t>45818810349420102407</t>
  </si>
  <si>
    <t>45818810549420102045</t>
  </si>
  <si>
    <t>45515810649470000028</t>
  </si>
  <si>
    <t>45515810649470000031</t>
  </si>
  <si>
    <t>45515810949470000029</t>
  </si>
  <si>
    <t>45818810149470102071</t>
  </si>
  <si>
    <t>45515810749540000010</t>
  </si>
  <si>
    <t>45818810249540102063</t>
  </si>
  <si>
    <t>45818810649540102003</t>
  </si>
  <si>
    <t>45818810949540102046</t>
  </si>
  <si>
    <t>45515810728190002002</t>
  </si>
  <si>
    <t>45515810928190000053</t>
  </si>
  <si>
    <t>45818810128190102092</t>
  </si>
  <si>
    <t>45818810528190102090</t>
  </si>
  <si>
    <t>45515810528140000005</t>
  </si>
  <si>
    <t>45515810928140000003</t>
  </si>
  <si>
    <t>45818810228140102023</t>
  </si>
  <si>
    <t>45818810228140102052</t>
  </si>
  <si>
    <t>45818810428140102043</t>
  </si>
  <si>
    <t>45515810128150000039</t>
  </si>
  <si>
    <t>45515810228150000036</t>
  </si>
  <si>
    <t>45515810528150000037</t>
  </si>
  <si>
    <t>45515810528150000040</t>
  </si>
  <si>
    <t>45515810828150000038</t>
  </si>
  <si>
    <t>45818810628150102053</t>
  </si>
  <si>
    <t>45818810028160102054</t>
  </si>
  <si>
    <t>45818810028160102892</t>
  </si>
  <si>
    <t>45515810128000000121</t>
  </si>
  <si>
    <t>45515810128000080002</t>
  </si>
  <si>
    <t>45515810328000000125</t>
  </si>
  <si>
    <t>45515810528000000129</t>
  </si>
  <si>
    <t>45515810528000090249</t>
  </si>
  <si>
    <t>45515810628000000126</t>
  </si>
  <si>
    <t>45515810628000090372</t>
  </si>
  <si>
    <t>45515810828000000133</t>
  </si>
  <si>
    <t>45515810928000000127</t>
  </si>
  <si>
    <t>45515810928000000130</t>
  </si>
  <si>
    <t>45818810028000102004</t>
  </si>
  <si>
    <t>45818810828000102220</t>
  </si>
  <si>
    <t>45818810928000102065</t>
  </si>
  <si>
    <t>45515810068000000101</t>
  </si>
  <si>
    <t>45515810168000000085</t>
  </si>
  <si>
    <t>45515810268000000082</t>
  </si>
  <si>
    <t>45515810368000000050</t>
  </si>
  <si>
    <t>45515810368000000089</t>
  </si>
  <si>
    <t>45515810468000059040</t>
  </si>
  <si>
    <t>45515810568000000083</t>
  </si>
  <si>
    <t>45515810668000059044</t>
  </si>
  <si>
    <t>45515810768000000087</t>
  </si>
  <si>
    <t>45515810868000000084</t>
  </si>
  <si>
    <t>45818810068000102010</t>
  </si>
  <si>
    <t>45818810168000102020</t>
  </si>
  <si>
    <t>45818810268000102014</t>
  </si>
  <si>
    <t>45818810568000102099</t>
  </si>
  <si>
    <t>45515810268090000212</t>
  </si>
  <si>
    <t>45515810268090000393</t>
  </si>
  <si>
    <t>45515810368090000390</t>
  </si>
  <si>
    <t>45515810568090000394</t>
  </si>
  <si>
    <t>45515810668090000388</t>
  </si>
  <si>
    <t>45515810668090000391</t>
  </si>
  <si>
    <t>45515810868090000395</t>
  </si>
  <si>
    <t>45515810968090000389</t>
  </si>
  <si>
    <t>45818810368090102322</t>
  </si>
  <si>
    <t>45818810668090102019</t>
  </si>
  <si>
    <t>45818810668090102970</t>
  </si>
  <si>
    <t>45515810268140000492</t>
  </si>
  <si>
    <t>45515810368140000486</t>
  </si>
  <si>
    <t>45818810368140102036</t>
  </si>
  <si>
    <t>45515810068160000038</t>
  </si>
  <si>
    <t>45515810368160000039</t>
  </si>
  <si>
    <t>45515810368160003243</t>
  </si>
  <si>
    <t>45515810768160000040</t>
  </si>
  <si>
    <t>45818810968160102034</t>
  </si>
  <si>
    <t>45515810068210000027</t>
  </si>
  <si>
    <t>45515810168210000011</t>
  </si>
  <si>
    <t>45515810168210000024</t>
  </si>
  <si>
    <t>45515810268210000021</t>
  </si>
  <si>
    <t>45515810368210003261</t>
  </si>
  <si>
    <t>45515810468210000025</t>
  </si>
  <si>
    <t>45515810568210000022</t>
  </si>
  <si>
    <t>45818810168210102043</t>
  </si>
  <si>
    <t>45818810468210102060</t>
  </si>
  <si>
    <t>45515810868220000026</t>
  </si>
  <si>
    <t>КУЛАКОВ ИГОРЬ НИКОЛАЕВИЧ</t>
  </si>
  <si>
    <t>45507810149030010076</t>
  </si>
  <si>
    <t>МАРКЕЕВ ВАСИЛИЙ ВИКТОРОВИЧ</t>
  </si>
  <si>
    <t>45507810349100016946</t>
  </si>
  <si>
    <t>УЖЕГОВА ТАТЬЯНА ПЕТРОВНА</t>
  </si>
  <si>
    <t>45506810949100007602</t>
  </si>
  <si>
    <t>722 Корпоративный кредит</t>
  </si>
  <si>
    <t>ХОЗЯШЕВ ВЛАДИМИР НИКОЛАЕВИЧ</t>
  </si>
  <si>
    <t>45507810249140012505</t>
  </si>
  <si>
    <t>КОЛЧАНОВА ЛЮБОВЬ ВИКТОРОВНА</t>
  </si>
  <si>
    <t>45506810649150012507</t>
  </si>
  <si>
    <t>ФЕДОРОВ ВЛАДИМИР АНАТОЛЬЕВИЧ</t>
  </si>
  <si>
    <t>45507810849150013334</t>
  </si>
  <si>
    <t>АДАМОВИЧ АНДРЕЙ РОМУАЛЬДОВИЧ</t>
  </si>
  <si>
    <t>45507810749160026152</t>
  </si>
  <si>
    <t>БЕЛКИН АНДРЕЙ АЛЕКСАНДРОВИЧ</t>
  </si>
  <si>
    <t>45507810049160022487</t>
  </si>
  <si>
    <t>ДОМРАЧЕВ ЕВГЕНИЙ ВЛАДИМИРОВИЧ</t>
  </si>
  <si>
    <t>45507810749160023210</t>
  </si>
  <si>
    <t>ЛЯШ ВИКТОР ВЛАДИМИРОВИЧ</t>
  </si>
  <si>
    <t>45506810549160018662</t>
  </si>
  <si>
    <t>45506810049160017215</t>
  </si>
  <si>
    <t>45506810149160018127</t>
  </si>
  <si>
    <t>БОЧКАРЕВ ВЛАДИМИР ВИКТОРОВИЧ</t>
  </si>
  <si>
    <t>45507810349170018084</t>
  </si>
  <si>
    <t>ВОТИНОВ ВАЛЕРИЙ КОНСТАНТИНОВИЧ</t>
  </si>
  <si>
    <t>45506810949170008767</t>
  </si>
  <si>
    <t>КЛИПЕНКО АЛЕКСАНДР ГРИГОРЬЕВИЧ</t>
  </si>
  <si>
    <t>45507810949180012810</t>
  </si>
  <si>
    <t>ПОГОСЯН АКОП САРКИСОВИЧ</t>
  </si>
  <si>
    <t>45507810249180011786</t>
  </si>
  <si>
    <t>45507810049180012707</t>
  </si>
  <si>
    <t>45507810449180013911</t>
  </si>
  <si>
    <t>ЧЕПУРОВА ЛЮДМИЛА НИКОЛАЕВНА</t>
  </si>
  <si>
    <t>45507810249180015944</t>
  </si>
  <si>
    <t>ЧУНАРЕВА АЛЕФТИНА АЛЕКСЕЕВНА</t>
  </si>
  <si>
    <t>45507810949180014384</t>
  </si>
  <si>
    <t>САЛОМАХИН ВЛАДИМИР НИКОЛАЕВИЧ</t>
  </si>
  <si>
    <t>45507810849240032872</t>
  </si>
  <si>
    <t>ФИЛИППОВА НАДЕЖДА МИХАЙЛОВНА</t>
  </si>
  <si>
    <t>45507810049240020341</t>
  </si>
  <si>
    <t>ШИШКИН МИХАИЛ АЛЕКСАНДРОВИЧ</t>
  </si>
  <si>
    <t>45507810349240034189</t>
  </si>
  <si>
    <t xml:space="preserve">БАШИРОВ ЯСАВИ МУФАТИКОВИЧ </t>
  </si>
  <si>
    <t>45507810149370014965</t>
  </si>
  <si>
    <t>БЕРЕСТНЕВ АЛЕКСАНДР АНАТОЛЬЕВИЧ</t>
  </si>
  <si>
    <t>45507810449370013161</t>
  </si>
  <si>
    <t>ВАФИНА АЛЕФТИНА ВЛАДИМИРОВНА</t>
  </si>
  <si>
    <t>45506810749370006248</t>
  </si>
  <si>
    <t>ИСМАГИЛОВ ИЛДУС МАЛИКОВИЧ</t>
  </si>
  <si>
    <t>45507810149370007707</t>
  </si>
  <si>
    <t>ТОЛСТИКОВ НИКОЛАЙ ИВАНОВИЧ</t>
  </si>
  <si>
    <t>45507810949370017298</t>
  </si>
  <si>
    <t xml:space="preserve">МУХАТДИНОВ ГИЛЬФАН </t>
  </si>
  <si>
    <t>45506810249420012022</t>
  </si>
  <si>
    <t>АЛЕКСАНДРОВ АЛЕКСАНДР АРКАДЬЕВИЧ</t>
  </si>
  <si>
    <t>45507810749470008491</t>
  </si>
  <si>
    <t>ДЕРЕВНИНА НИНА МИХАЙЛОВНА</t>
  </si>
  <si>
    <t>45506810049470007575</t>
  </si>
  <si>
    <t>ПОМОРЦЕВ ВЛАДИСЛАВ СЕРГЕЕВИЧ</t>
  </si>
  <si>
    <t>45507810349470009832</t>
  </si>
  <si>
    <t>СЛЕСАРСКИЙ ИОСИФ БРОНИСЛАВОВИЧ</t>
  </si>
  <si>
    <t>45506810449470017068</t>
  </si>
  <si>
    <t>ХАКИМОВ МИННИРАФИС МИРГАЛИМОВИЧ</t>
  </si>
  <si>
    <t>45507810449470014701</t>
  </si>
  <si>
    <t>ПОПОВ ВЯЧЕСЛАВ НОЯБРИНОВИЧ</t>
  </si>
  <si>
    <t>45507810749490032308</t>
  </si>
  <si>
    <t>ШАГИАХМЕТОВ ГАБИТ ГАЙНЕЛГЛИМОВИЧ</t>
  </si>
  <si>
    <t>45507810349090035370</t>
  </si>
  <si>
    <t>АРЗАМАСЦЕВ АЛЕКСАНДР СЕРГЕЕВИЧ</t>
  </si>
  <si>
    <t>45507810149090025250</t>
  </si>
  <si>
    <t>ДУНЯШЕВА ЛЮДМИЛА МИХАЙЛОВНА</t>
  </si>
  <si>
    <t>45507810049500007091</t>
  </si>
  <si>
    <t>6984-0297</t>
  </si>
  <si>
    <t>КОПЫЛОВА СВЕТЛАНА ЭДУАРДОВНА</t>
  </si>
  <si>
    <t>45507810649520016226</t>
  </si>
  <si>
    <t>6984-0323</t>
  </si>
  <si>
    <t>МУХИН АНДРЕЙ ГЕОРГИЕВИЧ</t>
  </si>
  <si>
    <t>45507810949490021067</t>
  </si>
  <si>
    <t>1040 Ипотечный кредит</t>
  </si>
  <si>
    <t>ХОЛКИНА ЕЛЕНА ГЕННАДЬЕВНА</t>
  </si>
  <si>
    <t>45506810849490019552</t>
  </si>
  <si>
    <t>45507810349090029030</t>
  </si>
  <si>
    <t>6984-0260</t>
  </si>
  <si>
    <t>ПУХАЛЬСКИЙ НИКОЛАЙ ФРАНЦЕВИЧ</t>
  </si>
  <si>
    <t>45506810149540011621</t>
  </si>
  <si>
    <t>Плаксин Николай Николаевич</t>
  </si>
  <si>
    <t>45506810928190014210</t>
  </si>
  <si>
    <t>Тарнопольский Юрий Иванович</t>
  </si>
  <si>
    <t>45507810928190016437</t>
  </si>
  <si>
    <t>Терентьев Иван Васильевич</t>
  </si>
  <si>
    <t>45506810228190018657</t>
  </si>
  <si>
    <t>Филиппов Аркадий Вячеславович</t>
  </si>
  <si>
    <t>45506810728190013288</t>
  </si>
  <si>
    <t>Абдурахимов Тожибой</t>
  </si>
  <si>
    <t>45507810128140006941</t>
  </si>
  <si>
    <t>Варенцов Константин Александрович</t>
  </si>
  <si>
    <t>45507810228140004115</t>
  </si>
  <si>
    <t>45507810128140001140</t>
  </si>
  <si>
    <t>Пономарев Евгений Владимирович</t>
  </si>
  <si>
    <t>45507810228140002463</t>
  </si>
  <si>
    <t>Браславский Александр Владимирович</t>
  </si>
  <si>
    <t>45507810428150003278</t>
  </si>
  <si>
    <t>Ворошнина Виктория Валерьевна</t>
  </si>
  <si>
    <t>45507810328150001626</t>
  </si>
  <si>
    <t>Гусейнов Вагиф Али Оглы</t>
  </si>
  <si>
    <t>45507810528150002797</t>
  </si>
  <si>
    <t>Демченков Виктор Михайлович</t>
  </si>
  <si>
    <t>45507810628150002325</t>
  </si>
  <si>
    <t>Поддубный Игорь Андреевич</t>
  </si>
  <si>
    <t>45505810328150000713</t>
  </si>
  <si>
    <t>Солодков Дмитрий Павлович</t>
  </si>
  <si>
    <t>45507810328150017717</t>
  </si>
  <si>
    <t>Фурса Наталия Ивановна</t>
  </si>
  <si>
    <t>45507810228150004040</t>
  </si>
  <si>
    <t>БУБНОВ ВАЛЕРИЙ ВАСИЛЬЕВИЧ</t>
  </si>
  <si>
    <t>45505810928160000394</t>
  </si>
  <si>
    <t>Акиншин Сергей Александрович</t>
  </si>
  <si>
    <t>45507810128090010113</t>
  </si>
  <si>
    <t>Алиев Аскер Аббаскули Оглы</t>
  </si>
  <si>
    <t>45507810528000018006</t>
  </si>
  <si>
    <t>ДУБОВИЦКИЙ АНАТОЛИЙ ПЕТРОВИЧ</t>
  </si>
  <si>
    <t>45507810828090011153</t>
  </si>
  <si>
    <t>Кобринец Василий Иванович</t>
  </si>
  <si>
    <t>45507810728000024900</t>
  </si>
  <si>
    <t>Кузиванова Галина Александровна</t>
  </si>
  <si>
    <t>45507810728000069376</t>
  </si>
  <si>
    <t>Рыжкин Анатолий Валентинович</t>
  </si>
  <si>
    <t>45507810028000071792</t>
  </si>
  <si>
    <t>45507810228000009467</t>
  </si>
  <si>
    <t>ЧЕРКАСОВ ВИКТОР ВАСИЛЬЕВИЧ</t>
  </si>
  <si>
    <t>45506810528000017273</t>
  </si>
  <si>
    <t>Шушков Николай Анатольевич</t>
  </si>
  <si>
    <t>45507810428000006396</t>
  </si>
  <si>
    <t>45506810528000034133</t>
  </si>
  <si>
    <t>Быков Михаил Владимирович</t>
  </si>
  <si>
    <t>45507810128000034231</t>
  </si>
  <si>
    <t>Власова Татьяна Юрьевна</t>
  </si>
  <si>
    <t>45506810228000021611</t>
  </si>
  <si>
    <t>Елина Татьяна Алексеевна</t>
  </si>
  <si>
    <t>45505810328000005172</t>
  </si>
  <si>
    <t>КОТЕЛЬНИКОВ АЛЕКСЕЙ АЛЕКСЕЕВИЧ</t>
  </si>
  <si>
    <t>45507810628000030861</t>
  </si>
  <si>
    <t>Каракчиева Галина Ивановна</t>
  </si>
  <si>
    <t>45506810928000030669</t>
  </si>
  <si>
    <t>Подорова Наталья Евгеньевна</t>
  </si>
  <si>
    <t>45507810028000079312</t>
  </si>
  <si>
    <t>45507810428000094188</t>
  </si>
  <si>
    <t>ВЕРЕТЕННИКОВ ВАСИЛИЙ АЛЕКСЕЕВИЧ</t>
  </si>
  <si>
    <t>45506810368000045794</t>
  </si>
  <si>
    <t>Мосолков Евгений Григорьевич</t>
  </si>
  <si>
    <t>45506810168000051085</t>
  </si>
  <si>
    <t>Семакина Любовь Ивановна</t>
  </si>
  <si>
    <t>45506810768000057065</t>
  </si>
  <si>
    <t>Баранова Тамара Сергеевна</t>
  </si>
  <si>
    <t>45507810168000057499</t>
  </si>
  <si>
    <t>Загибалов Петр Владимирович</t>
  </si>
  <si>
    <t>45507810368000046815</t>
  </si>
  <si>
    <t>КАТАЕВ СЕРГЕЙ ФЕДОРОВИЧ</t>
  </si>
  <si>
    <t>45507810968050009011</t>
  </si>
  <si>
    <t>Мартыненко Сергей Владимирович</t>
  </si>
  <si>
    <t>45507810568120004485</t>
  </si>
  <si>
    <t>ПЕРЕВОЩИКОВ ВАСИЛИЙ ЕЛИЗАРОВИЧ</t>
  </si>
  <si>
    <t>45507810068050008284</t>
  </si>
  <si>
    <t>Артемьев Иван Евгеньевич</t>
  </si>
  <si>
    <t>45507810768090004865</t>
  </si>
  <si>
    <t>БУЗМАКОВ ИВАН НИКОЛАЕВИЧ</t>
  </si>
  <si>
    <t>45507810068090023740</t>
  </si>
  <si>
    <t>Горбушин Игорь Набиулович</t>
  </si>
  <si>
    <t>45506810868090010514</t>
  </si>
  <si>
    <t>Дерендяев Анатолий Павлович</t>
  </si>
  <si>
    <t>45507810268100003625</t>
  </si>
  <si>
    <t>ИВШИН ОЛЕГ АЛЕКСАНДРОВИЧ</t>
  </si>
  <si>
    <t>45507810568090011757</t>
  </si>
  <si>
    <t>Иванов Николай Львович</t>
  </si>
  <si>
    <t>45507810868090016601</t>
  </si>
  <si>
    <t>КНЯЗЕВ ВЕНИАМИН АРКАДЬЕВИЧ</t>
  </si>
  <si>
    <t>45507810368090010440</t>
  </si>
  <si>
    <t>Соломина Евгения Степановна</t>
  </si>
  <si>
    <t>45506810268090009099</t>
  </si>
  <si>
    <t>ХУДЯКОВ АЛЕКСАНДР АНАНЬЕВИЧ</t>
  </si>
  <si>
    <t>45507810568090013098</t>
  </si>
  <si>
    <t>ШУШАКОВ АРКАДИЙ МИХАЙЛОВИЧ</t>
  </si>
  <si>
    <t>45507810968100006977</t>
  </si>
  <si>
    <t>Бутолин Григорий Викторович</t>
  </si>
  <si>
    <t>45507810768140017485</t>
  </si>
  <si>
    <t>Шуклина Марина Петровна</t>
  </si>
  <si>
    <t>45507810668140019130</t>
  </si>
  <si>
    <t>ДАНИЛОВ ВИКТОР ИВАНОВИЧ</t>
  </si>
  <si>
    <t>45507810268160004059</t>
  </si>
  <si>
    <t>КАМЕРОВ ЛЕОНИД МИХАЙЛОВИЧ</t>
  </si>
  <si>
    <t>45507810968160000405</t>
  </si>
  <si>
    <t>КОПЫСОВА ЕЛЕНА НИКОЛАЕВНА</t>
  </si>
  <si>
    <t>45507810768160025321</t>
  </si>
  <si>
    <t>4465-59-03</t>
  </si>
  <si>
    <t>Акмалов Салимгарай Саитгараевич</t>
  </si>
  <si>
    <t>45507810868210023694</t>
  </si>
  <si>
    <t>ИВАНОВ ВАЛЕРИЙ АНАТОЛЬЕВИЧ</t>
  </si>
  <si>
    <t>45507810168200000945</t>
  </si>
  <si>
    <t>45507810668200001185</t>
  </si>
  <si>
    <t>МАЗИТОВ НИКОЛАЙ НИКОЛАЕВИЧ</t>
  </si>
  <si>
    <t>45507810868210017422</t>
  </si>
  <si>
    <t>0078-77</t>
  </si>
  <si>
    <t>МЕДВЕДЕВ АЛЕКСАНДР НИКОЛАЕВИЧ</t>
  </si>
  <si>
    <t>45507810768210011971</t>
  </si>
  <si>
    <t>Мурзин Леонид Васильевич</t>
  </si>
  <si>
    <t>45507810368200003797</t>
  </si>
  <si>
    <t>Новожилова Галина Константиновна</t>
  </si>
  <si>
    <t>45507810368210003787</t>
  </si>
  <si>
    <t>Хубайбуллина Гулямзам Сабитовна</t>
  </si>
  <si>
    <t>45507810568210025028</t>
  </si>
  <si>
    <t>МОРОЗОВ ЕВГЕНИЙ АФАНАСЬЕВИЧ</t>
  </si>
  <si>
    <t>45507810468220006302</t>
  </si>
  <si>
    <t>4482-46</t>
  </si>
  <si>
    <t>96</t>
  </si>
  <si>
    <t>Камчатский край</t>
  </si>
  <si>
    <t>ГОРЬКОВСКАЯ ОБЛАСТЬ</t>
  </si>
  <si>
    <t>БАЛАШЕВА НАДЕЖДА АФАНАСЬЕВНА</t>
  </si>
  <si>
    <t>45507810449150017811</t>
  </si>
  <si>
    <t>СОЛДАТОВ ЕВГЕНИЙ ГЕННАДЬЕВИЧ</t>
  </si>
  <si>
    <t>45507810649150015079</t>
  </si>
  <si>
    <t>ШАГИДУЛЛИН ВАКИФ ВАСИЛОВИЧ</t>
  </si>
  <si>
    <t>45507810449150011176</t>
  </si>
  <si>
    <t>ВИНОГРАДОВ АЛЕКСАНДР ЕВГЕНЬЕВИЧ</t>
  </si>
  <si>
    <t>45502810249160000424</t>
  </si>
  <si>
    <t>953 Овердрафт неразрешенный</t>
  </si>
  <si>
    <t>ЛЕВЧЕНКО АНАТОЛИЙ ГРИГОРЬЕВИЧ</t>
  </si>
  <si>
    <t>45506810449160016780</t>
  </si>
  <si>
    <t>45506810449160014261</t>
  </si>
  <si>
    <t>САМОДУРОВА ЛИЛИЯ ПЕТРОВНА</t>
  </si>
  <si>
    <t>45502810049160000381</t>
  </si>
  <si>
    <t>ТОКАРЕВ ВИКТОР АНДРЕЕВИЧ</t>
  </si>
  <si>
    <t>45507810549160026323</t>
  </si>
  <si>
    <t>ХОЛИНА ЛАРИСА ВЛАДИМИРОВНА</t>
  </si>
  <si>
    <t>45506810649160018481</t>
  </si>
  <si>
    <t>45506810049160015864</t>
  </si>
  <si>
    <t>ЮЖАНИНОВ НИКОЛАЙ АЛЕКСАНДРОВИЧ</t>
  </si>
  <si>
    <t>45507810049160032639</t>
  </si>
  <si>
    <t>КОНЯЕВ СЕРГЕЙ ВИКТОРОВИЧ</t>
  </si>
  <si>
    <t>45506810349170008202</t>
  </si>
  <si>
    <t>КЫЛОСОВА НАТАЛЬЯ ПЕТРОВНА</t>
  </si>
  <si>
    <t>45507810149170019351</t>
  </si>
  <si>
    <t>МОТЫЛЬ ВАСИЛИЙ СЕМЕНОВИЧ</t>
  </si>
  <si>
    <t>45507810749170013731</t>
  </si>
  <si>
    <t>ПЕПЕЛЯЕВ ГЕННАДИЙ ТИХОНОВИЧ</t>
  </si>
  <si>
    <t>45507810049170021355</t>
  </si>
  <si>
    <t>45507810149170017214</t>
  </si>
  <si>
    <t>ПЕТРУНИНА ВАЛЕНТИНА ЕГОРОВНА</t>
  </si>
  <si>
    <t>45506810449170007585</t>
  </si>
  <si>
    <t>ПИРОЖКОВ ВИКТОР ВЛАДИМИРОВИЧ</t>
  </si>
  <si>
    <t>45507810649170021739</t>
  </si>
  <si>
    <t>45507810849170018678</t>
  </si>
  <si>
    <t>ТАРЕЕВА ТАТЬЯНА НИКОЛАЕВНА</t>
  </si>
  <si>
    <t>45507810449170018984</t>
  </si>
  <si>
    <t>АЗАНОВА ЗИНАИДА ИВАНОВНА</t>
  </si>
  <si>
    <t>45507810049180016554</t>
  </si>
  <si>
    <t>БОБЫЛЕВ ЮРИЙ ВАСИЛЬЕВИЧ</t>
  </si>
  <si>
    <t>45507810949180014753</t>
  </si>
  <si>
    <t>МОТЫРЕВА ЕВГЕНИЯ СТЕПАНОВНА</t>
  </si>
  <si>
    <t>45507810249180017324</t>
  </si>
  <si>
    <t>НОРЕЙКА ТАИСЬЯ ФЕДОРОВНА</t>
  </si>
  <si>
    <t>45507810249180013522</t>
  </si>
  <si>
    <t>УТКИН НИКОЛАЙ АЛЕКСАНДРОВИЧ</t>
  </si>
  <si>
    <t>45506810349240016386</t>
  </si>
  <si>
    <t>БОЛТАСЕВ ВЛАДИМИР ВЛАДИМИРОВИЧ</t>
  </si>
  <si>
    <t>45507810949270015549</t>
  </si>
  <si>
    <t>1640-46</t>
  </si>
  <si>
    <t>45506810549270004964</t>
  </si>
  <si>
    <t>1640-13-04</t>
  </si>
  <si>
    <t>Давидюк Ольга Николаевна</t>
  </si>
  <si>
    <t>45506810549270004896</t>
  </si>
  <si>
    <t>45507810249270010985</t>
  </si>
  <si>
    <t>ЛЕКОМЦЕВА РАИСА ИВАНОВНА</t>
  </si>
  <si>
    <t>45506810449270005063</t>
  </si>
  <si>
    <t>ТЮМИН АНДРЕЙ ПЕТРОВИЧ</t>
  </si>
  <si>
    <t>45507810549270014526</t>
  </si>
  <si>
    <t>АЛЬМАТОВ РАСИЛЬ НАИФОВИЧ</t>
  </si>
  <si>
    <t>45507810249370011376</t>
  </si>
  <si>
    <t>ГАЛЕИНОВ ЭДУАРД СУГУТОВИЧ</t>
  </si>
  <si>
    <t>45507810349420029723</t>
  </si>
  <si>
    <t>1910 Приобретение готового жилья (Молодая семья)</t>
  </si>
  <si>
    <t>1668-52</t>
  </si>
  <si>
    <t>КОНОВАЛОВ АНДРЕЙ ВЛАДИМИРОВИЧ</t>
  </si>
  <si>
    <t>45507810849420024493</t>
  </si>
  <si>
    <t>КРЫЛОВ ОЛЕГ ВЛАДИМИРОВИЧ</t>
  </si>
  <si>
    <t>45506810749420014672</t>
  </si>
  <si>
    <t>1668-66-38</t>
  </si>
  <si>
    <t>45507810149420018002</t>
  </si>
  <si>
    <t>НАСЫРТДИНОВА ТАТЬЯНА ЛЕОНИДОВНА</t>
  </si>
  <si>
    <t>45507810849420025557</t>
  </si>
  <si>
    <t>АДЯЕВА НАДЕЖДА АЛЕКСАНДРОВНА</t>
  </si>
  <si>
    <t>45507810249090031830</t>
  </si>
  <si>
    <t>КОПЫСОВА ТАТЬЯНА АЛЕКСЕЕВНА</t>
  </si>
  <si>
    <t>45506810949510007755</t>
  </si>
  <si>
    <t>ПОПОВ АНАТОЛИЙ АЛЕКСАНДРОВИЧ</t>
  </si>
  <si>
    <t>45506810349490023404</t>
  </si>
  <si>
    <t>6984-38</t>
  </si>
  <si>
    <t>ТОТЬМЯНИНА НИНА АЛЕКСАНДРОВНА</t>
  </si>
  <si>
    <t>45507810649090035588</t>
  </si>
  <si>
    <t>6984-0251</t>
  </si>
  <si>
    <t>ВАСИЛЬЕВ ВИКТОР СЕРГЕЕВИЧ</t>
  </si>
  <si>
    <t>45506810049090018494</t>
  </si>
  <si>
    <t>1441 Автокредит (субсидия)</t>
  </si>
  <si>
    <t>6984-0246</t>
  </si>
  <si>
    <t>ГРИГОРЬЕВ ВЛАДИМИР ВИТАЛЬЕВИЧ</t>
  </si>
  <si>
    <t>45506810949510006523</t>
  </si>
  <si>
    <t>ЛАВРУК ЕЛЕНА НИКОЛАЕВНА</t>
  </si>
  <si>
    <t>45506810249510006469</t>
  </si>
  <si>
    <t>45507810249510015022</t>
  </si>
  <si>
    <t>ЛОСКУТОВ ВИКТОР НИКОЛАЕВИЧ</t>
  </si>
  <si>
    <t>45507810549500020112</t>
  </si>
  <si>
    <t>6984-0280</t>
  </si>
  <si>
    <t>ГУЛЯЕВ АНДРЕЙ АЛЕКСЕЕВИЧ</t>
  </si>
  <si>
    <t>45507810749540014616</t>
  </si>
  <si>
    <t>КАТАЕВ РОМАН ЛЕОНИДОВИЧ</t>
  </si>
  <si>
    <t>45507810449540019652</t>
  </si>
  <si>
    <t>6897-73</t>
  </si>
  <si>
    <t>КУСТОВ ПАВЕЛ НИКОЛАЕВИЧ</t>
  </si>
  <si>
    <t>45507810049540013430</t>
  </si>
  <si>
    <t>45507810449540016477</t>
  </si>
  <si>
    <t>НАУМОВ АНАТОЛИЙ НИКОЛАЕВИЧ</t>
  </si>
  <si>
    <t>45507810649540015605</t>
  </si>
  <si>
    <t>Ичёткин Анатолий Николаевич</t>
  </si>
  <si>
    <t>45507810428190017130</t>
  </si>
  <si>
    <t>Талайко Лидия Ивановна</t>
  </si>
  <si>
    <t>45506810528190019136</t>
  </si>
  <si>
    <t>45507810128190015319</t>
  </si>
  <si>
    <t>45507810128190018345</t>
  </si>
  <si>
    <t>Терентьев Андрей Егорович</t>
  </si>
  <si>
    <t>45507810128190013285</t>
  </si>
  <si>
    <t>45506810428190017542</t>
  </si>
  <si>
    <t>Тубольцев Михаил Иванович</t>
  </si>
  <si>
    <t>45507810528190001237</t>
  </si>
  <si>
    <t>Филиппов Александр Александрович</t>
  </si>
  <si>
    <t>6054-9</t>
  </si>
  <si>
    <t>45507810628190009074</t>
  </si>
  <si>
    <t>Ярош Виктор Анатольевич</t>
  </si>
  <si>
    <t>45507810428150003113</t>
  </si>
  <si>
    <t>МАХИН ВЛАДИМИР ИВАНОВИЧ</t>
  </si>
  <si>
    <t>45507810728160009810</t>
  </si>
  <si>
    <t>КОНАКОВА ТАТЬЯНА АНТОНОВНА</t>
  </si>
  <si>
    <t>45506810228000053715</t>
  </si>
  <si>
    <t>Улитина Светлана Леонардовна</t>
  </si>
  <si>
    <t>45507810528000092268</t>
  </si>
  <si>
    <t>8617-82</t>
  </si>
  <si>
    <t>ФЕДОРОВ ЭДУАРД АНАТОЛЬЕВИЧ</t>
  </si>
  <si>
    <t>45505810828000003687</t>
  </si>
  <si>
    <t>Моисеев Роман Владимирович</t>
  </si>
  <si>
    <t>45507810228000021924</t>
  </si>
  <si>
    <t>4375-4</t>
  </si>
  <si>
    <t>45507810528000015164</t>
  </si>
  <si>
    <t>Чагина Ирина Владимировна</t>
  </si>
  <si>
    <t>45506810428000018699</t>
  </si>
  <si>
    <t>Александров Николай Германович</t>
  </si>
  <si>
    <t>45507810468000085886</t>
  </si>
  <si>
    <t>Перевозчиков Станислав Яковлевич</t>
  </si>
  <si>
    <t>45506810468050005642</t>
  </si>
  <si>
    <t>Харин Юрий Александрович</t>
  </si>
  <si>
    <t>45506810368000043945</t>
  </si>
  <si>
    <t>8618-82</t>
  </si>
  <si>
    <t>Андреев Владимир Николаевич</t>
  </si>
  <si>
    <t>45505810968090003309</t>
  </si>
  <si>
    <t>4450-51</t>
  </si>
  <si>
    <t>Васильев Леонид Геннадьевич</t>
  </si>
  <si>
    <t>45506810668090011823</t>
  </si>
  <si>
    <t>Воронова Тамара Всеволодовна</t>
  </si>
  <si>
    <t>45506810168090010531</t>
  </si>
  <si>
    <t>ЖУЙКОВ АЛЕКСЕЙ ГЕННАДЬЕВИЧ</t>
  </si>
  <si>
    <t>45507810668100002488</t>
  </si>
  <si>
    <t>45506810268090012251</t>
  </si>
  <si>
    <t>4450-73</t>
  </si>
  <si>
    <t>КОНДРАТЬЕВА ЭМИЛИЯ АНАТОЛЬЕВНА</t>
  </si>
  <si>
    <t>45507810368090014064</t>
  </si>
  <si>
    <t>4450-84</t>
  </si>
  <si>
    <t>Никитин Сергей Геннадьевич</t>
  </si>
  <si>
    <t>45507810068100005247</t>
  </si>
  <si>
    <t>Трефилов Лев Владимирович</t>
  </si>
  <si>
    <t>45506810168090008789</t>
  </si>
  <si>
    <t>Колодкин Андрей Валерьевич</t>
  </si>
  <si>
    <t>45506810668140007091</t>
  </si>
  <si>
    <t>45507810468140019741</t>
  </si>
  <si>
    <t>Михайлов Павел Сергеевич</t>
  </si>
  <si>
    <t>45506810368160009670</t>
  </si>
  <si>
    <t>4465-52</t>
  </si>
  <si>
    <t>НОСРЕЕВ ЮСУПДЖАН АБДУРАШИТОВИЧ</t>
  </si>
  <si>
    <t>45506810168160010827</t>
  </si>
  <si>
    <t>Салихзянов Инсур Салихянович</t>
  </si>
  <si>
    <t>45507810668210028666</t>
  </si>
  <si>
    <t>0078-02</t>
  </si>
  <si>
    <t>АНИКИН ЛЕОНИД ВАСИЛЬЕВИЧ</t>
  </si>
  <si>
    <t>45507810068220014011</t>
  </si>
  <si>
    <t>МОКРЕЦОВ ВАЛЕРИЙ НИКОЛАЕВИЧ</t>
  </si>
  <si>
    <t>45507810668220006801</t>
  </si>
  <si>
    <t>84</t>
  </si>
  <si>
    <t>58</t>
  </si>
  <si>
    <t>Подогнать по портфелям</t>
  </si>
  <si>
    <t>45818810149100102053</t>
  </si>
  <si>
    <t>45818810549100102048</t>
  </si>
  <si>
    <t>45515810749150000002</t>
  </si>
  <si>
    <t>45818810649150102066</t>
  </si>
  <si>
    <t>45515810549160000056</t>
  </si>
  <si>
    <t>45515810849160000219</t>
  </si>
  <si>
    <t>45818810149160102077</t>
  </si>
  <si>
    <t>45818810149160102080</t>
  </si>
  <si>
    <t>45818810249160102058</t>
  </si>
  <si>
    <t>45515810049170000083</t>
  </si>
  <si>
    <t>45515810149170000080</t>
  </si>
  <si>
    <t>45515810549170000075</t>
  </si>
  <si>
    <t>45515810549171000016</t>
  </si>
  <si>
    <t>45515810749170000082</t>
  </si>
  <si>
    <t>45515810249180000093</t>
  </si>
  <si>
    <t>45515810549180000094</t>
  </si>
  <si>
    <t>45515810849180000095</t>
  </si>
  <si>
    <t>45515810949180000092</t>
  </si>
  <si>
    <t>45818810449180102016</t>
  </si>
  <si>
    <t>45515810449240000047</t>
  </si>
  <si>
    <t>45515810649240000067</t>
  </si>
  <si>
    <t>45818810249240102017</t>
  </si>
  <si>
    <t>45515810049270000019</t>
  </si>
  <si>
    <t>45515810449270000020</t>
  </si>
  <si>
    <t>45515810549270000030</t>
  </si>
  <si>
    <t>45515810649270000024</t>
  </si>
  <si>
    <t>45515810749270000021</t>
  </si>
  <si>
    <t>45515810749270000076</t>
  </si>
  <si>
    <t>45515810849270000031</t>
  </si>
  <si>
    <t>45818810049270102148</t>
  </si>
  <si>
    <t>45818810349270102149</t>
  </si>
  <si>
    <t>45818810449270102094</t>
  </si>
  <si>
    <t>45818810749270102024</t>
  </si>
  <si>
    <t>45818810749270102147</t>
  </si>
  <si>
    <t>45818810949270102099</t>
  </si>
  <si>
    <t>45515810849420000098</t>
  </si>
  <si>
    <t>45515810849420000108</t>
  </si>
  <si>
    <t>45818810149420102076</t>
  </si>
  <si>
    <t>45818810549420102016</t>
  </si>
  <si>
    <t>45515810849470000022</t>
  </si>
  <si>
    <t>45515810949470000032</t>
  </si>
  <si>
    <t>45818810649470102076</t>
  </si>
  <si>
    <t>45515810549540000100</t>
  </si>
  <si>
    <t>45818810149540102066</t>
  </si>
  <si>
    <t>45818810749540102068</t>
  </si>
  <si>
    <t>45818810749540102071</t>
  </si>
  <si>
    <t>45818810749540102990</t>
  </si>
  <si>
    <t>45515810028190002003</t>
  </si>
  <si>
    <t>45515810628190000065</t>
  </si>
  <si>
    <t>45515810728190000062</t>
  </si>
  <si>
    <t>45515810928190000066</t>
  </si>
  <si>
    <t>45818810328190102096</t>
  </si>
  <si>
    <t>45818810628190102097</t>
  </si>
  <si>
    <t>45515810728060012012</t>
  </si>
  <si>
    <t>45818810228060102019</t>
  </si>
  <si>
    <t>45818810328100102057</t>
  </si>
  <si>
    <t>45818810728100102026</t>
  </si>
  <si>
    <t>45818810928100102004</t>
  </si>
  <si>
    <t>45818810828150102057</t>
  </si>
  <si>
    <t>45818810328160102055</t>
  </si>
  <si>
    <t>45515810028000011003</t>
  </si>
  <si>
    <t>45515810328000000141</t>
  </si>
  <si>
    <t>45515810428000080003</t>
  </si>
  <si>
    <t>45515810628000000139</t>
  </si>
  <si>
    <t>45515810728000000136</t>
  </si>
  <si>
    <t>45515810728000012001</t>
  </si>
  <si>
    <t>45818810028000102224</t>
  </si>
  <si>
    <t>45818810728000102223</t>
  </si>
  <si>
    <t>45515810068000062547</t>
  </si>
  <si>
    <t>45515810268000000095</t>
  </si>
  <si>
    <t>45515810768000059041</t>
  </si>
  <si>
    <t>45515810968000000094</t>
  </si>
  <si>
    <t>45818810268000102658</t>
  </si>
  <si>
    <t>45818810368000102105</t>
  </si>
  <si>
    <t>45818810868000102100</t>
  </si>
  <si>
    <t>45818810868000102883</t>
  </si>
  <si>
    <t>45818810968000102026</t>
  </si>
  <si>
    <t>45515810268090000377</t>
  </si>
  <si>
    <t>45515810268090000403</t>
  </si>
  <si>
    <t>45515810368090000374</t>
  </si>
  <si>
    <t>45515810468090000371</t>
  </si>
  <si>
    <t>45515810468090000407</t>
  </si>
  <si>
    <t>45515810568090000352</t>
  </si>
  <si>
    <t>45515810768090000398</t>
  </si>
  <si>
    <t>45515810868090000405</t>
  </si>
  <si>
    <t>45818810068090102046</t>
  </si>
  <si>
    <t>45515810368140000499</t>
  </si>
  <si>
    <t>45818810468140102004</t>
  </si>
  <si>
    <t>45515810068160000041</t>
  </si>
  <si>
    <t>45818810568160102065</t>
  </si>
  <si>
    <t>45818810268210102040</t>
  </si>
  <si>
    <t>45515810168220000027</t>
  </si>
  <si>
    <t>45515810268220060491</t>
  </si>
  <si>
    <t>83</t>
  </si>
  <si>
    <t>90</t>
  </si>
  <si>
    <t>99</t>
  </si>
  <si>
    <t>95</t>
  </si>
  <si>
    <t>89</t>
  </si>
  <si>
    <t>91</t>
  </si>
  <si>
    <t>СУМСКАЯ ОБЛАСТЬ</t>
  </si>
  <si>
    <t>Алтайский край</t>
  </si>
  <si>
    <t>Приморский край</t>
  </si>
  <si>
    <t>08</t>
  </si>
  <si>
    <t>Хабаровский край</t>
  </si>
  <si>
    <t>Амурская область</t>
  </si>
  <si>
    <t>Астраханская область</t>
  </si>
  <si>
    <t>Воронежская область</t>
  </si>
  <si>
    <t>Калининградская область</t>
  </si>
  <si>
    <t>Кемеровская область</t>
  </si>
  <si>
    <t>41</t>
  </si>
  <si>
    <t>Магаданская область</t>
  </si>
  <si>
    <t>Московская область</t>
  </si>
  <si>
    <t>Мурманская область</t>
  </si>
  <si>
    <t>Новгородская область</t>
  </si>
  <si>
    <t>Новосибирская область</t>
  </si>
  <si>
    <t>Орловская область</t>
  </si>
  <si>
    <t>Пензенская область</t>
  </si>
  <si>
    <t>Псковская область</t>
  </si>
  <si>
    <t>Смоленская область</t>
  </si>
  <si>
    <t>Тульская область</t>
  </si>
  <si>
    <t>Ульяновская область</t>
  </si>
  <si>
    <t>Республика Карелия</t>
  </si>
  <si>
    <t>Республика Мордовия</t>
  </si>
  <si>
    <t>Республика Северная Осетия - Алания</t>
  </si>
  <si>
    <t>Карачаево-Черкесская Республика</t>
  </si>
  <si>
    <t>Республика Хакасия</t>
  </si>
  <si>
    <t>06_30</t>
  </si>
  <si>
    <t>45515810749030000261</t>
  </si>
  <si>
    <t>45818810249030102638</t>
  </si>
  <si>
    <t>45818810649030102034</t>
  </si>
  <si>
    <t>45515810349100000067</t>
  </si>
  <si>
    <t>45515810549100000100</t>
  </si>
  <si>
    <t>45818810149100102079</t>
  </si>
  <si>
    <t>45818810549100102051</t>
  </si>
  <si>
    <t>45515810349150000240</t>
  </si>
  <si>
    <t>45818810249150102068</t>
  </si>
  <si>
    <t>45818810549150102069</t>
  </si>
  <si>
    <t>45818810949150102070</t>
  </si>
  <si>
    <t>45515810249160000068</t>
  </si>
  <si>
    <t>45515810449160000004</t>
  </si>
  <si>
    <t>45515810849160000073</t>
  </si>
  <si>
    <t>45818810049160102083</t>
  </si>
  <si>
    <t>45818810949160102002</t>
  </si>
  <si>
    <t>45818810949160102028</t>
  </si>
  <si>
    <t>45818810449170102084</t>
  </si>
  <si>
    <t>45818810749170102085</t>
  </si>
  <si>
    <t>45818810949170102018</t>
  </si>
  <si>
    <t>45515810149180000041</t>
  </si>
  <si>
    <t>45515810449180000097</t>
  </si>
  <si>
    <t>45515810749180000098</t>
  </si>
  <si>
    <t>45818810049180102018</t>
  </si>
  <si>
    <t>45515810249240000069</t>
  </si>
  <si>
    <t>45818810749240102025</t>
  </si>
  <si>
    <t>45818810949240102032</t>
  </si>
  <si>
    <t>45515810549270000108</t>
  </si>
  <si>
    <t>45818810449270102146</t>
  </si>
  <si>
    <t>45818810949270102109</t>
  </si>
  <si>
    <t>45515810649370100031</t>
  </si>
  <si>
    <t>45818810449370102004</t>
  </si>
  <si>
    <t>45515810049420000102</t>
  </si>
  <si>
    <t>45515810849420000001</t>
  </si>
  <si>
    <t>45515810949420000053</t>
  </si>
  <si>
    <t>45515810249470000033</t>
  </si>
  <si>
    <t>45818810249470102023</t>
  </si>
  <si>
    <t>45818810849470102025</t>
  </si>
  <si>
    <t>45515810249540000099</t>
  </si>
  <si>
    <t>45515810228190000067</t>
  </si>
  <si>
    <t>45515810228190000070</t>
  </si>
  <si>
    <t>45515810228190005004</t>
  </si>
  <si>
    <t>45515810528190000068</t>
  </si>
  <si>
    <t>45515810828190000069</t>
  </si>
  <si>
    <t>45515810828190000072</t>
  </si>
  <si>
    <t>45818810528190102100</t>
  </si>
  <si>
    <t>45818810928190102098</t>
  </si>
  <si>
    <t>45818810128150102058</t>
  </si>
  <si>
    <t>45818810528160102004</t>
  </si>
  <si>
    <t>45515810028000000153</t>
  </si>
  <si>
    <t>45515810028000012002</t>
  </si>
  <si>
    <t>45515810228000000144</t>
  </si>
  <si>
    <t>45515810428000000151</t>
  </si>
  <si>
    <t>45515810528000000145</t>
  </si>
  <si>
    <t>45515810628000000155</t>
  </si>
  <si>
    <t>45818810528000102229</t>
  </si>
  <si>
    <t>45818810928000102227</t>
  </si>
  <si>
    <t>45515810268000000105</t>
  </si>
  <si>
    <t>45515810468000000099</t>
  </si>
  <si>
    <t>45515810468000000109</t>
  </si>
  <si>
    <t>45515810568000000106</t>
  </si>
  <si>
    <t>45515810868000000097</t>
  </si>
  <si>
    <t>45515810868000000107</t>
  </si>
  <si>
    <t>45818810568000102109</t>
  </si>
  <si>
    <t>45818810968000102107</t>
  </si>
  <si>
    <t>45515810068090000409</t>
  </si>
  <si>
    <t>45515810468090000410</t>
  </si>
  <si>
    <t>45818810568090102041</t>
  </si>
  <si>
    <t>45818810668090102336</t>
  </si>
  <si>
    <t>45515810268160001141</t>
  </si>
  <si>
    <t>45818810168160102041</t>
  </si>
  <si>
    <t>45515810068210000030</t>
  </si>
  <si>
    <t>45515810668210000029</t>
  </si>
  <si>
    <t>45818810168210102344</t>
  </si>
  <si>
    <t>45818810368210102063</t>
  </si>
  <si>
    <t>45818810968220102026</t>
  </si>
  <si>
    <t>8405-13-04</t>
  </si>
  <si>
    <t>1910 Приобретение готового жилья</t>
  </si>
  <si>
    <t>1668-52-38</t>
  </si>
  <si>
    <t>6984-0298</t>
  </si>
  <si>
    <t>6984-0238</t>
  </si>
  <si>
    <t>8618-96-03</t>
  </si>
  <si>
    <t>Бузанаков Евгений Егорович</t>
  </si>
  <si>
    <t>Ушакова Елена Николаевна</t>
  </si>
  <si>
    <t>ШИБАЕВА ГАЛИНА СЕРГЕЕВНА</t>
  </si>
  <si>
    <t>45506810549030017829</t>
  </si>
  <si>
    <t>ГРИБОВА АНАСТАСИЯ ИВАНОВНА</t>
  </si>
  <si>
    <t>45507810249100017003</t>
  </si>
  <si>
    <t>МЕХОНОШИН ВИКТОР ДМИТРИЕВИЧ</t>
  </si>
  <si>
    <t>45507810249100013366</t>
  </si>
  <si>
    <t>ДЖИКИЯ ВЕРА ОЛЕГОВНА</t>
  </si>
  <si>
    <t>45506810049150008250</t>
  </si>
  <si>
    <t>Михалик Иван Сергеевич</t>
  </si>
  <si>
    <t>45505810849150002305</t>
  </si>
  <si>
    <t>ПРОНИН ВИКТОР АЛЕКСАНДРОВИЧ</t>
  </si>
  <si>
    <t>45507810449150013572</t>
  </si>
  <si>
    <t>ВОЛКОВ СЕРГЕЙ АЛЕКСЕЕВИЧ</t>
  </si>
  <si>
    <t>45507810449160017908</t>
  </si>
  <si>
    <t>ИВАНОВ АНДРЕЙ ГЕННАДЬЕВИЧ</t>
  </si>
  <si>
    <t>45507810149160027751</t>
  </si>
  <si>
    <t>ИСАКОВ МИХАИЛ ГРИГОРЬЕВИЧ</t>
  </si>
  <si>
    <t>45507810149160025452</t>
  </si>
  <si>
    <t>КАШИН ДМИТРИЙ ГРИГОРЬЕВИЧ</t>
  </si>
  <si>
    <t>45507810249170011262</t>
  </si>
  <si>
    <t>СОНИЧ ЛЮДМИЛА АЛЕКСАНДРОВНА</t>
  </si>
  <si>
    <t>45507810249180013975</t>
  </si>
  <si>
    <t>ЧАЗОВ ВАДИМ МИХАЙЛОВИЧ</t>
  </si>
  <si>
    <t>45506810349180008810</t>
  </si>
  <si>
    <t>СУХИНИН ВИТАЛИЙ ПЕТРОВИЧ</t>
  </si>
  <si>
    <t>45507810749240022047</t>
  </si>
  <si>
    <t>ВАСИЛОВ РАДИК КАМИЛОВИЧ</t>
  </si>
  <si>
    <t>45507810449420029526</t>
  </si>
  <si>
    <t>КОРЕПАНОВ ЕВГЕНИЙ АНДРЕЕВИЧ</t>
  </si>
  <si>
    <t>45507810449420022125</t>
  </si>
  <si>
    <t>КУРБАТОВ СЕРГЕЙ ГЕННАДЬЕВИЧ</t>
  </si>
  <si>
    <t>45507810349420018611</t>
  </si>
  <si>
    <t>Рахимова Фая Саяфаровна</t>
  </si>
  <si>
    <t>45506810049420015012</t>
  </si>
  <si>
    <t>ПИРОЖКОВА ВАЛЕНТИНА НИКОЛАЕВНА</t>
  </si>
  <si>
    <t>45507810549470013110</t>
  </si>
  <si>
    <t>ЕЛЕЦКИХ АЛЕКСАНДР ВЛАДИМИРОВИЧ</t>
  </si>
  <si>
    <t>45507810349090033026</t>
  </si>
  <si>
    <t>КОЧЕВА МАРИНА ИВАНОВНА</t>
  </si>
  <si>
    <t>45507810249090034565</t>
  </si>
  <si>
    <t>Мастюгина Любовь Александровна</t>
  </si>
  <si>
    <t>45506810749770000527</t>
  </si>
  <si>
    <t>ЩЕКОЛДИН ВИТАЛИЙ НИКОЛАЕВИЧ</t>
  </si>
  <si>
    <t>45507810949770009518</t>
  </si>
  <si>
    <t>ЩИПИЦИН НИКОЛАЙ ИВАНОВИЧ</t>
  </si>
  <si>
    <t>45506810449090018748</t>
  </si>
  <si>
    <t>КОЗЫНЦЕВ АРКАДИЙ АРКАДЬЕВИЧ</t>
  </si>
  <si>
    <t>45506810349090025381</t>
  </si>
  <si>
    <t>МАТВЕЕВ ДМИТРИЙ НИКОЛАЕВИЧ</t>
  </si>
  <si>
    <t>45507810749500021717</t>
  </si>
  <si>
    <t>РАТНИКОВ ВЛАДИМИР АЛЕКСАНДРОВИЧ</t>
  </si>
  <si>
    <t>45502810149770001476</t>
  </si>
  <si>
    <t>ЮХАРЕВ СЕРГЕЙ АЛЕКСЕЕВИЧ</t>
  </si>
  <si>
    <t>45502810749770001478</t>
  </si>
  <si>
    <t>Алексеева Нина Михайловна</t>
  </si>
  <si>
    <t>45507810828190025308</t>
  </si>
  <si>
    <t>Бакаев Николай Алексеевич</t>
  </si>
  <si>
    <t>45506810628190013647</t>
  </si>
  <si>
    <t>Бутаков Андрей Александрович</t>
  </si>
  <si>
    <t>45506810428190013588</t>
  </si>
  <si>
    <t>КОВАЛЕВ АЛЕКСАНДР НИКОЛАЕВИЧ</t>
  </si>
  <si>
    <t>45506810428190019456</t>
  </si>
  <si>
    <t>Наконечная Вера Леонидовна</t>
  </si>
  <si>
    <t>45507810028190013411</t>
  </si>
  <si>
    <t>45507810728190026960</t>
  </si>
  <si>
    <t>Авдеев Александр Михайлович</t>
  </si>
  <si>
    <t>45507810628100006096</t>
  </si>
  <si>
    <t>ОВЕЧКИНА НАТАЛЬЯ АЛЕКСАНДРОВНА</t>
  </si>
  <si>
    <t>45506810428100010131</t>
  </si>
  <si>
    <t>Курдакова Екатерина Сергеевна</t>
  </si>
  <si>
    <t>45506810728000029980</t>
  </si>
  <si>
    <t>45507810228000092762</t>
  </si>
  <si>
    <t>ЛУЖИНСКИЙ АЛЕКСЕЙ ВАСИЛЬЕВИЧ</t>
  </si>
  <si>
    <t>45507810828000030166</t>
  </si>
  <si>
    <t>Лавренюк Юрий Степанович</t>
  </si>
  <si>
    <t>45506810828000030578</t>
  </si>
  <si>
    <t>Мамонтов Петр Анатольевич</t>
  </si>
  <si>
    <t>45506810628000031340</t>
  </si>
  <si>
    <t>Матюшев Василий Иванович</t>
  </si>
  <si>
    <t>45505810928000005695</t>
  </si>
  <si>
    <t>Мельников Михаил Юрьевич</t>
  </si>
  <si>
    <t>45506810028000057830</t>
  </si>
  <si>
    <t>Мухамедзянова Рауза Иматдиновна</t>
  </si>
  <si>
    <t>45506810828000030840</t>
  </si>
  <si>
    <t>Шомысов Александр Иванович</t>
  </si>
  <si>
    <t>45506810228000054497</t>
  </si>
  <si>
    <t>Канев Тимофей Степанович</t>
  </si>
  <si>
    <t>45507810828000066965</t>
  </si>
  <si>
    <t>Кочанов Александр Николаевич</t>
  </si>
  <si>
    <t>45507810928040001097</t>
  </si>
  <si>
    <t>45507810628000025889</t>
  </si>
  <si>
    <t>Межиевский Виктор Николаевич</t>
  </si>
  <si>
    <t>45507810228000025962</t>
  </si>
  <si>
    <t>Перминова Елена Леонидовна</t>
  </si>
  <si>
    <t>353-4</t>
  </si>
  <si>
    <t>45507810628170005823</t>
  </si>
  <si>
    <t>Сямтомов Алексей Леонидович</t>
  </si>
  <si>
    <t>45509810128000000687</t>
  </si>
  <si>
    <t>Баранова Татьяна Владимировна</t>
  </si>
  <si>
    <t>45505810768000009849</t>
  </si>
  <si>
    <t>Белов Алексей Яковлевич</t>
  </si>
  <si>
    <t>45506810468000046758</t>
  </si>
  <si>
    <t>Билалова Люция Рустэмовна</t>
  </si>
  <si>
    <t>45507810568000074807</t>
  </si>
  <si>
    <t>ВЕПРЕВ СЕРГЕЙ НИКОЛАЕВИЧ</t>
  </si>
  <si>
    <t>45507810068050012432</t>
  </si>
  <si>
    <t>Васильева Людмила Аркадьевна</t>
  </si>
  <si>
    <t>45507810468050011648</t>
  </si>
  <si>
    <t>Марданов Рафис Равильевич</t>
  </si>
  <si>
    <t>45506810068000043669</t>
  </si>
  <si>
    <t>СТРЕЛКОВА НАДЕЖДА ЕВГЕНЬЕВНА</t>
  </si>
  <si>
    <t>45506810268050005224</t>
  </si>
  <si>
    <t>ШАЙДУЛЛИНА ТАТЬЯНА ВАСИЛЬЕВНА</t>
  </si>
  <si>
    <t>45506810068000052948</t>
  </si>
  <si>
    <t>ШКЛЯЕВА ЕКАТЕРИНА АНАТОЛЬЕВНА</t>
  </si>
  <si>
    <t>45507810968000080404</t>
  </si>
  <si>
    <t>МЕНЬКОВ АЛЕКСАНДР ВЛАДИМИРОВИЧ</t>
  </si>
  <si>
    <t>45507810968000074708</t>
  </si>
  <si>
    <t>УСЫНИН МИХАИЛ ГЕННАДЬЕВИЧ</t>
  </si>
  <si>
    <t>45507810368000043753</t>
  </si>
  <si>
    <t>45507810668090016076</t>
  </si>
  <si>
    <t>РЫБИН СЕРГЕЙ ВИКТОРОВИЧ</t>
  </si>
  <si>
    <t>45507810668090023234</t>
  </si>
  <si>
    <t>45507810668090025960</t>
  </si>
  <si>
    <t>Шепелев Владимир Викторович</t>
  </si>
  <si>
    <t>45505810968090003189</t>
  </si>
  <si>
    <t>Бочкарев Юрий Леонидович</t>
  </si>
  <si>
    <t>45507810768210027486</t>
  </si>
  <si>
    <t>Фардеев Мирдарип Гильфанович</t>
  </si>
  <si>
    <t>45506810768210008930</t>
  </si>
  <si>
    <t>Ленинградская область</t>
  </si>
  <si>
    <t>Республика Кабардино-Балкария</t>
  </si>
  <si>
    <t>Республика Ингушетия</t>
  </si>
  <si>
    <t>45515810049030000262</t>
  </si>
  <si>
    <t>45818810149030102042</t>
  </si>
  <si>
    <t>45818810149030102071</t>
  </si>
  <si>
    <t>45818810949030102051</t>
  </si>
  <si>
    <t>45515810349100000025</t>
  </si>
  <si>
    <t>45818810249100102047</t>
  </si>
  <si>
    <t>45818810449100102054</t>
  </si>
  <si>
    <t>45818810849140102012</t>
  </si>
  <si>
    <t>45515810249150000007</t>
  </si>
  <si>
    <t>45515810349150000004</t>
  </si>
  <si>
    <t>45515810649150000005</t>
  </si>
  <si>
    <t>45515810749150000031</t>
  </si>
  <si>
    <t>45818810049150102035</t>
  </si>
  <si>
    <t>45818810149150102074</t>
  </si>
  <si>
    <t>45818810249150102071</t>
  </si>
  <si>
    <t>45818810549150102056</t>
  </si>
  <si>
    <t>45818810549150102072</t>
  </si>
  <si>
    <t>45818810849150102073</t>
  </si>
  <si>
    <t>45515810149170000022</t>
  </si>
  <si>
    <t>45515810849170000076</t>
  </si>
  <si>
    <t>45818810049170102086</t>
  </si>
  <si>
    <t>45818810949170102034</t>
  </si>
  <si>
    <t>45515810049180000099</t>
  </si>
  <si>
    <t>45818810349180102093</t>
  </si>
  <si>
    <t>45818810349180102640</t>
  </si>
  <si>
    <t>45818810749180102541</t>
  </si>
  <si>
    <t>45515810149230000690</t>
  </si>
  <si>
    <t>45818810349230102024</t>
  </si>
  <si>
    <t>45515810449270000033</t>
  </si>
  <si>
    <t>45515810449270000101</t>
  </si>
  <si>
    <t>45515810749270000034</t>
  </si>
  <si>
    <t>45515810749270000128</t>
  </si>
  <si>
    <t>45818810049270102151</t>
  </si>
  <si>
    <t>45818810649270102124</t>
  </si>
  <si>
    <t>45818810749270102150</t>
  </si>
  <si>
    <t>45515810649370000021</t>
  </si>
  <si>
    <t>45818810249370102055</t>
  </si>
  <si>
    <t>45515810049420000128</t>
  </si>
  <si>
    <t>45818810749420102078</t>
  </si>
  <si>
    <t>45515810249470014061</t>
  </si>
  <si>
    <t>45818810449470102014</t>
  </si>
  <si>
    <t>45515810049540000066</t>
  </si>
  <si>
    <t>45515810649540000013</t>
  </si>
  <si>
    <t>45818810649540102074</t>
  </si>
  <si>
    <t>45515810728190090357</t>
  </si>
  <si>
    <t>45818810228190102028</t>
  </si>
  <si>
    <t>45818810328190102041</t>
  </si>
  <si>
    <t>45818810428190102006</t>
  </si>
  <si>
    <t>45818810728190102023</t>
  </si>
  <si>
    <t>45818810728190102049</t>
  </si>
  <si>
    <t>45818810828140102054</t>
  </si>
  <si>
    <t>45818810428150102059</t>
  </si>
  <si>
    <t>45515810028160000006</t>
  </si>
  <si>
    <t>45515810128160021024</t>
  </si>
  <si>
    <t>45515810328160000007</t>
  </si>
  <si>
    <t>45515810328160000010</t>
  </si>
  <si>
    <t>45818810028160102038</t>
  </si>
  <si>
    <t>45818810228160102058</t>
  </si>
  <si>
    <t>45818810228160102061</t>
  </si>
  <si>
    <t>45818810328160102330</t>
  </si>
  <si>
    <t>45818810528160102059</t>
  </si>
  <si>
    <t>45818810928160102057</t>
  </si>
  <si>
    <t>45818810928160102060</t>
  </si>
  <si>
    <t>45515810128000000147</t>
  </si>
  <si>
    <t>45515810228000000157</t>
  </si>
  <si>
    <t>45515810228000000160</t>
  </si>
  <si>
    <t>45515810328000012003</t>
  </si>
  <si>
    <t>45515810528000000158</t>
  </si>
  <si>
    <t>45515810728000000123</t>
  </si>
  <si>
    <t>45515810728000000152</t>
  </si>
  <si>
    <t>45515810828000000159</t>
  </si>
  <si>
    <t>45515810828000000162</t>
  </si>
  <si>
    <t>45515810928000000143</t>
  </si>
  <si>
    <t>45818810028000102240</t>
  </si>
  <si>
    <t>45818810628000102035</t>
  </si>
  <si>
    <t>45818810728000102236</t>
  </si>
  <si>
    <t>45515810168000000111</t>
  </si>
  <si>
    <t>45515810368000062548</t>
  </si>
  <si>
    <t>45515810468000060495</t>
  </si>
  <si>
    <t>45515810668000000103</t>
  </si>
  <si>
    <t>45515810768000000113</t>
  </si>
  <si>
    <t>45515810868000000110</t>
  </si>
  <si>
    <t>45818810868000102032</t>
  </si>
  <si>
    <t>45515810668090000401</t>
  </si>
  <si>
    <t>45515810868090000201</t>
  </si>
  <si>
    <t>45818810268090102037</t>
  </si>
  <si>
    <t>45818810268090102338</t>
  </si>
  <si>
    <t>45818810868090102013</t>
  </si>
  <si>
    <t>45515810668140060498</t>
  </si>
  <si>
    <t>45818810568140102098</t>
  </si>
  <si>
    <t>45818810968140102012</t>
  </si>
  <si>
    <t>45818810968140102038</t>
  </si>
  <si>
    <t>МОРОЗОВ ВИКТОР ГРИГОРЬЕВИЧ</t>
  </si>
  <si>
    <t>45506810749150011822</t>
  </si>
  <si>
    <t>45506810549150012393</t>
  </si>
  <si>
    <t>СПИРИДОНОВ АЛЕКСАНДР ВИКТОРОВИЧ</t>
  </si>
  <si>
    <t>45506810149150013323</t>
  </si>
  <si>
    <t>ФРОЛОВ ЮРИЙ КОНСТАНТИНОВИЧ</t>
  </si>
  <si>
    <t>45507810249150021777</t>
  </si>
  <si>
    <t>НИКУЛИНА ОЛЬГА ГРИГОРЬЕВНА</t>
  </si>
  <si>
    <t>45507810549160023889</t>
  </si>
  <si>
    <t>КАМЕНСКИХ ТАТЬЯНА АНАТОЛЬЕВНА</t>
  </si>
  <si>
    <t>45506810549170008879</t>
  </si>
  <si>
    <t>45507810549170017319</t>
  </si>
  <si>
    <t>КАШИН МИХАИЛ ВЛАДИМИРОВИЧ</t>
  </si>
  <si>
    <t>45507810449170020820</t>
  </si>
  <si>
    <t>1631-13</t>
  </si>
  <si>
    <t>ДУТОВ ЛЕОНИД АЛЕКСАНДРОВИЧ</t>
  </si>
  <si>
    <t>45507810749180015525</t>
  </si>
  <si>
    <t>ГЛАДКИХ НИНА АЛЕКСАНДРОВНА</t>
  </si>
  <si>
    <t>45506810149270005198</t>
  </si>
  <si>
    <t>ТЕРЕХИНА ТАМАРА СЕРГЕЕВНА</t>
  </si>
  <si>
    <t>45506810149270004610</t>
  </si>
  <si>
    <t>ЦУБИКОВ АЛЕКСЕЙ ИВАНОВИЧ</t>
  </si>
  <si>
    <t>45506810849370006151</t>
  </si>
  <si>
    <t>Бекурин Николай Иванович</t>
  </si>
  <si>
    <t>45505810249420004507</t>
  </si>
  <si>
    <t>ГАФИЕВ РАЛИТ</t>
  </si>
  <si>
    <t>45507810649420027548</t>
  </si>
  <si>
    <t>Агапкин Виктор Георгиевич</t>
  </si>
  <si>
    <t>45506810649490026347</t>
  </si>
  <si>
    <t>БОБРОВ НИКОЛАЙ АНАТОЛЬЕВИЧ</t>
  </si>
  <si>
    <t>45506810949770006732</t>
  </si>
  <si>
    <t>Безрукавников Сергей Павлович</t>
  </si>
  <si>
    <t>45506810549770000280</t>
  </si>
  <si>
    <t>6984-0288</t>
  </si>
  <si>
    <t>КУВАЕВ ВЯЧЕСЛАВ ВИКТОРОВИЧ</t>
  </si>
  <si>
    <t>45507810849770000293</t>
  </si>
  <si>
    <t>СЕЛИХИНА МАРИНА ЮРЬЕВНА</t>
  </si>
  <si>
    <t>45505810649770001025</t>
  </si>
  <si>
    <t>6984-0276</t>
  </si>
  <si>
    <t>45506810349770007027</t>
  </si>
  <si>
    <t>6984-0234</t>
  </si>
  <si>
    <t>ТОКАРЕВ СЕРГЕЙ БОРИСОВИЧ</t>
  </si>
  <si>
    <t>45507810749090035242</t>
  </si>
  <si>
    <t>Юдин Михаил Петрович</t>
  </si>
  <si>
    <t>45506810249770003590</t>
  </si>
  <si>
    <t>6984-0277</t>
  </si>
  <si>
    <t>АБУЗОВ ИЛЬШАТ ГАБДУЛЛОВИЧ</t>
  </si>
  <si>
    <t>45506810749490023172</t>
  </si>
  <si>
    <t>НОВИКОВ ВИКТОР ЮРЬЕВИЧ</t>
  </si>
  <si>
    <t>45507810049500016451</t>
  </si>
  <si>
    <t>ПОЙЛОВ СЕРГЕЙ ИВАНОВИЧ</t>
  </si>
  <si>
    <t>45507810749540018984</t>
  </si>
  <si>
    <t>6897-00-54</t>
  </si>
  <si>
    <t>Семяшкин Петр Сергеевич</t>
  </si>
  <si>
    <t>45505810628190003085</t>
  </si>
  <si>
    <t>Логинов Михаил Степанович</t>
  </si>
  <si>
    <t>45506810528100002890</t>
  </si>
  <si>
    <t>Куприянова Людмила Ивановна</t>
  </si>
  <si>
    <t>45507810928140002080</t>
  </si>
  <si>
    <t>Сичкарева Надежда Васильевна</t>
  </si>
  <si>
    <t>45506810528150006150</t>
  </si>
  <si>
    <t>Ирова Ирина Викторовна</t>
  </si>
  <si>
    <t>45507810928160012461</t>
  </si>
  <si>
    <t>ПЕТРАКОВ ВЛАДИМИР МИХАЙЛОВИЧ</t>
  </si>
  <si>
    <t>45506810128160003116</t>
  </si>
  <si>
    <t>45506810628160003674</t>
  </si>
  <si>
    <t>45507810328160002819</t>
  </si>
  <si>
    <t>РАЗМЫСЛОВ АЛЕКСАНДР ИЛЬИЧ</t>
  </si>
  <si>
    <t>45507810628160010637</t>
  </si>
  <si>
    <t>45507810328160008680</t>
  </si>
  <si>
    <t>Курдюков Виктор Иванович</t>
  </si>
  <si>
    <t>45506810928000030436</t>
  </si>
  <si>
    <t>Оборина Тамара Георгиевна</t>
  </si>
  <si>
    <t>45507810928000030309</t>
  </si>
  <si>
    <t>Семкин Виктор Васильевич</t>
  </si>
  <si>
    <t>45507810728000082599</t>
  </si>
  <si>
    <t>БЕЗНОСИКОВ ДМИТРИЙ ЕВГЕНЬЕВИЧ</t>
  </si>
  <si>
    <t>45507810128000097537</t>
  </si>
  <si>
    <t>Воробьева Надежда Петровна</t>
  </si>
  <si>
    <t>45506810568000056444</t>
  </si>
  <si>
    <t>Дмитриев Виктор Валерьевич</t>
  </si>
  <si>
    <t>45507810368000077716</t>
  </si>
  <si>
    <t>Стерхов Алексей Владимирович</t>
  </si>
  <si>
    <t>45506810368000042797</t>
  </si>
  <si>
    <t>45506810868000049708</t>
  </si>
  <si>
    <t>Безденежных Алексей Геннадьевич</t>
  </si>
  <si>
    <t>45506810268090005860</t>
  </si>
  <si>
    <t>ЛИТВИНА ЕЛЕНА АЛЕКСАНДРОВНА</t>
  </si>
  <si>
    <t>45506810649230010270</t>
  </si>
  <si>
    <t>Тетюев Дмитрий Сергеевич</t>
  </si>
  <si>
    <t>45505810849230001747</t>
  </si>
  <si>
    <t>8405-70</t>
  </si>
  <si>
    <t>0729-96</t>
  </si>
  <si>
    <t>7729-82</t>
  </si>
  <si>
    <t>4465-59</t>
  </si>
  <si>
    <t>0078-81</t>
  </si>
  <si>
    <t>1629-00-08</t>
  </si>
  <si>
    <t>1629-00-08-03</t>
  </si>
  <si>
    <t>1629-00-13-04</t>
  </si>
  <si>
    <t>1629-00-13</t>
  </si>
  <si>
    <t>1629-55-08</t>
  </si>
  <si>
    <t>1631-42-08</t>
  </si>
  <si>
    <t>1631-42</t>
  </si>
  <si>
    <t>1637-08</t>
  </si>
  <si>
    <t>1637-08-03</t>
  </si>
  <si>
    <t>1640-08</t>
  </si>
  <si>
    <t>6269-5-113-38</t>
  </si>
  <si>
    <t>6269-3-096</t>
  </si>
  <si>
    <t>6269-4</t>
  </si>
  <si>
    <t>6909-03</t>
  </si>
  <si>
    <t>8123-10-04</t>
  </si>
  <si>
    <t>8617-107</t>
  </si>
  <si>
    <t>8617-56</t>
  </si>
  <si>
    <t>4450-03</t>
  </si>
  <si>
    <t>1663-13</t>
  </si>
  <si>
    <t>4465-03</t>
  </si>
  <si>
    <t>8405-91</t>
  </si>
  <si>
    <t>1623-28-08</t>
  </si>
  <si>
    <t>1629-55-56</t>
  </si>
  <si>
    <t>4929-19-43-08</t>
  </si>
  <si>
    <t>6131-00-08</t>
  </si>
  <si>
    <t>1638-00-90</t>
  </si>
  <si>
    <t>6984-0106</t>
  </si>
  <si>
    <t>6984-0328-13</t>
  </si>
  <si>
    <t>6984-43</t>
  </si>
  <si>
    <t>6984-13-04</t>
  </si>
  <si>
    <t>6984-0169</t>
  </si>
  <si>
    <t>6984-0229</t>
  </si>
  <si>
    <t>6984-0107</t>
  </si>
  <si>
    <t>6984-0324</t>
  </si>
  <si>
    <t>6984-0273</t>
  </si>
  <si>
    <t>6984-0308</t>
  </si>
  <si>
    <t>6984-0279</t>
  </si>
  <si>
    <t>6984-0278</t>
  </si>
  <si>
    <t>6984-0267</t>
  </si>
  <si>
    <t>6984-0326</t>
  </si>
  <si>
    <t>6984-0327</t>
  </si>
  <si>
    <t>6984-0243</t>
  </si>
  <si>
    <t>6984-51</t>
  </si>
  <si>
    <t>6984-0318</t>
  </si>
  <si>
    <t>6897-00-13-04</t>
  </si>
  <si>
    <t>7128-80</t>
  </si>
  <si>
    <t>7128-69</t>
  </si>
  <si>
    <t>8617-02-73</t>
  </si>
  <si>
    <t>8617-70</t>
  </si>
  <si>
    <t>8617-130-03</t>
  </si>
  <si>
    <t>8617-54</t>
  </si>
  <si>
    <t>8617-53</t>
  </si>
  <si>
    <t>8617-51</t>
  </si>
  <si>
    <t>8618-30-03</t>
  </si>
  <si>
    <t>8618-168-13</t>
  </si>
  <si>
    <t>8618-177</t>
  </si>
  <si>
    <t>8618-38</t>
  </si>
  <si>
    <t>1663-55</t>
  </si>
  <si>
    <t>4465-04</t>
  </si>
  <si>
    <t>8405-68</t>
  </si>
  <si>
    <t>8405-83</t>
  </si>
  <si>
    <t>8405-08</t>
  </si>
  <si>
    <t>8405-73</t>
  </si>
  <si>
    <t>8405-72</t>
  </si>
  <si>
    <t>8405-90</t>
  </si>
  <si>
    <t>8405-66</t>
  </si>
  <si>
    <t>6131-26</t>
  </si>
  <si>
    <t>1637-13-04</t>
  </si>
  <si>
    <t>1638-00-08-03</t>
  </si>
  <si>
    <t>1638-00-95</t>
  </si>
  <si>
    <t>1638-00-08</t>
  </si>
  <si>
    <t>1638-61</t>
  </si>
  <si>
    <t>1638-26</t>
  </si>
  <si>
    <t>1664-00-66</t>
  </si>
  <si>
    <t>1668-40-38</t>
  </si>
  <si>
    <t>1675-035-38</t>
  </si>
  <si>
    <t>1675-28</t>
  </si>
  <si>
    <t>6984-0249</t>
  </si>
  <si>
    <t>6984-0143</t>
  </si>
  <si>
    <t>6984-28</t>
  </si>
  <si>
    <t>6984-0237</t>
  </si>
  <si>
    <t>6984-37</t>
  </si>
  <si>
    <t>6984-0129</t>
  </si>
  <si>
    <t>6984-0272</t>
  </si>
  <si>
    <t>6984-0223</t>
  </si>
  <si>
    <t>6984-102</t>
  </si>
  <si>
    <t>6984-75</t>
  </si>
  <si>
    <t>6984-0297-13</t>
  </si>
  <si>
    <t>6984-57</t>
  </si>
  <si>
    <t>6984-0294</t>
  </si>
  <si>
    <t>6984-101</t>
  </si>
  <si>
    <t>6269-1-002</t>
  </si>
  <si>
    <t>6269-1-090</t>
  </si>
  <si>
    <t>8123-13</t>
  </si>
  <si>
    <t>7128-87</t>
  </si>
  <si>
    <t>7128-43</t>
  </si>
  <si>
    <t>7729-45</t>
  </si>
  <si>
    <t>8617-13-04</t>
  </si>
  <si>
    <t>ВСП</t>
  </si>
  <si>
    <t>8617-55</t>
  </si>
  <si>
    <t>8617-02-69</t>
  </si>
  <si>
    <t>8618-22</t>
  </si>
  <si>
    <t>8618-40</t>
  </si>
  <si>
    <t>8618-46</t>
  </si>
  <si>
    <t>8618-89</t>
  </si>
  <si>
    <t>8618-72</t>
  </si>
  <si>
    <t>8618-59</t>
  </si>
  <si>
    <t>8618-60</t>
  </si>
  <si>
    <t>8618-62</t>
  </si>
  <si>
    <t>8618-86</t>
  </si>
  <si>
    <t>4450-72</t>
  </si>
  <si>
    <t>4450-80</t>
  </si>
  <si>
    <t>4450-18</t>
  </si>
  <si>
    <t>1663-35</t>
  </si>
  <si>
    <t>4482-13-04</t>
  </si>
  <si>
    <t>8617-77</t>
  </si>
  <si>
    <t>6984-0321</t>
  </si>
  <si>
    <t>Ост 810</t>
  </si>
  <si>
    <t>Проср 810</t>
  </si>
  <si>
    <t>Ост всего 810</t>
  </si>
  <si>
    <t>Ост 840</t>
  </si>
  <si>
    <t>Проср 840</t>
  </si>
  <si>
    <t>Ост всего 840</t>
  </si>
  <si>
    <t>Ост 978</t>
  </si>
  <si>
    <t>Проср 978</t>
  </si>
  <si>
    <t>Ост всего 978</t>
  </si>
  <si>
    <t xml:space="preserve">РЕЗЕРВ </t>
  </si>
  <si>
    <t>РЕЗЕРВ 978</t>
  </si>
  <si>
    <t>РЕЗЕРВ 840</t>
  </si>
  <si>
    <t>8405-87</t>
  </si>
  <si>
    <t>8405-58</t>
  </si>
  <si>
    <t>8405-88</t>
  </si>
  <si>
    <t>8405-89</t>
  </si>
  <si>
    <t>8405-13</t>
  </si>
  <si>
    <t>8405-37</t>
  </si>
  <si>
    <t>1623-28-13</t>
  </si>
  <si>
    <t>1623-27-13</t>
  </si>
  <si>
    <t>0729-00-13</t>
  </si>
  <si>
    <t>4929-19-73</t>
  </si>
  <si>
    <t>4929-19-51</t>
  </si>
  <si>
    <t>1631-33</t>
  </si>
  <si>
    <t>1631-50</t>
  </si>
  <si>
    <t>1631-49</t>
  </si>
  <si>
    <t>1631-08</t>
  </si>
  <si>
    <t>1631-52</t>
  </si>
  <si>
    <t>1631-73</t>
  </si>
  <si>
    <t>6131-87-36</t>
  </si>
  <si>
    <t>6131-47-13</t>
  </si>
  <si>
    <t>6131-87-08</t>
  </si>
  <si>
    <t>6131-26-08</t>
  </si>
  <si>
    <t>1637-01</t>
  </si>
  <si>
    <t>1637-29</t>
  </si>
  <si>
    <t>1637-45</t>
  </si>
  <si>
    <t>1637-26</t>
  </si>
  <si>
    <t>1637-27</t>
  </si>
  <si>
    <t>1637-19</t>
  </si>
  <si>
    <t>1637-28</t>
  </si>
  <si>
    <t>1638-00-82</t>
  </si>
  <si>
    <t>1638-00-65</t>
  </si>
  <si>
    <t>1638-00-53</t>
  </si>
  <si>
    <t>1638-00-03</t>
  </si>
  <si>
    <t>1638-00-50</t>
  </si>
  <si>
    <t>1638-70</t>
  </si>
  <si>
    <t>1640-01-01</t>
  </si>
  <si>
    <t>1640-42</t>
  </si>
  <si>
    <t>1664-00-08-03</t>
  </si>
  <si>
    <t>1664-56-38</t>
  </si>
  <si>
    <t>1664-00-51</t>
  </si>
  <si>
    <t>1664-56-03</t>
  </si>
  <si>
    <t>1664-03</t>
  </si>
  <si>
    <t>1668-00-34</t>
  </si>
  <si>
    <t>1668-00-13</t>
  </si>
  <si>
    <t>1668-73</t>
  </si>
  <si>
    <t>1668-70</t>
  </si>
  <si>
    <t>1675-08</t>
  </si>
  <si>
    <t>1675-10</t>
  </si>
  <si>
    <t>1675-70</t>
  </si>
  <si>
    <t>1675-13</t>
  </si>
  <si>
    <t>6984-0280-37</t>
  </si>
  <si>
    <t>6984-25</t>
  </si>
  <si>
    <t>6984-40</t>
  </si>
  <si>
    <t>6984-74</t>
  </si>
  <si>
    <t>6984-39</t>
  </si>
  <si>
    <t>6984-0199</t>
  </si>
  <si>
    <t>6984-0240</t>
  </si>
  <si>
    <t>6984-0291</t>
  </si>
  <si>
    <t>6984-0189</t>
  </si>
  <si>
    <t>6984-0306</t>
  </si>
  <si>
    <t>6984-0108</t>
  </si>
  <si>
    <t>6984-0312</t>
  </si>
  <si>
    <t>6984-0301</t>
  </si>
  <si>
    <t>6984-0302</t>
  </si>
  <si>
    <t>6984-106</t>
  </si>
  <si>
    <t>6984-0233</t>
  </si>
  <si>
    <t>6984-0281</t>
  </si>
  <si>
    <t>6984-35</t>
  </si>
  <si>
    <t>6984-104</t>
  </si>
  <si>
    <t>6984-0263</t>
  </si>
  <si>
    <t>6984-0151</t>
  </si>
  <si>
    <t>6984-0305</t>
  </si>
  <si>
    <t>6984-0304</t>
  </si>
  <si>
    <t>6984-32</t>
  </si>
  <si>
    <t>6984-41</t>
  </si>
  <si>
    <t>6984-33</t>
  </si>
  <si>
    <t>6984-103</t>
  </si>
  <si>
    <t>6984-29</t>
  </si>
  <si>
    <t>6984-0303</t>
  </si>
  <si>
    <t>6984-0310</t>
  </si>
  <si>
    <t>6984-65-13</t>
  </si>
  <si>
    <t>6984-0315</t>
  </si>
  <si>
    <t>6984-0317</t>
  </si>
  <si>
    <t>6984-23-13</t>
  </si>
  <si>
    <t>6984-0311</t>
  </si>
  <si>
    <t>6984-0319</t>
  </si>
  <si>
    <t>6984-51-01</t>
  </si>
  <si>
    <t>6984-13</t>
  </si>
  <si>
    <t>6984-0272-38</t>
  </si>
  <si>
    <t>6984-65</t>
  </si>
  <si>
    <t>6984-0267-37</t>
  </si>
  <si>
    <t>6984-54-01</t>
  </si>
  <si>
    <t>6984-06</t>
  </si>
  <si>
    <t>6984-0260-37</t>
  </si>
  <si>
    <t>6897-00-55</t>
  </si>
  <si>
    <t>6897-00-33</t>
  </si>
  <si>
    <t>6897-56-57</t>
  </si>
  <si>
    <t>6897-00-47</t>
  </si>
  <si>
    <t>6897-00-13</t>
  </si>
  <si>
    <t>6269-3-095</t>
  </si>
  <si>
    <t>6269-3-094</t>
  </si>
  <si>
    <t>6269-1-087</t>
  </si>
  <si>
    <t>6269-13-04</t>
  </si>
  <si>
    <t>6269-1-071</t>
  </si>
  <si>
    <t>6269-1-54</t>
  </si>
  <si>
    <t>4107-08</t>
  </si>
  <si>
    <t>6909-90</t>
  </si>
  <si>
    <t>6909-70</t>
  </si>
  <si>
    <t>6909-96</t>
  </si>
  <si>
    <t>6909-98</t>
  </si>
  <si>
    <t>6909-13</t>
  </si>
  <si>
    <t>8123-17</t>
  </si>
  <si>
    <t>8123-23</t>
  </si>
  <si>
    <t>8123-11</t>
  </si>
  <si>
    <t>8123-14</t>
  </si>
  <si>
    <t>8123-70</t>
  </si>
  <si>
    <t>8123-03</t>
  </si>
  <si>
    <t>7128-63</t>
  </si>
  <si>
    <t>7128-84</t>
  </si>
  <si>
    <t>7128-71</t>
  </si>
  <si>
    <t>7128-89</t>
  </si>
  <si>
    <t>7128-13-04</t>
  </si>
  <si>
    <t>7128-14</t>
  </si>
  <si>
    <t>7128-03</t>
  </si>
  <si>
    <t>7128-37</t>
  </si>
  <si>
    <t>7128-22</t>
  </si>
  <si>
    <t>7729-42</t>
  </si>
  <si>
    <t>7729-53</t>
  </si>
  <si>
    <t>8617-61</t>
  </si>
  <si>
    <t>8617-02-78</t>
  </si>
  <si>
    <t>8617-83</t>
  </si>
  <si>
    <t>8617-52</t>
  </si>
  <si>
    <t>8617-76</t>
  </si>
  <si>
    <t>8617-111-03</t>
  </si>
  <si>
    <t>8617-13</t>
  </si>
  <si>
    <t>8617-62</t>
  </si>
  <si>
    <t>8617-079</t>
  </si>
  <si>
    <t>8617-119</t>
  </si>
  <si>
    <t>8617-89-02</t>
  </si>
  <si>
    <t>8617-57-03</t>
  </si>
  <si>
    <t>8617-79-01</t>
  </si>
  <si>
    <t>8617-102</t>
  </si>
  <si>
    <t>8617-126</t>
  </si>
  <si>
    <t>8617-130</t>
  </si>
  <si>
    <t>8618-25</t>
  </si>
  <si>
    <t>8618-0179</t>
  </si>
  <si>
    <t>8618-56</t>
  </si>
  <si>
    <t>8618-94</t>
  </si>
  <si>
    <t>8618-49</t>
  </si>
  <si>
    <t>8618-88</t>
  </si>
  <si>
    <t>8618-33</t>
  </si>
  <si>
    <t>8618-87</t>
  </si>
  <si>
    <t>8618-04</t>
  </si>
  <si>
    <t>8618-24</t>
  </si>
  <si>
    <t>8618-36</t>
  </si>
  <si>
    <t>8618-165</t>
  </si>
  <si>
    <t>8618-96</t>
  </si>
  <si>
    <t>8618-39</t>
  </si>
  <si>
    <t>8618-110</t>
  </si>
  <si>
    <t>8618-30-37</t>
  </si>
  <si>
    <t>8618-51</t>
  </si>
  <si>
    <t>8618-58-13</t>
  </si>
  <si>
    <t>8618-64</t>
  </si>
  <si>
    <t>8618-06</t>
  </si>
  <si>
    <t>8618-57</t>
  </si>
  <si>
    <t>8618-157</t>
  </si>
  <si>
    <t>8618-13</t>
  </si>
  <si>
    <t>8618-41</t>
  </si>
  <si>
    <t>8618-098</t>
  </si>
  <si>
    <t>4450-71</t>
  </si>
  <si>
    <t>4450-14</t>
  </si>
  <si>
    <t>4450-13</t>
  </si>
  <si>
    <t>1663-15</t>
  </si>
  <si>
    <t>1663-07</t>
  </si>
  <si>
    <t>1663-57</t>
  </si>
  <si>
    <t>1663-86</t>
  </si>
  <si>
    <t>1663-73</t>
  </si>
  <si>
    <t>1663-13-04</t>
  </si>
  <si>
    <t>4465-89</t>
  </si>
  <si>
    <t>4465-13</t>
  </si>
  <si>
    <t>4465-30</t>
  </si>
  <si>
    <t>0078-47</t>
  </si>
  <si>
    <t>0078-51</t>
  </si>
  <si>
    <t>0078-101</t>
  </si>
  <si>
    <t>0078-13</t>
  </si>
  <si>
    <t>6269-1-03</t>
  </si>
  <si>
    <t>КК</t>
  </si>
  <si>
    <t>45515810349030000001</t>
  </si>
  <si>
    <t>45515810349100000083</t>
  </si>
  <si>
    <t>45515810449100000080</t>
  </si>
  <si>
    <t>45515810549100000045</t>
  </si>
  <si>
    <t>45818810149100102024</t>
  </si>
  <si>
    <t>45818810949100102062</t>
  </si>
  <si>
    <t>45515810549150000008</t>
  </si>
  <si>
    <t>45515810849150000193</t>
  </si>
  <si>
    <t>45515810949150000006</t>
  </si>
  <si>
    <t>45818810349150102052</t>
  </si>
  <si>
    <t>45818810549150102043</t>
  </si>
  <si>
    <t>45818810749150102050</t>
  </si>
  <si>
    <t>45818810949150102041</t>
  </si>
  <si>
    <t>45818810549160102088</t>
  </si>
  <si>
    <t>45818810949160102031</t>
  </si>
  <si>
    <t>45818810949160102044</t>
  </si>
  <si>
    <t>45515810849171000017</t>
  </si>
  <si>
    <t>45818810949170102050</t>
  </si>
  <si>
    <t>45515810349180000032</t>
  </si>
  <si>
    <t>45515810849180000040</t>
  </si>
  <si>
    <t>45818810649180102065</t>
  </si>
  <si>
    <t>45818810849180102030</t>
  </si>
  <si>
    <t>45818810349240102014</t>
  </si>
  <si>
    <t>45818810549240102021</t>
  </si>
  <si>
    <t>45515810049270000103</t>
  </si>
  <si>
    <t>45818810949270102141</t>
  </si>
  <si>
    <t>45515810549370100021</t>
  </si>
  <si>
    <t>45515810549370100034</t>
  </si>
  <si>
    <t>45818810749370102047</t>
  </si>
  <si>
    <t>45515810949420000118</t>
  </si>
  <si>
    <t>45818810549420102032</t>
  </si>
  <si>
    <t>45818810849420102017</t>
  </si>
  <si>
    <t>45818810549470102040</t>
  </si>
  <si>
    <t>45818810749470102060</t>
  </si>
  <si>
    <t>45515810149540000076</t>
  </si>
  <si>
    <t>45515810149540000089</t>
  </si>
  <si>
    <t>45515810549540000016</t>
  </si>
  <si>
    <t>45515810328190004002</t>
  </si>
  <si>
    <t>45818810028190102105</t>
  </si>
  <si>
    <t>45818810328190102054</t>
  </si>
  <si>
    <t>45818810428190102019</t>
  </si>
  <si>
    <t>45515810028100000024</t>
  </si>
  <si>
    <t>45515810228100000002</t>
  </si>
  <si>
    <t>45515810428100000035</t>
  </si>
  <si>
    <t>45515810828100110004</t>
  </si>
  <si>
    <t>45818810028100102001</t>
  </si>
  <si>
    <t>45818810328100102002</t>
  </si>
  <si>
    <t>45818810628100102058</t>
  </si>
  <si>
    <t>45515810728140090394</t>
  </si>
  <si>
    <t>45818810328140102020</t>
  </si>
  <si>
    <t>45818810028150102035</t>
  </si>
  <si>
    <t>45818810828150102060</t>
  </si>
  <si>
    <t>45515810228160021034</t>
  </si>
  <si>
    <t>45515810428160021025</t>
  </si>
  <si>
    <t>45818810828160102005</t>
  </si>
  <si>
    <t>45515810228000014004</t>
  </si>
  <si>
    <t>45515810428000090213</t>
  </si>
  <si>
    <t>45818810528000102245</t>
  </si>
  <si>
    <t>45818810728000102210</t>
  </si>
  <si>
    <t>45818810928000102094</t>
  </si>
  <si>
    <t>45818810928000102243</t>
  </si>
  <si>
    <t>45515810168000059036</t>
  </si>
  <si>
    <t>45515810368000000102</t>
  </si>
  <si>
    <t>45818810268000102069</t>
  </si>
  <si>
    <t>45818810668000102041</t>
  </si>
  <si>
    <t>45515810168090000231</t>
  </si>
  <si>
    <t>45515810168090062457</t>
  </si>
  <si>
    <t>45818810068090102033</t>
  </si>
  <si>
    <t>45818810168090102140</t>
  </si>
  <si>
    <t>45818810468090102002</t>
  </si>
  <si>
    <t>45818810568090102339</t>
  </si>
  <si>
    <t>45515810968140060499</t>
  </si>
  <si>
    <t>45818810068140102019</t>
  </si>
  <si>
    <t>45818810568140102072</t>
  </si>
  <si>
    <t>45818810768160102027</t>
  </si>
  <si>
    <t>45818810868220102045</t>
  </si>
  <si>
    <t>Чувашская АССР</t>
  </si>
  <si>
    <t>Волынцев Андрей Николаевич</t>
  </si>
  <si>
    <t>45506810728150008123</t>
  </si>
  <si>
    <t>ОБЩ</t>
  </si>
  <si>
    <t>45515810249030000266</t>
  </si>
  <si>
    <t>45515810349030000289</t>
  </si>
  <si>
    <t>45818810449030102043</t>
  </si>
  <si>
    <t>45818810549030102066</t>
  </si>
  <si>
    <t>45818810849030102041</t>
  </si>
  <si>
    <t>45818810449100102041</t>
  </si>
  <si>
    <t>45818810849100102081</t>
  </si>
  <si>
    <t>45515810649140000028</t>
  </si>
  <si>
    <t>45515810749140000038</t>
  </si>
  <si>
    <t>45818810949140102035</t>
  </si>
  <si>
    <t>45515810449150000195</t>
  </si>
  <si>
    <t>45818810249150102055</t>
  </si>
  <si>
    <t>45818810949150102986</t>
  </si>
  <si>
    <t>45515810249160000220</t>
  </si>
  <si>
    <t>45515810749160000209</t>
  </si>
  <si>
    <t>45515810949160000203</t>
  </si>
  <si>
    <t>45515810949160000216</t>
  </si>
  <si>
    <t>45818810349160102026</t>
  </si>
  <si>
    <t>45818810449160102081</t>
  </si>
  <si>
    <t>45818810649160102030</t>
  </si>
  <si>
    <t>45515810049170000025</t>
  </si>
  <si>
    <t>45515810249171000031</t>
  </si>
  <si>
    <t>45515810349170000042</t>
  </si>
  <si>
    <t>45818810049170102028</t>
  </si>
  <si>
    <t>45818810749170102030</t>
  </si>
  <si>
    <t>45515810349180000058</t>
  </si>
  <si>
    <t>45818810049180102034</t>
  </si>
  <si>
    <t>45818810649180102078</t>
  </si>
  <si>
    <t>45818810849180102069</t>
  </si>
  <si>
    <t>45515810449230000002</t>
  </si>
  <si>
    <t>45818810449230102005</t>
  </si>
  <si>
    <t>45818810549230102044</t>
  </si>
  <si>
    <t>45818810849230102029</t>
  </si>
  <si>
    <t>45515810349240000053</t>
  </si>
  <si>
    <t>45515810549240000044</t>
  </si>
  <si>
    <t>45515810649240000038</t>
  </si>
  <si>
    <t>45515810849240000029</t>
  </si>
  <si>
    <t>45818810949240102029</t>
  </si>
  <si>
    <t>45515810849270000183</t>
  </si>
  <si>
    <t>45818810449270102971</t>
  </si>
  <si>
    <t>45818810749270102134</t>
  </si>
  <si>
    <t>45818810849270102144</t>
  </si>
  <si>
    <t>45515810149420000057</t>
  </si>
  <si>
    <t>45515810349420000103</t>
  </si>
  <si>
    <t>45515810449420000058</t>
  </si>
  <si>
    <t>45515810949420000037</t>
  </si>
  <si>
    <t>45818810049420102008</t>
  </si>
  <si>
    <t>45818810449420102035</t>
  </si>
  <si>
    <t>45818810949420102001</t>
  </si>
  <si>
    <t>45818810849470102041</t>
  </si>
  <si>
    <t>45818810949470102077</t>
  </si>
  <si>
    <t>45515810349540000067</t>
  </si>
  <si>
    <t>45515810449540000006</t>
  </si>
  <si>
    <t>45515810449540000077</t>
  </si>
  <si>
    <t>45818810349540102073</t>
  </si>
  <si>
    <t>45818810549540102022</t>
  </si>
  <si>
    <t>45515810628190004003</t>
  </si>
  <si>
    <t>45818810328190102025</t>
  </si>
  <si>
    <t>45818810628190102107</t>
  </si>
  <si>
    <t>45818810828190102033</t>
  </si>
  <si>
    <t>45515810128100090361</t>
  </si>
  <si>
    <t>45818810628100102003</t>
  </si>
  <si>
    <t>45515810028140090395</t>
  </si>
  <si>
    <t>45818810328140102017</t>
  </si>
  <si>
    <t>45818810828140102041</t>
  </si>
  <si>
    <t>45515810528160021035</t>
  </si>
  <si>
    <t>45818810528160102033</t>
  </si>
  <si>
    <t>45515810228000090002</t>
  </si>
  <si>
    <t>45818810028000102169</t>
  </si>
  <si>
    <t>45818810428000102125</t>
  </si>
  <si>
    <t>45818810828000102136</t>
  </si>
  <si>
    <t>45818810368000102118</t>
  </si>
  <si>
    <t>45515810168090000406</t>
  </si>
  <si>
    <t>45515810968090000402</t>
  </si>
  <si>
    <t>45818810068090102059</t>
  </si>
  <si>
    <t>45818810368090102898</t>
  </si>
  <si>
    <t>45818810068140102022</t>
  </si>
  <si>
    <t>45818810368210102047</t>
  </si>
  <si>
    <t>45818810968210102010</t>
  </si>
  <si>
    <t>45818810468220102005</t>
  </si>
  <si>
    <t>45502810828150002007</t>
  </si>
  <si>
    <t>Донецкая область</t>
  </si>
  <si>
    <t>Белорусская ССР</t>
  </si>
  <si>
    <t>UDM</t>
  </si>
  <si>
    <t>KOMI</t>
  </si>
  <si>
    <t>Perm</t>
  </si>
  <si>
    <t>УШАКОВА НАТАЛЬЯ ВИКТОРОВНА</t>
  </si>
  <si>
    <t>45507810349100010230</t>
  </si>
  <si>
    <t>НА</t>
  </si>
  <si>
    <t>А</t>
  </si>
  <si>
    <t>Н</t>
  </si>
  <si>
    <t>Ж</t>
  </si>
  <si>
    <t>Все</t>
  </si>
  <si>
    <t>9049-UL-454</t>
  </si>
  <si>
    <t>C:\Мои_документы\Баланс\01-11-12</t>
  </si>
  <si>
    <t>C:\Мои_документы\INFL\01-11-12</t>
  </si>
  <si>
    <t>C:\Мои_документы\KRVS\01-11-12</t>
  </si>
  <si>
    <t>C:\Мои_документы\7-24\01-11-12\</t>
  </si>
  <si>
    <t>10_31</t>
  </si>
  <si>
    <t>45515810549030000267</t>
  </si>
  <si>
    <t>45515810649030000002</t>
  </si>
  <si>
    <t>45818810249030102463</t>
  </si>
  <si>
    <t>45818810749030102002</t>
  </si>
  <si>
    <t>45818810849030102025</t>
  </si>
  <si>
    <t>45515810549100000029</t>
  </si>
  <si>
    <t>45515810849100000033</t>
  </si>
  <si>
    <t>45818810049100102056</t>
  </si>
  <si>
    <t>45818810349100102057</t>
  </si>
  <si>
    <t>45818810449100102083</t>
  </si>
  <si>
    <t>45818810649100102016</t>
  </si>
  <si>
    <t>45515810049140000039</t>
  </si>
  <si>
    <t>45515810949140000003</t>
  </si>
  <si>
    <t>45515810949140000029</t>
  </si>
  <si>
    <t>45818810149140102039</t>
  </si>
  <si>
    <t>45818810249140102887</t>
  </si>
  <si>
    <t>45818810349140102004</t>
  </si>
  <si>
    <t>45818810549140102011</t>
  </si>
  <si>
    <t>45818810549140102053</t>
  </si>
  <si>
    <t>45515810149150000181</t>
  </si>
  <si>
    <t>45515810749150000206</t>
  </si>
  <si>
    <t>45818810249150102042</t>
  </si>
  <si>
    <t>45818810349150102065</t>
  </si>
  <si>
    <t>45515810149160000210</t>
  </si>
  <si>
    <t>45515810749160000005</t>
  </si>
  <si>
    <t>45818810149160102048</t>
  </si>
  <si>
    <t>45818810349160102013</t>
  </si>
  <si>
    <t>45818810349160102071</t>
  </si>
  <si>
    <t>45515810149171000018</t>
  </si>
  <si>
    <t>45515810549171000032</t>
  </si>
  <si>
    <t>45515810649170000043</t>
  </si>
  <si>
    <t>45818810049170102044</t>
  </si>
  <si>
    <t>45818810949170102487</t>
  </si>
  <si>
    <t>45515810349180000003</t>
  </si>
  <si>
    <t>45515810749180000030</t>
  </si>
  <si>
    <t>45818810449180102061</t>
  </si>
  <si>
    <t>45818810549180102013</t>
  </si>
  <si>
    <t>45818810749180102091</t>
  </si>
  <si>
    <t>45818810849180102014</t>
  </si>
  <si>
    <t>45818810849180102056</t>
  </si>
  <si>
    <t>45515810749230000003</t>
  </si>
  <si>
    <t>45515810949230000395</t>
  </si>
  <si>
    <t>45818810249230102001</t>
  </si>
  <si>
    <t>45818810849230102032</t>
  </si>
  <si>
    <t>45818810949230102026</t>
  </si>
  <si>
    <t>45515810249240000027</t>
  </si>
  <si>
    <t>45515810649240000012</t>
  </si>
  <si>
    <t>45818810049240102026</t>
  </si>
  <si>
    <t>45818810449240102040</t>
  </si>
  <si>
    <t>45515810349270000081</t>
  </si>
  <si>
    <t>45515810749270000157</t>
  </si>
  <si>
    <t>45515810849270000002</t>
  </si>
  <si>
    <t>45515810949270000096</t>
  </si>
  <si>
    <t>45818810349270102097</t>
  </si>
  <si>
    <t>45818810849270102115</t>
  </si>
  <si>
    <t>45818810949270102002</t>
  </si>
  <si>
    <t>45515810949370100032</t>
  </si>
  <si>
    <t>45818810049370102022</t>
  </si>
  <si>
    <t>45818810049370102051</t>
  </si>
  <si>
    <t>45818810249370102042</t>
  </si>
  <si>
    <t>45818810449370102017</t>
  </si>
  <si>
    <t>45818810049420102082</t>
  </si>
  <si>
    <t>45818810449420102019</t>
  </si>
  <si>
    <t>45818810449420102077</t>
  </si>
  <si>
    <t>45818810549420102003</t>
  </si>
  <si>
    <t>45818810849420102004</t>
  </si>
  <si>
    <t>45818810849420102020</t>
  </si>
  <si>
    <t>45818810249470102078</t>
  </si>
  <si>
    <t>45818810449470102043</t>
  </si>
  <si>
    <t>45818810549470102011</t>
  </si>
  <si>
    <t>45515810649540000068</t>
  </si>
  <si>
    <t>45515810749540000078</t>
  </si>
  <si>
    <t>45818810049540102030</t>
  </si>
  <si>
    <t>45818810149540102008</t>
  </si>
  <si>
    <t>45818810149540102024</t>
  </si>
  <si>
    <t>45818810249540102076</t>
  </si>
  <si>
    <t>45818810349540102031</t>
  </si>
  <si>
    <t>45818810449540102038</t>
  </si>
  <si>
    <t>45818810749540102039</t>
  </si>
  <si>
    <t>45515810328190003003</t>
  </si>
  <si>
    <t>45818810128190102458</t>
  </si>
  <si>
    <t>45818810628190102039</t>
  </si>
  <si>
    <t>45515810928060014001</t>
  </si>
  <si>
    <t>45818810028060102015</t>
  </si>
  <si>
    <t>45818810528060102007</t>
  </si>
  <si>
    <t>45515810828100100001</t>
  </si>
  <si>
    <t>45818810428100102038</t>
  </si>
  <si>
    <t>45818810528100102022</t>
  </si>
  <si>
    <t>45515810328140090396</t>
  </si>
  <si>
    <t>45818810028140102003</t>
  </si>
  <si>
    <t>45818810228140102010</t>
  </si>
  <si>
    <t>45818810528140102008</t>
  </si>
  <si>
    <t>45818810928140102035</t>
  </si>
  <si>
    <t>45515810328150000017</t>
  </si>
  <si>
    <t>45515810728150000002</t>
  </si>
  <si>
    <t>45818810428150102062</t>
  </si>
  <si>
    <t>45818810528150102001</t>
  </si>
  <si>
    <t>45818810728150102005</t>
  </si>
  <si>
    <t>45818810728150102034</t>
  </si>
  <si>
    <t>45818810828150102028</t>
  </si>
  <si>
    <t>45515810628160021029</t>
  </si>
  <si>
    <t>45515810928160021020</t>
  </si>
  <si>
    <t>45818810328160102026</t>
  </si>
  <si>
    <t>45818810428160102010</t>
  </si>
  <si>
    <t>45818810528160102062</t>
  </si>
  <si>
    <t>45818810728160102024</t>
  </si>
  <si>
    <t>45515810428000000122</t>
  </si>
  <si>
    <t>45515810528000090003</t>
  </si>
  <si>
    <t>45818810428000102167</t>
  </si>
  <si>
    <t>45818810428000102248</t>
  </si>
  <si>
    <t>45818810528000102216</t>
  </si>
  <si>
    <t>45818810728000102139</t>
  </si>
  <si>
    <t>45818810828000102217</t>
  </si>
  <si>
    <t>45515810668000000116</t>
  </si>
  <si>
    <t>45818810668000102122</t>
  </si>
  <si>
    <t>45818810768000102080</t>
  </si>
  <si>
    <t>45515810768090062459</t>
  </si>
  <si>
    <t>45818810168090102344</t>
  </si>
  <si>
    <t>45818810268090102341</t>
  </si>
  <si>
    <t>45818810468090102031</t>
  </si>
  <si>
    <t>45818810568090102342</t>
  </si>
  <si>
    <t>45818810968090102010</t>
  </si>
  <si>
    <t>45515810268140060500</t>
  </si>
  <si>
    <t>45515810268140060513</t>
  </si>
  <si>
    <t>45515810968140060509</t>
  </si>
  <si>
    <t>45818810268140102026</t>
  </si>
  <si>
    <t>45818810668140102037</t>
  </si>
  <si>
    <t>45818810768140102034</t>
  </si>
  <si>
    <t>45515810268160003343</t>
  </si>
  <si>
    <t>45515810468160062566</t>
  </si>
  <si>
    <t>45515810568160001142</t>
  </si>
  <si>
    <t>45515810668160006445</t>
  </si>
  <si>
    <t>45515810768160000053</t>
  </si>
  <si>
    <t>45818810068160102044</t>
  </si>
  <si>
    <t>45818810168160102025</t>
  </si>
  <si>
    <t>45818810568160102007</t>
  </si>
  <si>
    <t>45818810868160102079</t>
  </si>
  <si>
    <t>45818810968160102021</t>
  </si>
  <si>
    <t>45515810268210062467</t>
  </si>
  <si>
    <t>45515810468210004131</t>
  </si>
  <si>
    <t>45515810568210002431</t>
  </si>
  <si>
    <t>45818810468210102002</t>
  </si>
  <si>
    <t>45818810668210102048</t>
  </si>
  <si>
    <t>45515810268220059059</t>
  </si>
  <si>
    <t>45515810568220059063</t>
  </si>
  <si>
    <t>45515810768220059070</t>
  </si>
  <si>
    <t>45818810168220102004</t>
  </si>
  <si>
    <t>45818810568220102031</t>
  </si>
  <si>
    <t>45818810668220102012</t>
  </si>
  <si>
    <t>45818810668220102038</t>
  </si>
  <si>
    <t>МОХНАТКИНА ЛЮДМИЛА АЛЕКСАНДРОВНА</t>
  </si>
  <si>
    <t>45502810349240000367</t>
  </si>
  <si>
    <t>СИБИРЯКОВА СНЕЖАНА НИКОЛАЕВНА</t>
  </si>
  <si>
    <t>C:\Documents and Settings\ashcheulova.olga\Рабочий стол\7.11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</si>
</sst>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6" formatCode="#,##0.00&quot;р.&quot;;\-#,##0.00&quot;р.&quot;"/>
    <numFmt numFmtId="187" formatCode="_(* #,##0.00_);_(* \(#,##0.00\);_(* &quot;-&quot;??_);_(@_)"/>
    <numFmt numFmtId="195" formatCode="_-* #,##0_р_._-;\-* #,##0_р_._-;_-* &quot;-&quot;??_р_._-;_-@_-"/>
    <numFmt numFmtId="196" formatCode="#,##0.00_ ;\-#,##0.00\ "/>
    <numFmt numFmtId="199" formatCode="###\ ###\ ###\ ##0"/>
  </numFmts>
  <fonts count="29" x14ac:knownFonts="1">
    <font>
      <sz val="10"/>
      <name val="Arial"/>
    </font>
    <font>
      <sz val="10"/>
      <name val="Arial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sz val="12"/>
      <name val="Arial"/>
      <family val="2"/>
      <charset val="204"/>
    </font>
    <font>
      <sz val="12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sz val="10"/>
      <name val="Arial Cyr"/>
      <charset val="204"/>
    </font>
    <font>
      <b/>
      <sz val="10"/>
      <color indexed="10"/>
      <name val="Arial Cyr"/>
      <charset val="204"/>
    </font>
    <font>
      <sz val="10"/>
      <color indexed="16"/>
      <name val="Arial Cyr"/>
      <charset val="204"/>
    </font>
    <font>
      <sz val="10"/>
      <color indexed="9"/>
      <name val="Arial Cyr"/>
      <charset val="204"/>
    </font>
    <font>
      <sz val="10"/>
      <name val="Arial Cyr"/>
    </font>
    <font>
      <b/>
      <sz val="10"/>
      <name val="Arial Cyr"/>
      <charset val="204"/>
    </font>
    <font>
      <b/>
      <sz val="12"/>
      <name val="Arial"/>
      <family val="2"/>
      <charset val="204"/>
    </font>
    <font>
      <b/>
      <sz val="14"/>
      <name val="Times New Roman CYR"/>
      <charset val="204"/>
    </font>
    <font>
      <b/>
      <sz val="12"/>
      <name val="Times New Roman CYR"/>
      <family val="1"/>
      <charset val="204"/>
    </font>
    <font>
      <b/>
      <sz val="10"/>
      <name val="MS Sans Serif"/>
      <family val="2"/>
      <charset val="204"/>
    </font>
    <font>
      <sz val="9"/>
      <name val="Arial"/>
      <family val="2"/>
      <charset val="204"/>
    </font>
    <font>
      <b/>
      <sz val="9"/>
      <name val="Arial"/>
      <family val="2"/>
      <charset val="204"/>
    </font>
    <font>
      <b/>
      <sz val="10"/>
      <name val="Times New Roman CYR"/>
      <family val="1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color indexed="10"/>
      <name val="Times New Roman Cyr"/>
      <family val="1"/>
      <charset val="204"/>
    </font>
    <font>
      <sz val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rgb="FFFF0000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7" fillId="0" borderId="0"/>
    <xf numFmtId="0" fontId="25" fillId="0" borderId="0"/>
    <xf numFmtId="0" fontId="4" fillId="0" borderId="0"/>
    <xf numFmtId="0" fontId="13" fillId="0" borderId="0"/>
    <xf numFmtId="0" fontId="25" fillId="0" borderId="0"/>
    <xf numFmtId="0" fontId="13" fillId="0" borderId="0"/>
    <xf numFmtId="187" fontId="1" fillId="0" borderId="0" applyFont="0" applyFill="0" applyBorder="0" applyAlignment="0" applyProtection="0"/>
  </cellStyleXfs>
  <cellXfs count="496">
    <xf numFmtId="0" fontId="0" fillId="0" borderId="0" xfId="0"/>
    <xf numFmtId="0" fontId="2" fillId="0" borderId="0" xfId="1" applyFont="1"/>
    <xf numFmtId="49" fontId="0" fillId="0" borderId="0" xfId="1" applyNumberFormat="1" applyFont="1" applyFill="1"/>
    <xf numFmtId="0" fontId="0" fillId="0" borderId="0" xfId="1" applyNumberFormat="1" applyFont="1" applyBorder="1"/>
    <xf numFmtId="0" fontId="1" fillId="0" borderId="0" xfId="1" applyFont="1"/>
    <xf numFmtId="0" fontId="4" fillId="0" borderId="0" xfId="1" applyFont="1"/>
    <xf numFmtId="0" fontId="6" fillId="0" borderId="0" xfId="1" applyFont="1"/>
    <xf numFmtId="0" fontId="5" fillId="0" borderId="1" xfId="1" applyFont="1" applyBorder="1" applyAlignment="1">
      <alignment horizontal="center" wrapText="1"/>
    </xf>
    <xf numFmtId="0" fontId="5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vertical="top" wrapText="1"/>
    </xf>
    <xf numFmtId="0" fontId="7" fillId="0" borderId="1" xfId="1" applyFont="1" applyBorder="1" applyAlignment="1">
      <alignment vertical="top" wrapText="1"/>
    </xf>
    <xf numFmtId="0" fontId="7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horizontal="justify" vertical="top" wrapText="1"/>
    </xf>
    <xf numFmtId="0" fontId="7" fillId="0" borderId="1" xfId="1" applyFont="1" applyBorder="1" applyAlignment="1">
      <alignment horizontal="center" wrapText="1"/>
    </xf>
    <xf numFmtId="0" fontId="5" fillId="0" borderId="1" xfId="1" applyFont="1" applyBorder="1" applyAlignment="1">
      <alignment wrapText="1"/>
    </xf>
    <xf numFmtId="0" fontId="8" fillId="0" borderId="1" xfId="1" applyFont="1" applyBorder="1" applyAlignment="1">
      <alignment horizontal="center" wrapText="1"/>
    </xf>
    <xf numFmtId="0" fontId="0" fillId="2" borderId="0" xfId="1" applyFont="1" applyFill="1"/>
    <xf numFmtId="0" fontId="10" fillId="3" borderId="0" xfId="1" applyFont="1" applyFill="1" applyAlignment="1">
      <alignment horizontal="left"/>
    </xf>
    <xf numFmtId="0" fontId="1" fillId="3" borderId="0" xfId="1" applyFont="1" applyFill="1"/>
    <xf numFmtId="0" fontId="10" fillId="3" borderId="0" xfId="1" applyFont="1" applyFill="1" applyAlignment="1">
      <alignment horizontal="right"/>
    </xf>
    <xf numFmtId="0" fontId="1" fillId="2" borderId="1" xfId="1" applyFont="1" applyFill="1" applyBorder="1"/>
    <xf numFmtId="0" fontId="10" fillId="3" borderId="0" xfId="1" applyFont="1" applyFill="1"/>
    <xf numFmtId="0" fontId="1" fillId="2" borderId="0" xfId="1" applyFont="1" applyFill="1"/>
    <xf numFmtId="0" fontId="11" fillId="4" borderId="0" xfId="1" applyFont="1" applyFill="1"/>
    <xf numFmtId="0" fontId="1" fillId="0" borderId="0" xfId="1" applyFont="1" applyFill="1" applyBorder="1" applyAlignment="1">
      <alignment horizontal="center"/>
    </xf>
    <xf numFmtId="0" fontId="1" fillId="0" borderId="0" xfId="1" applyFont="1" applyFill="1" applyBorder="1" applyAlignment="1"/>
    <xf numFmtId="4" fontId="1" fillId="0" borderId="0" xfId="1" applyNumberFormat="1" applyFont="1"/>
    <xf numFmtId="0" fontId="12" fillId="0" borderId="0" xfId="1" applyFont="1"/>
    <xf numFmtId="4" fontId="1" fillId="2" borderId="0" xfId="1" applyNumberFormat="1" applyFont="1" applyFill="1"/>
    <xf numFmtId="0" fontId="1" fillId="0" borderId="0" xfId="1" applyFont="1" applyAlignment="1">
      <alignment horizontal="center"/>
    </xf>
    <xf numFmtId="0" fontId="1" fillId="0" borderId="1" xfId="1" applyFont="1" applyBorder="1" applyAlignment="1">
      <alignment horizontal="center"/>
    </xf>
    <xf numFmtId="0" fontId="1" fillId="0" borderId="1" xfId="1" applyFont="1" applyBorder="1" applyAlignment="1">
      <alignment horizontal="center" wrapText="1"/>
    </xf>
    <xf numFmtId="0" fontId="5" fillId="2" borderId="1" xfId="4" applyFont="1" applyFill="1" applyBorder="1" applyAlignment="1">
      <alignment horizontal="center"/>
    </xf>
    <xf numFmtId="49" fontId="5" fillId="2" borderId="1" xfId="1" applyNumberFormat="1" applyFont="1" applyFill="1" applyBorder="1" applyAlignment="1">
      <alignment horizontal="center"/>
    </xf>
    <xf numFmtId="49" fontId="5" fillId="2" borderId="1" xfId="4" applyNumberFormat="1" applyFont="1" applyFill="1" applyBorder="1" applyAlignment="1">
      <alignment horizontal="center"/>
    </xf>
    <xf numFmtId="0" fontId="5" fillId="2" borderId="1" xfId="1" applyFont="1" applyFill="1" applyBorder="1" applyAlignment="1">
      <alignment horizontal="left"/>
    </xf>
    <xf numFmtId="49" fontId="5" fillId="2" borderId="1" xfId="1" applyNumberFormat="1" applyFont="1" applyFill="1" applyBorder="1" applyAlignment="1">
      <alignment horizontal="left"/>
    </xf>
    <xf numFmtId="4" fontId="1" fillId="0" borderId="2" xfId="1" applyNumberFormat="1" applyFont="1" applyBorder="1"/>
    <xf numFmtId="4" fontId="1" fillId="0" borderId="0" xfId="1" applyNumberFormat="1" applyFont="1" applyBorder="1"/>
    <xf numFmtId="4" fontId="1" fillId="0" borderId="3" xfId="1" applyNumberFormat="1" applyFont="1" applyBorder="1"/>
    <xf numFmtId="0" fontId="5" fillId="5" borderId="1" xfId="4" applyFont="1" applyFill="1" applyBorder="1" applyAlignment="1">
      <alignment horizontal="center"/>
    </xf>
    <xf numFmtId="49" fontId="5" fillId="5" borderId="1" xfId="1" applyNumberFormat="1" applyFont="1" applyFill="1" applyBorder="1" applyAlignment="1">
      <alignment horizontal="center"/>
    </xf>
    <xf numFmtId="49" fontId="5" fillId="5" borderId="1" xfId="4" applyNumberFormat="1" applyFont="1" applyFill="1" applyBorder="1" applyAlignment="1">
      <alignment horizontal="center"/>
    </xf>
    <xf numFmtId="0" fontId="5" fillId="5" borderId="1" xfId="1" applyFont="1" applyFill="1" applyBorder="1" applyAlignment="1">
      <alignment horizontal="left"/>
    </xf>
    <xf numFmtId="49" fontId="5" fillId="5" borderId="1" xfId="1" applyNumberFormat="1" applyFont="1" applyFill="1" applyBorder="1" applyAlignment="1">
      <alignment horizontal="left"/>
    </xf>
    <xf numFmtId="0" fontId="5" fillId="5" borderId="1" xfId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/>
    </xf>
    <xf numFmtId="49" fontId="5" fillId="3" borderId="1" xfId="1" applyNumberFormat="1" applyFont="1" applyFill="1" applyBorder="1" applyAlignment="1">
      <alignment horizontal="center"/>
    </xf>
    <xf numFmtId="49" fontId="5" fillId="3" borderId="1" xfId="4" applyNumberFormat="1" applyFont="1" applyFill="1" applyBorder="1" applyAlignment="1">
      <alignment horizontal="center"/>
    </xf>
    <xf numFmtId="0" fontId="5" fillId="3" borderId="1" xfId="1" applyFont="1" applyFill="1" applyBorder="1" applyAlignment="1">
      <alignment horizontal="left"/>
    </xf>
    <xf numFmtId="49" fontId="5" fillId="3" borderId="1" xfId="1" applyNumberFormat="1" applyFont="1" applyFill="1" applyBorder="1" applyAlignment="1">
      <alignment horizontal="left"/>
    </xf>
    <xf numFmtId="0" fontId="5" fillId="3" borderId="1" xfId="4" applyFont="1" applyFill="1" applyBorder="1" applyAlignment="1">
      <alignment horizontal="center"/>
    </xf>
    <xf numFmtId="4" fontId="1" fillId="0" borderId="4" xfId="1" applyNumberFormat="1" applyFont="1" applyBorder="1"/>
    <xf numFmtId="4" fontId="1" fillId="0" borderId="5" xfId="1" applyNumberFormat="1" applyFont="1" applyBorder="1"/>
    <xf numFmtId="4" fontId="1" fillId="0" borderId="6" xfId="1" applyNumberFormat="1" applyFont="1" applyBorder="1"/>
    <xf numFmtId="4" fontId="1" fillId="3" borderId="0" xfId="1" applyNumberFormat="1" applyFont="1" applyFill="1"/>
    <xf numFmtId="4" fontId="1" fillId="5" borderId="0" xfId="1" applyNumberFormat="1" applyFont="1" applyFill="1"/>
    <xf numFmtId="49" fontId="14" fillId="0" borderId="0" xfId="1" applyNumberFormat="1" applyFont="1"/>
    <xf numFmtId="49" fontId="1" fillId="0" borderId="0" xfId="1" applyNumberFormat="1" applyFont="1"/>
    <xf numFmtId="0" fontId="1" fillId="0" borderId="0" xfId="1" quotePrefix="1" applyNumberFormat="1" applyFont="1"/>
    <xf numFmtId="49" fontId="6" fillId="0" borderId="0" xfId="1" applyNumberFormat="1" applyFont="1"/>
    <xf numFmtId="49" fontId="15" fillId="0" borderId="0" xfId="1" applyNumberFormat="1" applyFont="1"/>
    <xf numFmtId="4" fontId="0" fillId="0" borderId="0" xfId="1" applyNumberFormat="1" applyFont="1"/>
    <xf numFmtId="49" fontId="0" fillId="0" borderId="0" xfId="1" applyNumberFormat="1" applyFont="1"/>
    <xf numFmtId="0" fontId="2" fillId="0" borderId="0" xfId="1" applyFont="1" applyAlignment="1">
      <alignment horizontal="center"/>
    </xf>
    <xf numFmtId="4" fontId="1" fillId="0" borderId="1" xfId="1" applyNumberFormat="1" applyFont="1" applyBorder="1"/>
    <xf numFmtId="4" fontId="1" fillId="0" borderId="1" xfId="1" applyNumberFormat="1" applyFont="1" applyFill="1" applyBorder="1"/>
    <xf numFmtId="0" fontId="1" fillId="2" borderId="0" xfId="1" applyFont="1" applyFill="1" applyBorder="1" applyAlignment="1"/>
    <xf numFmtId="0" fontId="5" fillId="3" borderId="7" xfId="1" applyFont="1" applyFill="1" applyBorder="1" applyAlignment="1">
      <alignment horizontal="left"/>
    </xf>
    <xf numFmtId="0" fontId="1" fillId="0" borderId="0" xfId="1" applyFont="1" applyBorder="1"/>
    <xf numFmtId="4" fontId="1" fillId="2" borderId="0" xfId="1" applyNumberFormat="1" applyFont="1" applyFill="1" applyBorder="1"/>
    <xf numFmtId="49" fontId="5" fillId="2" borderId="8" xfId="1" applyNumberFormat="1" applyFont="1" applyFill="1" applyBorder="1" applyAlignment="1">
      <alignment horizontal="left"/>
    </xf>
    <xf numFmtId="4" fontId="1" fillId="0" borderId="9" xfId="1" applyNumberFormat="1" applyFont="1" applyBorder="1"/>
    <xf numFmtId="0" fontId="1" fillId="0" borderId="8" xfId="1" applyFont="1" applyBorder="1" applyAlignment="1">
      <alignment horizontal="center" wrapText="1"/>
    </xf>
    <xf numFmtId="0" fontId="2" fillId="6" borderId="1" xfId="1" applyFont="1" applyFill="1" applyBorder="1" applyAlignment="1">
      <alignment wrapText="1"/>
    </xf>
    <xf numFmtId="0" fontId="1" fillId="6" borderId="1" xfId="1" applyFont="1" applyFill="1" applyBorder="1" applyAlignment="1">
      <alignment wrapText="1"/>
    </xf>
    <xf numFmtId="4" fontId="2" fillId="6" borderId="1" xfId="1" applyNumberFormat="1" applyFont="1" applyFill="1" applyBorder="1" applyAlignment="1">
      <alignment wrapText="1"/>
    </xf>
    <xf numFmtId="4" fontId="1" fillId="0" borderId="0" xfId="1" applyNumberFormat="1" applyFont="1" applyAlignment="1">
      <alignment horizontal="center"/>
    </xf>
    <xf numFmtId="49" fontId="1" fillId="0" borderId="0" xfId="1" applyNumberFormat="1" applyFont="1" applyFill="1"/>
    <xf numFmtId="0" fontId="5" fillId="7" borderId="7" xfId="1" applyFont="1" applyFill="1" applyBorder="1" applyAlignment="1">
      <alignment horizontal="left"/>
    </xf>
    <xf numFmtId="4" fontId="1" fillId="0" borderId="0" xfId="1" applyNumberFormat="1" applyFont="1" applyFill="1"/>
    <xf numFmtId="0" fontId="1" fillId="0" borderId="1" xfId="1" applyFont="1" applyBorder="1" applyAlignment="1">
      <alignment wrapText="1"/>
    </xf>
    <xf numFmtId="4" fontId="2" fillId="0" borderId="0" xfId="1" applyNumberFormat="1" applyFont="1"/>
    <xf numFmtId="4" fontId="1" fillId="0" borderId="8" xfId="1" applyNumberFormat="1" applyFont="1" applyBorder="1"/>
    <xf numFmtId="0" fontId="1" fillId="0" borderId="10" xfId="1" applyFont="1" applyBorder="1" applyAlignment="1">
      <alignment wrapText="1"/>
    </xf>
    <xf numFmtId="0" fontId="1" fillId="0" borderId="11" xfId="1" applyFont="1" applyBorder="1" applyAlignment="1">
      <alignment wrapText="1"/>
    </xf>
    <xf numFmtId="4" fontId="1" fillId="0" borderId="10" xfId="1" applyNumberFormat="1" applyFont="1" applyBorder="1"/>
    <xf numFmtId="4" fontId="1" fillId="0" borderId="11" xfId="1" applyNumberFormat="1" applyFont="1" applyBorder="1"/>
    <xf numFmtId="4" fontId="1" fillId="3" borderId="2" xfId="1" applyNumberFormat="1" applyFont="1" applyFill="1" applyBorder="1"/>
    <xf numFmtId="4" fontId="1" fillId="3" borderId="0" xfId="1" applyNumberFormat="1" applyFont="1" applyFill="1" applyBorder="1"/>
    <xf numFmtId="4" fontId="1" fillId="3" borderId="3" xfId="1" applyNumberFormat="1" applyFont="1" applyFill="1" applyBorder="1"/>
    <xf numFmtId="4" fontId="1" fillId="5" borderId="2" xfId="1" applyNumberFormat="1" applyFont="1" applyFill="1" applyBorder="1"/>
    <xf numFmtId="4" fontId="1" fillId="5" borderId="0" xfId="1" applyNumberFormat="1" applyFont="1" applyFill="1" applyBorder="1"/>
    <xf numFmtId="4" fontId="1" fillId="5" borderId="3" xfId="1" applyNumberFormat="1" applyFont="1" applyFill="1" applyBorder="1"/>
    <xf numFmtId="4" fontId="1" fillId="2" borderId="2" xfId="1" applyNumberFormat="1" applyFont="1" applyFill="1" applyBorder="1"/>
    <xf numFmtId="4" fontId="1" fillId="2" borderId="3" xfId="1" applyNumberFormat="1" applyFont="1" applyFill="1" applyBorder="1"/>
    <xf numFmtId="4" fontId="2" fillId="0" borderId="4" xfId="1" applyNumberFormat="1" applyFont="1" applyBorder="1"/>
    <xf numFmtId="4" fontId="2" fillId="0" borderId="5" xfId="1" applyNumberFormat="1" applyFont="1" applyBorder="1"/>
    <xf numFmtId="4" fontId="2" fillId="0" borderId="6" xfId="1" applyNumberFormat="1" applyFont="1" applyBorder="1"/>
    <xf numFmtId="0" fontId="2" fillId="0" borderId="1" xfId="1" applyFont="1" applyBorder="1" applyAlignment="1">
      <alignment wrapText="1"/>
    </xf>
    <xf numFmtId="0" fontId="2" fillId="0" borderId="8" xfId="1" applyFont="1" applyBorder="1" applyAlignment="1">
      <alignment wrapText="1"/>
    </xf>
    <xf numFmtId="0" fontId="2" fillId="0" borderId="12" xfId="1" applyFont="1" applyBorder="1" applyAlignment="1">
      <alignment wrapText="1"/>
    </xf>
    <xf numFmtId="4" fontId="1" fillId="0" borderId="12" xfId="1" applyNumberFormat="1" applyFont="1" applyBorder="1"/>
    <xf numFmtId="0" fontId="2" fillId="0" borderId="13" xfId="1" applyFont="1" applyBorder="1" applyAlignment="1">
      <alignment wrapText="1"/>
    </xf>
    <xf numFmtId="14" fontId="1" fillId="0" borderId="0" xfId="1" applyNumberFormat="1" applyFont="1"/>
    <xf numFmtId="4" fontId="1" fillId="3" borderId="1" xfId="1" applyNumberFormat="1" applyFont="1" applyFill="1" applyBorder="1"/>
    <xf numFmtId="4" fontId="1" fillId="5" borderId="1" xfId="1" applyNumberFormat="1" applyFont="1" applyFill="1" applyBorder="1"/>
    <xf numFmtId="4" fontId="1" fillId="2" borderId="1" xfId="1" applyNumberFormat="1" applyFont="1" applyFill="1" applyBorder="1"/>
    <xf numFmtId="4" fontId="2" fillId="0" borderId="1" xfId="1" applyNumberFormat="1" applyFont="1" applyBorder="1"/>
    <xf numFmtId="4" fontId="1" fillId="0" borderId="14" xfId="1" applyNumberFormat="1" applyFont="1" applyBorder="1"/>
    <xf numFmtId="4" fontId="1" fillId="3" borderId="14" xfId="1" applyNumberFormat="1" applyFont="1" applyFill="1" applyBorder="1"/>
    <xf numFmtId="4" fontId="1" fillId="5" borderId="14" xfId="1" applyNumberFormat="1" applyFont="1" applyFill="1" applyBorder="1"/>
    <xf numFmtId="4" fontId="1" fillId="2" borderId="14" xfId="1" applyNumberFormat="1" applyFont="1" applyFill="1" applyBorder="1"/>
    <xf numFmtId="4" fontId="2" fillId="0" borderId="14" xfId="1" applyNumberFormat="1" applyFont="1" applyBorder="1"/>
    <xf numFmtId="49" fontId="5" fillId="5" borderId="8" xfId="1" applyNumberFormat="1" applyFont="1" applyFill="1" applyBorder="1" applyAlignment="1">
      <alignment horizontal="left"/>
    </xf>
    <xf numFmtId="49" fontId="5" fillId="3" borderId="8" xfId="1" applyNumberFormat="1" applyFont="1" applyFill="1" applyBorder="1" applyAlignment="1">
      <alignment horizontal="left"/>
    </xf>
    <xf numFmtId="0" fontId="1" fillId="6" borderId="1" xfId="1" applyFont="1" applyFill="1" applyBorder="1" applyAlignment="1">
      <alignment horizontal="center"/>
    </xf>
    <xf numFmtId="0" fontId="1" fillId="6" borderId="10" xfId="1" applyFont="1" applyFill="1" applyBorder="1" applyAlignment="1">
      <alignment horizontal="center"/>
    </xf>
    <xf numFmtId="0" fontId="1" fillId="6" borderId="11" xfId="1" applyFont="1" applyFill="1" applyBorder="1" applyAlignment="1">
      <alignment horizontal="center"/>
    </xf>
    <xf numFmtId="0" fontId="1" fillId="8" borderId="1" xfId="1" applyFont="1" applyFill="1" applyBorder="1" applyAlignment="1">
      <alignment horizontal="center"/>
    </xf>
    <xf numFmtId="0" fontId="1" fillId="8" borderId="14" xfId="1" applyFont="1" applyFill="1" applyBorder="1" applyAlignment="1">
      <alignment horizontal="center"/>
    </xf>
    <xf numFmtId="0" fontId="1" fillId="7" borderId="1" xfId="1" applyFont="1" applyFill="1" applyBorder="1" applyAlignment="1">
      <alignment horizontal="center"/>
    </xf>
    <xf numFmtId="0" fontId="1" fillId="5" borderId="1" xfId="1" applyFont="1" applyFill="1" applyBorder="1" applyAlignment="1">
      <alignment horizontal="center"/>
    </xf>
    <xf numFmtId="0" fontId="1" fillId="2" borderId="1" xfId="1" applyFont="1" applyFill="1" applyBorder="1" applyAlignment="1">
      <alignment horizontal="center"/>
    </xf>
    <xf numFmtId="0" fontId="1" fillId="2" borderId="8" xfId="1" applyFont="1" applyFill="1" applyBorder="1" applyAlignment="1">
      <alignment horizontal="center"/>
    </xf>
    <xf numFmtId="0" fontId="1" fillId="9" borderId="10" xfId="1" applyFont="1" applyFill="1" applyBorder="1" applyAlignment="1">
      <alignment horizontal="center"/>
    </xf>
    <xf numFmtId="0" fontId="1" fillId="9" borderId="1" xfId="1" applyFont="1" applyFill="1" applyBorder="1" applyAlignment="1">
      <alignment horizontal="center"/>
    </xf>
    <xf numFmtId="0" fontId="1" fillId="9" borderId="11" xfId="1" applyFont="1" applyFill="1" applyBorder="1" applyAlignment="1">
      <alignment horizontal="center"/>
    </xf>
    <xf numFmtId="0" fontId="2" fillId="9" borderId="15" xfId="1" applyFont="1" applyFill="1" applyBorder="1" applyAlignment="1"/>
    <xf numFmtId="0" fontId="2" fillId="9" borderId="16" xfId="1" applyFont="1" applyFill="1" applyBorder="1" applyAlignment="1"/>
    <xf numFmtId="0" fontId="2" fillId="9" borderId="17" xfId="1" applyFont="1" applyFill="1" applyBorder="1" applyAlignment="1"/>
    <xf numFmtId="4" fontId="1" fillId="6" borderId="10" xfId="1" applyNumberFormat="1" applyFont="1" applyFill="1" applyBorder="1"/>
    <xf numFmtId="4" fontId="1" fillId="6" borderId="1" xfId="1" applyNumberFormat="1" applyFont="1" applyFill="1" applyBorder="1"/>
    <xf numFmtId="4" fontId="1" fillId="6" borderId="11" xfId="1" applyNumberFormat="1" applyFont="1" applyFill="1" applyBorder="1"/>
    <xf numFmtId="4" fontId="1" fillId="8" borderId="14" xfId="1" applyNumberFormat="1" applyFont="1" applyFill="1" applyBorder="1"/>
    <xf numFmtId="4" fontId="1" fillId="8" borderId="1" xfId="1" applyNumberFormat="1" applyFont="1" applyFill="1" applyBorder="1"/>
    <xf numFmtId="4" fontId="1" fillId="7" borderId="1" xfId="1" applyNumberFormat="1" applyFont="1" applyFill="1" applyBorder="1"/>
    <xf numFmtId="4" fontId="1" fillId="9" borderId="10" xfId="1" applyNumberFormat="1" applyFont="1" applyFill="1" applyBorder="1"/>
    <xf numFmtId="4" fontId="1" fillId="9" borderId="1" xfId="1" applyNumberFormat="1" applyFont="1" applyFill="1" applyBorder="1"/>
    <xf numFmtId="4" fontId="1" fillId="9" borderId="11" xfId="1" applyNumberFormat="1" applyFont="1" applyFill="1" applyBorder="1"/>
    <xf numFmtId="4" fontId="1" fillId="6" borderId="1" xfId="1" applyNumberFormat="1" applyFont="1" applyFill="1" applyBorder="1" applyAlignment="1"/>
    <xf numFmtId="4" fontId="1" fillId="6" borderId="18" xfId="1" applyNumberFormat="1" applyFont="1" applyFill="1" applyBorder="1"/>
    <xf numFmtId="4" fontId="1" fillId="6" borderId="19" xfId="1" applyNumberFormat="1" applyFont="1" applyFill="1" applyBorder="1"/>
    <xf numFmtId="4" fontId="1" fillId="9" borderId="18" xfId="1" applyNumberFormat="1" applyFont="1" applyFill="1" applyBorder="1"/>
    <xf numFmtId="4" fontId="1" fillId="9" borderId="19" xfId="1" applyNumberFormat="1" applyFont="1" applyFill="1" applyBorder="1"/>
    <xf numFmtId="4" fontId="1" fillId="2" borderId="11" xfId="1" applyNumberFormat="1" applyFont="1" applyFill="1" applyBorder="1"/>
    <xf numFmtId="4" fontId="1" fillId="5" borderId="11" xfId="1" applyNumberFormat="1" applyFont="1" applyFill="1" applyBorder="1"/>
    <xf numFmtId="4" fontId="1" fillId="7" borderId="11" xfId="1" applyNumberFormat="1" applyFont="1" applyFill="1" applyBorder="1"/>
    <xf numFmtId="4" fontId="1" fillId="8" borderId="11" xfId="1" applyNumberFormat="1" applyFont="1" applyFill="1" applyBorder="1"/>
    <xf numFmtId="4" fontId="4" fillId="2" borderId="1" xfId="1" applyNumberFormat="1" applyFont="1" applyFill="1" applyBorder="1"/>
    <xf numFmtId="4" fontId="1" fillId="2" borderId="9" xfId="1" applyNumberFormat="1" applyFont="1" applyFill="1" applyBorder="1"/>
    <xf numFmtId="4" fontId="4" fillId="8" borderId="1" xfId="1" applyNumberFormat="1" applyFont="1" applyFill="1" applyBorder="1"/>
    <xf numFmtId="4" fontId="1" fillId="8" borderId="9" xfId="1" applyNumberFormat="1" applyFont="1" applyFill="1" applyBorder="1"/>
    <xf numFmtId="0" fontId="2" fillId="6" borderId="8" xfId="1" applyFont="1" applyFill="1" applyBorder="1" applyAlignment="1">
      <alignment wrapText="1"/>
    </xf>
    <xf numFmtId="4" fontId="1" fillId="8" borderId="8" xfId="1" applyNumberFormat="1" applyFont="1" applyFill="1" applyBorder="1"/>
    <xf numFmtId="0" fontId="2" fillId="5" borderId="20" xfId="1" applyFont="1" applyFill="1" applyBorder="1" applyAlignment="1">
      <alignment wrapText="1"/>
    </xf>
    <xf numFmtId="0" fontId="2" fillId="5" borderId="21" xfId="1" applyFont="1" applyFill="1" applyBorder="1" applyAlignment="1">
      <alignment wrapText="1"/>
    </xf>
    <xf numFmtId="4" fontId="2" fillId="5" borderId="21" xfId="1" applyNumberFormat="1" applyFont="1" applyFill="1" applyBorder="1" applyAlignment="1">
      <alignment wrapText="1"/>
    </xf>
    <xf numFmtId="0" fontId="2" fillId="5" borderId="22" xfId="1" applyFont="1" applyFill="1" applyBorder="1" applyAlignment="1">
      <alignment wrapText="1"/>
    </xf>
    <xf numFmtId="4" fontId="1" fillId="8" borderId="10" xfId="1" applyNumberFormat="1" applyFont="1" applyFill="1" applyBorder="1"/>
    <xf numFmtId="4" fontId="1" fillId="8" borderId="23" xfId="1" applyNumberFormat="1" applyFont="1" applyFill="1" applyBorder="1"/>
    <xf numFmtId="4" fontId="1" fillId="0" borderId="18" xfId="1" applyNumberFormat="1" applyFont="1" applyBorder="1"/>
    <xf numFmtId="4" fontId="1" fillId="0" borderId="19" xfId="1" applyNumberFormat="1" applyFont="1" applyBorder="1"/>
    <xf numFmtId="4" fontId="1" fillId="0" borderId="24" xfId="1" applyNumberFormat="1" applyFont="1" applyBorder="1"/>
    <xf numFmtId="0" fontId="2" fillId="6" borderId="20" xfId="1" applyFont="1" applyFill="1" applyBorder="1" applyAlignment="1">
      <alignment wrapText="1"/>
    </xf>
    <xf numFmtId="0" fontId="1" fillId="6" borderId="21" xfId="1" applyFont="1" applyFill="1" applyBorder="1" applyAlignment="1">
      <alignment wrapText="1"/>
    </xf>
    <xf numFmtId="0" fontId="2" fillId="6" borderId="21" xfId="1" applyFont="1" applyFill="1" applyBorder="1" applyAlignment="1">
      <alignment wrapText="1"/>
    </xf>
    <xf numFmtId="4" fontId="2" fillId="6" borderId="21" xfId="1" applyNumberFormat="1" applyFont="1" applyFill="1" applyBorder="1" applyAlignment="1">
      <alignment wrapText="1"/>
    </xf>
    <xf numFmtId="0" fontId="2" fillId="6" borderId="22" xfId="1" applyFont="1" applyFill="1" applyBorder="1" applyAlignment="1">
      <alignment wrapText="1"/>
    </xf>
    <xf numFmtId="4" fontId="4" fillId="2" borderId="10" xfId="1" applyNumberFormat="1" applyFont="1" applyFill="1" applyBorder="1"/>
    <xf numFmtId="4" fontId="4" fillId="0" borderId="19" xfId="1" applyNumberFormat="1" applyFont="1" applyBorder="1"/>
    <xf numFmtId="0" fontId="1" fillId="5" borderId="21" xfId="1" applyFont="1" applyFill="1" applyBorder="1" applyAlignment="1">
      <alignment wrapText="1"/>
    </xf>
    <xf numFmtId="0" fontId="1" fillId="5" borderId="22" xfId="1" applyFont="1" applyFill="1" applyBorder="1" applyAlignment="1">
      <alignment wrapText="1"/>
    </xf>
    <xf numFmtId="4" fontId="1" fillId="2" borderId="10" xfId="1" applyNumberFormat="1" applyFont="1" applyFill="1" applyBorder="1"/>
    <xf numFmtId="4" fontId="1" fillId="2" borderId="23" xfId="1" applyNumberFormat="1" applyFont="1" applyFill="1" applyBorder="1"/>
    <xf numFmtId="0" fontId="1" fillId="0" borderId="1" xfId="1" applyFont="1" applyBorder="1"/>
    <xf numFmtId="0" fontId="1" fillId="0" borderId="10" xfId="1" applyFont="1" applyBorder="1"/>
    <xf numFmtId="0" fontId="1" fillId="0" borderId="11" xfId="1" applyFont="1" applyFill="1" applyBorder="1"/>
    <xf numFmtId="0" fontId="6" fillId="0" borderId="1" xfId="1" applyFont="1" applyBorder="1"/>
    <xf numFmtId="4" fontId="6" fillId="0" borderId="1" xfId="1" applyNumberFormat="1" applyFont="1" applyBorder="1"/>
    <xf numFmtId="0" fontId="15" fillId="0" borderId="1" xfId="1" applyFont="1" applyBorder="1"/>
    <xf numFmtId="4" fontId="15" fillId="0" borderId="1" xfId="1" applyNumberFormat="1" applyFont="1" applyBorder="1"/>
    <xf numFmtId="1" fontId="6" fillId="0" borderId="1" xfId="1" applyNumberFormat="1" applyFont="1" applyBorder="1"/>
    <xf numFmtId="0" fontId="15" fillId="0" borderId="1" xfId="1" applyFont="1" applyBorder="1" applyAlignment="1">
      <alignment horizontal="right"/>
    </xf>
    <xf numFmtId="0" fontId="1" fillId="0" borderId="1" xfId="1" applyFont="1" applyBorder="1" applyAlignment="1"/>
    <xf numFmtId="0" fontId="1" fillId="0" borderId="10" xfId="1" applyFont="1" applyBorder="1" applyAlignment="1"/>
    <xf numFmtId="0" fontId="1" fillId="0" borderId="11" xfId="1" applyFont="1" applyBorder="1" applyAlignment="1"/>
    <xf numFmtId="4" fontId="1" fillId="0" borderId="25" xfId="1" applyNumberFormat="1" applyFont="1" applyBorder="1"/>
    <xf numFmtId="0" fontId="1" fillId="0" borderId="1" xfId="1" applyFont="1" applyFill="1" applyBorder="1" applyAlignment="1">
      <alignment horizontal="center"/>
    </xf>
    <xf numFmtId="4" fontId="4" fillId="2" borderId="26" xfId="1" applyNumberFormat="1" applyFont="1" applyFill="1" applyBorder="1"/>
    <xf numFmtId="0" fontId="16" fillId="0" borderId="16" xfId="6" applyFont="1" applyBorder="1" applyAlignment="1" applyProtection="1">
      <alignment horizontal="center" vertical="center" wrapText="1"/>
    </xf>
    <xf numFmtId="0" fontId="17" fillId="0" borderId="19" xfId="6" applyFont="1" applyBorder="1" applyAlignment="1" applyProtection="1">
      <alignment horizontal="center" vertical="center" wrapText="1"/>
    </xf>
    <xf numFmtId="0" fontId="17" fillId="0" borderId="5" xfId="6" applyFont="1" applyBorder="1" applyAlignment="1" applyProtection="1">
      <alignment horizontal="center" vertical="center" wrapText="1"/>
    </xf>
    <xf numFmtId="4" fontId="16" fillId="0" borderId="27" xfId="6" applyNumberFormat="1" applyFont="1" applyBorder="1" applyAlignment="1" applyProtection="1">
      <alignment horizontal="centerContinuous" vertical="center" wrapText="1"/>
    </xf>
    <xf numFmtId="4" fontId="16" fillId="0" borderId="16" xfId="6" applyNumberFormat="1" applyFont="1" applyBorder="1" applyAlignment="1" applyProtection="1">
      <alignment horizontal="centerContinuous" vertical="center" wrapText="1"/>
    </xf>
    <xf numFmtId="4" fontId="17" fillId="0" borderId="19" xfId="6" applyNumberFormat="1" applyFont="1" applyBorder="1" applyAlignment="1" applyProtection="1">
      <alignment horizontal="center" vertical="center" wrapText="1"/>
    </xf>
    <xf numFmtId="4" fontId="17" fillId="0" borderId="5" xfId="6" applyNumberFormat="1" applyFont="1" applyBorder="1" applyAlignment="1" applyProtection="1">
      <alignment horizontal="center" vertical="center" wrapText="1"/>
    </xf>
    <xf numFmtId="0" fontId="1" fillId="0" borderId="1" xfId="1" quotePrefix="1" applyNumberFormat="1" applyFont="1" applyBorder="1"/>
    <xf numFmtId="49" fontId="1" fillId="0" borderId="1" xfId="1" quotePrefix="1" applyNumberFormat="1" applyFont="1" applyBorder="1"/>
    <xf numFmtId="49" fontId="1" fillId="0" borderId="1" xfId="1" applyNumberFormat="1" applyFont="1" applyBorder="1"/>
    <xf numFmtId="0" fontId="18" fillId="0" borderId="0" xfId="1" applyFont="1" applyAlignment="1">
      <alignment wrapText="1"/>
    </xf>
    <xf numFmtId="49" fontId="18" fillId="0" borderId="0" xfId="1" applyNumberFormat="1" applyFont="1" applyAlignment="1">
      <alignment wrapText="1"/>
    </xf>
    <xf numFmtId="4" fontId="16" fillId="10" borderId="27" xfId="6" applyNumberFormat="1" applyFont="1" applyFill="1" applyBorder="1" applyAlignment="1" applyProtection="1">
      <alignment horizontal="centerContinuous" vertical="center" wrapText="1"/>
    </xf>
    <xf numFmtId="4" fontId="16" fillId="10" borderId="16" xfId="6" applyNumberFormat="1" applyFont="1" applyFill="1" applyBorder="1" applyAlignment="1" applyProtection="1">
      <alignment horizontal="centerContinuous" vertical="center" wrapText="1"/>
    </xf>
    <xf numFmtId="4" fontId="17" fillId="10" borderId="19" xfId="6" applyNumberFormat="1" applyFont="1" applyFill="1" applyBorder="1" applyAlignment="1" applyProtection="1">
      <alignment horizontal="center" vertical="center" wrapText="1"/>
    </xf>
    <xf numFmtId="4" fontId="17" fillId="10" borderId="5" xfId="6" applyNumberFormat="1" applyFont="1" applyFill="1" applyBorder="1" applyAlignment="1" applyProtection="1">
      <alignment horizontal="center" vertical="center" wrapText="1"/>
    </xf>
    <xf numFmtId="4" fontId="9" fillId="10" borderId="0" xfId="1" applyNumberFormat="1" applyFont="1" applyFill="1"/>
    <xf numFmtId="195" fontId="9" fillId="0" borderId="0" xfId="7" applyNumberFormat="1" applyFont="1"/>
    <xf numFmtId="196" fontId="9" fillId="0" borderId="0" xfId="7" applyNumberFormat="1" applyFont="1" applyAlignment="1"/>
    <xf numFmtId="1" fontId="1" fillId="0" borderId="0" xfId="1" applyNumberFormat="1" applyFont="1"/>
    <xf numFmtId="49" fontId="2" fillId="0" borderId="0" xfId="1" applyNumberFormat="1" applyFont="1"/>
    <xf numFmtId="4" fontId="9" fillId="0" borderId="0" xfId="1" applyNumberFormat="1" applyFont="1" applyFill="1"/>
    <xf numFmtId="0" fontId="4" fillId="0" borderId="1" xfId="1" applyFont="1" applyFill="1" applyBorder="1" applyAlignment="1" applyProtection="1"/>
    <xf numFmtId="0" fontId="1" fillId="0" borderId="0" xfId="1" applyFont="1" applyFill="1"/>
    <xf numFmtId="0" fontId="20" fillId="0" borderId="1" xfId="1" quotePrefix="1" applyFont="1" applyFill="1" applyBorder="1" applyAlignment="1" applyProtection="1">
      <alignment horizontal="center"/>
    </xf>
    <xf numFmtId="49" fontId="20" fillId="0" borderId="1" xfId="1" applyNumberFormat="1" applyFont="1" applyFill="1" applyBorder="1" applyAlignment="1" applyProtection="1"/>
    <xf numFmtId="4" fontId="6" fillId="0" borderId="0" xfId="1" applyNumberFormat="1" applyFont="1"/>
    <xf numFmtId="0" fontId="6" fillId="6" borderId="0" xfId="1" applyFont="1" applyFill="1"/>
    <xf numFmtId="4" fontId="6" fillId="6" borderId="0" xfId="1" applyNumberFormat="1" applyFont="1" applyFill="1"/>
    <xf numFmtId="0" fontId="20" fillId="0" borderId="7" xfId="1" applyFont="1" applyBorder="1" applyAlignment="1" applyProtection="1">
      <alignment vertical="center" wrapText="1"/>
    </xf>
    <xf numFmtId="49" fontId="20" fillId="0" borderId="7" xfId="1" applyNumberFormat="1" applyFont="1" applyBorder="1" applyAlignment="1" applyProtection="1">
      <alignment vertical="center" wrapText="1"/>
    </xf>
    <xf numFmtId="49" fontId="1" fillId="0" borderId="0" xfId="1" applyNumberFormat="1" applyFont="1" applyBorder="1"/>
    <xf numFmtId="0" fontId="1" fillId="0" borderId="28" xfId="1" applyFont="1" applyBorder="1"/>
    <xf numFmtId="0" fontId="20" fillId="0" borderId="0" xfId="1" applyFont="1" applyBorder="1" applyAlignment="1" applyProtection="1">
      <alignment vertical="center" wrapText="1"/>
    </xf>
    <xf numFmtId="49" fontId="20" fillId="0" borderId="0" xfId="1" applyNumberFormat="1" applyFont="1" applyBorder="1" applyAlignment="1" applyProtection="1">
      <alignment vertical="center" wrapText="1"/>
    </xf>
    <xf numFmtId="0" fontId="20" fillId="0" borderId="29" xfId="1" applyFont="1" applyBorder="1" applyAlignment="1" applyProtection="1">
      <alignment vertical="center" wrapText="1"/>
    </xf>
    <xf numFmtId="49" fontId="20" fillId="0" borderId="29" xfId="1" applyNumberFormat="1" applyFont="1" applyBorder="1" applyAlignment="1" applyProtection="1">
      <alignment vertical="center" wrapText="1"/>
    </xf>
    <xf numFmtId="0" fontId="20" fillId="0" borderId="28" xfId="1" applyFont="1" applyBorder="1" applyAlignment="1" applyProtection="1">
      <alignment vertical="center" wrapText="1"/>
    </xf>
    <xf numFmtId="0" fontId="20" fillId="0" borderId="25" xfId="1" applyFont="1" applyBorder="1" applyAlignment="1" applyProtection="1">
      <alignment vertical="center" wrapText="1"/>
    </xf>
    <xf numFmtId="4" fontId="19" fillId="0" borderId="13" xfId="1" applyNumberFormat="1" applyFont="1" applyFill="1" applyBorder="1" applyAlignment="1" applyProtection="1"/>
    <xf numFmtId="4" fontId="4" fillId="0" borderId="13" xfId="1" applyNumberFormat="1" applyFont="1" applyFill="1" applyBorder="1" applyAlignment="1" applyProtection="1"/>
    <xf numFmtId="4" fontId="19" fillId="0" borderId="14" xfId="1" applyNumberFormat="1" applyFont="1" applyFill="1" applyBorder="1" applyAlignment="1" applyProtection="1"/>
    <xf numFmtId="4" fontId="4" fillId="0" borderId="1" xfId="1" applyNumberFormat="1" applyFont="1" applyFill="1" applyBorder="1" applyAlignment="1" applyProtection="1"/>
    <xf numFmtId="1" fontId="19" fillId="0" borderId="1" xfId="1" applyNumberFormat="1" applyFont="1" applyBorder="1" applyAlignment="1" applyProtection="1">
      <alignment horizontal="center"/>
    </xf>
    <xf numFmtId="1" fontId="19" fillId="0" borderId="1" xfId="1" applyNumberFormat="1" applyFont="1" applyBorder="1" applyAlignment="1" applyProtection="1">
      <alignment horizontal="center" vertical="center"/>
    </xf>
    <xf numFmtId="1" fontId="4" fillId="0" borderId="1" xfId="1" applyNumberFormat="1" applyFont="1" applyBorder="1" applyAlignment="1" applyProtection="1">
      <alignment horizontal="center"/>
    </xf>
    <xf numFmtId="1" fontId="1" fillId="0" borderId="1" xfId="1" applyNumberFormat="1" applyFont="1" applyBorder="1" applyAlignment="1">
      <alignment horizontal="center"/>
    </xf>
    <xf numFmtId="1" fontId="19" fillId="0" borderId="8" xfId="1" applyNumberFormat="1" applyFont="1" applyFill="1" applyBorder="1" applyAlignment="1" applyProtection="1"/>
    <xf numFmtId="1" fontId="4" fillId="0" borderId="13" xfId="1" applyNumberFormat="1" applyFont="1" applyFill="1" applyBorder="1" applyAlignment="1" applyProtection="1"/>
    <xf numFmtId="0" fontId="4" fillId="0" borderId="0" xfId="1" applyFont="1" applyFill="1"/>
    <xf numFmtId="0" fontId="1" fillId="0" borderId="1" xfId="1" applyFont="1" applyFill="1" applyBorder="1"/>
    <xf numFmtId="1" fontId="1" fillId="0" borderId="8" xfId="1" applyNumberFormat="1" applyFont="1" applyBorder="1" applyAlignment="1">
      <alignment horizontal="center"/>
    </xf>
    <xf numFmtId="4" fontId="1" fillId="0" borderId="8" xfId="1" applyNumberFormat="1" applyFont="1" applyFill="1" applyBorder="1"/>
    <xf numFmtId="1" fontId="19" fillId="0" borderId="14" xfId="1" applyNumberFormat="1" applyFont="1" applyBorder="1" applyAlignment="1" applyProtection="1">
      <alignment horizontal="center"/>
    </xf>
    <xf numFmtId="0" fontId="1" fillId="0" borderId="30" xfId="1" applyFont="1" applyBorder="1"/>
    <xf numFmtId="49" fontId="1" fillId="0" borderId="31" xfId="1" applyNumberFormat="1" applyFont="1" applyBorder="1" applyAlignment="1">
      <alignment horizontal="center"/>
    </xf>
    <xf numFmtId="1" fontId="1" fillId="0" borderId="30" xfId="1" applyNumberFormat="1" applyFont="1" applyBorder="1"/>
    <xf numFmtId="49" fontId="1" fillId="0" borderId="31" xfId="1" applyNumberFormat="1" applyFont="1" applyBorder="1"/>
    <xf numFmtId="49" fontId="1" fillId="0" borderId="31" xfId="1" applyNumberFormat="1" applyFont="1" applyFill="1" applyBorder="1"/>
    <xf numFmtId="0" fontId="1" fillId="0" borderId="30" xfId="1" applyFont="1" applyFill="1" applyBorder="1"/>
    <xf numFmtId="49" fontId="16" fillId="8" borderId="31" xfId="6" applyNumberFormat="1" applyFont="1" applyFill="1" applyBorder="1" applyAlignment="1" applyProtection="1">
      <alignment horizontal="center" vertical="center" wrapText="1"/>
    </xf>
    <xf numFmtId="0" fontId="1" fillId="8" borderId="30" xfId="1" applyFont="1" applyFill="1" applyBorder="1"/>
    <xf numFmtId="49" fontId="21" fillId="8" borderId="31" xfId="6" applyNumberFormat="1" applyFont="1" applyFill="1" applyBorder="1" applyAlignment="1" applyProtection="1">
      <alignment horizontal="center" vertical="center" wrapText="1"/>
    </xf>
    <xf numFmtId="0" fontId="1" fillId="0" borderId="32" xfId="1" applyFont="1" applyBorder="1"/>
    <xf numFmtId="0" fontId="1" fillId="0" borderId="33" xfId="1" applyFont="1" applyBorder="1"/>
    <xf numFmtId="0" fontId="1" fillId="0" borderId="0" xfId="1" applyFont="1" applyAlignment="1">
      <alignment wrapText="1"/>
    </xf>
    <xf numFmtId="0" fontId="1" fillId="0" borderId="34" xfId="1" applyFont="1" applyBorder="1"/>
    <xf numFmtId="4" fontId="1" fillId="0" borderId="35" xfId="1" applyNumberFormat="1" applyFont="1" applyBorder="1"/>
    <xf numFmtId="0" fontId="1" fillId="0" borderId="1" xfId="1" applyFont="1" applyFill="1" applyBorder="1" applyAlignment="1">
      <alignment wrapText="1"/>
    </xf>
    <xf numFmtId="0" fontId="1" fillId="0" borderId="10" xfId="1" applyFont="1" applyFill="1" applyBorder="1" applyAlignment="1">
      <alignment wrapText="1"/>
    </xf>
    <xf numFmtId="49" fontId="2" fillId="0" borderId="0" xfId="1" applyNumberFormat="1" applyFont="1" applyFill="1"/>
    <xf numFmtId="0" fontId="1" fillId="0" borderId="0" xfId="1" applyFont="1" applyFill="1" applyProtection="1"/>
    <xf numFmtId="49" fontId="2" fillId="0" borderId="0" xfId="1" applyNumberFormat="1" applyFont="1" applyFill="1" applyProtection="1"/>
    <xf numFmtId="196" fontId="9" fillId="0" borderId="0" xfId="7" applyNumberFormat="1" applyFont="1" applyFill="1" applyAlignment="1"/>
    <xf numFmtId="195" fontId="9" fillId="0" borderId="0" xfId="7" applyNumberFormat="1" applyFont="1" applyFill="1"/>
    <xf numFmtId="0" fontId="1" fillId="0" borderId="0" xfId="1" applyFont="1" applyFill="1" applyBorder="1" applyAlignment="1">
      <alignment wrapText="1"/>
    </xf>
    <xf numFmtId="1" fontId="1" fillId="0" borderId="0" xfId="1" applyNumberFormat="1" applyFont="1" applyFill="1" applyAlignment="1">
      <alignment horizontal="left"/>
    </xf>
    <xf numFmtId="0" fontId="6" fillId="0" borderId="1" xfId="1" applyFont="1" applyBorder="1" applyAlignment="1">
      <alignment horizontal="center"/>
    </xf>
    <xf numFmtId="4" fontId="6" fillId="2" borderId="1" xfId="1" applyNumberFormat="1" applyFont="1" applyFill="1" applyBorder="1"/>
    <xf numFmtId="4" fontId="2" fillId="2" borderId="0" xfId="1" applyNumberFormat="1" applyFont="1" applyFill="1"/>
    <xf numFmtId="49" fontId="0" fillId="2" borderId="0" xfId="1" applyNumberFormat="1" applyFont="1" applyFill="1"/>
    <xf numFmtId="14" fontId="24" fillId="0" borderId="5" xfId="6" applyNumberFormat="1" applyFont="1" applyBorder="1" applyAlignment="1" applyProtection="1">
      <alignment horizontal="center" vertical="center" wrapText="1"/>
    </xf>
    <xf numFmtId="4" fontId="1" fillId="0" borderId="0" xfId="1" applyNumberFormat="1" applyFont="1" applyFill="1" applyBorder="1"/>
    <xf numFmtId="4" fontId="6" fillId="0" borderId="1" xfId="1" applyNumberFormat="1" applyFont="1" applyFill="1" applyBorder="1"/>
    <xf numFmtId="166" fontId="1" fillId="0" borderId="0" xfId="1" applyNumberFormat="1" applyFont="1"/>
    <xf numFmtId="0" fontId="20" fillId="2" borderId="1" xfId="1" quotePrefix="1" applyFont="1" applyFill="1" applyBorder="1" applyAlignment="1" applyProtection="1">
      <alignment horizontal="center"/>
    </xf>
    <xf numFmtId="49" fontId="20" fillId="2" borderId="1" xfId="1" applyNumberFormat="1" applyFont="1" applyFill="1" applyBorder="1" applyAlignment="1" applyProtection="1"/>
    <xf numFmtId="0" fontId="4" fillId="2" borderId="1" xfId="1" applyFont="1" applyFill="1" applyBorder="1" applyAlignment="1" applyProtection="1"/>
    <xf numFmtId="1" fontId="19" fillId="2" borderId="8" xfId="1" applyNumberFormat="1" applyFont="1" applyFill="1" applyBorder="1" applyAlignment="1" applyProtection="1"/>
    <xf numFmtId="4" fontId="19" fillId="2" borderId="13" xfId="1" applyNumberFormat="1" applyFont="1" applyFill="1" applyBorder="1" applyAlignment="1" applyProtection="1"/>
    <xf numFmtId="1" fontId="4" fillId="2" borderId="13" xfId="1" applyNumberFormat="1" applyFont="1" applyFill="1" applyBorder="1" applyAlignment="1" applyProtection="1"/>
    <xf numFmtId="4" fontId="4" fillId="2" borderId="13" xfId="1" applyNumberFormat="1" applyFont="1" applyFill="1" applyBorder="1" applyAlignment="1" applyProtection="1"/>
    <xf numFmtId="4" fontId="19" fillId="2" borderId="14" xfId="1" applyNumberFormat="1" applyFont="1" applyFill="1" applyBorder="1" applyAlignment="1" applyProtection="1"/>
    <xf numFmtId="4" fontId="4" fillId="2" borderId="1" xfId="1" applyNumberFormat="1" applyFont="1" applyFill="1" applyBorder="1" applyAlignment="1" applyProtection="1"/>
    <xf numFmtId="4" fontId="1" fillId="2" borderId="8" xfId="1" applyNumberFormat="1" applyFont="1" applyFill="1" applyBorder="1"/>
    <xf numFmtId="49" fontId="1" fillId="2" borderId="31" xfId="1" applyNumberFormat="1" applyFont="1" applyFill="1" applyBorder="1"/>
    <xf numFmtId="0" fontId="1" fillId="2" borderId="30" xfId="1" applyFont="1" applyFill="1" applyBorder="1"/>
    <xf numFmtId="1" fontId="19" fillId="2" borderId="13" xfId="1" applyNumberFormat="1" applyFont="1" applyFill="1" applyBorder="1" applyAlignment="1" applyProtection="1"/>
    <xf numFmtId="4" fontId="19" fillId="2" borderId="8" xfId="1" applyNumberFormat="1" applyFont="1" applyFill="1" applyBorder="1" applyAlignment="1" applyProtection="1"/>
    <xf numFmtId="0" fontId="4" fillId="2" borderId="0" xfId="1" applyFont="1" applyFill="1"/>
    <xf numFmtId="14" fontId="1" fillId="0" borderId="0" xfId="1" applyNumberFormat="1" applyFont="1" applyFill="1" applyBorder="1" applyAlignment="1"/>
    <xf numFmtId="4" fontId="26" fillId="0" borderId="0" xfId="1" applyNumberFormat="1" applyFont="1"/>
    <xf numFmtId="199" fontId="19" fillId="10" borderId="1" xfId="5" applyNumberFormat="1" applyFont="1" applyFill="1" applyBorder="1" applyAlignment="1" applyProtection="1">
      <alignment horizontal="right"/>
      <protection locked="0"/>
    </xf>
    <xf numFmtId="0" fontId="0" fillId="0" borderId="0" xfId="0" applyNumberFormat="1"/>
    <xf numFmtId="49" fontId="4" fillId="2" borderId="0" xfId="1" applyNumberFormat="1" applyFont="1" applyFill="1"/>
    <xf numFmtId="49" fontId="6" fillId="0" borderId="0" xfId="1" applyNumberFormat="1" applyFont="1" applyFill="1"/>
    <xf numFmtId="49" fontId="1" fillId="2" borderId="0" xfId="1" applyNumberFormat="1" applyFont="1" applyFill="1" applyBorder="1"/>
    <xf numFmtId="0" fontId="1" fillId="2" borderId="0" xfId="1" applyFont="1" applyFill="1" applyBorder="1"/>
    <xf numFmtId="49" fontId="1" fillId="0" borderId="0" xfId="1" applyNumberFormat="1" applyFont="1" applyFill="1" applyBorder="1"/>
    <xf numFmtId="0" fontId="1" fillId="0" borderId="0" xfId="1" applyFont="1" applyFill="1" applyBorder="1"/>
    <xf numFmtId="0" fontId="4" fillId="0" borderId="0" xfId="0" applyFont="1"/>
    <xf numFmtId="3" fontId="0" fillId="0" borderId="0" xfId="0" applyNumberFormat="1"/>
    <xf numFmtId="199" fontId="19" fillId="10" borderId="1" xfId="0" applyNumberFormat="1" applyFont="1" applyFill="1" applyBorder="1" applyAlignment="1" applyProtection="1">
      <alignment horizontal="right"/>
      <protection locked="0"/>
    </xf>
    <xf numFmtId="4" fontId="4" fillId="0" borderId="0" xfId="1" applyNumberFormat="1" applyFont="1"/>
    <xf numFmtId="196" fontId="1" fillId="0" borderId="0" xfId="1" applyNumberFormat="1" applyFont="1" applyFill="1"/>
    <xf numFmtId="49" fontId="4" fillId="0" borderId="0" xfId="1" applyNumberFormat="1" applyFont="1"/>
    <xf numFmtId="4" fontId="0" fillId="0" borderId="0" xfId="0" applyNumberFormat="1"/>
    <xf numFmtId="0" fontId="1" fillId="12" borderId="1" xfId="1" applyFont="1" applyFill="1" applyBorder="1" applyAlignment="1">
      <alignment horizontal="center"/>
    </xf>
    <xf numFmtId="0" fontId="5" fillId="12" borderId="1" xfId="4" applyFont="1" applyFill="1" applyBorder="1" applyAlignment="1">
      <alignment horizontal="center"/>
    </xf>
    <xf numFmtId="49" fontId="5" fillId="12" borderId="1" xfId="1" applyNumberFormat="1" applyFont="1" applyFill="1" applyBorder="1" applyAlignment="1">
      <alignment horizontal="center"/>
    </xf>
    <xf numFmtId="49" fontId="5" fillId="12" borderId="1" xfId="4" applyNumberFormat="1" applyFont="1" applyFill="1" applyBorder="1" applyAlignment="1">
      <alignment horizontal="center"/>
    </xf>
    <xf numFmtId="0" fontId="5" fillId="12" borderId="1" xfId="1" applyFont="1" applyFill="1" applyBorder="1" applyAlignment="1">
      <alignment horizontal="left"/>
    </xf>
    <xf numFmtId="49" fontId="5" fillId="12" borderId="8" xfId="1" applyNumberFormat="1" applyFont="1" applyFill="1" applyBorder="1" applyAlignment="1">
      <alignment horizontal="left"/>
    </xf>
    <xf numFmtId="4" fontId="1" fillId="12" borderId="1" xfId="1" applyNumberFormat="1" applyFont="1" applyFill="1" applyBorder="1"/>
    <xf numFmtId="4" fontId="1" fillId="12" borderId="8" xfId="1" applyNumberFormat="1" applyFont="1" applyFill="1" applyBorder="1"/>
    <xf numFmtId="4" fontId="1" fillId="12" borderId="10" xfId="1" applyNumberFormat="1" applyFont="1" applyFill="1" applyBorder="1"/>
    <xf numFmtId="4" fontId="4" fillId="12" borderId="1" xfId="1" applyNumberFormat="1" applyFont="1" applyFill="1" applyBorder="1"/>
    <xf numFmtId="4" fontId="1" fillId="12" borderId="11" xfId="1" applyNumberFormat="1" applyFont="1" applyFill="1" applyBorder="1"/>
    <xf numFmtId="4" fontId="4" fillId="12" borderId="10" xfId="1" applyNumberFormat="1" applyFont="1" applyFill="1" applyBorder="1"/>
    <xf numFmtId="4" fontId="1" fillId="12" borderId="0" xfId="1" applyNumberFormat="1" applyFont="1" applyFill="1" applyBorder="1"/>
    <xf numFmtId="4" fontId="1" fillId="12" borderId="3" xfId="1" applyNumberFormat="1" applyFont="1" applyFill="1" applyBorder="1"/>
    <xf numFmtId="4" fontId="1" fillId="12" borderId="2" xfId="1" applyNumberFormat="1" applyFont="1" applyFill="1" applyBorder="1"/>
    <xf numFmtId="4" fontId="1" fillId="12" borderId="20" xfId="1" applyNumberFormat="1" applyFont="1" applyFill="1" applyBorder="1"/>
    <xf numFmtId="4" fontId="1" fillId="12" borderId="21" xfId="1" applyNumberFormat="1" applyFont="1" applyFill="1" applyBorder="1"/>
    <xf numFmtId="4" fontId="1" fillId="12" borderId="27" xfId="1" applyNumberFormat="1" applyFont="1" applyFill="1" applyBorder="1"/>
    <xf numFmtId="4" fontId="1" fillId="12" borderId="0" xfId="1" applyNumberFormat="1" applyFont="1" applyFill="1"/>
    <xf numFmtId="0" fontId="1" fillId="12" borderId="0" xfId="1" applyFont="1" applyFill="1"/>
    <xf numFmtId="49" fontId="5" fillId="12" borderId="1" xfId="1" applyNumberFormat="1" applyFont="1" applyFill="1" applyBorder="1" applyAlignment="1">
      <alignment horizontal="left"/>
    </xf>
    <xf numFmtId="4" fontId="4" fillId="12" borderId="26" xfId="1" applyNumberFormat="1" applyFont="1" applyFill="1" applyBorder="1"/>
    <xf numFmtId="0" fontId="1" fillId="13" borderId="1" xfId="1" applyFont="1" applyFill="1" applyBorder="1" applyAlignment="1">
      <alignment horizontal="center"/>
    </xf>
    <xf numFmtId="49" fontId="5" fillId="13" borderId="1" xfId="4" applyNumberFormat="1" applyFont="1" applyFill="1" applyBorder="1" applyAlignment="1">
      <alignment horizontal="center"/>
    </xf>
    <xf numFmtId="49" fontId="5" fillId="13" borderId="1" xfId="1" applyNumberFormat="1" applyFont="1" applyFill="1" applyBorder="1" applyAlignment="1">
      <alignment horizontal="center"/>
    </xf>
    <xf numFmtId="0" fontId="5" fillId="13" borderId="1" xfId="1" applyFont="1" applyFill="1" applyBorder="1" applyAlignment="1">
      <alignment horizontal="left"/>
    </xf>
    <xf numFmtId="49" fontId="5" fillId="13" borderId="1" xfId="1" applyNumberFormat="1" applyFont="1" applyFill="1" applyBorder="1" applyAlignment="1">
      <alignment horizontal="left"/>
    </xf>
    <xf numFmtId="4" fontId="1" fillId="13" borderId="1" xfId="1" applyNumberFormat="1" applyFont="1" applyFill="1" applyBorder="1"/>
    <xf numFmtId="4" fontId="1" fillId="13" borderId="0" xfId="1" applyNumberFormat="1" applyFont="1" applyFill="1" applyBorder="1"/>
    <xf numFmtId="4" fontId="1" fillId="13" borderId="12" xfId="1" applyNumberFormat="1" applyFont="1" applyFill="1" applyBorder="1"/>
    <xf numFmtId="4" fontId="1" fillId="13" borderId="8" xfId="1" applyNumberFormat="1" applyFont="1" applyFill="1" applyBorder="1"/>
    <xf numFmtId="4" fontId="1" fillId="13" borderId="11" xfId="1" applyNumberFormat="1" applyFont="1" applyFill="1" applyBorder="1"/>
    <xf numFmtId="4" fontId="1" fillId="13" borderId="10" xfId="1" applyNumberFormat="1" applyFont="1" applyFill="1" applyBorder="1"/>
    <xf numFmtId="4" fontId="1" fillId="13" borderId="14" xfId="1" applyNumberFormat="1" applyFont="1" applyFill="1" applyBorder="1"/>
    <xf numFmtId="4" fontId="1" fillId="13" borderId="0" xfId="1" applyNumberFormat="1" applyFont="1" applyFill="1"/>
    <xf numFmtId="0" fontId="1" fillId="13" borderId="0" xfId="1" applyFont="1" applyFill="1"/>
    <xf numFmtId="0" fontId="2" fillId="0" borderId="0" xfId="0" applyFont="1"/>
    <xf numFmtId="4" fontId="4" fillId="0" borderId="1" xfId="1" applyNumberFormat="1" applyFont="1" applyBorder="1"/>
    <xf numFmtId="0" fontId="4" fillId="0" borderId="1" xfId="1" applyFont="1" applyFill="1" applyBorder="1" applyAlignment="1">
      <alignment horizontal="center"/>
    </xf>
    <xf numFmtId="14" fontId="1" fillId="0" borderId="1" xfId="1" applyNumberFormat="1" applyFont="1" applyBorder="1"/>
    <xf numFmtId="14" fontId="1" fillId="0" borderId="1" xfId="1" applyNumberFormat="1" applyFont="1" applyFill="1" applyBorder="1" applyAlignment="1">
      <alignment horizontal="center"/>
    </xf>
    <xf numFmtId="0" fontId="0" fillId="0" borderId="1" xfId="0" applyBorder="1"/>
    <xf numFmtId="0" fontId="2" fillId="0" borderId="20" xfId="0" applyFont="1" applyBorder="1"/>
    <xf numFmtId="0" fontId="0" fillId="0" borderId="21" xfId="0" applyBorder="1"/>
    <xf numFmtId="0" fontId="0" fillId="0" borderId="22" xfId="0" applyBorder="1"/>
    <xf numFmtId="0" fontId="0" fillId="0" borderId="10" xfId="0" applyBorder="1"/>
    <xf numFmtId="0" fontId="0" fillId="0" borderId="11" xfId="0" applyBorder="1"/>
    <xf numFmtId="0" fontId="0" fillId="0" borderId="18" xfId="0" applyBorder="1"/>
    <xf numFmtId="0" fontId="0" fillId="0" borderId="19" xfId="0" applyBorder="1"/>
    <xf numFmtId="0" fontId="0" fillId="0" borderId="24" xfId="0" applyBorder="1"/>
    <xf numFmtId="196" fontId="1" fillId="0" borderId="0" xfId="1" applyNumberFormat="1" applyFont="1"/>
    <xf numFmtId="4" fontId="28" fillId="0" borderId="0" xfId="1" applyNumberFormat="1" applyFont="1"/>
    <xf numFmtId="49" fontId="0" fillId="0" borderId="0" xfId="0" applyNumberFormat="1"/>
    <xf numFmtId="49" fontId="0" fillId="0" borderId="10" xfId="0" applyNumberFormat="1" applyBorder="1"/>
    <xf numFmtId="49" fontId="0" fillId="0" borderId="18" xfId="0" applyNumberFormat="1" applyBorder="1"/>
    <xf numFmtId="49" fontId="15" fillId="0" borderId="20" xfId="0" applyNumberFormat="1" applyFont="1" applyBorder="1"/>
    <xf numFmtId="0" fontId="15" fillId="0" borderId="21" xfId="0" applyFont="1" applyBorder="1"/>
    <xf numFmtId="0" fontId="15" fillId="0" borderId="22" xfId="0" applyFont="1" applyBorder="1"/>
    <xf numFmtId="0" fontId="20" fillId="0" borderId="1" xfId="0" applyFont="1" applyBorder="1" applyAlignment="1" applyProtection="1">
      <alignment wrapText="1"/>
    </xf>
    <xf numFmtId="0" fontId="19" fillId="0" borderId="1" xfId="0" applyFont="1" applyBorder="1" applyAlignment="1" applyProtection="1">
      <alignment horizontal="center"/>
    </xf>
    <xf numFmtId="199" fontId="19" fillId="3" borderId="1" xfId="0" applyNumberFormat="1" applyFont="1" applyFill="1" applyBorder="1" applyAlignment="1" applyProtection="1">
      <alignment horizontal="right"/>
    </xf>
    <xf numFmtId="199" fontId="0" fillId="0" borderId="0" xfId="0" applyNumberFormat="1"/>
    <xf numFmtId="196" fontId="9" fillId="14" borderId="0" xfId="7" applyNumberFormat="1" applyFont="1" applyFill="1" applyAlignment="1"/>
    <xf numFmtId="0" fontId="20" fillId="0" borderId="0" xfId="1" quotePrefix="1" applyFont="1" applyFill="1" applyBorder="1" applyAlignment="1" applyProtection="1">
      <alignment horizontal="center"/>
    </xf>
    <xf numFmtId="49" fontId="20" fillId="0" borderId="0" xfId="1" applyNumberFormat="1" applyFont="1" applyFill="1" applyBorder="1" applyAlignment="1" applyProtection="1"/>
    <xf numFmtId="0" fontId="4" fillId="0" borderId="0" xfId="1" applyFont="1" applyFill="1" applyBorder="1" applyAlignment="1" applyProtection="1"/>
    <xf numFmtId="1" fontId="19" fillId="0" borderId="0" xfId="1" applyNumberFormat="1" applyFont="1" applyFill="1" applyBorder="1" applyAlignment="1" applyProtection="1"/>
    <xf numFmtId="4" fontId="19" fillId="0" borderId="0" xfId="1" applyNumberFormat="1" applyFont="1" applyFill="1" applyBorder="1" applyAlignment="1" applyProtection="1"/>
    <xf numFmtId="1" fontId="4" fillId="0" borderId="0" xfId="1" applyNumberFormat="1" applyFont="1" applyFill="1" applyBorder="1" applyAlignment="1" applyProtection="1"/>
    <xf numFmtId="4" fontId="4" fillId="0" borderId="0" xfId="1" applyNumberFormat="1" applyFont="1" applyFill="1" applyBorder="1" applyAlignment="1" applyProtection="1"/>
    <xf numFmtId="0" fontId="5" fillId="0" borderId="1" xfId="1" applyFont="1" applyBorder="1" applyAlignment="1">
      <alignment horizontal="center" vertical="top" wrapText="1"/>
    </xf>
    <xf numFmtId="0" fontId="5" fillId="0" borderId="1" xfId="1" applyFont="1" applyBorder="1" applyAlignment="1">
      <alignment vertical="top" wrapText="1"/>
    </xf>
    <xf numFmtId="0" fontId="15" fillId="0" borderId="1" xfId="1" applyFont="1" applyBorder="1" applyAlignment="1">
      <alignment horizontal="center"/>
    </xf>
    <xf numFmtId="0" fontId="2" fillId="0" borderId="36" xfId="1" applyFont="1" applyBorder="1" applyAlignment="1">
      <alignment horizontal="center" wrapText="1"/>
    </xf>
    <xf numFmtId="0" fontId="2" fillId="0" borderId="29" xfId="1" applyFont="1" applyBorder="1" applyAlignment="1">
      <alignment horizontal="center" wrapText="1"/>
    </xf>
    <xf numFmtId="0" fontId="2" fillId="0" borderId="1" xfId="1" applyFont="1" applyBorder="1" applyAlignment="1">
      <alignment horizontal="center" wrapText="1"/>
    </xf>
    <xf numFmtId="0" fontId="2" fillId="0" borderId="20" xfId="1" applyFont="1" applyBorder="1" applyAlignment="1">
      <alignment horizontal="center"/>
    </xf>
    <xf numFmtId="0" fontId="2" fillId="0" borderId="21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1" fillId="0" borderId="21" xfId="1" applyFont="1" applyFill="1" applyBorder="1" applyAlignment="1">
      <alignment horizontal="center" wrapText="1"/>
    </xf>
    <xf numFmtId="0" fontId="1" fillId="0" borderId="1" xfId="1" applyFont="1" applyFill="1" applyBorder="1" applyAlignment="1">
      <alignment horizontal="center" wrapText="1"/>
    </xf>
    <xf numFmtId="0" fontId="2" fillId="0" borderId="37" xfId="1" applyFont="1" applyBorder="1" applyAlignment="1">
      <alignment horizontal="center" wrapText="1"/>
    </xf>
    <xf numFmtId="0" fontId="2" fillId="0" borderId="0" xfId="1" applyFont="1" applyBorder="1" applyAlignment="1">
      <alignment horizontal="center" wrapText="1"/>
    </xf>
    <xf numFmtId="0" fontId="1" fillId="11" borderId="0" xfId="1" applyFont="1" applyFill="1" applyAlignment="1">
      <alignment horizontal="center" wrapText="1"/>
    </xf>
    <xf numFmtId="0" fontId="1" fillId="0" borderId="20" xfId="1" applyFont="1" applyBorder="1" applyAlignment="1">
      <alignment horizontal="center" wrapText="1"/>
    </xf>
    <xf numFmtId="0" fontId="1" fillId="0" borderId="21" xfId="1" applyFont="1" applyBorder="1" applyAlignment="1">
      <alignment horizontal="center" wrapText="1"/>
    </xf>
    <xf numFmtId="0" fontId="1" fillId="0" borderId="22" xfId="1" applyFont="1" applyBorder="1" applyAlignment="1">
      <alignment horizontal="center" wrapText="1"/>
    </xf>
    <xf numFmtId="0" fontId="1" fillId="0" borderId="36" xfId="1" applyFont="1" applyBorder="1" applyAlignment="1">
      <alignment horizontal="center" wrapText="1"/>
    </xf>
    <xf numFmtId="0" fontId="1" fillId="0" borderId="29" xfId="1" applyFont="1" applyBorder="1" applyAlignment="1">
      <alignment horizontal="center" wrapText="1"/>
    </xf>
    <xf numFmtId="0" fontId="1" fillId="0" borderId="1" xfId="1" applyFont="1" applyBorder="1" applyAlignment="1">
      <alignment horizontal="center"/>
    </xf>
    <xf numFmtId="0" fontId="1" fillId="0" borderId="1" xfId="1" applyFont="1" applyBorder="1" applyAlignment="1">
      <alignment horizontal="center" wrapText="1"/>
    </xf>
    <xf numFmtId="0" fontId="2" fillId="0" borderId="34" xfId="1" applyFont="1" applyBorder="1" applyAlignment="1">
      <alignment horizontal="center" wrapText="1"/>
    </xf>
    <xf numFmtId="0" fontId="2" fillId="0" borderId="39" xfId="1" applyFont="1" applyBorder="1" applyAlignment="1">
      <alignment horizontal="center" wrapText="1"/>
    </xf>
    <xf numFmtId="0" fontId="1" fillId="0" borderId="39" xfId="1" applyFont="1" applyBorder="1" applyAlignment="1">
      <alignment horizontal="center"/>
    </xf>
    <xf numFmtId="0" fontId="1" fillId="0" borderId="29" xfId="1" applyFont="1" applyBorder="1" applyAlignment="1">
      <alignment horizontal="center"/>
    </xf>
    <xf numFmtId="0" fontId="1" fillId="0" borderId="22" xfId="1" applyFont="1" applyFill="1" applyBorder="1" applyAlignment="1">
      <alignment horizontal="center" wrapText="1"/>
    </xf>
    <xf numFmtId="0" fontId="1" fillId="0" borderId="11" xfId="1" applyFont="1" applyFill="1" applyBorder="1" applyAlignment="1">
      <alignment horizontal="center" wrapText="1"/>
    </xf>
    <xf numFmtId="0" fontId="1" fillId="0" borderId="14" xfId="1" applyNumberFormat="1" applyFont="1" applyBorder="1" applyAlignment="1">
      <alignment horizontal="center" wrapText="1"/>
    </xf>
    <xf numFmtId="0" fontId="2" fillId="0" borderId="8" xfId="1" applyFont="1" applyBorder="1" applyAlignment="1">
      <alignment horizontal="center" wrapText="1"/>
    </xf>
    <xf numFmtId="0" fontId="1" fillId="0" borderId="20" xfId="1" applyFont="1" applyFill="1" applyBorder="1" applyAlignment="1">
      <alignment horizontal="center" wrapText="1"/>
    </xf>
    <xf numFmtId="0" fontId="1" fillId="0" borderId="10" xfId="1" applyFont="1" applyFill="1" applyBorder="1" applyAlignment="1">
      <alignment horizontal="center" wrapText="1"/>
    </xf>
    <xf numFmtId="0" fontId="2" fillId="0" borderId="12" xfId="1" applyFont="1" applyBorder="1" applyAlignment="1">
      <alignment horizontal="center" wrapText="1"/>
    </xf>
    <xf numFmtId="0" fontId="2" fillId="0" borderId="11" xfId="1" applyFont="1" applyBorder="1" applyAlignment="1">
      <alignment horizontal="center" wrapText="1"/>
    </xf>
    <xf numFmtId="0" fontId="2" fillId="0" borderId="8" xfId="1" applyNumberFormat="1" applyFont="1" applyBorder="1" applyAlignment="1">
      <alignment horizontal="center" wrapText="1"/>
    </xf>
    <xf numFmtId="4" fontId="2" fillId="0" borderId="37" xfId="1" applyNumberFormat="1" applyFont="1" applyBorder="1" applyAlignment="1">
      <alignment horizontal="center" wrapText="1"/>
    </xf>
    <xf numFmtId="4" fontId="2" fillId="0" borderId="0" xfId="1" applyNumberFormat="1" applyFont="1" applyBorder="1" applyAlignment="1">
      <alignment horizontal="center" wrapText="1"/>
    </xf>
    <xf numFmtId="0" fontId="2" fillId="0" borderId="38" xfId="1" applyFont="1" applyBorder="1" applyAlignment="1">
      <alignment horizontal="center" wrapText="1"/>
    </xf>
    <xf numFmtId="0" fontId="2" fillId="0" borderId="3" xfId="1" applyFont="1" applyBorder="1" applyAlignment="1">
      <alignment horizontal="center" wrapText="1"/>
    </xf>
    <xf numFmtId="4" fontId="2" fillId="0" borderId="36" xfId="1" applyNumberFormat="1" applyFont="1" applyBorder="1" applyAlignment="1">
      <alignment horizontal="center" wrapText="1"/>
    </xf>
    <xf numFmtId="4" fontId="2" fillId="0" borderId="29" xfId="1" applyNumberFormat="1" applyFont="1" applyBorder="1" applyAlignment="1">
      <alignment horizontal="center" wrapText="1"/>
    </xf>
    <xf numFmtId="0" fontId="1" fillId="5" borderId="1" xfId="1" applyFont="1" applyFill="1" applyBorder="1" applyAlignment="1">
      <alignment horizontal="center"/>
    </xf>
    <xf numFmtId="0" fontId="2" fillId="5" borderId="1" xfId="1" applyFont="1" applyFill="1" applyBorder="1" applyAlignment="1">
      <alignment horizontal="center"/>
    </xf>
    <xf numFmtId="0" fontId="1" fillId="9" borderId="10" xfId="1" applyFont="1" applyFill="1" applyBorder="1" applyAlignment="1">
      <alignment horizontal="center"/>
    </xf>
    <xf numFmtId="0" fontId="1" fillId="9" borderId="1" xfId="1" applyFont="1" applyFill="1" applyBorder="1" applyAlignment="1">
      <alignment horizontal="center"/>
    </xf>
    <xf numFmtId="0" fontId="1" fillId="9" borderId="11" xfId="1" applyFont="1" applyFill="1" applyBorder="1" applyAlignment="1">
      <alignment horizontal="center"/>
    </xf>
    <xf numFmtId="0" fontId="1" fillId="2" borderId="1" xfId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8" xfId="1" applyFont="1" applyFill="1" applyBorder="1" applyAlignment="1">
      <alignment horizontal="center"/>
    </xf>
    <xf numFmtId="0" fontId="1" fillId="7" borderId="1" xfId="1" applyFont="1" applyFill="1" applyBorder="1" applyAlignment="1">
      <alignment horizontal="center"/>
    </xf>
    <xf numFmtId="0" fontId="1" fillId="8" borderId="1" xfId="1" applyFont="1" applyFill="1" applyBorder="1" applyAlignment="1">
      <alignment horizontal="center"/>
    </xf>
    <xf numFmtId="0" fontId="1" fillId="6" borderId="20" xfId="1" applyFont="1" applyFill="1" applyBorder="1" applyAlignment="1">
      <alignment horizontal="center"/>
    </xf>
    <xf numFmtId="0" fontId="1" fillId="6" borderId="21" xfId="1" applyFont="1" applyFill="1" applyBorder="1" applyAlignment="1">
      <alignment horizontal="center"/>
    </xf>
    <xf numFmtId="0" fontId="1" fillId="6" borderId="22" xfId="1" applyFont="1" applyFill="1" applyBorder="1" applyAlignment="1">
      <alignment horizontal="center"/>
    </xf>
    <xf numFmtId="0" fontId="1" fillId="2" borderId="8" xfId="1" applyFont="1" applyFill="1" applyBorder="1" applyAlignment="1">
      <alignment horizontal="center"/>
    </xf>
    <xf numFmtId="0" fontId="1" fillId="8" borderId="14" xfId="1" applyFont="1" applyFill="1" applyBorder="1" applyAlignment="1">
      <alignment horizontal="center"/>
    </xf>
    <xf numFmtId="0" fontId="2" fillId="8" borderId="1" xfId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33" xfId="1" applyFont="1" applyFill="1" applyBorder="1" applyAlignment="1">
      <alignment horizontal="center"/>
    </xf>
    <xf numFmtId="0" fontId="1" fillId="0" borderId="37" xfId="1" applyFont="1" applyBorder="1" applyAlignment="1">
      <alignment horizontal="center" wrapText="1"/>
    </xf>
    <xf numFmtId="0" fontId="1" fillId="0" borderId="0" xfId="1" applyFont="1" applyBorder="1" applyAlignment="1">
      <alignment horizontal="center" wrapText="1"/>
    </xf>
    <xf numFmtId="0" fontId="1" fillId="0" borderId="15" xfId="1" applyFont="1" applyBorder="1" applyAlignment="1">
      <alignment horizontal="center"/>
    </xf>
    <xf numFmtId="0" fontId="1" fillId="0" borderId="16" xfId="1" applyFont="1" applyBorder="1" applyAlignment="1">
      <alignment horizontal="center"/>
    </xf>
    <xf numFmtId="0" fontId="1" fillId="0" borderId="17" xfId="1" applyFont="1" applyBorder="1" applyAlignment="1">
      <alignment horizontal="center"/>
    </xf>
    <xf numFmtId="4" fontId="1" fillId="0" borderId="37" xfId="1" applyNumberFormat="1" applyFont="1" applyBorder="1" applyAlignment="1">
      <alignment horizontal="center" wrapText="1"/>
    </xf>
    <xf numFmtId="4" fontId="1" fillId="0" borderId="0" xfId="1" applyNumberFormat="1" applyFont="1" applyBorder="1" applyAlignment="1">
      <alignment horizontal="center" wrapText="1"/>
    </xf>
    <xf numFmtId="0" fontId="2" fillId="0" borderId="13" xfId="1" applyFont="1" applyBorder="1" applyAlignment="1">
      <alignment horizontal="center" wrapText="1"/>
    </xf>
    <xf numFmtId="0" fontId="2" fillId="0" borderId="40" xfId="1" applyFont="1" applyBorder="1" applyAlignment="1">
      <alignment horizontal="center" wrapText="1"/>
    </xf>
    <xf numFmtId="4" fontId="1" fillId="0" borderId="41" xfId="1" applyNumberFormat="1" applyFont="1" applyBorder="1" applyAlignment="1">
      <alignment horizontal="center" wrapText="1"/>
    </xf>
    <xf numFmtId="0" fontId="1" fillId="0" borderId="38" xfId="1" applyFont="1" applyBorder="1" applyAlignment="1">
      <alignment horizontal="center" wrapText="1"/>
    </xf>
    <xf numFmtId="0" fontId="1" fillId="0" borderId="3" xfId="1" applyFont="1" applyBorder="1" applyAlignment="1">
      <alignment horizontal="center" wrapText="1"/>
    </xf>
    <xf numFmtId="4" fontId="1" fillId="0" borderId="2" xfId="1" applyNumberFormat="1" applyFont="1" applyBorder="1" applyAlignment="1">
      <alignment horizontal="center" wrapText="1"/>
    </xf>
    <xf numFmtId="0" fontId="1" fillId="0" borderId="20" xfId="1" applyFont="1" applyBorder="1" applyAlignment="1">
      <alignment horizontal="center"/>
    </xf>
    <xf numFmtId="0" fontId="1" fillId="0" borderId="21" xfId="1" applyFont="1" applyBorder="1" applyAlignment="1">
      <alignment horizontal="center"/>
    </xf>
    <xf numFmtId="0" fontId="1" fillId="0" borderId="22" xfId="1" applyFont="1" applyBorder="1" applyAlignment="1">
      <alignment horizontal="center"/>
    </xf>
    <xf numFmtId="4" fontId="16" fillId="0" borderId="27" xfId="6" applyNumberFormat="1" applyFont="1" applyBorder="1" applyAlignment="1" applyProtection="1">
      <alignment horizontal="center" vertical="center" wrapText="1"/>
    </xf>
    <xf numFmtId="4" fontId="16" fillId="0" borderId="42" xfId="6" applyNumberFormat="1" applyFont="1" applyBorder="1" applyAlignment="1" applyProtection="1">
      <alignment horizontal="center" vertical="center" wrapText="1"/>
    </xf>
    <xf numFmtId="0" fontId="16" fillId="0" borderId="27" xfId="6" applyFont="1" applyBorder="1" applyAlignment="1" applyProtection="1">
      <alignment horizontal="center" vertical="center" wrapText="1"/>
    </xf>
    <xf numFmtId="0" fontId="16" fillId="0" borderId="16" xfId="6" applyFont="1" applyBorder="1" applyAlignment="1" applyProtection="1">
      <alignment horizontal="center" vertical="center" wrapText="1"/>
    </xf>
    <xf numFmtId="4" fontId="16" fillId="0" borderId="16" xfId="6" applyNumberFormat="1" applyFont="1" applyBorder="1" applyAlignment="1" applyProtection="1">
      <alignment horizontal="center" vertical="center" wrapText="1"/>
    </xf>
    <xf numFmtId="4" fontId="16" fillId="10" borderId="27" xfId="6" applyNumberFormat="1" applyFont="1" applyFill="1" applyBorder="1" applyAlignment="1" applyProtection="1">
      <alignment horizontal="center" vertical="center" wrapText="1"/>
    </xf>
    <xf numFmtId="4" fontId="16" fillId="10" borderId="42" xfId="6" applyNumberFormat="1" applyFont="1" applyFill="1" applyBorder="1" applyAlignment="1" applyProtection="1">
      <alignment horizontal="center" vertical="center" wrapText="1"/>
    </xf>
    <xf numFmtId="4" fontId="16" fillId="10" borderId="16" xfId="6" applyNumberFormat="1" applyFont="1" applyFill="1" applyBorder="1" applyAlignment="1" applyProtection="1">
      <alignment horizontal="center" vertical="center" wrapText="1"/>
    </xf>
    <xf numFmtId="4" fontId="20" fillId="10" borderId="34" xfId="1" applyNumberFormat="1" applyFont="1" applyFill="1" applyBorder="1" applyAlignment="1" applyProtection="1">
      <alignment horizontal="center" vertical="center" wrapText="1"/>
    </xf>
    <xf numFmtId="4" fontId="20" fillId="10" borderId="40" xfId="1" applyNumberFormat="1" applyFont="1" applyFill="1" applyBorder="1" applyAlignment="1" applyProtection="1">
      <alignment horizontal="center" vertical="center" wrapText="1"/>
    </xf>
    <xf numFmtId="4" fontId="20" fillId="10" borderId="39" xfId="1" applyNumberFormat="1" applyFont="1" applyFill="1" applyBorder="1" applyAlignment="1" applyProtection="1">
      <alignment horizontal="center" vertical="center" wrapText="1"/>
    </xf>
    <xf numFmtId="4" fontId="20" fillId="10" borderId="25" xfId="1" applyNumberFormat="1" applyFont="1" applyFill="1" applyBorder="1" applyAlignment="1" applyProtection="1">
      <alignment horizontal="center" vertical="center" wrapText="1"/>
    </xf>
    <xf numFmtId="1" fontId="20" fillId="10" borderId="33" xfId="1" applyNumberFormat="1" applyFont="1" applyFill="1" applyBorder="1" applyAlignment="1" applyProtection="1">
      <alignment horizontal="center" vertical="center" wrapText="1"/>
    </xf>
    <xf numFmtId="1" fontId="20" fillId="10" borderId="9" xfId="1" applyNumberFormat="1" applyFont="1" applyFill="1" applyBorder="1" applyAlignment="1" applyProtection="1">
      <alignment horizontal="center" vertical="center" wrapText="1"/>
    </xf>
    <xf numFmtId="4" fontId="20" fillId="10" borderId="33" xfId="1" applyNumberFormat="1" applyFont="1" applyFill="1" applyBorder="1" applyAlignment="1" applyProtection="1">
      <alignment horizontal="center" vertical="center" wrapText="1"/>
    </xf>
    <xf numFmtId="4" fontId="20" fillId="10" borderId="9" xfId="1" applyNumberFormat="1" applyFont="1" applyFill="1" applyBorder="1" applyAlignment="1" applyProtection="1">
      <alignment horizontal="center" vertical="center" wrapText="1"/>
    </xf>
    <xf numFmtId="4" fontId="20" fillId="10" borderId="7" xfId="1" applyNumberFormat="1" applyFont="1" applyFill="1" applyBorder="1" applyAlignment="1" applyProtection="1">
      <alignment horizontal="center" vertical="center" wrapText="1"/>
    </xf>
    <xf numFmtId="4" fontId="20" fillId="10" borderId="36" xfId="1" applyNumberFormat="1" applyFont="1" applyFill="1" applyBorder="1" applyAlignment="1" applyProtection="1">
      <alignment horizontal="center" vertical="center" wrapText="1"/>
    </xf>
    <xf numFmtId="4" fontId="20" fillId="10" borderId="29" xfId="1" applyNumberFormat="1" applyFont="1" applyFill="1" applyBorder="1" applyAlignment="1" applyProtection="1">
      <alignment horizontal="center" vertical="center" wrapText="1"/>
    </xf>
    <xf numFmtId="1" fontId="20" fillId="10" borderId="40" xfId="1" applyNumberFormat="1" applyFont="1" applyFill="1" applyBorder="1" applyAlignment="1" applyProtection="1">
      <alignment horizontal="center" vertical="center" wrapText="1"/>
    </xf>
    <xf numFmtId="4" fontId="20" fillId="8" borderId="33" xfId="1" applyNumberFormat="1" applyFont="1" applyFill="1" applyBorder="1" applyAlignment="1" applyProtection="1">
      <alignment horizontal="center" vertical="center" wrapText="1"/>
    </xf>
    <xf numFmtId="4" fontId="20" fillId="8" borderId="7" xfId="1" applyNumberFormat="1" applyFont="1" applyFill="1" applyBorder="1" applyAlignment="1" applyProtection="1">
      <alignment horizontal="center" vertical="center" wrapText="1"/>
    </xf>
    <xf numFmtId="4" fontId="20" fillId="8" borderId="9" xfId="1" applyNumberFormat="1" applyFont="1" applyFill="1" applyBorder="1" applyAlignment="1" applyProtection="1">
      <alignment horizontal="center" vertical="center" wrapText="1"/>
    </xf>
    <xf numFmtId="4" fontId="16" fillId="10" borderId="1" xfId="6" applyNumberFormat="1" applyFont="1" applyFill="1" applyBorder="1" applyAlignment="1" applyProtection="1">
      <alignment horizontal="center" vertical="center" wrapText="1"/>
    </xf>
    <xf numFmtId="4" fontId="21" fillId="10" borderId="1" xfId="6" applyNumberFormat="1" applyFont="1" applyFill="1" applyBorder="1" applyAlignment="1" applyProtection="1">
      <alignment horizontal="center" vertical="center" wrapText="1"/>
    </xf>
    <xf numFmtId="4" fontId="21" fillId="10" borderId="8" xfId="6" applyNumberFormat="1" applyFont="1" applyFill="1" applyBorder="1" applyAlignment="1" applyProtection="1">
      <alignment horizontal="center" vertical="center" wrapText="1"/>
    </xf>
    <xf numFmtId="4" fontId="20" fillId="8" borderId="36" xfId="1" applyNumberFormat="1" applyFont="1" applyFill="1" applyBorder="1" applyAlignment="1" applyProtection="1">
      <alignment horizontal="center" vertical="center" wrapText="1"/>
    </xf>
    <xf numFmtId="4" fontId="20" fillId="8" borderId="40" xfId="1" applyNumberFormat="1" applyFont="1" applyFill="1" applyBorder="1" applyAlignment="1" applyProtection="1">
      <alignment horizontal="center" vertical="center" wrapText="1"/>
    </xf>
    <xf numFmtId="4" fontId="20" fillId="8" borderId="29" xfId="1" applyNumberFormat="1" applyFont="1" applyFill="1" applyBorder="1" applyAlignment="1" applyProtection="1">
      <alignment horizontal="center" vertical="center" wrapText="1"/>
    </xf>
    <xf numFmtId="4" fontId="20" fillId="8" borderId="25" xfId="1" applyNumberFormat="1" applyFont="1" applyFill="1" applyBorder="1" applyAlignment="1" applyProtection="1">
      <alignment horizontal="center" vertical="center" wrapText="1"/>
    </xf>
    <xf numFmtId="4" fontId="20" fillId="8" borderId="34" xfId="1" applyNumberFormat="1" applyFont="1" applyFill="1" applyBorder="1" applyAlignment="1" applyProtection="1">
      <alignment horizontal="center" vertical="center" wrapText="1"/>
    </xf>
    <xf numFmtId="4" fontId="20" fillId="8" borderId="39" xfId="1" applyNumberFormat="1" applyFont="1" applyFill="1" applyBorder="1" applyAlignment="1" applyProtection="1">
      <alignment horizontal="center" vertical="center" wrapText="1"/>
    </xf>
    <xf numFmtId="4" fontId="20" fillId="6" borderId="36" xfId="1" applyNumberFormat="1" applyFont="1" applyFill="1" applyBorder="1" applyAlignment="1" applyProtection="1">
      <alignment horizontal="center" vertical="center" wrapText="1"/>
    </xf>
    <xf numFmtId="4" fontId="20" fillId="6" borderId="40" xfId="1" applyNumberFormat="1" applyFont="1" applyFill="1" applyBorder="1" applyAlignment="1" applyProtection="1">
      <alignment horizontal="center" vertical="center" wrapText="1"/>
    </xf>
    <xf numFmtId="4" fontId="20" fillId="6" borderId="29" xfId="1" applyNumberFormat="1" applyFont="1" applyFill="1" applyBorder="1" applyAlignment="1" applyProtection="1">
      <alignment horizontal="center" vertical="center" wrapText="1"/>
    </xf>
    <xf numFmtId="4" fontId="20" fillId="6" borderId="25" xfId="1" applyNumberFormat="1" applyFont="1" applyFill="1" applyBorder="1" applyAlignment="1" applyProtection="1">
      <alignment horizontal="center" vertical="center" wrapText="1"/>
    </xf>
    <xf numFmtId="4" fontId="20" fillId="6" borderId="34" xfId="1" applyNumberFormat="1" applyFont="1" applyFill="1" applyBorder="1" applyAlignment="1" applyProtection="1">
      <alignment horizontal="center" vertical="center" wrapText="1"/>
    </xf>
    <xf numFmtId="4" fontId="20" fillId="6" borderId="39" xfId="1" applyNumberFormat="1" applyFont="1" applyFill="1" applyBorder="1" applyAlignment="1" applyProtection="1">
      <alignment horizontal="center" vertical="center" wrapText="1"/>
    </xf>
    <xf numFmtId="1" fontId="20" fillId="8" borderId="40" xfId="1" applyNumberFormat="1" applyFont="1" applyFill="1" applyBorder="1" applyAlignment="1" applyProtection="1">
      <alignment horizontal="center" vertical="center" wrapText="1"/>
    </xf>
    <xf numFmtId="1" fontId="20" fillId="8" borderId="25" xfId="1" applyNumberFormat="1" applyFont="1" applyFill="1" applyBorder="1" applyAlignment="1" applyProtection="1">
      <alignment horizontal="center" vertical="center" wrapText="1"/>
    </xf>
    <xf numFmtId="1" fontId="20" fillId="8" borderId="33" xfId="1" applyNumberFormat="1" applyFont="1" applyFill="1" applyBorder="1" applyAlignment="1" applyProtection="1">
      <alignment horizontal="center" vertical="center" wrapText="1"/>
    </xf>
    <xf numFmtId="1" fontId="20" fillId="8" borderId="9" xfId="1" applyNumberFormat="1" applyFont="1" applyFill="1" applyBorder="1" applyAlignment="1" applyProtection="1">
      <alignment horizontal="center" vertical="center" wrapText="1"/>
    </xf>
    <xf numFmtId="4" fontId="20" fillId="6" borderId="33" xfId="1" applyNumberFormat="1" applyFont="1" applyFill="1" applyBorder="1" applyAlignment="1" applyProtection="1">
      <alignment horizontal="center" vertical="center" wrapText="1"/>
    </xf>
    <xf numFmtId="4" fontId="20" fillId="6" borderId="7" xfId="1" applyNumberFormat="1" applyFont="1" applyFill="1" applyBorder="1" applyAlignment="1" applyProtection="1">
      <alignment horizontal="center" vertical="center" wrapText="1"/>
    </xf>
    <xf numFmtId="4" fontId="20" fillId="6" borderId="9" xfId="1" applyNumberFormat="1" applyFont="1" applyFill="1" applyBorder="1" applyAlignment="1" applyProtection="1">
      <alignment horizontal="center" vertical="center" wrapText="1"/>
    </xf>
  </cellXfs>
  <cellStyles count="8">
    <cellStyle name="Ђ_x0005_" xfId="1"/>
    <cellStyle name="Обычный" xfId="0" builtinId="0"/>
    <cellStyle name="Обычный 2" xfId="2"/>
    <cellStyle name="Обычный 3" xfId="3"/>
    <cellStyle name="Обычный_На 1.1.98" xfId="4"/>
    <cellStyle name="Обычный_Отделения" xfId="5"/>
    <cellStyle name="Обычный_Отчет" xfId="6"/>
    <cellStyle name="Финансовый" xfId="7" builtinId="3"/>
  </cellStyles>
  <dxfs count="27"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1127760</xdr:colOff>
          <xdr:row>26</xdr:row>
          <xdr:rowOff>30480</xdr:rowOff>
        </xdr:from>
        <xdr:to>
          <xdr:col>1</xdr:col>
          <xdr:colOff>525780</xdr:colOff>
          <xdr:row>27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7-106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220980</xdr:rowOff>
        </xdr:from>
        <xdr:to>
          <xdr:col>1</xdr:col>
          <xdr:colOff>419100</xdr:colOff>
          <xdr:row>3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Выделить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3</xdr:row>
          <xdr:rowOff>205740</xdr:rowOff>
        </xdr:from>
        <xdr:to>
          <xdr:col>3</xdr:col>
          <xdr:colOff>144780</xdr:colOff>
          <xdr:row>3</xdr:row>
          <xdr:rowOff>411480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Снять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3</xdr:row>
          <xdr:rowOff>495300</xdr:rowOff>
        </xdr:from>
        <xdr:to>
          <xdr:col>0</xdr:col>
          <xdr:colOff>617220</xdr:colOff>
          <xdr:row>3</xdr:row>
          <xdr:rowOff>662940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</xdr:row>
          <xdr:rowOff>487680</xdr:rowOff>
        </xdr:from>
        <xdr:to>
          <xdr:col>1</xdr:col>
          <xdr:colOff>617220</xdr:colOff>
          <xdr:row>3</xdr:row>
          <xdr:rowOff>655320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617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3</xdr:row>
          <xdr:rowOff>472440</xdr:rowOff>
        </xdr:from>
        <xdr:to>
          <xdr:col>2</xdr:col>
          <xdr:colOff>617220</xdr:colOff>
          <xdr:row>3</xdr:row>
          <xdr:rowOff>655320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618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403860</xdr:colOff>
          <xdr:row>3</xdr:row>
          <xdr:rowOff>381000</xdr:rowOff>
        </xdr:from>
        <xdr:to>
          <xdr:col>4</xdr:col>
          <xdr:colOff>647700</xdr:colOff>
          <xdr:row>3</xdr:row>
          <xdr:rowOff>594360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КРПУ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830580</xdr:colOff>
          <xdr:row>3</xdr:row>
          <xdr:rowOff>38100</xdr:rowOff>
        </xdr:from>
        <xdr:to>
          <xdr:col>5</xdr:col>
          <xdr:colOff>579120</xdr:colOff>
          <xdr:row>3</xdr:row>
          <xdr:rowOff>243840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Баланса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998220</xdr:colOff>
          <xdr:row>3</xdr:row>
          <xdr:rowOff>381000</xdr:rowOff>
        </xdr:from>
        <xdr:to>
          <xdr:col>8</xdr:col>
          <xdr:colOff>685800</xdr:colOff>
          <xdr:row>3</xdr:row>
          <xdr:rowOff>594360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неоднородных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403860</xdr:colOff>
          <xdr:row>3</xdr:row>
          <xdr:rowOff>45720</xdr:rowOff>
        </xdr:from>
        <xdr:to>
          <xdr:col>4</xdr:col>
          <xdr:colOff>647700</xdr:colOff>
          <xdr:row>3</xdr:row>
          <xdr:rowOff>259080</xdr:rowOff>
        </xdr:to>
        <xdr:sp macro="" textlink="">
          <xdr:nvSpPr>
            <xdr:cNvPr id="5162" name="Button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Исправить КРПУ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990600</xdr:colOff>
          <xdr:row>3</xdr:row>
          <xdr:rowOff>83820</xdr:rowOff>
        </xdr:from>
        <xdr:to>
          <xdr:col>8</xdr:col>
          <xdr:colOff>701040</xdr:colOff>
          <xdr:row>3</xdr:row>
          <xdr:rowOff>297180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портфелей е/д резерва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922020</xdr:colOff>
          <xdr:row>3</xdr:row>
          <xdr:rowOff>76200</xdr:rowOff>
        </xdr:from>
        <xdr:to>
          <xdr:col>9</xdr:col>
          <xdr:colOff>937260</xdr:colOff>
          <xdr:row>3</xdr:row>
          <xdr:rowOff>281940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7-11 Оперативная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922020</xdr:colOff>
          <xdr:row>3</xdr:row>
          <xdr:rowOff>358140</xdr:rowOff>
        </xdr:from>
        <xdr:to>
          <xdr:col>9</xdr:col>
          <xdr:colOff>937260</xdr:colOff>
          <xdr:row>3</xdr:row>
          <xdr:rowOff>571500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7-11 Месяц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68580</xdr:colOff>
          <xdr:row>1</xdr:row>
          <xdr:rowOff>121920</xdr:rowOff>
        </xdr:from>
        <xdr:to>
          <xdr:col>52</xdr:col>
          <xdr:colOff>1318260</xdr:colOff>
          <xdr:row>3</xdr:row>
          <xdr:rowOff>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INFL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1043940</xdr:colOff>
          <xdr:row>3</xdr:row>
          <xdr:rowOff>53340</xdr:rowOff>
        </xdr:from>
        <xdr:to>
          <xdr:col>10</xdr:col>
          <xdr:colOff>1082040</xdr:colOff>
          <xdr:row>3</xdr:row>
          <xdr:rowOff>266700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7-105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1104900</xdr:colOff>
          <xdr:row>3</xdr:row>
          <xdr:rowOff>373380</xdr:rowOff>
        </xdr:from>
        <xdr:to>
          <xdr:col>10</xdr:col>
          <xdr:colOff>1135380</xdr:colOff>
          <xdr:row>3</xdr:row>
          <xdr:rowOff>579120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13МСФО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48</xdr:row>
          <xdr:rowOff>91440</xdr:rowOff>
        </xdr:from>
        <xdr:to>
          <xdr:col>2</xdr:col>
          <xdr:colOff>594360</xdr:colOff>
          <xdr:row>49</xdr:row>
          <xdr:rowOff>137160</xdr:rowOff>
        </xdr:to>
        <xdr:sp macro="" textlink="">
          <xdr:nvSpPr>
            <xdr:cNvPr id="5253" name="Button 133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Заполнить шаблон 711М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243840</xdr:colOff>
          <xdr:row>3</xdr:row>
          <xdr:rowOff>342900</xdr:rowOff>
        </xdr:from>
        <xdr:to>
          <xdr:col>12</xdr:col>
          <xdr:colOff>342900</xdr:colOff>
          <xdr:row>3</xdr:row>
          <xdr:rowOff>556260</xdr:rowOff>
        </xdr:to>
        <xdr:sp macro="" textlink="">
          <xdr:nvSpPr>
            <xdr:cNvPr id="5267" name="Button 147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</xdr:row>
          <xdr:rowOff>60960</xdr:rowOff>
        </xdr:from>
        <xdr:to>
          <xdr:col>3</xdr:col>
          <xdr:colOff>0</xdr:colOff>
          <xdr:row>3</xdr:row>
          <xdr:rowOff>106680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Групповая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792480</xdr:colOff>
          <xdr:row>3</xdr:row>
          <xdr:rowOff>396240</xdr:rowOff>
        </xdr:from>
        <xdr:to>
          <xdr:col>5</xdr:col>
          <xdr:colOff>541020</xdr:colOff>
          <xdr:row>3</xdr:row>
          <xdr:rowOff>609600</xdr:rowOff>
        </xdr:to>
        <xdr:sp macro="" textlink="">
          <xdr:nvSpPr>
            <xdr:cNvPr id="5300" name="Button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KRVS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0</xdr:row>
          <xdr:rowOff>99060</xdr:rowOff>
        </xdr:from>
        <xdr:to>
          <xdr:col>10</xdr:col>
          <xdr:colOff>335280</xdr:colOff>
          <xdr:row>1</xdr:row>
          <xdr:rowOff>144780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Изм доходности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243840</xdr:colOff>
          <xdr:row>3</xdr:row>
          <xdr:rowOff>45720</xdr:rowOff>
        </xdr:from>
        <xdr:to>
          <xdr:col>12</xdr:col>
          <xdr:colOff>342900</xdr:colOff>
          <xdr:row>3</xdr:row>
          <xdr:rowOff>259080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23 МСФО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586740</xdr:colOff>
          <xdr:row>0</xdr:row>
          <xdr:rowOff>129540</xdr:rowOff>
        </xdr:from>
        <xdr:to>
          <xdr:col>11</xdr:col>
          <xdr:colOff>472440</xdr:colOff>
          <xdr:row>2</xdr:row>
          <xdr:rowOff>7620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6-7 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967740</xdr:colOff>
          <xdr:row>0</xdr:row>
          <xdr:rowOff>121920</xdr:rowOff>
        </xdr:from>
        <xdr:to>
          <xdr:col>13</xdr:col>
          <xdr:colOff>22860</xdr:colOff>
          <xdr:row>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6-20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2</xdr:row>
          <xdr:rowOff>0</xdr:rowOff>
        </xdr:from>
        <xdr:to>
          <xdr:col>7</xdr:col>
          <xdr:colOff>1089660</xdr:colOff>
          <xdr:row>3</xdr:row>
          <xdr:rowOff>45720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7-10 из КРПУ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0</xdr:row>
          <xdr:rowOff>91440</xdr:rowOff>
        </xdr:from>
        <xdr:to>
          <xdr:col>14</xdr:col>
          <xdr:colOff>342900</xdr:colOff>
          <xdr:row>1</xdr:row>
          <xdr:rowOff>137160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6-22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1</xdr:row>
          <xdr:rowOff>45720</xdr:rowOff>
        </xdr:from>
        <xdr:to>
          <xdr:col>5</xdr:col>
          <xdr:colOff>228600</xdr:colOff>
          <xdr:row>2</xdr:row>
          <xdr:rowOff>99060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Кат кл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220980</xdr:rowOff>
        </xdr:from>
        <xdr:to>
          <xdr:col>1</xdr:col>
          <xdr:colOff>419100</xdr:colOff>
          <xdr:row>3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Выделить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3</xdr:row>
          <xdr:rowOff>205740</xdr:rowOff>
        </xdr:from>
        <xdr:to>
          <xdr:col>3</xdr:col>
          <xdr:colOff>144780</xdr:colOff>
          <xdr:row>3</xdr:row>
          <xdr:rowOff>411480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Снять все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3</xdr:row>
          <xdr:rowOff>495300</xdr:rowOff>
        </xdr:from>
        <xdr:to>
          <xdr:col>0</xdr:col>
          <xdr:colOff>617220</xdr:colOff>
          <xdr:row>3</xdr:row>
          <xdr:rowOff>662940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</xdr:row>
          <xdr:rowOff>487680</xdr:rowOff>
        </xdr:from>
        <xdr:to>
          <xdr:col>1</xdr:col>
          <xdr:colOff>617220</xdr:colOff>
          <xdr:row>3</xdr:row>
          <xdr:rowOff>655320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617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3</xdr:row>
          <xdr:rowOff>472440</xdr:rowOff>
        </xdr:from>
        <xdr:to>
          <xdr:col>2</xdr:col>
          <xdr:colOff>617220</xdr:colOff>
          <xdr:row>3</xdr:row>
          <xdr:rowOff>655320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618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99060</xdr:rowOff>
        </xdr:from>
        <xdr:to>
          <xdr:col>4</xdr:col>
          <xdr:colOff>960120</xdr:colOff>
          <xdr:row>3</xdr:row>
          <xdr:rowOff>144780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 лист Счета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251460</xdr:colOff>
          <xdr:row>3</xdr:row>
          <xdr:rowOff>205740</xdr:rowOff>
        </xdr:from>
        <xdr:to>
          <xdr:col>4</xdr:col>
          <xdr:colOff>990600</xdr:colOff>
          <xdr:row>3</xdr:row>
          <xdr:rowOff>419100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Консолидировать 12а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1158240</xdr:colOff>
          <xdr:row>2</xdr:row>
          <xdr:rowOff>121920</xdr:rowOff>
        </xdr:from>
        <xdr:to>
          <xdr:col>5</xdr:col>
          <xdr:colOff>1470660</xdr:colOff>
          <xdr:row>3</xdr:row>
          <xdr:rowOff>160020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Оборот и остаток по резерву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1158240</xdr:colOff>
          <xdr:row>3</xdr:row>
          <xdr:rowOff>236220</xdr:rowOff>
        </xdr:from>
        <xdr:to>
          <xdr:col>5</xdr:col>
          <xdr:colOff>1470660</xdr:colOff>
          <xdr:row>3</xdr:row>
          <xdr:rowOff>449580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из КРПУ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533400</xdr:colOff>
          <xdr:row>3</xdr:row>
          <xdr:rowOff>320040</xdr:rowOff>
        </xdr:from>
        <xdr:to>
          <xdr:col>32</xdr:col>
          <xdr:colOff>1226820</xdr:colOff>
          <xdr:row>3</xdr:row>
          <xdr:rowOff>533400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из RVPS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1249680</xdr:colOff>
          <xdr:row>3</xdr:row>
          <xdr:rowOff>518160</xdr:rowOff>
        </xdr:from>
        <xdr:to>
          <xdr:col>5</xdr:col>
          <xdr:colOff>1554480</xdr:colOff>
          <xdr:row>3</xdr:row>
          <xdr:rowOff>723900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из RVPS на ПОД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434340</xdr:colOff>
          <xdr:row>0</xdr:row>
          <xdr:rowOff>60960</xdr:rowOff>
        </xdr:from>
        <xdr:to>
          <xdr:col>10</xdr:col>
          <xdr:colOff>274320</xdr:colOff>
          <xdr:row>2</xdr:row>
          <xdr:rowOff>76200</xdr:rowOff>
        </xdr:to>
        <xdr:sp macro="" textlink="">
          <xdr:nvSpPr>
            <xdr:cNvPr id="11320" name="Butto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Консолидировать 12а из RVPS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40</xdr:row>
          <xdr:rowOff>114300</xdr:rowOff>
        </xdr:from>
        <xdr:to>
          <xdr:col>2</xdr:col>
          <xdr:colOff>441960</xdr:colOff>
          <xdr:row>41</xdr:row>
          <xdr:rowOff>121920</xdr:rowOff>
        </xdr:to>
        <xdr:sp macro="" textlink="">
          <xdr:nvSpPr>
            <xdr:cNvPr id="11325" name="Button 61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Обороты по 12а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</xdr:colOff>
          <xdr:row>2</xdr:row>
          <xdr:rowOff>137160</xdr:rowOff>
        </xdr:from>
        <xdr:to>
          <xdr:col>8</xdr:col>
          <xdr:colOff>815340</xdr:colOff>
          <xdr:row>3</xdr:row>
          <xdr:rowOff>182880</xdr:rowOff>
        </xdr:to>
        <xdr:sp macro="" textlink="">
          <xdr:nvSpPr>
            <xdr:cNvPr id="11336" name="Button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Остаток по резерву из е/д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236220</xdr:rowOff>
        </xdr:from>
        <xdr:to>
          <xdr:col>8</xdr:col>
          <xdr:colOff>822960</xdr:colOff>
          <xdr:row>3</xdr:row>
          <xdr:rowOff>449580</xdr:rowOff>
        </xdr:to>
        <xdr:sp macro="" textlink="">
          <xdr:nvSpPr>
            <xdr:cNvPr id="11345" name="Button 81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Остаток 12 б на ПОД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320040</xdr:colOff>
          <xdr:row>3</xdr:row>
          <xdr:rowOff>152400</xdr:rowOff>
        </xdr:from>
        <xdr:to>
          <xdr:col>41</xdr:col>
          <xdr:colOff>22860</xdr:colOff>
          <xdr:row>3</xdr:row>
          <xdr:rowOff>358140</xdr:rowOff>
        </xdr:to>
        <xdr:sp macro="" textlink="">
          <xdr:nvSpPr>
            <xdr:cNvPr id="11360" name="Button 96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Оборот по неодн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502920</xdr:rowOff>
        </xdr:from>
        <xdr:to>
          <xdr:col>8</xdr:col>
          <xdr:colOff>822960</xdr:colOff>
          <xdr:row>3</xdr:row>
          <xdr:rowOff>716280</xdr:rowOff>
        </xdr:to>
        <xdr:sp macro="" textlink="">
          <xdr:nvSpPr>
            <xdr:cNvPr id="11376" name="Button 112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Остаток портфелей из е/д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411480</xdr:colOff>
          <xdr:row>3</xdr:row>
          <xdr:rowOff>0</xdr:rowOff>
        </xdr:from>
        <xdr:to>
          <xdr:col>10</xdr:col>
          <xdr:colOff>281940</xdr:colOff>
          <xdr:row>3</xdr:row>
          <xdr:rowOff>358140</xdr:rowOff>
        </xdr:to>
        <xdr:sp macro="" textlink="">
          <xdr:nvSpPr>
            <xdr:cNvPr id="11380" name="Button 116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Исправить имена листов е/д резерва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815340</xdr:colOff>
          <xdr:row>3</xdr:row>
          <xdr:rowOff>205740</xdr:rowOff>
        </xdr:from>
        <xdr:to>
          <xdr:col>57</xdr:col>
          <xdr:colOff>792480</xdr:colOff>
          <xdr:row>3</xdr:row>
          <xdr:rowOff>419100</xdr:rowOff>
        </xdr:to>
        <xdr:sp macro="" textlink="">
          <xdr:nvSpPr>
            <xdr:cNvPr id="11419" name="Button 155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Записать резерв в КРПУ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1066800</xdr:colOff>
          <xdr:row>3</xdr:row>
          <xdr:rowOff>121920</xdr:rowOff>
        </xdr:from>
        <xdr:to>
          <xdr:col>28</xdr:col>
          <xdr:colOff>1158240</xdr:colOff>
          <xdr:row>3</xdr:row>
          <xdr:rowOff>487680</xdr:rowOff>
        </xdr:to>
        <xdr:sp macro="" textlink="">
          <xdr:nvSpPr>
            <xdr:cNvPr id="11511" name="Button 247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 TO RVPS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3</xdr:row>
          <xdr:rowOff>495300</xdr:rowOff>
        </xdr:from>
        <xdr:to>
          <xdr:col>4</xdr:col>
          <xdr:colOff>1059180</xdr:colOff>
          <xdr:row>3</xdr:row>
          <xdr:rowOff>708660</xdr:rowOff>
        </xdr:to>
        <xdr:sp macro="" textlink="">
          <xdr:nvSpPr>
            <xdr:cNvPr id="11523" name="Button 259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из RVPS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381000</xdr:colOff>
          <xdr:row>3</xdr:row>
          <xdr:rowOff>144780</xdr:rowOff>
        </xdr:from>
        <xdr:to>
          <xdr:col>24</xdr:col>
          <xdr:colOff>411480</xdr:colOff>
          <xdr:row>3</xdr:row>
          <xdr:rowOff>502920</xdr:rowOff>
        </xdr:to>
        <xdr:sp macro="" textlink="">
          <xdr:nvSpPr>
            <xdr:cNvPr id="11545" name="Button 28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 из КРПУ на 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411480</xdr:colOff>
          <xdr:row>1</xdr:row>
          <xdr:rowOff>0</xdr:rowOff>
        </xdr:from>
        <xdr:to>
          <xdr:col>11</xdr:col>
          <xdr:colOff>297180</xdr:colOff>
          <xdr:row>3</xdr:row>
          <xdr:rowOff>38100</xdr:rowOff>
        </xdr:to>
        <xdr:sp macro="" textlink="">
          <xdr:nvSpPr>
            <xdr:cNvPr id="11562" name="Button 298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загрузить сумму договора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0</xdr:row>
          <xdr:rowOff>114300</xdr:rowOff>
        </xdr:from>
        <xdr:to>
          <xdr:col>2</xdr:col>
          <xdr:colOff>1524000</xdr:colOff>
          <xdr:row>0</xdr:row>
          <xdr:rowOff>327660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7-24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0</xdr:row>
          <xdr:rowOff>381000</xdr:rowOff>
        </xdr:from>
        <xdr:to>
          <xdr:col>2</xdr:col>
          <xdr:colOff>1478280</xdr:colOff>
          <xdr:row>1</xdr:row>
          <xdr:rowOff>182880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7-24 на ПОД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1</xdr:row>
          <xdr:rowOff>868680</xdr:rowOff>
        </xdr:from>
        <xdr:to>
          <xdr:col>2</xdr:col>
          <xdr:colOff>1463040</xdr:colOff>
          <xdr:row>1</xdr:row>
          <xdr:rowOff>1127760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Исправить 7-24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1</xdr:row>
          <xdr:rowOff>533400</xdr:rowOff>
        </xdr:from>
        <xdr:to>
          <xdr:col>2</xdr:col>
          <xdr:colOff>1470660</xdr:colOff>
          <xdr:row>1</xdr:row>
          <xdr:rowOff>762000</xdr:rowOff>
        </xdr:to>
        <xdr:sp macro="" textlink="">
          <xdr:nvSpPr>
            <xdr:cNvPr id="13370" name="Button 58" hidden="1">
              <a:extLst>
                <a:ext uri="{63B3BB69-23CF-44E3-9099-C40C66FF867C}">
                  <a14:compatExt spid="_x0000_s13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7-11О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129540</xdr:colOff>
          <xdr:row>1</xdr:row>
          <xdr:rowOff>220980</xdr:rowOff>
        </xdr:from>
        <xdr:to>
          <xdr:col>2</xdr:col>
          <xdr:colOff>1417320</xdr:colOff>
          <xdr:row>1</xdr:row>
          <xdr:rowOff>419100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Заполнить отчеты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0</xdr:row>
          <xdr:rowOff>160020</xdr:rowOff>
        </xdr:from>
        <xdr:to>
          <xdr:col>10</xdr:col>
          <xdr:colOff>586740</xdr:colOff>
          <xdr:row>0</xdr:row>
          <xdr:rowOff>373380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Округлить данные 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1</xdr:row>
          <xdr:rowOff>45720</xdr:rowOff>
        </xdr:from>
        <xdr:to>
          <xdr:col>10</xdr:col>
          <xdr:colOff>617220</xdr:colOff>
          <xdr:row>1</xdr:row>
          <xdr:rowOff>228600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 пустые терр-и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1</xdr:col>
          <xdr:colOff>822960</xdr:colOff>
          <xdr:row>1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7-100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60960</xdr:rowOff>
        </xdr:from>
        <xdr:to>
          <xdr:col>1</xdr:col>
          <xdr:colOff>822960</xdr:colOff>
          <xdr:row>2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Данные 7-11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3</xdr:row>
          <xdr:rowOff>30480</xdr:rowOff>
        </xdr:from>
        <xdr:to>
          <xdr:col>1</xdr:col>
          <xdr:colOff>822960</xdr:colOff>
          <xdr:row>4</xdr:row>
          <xdr:rowOff>76200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Проверка 7-100 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0</xdr:row>
          <xdr:rowOff>38100</xdr:rowOff>
        </xdr:from>
        <xdr:to>
          <xdr:col>2</xdr:col>
          <xdr:colOff>1447800</xdr:colOff>
          <xdr:row>1</xdr:row>
          <xdr:rowOff>7620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Остатки 7-100 на ПОД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</xdr:row>
          <xdr:rowOff>45720</xdr:rowOff>
        </xdr:from>
        <xdr:to>
          <xdr:col>2</xdr:col>
          <xdr:colOff>1447800</xdr:colOff>
          <xdr:row>2</xdr:row>
          <xdr:rowOff>15240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Исправить 7-100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3</xdr:row>
          <xdr:rowOff>7620</xdr:rowOff>
        </xdr:from>
        <xdr:to>
          <xdr:col>2</xdr:col>
          <xdr:colOff>1607820</xdr:colOff>
          <xdr:row>4</xdr:row>
          <xdr:rowOff>60960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Округлить данные на 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18" Type="http://schemas.openxmlformats.org/officeDocument/2006/relationships/ctrlProp" Target="../ctrlProps/ctrlProp42.xml"/><Relationship Id="rId26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5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17" Type="http://schemas.openxmlformats.org/officeDocument/2006/relationships/ctrlProp" Target="../ctrlProps/ctrlProp41.xml"/><Relationship Id="rId25" Type="http://schemas.openxmlformats.org/officeDocument/2006/relationships/ctrlProp" Target="../ctrlProps/ctrlProp4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0.xml"/><Relationship Id="rId20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24" Type="http://schemas.openxmlformats.org/officeDocument/2006/relationships/ctrlProp" Target="../ctrlProps/ctrlProp48.xml"/><Relationship Id="rId5" Type="http://schemas.openxmlformats.org/officeDocument/2006/relationships/ctrlProp" Target="../ctrlProps/ctrlProp29.xml"/><Relationship Id="rId15" Type="http://schemas.openxmlformats.org/officeDocument/2006/relationships/ctrlProp" Target="../ctrlProps/ctrlProp39.xml"/><Relationship Id="rId23" Type="http://schemas.openxmlformats.org/officeDocument/2006/relationships/ctrlProp" Target="../ctrlProps/ctrlProp47.xml"/><Relationship Id="rId10" Type="http://schemas.openxmlformats.org/officeDocument/2006/relationships/ctrlProp" Target="../ctrlProps/ctrlProp34.xml"/><Relationship Id="rId19" Type="http://schemas.openxmlformats.org/officeDocument/2006/relationships/ctrlProp" Target="../ctrlProps/ctrlProp43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trlProp" Target="../ctrlProps/ctrlProp38.xml"/><Relationship Id="rId22" Type="http://schemas.openxmlformats.org/officeDocument/2006/relationships/ctrlProp" Target="../ctrlProps/ctrlProp4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10" Type="http://schemas.openxmlformats.org/officeDocument/2006/relationships/ctrlProp" Target="../ctrlProps/ctrlProp57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74"/>
  <sheetViews>
    <sheetView tabSelected="1" workbookViewId="0"/>
  </sheetViews>
  <sheetFormatPr defaultRowHeight="13.2" x14ac:dyDescent="0.25"/>
  <cols>
    <col min="1" max="1" width="27" style="63" customWidth="1"/>
    <col min="2" max="2" width="11.6640625" customWidth="1"/>
    <col min="3" max="3" width="18.109375" customWidth="1"/>
    <col min="4" max="4" width="13.109375" customWidth="1"/>
    <col min="5" max="5" width="32.44140625" customWidth="1"/>
    <col min="8" max="8" width="14.88671875" customWidth="1"/>
    <col min="9" max="9" width="15.33203125" customWidth="1"/>
    <col min="10" max="10" width="11.5546875" customWidth="1"/>
  </cols>
  <sheetData>
    <row r="1" spans="1:4" x14ac:dyDescent="0.25">
      <c r="A1" s="63" t="s">
        <v>485</v>
      </c>
      <c r="B1" s="300" t="s">
        <v>2052</v>
      </c>
    </row>
    <row r="2" spans="1:4" x14ac:dyDescent="0.25">
      <c r="A2" s="63" t="s">
        <v>1338</v>
      </c>
      <c r="B2" s="300" t="s">
        <v>4652</v>
      </c>
    </row>
    <row r="3" spans="1:4" x14ac:dyDescent="0.25">
      <c r="A3" s="63" t="s">
        <v>875</v>
      </c>
      <c r="B3" s="300" t="s">
        <v>4810</v>
      </c>
    </row>
    <row r="4" spans="1:4" x14ac:dyDescent="0.25">
      <c r="A4" s="63" t="s">
        <v>879</v>
      </c>
      <c r="B4" t="s">
        <v>1388</v>
      </c>
    </row>
    <row r="5" spans="1:4" x14ac:dyDescent="0.25">
      <c r="A5" s="63" t="s">
        <v>645</v>
      </c>
      <c r="B5" t="s">
        <v>1388</v>
      </c>
    </row>
    <row r="6" spans="1:4" x14ac:dyDescent="0.25">
      <c r="A6" s="63" t="s">
        <v>463</v>
      </c>
      <c r="B6" t="s">
        <v>1388</v>
      </c>
      <c r="D6" s="3"/>
    </row>
    <row r="7" spans="1:4" x14ac:dyDescent="0.25">
      <c r="A7" s="63" t="s">
        <v>675</v>
      </c>
      <c r="B7" s="5" t="s">
        <v>2321</v>
      </c>
      <c r="D7" s="4"/>
    </row>
    <row r="8" spans="1:4" x14ac:dyDescent="0.25">
      <c r="A8" s="210" t="s">
        <v>123</v>
      </c>
      <c r="B8" s="300" t="s">
        <v>3126</v>
      </c>
      <c r="D8" s="4"/>
    </row>
    <row r="9" spans="1:4" x14ac:dyDescent="0.25">
      <c r="A9" s="63" t="s">
        <v>419</v>
      </c>
      <c r="B9" s="300" t="s">
        <v>4653</v>
      </c>
    </row>
    <row r="10" spans="1:4" x14ac:dyDescent="0.25">
      <c r="A10" s="63" t="s">
        <v>180</v>
      </c>
      <c r="B10" s="300" t="s">
        <v>4654</v>
      </c>
    </row>
    <row r="11" spans="1:4" x14ac:dyDescent="0.25">
      <c r="A11" s="2" t="s">
        <v>164</v>
      </c>
    </row>
    <row r="12" spans="1:4" x14ac:dyDescent="0.25">
      <c r="A12" s="2" t="s">
        <v>1119</v>
      </c>
      <c r="B12" s="300" t="s">
        <v>4655</v>
      </c>
    </row>
    <row r="13" spans="1:4" x14ac:dyDescent="0.25">
      <c r="A13" s="2" t="s">
        <v>213</v>
      </c>
      <c r="B13" t="s">
        <v>690</v>
      </c>
    </row>
    <row r="14" spans="1:4" x14ac:dyDescent="0.25">
      <c r="A14" s="2"/>
    </row>
    <row r="16" spans="1:4" x14ac:dyDescent="0.25">
      <c r="A16" s="270" t="str">
        <f>IF(B16=C16,"OK","Err")</f>
        <v>OK</v>
      </c>
      <c r="B16" s="16">
        <v>3</v>
      </c>
      <c r="C16" s="16">
        <v>3</v>
      </c>
    </row>
    <row r="18" spans="1:4" x14ac:dyDescent="0.25">
      <c r="A18" s="63" t="s">
        <v>934</v>
      </c>
    </row>
    <row r="19" spans="1:4" x14ac:dyDescent="0.25">
      <c r="A19" s="63" t="s">
        <v>322</v>
      </c>
    </row>
    <row r="20" spans="1:4" x14ac:dyDescent="0.25">
      <c r="A20" s="63" t="s">
        <v>784</v>
      </c>
    </row>
    <row r="23" spans="1:4" x14ac:dyDescent="0.25">
      <c r="A23" s="63">
        <v>12244648.640000001</v>
      </c>
      <c r="B23">
        <v>15391</v>
      </c>
      <c r="C23">
        <v>40845502.330000006</v>
      </c>
      <c r="D23">
        <v>426119.05</v>
      </c>
    </row>
    <row r="30" spans="1:4" x14ac:dyDescent="0.25">
      <c r="A30" s="63">
        <v>17.202178180910231</v>
      </c>
      <c r="B30" t="s">
        <v>4646</v>
      </c>
    </row>
    <row r="31" spans="1:4" x14ac:dyDescent="0.25">
      <c r="A31" s="63">
        <v>12.64530677458564</v>
      </c>
      <c r="B31" t="s">
        <v>4647</v>
      </c>
    </row>
    <row r="32" spans="1:4" x14ac:dyDescent="0.25">
      <c r="A32" s="63">
        <v>17.644928160520077</v>
      </c>
      <c r="B32" t="s">
        <v>4648</v>
      </c>
    </row>
    <row r="33" spans="1:10" x14ac:dyDescent="0.25">
      <c r="A33" s="63">
        <v>11.666714149100441</v>
      </c>
      <c r="B33" t="s">
        <v>4649</v>
      </c>
    </row>
    <row r="34" spans="1:10" x14ac:dyDescent="0.25">
      <c r="A34" s="63">
        <v>14.593947327244855</v>
      </c>
      <c r="B34" t="s">
        <v>4650</v>
      </c>
      <c r="D34">
        <v>0</v>
      </c>
      <c r="E34" s="82">
        <v>0</v>
      </c>
      <c r="H34">
        <v>441909880.45000207</v>
      </c>
    </row>
    <row r="35" spans="1:10" x14ac:dyDescent="0.25">
      <c r="D35" s="300" t="s">
        <v>2594</v>
      </c>
      <c r="E35" s="343">
        <v>345970.22999999981</v>
      </c>
      <c r="H35">
        <v>427424115.4600029</v>
      </c>
    </row>
    <row r="36" spans="1:10" x14ac:dyDescent="0.25">
      <c r="D36" s="300" t="s">
        <v>2595</v>
      </c>
      <c r="E36">
        <v>33512821.480000068</v>
      </c>
      <c r="H36">
        <v>423509704.42999631</v>
      </c>
    </row>
    <row r="37" spans="1:10" x14ac:dyDescent="0.25">
      <c r="E37" t="s">
        <v>208</v>
      </c>
      <c r="F37" t="s">
        <v>209</v>
      </c>
      <c r="I37" t="s">
        <v>208</v>
      </c>
      <c r="J37" t="s">
        <v>209</v>
      </c>
    </row>
    <row r="38" spans="1:10" x14ac:dyDescent="0.25">
      <c r="A38" s="63">
        <v>12.029620390534495</v>
      </c>
      <c r="D38" t="s">
        <v>202</v>
      </c>
      <c r="E38" s="63">
        <v>12.231203711178102</v>
      </c>
      <c r="F38" s="63">
        <v>175.30538097652158</v>
      </c>
      <c r="H38" t="s">
        <v>205</v>
      </c>
      <c r="I38" s="63">
        <v>12.303639007139385</v>
      </c>
      <c r="J38" s="63">
        <v>183.30879816694593</v>
      </c>
    </row>
    <row r="39" spans="1:10" x14ac:dyDescent="0.25">
      <c r="A39" s="63">
        <v>187.00292719200127</v>
      </c>
      <c r="D39" t="s">
        <v>203</v>
      </c>
      <c r="E39" s="63">
        <v>12.451373714073176</v>
      </c>
      <c r="F39" s="63">
        <v>180.12100683466539</v>
      </c>
      <c r="H39" t="s">
        <v>206</v>
      </c>
      <c r="I39" s="63">
        <v>12.449714645132943</v>
      </c>
      <c r="J39" s="63">
        <v>186.26416991616483</v>
      </c>
    </row>
    <row r="40" spans="1:10" x14ac:dyDescent="0.25">
      <c r="A40" s="63">
        <v>68162</v>
      </c>
      <c r="D40" t="s">
        <v>204</v>
      </c>
      <c r="E40" s="63">
        <v>9.2715749862870425</v>
      </c>
      <c r="F40" s="63">
        <v>205.29407673580678</v>
      </c>
      <c r="H40" t="s">
        <v>207</v>
      </c>
      <c r="I40" s="63">
        <v>11.512063731263041</v>
      </c>
      <c r="J40" s="63">
        <v>188.31300736844744</v>
      </c>
    </row>
    <row r="41" spans="1:10" x14ac:dyDescent="0.25">
      <c r="A41" s="303">
        <v>408911.58999999997</v>
      </c>
      <c r="B41">
        <v>41599666.990000002</v>
      </c>
      <c r="C41" s="306">
        <f>A41+B41</f>
        <v>42008578.580000006</v>
      </c>
    </row>
    <row r="43" spans="1:10" ht="13.8" thickBot="1" x14ac:dyDescent="0.3"/>
    <row r="44" spans="1:10" x14ac:dyDescent="0.25">
      <c r="A44" s="305" t="s">
        <v>2322</v>
      </c>
      <c r="C44" s="349" t="s">
        <v>3630</v>
      </c>
      <c r="D44" s="350"/>
      <c r="E44" s="351"/>
    </row>
    <row r="45" spans="1:10" x14ac:dyDescent="0.25">
      <c r="A45" s="63">
        <v>225240</v>
      </c>
      <c r="C45" s="352" t="s">
        <v>4809</v>
      </c>
      <c r="D45" s="348">
        <v>86324.67</v>
      </c>
      <c r="E45" s="353" t="s">
        <v>2554</v>
      </c>
    </row>
    <row r="46" spans="1:10" x14ac:dyDescent="0.25">
      <c r="A46" s="303">
        <v>43826210498.319267</v>
      </c>
      <c r="C46" s="352"/>
      <c r="D46" s="348"/>
      <c r="E46" s="353"/>
    </row>
    <row r="47" spans="1:10" ht="13.8" thickBot="1" x14ac:dyDescent="0.3">
      <c r="C47" s="354"/>
      <c r="D47" s="355"/>
      <c r="E47" s="356"/>
    </row>
    <row r="48" spans="1:10" x14ac:dyDescent="0.25">
      <c r="A48" s="305" t="s">
        <v>2323</v>
      </c>
    </row>
    <row r="49" spans="1:1" x14ac:dyDescent="0.25">
      <c r="A49" s="63">
        <v>15037</v>
      </c>
    </row>
    <row r="50" spans="1:1" x14ac:dyDescent="0.25">
      <c r="A50" s="303">
        <v>12227632701.930029</v>
      </c>
    </row>
    <row r="52" spans="1:1" x14ac:dyDescent="0.25">
      <c r="A52" s="305" t="s">
        <v>2324</v>
      </c>
    </row>
    <row r="53" spans="1:1" x14ac:dyDescent="0.25">
      <c r="A53" s="63">
        <v>5805</v>
      </c>
    </row>
    <row r="54" spans="1:1" x14ac:dyDescent="0.25">
      <c r="A54" s="303">
        <v>3646273546</v>
      </c>
    </row>
    <row r="56" spans="1:1" x14ac:dyDescent="0.25">
      <c r="A56" s="305" t="s">
        <v>2326</v>
      </c>
    </row>
    <row r="57" spans="1:1" x14ac:dyDescent="0.25">
      <c r="A57" s="63">
        <v>6981</v>
      </c>
    </row>
    <row r="58" spans="1:1" x14ac:dyDescent="0.25">
      <c r="A58" s="303">
        <v>2212724334.1100016</v>
      </c>
    </row>
    <row r="60" spans="1:1" x14ac:dyDescent="0.25">
      <c r="A60" s="305" t="s">
        <v>2325</v>
      </c>
    </row>
    <row r="61" spans="1:1" x14ac:dyDescent="0.25">
      <c r="A61" s="63">
        <v>689</v>
      </c>
    </row>
    <row r="62" spans="1:1" x14ac:dyDescent="0.25">
      <c r="A62" s="303">
        <v>11544159.930000002</v>
      </c>
    </row>
    <row r="64" spans="1:1" x14ac:dyDescent="0.25">
      <c r="A64" s="305" t="s">
        <v>2327</v>
      </c>
    </row>
    <row r="65" spans="1:1" x14ac:dyDescent="0.25">
      <c r="A65" s="63">
        <v>4</v>
      </c>
    </row>
    <row r="66" spans="1:1" x14ac:dyDescent="0.25">
      <c r="A66" s="303">
        <v>379599.31</v>
      </c>
    </row>
    <row r="68" spans="1:1" x14ac:dyDescent="0.25">
      <c r="A68" s="305" t="s">
        <v>2328</v>
      </c>
    </row>
    <row r="69" spans="1:1" x14ac:dyDescent="0.25">
      <c r="A69" s="63">
        <v>196573</v>
      </c>
    </row>
    <row r="70" spans="1:1" x14ac:dyDescent="0.25">
      <c r="A70" s="303">
        <v>25643972643.500301</v>
      </c>
    </row>
    <row r="72" spans="1:1" x14ac:dyDescent="0.25">
      <c r="A72" s="305" t="s">
        <v>2329</v>
      </c>
    </row>
    <row r="73" spans="1:1" x14ac:dyDescent="0.25">
      <c r="A73" s="63">
        <v>39</v>
      </c>
    </row>
    <row r="74" spans="1:1" x14ac:dyDescent="0.25">
      <c r="A74" s="303">
        <v>31140952.48</v>
      </c>
    </row>
  </sheetData>
  <phoneticPr fontId="0" type="noConversion"/>
  <pageMargins left="0.75" right="0.75" top="1" bottom="1" header="0.5" footer="0.5"/>
  <pageSetup paperSize="9" orientation="landscape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Test_7_106">
                <anchor moveWithCells="1">
                  <from>
                    <xdr:col>0</xdr:col>
                    <xdr:colOff>1127760</xdr:colOff>
                    <xdr:row>26</xdr:row>
                    <xdr:rowOff>30480</xdr:rowOff>
                  </from>
                  <to>
                    <xdr:col>1</xdr:col>
                    <xdr:colOff>525780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Q31490"/>
  <sheetViews>
    <sheetView topLeftCell="A97" zoomScale="85" zoomScaleNormal="85" workbookViewId="0">
      <selection activeCell="AF17" sqref="AF17"/>
    </sheetView>
  </sheetViews>
  <sheetFormatPr defaultColWidth="9.109375" defaultRowHeight="18" customHeight="1" x14ac:dyDescent="0.25"/>
  <cols>
    <col min="1" max="1" width="13.109375" style="6" customWidth="1"/>
    <col min="2" max="2" width="31.109375" style="6" customWidth="1"/>
    <col min="3" max="3" width="31" style="6" customWidth="1"/>
    <col min="4" max="4" width="9.109375" style="6"/>
    <col min="5" max="5" width="5.6640625" style="60" customWidth="1"/>
    <col min="6" max="6" width="11.88671875" style="60" customWidth="1"/>
    <col min="7" max="7" width="10" style="60" customWidth="1"/>
    <col min="8" max="9" width="9.109375" style="6"/>
    <col min="10" max="10" width="15" style="6" customWidth="1"/>
    <col min="11" max="11" width="14.44140625" style="6" customWidth="1"/>
    <col min="12" max="12" width="13.6640625" style="6" customWidth="1"/>
    <col min="13" max="13" width="13" style="6" customWidth="1"/>
    <col min="14" max="15" width="9.109375" style="6"/>
    <col min="16" max="16" width="37.5546875" style="6" customWidth="1"/>
    <col min="17" max="17" width="31.44140625" style="6" customWidth="1"/>
    <col min="18" max="18" width="19.6640625" style="6" customWidth="1"/>
    <col min="19" max="19" width="11" style="6" customWidth="1"/>
    <col min="20" max="22" width="9.109375" style="6"/>
    <col min="23" max="23" width="41.109375" style="6" customWidth="1"/>
    <col min="24" max="24" width="9.109375" style="6"/>
    <col min="25" max="25" width="24.5546875" style="6" customWidth="1"/>
    <col min="26" max="26" width="10.88671875" style="6" customWidth="1"/>
    <col min="27" max="27" width="9.109375" style="6"/>
    <col min="28" max="28" width="27" style="6" customWidth="1"/>
    <col min="29" max="29" width="12" style="6" customWidth="1"/>
    <col min="30" max="30" width="9.109375" style="6"/>
    <col min="31" max="31" width="15.33203125" style="6" customWidth="1"/>
    <col min="32" max="32" width="40.5546875" style="6" customWidth="1"/>
    <col min="33" max="33" width="12.6640625" style="6" customWidth="1"/>
    <col min="34" max="34" width="27.109375" style="60" customWidth="1"/>
    <col min="35" max="35" width="15.5546875" style="6" customWidth="1"/>
    <col min="36" max="36" width="9.109375" style="60"/>
    <col min="37" max="37" width="21" style="6" customWidth="1"/>
    <col min="38" max="38" width="14.88671875" style="60" customWidth="1"/>
    <col min="39" max="39" width="14.44140625" style="6" customWidth="1"/>
    <col min="40" max="16384" width="9.109375" style="6"/>
  </cols>
  <sheetData>
    <row r="1" spans="1:38" ht="33" customHeight="1" x14ac:dyDescent="0.3">
      <c r="A1" s="15" t="s">
        <v>416</v>
      </c>
      <c r="B1" s="15" t="s">
        <v>417</v>
      </c>
      <c r="C1" s="15" t="s">
        <v>1024</v>
      </c>
      <c r="F1" s="61" t="s">
        <v>596</v>
      </c>
      <c r="G1" s="61" t="s">
        <v>1007</v>
      </c>
      <c r="I1" s="178"/>
      <c r="J1" s="379" t="s">
        <v>954</v>
      </c>
      <c r="K1" s="379"/>
      <c r="L1" s="379" t="s">
        <v>1285</v>
      </c>
      <c r="M1" s="379"/>
      <c r="P1" s="200" t="s">
        <v>984</v>
      </c>
      <c r="Q1" s="200" t="s">
        <v>985</v>
      </c>
      <c r="R1" s="201" t="s">
        <v>986</v>
      </c>
      <c r="S1" s="200" t="s">
        <v>658</v>
      </c>
      <c r="W1" s="4" t="s">
        <v>657</v>
      </c>
      <c r="X1" s="4" t="s">
        <v>1164</v>
      </c>
      <c r="Y1" s="58" t="s">
        <v>720</v>
      </c>
      <c r="Z1" s="58" t="s">
        <v>876</v>
      </c>
      <c r="AA1" s="58" t="s">
        <v>721</v>
      </c>
      <c r="AB1" s="58" t="s">
        <v>592</v>
      </c>
      <c r="AC1" s="58" t="s">
        <v>593</v>
      </c>
      <c r="AF1" s="58" t="s">
        <v>657</v>
      </c>
      <c r="AG1" s="58" t="s">
        <v>1164</v>
      </c>
      <c r="AH1" s="58" t="s">
        <v>720</v>
      </c>
      <c r="AI1" s="58" t="s">
        <v>876</v>
      </c>
      <c r="AJ1" s="58" t="s">
        <v>721</v>
      </c>
      <c r="AK1" s="58" t="s">
        <v>592</v>
      </c>
      <c r="AL1" s="58" t="s">
        <v>172</v>
      </c>
    </row>
    <row r="2" spans="1:38" ht="18" customHeight="1" x14ac:dyDescent="0.3">
      <c r="A2" s="8" t="s">
        <v>1195</v>
      </c>
      <c r="B2" s="9" t="s">
        <v>1025</v>
      </c>
      <c r="C2" s="7" t="s">
        <v>1026</v>
      </c>
      <c r="E2" s="6">
        <v>1</v>
      </c>
      <c r="F2" s="60" t="s">
        <v>872</v>
      </c>
      <c r="G2" s="60" t="s">
        <v>1008</v>
      </c>
      <c r="I2" s="178"/>
      <c r="J2" s="181" t="s">
        <v>1286</v>
      </c>
      <c r="K2" s="181" t="s">
        <v>1287</v>
      </c>
      <c r="L2" s="181" t="s">
        <v>1286</v>
      </c>
      <c r="M2" s="181" t="s">
        <v>1287</v>
      </c>
      <c r="P2" s="175" t="s">
        <v>983</v>
      </c>
      <c r="Q2" s="197" t="s">
        <v>659</v>
      </c>
      <c r="R2" s="198" t="s">
        <v>1107</v>
      </c>
      <c r="S2" s="197" t="s">
        <v>396</v>
      </c>
      <c r="W2" s="4"/>
      <c r="X2" s="4"/>
      <c r="Y2" s="58"/>
      <c r="Z2" s="58"/>
      <c r="AA2" s="58"/>
      <c r="AB2" s="58"/>
      <c r="AC2" s="58"/>
      <c r="AF2" s="58"/>
      <c r="AG2" s="58"/>
      <c r="AH2" s="58"/>
      <c r="AI2" s="58"/>
      <c r="AJ2" s="58"/>
      <c r="AK2" s="58"/>
      <c r="AL2" s="58"/>
    </row>
    <row r="3" spans="1:38" ht="18" customHeight="1" x14ac:dyDescent="0.3">
      <c r="A3" s="8" t="s">
        <v>1196</v>
      </c>
      <c r="B3" s="9" t="s">
        <v>1298</v>
      </c>
      <c r="C3" s="7" t="s">
        <v>1299</v>
      </c>
      <c r="E3" s="6">
        <f>E2+1</f>
        <v>2</v>
      </c>
      <c r="F3" s="60" t="s">
        <v>872</v>
      </c>
      <c r="G3" s="60" t="s">
        <v>1009</v>
      </c>
      <c r="H3" s="6">
        <v>1</v>
      </c>
      <c r="I3" s="180">
        <v>1</v>
      </c>
      <c r="J3" s="182">
        <v>2</v>
      </c>
      <c r="K3" s="179">
        <v>0.75</v>
      </c>
      <c r="L3" s="182">
        <v>2</v>
      </c>
      <c r="M3" s="273">
        <v>0.75</v>
      </c>
      <c r="N3" s="6">
        <v>2</v>
      </c>
      <c r="O3" s="216">
        <v>0.75</v>
      </c>
      <c r="P3" s="175" t="s">
        <v>982</v>
      </c>
      <c r="Q3" s="197" t="s">
        <v>659</v>
      </c>
      <c r="R3" s="198" t="s">
        <v>1107</v>
      </c>
      <c r="S3" s="197" t="s">
        <v>396</v>
      </c>
      <c r="W3" s="4"/>
      <c r="X3" s="4"/>
      <c r="Y3" s="58"/>
      <c r="Z3" s="58"/>
      <c r="AA3" s="58"/>
      <c r="AB3" s="58"/>
      <c r="AC3" s="58"/>
      <c r="AF3" s="58"/>
      <c r="AG3" s="58"/>
      <c r="AH3" s="58"/>
      <c r="AI3" s="58"/>
      <c r="AJ3" s="58"/>
      <c r="AK3" s="58"/>
      <c r="AL3" s="58"/>
    </row>
    <row r="4" spans="1:38" ht="18" customHeight="1" x14ac:dyDescent="0.3">
      <c r="A4" s="8" t="s">
        <v>1197</v>
      </c>
      <c r="B4" s="9" t="s">
        <v>1300</v>
      </c>
      <c r="C4" s="7" t="s">
        <v>1301</v>
      </c>
      <c r="E4" s="6">
        <f t="shared" ref="E4:E40" si="0">E3+1</f>
        <v>3</v>
      </c>
      <c r="F4" s="60" t="s">
        <v>872</v>
      </c>
      <c r="G4" s="60" t="s">
        <v>1010</v>
      </c>
      <c r="H4" s="6">
        <f>H3+1</f>
        <v>2</v>
      </c>
      <c r="I4" s="180">
        <v>1.1000000000000001</v>
      </c>
      <c r="J4" s="182">
        <v>5</v>
      </c>
      <c r="K4" s="179">
        <v>49.6</v>
      </c>
      <c r="L4" s="182">
        <v>4</v>
      </c>
      <c r="M4" s="268">
        <v>42.5</v>
      </c>
      <c r="N4" s="217">
        <v>4</v>
      </c>
      <c r="O4" s="218">
        <v>48.5</v>
      </c>
      <c r="P4" s="175" t="s">
        <v>981</v>
      </c>
      <c r="Q4" s="197" t="s">
        <v>74</v>
      </c>
      <c r="R4" s="198" t="s">
        <v>54</v>
      </c>
      <c r="S4" s="197" t="s">
        <v>1100</v>
      </c>
      <c r="W4" s="4"/>
      <c r="X4" s="4"/>
      <c r="Y4" s="58"/>
      <c r="Z4" s="58"/>
      <c r="AA4" s="58"/>
      <c r="AB4" s="58"/>
      <c r="AC4" s="58"/>
      <c r="AF4" s="58"/>
      <c r="AG4" s="58"/>
      <c r="AH4" s="58"/>
      <c r="AI4" s="58"/>
      <c r="AJ4" s="58"/>
      <c r="AK4" s="58"/>
      <c r="AL4" s="58"/>
    </row>
    <row r="5" spans="1:38" ht="18" customHeight="1" x14ac:dyDescent="0.3">
      <c r="A5" s="8" t="s">
        <v>1257</v>
      </c>
      <c r="B5" s="9" t="s">
        <v>432</v>
      </c>
      <c r="C5" s="7" t="s">
        <v>1301</v>
      </c>
      <c r="E5" s="6">
        <f t="shared" si="0"/>
        <v>4</v>
      </c>
      <c r="F5" s="60" t="s">
        <v>872</v>
      </c>
      <c r="G5" s="60" t="s">
        <v>1011</v>
      </c>
      <c r="H5" s="6">
        <f t="shared" ref="H5:H38" si="1">H4+1</f>
        <v>3</v>
      </c>
      <c r="I5" s="180">
        <v>1.2</v>
      </c>
      <c r="J5" s="182">
        <v>5</v>
      </c>
      <c r="K5" s="179">
        <v>66.8</v>
      </c>
      <c r="L5" s="182">
        <v>5</v>
      </c>
      <c r="M5" s="268">
        <v>60.3</v>
      </c>
      <c r="N5" s="217">
        <v>5</v>
      </c>
      <c r="O5" s="218">
        <v>65.8</v>
      </c>
      <c r="P5" s="175" t="s">
        <v>980</v>
      </c>
      <c r="Q5" s="197" t="s">
        <v>74</v>
      </c>
      <c r="R5" s="198" t="s">
        <v>54</v>
      </c>
      <c r="S5" s="197" t="s">
        <v>1100</v>
      </c>
      <c r="W5" s="4"/>
      <c r="X5" s="4"/>
      <c r="Y5" s="58"/>
      <c r="Z5" s="58"/>
      <c r="AA5" s="58"/>
      <c r="AB5" s="58"/>
      <c r="AC5" s="58"/>
      <c r="AF5" s="58"/>
      <c r="AG5" s="58"/>
      <c r="AH5" s="58"/>
      <c r="AI5" s="58"/>
      <c r="AJ5" s="58"/>
      <c r="AK5" s="58"/>
      <c r="AL5" s="58"/>
    </row>
    <row r="6" spans="1:38" ht="18" customHeight="1" x14ac:dyDescent="0.3">
      <c r="A6" s="8" t="s">
        <v>1258</v>
      </c>
      <c r="B6" s="10" t="s">
        <v>433</v>
      </c>
      <c r="C6" s="11" t="s">
        <v>434</v>
      </c>
      <c r="E6" s="6">
        <f t="shared" si="0"/>
        <v>5</v>
      </c>
      <c r="F6" s="60" t="s">
        <v>778</v>
      </c>
      <c r="G6" s="60" t="s">
        <v>1012</v>
      </c>
      <c r="H6" s="6">
        <f t="shared" si="1"/>
        <v>4</v>
      </c>
      <c r="I6" s="180">
        <v>1.3</v>
      </c>
      <c r="J6" s="182">
        <v>5</v>
      </c>
      <c r="K6" s="179">
        <v>83.2</v>
      </c>
      <c r="L6" s="182">
        <v>5</v>
      </c>
      <c r="M6" s="268">
        <v>80.7</v>
      </c>
      <c r="N6" s="6">
        <v>5</v>
      </c>
      <c r="O6" s="216">
        <v>82.6</v>
      </c>
      <c r="P6" s="175" t="s">
        <v>979</v>
      </c>
      <c r="Q6" s="197" t="s">
        <v>74</v>
      </c>
      <c r="R6" s="198" t="s">
        <v>54</v>
      </c>
      <c r="S6" s="197" t="s">
        <v>1100</v>
      </c>
      <c r="W6" s="4"/>
      <c r="X6" s="4"/>
      <c r="Y6" s="58"/>
      <c r="Z6" s="58"/>
      <c r="AA6" s="58"/>
      <c r="AB6" s="58"/>
      <c r="AC6" s="58"/>
      <c r="AF6" s="58"/>
      <c r="AG6" s="58"/>
      <c r="AH6" s="58"/>
      <c r="AI6" s="58"/>
      <c r="AJ6" s="58"/>
      <c r="AK6" s="58"/>
      <c r="AL6" s="58"/>
    </row>
    <row r="7" spans="1:38" ht="18" customHeight="1" x14ac:dyDescent="0.3">
      <c r="A7" s="8" t="s">
        <v>1259</v>
      </c>
      <c r="B7" s="12" t="s">
        <v>435</v>
      </c>
      <c r="C7" s="8" t="s">
        <v>436</v>
      </c>
      <c r="E7" s="6">
        <f t="shared" si="0"/>
        <v>6</v>
      </c>
      <c r="F7" s="60" t="s">
        <v>872</v>
      </c>
      <c r="G7" s="60" t="s">
        <v>1013</v>
      </c>
      <c r="H7" s="6">
        <f t="shared" si="1"/>
        <v>5</v>
      </c>
      <c r="I7" s="180">
        <v>1.4</v>
      </c>
      <c r="J7" s="182">
        <v>5</v>
      </c>
      <c r="K7" s="179">
        <v>100</v>
      </c>
      <c r="L7" s="182">
        <v>5</v>
      </c>
      <c r="M7" s="273">
        <v>100</v>
      </c>
      <c r="N7" s="6">
        <v>5</v>
      </c>
      <c r="O7" s="216">
        <v>100</v>
      </c>
      <c r="P7" s="175" t="s">
        <v>978</v>
      </c>
      <c r="Q7" s="175" t="s">
        <v>662</v>
      </c>
      <c r="R7" s="199" t="s">
        <v>388</v>
      </c>
      <c r="S7" s="175"/>
      <c r="W7" s="4"/>
      <c r="X7" s="4"/>
      <c r="Y7" s="58"/>
      <c r="Z7" s="58"/>
      <c r="AA7" s="58"/>
      <c r="AB7" s="58"/>
      <c r="AC7" s="58"/>
      <c r="AF7" s="58"/>
      <c r="AG7" s="58"/>
      <c r="AH7" s="58"/>
      <c r="AI7" s="58"/>
      <c r="AJ7" s="58"/>
      <c r="AK7" s="58"/>
      <c r="AL7" s="58"/>
    </row>
    <row r="8" spans="1:38" ht="18" customHeight="1" x14ac:dyDescent="0.3">
      <c r="A8" s="8" t="s">
        <v>1260</v>
      </c>
      <c r="B8" s="9" t="s">
        <v>437</v>
      </c>
      <c r="C8" s="7" t="s">
        <v>438</v>
      </c>
      <c r="E8" s="6">
        <f t="shared" si="0"/>
        <v>7</v>
      </c>
      <c r="F8" s="60" t="s">
        <v>870</v>
      </c>
      <c r="G8" s="60" t="s">
        <v>1014</v>
      </c>
      <c r="H8" s="6">
        <f t="shared" si="1"/>
        <v>6</v>
      </c>
      <c r="I8" s="180">
        <v>2</v>
      </c>
      <c r="J8" s="182">
        <v>2</v>
      </c>
      <c r="K8" s="179">
        <v>0.75</v>
      </c>
      <c r="L8" s="182">
        <v>2</v>
      </c>
      <c r="M8" s="273">
        <v>0.75</v>
      </c>
      <c r="N8" s="6">
        <v>2</v>
      </c>
      <c r="O8" s="216">
        <v>0.75</v>
      </c>
      <c r="P8" s="175" t="s">
        <v>757</v>
      </c>
      <c r="Q8" s="197" t="s">
        <v>663</v>
      </c>
      <c r="R8" s="198" t="s">
        <v>52</v>
      </c>
      <c r="S8" s="197" t="s">
        <v>1201</v>
      </c>
      <c r="W8" s="4"/>
      <c r="X8" s="4"/>
      <c r="Y8" s="58"/>
      <c r="Z8" s="58"/>
      <c r="AA8" s="58"/>
      <c r="AB8" s="58"/>
      <c r="AC8" s="58"/>
      <c r="AF8" s="58"/>
      <c r="AG8" s="58"/>
      <c r="AH8" s="58"/>
      <c r="AI8" s="58"/>
      <c r="AJ8" s="58"/>
      <c r="AK8" s="58"/>
      <c r="AL8" s="58"/>
    </row>
    <row r="9" spans="1:38" ht="18" customHeight="1" x14ac:dyDescent="0.3">
      <c r="A9" s="8" t="s">
        <v>1261</v>
      </c>
      <c r="B9" s="9" t="s">
        <v>439</v>
      </c>
      <c r="C9" s="7" t="s">
        <v>440</v>
      </c>
      <c r="E9" s="6">
        <f t="shared" si="0"/>
        <v>8</v>
      </c>
      <c r="F9" s="60" t="s">
        <v>868</v>
      </c>
      <c r="G9" s="60" t="s">
        <v>1015</v>
      </c>
      <c r="H9" s="6">
        <f t="shared" si="1"/>
        <v>7</v>
      </c>
      <c r="I9" s="180">
        <v>2.1</v>
      </c>
      <c r="J9" s="182">
        <v>4</v>
      </c>
      <c r="K9" s="179">
        <v>43</v>
      </c>
      <c r="L9" s="182">
        <v>4</v>
      </c>
      <c r="M9" s="268">
        <v>35</v>
      </c>
      <c r="N9" s="217">
        <v>4</v>
      </c>
      <c r="O9" s="218">
        <v>41.9</v>
      </c>
      <c r="P9" s="175" t="s">
        <v>756</v>
      </c>
      <c r="Q9" s="197" t="s">
        <v>74</v>
      </c>
      <c r="R9" s="198" t="s">
        <v>54</v>
      </c>
      <c r="S9" s="197" t="s">
        <v>1100</v>
      </c>
      <c r="T9" s="175" t="s">
        <v>664</v>
      </c>
      <c r="W9" s="4"/>
      <c r="X9" s="4"/>
      <c r="Y9" s="58"/>
      <c r="Z9" s="58"/>
      <c r="AA9" s="58"/>
      <c r="AB9" s="58"/>
      <c r="AC9" s="58"/>
      <c r="AF9" s="58"/>
      <c r="AG9" s="58"/>
      <c r="AH9" s="58"/>
      <c r="AI9" s="58"/>
      <c r="AJ9" s="58"/>
      <c r="AK9" s="58"/>
      <c r="AL9" s="58"/>
    </row>
    <row r="10" spans="1:38" ht="18" customHeight="1" x14ac:dyDescent="0.3">
      <c r="A10" s="8" t="s">
        <v>1262</v>
      </c>
      <c r="B10" s="9" t="s">
        <v>1069</v>
      </c>
      <c r="C10" s="7" t="s">
        <v>440</v>
      </c>
      <c r="E10" s="6">
        <f t="shared" si="0"/>
        <v>9</v>
      </c>
      <c r="F10" s="60" t="s">
        <v>869</v>
      </c>
      <c r="G10" s="60" t="s">
        <v>1016</v>
      </c>
      <c r="H10" s="6">
        <f t="shared" si="1"/>
        <v>8</v>
      </c>
      <c r="I10" s="180">
        <v>2.2000000000000002</v>
      </c>
      <c r="J10" s="182">
        <v>5</v>
      </c>
      <c r="K10" s="179">
        <v>60.8</v>
      </c>
      <c r="L10" s="182">
        <v>5</v>
      </c>
      <c r="M10" s="268">
        <v>53.4</v>
      </c>
      <c r="N10" s="217">
        <v>5</v>
      </c>
      <c r="O10" s="218">
        <v>59.8</v>
      </c>
      <c r="P10" s="175" t="s">
        <v>755</v>
      </c>
      <c r="Q10" s="197" t="s">
        <v>663</v>
      </c>
      <c r="R10" s="198" t="s">
        <v>52</v>
      </c>
      <c r="S10" s="197" t="s">
        <v>1201</v>
      </c>
      <c r="W10" s="4"/>
      <c r="X10" s="4"/>
      <c r="Y10" s="58"/>
      <c r="Z10" s="58"/>
      <c r="AA10" s="58"/>
      <c r="AB10" s="58"/>
      <c r="AC10" s="58"/>
      <c r="AF10" s="58"/>
      <c r="AG10" s="58"/>
      <c r="AH10" s="58"/>
      <c r="AI10" s="58"/>
      <c r="AJ10" s="58"/>
      <c r="AK10" s="58"/>
      <c r="AL10" s="58"/>
    </row>
    <row r="11" spans="1:38" ht="18" customHeight="1" x14ac:dyDescent="0.3">
      <c r="A11" s="8" t="s">
        <v>1263</v>
      </c>
      <c r="B11" s="9" t="s">
        <v>1070</v>
      </c>
      <c r="C11" s="7" t="s">
        <v>440</v>
      </c>
      <c r="E11" s="6">
        <f t="shared" si="0"/>
        <v>10</v>
      </c>
      <c r="F11" s="60" t="s">
        <v>872</v>
      </c>
      <c r="G11" s="60" t="s">
        <v>1017</v>
      </c>
      <c r="H11" s="6">
        <f t="shared" si="1"/>
        <v>9</v>
      </c>
      <c r="I11" s="180">
        <v>2.2999999999999998</v>
      </c>
      <c r="J11" s="182">
        <v>5</v>
      </c>
      <c r="K11" s="179">
        <v>77.5</v>
      </c>
      <c r="L11" s="182">
        <v>5</v>
      </c>
      <c r="M11" s="268">
        <v>73.2</v>
      </c>
      <c r="N11" s="6">
        <v>5</v>
      </c>
      <c r="O11" s="216">
        <v>77.2</v>
      </c>
      <c r="P11" s="175" t="s">
        <v>534</v>
      </c>
      <c r="Q11" s="175" t="s">
        <v>665</v>
      </c>
      <c r="R11" s="199" t="s">
        <v>390</v>
      </c>
      <c r="S11" s="175"/>
      <c r="W11" s="4"/>
      <c r="X11" s="4"/>
      <c r="Y11" s="58"/>
      <c r="Z11" s="58"/>
      <c r="AA11" s="58"/>
      <c r="AB11" s="58"/>
      <c r="AC11" s="58"/>
      <c r="AF11" s="58"/>
      <c r="AG11" s="58"/>
      <c r="AH11" s="58"/>
      <c r="AI11" s="58"/>
      <c r="AJ11" s="58"/>
      <c r="AK11" s="58"/>
      <c r="AL11" s="58"/>
    </row>
    <row r="12" spans="1:38" ht="18" customHeight="1" x14ac:dyDescent="0.3">
      <c r="A12" s="8" t="s">
        <v>1264</v>
      </c>
      <c r="B12" s="9" t="s">
        <v>1244</v>
      </c>
      <c r="C12" s="7" t="s">
        <v>438</v>
      </c>
      <c r="E12" s="6">
        <f t="shared" si="0"/>
        <v>11</v>
      </c>
      <c r="F12" s="60" t="s">
        <v>776</v>
      </c>
      <c r="G12" s="60" t="s">
        <v>1018</v>
      </c>
      <c r="H12" s="6">
        <f t="shared" si="1"/>
        <v>10</v>
      </c>
      <c r="I12" s="180">
        <v>2.4</v>
      </c>
      <c r="J12" s="182">
        <v>5</v>
      </c>
      <c r="K12" s="179">
        <v>100</v>
      </c>
      <c r="L12" s="182">
        <v>5</v>
      </c>
      <c r="M12" s="273">
        <v>100</v>
      </c>
      <c r="N12" s="6">
        <v>5</v>
      </c>
      <c r="O12" s="216">
        <v>100</v>
      </c>
      <c r="P12" s="175" t="s">
        <v>533</v>
      </c>
      <c r="Q12" s="197" t="s">
        <v>663</v>
      </c>
      <c r="R12" s="198" t="s">
        <v>52</v>
      </c>
      <c r="S12" s="197" t="s">
        <v>1201</v>
      </c>
      <c r="W12" s="4"/>
      <c r="X12" s="4"/>
      <c r="Y12" s="58"/>
      <c r="Z12" s="58"/>
      <c r="AA12" s="58"/>
      <c r="AB12" s="58"/>
      <c r="AC12" s="58"/>
      <c r="AF12" s="58"/>
      <c r="AG12" s="58"/>
      <c r="AH12" s="58"/>
      <c r="AI12" s="58"/>
      <c r="AJ12" s="58"/>
      <c r="AK12" s="58"/>
      <c r="AL12" s="58"/>
    </row>
    <row r="13" spans="1:38" ht="18" customHeight="1" x14ac:dyDescent="0.3">
      <c r="A13" s="8" t="s">
        <v>1265</v>
      </c>
      <c r="B13" s="9" t="s">
        <v>9</v>
      </c>
      <c r="C13" s="7" t="s">
        <v>440</v>
      </c>
      <c r="E13" s="6">
        <f t="shared" si="0"/>
        <v>12</v>
      </c>
      <c r="F13" s="60" t="s">
        <v>597</v>
      </c>
      <c r="G13" s="60" t="s">
        <v>599</v>
      </c>
      <c r="H13" s="6">
        <f t="shared" si="1"/>
        <v>11</v>
      </c>
      <c r="I13" s="180">
        <v>3</v>
      </c>
      <c r="J13" s="182">
        <v>2</v>
      </c>
      <c r="K13" s="179">
        <v>1.5</v>
      </c>
      <c r="L13" s="182">
        <v>2</v>
      </c>
      <c r="M13" s="273">
        <v>1.5</v>
      </c>
      <c r="N13" s="6">
        <v>2</v>
      </c>
      <c r="O13" s="216">
        <v>1.5</v>
      </c>
      <c r="P13" s="175" t="s">
        <v>532</v>
      </c>
      <c r="Q13" s="197" t="s">
        <v>666</v>
      </c>
      <c r="R13" s="198" t="s">
        <v>394</v>
      </c>
      <c r="S13" s="197" t="s">
        <v>166</v>
      </c>
      <c r="W13" s="4"/>
      <c r="X13" s="4"/>
      <c r="Y13" s="58"/>
      <c r="Z13" s="58"/>
      <c r="AA13" s="58"/>
      <c r="AB13" s="58"/>
      <c r="AC13" s="58"/>
      <c r="AF13" s="58"/>
      <c r="AG13" s="58"/>
      <c r="AH13" s="58"/>
      <c r="AI13" s="58"/>
      <c r="AJ13" s="58"/>
      <c r="AK13" s="58"/>
      <c r="AL13" s="58"/>
    </row>
    <row r="14" spans="1:38" ht="18" customHeight="1" x14ac:dyDescent="0.3">
      <c r="A14" s="377" t="s">
        <v>1266</v>
      </c>
      <c r="B14" s="378" t="s">
        <v>10</v>
      </c>
      <c r="C14" s="7" t="s">
        <v>440</v>
      </c>
      <c r="E14" s="6">
        <f t="shared" si="0"/>
        <v>13</v>
      </c>
      <c r="F14" s="60" t="s">
        <v>871</v>
      </c>
      <c r="G14" s="60" t="s">
        <v>1019</v>
      </c>
      <c r="H14" s="6">
        <f t="shared" si="1"/>
        <v>12</v>
      </c>
      <c r="I14" s="180">
        <v>3.1</v>
      </c>
      <c r="J14" s="182">
        <v>4</v>
      </c>
      <c r="K14" s="179">
        <v>44.8</v>
      </c>
      <c r="L14" s="182">
        <v>4</v>
      </c>
      <c r="M14" s="268">
        <v>39.9</v>
      </c>
      <c r="N14" s="217">
        <v>4</v>
      </c>
      <c r="O14" s="218">
        <v>44.1</v>
      </c>
      <c r="P14" s="20" t="s">
        <v>531</v>
      </c>
      <c r="Q14" s="197" t="s">
        <v>74</v>
      </c>
      <c r="R14" s="198" t="s">
        <v>54</v>
      </c>
      <c r="S14" s="197" t="s">
        <v>1100</v>
      </c>
      <c r="W14" s="4"/>
      <c r="X14" s="4"/>
      <c r="Y14" s="58"/>
      <c r="Z14" s="58"/>
      <c r="AA14" s="58"/>
      <c r="AB14" s="58"/>
      <c r="AC14" s="58"/>
      <c r="AF14" s="58"/>
      <c r="AG14" s="58"/>
      <c r="AH14" s="58"/>
      <c r="AI14" s="58"/>
      <c r="AJ14" s="58"/>
      <c r="AK14" s="58"/>
      <c r="AL14" s="58"/>
    </row>
    <row r="15" spans="1:38" ht="18" customHeight="1" x14ac:dyDescent="0.3">
      <c r="A15" s="377"/>
      <c r="B15" s="378"/>
      <c r="C15" s="7" t="s">
        <v>11</v>
      </c>
      <c r="E15" s="6">
        <f t="shared" si="0"/>
        <v>14</v>
      </c>
      <c r="F15" s="60" t="s">
        <v>600</v>
      </c>
      <c r="G15" s="60" t="s">
        <v>566</v>
      </c>
      <c r="H15" s="6">
        <f t="shared" si="1"/>
        <v>13</v>
      </c>
      <c r="I15" s="180">
        <v>3.2</v>
      </c>
      <c r="J15" s="182">
        <v>5</v>
      </c>
      <c r="K15" s="179">
        <v>61.6</v>
      </c>
      <c r="L15" s="182">
        <v>5</v>
      </c>
      <c r="M15" s="268">
        <v>57.3</v>
      </c>
      <c r="N15" s="217">
        <v>5</v>
      </c>
      <c r="O15" s="218">
        <v>61.1</v>
      </c>
      <c r="P15" s="175" t="s">
        <v>530</v>
      </c>
      <c r="Q15" s="175" t="s">
        <v>668</v>
      </c>
      <c r="R15" s="199">
        <v>34</v>
      </c>
      <c r="S15" s="175"/>
      <c r="W15" s="4"/>
      <c r="X15" s="4"/>
      <c r="Y15" s="58"/>
      <c r="Z15" s="58"/>
      <c r="AA15" s="58"/>
      <c r="AB15" s="58"/>
      <c r="AC15" s="58"/>
      <c r="AF15" s="58"/>
      <c r="AG15" s="58"/>
      <c r="AH15" s="58"/>
      <c r="AI15" s="58"/>
      <c r="AJ15" s="58"/>
      <c r="AK15" s="58"/>
      <c r="AL15" s="58"/>
    </row>
    <row r="16" spans="1:38" ht="18" customHeight="1" x14ac:dyDescent="0.3">
      <c r="A16" s="377"/>
      <c r="B16" s="378"/>
      <c r="C16" s="7" t="s">
        <v>12</v>
      </c>
      <c r="E16" s="6">
        <f t="shared" si="0"/>
        <v>15</v>
      </c>
      <c r="F16" s="60" t="s">
        <v>66</v>
      </c>
      <c r="G16" s="60" t="s">
        <v>571</v>
      </c>
      <c r="H16" s="6">
        <f t="shared" si="1"/>
        <v>14</v>
      </c>
      <c r="I16" s="180">
        <v>3.3</v>
      </c>
      <c r="J16" s="182">
        <v>5</v>
      </c>
      <c r="K16" s="179">
        <v>78.400000000000006</v>
      </c>
      <c r="L16" s="182">
        <v>5</v>
      </c>
      <c r="M16" s="268">
        <v>76.8</v>
      </c>
      <c r="N16" s="217">
        <v>5</v>
      </c>
      <c r="O16" s="218">
        <v>78.400000000000006</v>
      </c>
      <c r="P16" s="175" t="s">
        <v>529</v>
      </c>
      <c r="Q16" s="197" t="s">
        <v>669</v>
      </c>
      <c r="R16" s="198" t="s">
        <v>625</v>
      </c>
      <c r="S16" s="197" t="s">
        <v>1224</v>
      </c>
      <c r="W16" s="4"/>
      <c r="X16" s="4"/>
      <c r="Y16" s="58"/>
      <c r="Z16" s="58"/>
      <c r="AA16" s="58"/>
      <c r="AB16" s="58"/>
      <c r="AC16" s="58"/>
      <c r="AF16" s="58"/>
      <c r="AG16" s="58"/>
      <c r="AH16" s="58"/>
      <c r="AI16" s="58"/>
      <c r="AJ16" s="58"/>
      <c r="AK16" s="58"/>
      <c r="AL16" s="58"/>
    </row>
    <row r="17" spans="1:38" ht="18" customHeight="1" x14ac:dyDescent="0.3">
      <c r="A17" s="8" t="s">
        <v>1267</v>
      </c>
      <c r="B17" s="9" t="s">
        <v>13</v>
      </c>
      <c r="C17" s="7" t="s">
        <v>440</v>
      </c>
      <c r="E17" s="6">
        <f t="shared" si="0"/>
        <v>16</v>
      </c>
      <c r="F17" s="60" t="s">
        <v>569</v>
      </c>
      <c r="G17" s="60" t="s">
        <v>570</v>
      </c>
      <c r="H17" s="6">
        <f t="shared" si="1"/>
        <v>15</v>
      </c>
      <c r="I17" s="180">
        <v>3.4</v>
      </c>
      <c r="J17" s="182">
        <v>5</v>
      </c>
      <c r="K17" s="179">
        <v>100</v>
      </c>
      <c r="L17" s="182">
        <v>5</v>
      </c>
      <c r="M17" s="273">
        <v>100</v>
      </c>
      <c r="N17" s="6">
        <v>5</v>
      </c>
      <c r="O17" s="216">
        <v>100</v>
      </c>
      <c r="P17" s="20" t="s">
        <v>751</v>
      </c>
      <c r="Q17" s="197" t="s">
        <v>659</v>
      </c>
      <c r="R17" s="198" t="s">
        <v>1107</v>
      </c>
      <c r="S17" s="197" t="s">
        <v>396</v>
      </c>
      <c r="W17" s="4"/>
      <c r="X17" s="4"/>
      <c r="Y17" s="58"/>
      <c r="Z17" s="58"/>
      <c r="AA17" s="58"/>
      <c r="AB17" s="58"/>
      <c r="AC17" s="58"/>
      <c r="AF17" s="58"/>
      <c r="AG17" s="58"/>
      <c r="AH17" s="58"/>
      <c r="AI17" s="58"/>
      <c r="AJ17" s="58"/>
      <c r="AK17" s="58"/>
      <c r="AL17" s="58"/>
    </row>
    <row r="18" spans="1:38" ht="18" customHeight="1" x14ac:dyDescent="0.3">
      <c r="A18" s="8" t="s">
        <v>1268</v>
      </c>
      <c r="B18" s="9" t="s">
        <v>14</v>
      </c>
      <c r="C18" s="7" t="s">
        <v>440</v>
      </c>
      <c r="E18" s="6">
        <f t="shared" si="0"/>
        <v>17</v>
      </c>
      <c r="F18" s="60" t="s">
        <v>67</v>
      </c>
      <c r="G18" s="60" t="s">
        <v>68</v>
      </c>
      <c r="H18" s="6">
        <f t="shared" si="1"/>
        <v>16</v>
      </c>
      <c r="I18" s="180">
        <v>4</v>
      </c>
      <c r="J18" s="182">
        <v>2</v>
      </c>
      <c r="K18" s="179">
        <v>1.5</v>
      </c>
      <c r="L18" s="182">
        <v>2</v>
      </c>
      <c r="M18" s="273">
        <v>1.5</v>
      </c>
      <c r="N18" s="6">
        <v>2</v>
      </c>
      <c r="O18" s="216">
        <v>1.5</v>
      </c>
      <c r="P18" s="175" t="s">
        <v>750</v>
      </c>
      <c r="Q18" s="197" t="s">
        <v>659</v>
      </c>
      <c r="R18" s="198" t="s">
        <v>1107</v>
      </c>
      <c r="S18" s="197" t="s">
        <v>396</v>
      </c>
      <c r="W18" s="4"/>
      <c r="X18" s="4"/>
      <c r="Y18" s="58"/>
      <c r="Z18" s="58"/>
      <c r="AA18" s="58"/>
      <c r="AB18" s="58"/>
      <c r="AC18" s="58"/>
      <c r="AF18" s="58"/>
      <c r="AG18" s="58"/>
      <c r="AH18" s="58"/>
      <c r="AI18" s="58"/>
      <c r="AJ18" s="58"/>
      <c r="AK18" s="58"/>
      <c r="AL18" s="58"/>
    </row>
    <row r="19" spans="1:38" ht="18" customHeight="1" x14ac:dyDescent="0.3">
      <c r="A19" s="8" t="s">
        <v>1269</v>
      </c>
      <c r="B19" s="9" t="s">
        <v>15</v>
      </c>
      <c r="C19" s="7" t="s">
        <v>440</v>
      </c>
      <c r="E19" s="6">
        <f t="shared" si="0"/>
        <v>18</v>
      </c>
      <c r="F19" s="60" t="s">
        <v>1003</v>
      </c>
      <c r="G19" s="60" t="s">
        <v>1004</v>
      </c>
      <c r="H19" s="6">
        <f t="shared" si="1"/>
        <v>17</v>
      </c>
      <c r="I19" s="180">
        <v>4.0999999999999996</v>
      </c>
      <c r="J19" s="182">
        <v>4</v>
      </c>
      <c r="K19" s="179">
        <v>30.9</v>
      </c>
      <c r="L19" s="182">
        <v>4</v>
      </c>
      <c r="M19" s="268">
        <v>30.5</v>
      </c>
      <c r="N19" s="217">
        <v>4</v>
      </c>
      <c r="O19" s="218">
        <v>31.5</v>
      </c>
      <c r="P19" s="175" t="s">
        <v>749</v>
      </c>
      <c r="Q19" s="197" t="s">
        <v>659</v>
      </c>
      <c r="R19" s="198" t="s">
        <v>1107</v>
      </c>
      <c r="S19" s="197" t="s">
        <v>396</v>
      </c>
      <c r="W19" s="4"/>
      <c r="X19" s="4"/>
      <c r="Y19" s="58"/>
      <c r="Z19" s="58"/>
      <c r="AA19" s="58"/>
      <c r="AB19" s="58"/>
      <c r="AC19" s="58"/>
      <c r="AF19" s="58"/>
      <c r="AG19" s="58"/>
      <c r="AH19" s="58"/>
      <c r="AI19" s="58"/>
      <c r="AJ19" s="58"/>
      <c r="AK19" s="58"/>
      <c r="AL19" s="58"/>
    </row>
    <row r="20" spans="1:38" ht="18" customHeight="1" x14ac:dyDescent="0.3">
      <c r="A20" s="377" t="s">
        <v>916</v>
      </c>
      <c r="B20" s="378" t="s">
        <v>1052</v>
      </c>
      <c r="C20" s="7" t="s">
        <v>440</v>
      </c>
      <c r="E20" s="6">
        <f t="shared" si="0"/>
        <v>19</v>
      </c>
      <c r="F20" s="60" t="s">
        <v>1</v>
      </c>
      <c r="G20" s="60" t="s">
        <v>2</v>
      </c>
      <c r="H20" s="6">
        <f t="shared" si="1"/>
        <v>18</v>
      </c>
      <c r="I20" s="180">
        <v>4.2</v>
      </c>
      <c r="J20" s="182">
        <v>5</v>
      </c>
      <c r="K20" s="179">
        <v>49.2</v>
      </c>
      <c r="L20" s="182">
        <v>4</v>
      </c>
      <c r="M20" s="268">
        <v>47.8</v>
      </c>
      <c r="N20" s="217">
        <v>4</v>
      </c>
      <c r="O20" s="218">
        <v>49.4</v>
      </c>
      <c r="P20" s="175" t="s">
        <v>748</v>
      </c>
      <c r="Q20" s="197" t="s">
        <v>663</v>
      </c>
      <c r="R20" s="198" t="s">
        <v>52</v>
      </c>
      <c r="S20" s="197" t="s">
        <v>1201</v>
      </c>
      <c r="W20" s="4"/>
      <c r="X20" s="4"/>
      <c r="Y20" s="58"/>
      <c r="Z20" s="58"/>
      <c r="AA20" s="58"/>
      <c r="AB20" s="58"/>
      <c r="AC20" s="58"/>
      <c r="AF20" s="58"/>
      <c r="AG20" s="58"/>
      <c r="AH20" s="58"/>
      <c r="AI20" s="58"/>
      <c r="AJ20" s="58"/>
      <c r="AK20" s="58"/>
      <c r="AL20" s="58"/>
    </row>
    <row r="21" spans="1:38" ht="18" customHeight="1" x14ac:dyDescent="0.3">
      <c r="A21" s="377"/>
      <c r="B21" s="378"/>
      <c r="C21" s="7" t="s">
        <v>1053</v>
      </c>
      <c r="E21" s="6">
        <f t="shared" si="0"/>
        <v>20</v>
      </c>
      <c r="F21" s="60" t="s">
        <v>775</v>
      </c>
      <c r="G21" s="60" t="s">
        <v>1020</v>
      </c>
      <c r="H21" s="6">
        <f t="shared" si="1"/>
        <v>19</v>
      </c>
      <c r="I21" s="180">
        <v>4.3</v>
      </c>
      <c r="J21" s="182">
        <v>5</v>
      </c>
      <c r="K21" s="179">
        <v>65</v>
      </c>
      <c r="L21" s="182">
        <v>5</v>
      </c>
      <c r="M21" s="268">
        <v>63.8</v>
      </c>
      <c r="N21" s="217">
        <v>5</v>
      </c>
      <c r="O21" s="218">
        <v>65.099999999999994</v>
      </c>
      <c r="P21" s="175" t="s">
        <v>747</v>
      </c>
      <c r="Q21" s="197" t="s">
        <v>670</v>
      </c>
      <c r="R21" s="198" t="s">
        <v>634</v>
      </c>
      <c r="S21" s="197" t="s">
        <v>51</v>
      </c>
      <c r="W21" s="4"/>
      <c r="X21" s="4"/>
      <c r="Y21" s="58"/>
      <c r="Z21" s="58"/>
      <c r="AA21" s="58"/>
      <c r="AB21" s="58"/>
      <c r="AC21" s="58"/>
      <c r="AF21" s="58"/>
      <c r="AG21" s="58"/>
      <c r="AH21" s="58"/>
      <c r="AI21" s="58"/>
      <c r="AJ21" s="58"/>
      <c r="AK21" s="58"/>
      <c r="AL21" s="58"/>
    </row>
    <row r="22" spans="1:38" ht="18" customHeight="1" x14ac:dyDescent="0.3">
      <c r="A22" s="8" t="s">
        <v>917</v>
      </c>
      <c r="B22" s="9" t="s">
        <v>1054</v>
      </c>
      <c r="C22" s="7" t="s">
        <v>440</v>
      </c>
      <c r="E22" s="6">
        <f t="shared" si="0"/>
        <v>21</v>
      </c>
      <c r="F22" s="60" t="s">
        <v>3</v>
      </c>
      <c r="G22" s="60" t="s">
        <v>4</v>
      </c>
      <c r="H22" s="6">
        <f t="shared" si="1"/>
        <v>20</v>
      </c>
      <c r="I22" s="180">
        <v>4.4000000000000004</v>
      </c>
      <c r="J22" s="182">
        <v>5</v>
      </c>
      <c r="K22" s="179">
        <v>100</v>
      </c>
      <c r="L22" s="182">
        <v>5</v>
      </c>
      <c r="M22" s="273">
        <v>100</v>
      </c>
      <c r="N22" s="6">
        <v>5</v>
      </c>
      <c r="O22" s="216">
        <v>100</v>
      </c>
      <c r="P22" s="175" t="s">
        <v>746</v>
      </c>
      <c r="Q22" s="197" t="s">
        <v>671</v>
      </c>
      <c r="R22" s="198" t="s">
        <v>630</v>
      </c>
      <c r="S22" s="197" t="s">
        <v>1235</v>
      </c>
      <c r="W22" s="4"/>
      <c r="X22" s="4"/>
      <c r="Y22" s="58"/>
      <c r="Z22" s="58"/>
      <c r="AA22" s="58"/>
      <c r="AB22" s="58"/>
      <c r="AC22" s="58"/>
      <c r="AF22" s="58"/>
      <c r="AG22" s="58"/>
      <c r="AH22" s="58"/>
      <c r="AI22" s="58"/>
      <c r="AJ22" s="58"/>
      <c r="AK22" s="58"/>
      <c r="AL22" s="58"/>
    </row>
    <row r="23" spans="1:38" ht="18" customHeight="1" x14ac:dyDescent="0.3">
      <c r="A23" s="8" t="s">
        <v>918</v>
      </c>
      <c r="B23" s="9" t="s">
        <v>1055</v>
      </c>
      <c r="C23" s="7" t="s">
        <v>440</v>
      </c>
      <c r="E23" s="6">
        <f t="shared" si="0"/>
        <v>22</v>
      </c>
      <c r="F23" s="60" t="s">
        <v>5</v>
      </c>
      <c r="G23" s="60" t="s">
        <v>6</v>
      </c>
      <c r="H23" s="6">
        <f t="shared" si="1"/>
        <v>21</v>
      </c>
      <c r="I23" s="180">
        <v>6</v>
      </c>
      <c r="J23" s="182">
        <v>2</v>
      </c>
      <c r="K23" s="179">
        <v>1.5</v>
      </c>
      <c r="L23" s="182">
        <v>2</v>
      </c>
      <c r="M23" s="179">
        <v>1.5</v>
      </c>
      <c r="N23" s="6">
        <v>2</v>
      </c>
      <c r="O23" s="216">
        <v>1.5</v>
      </c>
      <c r="P23" s="175" t="s">
        <v>1363</v>
      </c>
      <c r="Q23" s="197" t="s">
        <v>659</v>
      </c>
      <c r="R23" s="198" t="s">
        <v>1107</v>
      </c>
      <c r="S23" s="197" t="s">
        <v>396</v>
      </c>
      <c r="W23" s="4"/>
      <c r="X23" s="4"/>
      <c r="Y23" s="58"/>
      <c r="Z23" s="58"/>
      <c r="AA23" s="58"/>
      <c r="AB23" s="58"/>
      <c r="AC23" s="58"/>
      <c r="AF23" s="58"/>
      <c r="AG23" s="58"/>
      <c r="AH23" s="58"/>
      <c r="AI23" s="58"/>
      <c r="AJ23" s="58"/>
      <c r="AK23" s="58"/>
      <c r="AL23" s="58"/>
    </row>
    <row r="24" spans="1:38" ht="18" customHeight="1" x14ac:dyDescent="0.3">
      <c r="A24" s="377" t="s">
        <v>919</v>
      </c>
      <c r="B24" s="378" t="s">
        <v>1056</v>
      </c>
      <c r="C24" s="7" t="s">
        <v>440</v>
      </c>
      <c r="E24" s="6">
        <f t="shared" si="0"/>
        <v>23</v>
      </c>
      <c r="F24" s="60" t="s">
        <v>7</v>
      </c>
      <c r="G24" s="60" t="s">
        <v>951</v>
      </c>
      <c r="H24" s="6">
        <f t="shared" si="1"/>
        <v>22</v>
      </c>
      <c r="I24" s="180">
        <v>6.1</v>
      </c>
      <c r="J24" s="182">
        <v>4</v>
      </c>
      <c r="K24" s="179">
        <v>33.4</v>
      </c>
      <c r="L24" s="182">
        <v>4</v>
      </c>
      <c r="M24" s="268">
        <v>30.5</v>
      </c>
      <c r="N24" s="217">
        <v>4</v>
      </c>
      <c r="O24" s="218">
        <v>32.5</v>
      </c>
      <c r="P24" s="175" t="s">
        <v>1362</v>
      </c>
      <c r="Q24" s="197" t="s">
        <v>659</v>
      </c>
      <c r="R24" s="198" t="s">
        <v>1107</v>
      </c>
      <c r="S24" s="197" t="s">
        <v>396</v>
      </c>
      <c r="W24" s="4"/>
      <c r="X24" s="4"/>
      <c r="Y24" s="58"/>
      <c r="Z24" s="58"/>
      <c r="AA24" s="58"/>
      <c r="AB24" s="58"/>
      <c r="AC24" s="58"/>
      <c r="AF24" s="58"/>
      <c r="AG24" s="58"/>
      <c r="AH24" s="58"/>
      <c r="AI24" s="58"/>
      <c r="AJ24" s="58"/>
      <c r="AK24" s="58"/>
      <c r="AL24" s="58"/>
    </row>
    <row r="25" spans="1:38" ht="18" customHeight="1" x14ac:dyDescent="0.3">
      <c r="A25" s="377"/>
      <c r="B25" s="378"/>
      <c r="C25" s="7" t="s">
        <v>1057</v>
      </c>
      <c r="E25" s="6">
        <f t="shared" si="0"/>
        <v>24</v>
      </c>
      <c r="F25" s="60" t="s">
        <v>990</v>
      </c>
      <c r="G25" s="60" t="s">
        <v>989</v>
      </c>
      <c r="H25" s="6">
        <f t="shared" si="1"/>
        <v>23</v>
      </c>
      <c r="I25" s="180">
        <v>6.2</v>
      </c>
      <c r="J25" s="182">
        <v>5</v>
      </c>
      <c r="K25" s="179">
        <v>51.5</v>
      </c>
      <c r="L25" s="182">
        <v>4</v>
      </c>
      <c r="M25" s="268">
        <v>49.5</v>
      </c>
      <c r="N25" s="217">
        <v>5</v>
      </c>
      <c r="O25" s="218">
        <v>50.8</v>
      </c>
      <c r="P25" s="175" t="s">
        <v>1163</v>
      </c>
      <c r="Q25" s="197" t="s">
        <v>672</v>
      </c>
      <c r="R25" s="198" t="s">
        <v>400</v>
      </c>
      <c r="S25" s="197" t="s">
        <v>405</v>
      </c>
      <c r="W25" s="4"/>
      <c r="X25" s="4"/>
      <c r="Y25" s="58"/>
      <c r="Z25" s="58"/>
      <c r="AA25" s="58"/>
      <c r="AB25" s="58"/>
      <c r="AC25" s="58"/>
      <c r="AF25" s="58"/>
      <c r="AG25" s="58"/>
      <c r="AH25" s="58"/>
      <c r="AI25" s="58"/>
      <c r="AJ25" s="58"/>
      <c r="AK25" s="58"/>
      <c r="AL25" s="58"/>
    </row>
    <row r="26" spans="1:38" ht="18" customHeight="1" x14ac:dyDescent="0.3">
      <c r="A26" s="8" t="s">
        <v>920</v>
      </c>
      <c r="B26" s="9" t="s">
        <v>1058</v>
      </c>
      <c r="C26" s="7" t="s">
        <v>440</v>
      </c>
      <c r="E26" s="6">
        <f t="shared" si="0"/>
        <v>25</v>
      </c>
      <c r="F26" s="60" t="s">
        <v>991</v>
      </c>
      <c r="G26" s="60" t="s">
        <v>992</v>
      </c>
      <c r="H26" s="6">
        <f t="shared" si="1"/>
        <v>24</v>
      </c>
      <c r="I26" s="180">
        <v>6.3</v>
      </c>
      <c r="J26" s="182">
        <v>5</v>
      </c>
      <c r="K26" s="179">
        <v>70.900000000000006</v>
      </c>
      <c r="L26" s="182">
        <v>5</v>
      </c>
      <c r="M26" s="268">
        <v>71.3</v>
      </c>
      <c r="N26" s="217">
        <v>5</v>
      </c>
      <c r="O26" s="218">
        <v>70.8</v>
      </c>
      <c r="P26" s="175" t="s">
        <v>1361</v>
      </c>
      <c r="Q26" s="197" t="s">
        <v>663</v>
      </c>
      <c r="R26" s="198" t="s">
        <v>52</v>
      </c>
      <c r="S26" s="197" t="s">
        <v>1201</v>
      </c>
      <c r="W26" s="4"/>
      <c r="X26" s="4"/>
      <c r="Y26" s="58"/>
      <c r="Z26" s="58"/>
      <c r="AA26" s="58"/>
      <c r="AB26" s="58"/>
      <c r="AC26" s="58"/>
      <c r="AF26" s="58"/>
      <c r="AG26" s="58"/>
      <c r="AH26" s="305"/>
      <c r="AI26" s="58"/>
      <c r="AJ26" s="58"/>
      <c r="AK26" s="58"/>
      <c r="AL26" s="58"/>
    </row>
    <row r="27" spans="1:38" ht="18" customHeight="1" x14ac:dyDescent="0.3">
      <c r="A27" s="8" t="s">
        <v>921</v>
      </c>
      <c r="B27" s="9" t="s">
        <v>1059</v>
      </c>
      <c r="C27" s="8" t="s">
        <v>440</v>
      </c>
      <c r="E27" s="6">
        <f t="shared" si="0"/>
        <v>26</v>
      </c>
      <c r="F27" s="60" t="s">
        <v>993</v>
      </c>
      <c r="G27" s="60" t="s">
        <v>994</v>
      </c>
      <c r="H27" s="6">
        <f t="shared" si="1"/>
        <v>25</v>
      </c>
      <c r="I27" s="180">
        <v>6.4</v>
      </c>
      <c r="J27" s="182">
        <v>5</v>
      </c>
      <c r="K27" s="179">
        <v>100</v>
      </c>
      <c r="L27" s="182">
        <v>5</v>
      </c>
      <c r="M27" s="179">
        <v>100</v>
      </c>
      <c r="N27" s="6">
        <v>5</v>
      </c>
      <c r="O27" s="216">
        <v>100</v>
      </c>
      <c r="P27" s="175" t="s">
        <v>1162</v>
      </c>
      <c r="Q27" s="197" t="s">
        <v>659</v>
      </c>
      <c r="R27" s="198" t="s">
        <v>1107</v>
      </c>
      <c r="S27" s="197" t="s">
        <v>396</v>
      </c>
      <c r="W27" s="4"/>
      <c r="X27" s="4"/>
      <c r="Y27" s="58"/>
      <c r="Z27" s="58"/>
      <c r="AA27" s="58"/>
      <c r="AB27" s="58"/>
      <c r="AC27" s="58"/>
      <c r="AF27" s="58"/>
      <c r="AG27" s="58"/>
      <c r="AH27" s="58"/>
      <c r="AI27" s="58"/>
      <c r="AJ27" s="58"/>
      <c r="AK27" s="58"/>
      <c r="AL27" s="58"/>
    </row>
    <row r="28" spans="1:38" ht="18" customHeight="1" x14ac:dyDescent="0.3">
      <c r="A28" s="8" t="s">
        <v>922</v>
      </c>
      <c r="B28" s="9" t="s">
        <v>1060</v>
      </c>
      <c r="C28" s="7" t="s">
        <v>440</v>
      </c>
      <c r="E28" s="6">
        <f t="shared" si="0"/>
        <v>27</v>
      </c>
      <c r="F28" s="60" t="s">
        <v>867</v>
      </c>
      <c r="G28" s="60" t="s">
        <v>1021</v>
      </c>
      <c r="H28" s="6">
        <f t="shared" si="1"/>
        <v>26</v>
      </c>
      <c r="I28" s="183" t="s">
        <v>953</v>
      </c>
      <c r="J28" s="182">
        <v>5</v>
      </c>
      <c r="K28" s="179">
        <v>100</v>
      </c>
      <c r="L28" s="182">
        <v>5</v>
      </c>
      <c r="M28" s="179">
        <v>100</v>
      </c>
      <c r="N28" s="6">
        <v>5</v>
      </c>
      <c r="O28" s="216">
        <v>100</v>
      </c>
      <c r="P28" s="175" t="s">
        <v>1161</v>
      </c>
      <c r="Q28" s="197" t="s">
        <v>673</v>
      </c>
      <c r="R28" s="198" t="s">
        <v>947</v>
      </c>
      <c r="S28" s="197" t="s">
        <v>53</v>
      </c>
      <c r="W28" s="4"/>
      <c r="X28" s="4"/>
      <c r="Y28" s="58"/>
      <c r="Z28" s="58"/>
      <c r="AA28" s="58"/>
      <c r="AB28" s="58"/>
      <c r="AC28" s="58"/>
      <c r="AF28" s="58"/>
      <c r="AG28" s="58"/>
      <c r="AH28" s="58"/>
      <c r="AI28" s="58"/>
      <c r="AJ28" s="58"/>
      <c r="AK28" s="58"/>
      <c r="AL28" s="58"/>
    </row>
    <row r="29" spans="1:38" ht="18" customHeight="1" x14ac:dyDescent="0.3">
      <c r="A29" s="8" t="s">
        <v>923</v>
      </c>
      <c r="B29" s="9" t="s">
        <v>1061</v>
      </c>
      <c r="C29" s="11" t="s">
        <v>1057</v>
      </c>
      <c r="E29" s="6">
        <f t="shared" si="0"/>
        <v>28</v>
      </c>
      <c r="F29" s="60" t="s">
        <v>995</v>
      </c>
      <c r="G29" s="60" t="s">
        <v>996</v>
      </c>
      <c r="H29" s="6">
        <f t="shared" si="1"/>
        <v>27</v>
      </c>
      <c r="I29" s="180">
        <v>5</v>
      </c>
      <c r="J29" s="182">
        <v>2</v>
      </c>
      <c r="K29" s="179">
        <v>1.5</v>
      </c>
      <c r="L29" s="182">
        <v>2</v>
      </c>
      <c r="M29" s="179">
        <v>1.5</v>
      </c>
      <c r="N29" s="6">
        <v>2</v>
      </c>
      <c r="O29" s="6">
        <v>1.5</v>
      </c>
      <c r="P29" s="175" t="s">
        <v>1160</v>
      </c>
      <c r="Q29" s="197" t="s">
        <v>659</v>
      </c>
      <c r="R29" s="198" t="s">
        <v>1107</v>
      </c>
      <c r="S29" s="197" t="s">
        <v>396</v>
      </c>
      <c r="W29" s="4"/>
      <c r="X29" s="4"/>
      <c r="Y29" s="58"/>
      <c r="Z29" s="58"/>
      <c r="AA29" s="58"/>
      <c r="AB29" s="58"/>
      <c r="AC29" s="58"/>
      <c r="AF29" s="58"/>
      <c r="AG29" s="58"/>
      <c r="AH29" s="58"/>
      <c r="AI29" s="58"/>
      <c r="AJ29" s="58"/>
      <c r="AK29" s="58"/>
      <c r="AL29" s="58"/>
    </row>
    <row r="30" spans="1:38" ht="18" customHeight="1" x14ac:dyDescent="0.3">
      <c r="A30" s="8" t="s">
        <v>572</v>
      </c>
      <c r="B30" s="9" t="s">
        <v>1062</v>
      </c>
      <c r="C30" s="7" t="s">
        <v>1063</v>
      </c>
      <c r="E30" s="6">
        <f t="shared" si="0"/>
        <v>29</v>
      </c>
      <c r="F30" s="60" t="s">
        <v>1005</v>
      </c>
      <c r="G30" s="60" t="s">
        <v>1006</v>
      </c>
      <c r="H30" s="6">
        <f t="shared" si="1"/>
        <v>28</v>
      </c>
      <c r="I30" s="180">
        <v>5.0999999999999996</v>
      </c>
      <c r="J30" s="182">
        <v>4</v>
      </c>
      <c r="K30" s="179">
        <v>35</v>
      </c>
      <c r="L30" s="182">
        <v>4</v>
      </c>
      <c r="M30" s="268">
        <v>32.1</v>
      </c>
      <c r="N30" s="6">
        <v>4</v>
      </c>
      <c r="O30" s="6">
        <v>34.1</v>
      </c>
      <c r="P30" s="175" t="s">
        <v>1159</v>
      </c>
      <c r="Q30" s="197" t="s">
        <v>74</v>
      </c>
      <c r="R30" s="198" t="s">
        <v>54</v>
      </c>
      <c r="S30" s="197" t="s">
        <v>1100</v>
      </c>
      <c r="W30" s="4"/>
      <c r="X30" s="4"/>
      <c r="Y30" s="58"/>
      <c r="Z30" s="58"/>
      <c r="AA30" s="58"/>
      <c r="AB30" s="58"/>
      <c r="AC30" s="58"/>
      <c r="AF30" s="58"/>
      <c r="AG30" s="58"/>
      <c r="AH30" s="58"/>
      <c r="AI30" s="58"/>
      <c r="AJ30" s="58"/>
      <c r="AK30" s="58"/>
      <c r="AL30" s="58"/>
    </row>
    <row r="31" spans="1:38" ht="18" customHeight="1" x14ac:dyDescent="0.3">
      <c r="A31" s="8" t="s">
        <v>573</v>
      </c>
      <c r="B31" s="9" t="s">
        <v>1064</v>
      </c>
      <c r="C31" s="7" t="s">
        <v>1065</v>
      </c>
      <c r="E31" s="6">
        <f t="shared" si="0"/>
        <v>30</v>
      </c>
      <c r="F31" s="60" t="s">
        <v>874</v>
      </c>
      <c r="G31" s="60" t="s">
        <v>1022</v>
      </c>
      <c r="H31" s="6">
        <f t="shared" si="1"/>
        <v>29</v>
      </c>
      <c r="I31" s="180">
        <v>5.2</v>
      </c>
      <c r="J31" s="182">
        <v>5</v>
      </c>
      <c r="K31" s="179">
        <v>54</v>
      </c>
      <c r="L31" s="182">
        <v>5</v>
      </c>
      <c r="M31" s="268">
        <v>51.9</v>
      </c>
      <c r="N31" s="6">
        <v>5</v>
      </c>
      <c r="O31" s="6">
        <v>53.3</v>
      </c>
      <c r="P31" s="175" t="s">
        <v>1158</v>
      </c>
      <c r="Q31" s="197" t="s">
        <v>663</v>
      </c>
      <c r="R31" s="198" t="s">
        <v>52</v>
      </c>
      <c r="S31" s="197" t="s">
        <v>1201</v>
      </c>
      <c r="W31" s="4"/>
      <c r="X31" s="4"/>
      <c r="Y31" s="58"/>
      <c r="Z31" s="58"/>
      <c r="AA31" s="58"/>
      <c r="AB31" s="58"/>
      <c r="AC31" s="58"/>
      <c r="AF31" s="58"/>
      <c r="AG31" s="58"/>
      <c r="AH31" s="58"/>
      <c r="AI31" s="305"/>
      <c r="AJ31" s="58"/>
      <c r="AK31" s="58"/>
      <c r="AL31" s="58"/>
    </row>
    <row r="32" spans="1:38" ht="18" customHeight="1" x14ac:dyDescent="0.3">
      <c r="A32" s="8" t="s">
        <v>574</v>
      </c>
      <c r="B32" s="9" t="s">
        <v>1066</v>
      </c>
      <c r="C32" s="7" t="s">
        <v>1065</v>
      </c>
      <c r="E32" s="6">
        <f>E31+1</f>
        <v>31</v>
      </c>
      <c r="F32" s="60" t="s">
        <v>777</v>
      </c>
      <c r="G32" s="60" t="s">
        <v>1023</v>
      </c>
      <c r="H32" s="6">
        <f t="shared" si="1"/>
        <v>30</v>
      </c>
      <c r="I32" s="180">
        <v>5.3</v>
      </c>
      <c r="J32" s="182">
        <v>5</v>
      </c>
      <c r="K32" s="179">
        <v>74.400000000000006</v>
      </c>
      <c r="L32" s="182">
        <v>5</v>
      </c>
      <c r="M32" s="268">
        <v>74.900000000000006</v>
      </c>
      <c r="N32" s="6">
        <v>5</v>
      </c>
      <c r="O32" s="6">
        <v>74.3</v>
      </c>
      <c r="P32" s="175" t="s">
        <v>1157</v>
      </c>
      <c r="Q32" s="197" t="s">
        <v>70</v>
      </c>
      <c r="R32" s="198" t="s">
        <v>50</v>
      </c>
      <c r="S32" s="197" t="s">
        <v>630</v>
      </c>
      <c r="W32" s="4"/>
      <c r="X32" s="4"/>
      <c r="Y32" s="58"/>
      <c r="Z32" s="58"/>
      <c r="AA32" s="58"/>
      <c r="AB32" s="58"/>
      <c r="AC32" s="58"/>
      <c r="AF32" s="58"/>
      <c r="AG32" s="58"/>
      <c r="AH32" s="58"/>
      <c r="AI32" s="58"/>
      <c r="AJ32" s="58"/>
      <c r="AK32" s="58"/>
      <c r="AL32" s="58"/>
    </row>
    <row r="33" spans="1:38" ht="18" customHeight="1" x14ac:dyDescent="0.3">
      <c r="A33" s="377" t="s">
        <v>575</v>
      </c>
      <c r="B33" s="378" t="s">
        <v>1067</v>
      </c>
      <c r="C33" s="7" t="s">
        <v>1167</v>
      </c>
      <c r="E33" s="6">
        <f t="shared" si="0"/>
        <v>32</v>
      </c>
      <c r="F33" s="60" t="s">
        <v>873</v>
      </c>
      <c r="G33" s="60" t="s">
        <v>598</v>
      </c>
      <c r="H33" s="6">
        <f t="shared" si="1"/>
        <v>31</v>
      </c>
      <c r="I33" s="180">
        <v>5.4</v>
      </c>
      <c r="J33" s="182">
        <v>5</v>
      </c>
      <c r="K33" s="179">
        <v>100</v>
      </c>
      <c r="L33" s="182">
        <v>5</v>
      </c>
      <c r="M33" s="179">
        <v>100</v>
      </c>
      <c r="N33" s="6">
        <v>5</v>
      </c>
      <c r="O33" s="6">
        <v>100</v>
      </c>
      <c r="P33" s="175" t="s">
        <v>1156</v>
      </c>
      <c r="Q33" s="197" t="s">
        <v>74</v>
      </c>
      <c r="R33" s="198" t="s">
        <v>54</v>
      </c>
      <c r="S33" s="197" t="s">
        <v>1100</v>
      </c>
      <c r="W33" s="4"/>
      <c r="X33" s="4"/>
      <c r="Y33" s="58"/>
      <c r="Z33" s="58"/>
      <c r="AA33" s="58"/>
      <c r="AB33" s="58"/>
      <c r="AC33" s="58"/>
      <c r="AF33" s="58"/>
      <c r="AG33" s="58"/>
      <c r="AH33" s="58"/>
      <c r="AI33" s="58"/>
      <c r="AJ33" s="58"/>
      <c r="AK33" s="58"/>
      <c r="AL33" s="58"/>
    </row>
    <row r="34" spans="1:38" ht="18" customHeight="1" x14ac:dyDescent="0.3">
      <c r="A34" s="377"/>
      <c r="B34" s="378"/>
      <c r="C34" s="7" t="s">
        <v>1168</v>
      </c>
      <c r="E34" s="6">
        <f>E33+1</f>
        <v>33</v>
      </c>
      <c r="F34" s="60" t="s">
        <v>774</v>
      </c>
      <c r="G34" s="60" t="s">
        <v>772</v>
      </c>
      <c r="H34" s="6">
        <f t="shared" si="1"/>
        <v>32</v>
      </c>
      <c r="I34" s="180">
        <v>7</v>
      </c>
      <c r="J34" s="182">
        <v>2</v>
      </c>
      <c r="K34" s="179">
        <v>1.5</v>
      </c>
      <c r="L34" s="182">
        <v>2</v>
      </c>
      <c r="M34" s="179">
        <v>1.5</v>
      </c>
      <c r="P34" s="175" t="s">
        <v>1155</v>
      </c>
      <c r="Q34" s="197" t="s">
        <v>74</v>
      </c>
      <c r="R34" s="198" t="s">
        <v>54</v>
      </c>
      <c r="S34" s="197" t="s">
        <v>1100</v>
      </c>
      <c r="W34" s="4"/>
      <c r="X34" s="4"/>
      <c r="Y34" s="58"/>
      <c r="Z34" s="58"/>
      <c r="AA34" s="58"/>
      <c r="AB34" s="58"/>
      <c r="AC34" s="58"/>
      <c r="AF34" s="58"/>
      <c r="AG34" s="58"/>
      <c r="AH34" s="58"/>
      <c r="AI34" s="58"/>
      <c r="AJ34" s="58"/>
      <c r="AK34" s="58"/>
      <c r="AL34" s="58"/>
    </row>
    <row r="35" spans="1:38" ht="18" customHeight="1" x14ac:dyDescent="0.3">
      <c r="A35" s="377" t="s">
        <v>576</v>
      </c>
      <c r="B35" s="378" t="s">
        <v>1169</v>
      </c>
      <c r="C35" s="7" t="s">
        <v>1167</v>
      </c>
      <c r="E35" s="6">
        <f t="shared" si="0"/>
        <v>34</v>
      </c>
      <c r="F35" s="60" t="s">
        <v>997</v>
      </c>
      <c r="G35" s="60" t="s">
        <v>998</v>
      </c>
      <c r="H35" s="6">
        <f t="shared" si="1"/>
        <v>33</v>
      </c>
      <c r="I35" s="180">
        <v>7.1</v>
      </c>
      <c r="J35" s="182">
        <v>4</v>
      </c>
      <c r="K35" s="179">
        <v>35</v>
      </c>
      <c r="L35" s="182">
        <v>4</v>
      </c>
      <c r="M35" s="268">
        <v>37.1</v>
      </c>
      <c r="P35" s="175" t="s">
        <v>1154</v>
      </c>
      <c r="Q35" s="197" t="s">
        <v>659</v>
      </c>
      <c r="R35" s="198" t="s">
        <v>1107</v>
      </c>
      <c r="S35" s="197" t="s">
        <v>396</v>
      </c>
      <c r="W35" s="4"/>
      <c r="X35" s="4"/>
      <c r="Y35" s="58"/>
      <c r="Z35" s="58"/>
      <c r="AA35" s="58"/>
      <c r="AB35" s="58"/>
      <c r="AC35" s="58"/>
      <c r="AF35" s="58"/>
      <c r="AG35" s="58"/>
      <c r="AH35" s="58"/>
      <c r="AI35" s="58"/>
      <c r="AJ35" s="58"/>
      <c r="AK35" s="58"/>
      <c r="AL35" s="58"/>
    </row>
    <row r="36" spans="1:38" ht="18" customHeight="1" x14ac:dyDescent="0.3">
      <c r="A36" s="377"/>
      <c r="B36" s="378"/>
      <c r="C36" s="7" t="s">
        <v>1168</v>
      </c>
      <c r="E36" s="6">
        <f t="shared" si="0"/>
        <v>35</v>
      </c>
      <c r="F36" s="60" t="s">
        <v>997</v>
      </c>
      <c r="G36" s="60" t="s">
        <v>773</v>
      </c>
      <c r="H36" s="6">
        <f t="shared" si="1"/>
        <v>34</v>
      </c>
      <c r="I36" s="180">
        <v>7.2</v>
      </c>
      <c r="J36" s="182">
        <v>5</v>
      </c>
      <c r="K36" s="179">
        <v>54</v>
      </c>
      <c r="L36" s="182">
        <v>5</v>
      </c>
      <c r="M36" s="268">
        <v>56.4</v>
      </c>
      <c r="P36" s="175" t="s">
        <v>1153</v>
      </c>
      <c r="Q36" s="197" t="s">
        <v>74</v>
      </c>
      <c r="R36" s="198" t="s">
        <v>54</v>
      </c>
      <c r="S36" s="197" t="s">
        <v>1100</v>
      </c>
      <c r="W36" s="4"/>
      <c r="X36" s="4"/>
      <c r="Y36" s="58"/>
      <c r="Z36" s="58"/>
      <c r="AA36" s="58"/>
      <c r="AB36" s="58"/>
      <c r="AC36" s="58"/>
      <c r="AF36" s="58"/>
      <c r="AG36" s="58"/>
      <c r="AH36" s="58"/>
      <c r="AI36" s="58"/>
      <c r="AJ36" s="58"/>
      <c r="AK36" s="58"/>
      <c r="AL36" s="58"/>
    </row>
    <row r="37" spans="1:38" ht="18" customHeight="1" x14ac:dyDescent="0.3">
      <c r="A37" s="377" t="s">
        <v>577</v>
      </c>
      <c r="B37" s="378" t="s">
        <v>1170</v>
      </c>
      <c r="C37" s="7" t="s">
        <v>1167</v>
      </c>
      <c r="E37" s="6">
        <f t="shared" si="0"/>
        <v>36</v>
      </c>
      <c r="F37" s="60" t="s">
        <v>952</v>
      </c>
      <c r="G37" s="60" t="s">
        <v>988</v>
      </c>
      <c r="H37" s="6">
        <f t="shared" si="1"/>
        <v>35</v>
      </c>
      <c r="I37" s="180">
        <v>7.3</v>
      </c>
      <c r="J37" s="182">
        <v>5</v>
      </c>
      <c r="K37" s="179">
        <v>74.400000000000006</v>
      </c>
      <c r="L37" s="182">
        <v>5</v>
      </c>
      <c r="M37" s="268">
        <v>78.5</v>
      </c>
      <c r="P37" s="175" t="s">
        <v>1152</v>
      </c>
      <c r="Q37" s="197" t="s">
        <v>659</v>
      </c>
      <c r="R37" s="198" t="s">
        <v>1107</v>
      </c>
      <c r="S37" s="197" t="s">
        <v>396</v>
      </c>
      <c r="W37" s="4"/>
      <c r="X37" s="4"/>
      <c r="Y37" s="58"/>
      <c r="Z37" s="58"/>
      <c r="AA37" s="58"/>
      <c r="AB37" s="58"/>
      <c r="AC37" s="58"/>
      <c r="AF37" s="58"/>
      <c r="AG37" s="58"/>
      <c r="AH37" s="58"/>
      <c r="AI37" s="58"/>
      <c r="AJ37" s="58"/>
      <c r="AK37" s="58"/>
      <c r="AL37" s="58"/>
    </row>
    <row r="38" spans="1:38" ht="18" customHeight="1" x14ac:dyDescent="0.3">
      <c r="A38" s="377"/>
      <c r="B38" s="378"/>
      <c r="C38" s="7" t="s">
        <v>1168</v>
      </c>
      <c r="E38" s="6">
        <f t="shared" si="0"/>
        <v>37</v>
      </c>
      <c r="F38" s="60" t="s">
        <v>999</v>
      </c>
      <c r="G38" s="60" t="s">
        <v>1000</v>
      </c>
      <c r="H38" s="6">
        <f t="shared" si="1"/>
        <v>36</v>
      </c>
      <c r="I38" s="180">
        <v>7.4</v>
      </c>
      <c r="J38" s="182">
        <v>5</v>
      </c>
      <c r="K38" s="179">
        <v>100</v>
      </c>
      <c r="L38" s="182">
        <v>5</v>
      </c>
      <c r="M38" s="179">
        <v>100</v>
      </c>
      <c r="P38" s="175" t="s">
        <v>1151</v>
      </c>
      <c r="Q38" s="197" t="s">
        <v>72</v>
      </c>
      <c r="R38" s="198" t="s">
        <v>166</v>
      </c>
      <c r="S38" s="197" t="s">
        <v>73</v>
      </c>
      <c r="W38" s="4"/>
      <c r="X38" s="4"/>
      <c r="Y38" s="58"/>
      <c r="Z38" s="58"/>
      <c r="AA38" s="58"/>
      <c r="AB38" s="58"/>
      <c r="AC38" s="58"/>
      <c r="AF38" s="58"/>
      <c r="AG38" s="58"/>
      <c r="AH38" s="58"/>
      <c r="AI38" s="58"/>
      <c r="AJ38" s="58"/>
      <c r="AK38" s="58"/>
      <c r="AL38" s="58"/>
    </row>
    <row r="39" spans="1:38" ht="18" customHeight="1" x14ac:dyDescent="0.3">
      <c r="A39" s="8" t="s">
        <v>578</v>
      </c>
      <c r="B39" s="9" t="s">
        <v>1171</v>
      </c>
      <c r="C39" s="13" t="s">
        <v>486</v>
      </c>
      <c r="E39" s="6">
        <f t="shared" si="0"/>
        <v>38</v>
      </c>
      <c r="F39" s="60" t="s">
        <v>567</v>
      </c>
      <c r="G39" s="60" t="s">
        <v>568</v>
      </c>
      <c r="P39" s="175" t="s">
        <v>1150</v>
      </c>
      <c r="Q39" s="197" t="s">
        <v>74</v>
      </c>
      <c r="R39" s="198" t="s">
        <v>54</v>
      </c>
      <c r="S39" s="197" t="s">
        <v>1100</v>
      </c>
      <c r="W39" s="4"/>
      <c r="X39" s="4"/>
      <c r="Y39" s="58"/>
      <c r="Z39" s="58"/>
      <c r="AA39" s="58"/>
      <c r="AB39" s="58"/>
      <c r="AC39" s="58"/>
      <c r="AF39" s="58"/>
      <c r="AG39" s="58"/>
      <c r="AH39" s="58"/>
      <c r="AI39" s="58"/>
      <c r="AJ39" s="58"/>
      <c r="AK39" s="58"/>
      <c r="AL39" s="58"/>
    </row>
    <row r="40" spans="1:38" ht="18" customHeight="1" x14ac:dyDescent="0.3">
      <c r="A40" s="8" t="s">
        <v>579</v>
      </c>
      <c r="B40" s="9" t="s">
        <v>1172</v>
      </c>
      <c r="C40" s="13" t="s">
        <v>486</v>
      </c>
      <c r="E40" s="6">
        <f t="shared" si="0"/>
        <v>39</v>
      </c>
      <c r="F40" s="60" t="s">
        <v>1001</v>
      </c>
      <c r="G40" s="60" t="s">
        <v>1002</v>
      </c>
      <c r="I40" s="6" t="s">
        <v>4477</v>
      </c>
      <c r="M40" s="6">
        <v>26.6</v>
      </c>
      <c r="P40" s="175" t="s">
        <v>1149</v>
      </c>
      <c r="Q40" s="197" t="s">
        <v>74</v>
      </c>
      <c r="R40" s="198" t="s">
        <v>54</v>
      </c>
      <c r="S40" s="197" t="s">
        <v>1100</v>
      </c>
      <c r="W40" s="4"/>
      <c r="X40" s="4"/>
      <c r="Y40" s="58"/>
      <c r="Z40" s="58"/>
      <c r="AA40" s="58"/>
      <c r="AB40" s="58"/>
      <c r="AC40" s="58"/>
      <c r="AF40" s="58"/>
      <c r="AG40" s="58"/>
      <c r="AH40" s="58"/>
      <c r="AI40" s="58"/>
      <c r="AJ40" s="58"/>
      <c r="AK40" s="58"/>
      <c r="AL40" s="58"/>
    </row>
    <row r="41" spans="1:38" ht="18" customHeight="1" x14ac:dyDescent="0.3">
      <c r="A41" s="8" t="s">
        <v>580</v>
      </c>
      <c r="B41" s="9" t="s">
        <v>1173</v>
      </c>
      <c r="C41" s="13" t="s">
        <v>486</v>
      </c>
      <c r="M41" s="6">
        <v>50.6</v>
      </c>
      <c r="P41" s="175" t="s">
        <v>102</v>
      </c>
      <c r="Q41" s="197" t="s">
        <v>663</v>
      </c>
      <c r="R41" s="198" t="s">
        <v>52</v>
      </c>
      <c r="S41" s="197" t="s">
        <v>1201</v>
      </c>
      <c r="W41" s="4"/>
      <c r="X41" s="4"/>
      <c r="Y41" s="58"/>
      <c r="Z41" s="58"/>
      <c r="AA41" s="58"/>
      <c r="AB41" s="58"/>
      <c r="AC41" s="58"/>
      <c r="AF41" s="58"/>
      <c r="AG41" s="58"/>
      <c r="AH41" s="58"/>
      <c r="AI41" s="58"/>
      <c r="AJ41" s="58"/>
      <c r="AK41" s="58"/>
      <c r="AL41" s="58"/>
    </row>
    <row r="42" spans="1:38" ht="18" customHeight="1" x14ac:dyDescent="0.3">
      <c r="A42" s="8" t="s">
        <v>581</v>
      </c>
      <c r="B42" s="9" t="s">
        <v>1174</v>
      </c>
      <c r="C42" s="13" t="s">
        <v>486</v>
      </c>
      <c r="M42" s="6">
        <v>67.8</v>
      </c>
      <c r="P42" s="175" t="s">
        <v>1148</v>
      </c>
      <c r="Q42" s="197" t="s">
        <v>663</v>
      </c>
      <c r="R42" s="198" t="s">
        <v>52</v>
      </c>
      <c r="S42" s="197" t="s">
        <v>1201</v>
      </c>
      <c r="W42" s="4"/>
      <c r="X42" s="4"/>
      <c r="Y42" s="58"/>
      <c r="Z42" s="58"/>
      <c r="AA42" s="58"/>
      <c r="AB42" s="58"/>
      <c r="AC42" s="58"/>
      <c r="AF42" s="58"/>
      <c r="AG42" s="58"/>
      <c r="AH42" s="58"/>
      <c r="AI42" s="58"/>
      <c r="AJ42" s="58"/>
      <c r="AK42" s="58"/>
      <c r="AL42" s="58"/>
    </row>
    <row r="43" spans="1:38" ht="18" customHeight="1" x14ac:dyDescent="0.25">
      <c r="A43" s="8" t="s">
        <v>582</v>
      </c>
      <c r="B43" s="9" t="s">
        <v>1175</v>
      </c>
      <c r="C43" s="11" t="s">
        <v>486</v>
      </c>
      <c r="P43" s="175" t="s">
        <v>1147</v>
      </c>
      <c r="Q43" s="197" t="s">
        <v>74</v>
      </c>
      <c r="R43" s="198" t="s">
        <v>54</v>
      </c>
      <c r="S43" s="197" t="s">
        <v>1100</v>
      </c>
      <c r="W43" s="4"/>
      <c r="X43" s="4"/>
      <c r="Y43" s="58"/>
      <c r="Z43" s="58"/>
      <c r="AA43" s="58"/>
      <c r="AB43" s="58"/>
      <c r="AC43" s="58"/>
      <c r="AF43" s="58"/>
      <c r="AG43" s="58"/>
      <c r="AH43" s="58"/>
      <c r="AI43" s="58"/>
      <c r="AJ43" s="58"/>
      <c r="AK43" s="58"/>
      <c r="AL43" s="58"/>
    </row>
    <row r="44" spans="1:38" ht="18" customHeight="1" x14ac:dyDescent="0.25">
      <c r="A44" s="8" t="s">
        <v>583</v>
      </c>
      <c r="B44" s="9" t="s">
        <v>1176</v>
      </c>
      <c r="C44" s="11" t="s">
        <v>486</v>
      </c>
      <c r="P44" s="175" t="s">
        <v>107</v>
      </c>
      <c r="Q44" s="197" t="s">
        <v>667</v>
      </c>
      <c r="R44" s="198" t="s">
        <v>396</v>
      </c>
      <c r="S44" s="197" t="s">
        <v>1199</v>
      </c>
      <c r="W44" s="4"/>
      <c r="X44" s="4"/>
      <c r="Y44" s="58"/>
      <c r="Z44" s="58"/>
      <c r="AA44" s="58"/>
      <c r="AB44" s="58"/>
      <c r="AC44" s="58"/>
      <c r="AF44" s="58"/>
      <c r="AG44" s="58"/>
      <c r="AH44" s="58"/>
      <c r="AI44" s="58"/>
      <c r="AJ44" s="58"/>
      <c r="AK44" s="58"/>
      <c r="AL44" s="58"/>
    </row>
    <row r="45" spans="1:38" ht="18" customHeight="1" x14ac:dyDescent="0.3">
      <c r="A45" s="8" t="s">
        <v>584</v>
      </c>
      <c r="B45" s="14" t="s">
        <v>1177</v>
      </c>
      <c r="C45" s="8" t="s">
        <v>1167</v>
      </c>
      <c r="P45" s="175" t="s">
        <v>106</v>
      </c>
      <c r="Q45" s="197" t="s">
        <v>75</v>
      </c>
      <c r="R45" s="198" t="s">
        <v>797</v>
      </c>
      <c r="S45" s="197" t="s">
        <v>398</v>
      </c>
      <c r="W45" s="4"/>
      <c r="X45" s="4"/>
      <c r="Y45" s="58"/>
      <c r="Z45" s="58"/>
      <c r="AA45" s="58"/>
      <c r="AB45" s="58"/>
      <c r="AC45" s="58"/>
      <c r="AF45" s="58"/>
      <c r="AG45" s="58"/>
      <c r="AH45" s="58"/>
      <c r="AI45" s="58"/>
      <c r="AJ45" s="58"/>
      <c r="AK45" s="58"/>
      <c r="AL45" s="58"/>
    </row>
    <row r="46" spans="1:38" ht="18" customHeight="1" x14ac:dyDescent="0.3">
      <c r="A46" s="8" t="s">
        <v>585</v>
      </c>
      <c r="B46" s="14" t="s">
        <v>1178</v>
      </c>
      <c r="C46" s="8" t="s">
        <v>1167</v>
      </c>
      <c r="P46" s="175" t="s">
        <v>105</v>
      </c>
      <c r="Q46" s="197" t="s">
        <v>76</v>
      </c>
      <c r="R46" s="198" t="s">
        <v>385</v>
      </c>
      <c r="S46" s="197" t="s">
        <v>400</v>
      </c>
      <c r="W46" s="4"/>
      <c r="X46" s="4"/>
      <c r="Y46" s="58"/>
      <c r="Z46" s="58"/>
      <c r="AA46" s="58"/>
      <c r="AB46" s="58"/>
      <c r="AC46" s="58"/>
      <c r="AF46" s="58"/>
      <c r="AG46" s="58"/>
      <c r="AH46" s="58"/>
      <c r="AI46" s="58"/>
      <c r="AJ46" s="58"/>
      <c r="AK46" s="58"/>
      <c r="AL46" s="58"/>
    </row>
    <row r="47" spans="1:38" ht="18" customHeight="1" x14ac:dyDescent="0.3">
      <c r="A47" s="8" t="s">
        <v>586</v>
      </c>
      <c r="B47" s="14" t="s">
        <v>1179</v>
      </c>
      <c r="C47" s="8" t="s">
        <v>1167</v>
      </c>
      <c r="P47" s="175" t="s">
        <v>104</v>
      </c>
      <c r="Q47" s="197" t="s">
        <v>77</v>
      </c>
      <c r="R47" s="198" t="s">
        <v>405</v>
      </c>
      <c r="S47" s="197" t="s">
        <v>634</v>
      </c>
      <c r="W47" s="4"/>
      <c r="X47" s="4"/>
      <c r="Y47" s="58"/>
      <c r="Z47" s="58"/>
      <c r="AA47" s="58"/>
      <c r="AB47" s="58"/>
      <c r="AC47" s="58"/>
      <c r="AF47" s="58"/>
      <c r="AG47" s="58"/>
      <c r="AH47" s="58"/>
      <c r="AI47" s="58"/>
      <c r="AJ47" s="58"/>
      <c r="AK47" s="58"/>
      <c r="AL47" s="58"/>
    </row>
    <row r="48" spans="1:38" ht="18" customHeight="1" x14ac:dyDescent="0.3">
      <c r="A48" s="8" t="s">
        <v>587</v>
      </c>
      <c r="B48" s="14" t="s">
        <v>1180</v>
      </c>
      <c r="C48" s="8" t="s">
        <v>1167</v>
      </c>
      <c r="P48" s="175" t="s">
        <v>103</v>
      </c>
      <c r="Q48" s="197" t="s">
        <v>78</v>
      </c>
      <c r="R48" s="198" t="s">
        <v>53</v>
      </c>
      <c r="S48" s="197" t="s">
        <v>264</v>
      </c>
      <c r="W48" s="4"/>
      <c r="X48" s="4"/>
      <c r="Y48" s="58"/>
      <c r="Z48" s="58"/>
      <c r="AA48" s="58"/>
      <c r="AB48" s="58"/>
      <c r="AC48" s="58"/>
      <c r="AF48" s="58"/>
      <c r="AG48" s="58"/>
      <c r="AH48" s="58"/>
      <c r="AI48" s="58"/>
      <c r="AJ48" s="58"/>
      <c r="AK48" s="58"/>
      <c r="AL48" s="58"/>
    </row>
    <row r="49" spans="1:38" ht="18" customHeight="1" x14ac:dyDescent="0.3">
      <c r="A49" s="8" t="s">
        <v>588</v>
      </c>
      <c r="B49" s="14" t="s">
        <v>1181</v>
      </c>
      <c r="C49" s="8" t="s">
        <v>1167</v>
      </c>
      <c r="P49" s="175" t="s">
        <v>101</v>
      </c>
      <c r="Q49" s="197" t="s">
        <v>671</v>
      </c>
      <c r="R49" s="198" t="s">
        <v>630</v>
      </c>
      <c r="S49" s="197" t="s">
        <v>1235</v>
      </c>
      <c r="W49" s="4"/>
      <c r="X49" s="4"/>
      <c r="Y49" s="58"/>
      <c r="Z49" s="58"/>
      <c r="AA49" s="58"/>
      <c r="AB49" s="58"/>
      <c r="AC49" s="58"/>
      <c r="AF49" s="58"/>
      <c r="AG49" s="58"/>
      <c r="AH49" s="58"/>
      <c r="AI49" s="58"/>
      <c r="AJ49" s="58"/>
      <c r="AK49" s="58"/>
      <c r="AL49" s="58"/>
    </row>
    <row r="50" spans="1:38" ht="18" customHeight="1" x14ac:dyDescent="0.3">
      <c r="A50" s="8" t="s">
        <v>589</v>
      </c>
      <c r="B50" s="14" t="s">
        <v>1182</v>
      </c>
      <c r="C50" s="8" t="s">
        <v>1167</v>
      </c>
      <c r="P50" s="175" t="s">
        <v>100</v>
      </c>
      <c r="Q50" s="197" t="s">
        <v>663</v>
      </c>
      <c r="R50" s="198" t="s">
        <v>52</v>
      </c>
      <c r="S50" s="197" t="s">
        <v>1201</v>
      </c>
      <c r="W50" s="4"/>
      <c r="X50" s="4"/>
      <c r="Y50" s="58"/>
      <c r="Z50" s="58"/>
      <c r="AA50" s="58"/>
      <c r="AB50" s="58"/>
      <c r="AC50" s="58"/>
      <c r="AF50" s="58"/>
      <c r="AG50" s="58"/>
      <c r="AH50" s="58"/>
      <c r="AI50" s="58"/>
      <c r="AJ50" s="58"/>
      <c r="AK50" s="58"/>
      <c r="AL50" s="58"/>
    </row>
    <row r="51" spans="1:38" ht="18" customHeight="1" x14ac:dyDescent="0.25">
      <c r="A51" s="377" t="s">
        <v>590</v>
      </c>
      <c r="B51" s="378" t="s">
        <v>1185</v>
      </c>
      <c r="C51" s="8" t="s">
        <v>1186</v>
      </c>
      <c r="P51" s="175" t="s">
        <v>99</v>
      </c>
      <c r="Q51" s="197" t="s">
        <v>663</v>
      </c>
      <c r="R51" s="198" t="s">
        <v>52</v>
      </c>
      <c r="S51" s="197" t="s">
        <v>1201</v>
      </c>
      <c r="W51" s="4"/>
      <c r="X51" s="4"/>
      <c r="Y51" s="58"/>
      <c r="Z51" s="58"/>
      <c r="AA51" s="58"/>
      <c r="AB51" s="58"/>
      <c r="AC51" s="58"/>
      <c r="AF51" s="58"/>
      <c r="AG51" s="58"/>
      <c r="AH51" s="58"/>
      <c r="AI51" s="58"/>
      <c r="AJ51" s="58"/>
      <c r="AK51" s="58"/>
      <c r="AL51" s="58"/>
    </row>
    <row r="52" spans="1:38" ht="18" customHeight="1" x14ac:dyDescent="0.25">
      <c r="A52" s="377"/>
      <c r="B52" s="378"/>
      <c r="C52" s="11" t="s">
        <v>486</v>
      </c>
      <c r="P52" s="175" t="s">
        <v>98</v>
      </c>
      <c r="Q52" s="197" t="s">
        <v>74</v>
      </c>
      <c r="R52" s="198" t="s">
        <v>54</v>
      </c>
      <c r="S52" s="197" t="s">
        <v>1100</v>
      </c>
      <c r="W52" s="4"/>
      <c r="X52" s="4"/>
      <c r="Y52" s="58"/>
      <c r="Z52" s="58"/>
      <c r="AA52" s="58"/>
      <c r="AB52" s="58"/>
      <c r="AC52" s="58"/>
      <c r="AF52" s="58"/>
      <c r="AG52" s="58"/>
      <c r="AH52" s="58"/>
      <c r="AI52" s="58"/>
      <c r="AJ52" s="58"/>
      <c r="AK52" s="58"/>
      <c r="AL52" s="58"/>
    </row>
    <row r="53" spans="1:38" ht="18" customHeight="1" x14ac:dyDescent="0.3">
      <c r="A53" s="8" t="s">
        <v>591</v>
      </c>
      <c r="B53" s="14" t="s">
        <v>1187</v>
      </c>
      <c r="C53" s="11" t="s">
        <v>438</v>
      </c>
      <c r="P53" s="175" t="s">
        <v>97</v>
      </c>
      <c r="Q53" s="197" t="s">
        <v>74</v>
      </c>
      <c r="R53" s="198" t="s">
        <v>54</v>
      </c>
      <c r="S53" s="197" t="s">
        <v>1100</v>
      </c>
      <c r="W53" s="4"/>
      <c r="X53" s="4"/>
      <c r="Y53" s="58"/>
      <c r="Z53" s="58"/>
      <c r="AA53" s="58"/>
      <c r="AB53" s="58"/>
      <c r="AC53" s="58"/>
      <c r="AF53" s="58"/>
      <c r="AG53" s="58"/>
      <c r="AH53" s="58"/>
      <c r="AI53" s="58"/>
      <c r="AJ53" s="58"/>
      <c r="AK53" s="58"/>
      <c r="AL53" s="58"/>
    </row>
    <row r="54" spans="1:38" ht="18" customHeight="1" x14ac:dyDescent="0.3">
      <c r="A54" s="8" t="s">
        <v>479</v>
      </c>
      <c r="B54" s="14" t="s">
        <v>1188</v>
      </c>
      <c r="C54" s="11" t="s">
        <v>1189</v>
      </c>
      <c r="P54" s="175" t="s">
        <v>96</v>
      </c>
      <c r="Q54" s="197" t="s">
        <v>663</v>
      </c>
      <c r="R54" s="198" t="s">
        <v>52</v>
      </c>
      <c r="S54" s="197" t="s">
        <v>1201</v>
      </c>
      <c r="W54" s="4"/>
      <c r="X54" s="4"/>
      <c r="Y54" s="58"/>
      <c r="Z54" s="58"/>
      <c r="AA54" s="58"/>
      <c r="AB54" s="58"/>
      <c r="AC54" s="58"/>
      <c r="AF54" s="58"/>
      <c r="AG54" s="58"/>
      <c r="AH54" s="58"/>
      <c r="AI54" s="58"/>
      <c r="AJ54" s="58"/>
      <c r="AK54" s="58"/>
      <c r="AL54" s="58"/>
    </row>
    <row r="55" spans="1:38" ht="18" customHeight="1" x14ac:dyDescent="0.3">
      <c r="A55" s="8" t="s">
        <v>480</v>
      </c>
      <c r="B55" s="14" t="s">
        <v>1190</v>
      </c>
      <c r="C55" s="11" t="s">
        <v>1189</v>
      </c>
      <c r="P55" s="175" t="s">
        <v>95</v>
      </c>
      <c r="Q55" s="197" t="s">
        <v>670</v>
      </c>
      <c r="R55" s="198" t="s">
        <v>634</v>
      </c>
      <c r="S55" s="197" t="s">
        <v>51</v>
      </c>
      <c r="W55" s="4"/>
      <c r="X55" s="4"/>
      <c r="Y55" s="58"/>
      <c r="Z55" s="58"/>
      <c r="AA55" s="58"/>
      <c r="AB55" s="58"/>
      <c r="AC55" s="58"/>
      <c r="AF55" s="58"/>
      <c r="AG55" s="58"/>
      <c r="AH55" s="58"/>
      <c r="AI55" s="58"/>
      <c r="AJ55" s="58"/>
      <c r="AK55" s="58"/>
      <c r="AL55" s="58"/>
    </row>
    <row r="56" spans="1:38" ht="18" customHeight="1" x14ac:dyDescent="0.3">
      <c r="A56" s="8" t="s">
        <v>481</v>
      </c>
      <c r="B56" s="14" t="s">
        <v>1191</v>
      </c>
      <c r="C56" s="11" t="s">
        <v>1189</v>
      </c>
      <c r="P56" s="175" t="s">
        <v>94</v>
      </c>
      <c r="Q56" s="197" t="s">
        <v>74</v>
      </c>
      <c r="R56" s="198" t="s">
        <v>54</v>
      </c>
      <c r="S56" s="197" t="s">
        <v>1100</v>
      </c>
      <c r="W56" s="4"/>
      <c r="X56" s="4"/>
      <c r="Y56" s="58"/>
      <c r="Z56" s="58"/>
      <c r="AA56" s="58"/>
      <c r="AB56" s="58"/>
      <c r="AC56" s="58"/>
      <c r="AF56" s="58"/>
      <c r="AG56" s="58"/>
      <c r="AH56" s="58"/>
      <c r="AI56" s="58"/>
      <c r="AJ56" s="58"/>
      <c r="AK56" s="58"/>
      <c r="AL56" s="58"/>
    </row>
    <row r="57" spans="1:38" ht="18" customHeight="1" x14ac:dyDescent="0.3">
      <c r="A57" s="8" t="s">
        <v>482</v>
      </c>
      <c r="B57" s="14" t="s">
        <v>1192</v>
      </c>
      <c r="C57" s="11" t="s">
        <v>1189</v>
      </c>
      <c r="P57" s="175" t="s">
        <v>93</v>
      </c>
      <c r="Q57" s="197" t="s">
        <v>661</v>
      </c>
      <c r="R57" s="198" t="s">
        <v>1100</v>
      </c>
      <c r="S57" s="197" t="s">
        <v>50</v>
      </c>
      <c r="W57" s="4"/>
      <c r="X57" s="4"/>
      <c r="Y57" s="58"/>
      <c r="Z57" s="58"/>
      <c r="AA57" s="58"/>
      <c r="AB57" s="58"/>
      <c r="AC57" s="58"/>
      <c r="AF57" s="58"/>
      <c r="AG57" s="58"/>
      <c r="AH57" s="58"/>
      <c r="AI57" s="58"/>
      <c r="AJ57" s="58"/>
      <c r="AK57" s="58"/>
      <c r="AL57" s="58"/>
    </row>
    <row r="58" spans="1:38" ht="18" customHeight="1" x14ac:dyDescent="0.3">
      <c r="A58" s="8" t="s">
        <v>483</v>
      </c>
      <c r="B58" s="14" t="s">
        <v>1193</v>
      </c>
      <c r="C58" s="11" t="s">
        <v>1189</v>
      </c>
      <c r="I58" s="180">
        <v>1</v>
      </c>
      <c r="J58" s="182">
        <v>2</v>
      </c>
      <c r="K58" s="179">
        <v>0.75</v>
      </c>
      <c r="L58" s="182">
        <v>2</v>
      </c>
      <c r="M58" s="268">
        <v>0.75</v>
      </c>
      <c r="P58" s="175" t="s">
        <v>1132</v>
      </c>
      <c r="Q58" s="197" t="s">
        <v>79</v>
      </c>
      <c r="R58" s="198" t="s">
        <v>1109</v>
      </c>
      <c r="S58" s="197" t="s">
        <v>621</v>
      </c>
      <c r="W58" s="4"/>
      <c r="X58" s="4"/>
      <c r="Y58" s="58"/>
      <c r="Z58" s="58"/>
      <c r="AA58" s="58"/>
      <c r="AB58" s="58"/>
      <c r="AC58" s="58"/>
      <c r="AF58" s="58"/>
      <c r="AG58" s="58"/>
      <c r="AH58" s="58"/>
      <c r="AI58" s="58"/>
      <c r="AJ58" s="58"/>
      <c r="AK58" s="58"/>
      <c r="AL58" s="58"/>
    </row>
    <row r="59" spans="1:38" ht="18" customHeight="1" x14ac:dyDescent="0.3">
      <c r="A59" s="8" t="s">
        <v>484</v>
      </c>
      <c r="B59" s="14" t="s">
        <v>1194</v>
      </c>
      <c r="C59" s="11" t="s">
        <v>1189</v>
      </c>
      <c r="I59" s="180">
        <v>1.1000000000000001</v>
      </c>
      <c r="J59" s="182">
        <v>5</v>
      </c>
      <c r="K59" s="179">
        <v>51</v>
      </c>
      <c r="L59" s="182">
        <v>4</v>
      </c>
      <c r="M59" s="268">
        <v>49.6</v>
      </c>
      <c r="P59" s="175" t="s">
        <v>1131</v>
      </c>
      <c r="Q59" s="197" t="s">
        <v>663</v>
      </c>
      <c r="R59" s="198" t="s">
        <v>52</v>
      </c>
      <c r="S59" s="197" t="s">
        <v>1201</v>
      </c>
      <c r="W59" s="4"/>
      <c r="X59" s="4"/>
      <c r="Y59" s="58"/>
      <c r="Z59" s="58"/>
      <c r="AA59" s="58"/>
      <c r="AB59" s="58"/>
      <c r="AC59" s="58"/>
      <c r="AF59" s="58"/>
      <c r="AG59" s="58"/>
      <c r="AH59" s="58"/>
      <c r="AI59" s="58"/>
      <c r="AJ59" s="58"/>
      <c r="AK59" s="58"/>
      <c r="AL59" s="58"/>
    </row>
    <row r="60" spans="1:38" ht="18" customHeight="1" x14ac:dyDescent="0.3">
      <c r="A60" s="267">
        <v>51</v>
      </c>
      <c r="B60" s="178" t="s">
        <v>182</v>
      </c>
      <c r="C60" s="267" t="s">
        <v>181</v>
      </c>
      <c r="I60" s="180">
        <v>1.2</v>
      </c>
      <c r="J60" s="182">
        <v>5</v>
      </c>
      <c r="K60" s="179">
        <v>68</v>
      </c>
      <c r="L60" s="182">
        <v>5</v>
      </c>
      <c r="M60" s="268">
        <v>66.8</v>
      </c>
      <c r="P60" s="175" t="s">
        <v>1130</v>
      </c>
      <c r="Q60" s="197" t="s">
        <v>74</v>
      </c>
      <c r="R60" s="198" t="s">
        <v>54</v>
      </c>
      <c r="S60" s="197" t="s">
        <v>1100</v>
      </c>
      <c r="W60" s="4"/>
      <c r="X60" s="4"/>
      <c r="Y60" s="58"/>
      <c r="Z60" s="58"/>
      <c r="AA60" s="58"/>
      <c r="AB60" s="58"/>
      <c r="AC60" s="58"/>
      <c r="AF60" s="58"/>
      <c r="AG60" s="58"/>
      <c r="AH60" s="58"/>
      <c r="AI60" s="58"/>
      <c r="AJ60" s="58"/>
      <c r="AK60" s="58"/>
      <c r="AL60" s="58"/>
    </row>
    <row r="61" spans="1:38" ht="18" customHeight="1" x14ac:dyDescent="0.3">
      <c r="I61" s="180">
        <v>1.3</v>
      </c>
      <c r="J61" s="182">
        <v>5</v>
      </c>
      <c r="K61" s="179">
        <v>83</v>
      </c>
      <c r="L61" s="182">
        <v>5</v>
      </c>
      <c r="M61" s="268">
        <v>83.2</v>
      </c>
      <c r="P61" s="175" t="s">
        <v>43</v>
      </c>
      <c r="Q61" s="197" t="s">
        <v>74</v>
      </c>
      <c r="R61" s="198" t="s">
        <v>54</v>
      </c>
      <c r="S61" s="197" t="s">
        <v>1100</v>
      </c>
      <c r="W61" s="4"/>
      <c r="X61" s="4"/>
      <c r="Y61" s="58"/>
      <c r="Z61" s="58"/>
      <c r="AA61" s="58"/>
      <c r="AB61" s="58"/>
      <c r="AC61" s="58"/>
      <c r="AF61" s="58"/>
      <c r="AG61" s="58"/>
      <c r="AH61" s="58"/>
      <c r="AI61" s="58"/>
      <c r="AJ61" s="58"/>
      <c r="AK61" s="58"/>
      <c r="AL61" s="58"/>
    </row>
    <row r="62" spans="1:38" ht="18" customHeight="1" x14ac:dyDescent="0.3">
      <c r="I62" s="180">
        <v>1.4</v>
      </c>
      <c r="J62" s="182">
        <v>5</v>
      </c>
      <c r="K62" s="179">
        <v>100</v>
      </c>
      <c r="L62" s="182">
        <v>5</v>
      </c>
      <c r="M62" s="268">
        <v>100</v>
      </c>
      <c r="P62" s="175" t="s">
        <v>42</v>
      </c>
      <c r="Q62" s="197" t="s">
        <v>663</v>
      </c>
      <c r="R62" s="198" t="s">
        <v>52</v>
      </c>
      <c r="S62" s="197" t="s">
        <v>1201</v>
      </c>
      <c r="W62" s="4"/>
      <c r="X62" s="4"/>
      <c r="Y62" s="58"/>
      <c r="Z62" s="58"/>
      <c r="AA62" s="58"/>
      <c r="AB62" s="58"/>
      <c r="AC62" s="58"/>
      <c r="AF62" s="58"/>
      <c r="AG62" s="58"/>
      <c r="AH62" s="58"/>
      <c r="AI62" s="58"/>
      <c r="AJ62" s="58"/>
      <c r="AK62" s="58"/>
      <c r="AL62" s="58"/>
    </row>
    <row r="63" spans="1:38" ht="18" customHeight="1" x14ac:dyDescent="0.3">
      <c r="I63" s="180">
        <v>2</v>
      </c>
      <c r="J63" s="182">
        <v>2</v>
      </c>
      <c r="K63" s="179">
        <v>0.75</v>
      </c>
      <c r="L63" s="182">
        <v>2</v>
      </c>
      <c r="M63" s="268">
        <v>0.75</v>
      </c>
      <c r="P63" s="175" t="s">
        <v>41</v>
      </c>
      <c r="Q63" s="197" t="s">
        <v>80</v>
      </c>
      <c r="R63" s="198" t="s">
        <v>621</v>
      </c>
      <c r="S63" s="197" t="s">
        <v>111</v>
      </c>
      <c r="W63" s="4"/>
      <c r="X63" s="4"/>
      <c r="Y63" s="58"/>
      <c r="Z63" s="58"/>
      <c r="AA63" s="58"/>
      <c r="AB63" s="58"/>
      <c r="AC63" s="58"/>
      <c r="AF63" s="58"/>
      <c r="AG63" s="58"/>
      <c r="AH63" s="58"/>
      <c r="AI63" s="58"/>
      <c r="AJ63" s="58"/>
      <c r="AK63" s="58"/>
      <c r="AL63" s="58"/>
    </row>
    <row r="64" spans="1:38" ht="18" customHeight="1" x14ac:dyDescent="0.3">
      <c r="I64" s="180">
        <v>2.1</v>
      </c>
      <c r="J64" s="182">
        <v>4</v>
      </c>
      <c r="K64" s="179">
        <v>45</v>
      </c>
      <c r="L64" s="182">
        <v>4</v>
      </c>
      <c r="M64" s="268">
        <v>43</v>
      </c>
      <c r="P64" s="175" t="s">
        <v>40</v>
      </c>
      <c r="Q64" s="197" t="s">
        <v>1033</v>
      </c>
      <c r="R64" s="198" t="s">
        <v>1200</v>
      </c>
      <c r="S64" s="197" t="s">
        <v>1110</v>
      </c>
      <c r="W64" s="4"/>
      <c r="X64" s="4"/>
      <c r="Y64" s="58"/>
      <c r="Z64" s="58"/>
      <c r="AA64" s="58"/>
      <c r="AB64" s="58"/>
      <c r="AC64" s="58"/>
      <c r="AF64" s="58"/>
      <c r="AG64" s="58"/>
      <c r="AH64" s="58"/>
      <c r="AI64" s="58"/>
      <c r="AJ64" s="58"/>
      <c r="AK64" s="58"/>
      <c r="AL64" s="58"/>
    </row>
    <row r="65" spans="9:38" ht="18" customHeight="1" x14ac:dyDescent="0.3">
      <c r="I65" s="180">
        <v>2.2000000000000002</v>
      </c>
      <c r="J65" s="182">
        <v>5</v>
      </c>
      <c r="K65" s="179">
        <v>62</v>
      </c>
      <c r="L65" s="182">
        <v>5</v>
      </c>
      <c r="M65" s="268">
        <v>60.8</v>
      </c>
      <c r="P65" s="175" t="s">
        <v>39</v>
      </c>
      <c r="Q65" s="197" t="s">
        <v>659</v>
      </c>
      <c r="R65" s="198" t="s">
        <v>1107</v>
      </c>
      <c r="S65" s="197" t="s">
        <v>396</v>
      </c>
      <c r="W65" s="4"/>
      <c r="X65" s="4"/>
      <c r="Y65" s="58"/>
      <c r="Z65" s="58"/>
      <c r="AA65" s="58"/>
      <c r="AB65" s="58"/>
      <c r="AC65" s="58"/>
      <c r="AF65" s="58"/>
      <c r="AG65" s="58"/>
      <c r="AH65" s="58"/>
      <c r="AI65" s="58"/>
      <c r="AJ65" s="58"/>
      <c r="AK65" s="58"/>
      <c r="AL65" s="58"/>
    </row>
    <row r="66" spans="9:38" ht="18" customHeight="1" x14ac:dyDescent="0.3">
      <c r="I66" s="180">
        <v>2.2999999999999998</v>
      </c>
      <c r="J66" s="182">
        <v>5</v>
      </c>
      <c r="K66" s="179">
        <v>77</v>
      </c>
      <c r="L66" s="182">
        <v>5</v>
      </c>
      <c r="M66" s="268">
        <v>77.5</v>
      </c>
      <c r="P66" s="175" t="s">
        <v>38</v>
      </c>
      <c r="Q66" s="197" t="s">
        <v>659</v>
      </c>
      <c r="R66" s="198" t="s">
        <v>1107</v>
      </c>
      <c r="S66" s="197" t="s">
        <v>396</v>
      </c>
      <c r="W66" s="4"/>
      <c r="X66" s="4"/>
      <c r="Y66" s="58"/>
      <c r="Z66" s="58"/>
      <c r="AA66" s="58"/>
      <c r="AB66" s="58"/>
      <c r="AC66" s="58"/>
      <c r="AF66" s="58"/>
      <c r="AG66" s="58"/>
      <c r="AH66" s="58"/>
      <c r="AI66" s="58"/>
      <c r="AJ66" s="58"/>
      <c r="AK66" s="58"/>
      <c r="AL66" s="58"/>
    </row>
    <row r="67" spans="9:38" ht="18" customHeight="1" x14ac:dyDescent="0.3">
      <c r="I67" s="180">
        <v>2.4</v>
      </c>
      <c r="J67" s="182">
        <v>5</v>
      </c>
      <c r="K67" s="179">
        <v>100</v>
      </c>
      <c r="L67" s="182">
        <v>5</v>
      </c>
      <c r="M67" s="268">
        <v>100</v>
      </c>
      <c r="P67" s="175" t="s">
        <v>37</v>
      </c>
      <c r="Q67" s="197" t="s">
        <v>663</v>
      </c>
      <c r="R67" s="198" t="s">
        <v>52</v>
      </c>
      <c r="S67" s="197" t="s">
        <v>1201</v>
      </c>
      <c r="W67" s="4"/>
      <c r="X67" s="4"/>
      <c r="Y67" s="58"/>
      <c r="Z67" s="58"/>
      <c r="AA67" s="58"/>
      <c r="AB67" s="58"/>
      <c r="AC67" s="58"/>
      <c r="AF67" s="58"/>
      <c r="AG67" s="58"/>
      <c r="AH67" s="58"/>
      <c r="AI67" s="58"/>
      <c r="AJ67" s="58"/>
      <c r="AK67" s="58"/>
      <c r="AL67" s="58"/>
    </row>
    <row r="68" spans="9:38" ht="18" customHeight="1" x14ac:dyDescent="0.3">
      <c r="I68" s="180">
        <v>3</v>
      </c>
      <c r="J68" s="182">
        <v>2</v>
      </c>
      <c r="K68" s="179">
        <v>1.5</v>
      </c>
      <c r="L68" s="182">
        <v>2</v>
      </c>
      <c r="M68" s="268">
        <v>1.5</v>
      </c>
      <c r="P68" s="175" t="s">
        <v>36</v>
      </c>
      <c r="Q68" s="197" t="s">
        <v>663</v>
      </c>
      <c r="R68" s="198" t="s">
        <v>52</v>
      </c>
      <c r="S68" s="197" t="s">
        <v>1201</v>
      </c>
      <c r="W68" s="4"/>
      <c r="X68" s="4"/>
      <c r="Y68" s="58"/>
      <c r="Z68" s="58"/>
      <c r="AA68" s="58"/>
      <c r="AB68" s="58"/>
      <c r="AC68" s="58"/>
      <c r="AF68" s="58"/>
      <c r="AG68" s="58"/>
      <c r="AH68" s="58"/>
      <c r="AI68" s="58"/>
      <c r="AJ68" s="58"/>
      <c r="AK68" s="58"/>
      <c r="AL68" s="58"/>
    </row>
    <row r="69" spans="9:38" ht="18" customHeight="1" x14ac:dyDescent="0.3">
      <c r="I69" s="180">
        <v>3.1</v>
      </c>
      <c r="J69" s="182">
        <v>4</v>
      </c>
      <c r="K69" s="179">
        <v>44</v>
      </c>
      <c r="L69" s="182">
        <v>4</v>
      </c>
      <c r="M69" s="268">
        <v>44.8</v>
      </c>
      <c r="P69" s="175" t="s">
        <v>35</v>
      </c>
      <c r="Q69" s="197" t="s">
        <v>663</v>
      </c>
      <c r="R69" s="198" t="s">
        <v>52</v>
      </c>
      <c r="S69" s="197" t="s">
        <v>1201</v>
      </c>
      <c r="W69" s="4"/>
      <c r="X69" s="4"/>
      <c r="Y69" s="58"/>
      <c r="Z69" s="58"/>
      <c r="AA69" s="58"/>
      <c r="AB69" s="58"/>
      <c r="AC69" s="58"/>
      <c r="AF69" s="58"/>
      <c r="AG69" s="58"/>
      <c r="AH69" s="58"/>
      <c r="AI69" s="58"/>
      <c r="AJ69" s="58"/>
      <c r="AK69" s="58"/>
      <c r="AL69" s="58"/>
    </row>
    <row r="70" spans="9:38" ht="18" customHeight="1" x14ac:dyDescent="0.3">
      <c r="I70" s="180">
        <v>3.2</v>
      </c>
      <c r="J70" s="182">
        <v>5</v>
      </c>
      <c r="K70" s="179">
        <v>60</v>
      </c>
      <c r="L70" s="182">
        <v>5</v>
      </c>
      <c r="M70" s="268">
        <v>61.6</v>
      </c>
      <c r="P70" s="175" t="s">
        <v>34</v>
      </c>
      <c r="Q70" s="197" t="s">
        <v>74</v>
      </c>
      <c r="R70" s="198" t="s">
        <v>54</v>
      </c>
      <c r="S70" s="197" t="s">
        <v>1100</v>
      </c>
      <c r="W70" s="4"/>
      <c r="X70" s="4"/>
      <c r="Y70" s="58"/>
      <c r="Z70" s="58"/>
      <c r="AA70" s="58"/>
      <c r="AB70" s="58"/>
      <c r="AC70" s="58"/>
      <c r="AF70" s="58"/>
      <c r="AG70" s="58"/>
      <c r="AH70" s="58"/>
      <c r="AI70" s="58"/>
      <c r="AJ70" s="58"/>
      <c r="AK70" s="58"/>
      <c r="AL70" s="58"/>
    </row>
    <row r="71" spans="9:38" ht="18" customHeight="1" x14ac:dyDescent="0.3">
      <c r="I71" s="180">
        <v>3.3</v>
      </c>
      <c r="J71" s="182">
        <v>5</v>
      </c>
      <c r="K71" s="179">
        <v>76</v>
      </c>
      <c r="L71" s="182">
        <v>5</v>
      </c>
      <c r="M71" s="268">
        <v>78.400000000000006</v>
      </c>
      <c r="P71" s="175" t="s">
        <v>33</v>
      </c>
      <c r="Q71" s="197" t="s">
        <v>659</v>
      </c>
      <c r="R71" s="198" t="s">
        <v>1107</v>
      </c>
      <c r="S71" s="197" t="s">
        <v>396</v>
      </c>
      <c r="W71" s="4"/>
      <c r="X71" s="4"/>
      <c r="Y71" s="58"/>
      <c r="Z71" s="58"/>
      <c r="AA71" s="58"/>
      <c r="AB71" s="58"/>
      <c r="AC71" s="58"/>
      <c r="AF71" s="58"/>
      <c r="AG71" s="58"/>
      <c r="AH71" s="58"/>
      <c r="AI71" s="58"/>
      <c r="AJ71" s="58"/>
      <c r="AK71" s="58"/>
      <c r="AL71" s="58"/>
    </row>
    <row r="72" spans="9:38" ht="18" customHeight="1" x14ac:dyDescent="0.3">
      <c r="I72" s="180">
        <v>3.4</v>
      </c>
      <c r="J72" s="182">
        <v>5</v>
      </c>
      <c r="K72" s="179">
        <v>100</v>
      </c>
      <c r="L72" s="182">
        <v>5</v>
      </c>
      <c r="M72" s="268">
        <v>100</v>
      </c>
      <c r="P72" s="175" t="s">
        <v>32</v>
      </c>
      <c r="Q72" s="197" t="s">
        <v>659</v>
      </c>
      <c r="R72" s="198" t="s">
        <v>1107</v>
      </c>
      <c r="S72" s="197" t="s">
        <v>396</v>
      </c>
      <c r="W72" s="4"/>
      <c r="X72" s="4"/>
      <c r="Y72" s="58"/>
      <c r="Z72" s="58"/>
      <c r="AA72" s="58"/>
      <c r="AB72" s="58"/>
      <c r="AC72" s="58"/>
      <c r="AF72" s="58"/>
      <c r="AG72" s="58"/>
      <c r="AH72" s="58"/>
      <c r="AI72" s="58"/>
      <c r="AJ72" s="58"/>
      <c r="AK72" s="58"/>
      <c r="AL72" s="58"/>
    </row>
    <row r="73" spans="9:38" ht="18" customHeight="1" x14ac:dyDescent="0.3">
      <c r="I73" s="180">
        <v>4</v>
      </c>
      <c r="J73" s="182">
        <v>2</v>
      </c>
      <c r="K73" s="179">
        <v>1.5</v>
      </c>
      <c r="L73" s="182">
        <v>2</v>
      </c>
      <c r="M73" s="268">
        <v>1.5</v>
      </c>
      <c r="P73" s="175" t="s">
        <v>31</v>
      </c>
      <c r="Q73" s="197" t="s">
        <v>659</v>
      </c>
      <c r="R73" s="198" t="s">
        <v>1107</v>
      </c>
      <c r="S73" s="197" t="s">
        <v>396</v>
      </c>
      <c r="W73" s="4"/>
      <c r="X73" s="4"/>
      <c r="Y73" s="58"/>
      <c r="Z73" s="58"/>
      <c r="AA73" s="58"/>
      <c r="AB73" s="58"/>
      <c r="AC73" s="58"/>
      <c r="AF73" s="58"/>
      <c r="AG73" s="58"/>
      <c r="AH73" s="58"/>
      <c r="AI73" s="58"/>
      <c r="AJ73" s="58"/>
      <c r="AK73" s="58"/>
      <c r="AL73" s="58"/>
    </row>
    <row r="74" spans="9:38" ht="18" customHeight="1" x14ac:dyDescent="0.3">
      <c r="I74" s="180">
        <v>4.0999999999999996</v>
      </c>
      <c r="J74" s="182">
        <v>4</v>
      </c>
      <c r="K74" s="179">
        <v>40</v>
      </c>
      <c r="L74" s="182">
        <v>4</v>
      </c>
      <c r="M74" s="268">
        <v>30.9</v>
      </c>
      <c r="P74" s="175" t="s">
        <v>1120</v>
      </c>
      <c r="Q74" s="197" t="s">
        <v>663</v>
      </c>
      <c r="R74" s="198" t="s">
        <v>52</v>
      </c>
      <c r="S74" s="197" t="s">
        <v>1201</v>
      </c>
      <c r="W74" s="4"/>
      <c r="X74" s="4"/>
      <c r="Y74" s="58"/>
      <c r="Z74" s="58"/>
      <c r="AA74" s="58"/>
      <c r="AB74" s="58"/>
      <c r="AC74" s="58"/>
      <c r="AF74" s="58"/>
      <c r="AG74" s="58"/>
      <c r="AH74" s="58"/>
      <c r="AI74" s="58"/>
      <c r="AJ74" s="58"/>
      <c r="AK74" s="58"/>
      <c r="AL74" s="58"/>
    </row>
    <row r="75" spans="9:38" ht="18" customHeight="1" x14ac:dyDescent="0.3">
      <c r="I75" s="180">
        <v>4.2</v>
      </c>
      <c r="J75" s="182">
        <v>5</v>
      </c>
      <c r="K75" s="179">
        <v>64</v>
      </c>
      <c r="L75" s="182">
        <v>4</v>
      </c>
      <c r="M75" s="268">
        <v>49.2</v>
      </c>
      <c r="P75" s="175" t="s">
        <v>1256</v>
      </c>
      <c r="Q75" s="197" t="s">
        <v>82</v>
      </c>
      <c r="R75" s="198" t="s">
        <v>45</v>
      </c>
      <c r="S75" s="197" t="s">
        <v>660</v>
      </c>
      <c r="W75" s="4"/>
      <c r="X75" s="4"/>
      <c r="Y75" s="58"/>
      <c r="Z75" s="58"/>
      <c r="AA75" s="58"/>
      <c r="AB75" s="58"/>
      <c r="AC75" s="58"/>
      <c r="AF75" s="58"/>
      <c r="AG75" s="58"/>
      <c r="AH75" s="58"/>
      <c r="AI75" s="58"/>
      <c r="AJ75" s="58"/>
      <c r="AK75" s="58"/>
      <c r="AL75" s="58"/>
    </row>
    <row r="76" spans="9:38" ht="18" customHeight="1" x14ac:dyDescent="0.3">
      <c r="I76" s="180">
        <v>4.3</v>
      </c>
      <c r="J76" s="182">
        <v>5</v>
      </c>
      <c r="K76" s="179">
        <v>86</v>
      </c>
      <c r="L76" s="182">
        <v>5</v>
      </c>
      <c r="M76" s="268">
        <v>65</v>
      </c>
      <c r="P76" s="175" t="s">
        <v>1255</v>
      </c>
      <c r="Q76" s="197" t="s">
        <v>762</v>
      </c>
      <c r="R76" s="198" t="s">
        <v>46</v>
      </c>
      <c r="S76" s="197" t="s">
        <v>763</v>
      </c>
      <c r="W76" s="4"/>
      <c r="X76" s="4"/>
      <c r="Y76" s="58"/>
      <c r="Z76" s="58"/>
      <c r="AA76" s="58"/>
      <c r="AB76" s="58"/>
      <c r="AC76" s="58"/>
      <c r="AF76" s="58"/>
      <c r="AG76" s="58"/>
      <c r="AH76" s="58"/>
      <c r="AI76" s="58"/>
      <c r="AJ76" s="58"/>
      <c r="AK76" s="58"/>
      <c r="AL76" s="58"/>
    </row>
    <row r="77" spans="9:38" ht="18" customHeight="1" x14ac:dyDescent="0.3">
      <c r="I77" s="180">
        <v>4.4000000000000004</v>
      </c>
      <c r="J77" s="182">
        <v>5</v>
      </c>
      <c r="K77" s="179">
        <v>100</v>
      </c>
      <c r="L77" s="182">
        <v>5</v>
      </c>
      <c r="M77" s="268">
        <v>100</v>
      </c>
      <c r="P77" s="175" t="s">
        <v>1254</v>
      </c>
      <c r="Q77" s="197" t="s">
        <v>764</v>
      </c>
      <c r="R77" s="198" t="s">
        <v>1336</v>
      </c>
      <c r="S77" s="197" t="s">
        <v>81</v>
      </c>
      <c r="W77" s="4"/>
      <c r="X77" s="4"/>
      <c r="Y77" s="58"/>
      <c r="Z77" s="58"/>
      <c r="AA77" s="58"/>
      <c r="AB77" s="58"/>
      <c r="AC77" s="58"/>
      <c r="AF77" s="58"/>
      <c r="AG77" s="58"/>
      <c r="AH77" s="58"/>
      <c r="AI77" s="58"/>
      <c r="AJ77" s="58"/>
      <c r="AK77" s="58"/>
      <c r="AL77" s="58"/>
    </row>
    <row r="78" spans="9:38" ht="18" customHeight="1" x14ac:dyDescent="0.3">
      <c r="I78" s="180">
        <v>6</v>
      </c>
      <c r="J78" s="182">
        <v>2</v>
      </c>
      <c r="K78" s="179">
        <v>1.5</v>
      </c>
      <c r="L78" s="182">
        <v>2</v>
      </c>
      <c r="M78" s="179">
        <v>1.5</v>
      </c>
      <c r="P78" s="175" t="s">
        <v>1253</v>
      </c>
      <c r="Q78" s="197" t="s">
        <v>659</v>
      </c>
      <c r="R78" s="198" t="s">
        <v>1107</v>
      </c>
      <c r="S78" s="197" t="s">
        <v>396</v>
      </c>
      <c r="W78" s="4"/>
      <c r="X78" s="4"/>
      <c r="Y78" s="58"/>
      <c r="Z78" s="58"/>
      <c r="AA78" s="58"/>
      <c r="AB78" s="58"/>
      <c r="AC78" s="58"/>
      <c r="AF78" s="58"/>
      <c r="AG78" s="58"/>
      <c r="AH78" s="58"/>
      <c r="AI78" s="58"/>
      <c r="AJ78" s="58"/>
      <c r="AK78" s="58"/>
      <c r="AL78" s="58"/>
    </row>
    <row r="79" spans="9:38" ht="18" customHeight="1" x14ac:dyDescent="0.3">
      <c r="I79" s="180">
        <v>6.1</v>
      </c>
      <c r="J79" s="182">
        <v>4</v>
      </c>
      <c r="K79" s="179">
        <v>36</v>
      </c>
      <c r="L79" s="182">
        <v>4</v>
      </c>
      <c r="M79" s="268">
        <v>33.4</v>
      </c>
      <c r="P79" s="175" t="s">
        <v>1252</v>
      </c>
      <c r="Q79" s="197" t="s">
        <v>659</v>
      </c>
      <c r="R79" s="198" t="s">
        <v>1107</v>
      </c>
      <c r="S79" s="197" t="s">
        <v>396</v>
      </c>
      <c r="W79" s="4"/>
      <c r="X79" s="4"/>
      <c r="Y79" s="58"/>
      <c r="Z79" s="58"/>
      <c r="AA79" s="58"/>
      <c r="AB79" s="58"/>
      <c r="AC79" s="58"/>
      <c r="AF79" s="58"/>
      <c r="AG79" s="58"/>
      <c r="AH79" s="58"/>
      <c r="AI79" s="58"/>
      <c r="AJ79" s="58"/>
      <c r="AK79" s="58"/>
      <c r="AL79" s="58"/>
    </row>
    <row r="80" spans="9:38" ht="18" customHeight="1" x14ac:dyDescent="0.3">
      <c r="I80" s="180">
        <v>6.2</v>
      </c>
      <c r="J80" s="182">
        <v>5</v>
      </c>
      <c r="K80" s="179">
        <v>53</v>
      </c>
      <c r="L80" s="182">
        <v>5</v>
      </c>
      <c r="M80" s="268">
        <v>51.5</v>
      </c>
      <c r="P80" s="175" t="s">
        <v>1251</v>
      </c>
      <c r="Q80" s="197" t="s">
        <v>74</v>
      </c>
      <c r="R80" s="198" t="s">
        <v>54</v>
      </c>
      <c r="S80" s="197" t="s">
        <v>1100</v>
      </c>
      <c r="W80" s="4"/>
      <c r="X80" s="4"/>
      <c r="Y80" s="58"/>
      <c r="Z80" s="58"/>
      <c r="AA80" s="58"/>
      <c r="AB80" s="58"/>
      <c r="AC80" s="58"/>
      <c r="AF80" s="58"/>
      <c r="AG80" s="58"/>
      <c r="AH80" s="58"/>
      <c r="AI80" s="58"/>
      <c r="AJ80" s="58"/>
      <c r="AK80" s="58"/>
      <c r="AL80" s="58"/>
    </row>
    <row r="81" spans="9:38" ht="18" customHeight="1" x14ac:dyDescent="0.3">
      <c r="I81" s="180">
        <v>6.3</v>
      </c>
      <c r="J81" s="182">
        <v>5</v>
      </c>
      <c r="K81" s="179">
        <v>70</v>
      </c>
      <c r="L81" s="182">
        <v>5</v>
      </c>
      <c r="M81" s="268">
        <v>70.900000000000006</v>
      </c>
      <c r="P81" s="175" t="s">
        <v>1250</v>
      </c>
      <c r="Q81" s="197" t="s">
        <v>765</v>
      </c>
      <c r="R81" s="198" t="s">
        <v>761</v>
      </c>
      <c r="S81" s="197" t="s">
        <v>1225</v>
      </c>
      <c r="W81" s="4"/>
      <c r="X81" s="4"/>
      <c r="Y81" s="58"/>
      <c r="Z81" s="58"/>
      <c r="AA81" s="58"/>
      <c r="AB81" s="58"/>
      <c r="AC81" s="58"/>
      <c r="AF81" s="58"/>
      <c r="AG81" s="58"/>
      <c r="AH81" s="58"/>
      <c r="AI81" s="58"/>
      <c r="AJ81" s="58"/>
      <c r="AK81" s="58"/>
      <c r="AL81" s="58"/>
    </row>
    <row r="82" spans="9:38" ht="18" customHeight="1" x14ac:dyDescent="0.3">
      <c r="I82" s="180">
        <v>6.4</v>
      </c>
      <c r="J82" s="182">
        <v>5</v>
      </c>
      <c r="K82" s="179">
        <v>100</v>
      </c>
      <c r="L82" s="182">
        <v>5</v>
      </c>
      <c r="M82" s="179">
        <v>100</v>
      </c>
      <c r="P82" s="20" t="s">
        <v>162</v>
      </c>
      <c r="Q82" s="197" t="s">
        <v>74</v>
      </c>
      <c r="R82" s="198" t="s">
        <v>54</v>
      </c>
      <c r="S82" s="197" t="s">
        <v>1100</v>
      </c>
      <c r="W82" s="4"/>
      <c r="X82" s="4"/>
      <c r="Y82" s="58"/>
      <c r="Z82" s="58"/>
      <c r="AA82" s="58"/>
      <c r="AB82" s="58"/>
      <c r="AC82" s="58"/>
      <c r="AF82" s="58"/>
      <c r="AG82" s="58"/>
      <c r="AH82" s="58"/>
      <c r="AI82" s="58"/>
      <c r="AJ82" s="58"/>
      <c r="AK82" s="58"/>
      <c r="AL82" s="58"/>
    </row>
    <row r="83" spans="9:38" ht="18" customHeight="1" x14ac:dyDescent="0.3">
      <c r="I83" s="183" t="s">
        <v>953</v>
      </c>
      <c r="J83" s="182">
        <v>5</v>
      </c>
      <c r="K83" s="179">
        <v>100</v>
      </c>
      <c r="L83" s="182">
        <v>5</v>
      </c>
      <c r="M83" s="179">
        <v>100</v>
      </c>
      <c r="P83" s="175" t="s">
        <v>161</v>
      </c>
      <c r="Q83" s="197" t="s">
        <v>766</v>
      </c>
      <c r="R83" s="198" t="s">
        <v>1222</v>
      </c>
      <c r="S83" s="197" t="s">
        <v>388</v>
      </c>
      <c r="W83" s="4"/>
      <c r="X83" s="4"/>
      <c r="Y83" s="58"/>
      <c r="Z83" s="58"/>
      <c r="AA83" s="58"/>
      <c r="AB83" s="58"/>
      <c r="AC83" s="58"/>
      <c r="AF83" s="58"/>
      <c r="AG83" s="58"/>
      <c r="AH83" s="58"/>
      <c r="AI83" s="58"/>
      <c r="AJ83" s="58"/>
      <c r="AK83" s="58"/>
      <c r="AL83" s="58"/>
    </row>
    <row r="84" spans="9:38" ht="18" customHeight="1" x14ac:dyDescent="0.3">
      <c r="I84" s="180">
        <v>5</v>
      </c>
      <c r="J84" s="182">
        <v>2</v>
      </c>
      <c r="K84" s="179">
        <v>1.5</v>
      </c>
      <c r="L84" s="182">
        <v>2</v>
      </c>
      <c r="M84" s="179">
        <v>1.5</v>
      </c>
      <c r="P84" s="175" t="s">
        <v>160</v>
      </c>
      <c r="Q84" s="197" t="s">
        <v>659</v>
      </c>
      <c r="R84" s="198" t="s">
        <v>1107</v>
      </c>
      <c r="S84" s="197" t="s">
        <v>396</v>
      </c>
      <c r="W84" s="4"/>
      <c r="X84" s="4"/>
      <c r="Y84" s="58"/>
      <c r="Z84" s="58"/>
      <c r="AA84" s="58"/>
      <c r="AB84" s="58"/>
      <c r="AC84" s="58"/>
      <c r="AF84" s="58"/>
      <c r="AG84" s="58"/>
      <c r="AH84" s="58"/>
      <c r="AI84" s="58"/>
      <c r="AJ84" s="58"/>
      <c r="AK84" s="58"/>
      <c r="AL84" s="58"/>
    </row>
    <row r="85" spans="9:38" ht="18" customHeight="1" x14ac:dyDescent="0.3">
      <c r="I85" s="180">
        <v>5.0999999999999996</v>
      </c>
      <c r="J85" s="182">
        <v>4</v>
      </c>
      <c r="K85" s="179">
        <v>36</v>
      </c>
      <c r="L85" s="182">
        <v>4</v>
      </c>
      <c r="M85" s="268">
        <v>35</v>
      </c>
      <c r="P85" s="175" t="s">
        <v>159</v>
      </c>
      <c r="Q85" s="197" t="s">
        <v>767</v>
      </c>
      <c r="R85" s="198" t="s">
        <v>1223</v>
      </c>
      <c r="S85" s="197" t="s">
        <v>392</v>
      </c>
      <c r="W85" s="4"/>
      <c r="X85" s="4"/>
      <c r="Y85" s="58"/>
      <c r="Z85" s="58"/>
      <c r="AA85" s="58"/>
      <c r="AB85" s="58"/>
      <c r="AC85" s="58"/>
      <c r="AF85" s="58"/>
      <c r="AG85" s="58"/>
      <c r="AH85" s="58"/>
      <c r="AI85" s="58"/>
      <c r="AJ85" s="58"/>
      <c r="AK85" s="58"/>
      <c r="AL85" s="58"/>
    </row>
    <row r="86" spans="9:38" ht="18" customHeight="1" x14ac:dyDescent="0.3">
      <c r="I86" s="180">
        <v>5.2</v>
      </c>
      <c r="J86" s="182">
        <v>5</v>
      </c>
      <c r="K86" s="179">
        <v>53</v>
      </c>
      <c r="L86" s="182">
        <v>5</v>
      </c>
      <c r="M86" s="268">
        <v>54</v>
      </c>
      <c r="P86" s="175" t="s">
        <v>158</v>
      </c>
      <c r="Q86" s="197" t="s">
        <v>768</v>
      </c>
      <c r="R86" s="198" t="s">
        <v>1221</v>
      </c>
      <c r="S86" s="197" t="s">
        <v>394</v>
      </c>
      <c r="W86" s="4"/>
      <c r="X86" s="4"/>
      <c r="Y86" s="58"/>
      <c r="Z86" s="58"/>
      <c r="AA86" s="58"/>
      <c r="AB86" s="58"/>
      <c r="AC86" s="58"/>
      <c r="AF86" s="58"/>
      <c r="AG86" s="58"/>
      <c r="AH86" s="58"/>
      <c r="AI86" s="58"/>
      <c r="AJ86" s="58"/>
      <c r="AK86" s="58"/>
      <c r="AL86" s="58"/>
    </row>
    <row r="87" spans="9:38" ht="18" customHeight="1" x14ac:dyDescent="0.3">
      <c r="I87" s="180">
        <v>5.3</v>
      </c>
      <c r="J87" s="182">
        <v>5</v>
      </c>
      <c r="K87" s="179">
        <v>70</v>
      </c>
      <c r="L87" s="182">
        <v>5</v>
      </c>
      <c r="M87" s="268">
        <v>74.400000000000006</v>
      </c>
      <c r="P87" s="175" t="s">
        <v>157</v>
      </c>
      <c r="Q87" s="197" t="s">
        <v>74</v>
      </c>
      <c r="R87" s="198" t="s">
        <v>54</v>
      </c>
      <c r="S87" s="197" t="s">
        <v>1100</v>
      </c>
      <c r="W87" s="4"/>
      <c r="X87" s="4"/>
      <c r="Y87" s="58"/>
      <c r="Z87" s="58"/>
      <c r="AA87" s="58"/>
      <c r="AB87" s="58"/>
      <c r="AC87" s="58"/>
      <c r="AF87" s="58"/>
      <c r="AG87" s="58"/>
      <c r="AH87" s="58"/>
      <c r="AI87" s="58"/>
      <c r="AJ87" s="58"/>
      <c r="AK87" s="58"/>
      <c r="AL87" s="58"/>
    </row>
    <row r="88" spans="9:38" ht="18" customHeight="1" x14ac:dyDescent="0.3">
      <c r="I88" s="180">
        <v>5.4</v>
      </c>
      <c r="J88" s="182">
        <v>5</v>
      </c>
      <c r="K88" s="179">
        <v>100</v>
      </c>
      <c r="L88" s="182">
        <v>5</v>
      </c>
      <c r="M88" s="179">
        <v>100</v>
      </c>
      <c r="P88" s="175" t="s">
        <v>156</v>
      </c>
      <c r="Q88" s="197" t="s">
        <v>769</v>
      </c>
      <c r="R88" s="198" t="s">
        <v>266</v>
      </c>
      <c r="S88" s="197" t="s">
        <v>268</v>
      </c>
      <c r="W88" s="4"/>
      <c r="X88" s="4"/>
      <c r="Y88" s="58"/>
      <c r="Z88" s="58"/>
      <c r="AA88" s="58"/>
      <c r="AB88" s="58"/>
      <c r="AC88" s="58"/>
      <c r="AF88" s="58"/>
      <c r="AG88" s="58"/>
      <c r="AH88" s="58"/>
      <c r="AI88" s="58"/>
      <c r="AJ88" s="58"/>
      <c r="AK88" s="58"/>
      <c r="AL88" s="58"/>
    </row>
    <row r="89" spans="9:38" ht="18" customHeight="1" x14ac:dyDescent="0.25">
      <c r="P89" s="175" t="s">
        <v>155</v>
      </c>
      <c r="Q89" s="197" t="s">
        <v>770</v>
      </c>
      <c r="R89" s="198" t="s">
        <v>268</v>
      </c>
      <c r="S89" s="197" t="s">
        <v>55</v>
      </c>
      <c r="W89" s="4"/>
      <c r="X89" s="4"/>
      <c r="Y89" s="58"/>
      <c r="Z89" s="58"/>
      <c r="AA89" s="58"/>
      <c r="AB89" s="58"/>
      <c r="AC89" s="58"/>
      <c r="AF89" s="58"/>
      <c r="AG89" s="58"/>
      <c r="AH89" s="58"/>
      <c r="AI89" s="58"/>
      <c r="AJ89" s="58"/>
      <c r="AK89" s="58"/>
      <c r="AL89" s="58"/>
    </row>
    <row r="90" spans="9:38" ht="18" customHeight="1" x14ac:dyDescent="0.25">
      <c r="P90" s="175" t="s">
        <v>154</v>
      </c>
      <c r="Q90" s="197" t="s">
        <v>129</v>
      </c>
      <c r="R90" s="198" t="s">
        <v>628</v>
      </c>
      <c r="S90" s="197" t="s">
        <v>57</v>
      </c>
      <c r="W90" s="4"/>
      <c r="X90" s="4"/>
      <c r="Y90" s="58"/>
      <c r="Z90" s="58"/>
      <c r="AA90" s="58"/>
      <c r="AB90" s="58"/>
      <c r="AC90" s="58"/>
      <c r="AF90" s="58"/>
      <c r="AG90" s="58"/>
      <c r="AH90" s="58"/>
      <c r="AI90" s="58"/>
      <c r="AJ90" s="58"/>
      <c r="AK90" s="58"/>
      <c r="AL90" s="58"/>
    </row>
    <row r="91" spans="9:38" ht="18" customHeight="1" x14ac:dyDescent="0.25">
      <c r="P91" s="175" t="s">
        <v>153</v>
      </c>
      <c r="Q91" s="197" t="s">
        <v>659</v>
      </c>
      <c r="R91" s="198" t="s">
        <v>1107</v>
      </c>
      <c r="S91" s="197" t="s">
        <v>396</v>
      </c>
      <c r="W91" s="4"/>
      <c r="X91" s="4"/>
      <c r="Y91" s="58"/>
      <c r="Z91" s="58"/>
      <c r="AA91" s="58"/>
      <c r="AB91" s="58"/>
      <c r="AC91" s="58"/>
      <c r="AF91" s="58"/>
      <c r="AG91" s="58"/>
      <c r="AH91" s="58"/>
      <c r="AI91" s="58"/>
      <c r="AJ91" s="58"/>
      <c r="AK91" s="58"/>
      <c r="AL91" s="58"/>
    </row>
    <row r="92" spans="9:38" ht="18" customHeight="1" x14ac:dyDescent="0.25">
      <c r="P92" s="240" t="s">
        <v>152</v>
      </c>
      <c r="Q92" s="197" t="s">
        <v>130</v>
      </c>
      <c r="R92" s="198" t="s">
        <v>57</v>
      </c>
      <c r="S92" s="197" t="s">
        <v>1108</v>
      </c>
      <c r="W92" s="4"/>
      <c r="X92" s="4"/>
      <c r="Y92" s="58"/>
      <c r="Z92" s="58"/>
      <c r="AA92" s="58"/>
      <c r="AB92" s="58"/>
      <c r="AC92" s="58"/>
      <c r="AF92" s="58"/>
      <c r="AG92" s="58"/>
      <c r="AH92" s="58"/>
      <c r="AI92" s="58"/>
      <c r="AJ92" s="58"/>
      <c r="AK92" s="58"/>
      <c r="AL92" s="58"/>
    </row>
    <row r="93" spans="9:38" ht="18" customHeight="1" x14ac:dyDescent="0.25">
      <c r="P93" s="175" t="s">
        <v>151</v>
      </c>
      <c r="Q93" s="197" t="s">
        <v>131</v>
      </c>
      <c r="R93" s="198" t="s">
        <v>1108</v>
      </c>
      <c r="S93" s="197" t="s">
        <v>1036</v>
      </c>
      <c r="W93" s="4"/>
      <c r="X93" s="4"/>
      <c r="Y93" s="58"/>
      <c r="Z93" s="58"/>
      <c r="AA93" s="58"/>
      <c r="AB93" s="58"/>
      <c r="AC93" s="58"/>
      <c r="AF93" s="58"/>
      <c r="AG93" s="58"/>
      <c r="AH93" s="58"/>
      <c r="AI93" s="58"/>
      <c r="AJ93" s="58"/>
      <c r="AK93" s="58"/>
      <c r="AL93" s="58"/>
    </row>
    <row r="94" spans="9:38" ht="18" customHeight="1" x14ac:dyDescent="0.25">
      <c r="P94" s="175" t="s">
        <v>150</v>
      </c>
      <c r="Q94" s="197" t="s">
        <v>424</v>
      </c>
      <c r="R94" s="198" t="s">
        <v>1036</v>
      </c>
      <c r="S94" s="197" t="s">
        <v>760</v>
      </c>
      <c r="W94" s="4"/>
      <c r="X94" s="4"/>
      <c r="Y94" s="58"/>
      <c r="Z94" s="58"/>
      <c r="AA94" s="58"/>
      <c r="AB94" s="58"/>
      <c r="AC94" s="58"/>
      <c r="AF94" s="58"/>
      <c r="AG94" s="58"/>
      <c r="AH94" s="58"/>
      <c r="AI94" s="58"/>
      <c r="AJ94" s="58"/>
      <c r="AK94" s="58"/>
      <c r="AL94" s="58"/>
    </row>
    <row r="95" spans="9:38" ht="18" customHeight="1" x14ac:dyDescent="0.25">
      <c r="P95" s="175" t="s">
        <v>149</v>
      </c>
      <c r="Q95" s="197" t="s">
        <v>659</v>
      </c>
      <c r="R95" s="198" t="s">
        <v>1107</v>
      </c>
      <c r="S95" s="197" t="s">
        <v>396</v>
      </c>
      <c r="W95" s="4"/>
      <c r="X95" s="4"/>
      <c r="Y95" s="58"/>
      <c r="Z95" s="58"/>
      <c r="AA95" s="58"/>
      <c r="AB95" s="58"/>
      <c r="AC95" s="58"/>
      <c r="AF95" s="58"/>
      <c r="AG95" s="58"/>
      <c r="AH95" s="58"/>
      <c r="AI95" s="58"/>
      <c r="AJ95" s="58"/>
      <c r="AK95" s="58"/>
      <c r="AL95" s="58"/>
    </row>
    <row r="96" spans="9:38" ht="18" customHeight="1" x14ac:dyDescent="0.25">
      <c r="P96" s="175" t="s">
        <v>148</v>
      </c>
      <c r="Q96" s="197" t="s">
        <v>663</v>
      </c>
      <c r="R96" s="198" t="s">
        <v>52</v>
      </c>
      <c r="S96" s="197" t="s">
        <v>1201</v>
      </c>
      <c r="W96" s="4"/>
      <c r="X96" s="4"/>
      <c r="Y96" s="58"/>
      <c r="Z96" s="58"/>
      <c r="AA96" s="58"/>
      <c r="AB96" s="58"/>
      <c r="AC96" s="58"/>
      <c r="AF96" s="58"/>
      <c r="AG96" s="58"/>
      <c r="AH96" s="58"/>
      <c r="AI96" s="58"/>
      <c r="AJ96" s="58"/>
      <c r="AK96" s="58"/>
      <c r="AL96" s="58"/>
    </row>
    <row r="97" spans="16:38" ht="18" customHeight="1" x14ac:dyDescent="0.25">
      <c r="P97" s="175" t="s">
        <v>147</v>
      </c>
      <c r="Q97" s="197" t="s">
        <v>663</v>
      </c>
      <c r="R97" s="198" t="s">
        <v>52</v>
      </c>
      <c r="S97" s="197" t="s">
        <v>1201</v>
      </c>
      <c r="W97" s="4"/>
      <c r="X97" s="4"/>
      <c r="Y97" s="58"/>
      <c r="Z97" s="58"/>
      <c r="AA97" s="58"/>
      <c r="AB97" s="58"/>
      <c r="AC97" s="58"/>
      <c r="AF97" s="58"/>
      <c r="AG97" s="58"/>
      <c r="AH97" s="58"/>
      <c r="AI97" s="58"/>
      <c r="AJ97" s="58"/>
      <c r="AK97" s="58"/>
      <c r="AL97" s="58"/>
    </row>
    <row r="98" spans="16:38" ht="18" customHeight="1" x14ac:dyDescent="0.25">
      <c r="P98" s="175" t="s">
        <v>146</v>
      </c>
      <c r="Q98" s="197" t="s">
        <v>663</v>
      </c>
      <c r="R98" s="198" t="s">
        <v>52</v>
      </c>
      <c r="S98" s="197" t="s">
        <v>1201</v>
      </c>
      <c r="W98" s="4"/>
      <c r="X98" s="4"/>
      <c r="Y98" s="58"/>
      <c r="Z98" s="58"/>
      <c r="AA98" s="58"/>
      <c r="AB98" s="58"/>
      <c r="AC98" s="58"/>
      <c r="AF98" s="58"/>
      <c r="AG98" s="58"/>
      <c r="AH98" s="58"/>
      <c r="AI98" s="58"/>
      <c r="AJ98" s="58"/>
      <c r="AK98" s="58"/>
      <c r="AL98" s="58"/>
    </row>
    <row r="99" spans="16:38" ht="18" customHeight="1" x14ac:dyDescent="0.25">
      <c r="P99" s="175" t="s">
        <v>145</v>
      </c>
      <c r="Q99" s="197" t="s">
        <v>659</v>
      </c>
      <c r="R99" s="198" t="s">
        <v>1107</v>
      </c>
      <c r="S99" s="197" t="s">
        <v>396</v>
      </c>
      <c r="W99" s="4"/>
      <c r="X99" s="4"/>
      <c r="Y99" s="58"/>
      <c r="Z99" s="58"/>
      <c r="AA99" s="58"/>
      <c r="AB99" s="58"/>
      <c r="AC99" s="58"/>
      <c r="AF99" s="58"/>
      <c r="AG99" s="58"/>
      <c r="AH99" s="58"/>
      <c r="AI99" s="58"/>
      <c r="AJ99" s="58"/>
      <c r="AK99" s="58"/>
      <c r="AL99" s="58"/>
    </row>
    <row r="100" spans="16:38" ht="18" customHeight="1" x14ac:dyDescent="0.25">
      <c r="P100" s="175" t="s">
        <v>143</v>
      </c>
      <c r="Q100" s="197" t="s">
        <v>663</v>
      </c>
      <c r="R100" s="198" t="s">
        <v>52</v>
      </c>
      <c r="S100" s="197" t="s">
        <v>1201</v>
      </c>
      <c r="W100" s="4"/>
      <c r="X100" s="4"/>
      <c r="Y100" s="58"/>
      <c r="Z100" s="58"/>
      <c r="AA100" s="58"/>
      <c r="AB100" s="58"/>
      <c r="AC100" s="58"/>
      <c r="AF100" s="58"/>
      <c r="AG100" s="58"/>
      <c r="AH100" s="58"/>
      <c r="AI100" s="58"/>
      <c r="AJ100" s="58"/>
      <c r="AK100" s="58"/>
      <c r="AL100" s="58"/>
    </row>
    <row r="101" spans="16:38" ht="18" customHeight="1" x14ac:dyDescent="0.25">
      <c r="P101" s="175" t="s">
        <v>144</v>
      </c>
      <c r="Q101" s="197" t="s">
        <v>425</v>
      </c>
      <c r="R101" s="198" t="s">
        <v>1270</v>
      </c>
      <c r="S101" s="197" t="s">
        <v>165</v>
      </c>
      <c r="W101" s="4"/>
      <c r="X101" s="4"/>
      <c r="Y101" s="58"/>
      <c r="Z101" s="58"/>
      <c r="AA101" s="58"/>
      <c r="AB101" s="58"/>
      <c r="AC101" s="58"/>
      <c r="AF101" s="58"/>
      <c r="AG101" s="58"/>
      <c r="AH101" s="58"/>
      <c r="AI101" s="58"/>
      <c r="AJ101" s="58"/>
      <c r="AK101" s="58"/>
      <c r="AL101" s="58"/>
    </row>
    <row r="102" spans="16:38" ht="18" customHeight="1" x14ac:dyDescent="0.25">
      <c r="P102" s="175" t="s">
        <v>142</v>
      </c>
      <c r="Q102" s="197" t="s">
        <v>426</v>
      </c>
      <c r="R102" s="198" t="s">
        <v>1111</v>
      </c>
      <c r="S102" s="197" t="s">
        <v>1111</v>
      </c>
      <c r="W102" s="4"/>
      <c r="X102" s="4"/>
      <c r="Y102" s="58"/>
      <c r="Z102" s="58"/>
      <c r="AA102" s="58"/>
      <c r="AB102" s="58"/>
      <c r="AC102" s="58"/>
      <c r="AF102" s="58"/>
      <c r="AG102" s="58"/>
      <c r="AH102" s="58"/>
      <c r="AI102" s="58"/>
      <c r="AJ102" s="58"/>
      <c r="AK102" s="58"/>
      <c r="AL102" s="58"/>
    </row>
    <row r="103" spans="16:38" ht="18" customHeight="1" x14ac:dyDescent="0.25">
      <c r="P103" s="20" t="s">
        <v>1165</v>
      </c>
      <c r="Q103" s="197" t="s">
        <v>74</v>
      </c>
      <c r="R103" s="198" t="s">
        <v>54</v>
      </c>
      <c r="S103" s="197" t="s">
        <v>1100</v>
      </c>
      <c r="W103" s="4"/>
      <c r="X103" s="4"/>
      <c r="Y103" s="58"/>
      <c r="Z103" s="58"/>
      <c r="AA103" s="58"/>
      <c r="AB103" s="58"/>
      <c r="AC103" s="58"/>
      <c r="AF103" s="58"/>
      <c r="AG103" s="58"/>
      <c r="AH103" s="58"/>
      <c r="AI103" s="58"/>
      <c r="AJ103" s="58"/>
      <c r="AK103" s="58"/>
      <c r="AL103" s="58"/>
    </row>
    <row r="104" spans="16:38" ht="18" customHeight="1" x14ac:dyDescent="0.25">
      <c r="P104" s="175" t="s">
        <v>258</v>
      </c>
      <c r="Q104" s="197" t="s">
        <v>427</v>
      </c>
      <c r="R104" s="198" t="s">
        <v>1327</v>
      </c>
      <c r="S104" s="197" t="s">
        <v>56</v>
      </c>
      <c r="W104" s="4"/>
      <c r="X104" s="4"/>
      <c r="Y104" s="58"/>
      <c r="Z104" s="58"/>
      <c r="AA104" s="58"/>
      <c r="AB104" s="58"/>
      <c r="AC104" s="58"/>
      <c r="AF104" s="58"/>
      <c r="AG104" s="58"/>
      <c r="AH104" s="58"/>
      <c r="AI104" s="58"/>
      <c r="AJ104" s="58"/>
      <c r="AK104" s="58"/>
      <c r="AL104" s="58"/>
    </row>
    <row r="105" spans="16:38" ht="18" customHeight="1" x14ac:dyDescent="0.25">
      <c r="P105" s="175" t="s">
        <v>337</v>
      </c>
      <c r="Q105" s="197" t="s">
        <v>74</v>
      </c>
      <c r="R105" s="198" t="s">
        <v>54</v>
      </c>
      <c r="S105" s="197" t="s">
        <v>1100</v>
      </c>
      <c r="W105" s="4"/>
      <c r="X105" s="4"/>
      <c r="Y105" s="58"/>
      <c r="Z105" s="58"/>
      <c r="AA105" s="58"/>
      <c r="AB105" s="58"/>
      <c r="AC105" s="58"/>
      <c r="AF105" s="58"/>
      <c r="AG105" s="58"/>
      <c r="AH105" s="58"/>
      <c r="AI105" s="58"/>
      <c r="AJ105" s="58"/>
      <c r="AK105" s="58"/>
      <c r="AL105" s="58"/>
    </row>
    <row r="106" spans="16:38" ht="18" customHeight="1" x14ac:dyDescent="0.25">
      <c r="P106" s="175" t="s">
        <v>336</v>
      </c>
      <c r="Q106" s="197" t="s">
        <v>734</v>
      </c>
      <c r="R106" s="198" t="s">
        <v>44</v>
      </c>
      <c r="S106" s="197" t="s">
        <v>47</v>
      </c>
      <c r="W106" s="4"/>
      <c r="X106" s="4"/>
      <c r="Y106" s="58"/>
      <c r="Z106" s="58"/>
      <c r="AA106" s="58"/>
      <c r="AB106" s="58"/>
      <c r="AC106" s="58"/>
      <c r="AF106" s="58"/>
      <c r="AG106" s="58"/>
      <c r="AH106" s="58"/>
      <c r="AI106" s="58"/>
      <c r="AJ106" s="58"/>
      <c r="AK106" s="58"/>
      <c r="AL106" s="58"/>
    </row>
    <row r="107" spans="16:38" ht="18" customHeight="1" x14ac:dyDescent="0.25">
      <c r="P107" s="175" t="s">
        <v>335</v>
      </c>
      <c r="Q107" s="197" t="s">
        <v>659</v>
      </c>
      <c r="R107" s="198" t="s">
        <v>1107</v>
      </c>
      <c r="S107" s="197" t="s">
        <v>396</v>
      </c>
      <c r="W107" s="4"/>
      <c r="X107" s="4"/>
      <c r="Y107" s="58"/>
      <c r="Z107" s="58"/>
      <c r="AA107" s="58"/>
      <c r="AB107" s="58"/>
      <c r="AC107" s="58"/>
      <c r="AF107" s="58"/>
      <c r="AG107" s="58"/>
      <c r="AH107" s="58"/>
      <c r="AI107" s="58"/>
      <c r="AJ107" s="58"/>
      <c r="AK107" s="58"/>
      <c r="AL107" s="58"/>
    </row>
    <row r="108" spans="16:38" ht="18" customHeight="1" x14ac:dyDescent="0.25">
      <c r="P108" s="175" t="s">
        <v>334</v>
      </c>
      <c r="Q108" s="197" t="s">
        <v>659</v>
      </c>
      <c r="R108" s="198" t="s">
        <v>1107</v>
      </c>
      <c r="S108" s="197" t="s">
        <v>396</v>
      </c>
      <c r="W108" s="4"/>
      <c r="X108" s="4"/>
      <c r="Y108" s="58"/>
      <c r="Z108" s="58"/>
      <c r="AA108" s="58"/>
      <c r="AB108" s="58"/>
      <c r="AC108" s="58"/>
      <c r="AF108" s="58"/>
      <c r="AG108" s="58"/>
      <c r="AH108" s="58"/>
      <c r="AI108" s="58"/>
      <c r="AJ108" s="58"/>
      <c r="AK108" s="58"/>
      <c r="AL108" s="58"/>
    </row>
    <row r="109" spans="16:38" ht="18" customHeight="1" x14ac:dyDescent="0.25">
      <c r="P109" s="175" t="s">
        <v>333</v>
      </c>
      <c r="Q109" s="197" t="s">
        <v>659</v>
      </c>
      <c r="R109" s="198" t="s">
        <v>1107</v>
      </c>
      <c r="S109" s="197" t="s">
        <v>396</v>
      </c>
      <c r="W109" s="4"/>
      <c r="X109" s="4"/>
      <c r="Y109" s="58"/>
      <c r="Z109" s="58"/>
      <c r="AA109" s="58"/>
      <c r="AB109" s="58"/>
      <c r="AC109" s="58"/>
      <c r="AF109" s="58"/>
      <c r="AG109" s="58"/>
      <c r="AH109" s="58"/>
      <c r="AI109" s="58"/>
      <c r="AJ109" s="58"/>
      <c r="AK109" s="58"/>
      <c r="AL109" s="58"/>
    </row>
    <row r="110" spans="16:38" ht="18" customHeight="1" x14ac:dyDescent="0.25">
      <c r="P110" s="175" t="s">
        <v>332</v>
      </c>
      <c r="Q110" s="197" t="s">
        <v>659</v>
      </c>
      <c r="R110" s="198" t="s">
        <v>1107</v>
      </c>
      <c r="S110" s="197" t="s">
        <v>396</v>
      </c>
      <c r="W110" s="4"/>
      <c r="X110" s="4"/>
      <c r="Y110" s="58"/>
      <c r="Z110" s="58"/>
      <c r="AA110" s="58"/>
      <c r="AB110" s="58"/>
      <c r="AC110" s="58"/>
      <c r="AF110" s="58"/>
      <c r="AG110" s="58"/>
      <c r="AH110" s="58"/>
      <c r="AI110" s="58"/>
      <c r="AJ110" s="58"/>
      <c r="AK110" s="58"/>
      <c r="AL110" s="58"/>
    </row>
    <row r="111" spans="16:38" ht="18" customHeight="1" x14ac:dyDescent="0.25">
      <c r="P111" s="175" t="s">
        <v>331</v>
      </c>
      <c r="Q111" s="197" t="s">
        <v>74</v>
      </c>
      <c r="R111" s="198" t="s">
        <v>54</v>
      </c>
      <c r="S111" s="197" t="s">
        <v>1100</v>
      </c>
      <c r="W111" s="4"/>
      <c r="X111" s="4"/>
      <c r="Y111" s="58"/>
      <c r="Z111" s="58"/>
      <c r="AA111" s="58"/>
      <c r="AB111" s="58"/>
      <c r="AC111" s="58"/>
      <c r="AF111" s="58"/>
      <c r="AG111" s="58"/>
      <c r="AH111" s="58"/>
      <c r="AI111" s="58"/>
      <c r="AJ111" s="58"/>
      <c r="AK111" s="58"/>
      <c r="AL111" s="58"/>
    </row>
    <row r="112" spans="16:38" ht="18" customHeight="1" x14ac:dyDescent="0.25">
      <c r="P112" s="175" t="s">
        <v>1215</v>
      </c>
      <c r="Q112" s="197" t="s">
        <v>74</v>
      </c>
      <c r="R112" s="198" t="s">
        <v>54</v>
      </c>
      <c r="S112" s="197" t="s">
        <v>1100</v>
      </c>
      <c r="W112" s="4"/>
      <c r="X112" s="4"/>
      <c r="Y112" s="58"/>
      <c r="Z112" s="58"/>
      <c r="AA112" s="58"/>
      <c r="AB112" s="58"/>
      <c r="AC112" s="58"/>
      <c r="AF112" s="58"/>
      <c r="AG112" s="58"/>
      <c r="AH112" s="58"/>
      <c r="AI112" s="58"/>
      <c r="AJ112" s="58"/>
      <c r="AK112" s="58"/>
      <c r="AL112" s="58"/>
    </row>
    <row r="113" spans="15:38" ht="18" customHeight="1" x14ac:dyDescent="0.25">
      <c r="O113" s="175" t="s">
        <v>337</v>
      </c>
      <c r="P113" s="175" t="s">
        <v>1214</v>
      </c>
      <c r="Q113" s="197" t="s">
        <v>74</v>
      </c>
      <c r="R113" s="198" t="s">
        <v>54</v>
      </c>
      <c r="S113" s="197" t="s">
        <v>1100</v>
      </c>
      <c r="W113" s="4"/>
      <c r="X113" s="4"/>
      <c r="Y113" s="58"/>
      <c r="Z113" s="58"/>
      <c r="AA113" s="58"/>
      <c r="AB113" s="58"/>
      <c r="AC113" s="58"/>
      <c r="AF113" s="58"/>
      <c r="AG113" s="58"/>
      <c r="AH113" s="58"/>
      <c r="AI113" s="58"/>
      <c r="AJ113" s="58"/>
      <c r="AK113" s="58"/>
      <c r="AL113" s="58"/>
    </row>
    <row r="114" spans="15:38" ht="18" customHeight="1" x14ac:dyDescent="0.25">
      <c r="P114" s="175" t="s">
        <v>1213</v>
      </c>
      <c r="Q114" s="197" t="s">
        <v>735</v>
      </c>
      <c r="R114" s="198" t="s">
        <v>49</v>
      </c>
      <c r="S114" s="197" t="s">
        <v>1329</v>
      </c>
      <c r="W114" s="4"/>
      <c r="X114" s="4"/>
      <c r="Y114" s="58"/>
      <c r="Z114" s="58"/>
      <c r="AA114" s="58"/>
      <c r="AB114" s="58"/>
      <c r="AC114" s="58"/>
      <c r="AF114" s="58"/>
      <c r="AG114" s="58"/>
      <c r="AH114" s="58"/>
      <c r="AI114" s="58"/>
      <c r="AJ114" s="58"/>
      <c r="AK114" s="58"/>
      <c r="AL114" s="58"/>
    </row>
    <row r="115" spans="15:38" ht="18" customHeight="1" x14ac:dyDescent="0.25">
      <c r="P115" s="175" t="s">
        <v>1212</v>
      </c>
      <c r="Q115" s="197" t="s">
        <v>74</v>
      </c>
      <c r="R115" s="198" t="s">
        <v>54</v>
      </c>
      <c r="S115" s="197" t="s">
        <v>1100</v>
      </c>
      <c r="W115" s="4"/>
      <c r="X115" s="4"/>
      <c r="Y115" s="58"/>
      <c r="Z115" s="58"/>
      <c r="AA115" s="58"/>
      <c r="AB115" s="58"/>
      <c r="AC115" s="58"/>
      <c r="AF115" s="58"/>
      <c r="AG115" s="58"/>
      <c r="AH115" s="58"/>
      <c r="AI115" s="58"/>
      <c r="AJ115" s="58"/>
      <c r="AK115" s="58"/>
      <c r="AL115" s="58"/>
    </row>
    <row r="116" spans="15:38" ht="18" customHeight="1" x14ac:dyDescent="0.25">
      <c r="P116" s="175" t="s">
        <v>291</v>
      </c>
      <c r="Q116" s="197" t="s">
        <v>930</v>
      </c>
      <c r="R116" s="199" t="s">
        <v>931</v>
      </c>
      <c r="S116" s="197">
        <v>21</v>
      </c>
      <c r="W116" s="4"/>
      <c r="X116" s="4"/>
      <c r="Y116" s="58"/>
      <c r="Z116" s="58"/>
      <c r="AA116" s="58"/>
      <c r="AB116" s="58"/>
      <c r="AC116" s="58"/>
      <c r="AF116" s="58"/>
      <c r="AG116" s="58"/>
      <c r="AH116" s="58"/>
      <c r="AI116" s="58"/>
      <c r="AJ116" s="58"/>
      <c r="AK116" s="58"/>
      <c r="AL116" s="58"/>
    </row>
    <row r="117" spans="15:38" ht="18" customHeight="1" x14ac:dyDescent="0.25">
      <c r="P117" s="175" t="s">
        <v>290</v>
      </c>
      <c r="Q117" s="197" t="s">
        <v>659</v>
      </c>
      <c r="R117" s="198" t="s">
        <v>1107</v>
      </c>
      <c r="S117" s="197" t="s">
        <v>396</v>
      </c>
      <c r="W117" s="4"/>
      <c r="X117" s="4"/>
      <c r="Y117" s="58"/>
      <c r="Z117" s="58"/>
      <c r="AA117" s="58"/>
      <c r="AB117" s="58"/>
      <c r="AC117" s="58"/>
      <c r="AF117" s="58"/>
      <c r="AG117" s="58"/>
      <c r="AH117" s="58"/>
      <c r="AI117" s="58"/>
      <c r="AJ117" s="58"/>
      <c r="AK117" s="58"/>
      <c r="AL117" s="58"/>
    </row>
    <row r="118" spans="15:38" ht="18" customHeight="1" x14ac:dyDescent="0.25">
      <c r="P118" s="175" t="s">
        <v>289</v>
      </c>
      <c r="Q118" s="197" t="s">
        <v>659</v>
      </c>
      <c r="R118" s="198" t="s">
        <v>1107</v>
      </c>
      <c r="S118" s="197" t="s">
        <v>396</v>
      </c>
      <c r="W118" s="4"/>
      <c r="X118" s="4"/>
      <c r="Y118" s="58"/>
      <c r="Z118" s="58"/>
      <c r="AA118" s="58"/>
      <c r="AB118" s="58"/>
      <c r="AC118" s="58"/>
      <c r="AF118" s="58"/>
      <c r="AG118" s="58"/>
      <c r="AH118" s="58"/>
      <c r="AI118" s="58"/>
      <c r="AJ118" s="58"/>
      <c r="AK118" s="58"/>
      <c r="AL118" s="58"/>
    </row>
    <row r="119" spans="15:38" ht="18" customHeight="1" x14ac:dyDescent="0.25">
      <c r="P119" s="175" t="s">
        <v>288</v>
      </c>
      <c r="Q119" s="197" t="s">
        <v>734</v>
      </c>
      <c r="R119" s="198" t="s">
        <v>44</v>
      </c>
      <c r="S119" s="197" t="s">
        <v>47</v>
      </c>
      <c r="W119" s="4"/>
      <c r="X119" s="4"/>
      <c r="Y119" s="58"/>
      <c r="Z119" s="58"/>
      <c r="AA119" s="58"/>
      <c r="AB119" s="58"/>
      <c r="AC119" s="58"/>
      <c r="AF119" s="58"/>
      <c r="AG119" s="58"/>
      <c r="AH119" s="58"/>
      <c r="AI119" s="58"/>
      <c r="AJ119" s="58"/>
      <c r="AK119" s="58"/>
      <c r="AL119" s="58"/>
    </row>
    <row r="120" spans="15:38" ht="18" customHeight="1" x14ac:dyDescent="0.25">
      <c r="P120" s="175" t="s">
        <v>287</v>
      </c>
      <c r="Q120" s="197" t="s">
        <v>736</v>
      </c>
      <c r="R120" s="198" t="s">
        <v>1235</v>
      </c>
      <c r="S120" s="197" t="s">
        <v>1331</v>
      </c>
      <c r="W120" s="4"/>
      <c r="X120" s="4"/>
      <c r="Y120" s="58"/>
      <c r="Z120" s="58"/>
      <c r="AA120" s="58"/>
      <c r="AB120" s="58"/>
      <c r="AC120" s="58"/>
      <c r="AF120" s="58"/>
      <c r="AG120" s="58"/>
      <c r="AH120" s="58"/>
      <c r="AI120" s="58"/>
      <c r="AJ120" s="58"/>
      <c r="AK120" s="58"/>
      <c r="AL120" s="58"/>
    </row>
    <row r="121" spans="15:38" ht="18" customHeight="1" x14ac:dyDescent="0.25">
      <c r="P121" s="175" t="s">
        <v>737</v>
      </c>
      <c r="Q121" s="175" t="s">
        <v>737</v>
      </c>
      <c r="R121" s="199">
        <v>99</v>
      </c>
      <c r="S121" s="175"/>
      <c r="W121" s="4"/>
      <c r="X121" s="4"/>
      <c r="Y121" s="58"/>
      <c r="Z121" s="58"/>
      <c r="AA121" s="58"/>
      <c r="AB121" s="58"/>
      <c r="AC121" s="58"/>
      <c r="AF121" s="58"/>
      <c r="AG121" s="58"/>
      <c r="AH121" s="58"/>
      <c r="AI121" s="58"/>
      <c r="AJ121" s="58"/>
      <c r="AK121" s="58"/>
      <c r="AL121" s="58"/>
    </row>
    <row r="122" spans="15:38" ht="18" customHeight="1" x14ac:dyDescent="0.25">
      <c r="P122" s="175" t="s">
        <v>71</v>
      </c>
      <c r="Q122" s="175" t="s">
        <v>71</v>
      </c>
      <c r="R122" s="199">
        <v>30</v>
      </c>
      <c r="S122" s="175"/>
      <c r="W122" s="4"/>
      <c r="X122" s="4"/>
      <c r="Y122" s="58"/>
      <c r="Z122" s="58"/>
      <c r="AA122" s="58"/>
      <c r="AB122" s="58"/>
      <c r="AC122" s="58"/>
      <c r="AF122" s="58"/>
      <c r="AG122" s="58"/>
      <c r="AH122" s="58"/>
      <c r="AI122" s="58"/>
      <c r="AJ122" s="58"/>
      <c r="AK122" s="58"/>
      <c r="AL122" s="58"/>
    </row>
    <row r="123" spans="15:38" ht="18" customHeight="1" x14ac:dyDescent="0.25">
      <c r="P123" s="175" t="s">
        <v>738</v>
      </c>
      <c r="Q123" s="175" t="s">
        <v>738</v>
      </c>
      <c r="R123" s="199">
        <v>42</v>
      </c>
      <c r="S123" s="175"/>
      <c r="W123" s="4"/>
      <c r="X123" s="4"/>
      <c r="Y123" s="58"/>
      <c r="Z123" s="58"/>
      <c r="AA123" s="58"/>
      <c r="AB123" s="58"/>
      <c r="AC123" s="58"/>
      <c r="AF123" s="58"/>
      <c r="AG123" s="58"/>
      <c r="AH123" s="58"/>
      <c r="AI123" s="58"/>
      <c r="AJ123" s="58"/>
      <c r="AK123" s="58"/>
      <c r="AL123" s="58"/>
    </row>
    <row r="124" spans="15:38" ht="18" customHeight="1" x14ac:dyDescent="0.25">
      <c r="P124" s="175" t="s">
        <v>739</v>
      </c>
      <c r="Q124" s="175" t="s">
        <v>739</v>
      </c>
      <c r="R124" s="199">
        <v>84</v>
      </c>
      <c r="S124" s="175"/>
      <c r="W124" s="4"/>
      <c r="X124" s="4"/>
      <c r="Y124" s="58"/>
      <c r="Z124" s="58"/>
      <c r="AA124" s="58"/>
      <c r="AB124" s="58"/>
      <c r="AC124" s="58"/>
      <c r="AF124" s="58"/>
      <c r="AG124" s="58"/>
      <c r="AH124" s="58"/>
      <c r="AI124" s="58"/>
      <c r="AJ124" s="58"/>
      <c r="AK124" s="58"/>
      <c r="AL124" s="58"/>
    </row>
    <row r="125" spans="15:38" ht="18" customHeight="1" x14ac:dyDescent="0.25">
      <c r="P125" s="175" t="s">
        <v>740</v>
      </c>
      <c r="Q125" s="175" t="s">
        <v>740</v>
      </c>
      <c r="R125" s="199">
        <v>81</v>
      </c>
      <c r="S125" s="175"/>
      <c r="W125" s="4"/>
      <c r="X125" s="4"/>
      <c r="Y125" s="58"/>
      <c r="Z125" s="58"/>
      <c r="AA125" s="58"/>
      <c r="AB125" s="58"/>
      <c r="AC125" s="58"/>
      <c r="AF125" s="58"/>
      <c r="AG125" s="58"/>
      <c r="AH125" s="58"/>
      <c r="AI125" s="58"/>
      <c r="AJ125" s="58"/>
      <c r="AK125" s="58"/>
      <c r="AL125" s="58"/>
    </row>
    <row r="126" spans="15:38" ht="18" customHeight="1" x14ac:dyDescent="0.25">
      <c r="P126" s="175" t="s">
        <v>741</v>
      </c>
      <c r="Q126" s="175" t="s">
        <v>741</v>
      </c>
      <c r="R126" s="199">
        <v>85</v>
      </c>
      <c r="S126" s="175"/>
      <c r="W126" s="4"/>
      <c r="X126" s="4"/>
      <c r="Y126" s="58"/>
      <c r="Z126" s="58"/>
      <c r="AA126" s="58"/>
      <c r="AB126" s="58"/>
      <c r="AC126" s="58"/>
      <c r="AF126" s="58"/>
      <c r="AG126" s="58"/>
      <c r="AH126" s="58"/>
      <c r="AI126" s="58"/>
      <c r="AJ126" s="58"/>
      <c r="AK126" s="58"/>
      <c r="AL126" s="58"/>
    </row>
    <row r="127" spans="15:38" ht="18" customHeight="1" x14ac:dyDescent="0.25">
      <c r="P127" s="175" t="s">
        <v>742</v>
      </c>
      <c r="Q127" s="175" t="s">
        <v>742</v>
      </c>
      <c r="R127" s="199">
        <v>96</v>
      </c>
      <c r="S127" s="175"/>
      <c r="W127" s="4"/>
      <c r="X127" s="4"/>
      <c r="Y127" s="58"/>
      <c r="Z127" s="58"/>
      <c r="AA127" s="58"/>
      <c r="AB127" s="58"/>
      <c r="AC127" s="58"/>
      <c r="AF127" s="58"/>
      <c r="AG127" s="58"/>
      <c r="AH127" s="58"/>
      <c r="AI127" s="58"/>
      <c r="AJ127" s="58"/>
      <c r="AK127" s="58"/>
      <c r="AL127" s="58"/>
    </row>
    <row r="128" spans="15:38" ht="18" customHeight="1" x14ac:dyDescent="0.25">
      <c r="P128" s="175" t="s">
        <v>743</v>
      </c>
      <c r="Q128" s="175" t="s">
        <v>743</v>
      </c>
      <c r="R128" s="199">
        <v>77</v>
      </c>
      <c r="S128" s="175"/>
      <c r="W128" s="4"/>
      <c r="X128" s="4"/>
      <c r="Y128" s="58"/>
      <c r="Z128" s="58"/>
      <c r="AA128" s="58"/>
      <c r="AB128" s="58"/>
      <c r="AC128" s="58"/>
      <c r="AF128" s="58"/>
      <c r="AG128" s="58"/>
      <c r="AH128" s="58"/>
      <c r="AI128" s="58"/>
      <c r="AJ128" s="58"/>
      <c r="AK128" s="58"/>
      <c r="AL128" s="58"/>
    </row>
    <row r="129" spans="16:38" ht="18" customHeight="1" x14ac:dyDescent="0.25">
      <c r="P129" s="6" t="s">
        <v>452</v>
      </c>
      <c r="Q129" s="197" t="s">
        <v>663</v>
      </c>
      <c r="R129" s="198" t="s">
        <v>52</v>
      </c>
      <c r="S129" s="197" t="s">
        <v>1201</v>
      </c>
      <c r="W129" s="4"/>
      <c r="X129" s="4"/>
      <c r="Y129" s="58"/>
      <c r="Z129" s="58"/>
      <c r="AA129" s="58"/>
      <c r="AB129" s="58"/>
      <c r="AC129" s="58"/>
      <c r="AF129" s="58"/>
      <c r="AG129" s="58"/>
      <c r="AH129" s="58"/>
      <c r="AI129" s="58"/>
      <c r="AJ129" s="58"/>
      <c r="AK129" s="58"/>
      <c r="AL129" s="58"/>
    </row>
    <row r="130" spans="16:38" ht="18" customHeight="1" x14ac:dyDescent="0.25">
      <c r="P130" s="6" t="s">
        <v>453</v>
      </c>
      <c r="Q130" s="197" t="s">
        <v>663</v>
      </c>
      <c r="R130" s="198" t="s">
        <v>52</v>
      </c>
      <c r="S130" s="197" t="s">
        <v>1201</v>
      </c>
      <c r="W130" s="4"/>
      <c r="X130" s="4"/>
      <c r="Y130" s="58"/>
      <c r="Z130" s="58"/>
      <c r="AA130" s="58"/>
      <c r="AB130" s="58"/>
      <c r="AC130" s="58"/>
      <c r="AF130" s="58"/>
      <c r="AG130" s="58"/>
      <c r="AH130" s="58"/>
      <c r="AI130" s="58"/>
      <c r="AJ130" s="58"/>
      <c r="AK130" s="58"/>
      <c r="AL130" s="58"/>
    </row>
    <row r="131" spans="16:38" ht="18" customHeight="1" x14ac:dyDescent="0.25">
      <c r="P131" s="6" t="s">
        <v>640</v>
      </c>
      <c r="Q131" s="197" t="s">
        <v>767</v>
      </c>
      <c r="R131" s="198" t="s">
        <v>1223</v>
      </c>
      <c r="S131" s="197" t="s">
        <v>392</v>
      </c>
      <c r="W131" s="4"/>
      <c r="X131" s="4"/>
      <c r="Y131" s="58"/>
      <c r="Z131" s="58"/>
      <c r="AA131" s="58"/>
      <c r="AB131" s="58"/>
      <c r="AC131" s="58"/>
      <c r="AF131" s="58"/>
      <c r="AG131" s="58"/>
      <c r="AH131" s="58"/>
      <c r="AI131" s="58"/>
      <c r="AJ131" s="58"/>
      <c r="AK131" s="58"/>
      <c r="AL131" s="58"/>
    </row>
    <row r="132" spans="16:38" ht="18" customHeight="1" x14ac:dyDescent="0.25">
      <c r="P132" s="6" t="s">
        <v>641</v>
      </c>
      <c r="Q132" s="197" t="s">
        <v>663</v>
      </c>
      <c r="R132" s="198" t="s">
        <v>52</v>
      </c>
      <c r="S132" s="197" t="s">
        <v>1201</v>
      </c>
      <c r="W132" s="4"/>
      <c r="X132" s="4"/>
      <c r="Y132" s="58"/>
      <c r="Z132" s="58"/>
      <c r="AA132" s="58"/>
      <c r="AB132" s="58"/>
      <c r="AC132" s="58"/>
      <c r="AF132" s="58"/>
      <c r="AG132" s="58"/>
      <c r="AH132" s="58"/>
      <c r="AI132" s="58"/>
      <c r="AJ132" s="58"/>
      <c r="AK132" s="58"/>
      <c r="AL132" s="58"/>
    </row>
    <row r="133" spans="16:38" ht="18" customHeight="1" x14ac:dyDescent="0.25">
      <c r="P133" s="6" t="s">
        <v>537</v>
      </c>
      <c r="Q133" s="197" t="s">
        <v>663</v>
      </c>
      <c r="R133" s="198" t="s">
        <v>52</v>
      </c>
      <c r="S133" s="197" t="s">
        <v>1201</v>
      </c>
      <c r="W133" s="4"/>
      <c r="X133" s="4"/>
      <c r="Y133" s="58"/>
      <c r="Z133" s="58"/>
      <c r="AA133" s="58"/>
      <c r="AB133" s="58"/>
      <c r="AC133" s="58"/>
      <c r="AF133" s="58"/>
      <c r="AG133" s="58"/>
      <c r="AH133" s="58"/>
      <c r="AI133" s="58"/>
      <c r="AJ133" s="58"/>
      <c r="AK133" s="58"/>
      <c r="AL133" s="58"/>
    </row>
    <row r="134" spans="16:38" ht="18" customHeight="1" x14ac:dyDescent="0.25">
      <c r="P134" s="6" t="s">
        <v>1166</v>
      </c>
      <c r="Q134" s="197" t="s">
        <v>130</v>
      </c>
      <c r="R134" s="198" t="s">
        <v>57</v>
      </c>
      <c r="S134" s="197" t="s">
        <v>1108</v>
      </c>
      <c r="W134" s="4"/>
      <c r="X134" s="4"/>
      <c r="Y134" s="58"/>
      <c r="Z134" s="58"/>
      <c r="AA134" s="58"/>
      <c r="AB134" s="58"/>
      <c r="AC134" s="58"/>
      <c r="AF134" s="58"/>
      <c r="AG134" s="58"/>
      <c r="AH134" s="58"/>
      <c r="AI134" s="58"/>
      <c r="AJ134" s="58"/>
      <c r="AK134" s="58"/>
      <c r="AL134" s="58"/>
    </row>
    <row r="135" spans="16:38" ht="18" customHeight="1" x14ac:dyDescent="0.25">
      <c r="P135" s="6" t="s">
        <v>22</v>
      </c>
      <c r="Q135" s="197" t="s">
        <v>762</v>
      </c>
      <c r="R135" s="198" t="s">
        <v>46</v>
      </c>
      <c r="S135" s="197" t="s">
        <v>763</v>
      </c>
      <c r="W135" s="4"/>
      <c r="X135" s="4"/>
      <c r="Y135" s="58"/>
      <c r="Z135" s="58"/>
      <c r="AA135" s="58"/>
      <c r="AB135" s="58"/>
      <c r="AC135" s="58"/>
      <c r="AF135" s="58"/>
      <c r="AG135" s="58"/>
      <c r="AH135" s="58"/>
      <c r="AI135" s="58"/>
      <c r="AJ135" s="58"/>
      <c r="AK135" s="58"/>
      <c r="AL135" s="58"/>
    </row>
    <row r="136" spans="16:38" ht="18" customHeight="1" x14ac:dyDescent="0.25">
      <c r="P136" s="6" t="s">
        <v>1126</v>
      </c>
      <c r="Q136" s="197" t="s">
        <v>764</v>
      </c>
      <c r="R136" s="198" t="s">
        <v>1336</v>
      </c>
      <c r="S136" s="197" t="s">
        <v>81</v>
      </c>
      <c r="W136" s="4"/>
      <c r="X136" s="4"/>
      <c r="Y136" s="58"/>
      <c r="Z136" s="58"/>
      <c r="AA136" s="58"/>
      <c r="AB136" s="58"/>
      <c r="AC136" s="58"/>
      <c r="AF136" s="58"/>
      <c r="AG136" s="58"/>
      <c r="AH136" s="58"/>
      <c r="AI136" s="58"/>
      <c r="AJ136" s="58"/>
      <c r="AK136" s="58"/>
      <c r="AL136" s="58"/>
    </row>
    <row r="137" spans="16:38" ht="18" customHeight="1" x14ac:dyDescent="0.25">
      <c r="P137" s="6" t="s">
        <v>80</v>
      </c>
      <c r="Q137" s="197" t="s">
        <v>80</v>
      </c>
      <c r="R137" s="198" t="s">
        <v>621</v>
      </c>
      <c r="S137" s="197" t="s">
        <v>111</v>
      </c>
      <c r="W137" s="4"/>
      <c r="X137" s="4"/>
      <c r="Y137" s="58"/>
      <c r="Z137" s="58"/>
      <c r="AA137" s="58"/>
      <c r="AB137" s="58"/>
      <c r="AC137" s="58"/>
      <c r="AF137" s="58"/>
      <c r="AG137" s="58"/>
      <c r="AH137" s="58"/>
      <c r="AI137" s="58"/>
      <c r="AJ137" s="58"/>
      <c r="AK137" s="58"/>
      <c r="AL137" s="58"/>
    </row>
    <row r="138" spans="16:38" ht="18" customHeight="1" x14ac:dyDescent="0.25">
      <c r="P138" s="6" t="s">
        <v>929</v>
      </c>
      <c r="Q138" s="197" t="s">
        <v>930</v>
      </c>
      <c r="R138" s="199" t="s">
        <v>931</v>
      </c>
      <c r="S138" s="197">
        <v>21</v>
      </c>
      <c r="W138" s="4"/>
      <c r="X138" s="4"/>
      <c r="Y138" s="58"/>
      <c r="Z138" s="58"/>
      <c r="AA138" s="58"/>
      <c r="AB138" s="58"/>
      <c r="AC138" s="58"/>
      <c r="AF138" s="58"/>
      <c r="AG138" s="58"/>
      <c r="AH138" s="58"/>
      <c r="AI138" s="58"/>
      <c r="AJ138" s="58"/>
      <c r="AK138" s="58"/>
      <c r="AL138" s="58"/>
    </row>
    <row r="139" spans="16:38" ht="18" customHeight="1" x14ac:dyDescent="0.25">
      <c r="P139" s="6" t="s">
        <v>30</v>
      </c>
      <c r="Q139" s="175" t="s">
        <v>741</v>
      </c>
      <c r="R139" s="199">
        <v>85</v>
      </c>
      <c r="W139" s="4"/>
      <c r="X139" s="4"/>
      <c r="Y139" s="58"/>
      <c r="Z139" s="58"/>
      <c r="AA139" s="58"/>
      <c r="AB139" s="58"/>
      <c r="AC139" s="58"/>
      <c r="AF139" s="58"/>
      <c r="AG139" s="58"/>
      <c r="AH139" s="58"/>
      <c r="AI139" s="58"/>
      <c r="AJ139" s="58"/>
      <c r="AK139" s="58"/>
      <c r="AL139" s="58"/>
    </row>
    <row r="140" spans="16:38" ht="18" customHeight="1" x14ac:dyDescent="0.25">
      <c r="P140" s="6" t="s">
        <v>1368</v>
      </c>
      <c r="Q140" s="197" t="s">
        <v>663</v>
      </c>
      <c r="R140" s="198" t="s">
        <v>52</v>
      </c>
      <c r="S140" s="197" t="s">
        <v>1201</v>
      </c>
      <c r="W140" s="4"/>
      <c r="X140" s="4"/>
      <c r="Y140" s="58"/>
      <c r="Z140" s="58"/>
      <c r="AA140" s="58"/>
      <c r="AB140" s="58"/>
      <c r="AC140" s="58"/>
      <c r="AF140" s="58"/>
      <c r="AG140" s="58"/>
      <c r="AH140" s="58"/>
      <c r="AI140" s="58"/>
      <c r="AJ140" s="58"/>
      <c r="AK140" s="58"/>
      <c r="AL140" s="58"/>
    </row>
    <row r="141" spans="16:38" ht="18" customHeight="1" x14ac:dyDescent="0.25">
      <c r="P141" s="6" t="s">
        <v>594</v>
      </c>
      <c r="Q141" s="197" t="s">
        <v>659</v>
      </c>
      <c r="R141" s="198" t="s">
        <v>1107</v>
      </c>
      <c r="S141" s="197" t="s">
        <v>396</v>
      </c>
      <c r="W141" s="4"/>
      <c r="X141" s="4"/>
      <c r="Y141" s="58"/>
      <c r="Z141" s="58"/>
      <c r="AA141" s="58"/>
      <c r="AB141" s="58"/>
      <c r="AC141" s="58"/>
      <c r="AF141" s="58"/>
      <c r="AG141" s="58"/>
      <c r="AH141" s="58"/>
      <c r="AI141" s="58"/>
      <c r="AJ141" s="58"/>
      <c r="AK141" s="58"/>
      <c r="AL141" s="58"/>
    </row>
    <row r="142" spans="16:38" ht="18" customHeight="1" x14ac:dyDescent="0.25">
      <c r="P142" s="175" t="s">
        <v>212</v>
      </c>
      <c r="Q142" s="197" t="s">
        <v>210</v>
      </c>
      <c r="R142" s="198" t="s">
        <v>211</v>
      </c>
      <c r="S142" s="197" t="s">
        <v>48</v>
      </c>
      <c r="W142" s="4"/>
      <c r="X142" s="4"/>
      <c r="Y142" s="58"/>
      <c r="Z142" s="58"/>
      <c r="AA142" s="58"/>
      <c r="AB142" s="58"/>
      <c r="AC142" s="58"/>
      <c r="AF142" s="58"/>
      <c r="AG142" s="58"/>
      <c r="AH142" s="58"/>
      <c r="AI142" s="58"/>
      <c r="AJ142" s="58"/>
      <c r="AK142" s="58"/>
      <c r="AL142" s="58"/>
    </row>
    <row r="143" spans="16:38" ht="18" customHeight="1" x14ac:dyDescent="0.25">
      <c r="P143" s="6" t="s">
        <v>564</v>
      </c>
      <c r="Q143" s="197" t="s">
        <v>734</v>
      </c>
      <c r="R143" s="198" t="s">
        <v>44</v>
      </c>
      <c r="S143" s="197" t="s">
        <v>47</v>
      </c>
      <c r="W143" s="4"/>
      <c r="X143" s="4"/>
      <c r="Y143" s="58"/>
      <c r="Z143" s="58"/>
      <c r="AA143" s="58"/>
      <c r="AB143" s="58"/>
      <c r="AC143" s="58"/>
      <c r="AF143" s="58"/>
      <c r="AG143" s="58"/>
      <c r="AH143" s="58"/>
      <c r="AI143" s="58"/>
      <c r="AJ143" s="58"/>
      <c r="AK143" s="58"/>
      <c r="AL143" s="58"/>
    </row>
    <row r="144" spans="16:38" ht="18" customHeight="1" x14ac:dyDescent="0.25">
      <c r="P144" s="6" t="s">
        <v>565</v>
      </c>
      <c r="Q144" s="197" t="s">
        <v>74</v>
      </c>
      <c r="R144" s="198" t="s">
        <v>54</v>
      </c>
      <c r="S144" s="197" t="s">
        <v>1100</v>
      </c>
      <c r="W144" s="4"/>
      <c r="X144" s="4"/>
      <c r="Y144" s="58"/>
      <c r="Z144" s="58"/>
      <c r="AA144" s="58"/>
      <c r="AB144" s="58"/>
      <c r="AC144" s="58"/>
      <c r="AF144" s="58"/>
      <c r="AG144" s="58"/>
      <c r="AH144" s="58"/>
      <c r="AI144" s="58"/>
      <c r="AJ144" s="58"/>
      <c r="AK144" s="58"/>
      <c r="AL144" s="58"/>
    </row>
    <row r="145" spans="16:38" ht="18" customHeight="1" x14ac:dyDescent="0.25">
      <c r="P145" s="6" t="s">
        <v>200</v>
      </c>
      <c r="Q145" s="197" t="s">
        <v>74</v>
      </c>
      <c r="R145" s="198" t="s">
        <v>54</v>
      </c>
      <c r="S145" s="197" t="s">
        <v>1100</v>
      </c>
      <c r="W145" s="4"/>
      <c r="X145" s="4"/>
      <c r="Y145" s="58"/>
      <c r="Z145" s="58"/>
      <c r="AA145" s="58"/>
      <c r="AB145" s="58"/>
      <c r="AC145" s="58"/>
      <c r="AF145" s="58"/>
      <c r="AG145" s="58"/>
      <c r="AH145" s="58"/>
      <c r="AI145" s="58"/>
      <c r="AJ145" s="58"/>
      <c r="AK145" s="58"/>
      <c r="AL145" s="58"/>
    </row>
    <row r="146" spans="16:38" ht="18" customHeight="1" x14ac:dyDescent="0.25">
      <c r="P146" s="6" t="s">
        <v>1899</v>
      </c>
      <c r="Q146" s="197" t="s">
        <v>663</v>
      </c>
      <c r="R146" s="198" t="s">
        <v>52</v>
      </c>
      <c r="S146" s="197" t="s">
        <v>1201</v>
      </c>
      <c r="W146" s="4"/>
      <c r="X146" s="4"/>
      <c r="Y146" s="58"/>
      <c r="Z146" s="58"/>
      <c r="AA146" s="58"/>
      <c r="AB146" s="58"/>
      <c r="AC146" s="58"/>
      <c r="AF146" s="58"/>
      <c r="AG146" s="58"/>
      <c r="AH146" s="58"/>
      <c r="AI146" s="58"/>
      <c r="AJ146" s="58"/>
      <c r="AK146" s="58"/>
      <c r="AL146" s="58"/>
    </row>
    <row r="147" spans="16:38" ht="18" customHeight="1" x14ac:dyDescent="0.25">
      <c r="P147" s="6" t="s">
        <v>201</v>
      </c>
      <c r="Q147" s="197" t="s">
        <v>734</v>
      </c>
      <c r="R147" s="198" t="s">
        <v>44</v>
      </c>
      <c r="S147" s="197" t="s">
        <v>47</v>
      </c>
      <c r="W147" s="4"/>
      <c r="X147" s="4"/>
      <c r="Y147" s="58"/>
      <c r="Z147" s="58"/>
      <c r="AA147" s="58"/>
      <c r="AB147" s="58"/>
      <c r="AC147" s="58"/>
      <c r="AF147" s="58"/>
      <c r="AG147" s="58"/>
      <c r="AH147" s="58"/>
      <c r="AI147" s="58"/>
      <c r="AJ147" s="58"/>
      <c r="AK147" s="58"/>
      <c r="AL147" s="58"/>
    </row>
    <row r="148" spans="16:38" ht="18" customHeight="1" x14ac:dyDescent="0.25">
      <c r="P148" s="6" t="s">
        <v>2374</v>
      </c>
      <c r="Q148" s="197" t="s">
        <v>74</v>
      </c>
      <c r="R148" s="198" t="s">
        <v>54</v>
      </c>
      <c r="S148" s="197" t="s">
        <v>1100</v>
      </c>
      <c r="W148" s="4"/>
      <c r="X148" s="4"/>
      <c r="Y148" s="58"/>
      <c r="Z148" s="58"/>
      <c r="AA148" s="58"/>
      <c r="AB148" s="58"/>
      <c r="AC148" s="58"/>
      <c r="AF148" s="58"/>
      <c r="AG148" s="58"/>
      <c r="AH148" s="58"/>
      <c r="AI148" s="58"/>
      <c r="AJ148" s="58"/>
      <c r="AK148" s="58"/>
      <c r="AL148" s="58"/>
    </row>
    <row r="149" spans="16:38" ht="18" customHeight="1" x14ac:dyDescent="0.25">
      <c r="P149" s="6" t="s">
        <v>2053</v>
      </c>
      <c r="Q149" s="197" t="s">
        <v>663</v>
      </c>
      <c r="R149" s="198" t="s">
        <v>52</v>
      </c>
      <c r="S149" s="197" t="s">
        <v>1201</v>
      </c>
      <c r="W149" s="4"/>
      <c r="X149" s="4"/>
      <c r="Y149" s="58"/>
      <c r="Z149" s="58"/>
      <c r="AA149" s="58"/>
      <c r="AB149" s="58"/>
      <c r="AC149" s="58"/>
      <c r="AF149" s="58"/>
      <c r="AG149" s="58"/>
      <c r="AH149" s="58"/>
      <c r="AI149" s="58"/>
      <c r="AJ149" s="58"/>
      <c r="AK149" s="58"/>
      <c r="AL149" s="58"/>
    </row>
    <row r="150" spans="16:38" ht="18" customHeight="1" x14ac:dyDescent="0.25">
      <c r="P150" s="6" t="s">
        <v>535</v>
      </c>
      <c r="Q150" s="197" t="s">
        <v>74</v>
      </c>
      <c r="R150" s="198" t="s">
        <v>54</v>
      </c>
      <c r="S150" s="197" t="s">
        <v>1100</v>
      </c>
      <c r="W150" s="4"/>
      <c r="X150" s="4"/>
      <c r="Y150" s="58"/>
      <c r="Z150" s="58"/>
      <c r="AA150" s="58"/>
      <c r="AB150" s="58"/>
      <c r="AC150" s="58"/>
      <c r="AF150" s="58"/>
      <c r="AG150" s="58"/>
      <c r="AH150" s="58"/>
      <c r="AI150" s="58"/>
      <c r="AJ150" s="58"/>
      <c r="AK150" s="58"/>
      <c r="AL150" s="58"/>
    </row>
    <row r="151" spans="16:38" ht="18" customHeight="1" x14ac:dyDescent="0.25">
      <c r="P151" s="6" t="s">
        <v>536</v>
      </c>
      <c r="Q151" s="197" t="s">
        <v>764</v>
      </c>
      <c r="R151" s="198" t="s">
        <v>1336</v>
      </c>
      <c r="S151" s="197" t="s">
        <v>81</v>
      </c>
      <c r="W151" s="4"/>
      <c r="X151" s="4"/>
      <c r="Y151" s="58"/>
      <c r="Z151" s="58"/>
      <c r="AA151" s="58"/>
      <c r="AB151" s="58"/>
      <c r="AC151" s="58"/>
      <c r="AF151" s="58"/>
      <c r="AG151" s="58"/>
      <c r="AH151" s="58"/>
      <c r="AI151" s="58"/>
      <c r="AJ151" s="58"/>
      <c r="AK151" s="58"/>
      <c r="AL151" s="58"/>
    </row>
    <row r="152" spans="16:38" ht="18" customHeight="1" x14ac:dyDescent="0.25">
      <c r="P152" s="6" t="s">
        <v>1341</v>
      </c>
      <c r="Q152" s="197" t="s">
        <v>663</v>
      </c>
      <c r="R152" s="198" t="s">
        <v>52</v>
      </c>
      <c r="S152" s="197" t="s">
        <v>1201</v>
      </c>
      <c r="W152" s="4"/>
      <c r="X152" s="4"/>
      <c r="Y152" s="58"/>
      <c r="Z152" s="58"/>
      <c r="AA152" s="58"/>
      <c r="AB152" s="58"/>
      <c r="AC152" s="58"/>
      <c r="AF152" s="58"/>
      <c r="AG152" s="58"/>
      <c r="AH152" s="58"/>
      <c r="AI152" s="58"/>
      <c r="AJ152" s="58"/>
      <c r="AK152" s="58"/>
      <c r="AL152" s="58"/>
    </row>
    <row r="153" spans="16:38" ht="18" customHeight="1" x14ac:dyDescent="0.25">
      <c r="P153" s="6" t="s">
        <v>2320</v>
      </c>
      <c r="Q153" s="197" t="s">
        <v>663</v>
      </c>
      <c r="R153" s="198" t="s">
        <v>52</v>
      </c>
      <c r="S153" s="197" t="s">
        <v>1201</v>
      </c>
      <c r="W153" s="4"/>
      <c r="X153" s="4"/>
      <c r="Y153" s="58"/>
      <c r="Z153" s="58"/>
      <c r="AA153" s="58"/>
      <c r="AB153" s="58"/>
      <c r="AC153" s="58"/>
      <c r="AF153" s="58"/>
      <c r="AG153" s="58"/>
      <c r="AH153" s="58"/>
      <c r="AI153" s="58"/>
      <c r="AJ153" s="58"/>
      <c r="AK153" s="58"/>
      <c r="AL153" s="58"/>
    </row>
    <row r="154" spans="16:38" ht="18" customHeight="1" x14ac:dyDescent="0.25">
      <c r="P154" s="6" t="s">
        <v>1342</v>
      </c>
      <c r="Q154" s="197" t="s">
        <v>663</v>
      </c>
      <c r="R154" s="198" t="s">
        <v>52</v>
      </c>
      <c r="S154" s="197" t="s">
        <v>1201</v>
      </c>
      <c r="W154" s="4"/>
      <c r="X154" s="4"/>
      <c r="Y154" s="58"/>
      <c r="Z154" s="58"/>
      <c r="AA154" s="58"/>
      <c r="AB154" s="58"/>
      <c r="AC154" s="58"/>
      <c r="AF154" s="58"/>
      <c r="AG154" s="58"/>
      <c r="AH154" s="58"/>
      <c r="AI154" s="58"/>
      <c r="AJ154" s="58"/>
      <c r="AK154" s="58"/>
      <c r="AL154" s="58"/>
    </row>
    <row r="155" spans="16:38" ht="18" customHeight="1" x14ac:dyDescent="0.25">
      <c r="P155" s="6" t="s">
        <v>2054</v>
      </c>
      <c r="Q155" s="197" t="s">
        <v>663</v>
      </c>
      <c r="R155" s="198" t="s">
        <v>52</v>
      </c>
      <c r="S155" s="197" t="s">
        <v>1201</v>
      </c>
      <c r="W155" s="4"/>
      <c r="X155" s="4"/>
      <c r="Y155" s="58"/>
      <c r="Z155" s="58"/>
      <c r="AA155" s="58"/>
      <c r="AB155" s="58"/>
      <c r="AC155" s="58"/>
      <c r="AF155" s="58"/>
      <c r="AG155" s="58"/>
      <c r="AH155" s="58"/>
      <c r="AI155" s="58"/>
      <c r="AJ155" s="58"/>
      <c r="AK155" s="58"/>
      <c r="AL155" s="58"/>
    </row>
    <row r="156" spans="16:38" ht="18" customHeight="1" x14ac:dyDescent="0.25">
      <c r="P156" s="6" t="s">
        <v>2055</v>
      </c>
      <c r="Q156" s="197" t="s">
        <v>659</v>
      </c>
      <c r="R156" s="198" t="s">
        <v>1107</v>
      </c>
      <c r="S156" s="197" t="s">
        <v>396</v>
      </c>
      <c r="W156" s="4"/>
      <c r="X156" s="4"/>
      <c r="Y156" s="58"/>
      <c r="Z156" s="58"/>
      <c r="AA156" s="58"/>
      <c r="AB156" s="58"/>
      <c r="AC156" s="58"/>
      <c r="AF156" s="58"/>
      <c r="AG156" s="58"/>
      <c r="AH156" s="58"/>
      <c r="AI156" s="58"/>
      <c r="AJ156" s="58"/>
      <c r="AK156" s="58"/>
      <c r="AL156" s="58"/>
    </row>
    <row r="157" spans="16:38" ht="18" customHeight="1" x14ac:dyDescent="0.25">
      <c r="P157" s="6" t="s">
        <v>2503</v>
      </c>
      <c r="Q157" s="197" t="s">
        <v>663</v>
      </c>
      <c r="R157" s="198" t="s">
        <v>52</v>
      </c>
      <c r="S157" s="197" t="s">
        <v>1201</v>
      </c>
      <c r="W157" s="4"/>
      <c r="X157" s="4"/>
      <c r="Y157" s="58"/>
      <c r="Z157" s="58"/>
      <c r="AA157" s="58"/>
      <c r="AB157" s="58"/>
      <c r="AC157" s="58"/>
      <c r="AF157" s="58"/>
      <c r="AG157" s="58"/>
      <c r="AH157" s="58"/>
      <c r="AI157" s="58"/>
      <c r="AJ157" s="58"/>
      <c r="AK157" s="58"/>
      <c r="AL157" s="58"/>
    </row>
    <row r="158" spans="16:38" ht="18" customHeight="1" x14ac:dyDescent="0.25">
      <c r="P158" s="6" t="s">
        <v>2504</v>
      </c>
      <c r="Q158" s="197" t="s">
        <v>663</v>
      </c>
      <c r="R158" s="198" t="s">
        <v>52</v>
      </c>
      <c r="S158" s="197" t="s">
        <v>1201</v>
      </c>
      <c r="W158" s="4"/>
      <c r="X158" s="4"/>
      <c r="Y158" s="58"/>
      <c r="Z158" s="58"/>
      <c r="AA158" s="58"/>
      <c r="AB158" s="58"/>
      <c r="AC158" s="58"/>
      <c r="AF158" s="58"/>
      <c r="AG158" s="58"/>
      <c r="AH158" s="58"/>
      <c r="AI158" s="58"/>
      <c r="AJ158" s="58"/>
      <c r="AK158" s="58"/>
      <c r="AL158" s="58"/>
    </row>
    <row r="159" spans="16:38" ht="18" customHeight="1" x14ac:dyDescent="0.25">
      <c r="P159" s="6" t="s">
        <v>2505</v>
      </c>
      <c r="Q159" s="197" t="s">
        <v>764</v>
      </c>
      <c r="R159" s="198" t="s">
        <v>1336</v>
      </c>
      <c r="S159" s="197" t="s">
        <v>81</v>
      </c>
      <c r="W159" s="4"/>
      <c r="X159" s="4"/>
      <c r="Y159" s="58"/>
      <c r="Z159" s="58"/>
      <c r="AA159" s="58"/>
      <c r="AB159" s="58"/>
      <c r="AC159" s="58"/>
      <c r="AF159" s="58"/>
      <c r="AG159" s="58"/>
      <c r="AH159" s="58"/>
      <c r="AI159" s="58"/>
      <c r="AJ159" s="58"/>
      <c r="AK159" s="58"/>
      <c r="AL159" s="58"/>
    </row>
    <row r="160" spans="16:38" ht="18" customHeight="1" x14ac:dyDescent="0.25">
      <c r="P160" s="6" t="s">
        <v>2506</v>
      </c>
      <c r="Q160" s="197" t="s">
        <v>663</v>
      </c>
      <c r="R160" s="198" t="s">
        <v>52</v>
      </c>
      <c r="S160" s="197" t="s">
        <v>1201</v>
      </c>
      <c r="W160" s="4"/>
      <c r="X160" s="4"/>
      <c r="Y160" s="58"/>
      <c r="Z160" s="58"/>
      <c r="AA160" s="58"/>
      <c r="AB160" s="58"/>
      <c r="AC160" s="58"/>
      <c r="AF160" s="58"/>
      <c r="AG160" s="58"/>
      <c r="AH160" s="58"/>
      <c r="AI160" s="58"/>
      <c r="AJ160" s="58"/>
      <c r="AK160" s="58"/>
      <c r="AL160" s="58"/>
    </row>
    <row r="161" spans="16:38" ht="18" customHeight="1" x14ac:dyDescent="0.25">
      <c r="P161" s="6" t="s">
        <v>2507</v>
      </c>
      <c r="Q161" s="197" t="s">
        <v>663</v>
      </c>
      <c r="R161" s="198" t="s">
        <v>52</v>
      </c>
      <c r="S161" s="197" t="s">
        <v>1201</v>
      </c>
      <c r="W161" s="4"/>
      <c r="X161" s="4"/>
      <c r="Y161" s="58"/>
      <c r="Z161" s="58"/>
      <c r="AA161" s="58"/>
      <c r="AB161" s="58"/>
      <c r="AC161" s="58"/>
      <c r="AF161" s="58"/>
      <c r="AG161" s="58"/>
      <c r="AH161" s="58"/>
      <c r="AI161" s="58"/>
      <c r="AJ161" s="58"/>
      <c r="AK161" s="58"/>
      <c r="AL161" s="58"/>
    </row>
    <row r="162" spans="16:38" ht="18" customHeight="1" x14ac:dyDescent="0.25">
      <c r="P162" s="6" t="s">
        <v>2746</v>
      </c>
      <c r="Q162" s="197" t="s">
        <v>671</v>
      </c>
      <c r="R162" s="198" t="s">
        <v>630</v>
      </c>
      <c r="S162" s="197" t="s">
        <v>1235</v>
      </c>
      <c r="W162" s="4"/>
      <c r="X162" s="4"/>
      <c r="Y162" s="58"/>
      <c r="Z162" s="58"/>
      <c r="AA162" s="58"/>
      <c r="AB162" s="58"/>
      <c r="AC162" s="58"/>
      <c r="AF162" s="58"/>
      <c r="AG162" s="58"/>
      <c r="AH162" s="58"/>
      <c r="AI162" s="58"/>
      <c r="AJ162" s="58"/>
      <c r="AK162" s="58"/>
      <c r="AL162" s="58"/>
    </row>
    <row r="163" spans="16:38" ht="18" customHeight="1" x14ac:dyDescent="0.25">
      <c r="P163" s="6" t="s">
        <v>2747</v>
      </c>
      <c r="Q163" s="197" t="s">
        <v>663</v>
      </c>
      <c r="R163" s="198" t="s">
        <v>52</v>
      </c>
      <c r="S163" s="197" t="s">
        <v>1201</v>
      </c>
      <c r="W163" s="4"/>
      <c r="X163" s="4"/>
      <c r="Y163" s="58"/>
      <c r="Z163" s="58"/>
      <c r="AA163" s="58"/>
      <c r="AB163" s="58"/>
      <c r="AC163" s="58"/>
      <c r="AF163" s="58"/>
      <c r="AG163" s="58"/>
      <c r="AH163" s="58"/>
      <c r="AI163" s="58"/>
      <c r="AJ163" s="58"/>
      <c r="AK163" s="58"/>
      <c r="AL163" s="58"/>
    </row>
    <row r="164" spans="16:38" ht="18" customHeight="1" x14ac:dyDescent="0.25">
      <c r="P164" s="6" t="s">
        <v>2748</v>
      </c>
      <c r="Q164" s="197" t="s">
        <v>663</v>
      </c>
      <c r="R164" s="198" t="s">
        <v>52</v>
      </c>
      <c r="S164" s="197" t="s">
        <v>1201</v>
      </c>
      <c r="W164" s="4"/>
      <c r="X164" s="4"/>
      <c r="Y164" s="58"/>
      <c r="Z164" s="58"/>
      <c r="AA164" s="58"/>
      <c r="AB164" s="58"/>
      <c r="AC164" s="58"/>
      <c r="AF164" s="58"/>
      <c r="AG164" s="58"/>
      <c r="AH164" s="58"/>
      <c r="AI164" s="58"/>
      <c r="AJ164" s="58"/>
      <c r="AK164" s="58"/>
      <c r="AL164" s="58"/>
    </row>
    <row r="165" spans="16:38" ht="18" customHeight="1" x14ac:dyDescent="0.25">
      <c r="P165" s="6" t="s">
        <v>2749</v>
      </c>
      <c r="Q165" s="197" t="s">
        <v>663</v>
      </c>
      <c r="R165" s="198" t="s">
        <v>52</v>
      </c>
      <c r="S165" s="197" t="s">
        <v>1201</v>
      </c>
      <c r="W165" s="4"/>
      <c r="X165" s="4"/>
      <c r="Y165" s="58"/>
      <c r="Z165" s="58"/>
      <c r="AA165" s="58"/>
      <c r="AB165" s="58"/>
      <c r="AC165" s="58"/>
      <c r="AF165" s="58"/>
      <c r="AG165" s="58"/>
      <c r="AH165" s="58"/>
      <c r="AI165" s="58"/>
      <c r="AJ165" s="58"/>
      <c r="AK165" s="58"/>
      <c r="AL165" s="58"/>
    </row>
    <row r="166" spans="16:38" ht="18" customHeight="1" x14ac:dyDescent="0.25">
      <c r="P166" s="6" t="s">
        <v>3450</v>
      </c>
      <c r="Q166" s="197" t="s">
        <v>663</v>
      </c>
      <c r="R166" s="198" t="s">
        <v>52</v>
      </c>
      <c r="S166" s="197" t="s">
        <v>1201</v>
      </c>
      <c r="W166" s="4"/>
      <c r="X166" s="4"/>
      <c r="Y166" s="58"/>
      <c r="Z166" s="58"/>
      <c r="AA166" s="58"/>
      <c r="AB166" s="58"/>
      <c r="AC166" s="58"/>
      <c r="AF166" s="58"/>
      <c r="AG166" s="58"/>
      <c r="AH166" s="58"/>
      <c r="AI166" s="58"/>
      <c r="AJ166" s="58"/>
      <c r="AK166" s="58"/>
      <c r="AL166" s="58"/>
    </row>
    <row r="167" spans="16:38" ht="18" customHeight="1" x14ac:dyDescent="0.25">
      <c r="P167" s="6" t="s">
        <v>3451</v>
      </c>
      <c r="Q167" s="197" t="s">
        <v>663</v>
      </c>
      <c r="R167" s="198" t="s">
        <v>52</v>
      </c>
      <c r="S167" s="197" t="s">
        <v>1201</v>
      </c>
      <c r="W167" s="4"/>
      <c r="X167" s="4"/>
      <c r="Y167" s="58"/>
      <c r="Z167" s="58"/>
      <c r="AA167" s="58"/>
      <c r="AB167" s="58"/>
      <c r="AC167" s="58"/>
      <c r="AF167" s="58"/>
      <c r="AG167" s="58"/>
      <c r="AH167" s="58"/>
      <c r="AI167" s="58"/>
      <c r="AJ167" s="58"/>
      <c r="AK167" s="58"/>
      <c r="AL167" s="58"/>
    </row>
    <row r="168" spans="16:38" ht="18" customHeight="1" x14ac:dyDescent="0.25">
      <c r="P168" s="6" t="s">
        <v>3730</v>
      </c>
      <c r="Q168" s="197" t="s">
        <v>663</v>
      </c>
      <c r="R168" s="198" t="s">
        <v>52</v>
      </c>
      <c r="S168" s="197" t="s">
        <v>1201</v>
      </c>
      <c r="W168" s="4"/>
      <c r="X168" s="4"/>
      <c r="Y168" s="58"/>
      <c r="Z168" s="58"/>
      <c r="AA168" s="58"/>
      <c r="AB168" s="58"/>
      <c r="AC168" s="58"/>
      <c r="AF168" s="58"/>
      <c r="AG168" s="58"/>
      <c r="AH168" s="58"/>
      <c r="AI168" s="58"/>
      <c r="AJ168" s="58"/>
      <c r="AK168" s="58"/>
      <c r="AL168" s="58"/>
    </row>
    <row r="169" spans="16:38" ht="18" customHeight="1" x14ac:dyDescent="0.25">
      <c r="P169" s="6" t="s">
        <v>4554</v>
      </c>
      <c r="Q169" s="197" t="s">
        <v>663</v>
      </c>
      <c r="R169" s="198" t="s">
        <v>52</v>
      </c>
      <c r="S169" s="197" t="s">
        <v>1201</v>
      </c>
      <c r="W169" s="4"/>
      <c r="X169" s="4"/>
      <c r="Y169" s="58"/>
      <c r="Z169" s="58"/>
      <c r="AA169" s="58"/>
      <c r="AB169" s="58"/>
      <c r="AC169" s="58"/>
      <c r="AF169" s="58"/>
      <c r="AG169" s="58"/>
      <c r="AH169" s="58"/>
      <c r="AI169" s="58"/>
      <c r="AJ169" s="58"/>
      <c r="AK169" s="58"/>
      <c r="AL169" s="58"/>
    </row>
    <row r="170" spans="16:38" ht="18" customHeight="1" x14ac:dyDescent="0.25">
      <c r="P170" s="6" t="s">
        <v>4639</v>
      </c>
      <c r="Q170" s="197" t="s">
        <v>663</v>
      </c>
      <c r="R170" s="198" t="s">
        <v>52</v>
      </c>
      <c r="S170" s="197" t="s">
        <v>1201</v>
      </c>
      <c r="W170" s="4"/>
      <c r="X170" s="4"/>
      <c r="Y170" s="58"/>
      <c r="Z170" s="58"/>
      <c r="AA170" s="58"/>
      <c r="AB170" s="58"/>
      <c r="AC170" s="58"/>
      <c r="AF170" s="58"/>
      <c r="AG170" s="58"/>
      <c r="AH170" s="58"/>
      <c r="AI170" s="58"/>
      <c r="AJ170" s="58"/>
      <c r="AK170" s="58"/>
      <c r="AL170" s="58"/>
    </row>
    <row r="171" spans="16:38" ht="18" customHeight="1" x14ac:dyDescent="0.25">
      <c r="P171" s="6" t="s">
        <v>4640</v>
      </c>
      <c r="Q171" s="197" t="s">
        <v>74</v>
      </c>
      <c r="R171" s="198" t="s">
        <v>54</v>
      </c>
      <c r="S171" s="197" t="s">
        <v>1100</v>
      </c>
      <c r="W171" s="4"/>
      <c r="X171" s="4"/>
      <c r="Y171" s="58"/>
      <c r="Z171" s="58"/>
      <c r="AA171" s="58"/>
      <c r="AB171" s="58"/>
      <c r="AC171" s="58"/>
      <c r="AF171" s="58"/>
      <c r="AG171" s="58"/>
      <c r="AH171" s="58"/>
      <c r="AI171" s="58"/>
      <c r="AJ171" s="58"/>
      <c r="AK171" s="58"/>
      <c r="AL171" s="58"/>
    </row>
    <row r="172" spans="16:38" ht="18" customHeight="1" x14ac:dyDescent="0.25">
      <c r="W172" s="4"/>
      <c r="X172" s="4"/>
      <c r="Y172" s="58"/>
      <c r="Z172" s="58"/>
      <c r="AA172" s="58"/>
      <c r="AB172" s="58"/>
      <c r="AC172" s="58"/>
      <c r="AF172" s="58"/>
      <c r="AG172" s="58"/>
      <c r="AH172" s="58"/>
      <c r="AI172" s="58"/>
      <c r="AJ172" s="58"/>
      <c r="AK172" s="58"/>
      <c r="AL172" s="58"/>
    </row>
    <row r="173" spans="16:38" ht="18" customHeight="1" x14ac:dyDescent="0.25">
      <c r="W173" s="4"/>
      <c r="X173" s="4"/>
      <c r="Y173" s="58"/>
      <c r="Z173" s="58"/>
      <c r="AA173" s="58"/>
      <c r="AB173" s="58"/>
      <c r="AC173" s="58"/>
      <c r="AF173" s="58"/>
      <c r="AG173" s="58"/>
      <c r="AH173" s="58"/>
      <c r="AI173" s="58"/>
      <c r="AJ173" s="58"/>
      <c r="AK173" s="58"/>
      <c r="AL173" s="58"/>
    </row>
    <row r="174" spans="16:38" ht="18" customHeight="1" x14ac:dyDescent="0.25">
      <c r="W174" s="4"/>
      <c r="X174" s="4"/>
      <c r="Y174" s="58"/>
      <c r="Z174" s="58"/>
      <c r="AA174" s="58"/>
      <c r="AB174" s="58"/>
      <c r="AC174" s="58"/>
      <c r="AF174" s="58"/>
      <c r="AG174" s="58"/>
      <c r="AH174" s="58"/>
      <c r="AI174" s="58"/>
      <c r="AJ174" s="58"/>
      <c r="AK174" s="58"/>
      <c r="AL174" s="58"/>
    </row>
    <row r="175" spans="16:38" ht="18" customHeight="1" x14ac:dyDescent="0.25">
      <c r="W175" s="4"/>
      <c r="X175" s="4"/>
      <c r="Y175" s="58"/>
      <c r="Z175" s="58"/>
      <c r="AA175" s="58"/>
      <c r="AB175" s="58"/>
      <c r="AC175" s="58"/>
      <c r="AF175" s="58"/>
      <c r="AG175" s="58"/>
      <c r="AH175" s="58"/>
      <c r="AI175" s="58"/>
      <c r="AJ175" s="58"/>
      <c r="AK175" s="58"/>
      <c r="AL175" s="58"/>
    </row>
    <row r="176" spans="16:38" ht="18" customHeight="1" x14ac:dyDescent="0.25">
      <c r="W176" s="4"/>
      <c r="X176" s="4"/>
      <c r="Y176" s="58"/>
      <c r="Z176" s="58"/>
      <c r="AA176" s="58"/>
      <c r="AB176" s="58"/>
      <c r="AC176" s="58"/>
      <c r="AF176" s="58"/>
      <c r="AG176" s="58"/>
      <c r="AH176" s="58"/>
      <c r="AI176" s="58"/>
      <c r="AJ176" s="58"/>
      <c r="AK176" s="58"/>
      <c r="AL176" s="58"/>
    </row>
    <row r="177" spans="23:38" ht="18" customHeight="1" x14ac:dyDescent="0.25">
      <c r="W177" s="4"/>
      <c r="X177" s="4"/>
      <c r="Y177" s="58"/>
      <c r="Z177" s="58"/>
      <c r="AA177" s="58"/>
      <c r="AB177" s="58"/>
      <c r="AC177" s="58"/>
      <c r="AF177" s="58"/>
      <c r="AG177" s="58"/>
      <c r="AH177" s="58"/>
      <c r="AI177" s="58"/>
      <c r="AJ177" s="58"/>
      <c r="AK177" s="58"/>
      <c r="AL177" s="58"/>
    </row>
    <row r="178" spans="23:38" ht="18" customHeight="1" x14ac:dyDescent="0.25">
      <c r="W178" s="4"/>
      <c r="X178" s="4"/>
      <c r="Y178" s="58"/>
      <c r="Z178" s="58"/>
      <c r="AA178" s="58"/>
      <c r="AB178" s="58"/>
      <c r="AC178" s="58"/>
      <c r="AF178" s="58"/>
      <c r="AG178" s="58"/>
      <c r="AH178" s="58"/>
      <c r="AI178" s="58"/>
      <c r="AJ178" s="58"/>
      <c r="AK178" s="58"/>
      <c r="AL178" s="58"/>
    </row>
    <row r="179" spans="23:38" ht="18" customHeight="1" x14ac:dyDescent="0.25">
      <c r="W179" s="4"/>
      <c r="X179" s="4"/>
      <c r="Y179" s="58"/>
      <c r="Z179" s="58"/>
      <c r="AA179" s="58"/>
      <c r="AB179" s="58"/>
      <c r="AC179" s="58"/>
      <c r="AF179" s="58"/>
      <c r="AG179" s="58"/>
      <c r="AH179" s="58"/>
      <c r="AI179" s="58"/>
      <c r="AJ179" s="58"/>
      <c r="AK179" s="58"/>
      <c r="AL179" s="58"/>
    </row>
    <row r="180" spans="23:38" ht="18" customHeight="1" x14ac:dyDescent="0.25">
      <c r="W180" s="4"/>
      <c r="X180" s="4"/>
      <c r="Y180" s="58"/>
      <c r="Z180" s="58"/>
      <c r="AA180" s="58"/>
      <c r="AB180" s="58"/>
      <c r="AC180" s="58"/>
      <c r="AF180" s="58"/>
      <c r="AG180" s="58"/>
      <c r="AH180" s="58"/>
      <c r="AI180" s="58"/>
      <c r="AJ180" s="58"/>
      <c r="AK180" s="58"/>
      <c r="AL180" s="58"/>
    </row>
    <row r="181" spans="23:38" ht="18" customHeight="1" x14ac:dyDescent="0.25">
      <c r="W181" s="4"/>
      <c r="X181" s="4"/>
      <c r="Y181" s="58"/>
      <c r="Z181" s="58"/>
      <c r="AA181" s="58"/>
      <c r="AB181" s="58"/>
      <c r="AC181" s="58"/>
      <c r="AF181" s="58"/>
      <c r="AG181" s="58"/>
      <c r="AH181" s="58"/>
      <c r="AI181" s="58"/>
      <c r="AJ181" s="58"/>
      <c r="AK181" s="58"/>
      <c r="AL181" s="58"/>
    </row>
    <row r="182" spans="23:38" ht="18" customHeight="1" x14ac:dyDescent="0.25">
      <c r="W182" s="4"/>
      <c r="X182" s="4"/>
      <c r="Y182" s="58"/>
      <c r="Z182" s="58"/>
      <c r="AA182" s="58"/>
      <c r="AB182" s="58"/>
      <c r="AC182" s="58"/>
      <c r="AF182" s="58"/>
      <c r="AG182" s="58"/>
      <c r="AH182" s="58"/>
      <c r="AI182" s="58"/>
      <c r="AJ182" s="58"/>
      <c r="AK182" s="58"/>
      <c r="AL182" s="58"/>
    </row>
    <row r="183" spans="23:38" ht="18" customHeight="1" x14ac:dyDescent="0.25">
      <c r="W183" s="4"/>
      <c r="X183" s="4"/>
      <c r="Y183" s="58"/>
      <c r="Z183" s="58"/>
      <c r="AA183" s="58"/>
      <c r="AB183" s="58"/>
      <c r="AC183" s="58"/>
      <c r="AF183" s="58"/>
      <c r="AG183" s="58"/>
      <c r="AH183" s="58"/>
      <c r="AI183" s="58"/>
      <c r="AJ183" s="58"/>
      <c r="AK183" s="58"/>
      <c r="AL183" s="58"/>
    </row>
    <row r="184" spans="23:38" ht="18" customHeight="1" x14ac:dyDescent="0.25">
      <c r="W184" s="4"/>
      <c r="X184" s="4"/>
      <c r="Y184" s="58"/>
      <c r="Z184" s="58"/>
      <c r="AA184" s="58"/>
      <c r="AB184" s="58"/>
      <c r="AC184" s="58"/>
      <c r="AF184" s="58"/>
      <c r="AG184" s="58"/>
      <c r="AH184" s="58"/>
      <c r="AI184" s="58"/>
      <c r="AJ184" s="58"/>
      <c r="AK184" s="58"/>
      <c r="AL184" s="58"/>
    </row>
    <row r="185" spans="23:38" ht="18" customHeight="1" x14ac:dyDescent="0.25">
      <c r="W185" s="4"/>
      <c r="X185" s="4"/>
      <c r="Y185" s="58"/>
      <c r="Z185" s="58"/>
      <c r="AA185" s="58"/>
      <c r="AB185" s="58"/>
      <c r="AC185" s="58"/>
      <c r="AF185" s="58"/>
      <c r="AG185" s="58"/>
      <c r="AH185" s="58"/>
      <c r="AI185" s="58"/>
      <c r="AJ185" s="58"/>
      <c r="AK185" s="58"/>
      <c r="AL185" s="58"/>
    </row>
    <row r="186" spans="23:38" ht="18" customHeight="1" x14ac:dyDescent="0.25">
      <c r="W186" s="4"/>
      <c r="X186" s="4"/>
      <c r="Y186" s="58"/>
      <c r="Z186" s="58"/>
      <c r="AA186" s="58"/>
      <c r="AB186" s="58"/>
      <c r="AC186" s="58"/>
      <c r="AF186" s="58"/>
      <c r="AG186" s="58"/>
      <c r="AH186" s="58"/>
      <c r="AI186" s="58"/>
      <c r="AJ186" s="58"/>
      <c r="AK186" s="58"/>
      <c r="AL186" s="58"/>
    </row>
    <row r="187" spans="23:38" ht="18" customHeight="1" x14ac:dyDescent="0.25">
      <c r="W187" s="4"/>
      <c r="X187" s="4"/>
      <c r="Y187" s="58"/>
      <c r="Z187" s="58"/>
      <c r="AA187" s="58"/>
      <c r="AB187" s="58"/>
      <c r="AC187" s="58"/>
      <c r="AF187" s="58"/>
      <c r="AG187" s="58"/>
      <c r="AH187" s="58"/>
      <c r="AI187" s="58"/>
      <c r="AJ187" s="58"/>
      <c r="AK187" s="58"/>
      <c r="AL187" s="58"/>
    </row>
    <row r="188" spans="23:38" ht="18" customHeight="1" x14ac:dyDescent="0.25">
      <c r="W188" s="4"/>
      <c r="X188" s="4"/>
      <c r="Y188" s="58"/>
      <c r="Z188" s="58"/>
      <c r="AA188" s="58"/>
      <c r="AB188" s="58"/>
      <c r="AC188" s="58"/>
      <c r="AF188" s="58"/>
      <c r="AG188" s="58"/>
      <c r="AH188" s="58"/>
      <c r="AI188" s="58"/>
      <c r="AJ188" s="58"/>
      <c r="AK188" s="58"/>
      <c r="AL188" s="58"/>
    </row>
    <row r="189" spans="23:38" ht="18" customHeight="1" x14ac:dyDescent="0.25">
      <c r="W189" s="4"/>
      <c r="X189" s="4"/>
      <c r="Y189" s="58"/>
      <c r="Z189" s="58"/>
      <c r="AA189" s="58"/>
      <c r="AB189" s="58"/>
      <c r="AC189" s="58"/>
      <c r="AF189" s="58"/>
      <c r="AG189" s="58"/>
      <c r="AH189" s="58"/>
      <c r="AI189" s="58"/>
      <c r="AJ189" s="58"/>
      <c r="AK189" s="58"/>
      <c r="AL189" s="58"/>
    </row>
    <row r="190" spans="23:38" ht="18" customHeight="1" x14ac:dyDescent="0.25">
      <c r="W190" s="4"/>
      <c r="X190" s="4"/>
      <c r="Y190" s="58"/>
      <c r="Z190" s="58"/>
      <c r="AA190" s="58"/>
      <c r="AB190" s="58"/>
      <c r="AC190" s="58"/>
      <c r="AF190" s="58"/>
      <c r="AG190" s="58"/>
      <c r="AH190" s="58"/>
      <c r="AI190" s="58"/>
      <c r="AJ190" s="58"/>
      <c r="AK190" s="58"/>
      <c r="AL190" s="58"/>
    </row>
    <row r="191" spans="23:38" ht="18" customHeight="1" x14ac:dyDescent="0.25">
      <c r="W191" s="4"/>
      <c r="X191" s="4"/>
      <c r="Y191" s="58"/>
      <c r="Z191" s="58"/>
      <c r="AA191" s="58"/>
      <c r="AB191" s="58"/>
      <c r="AC191" s="58"/>
      <c r="AF191" s="58"/>
      <c r="AG191" s="58"/>
      <c r="AH191" s="58"/>
      <c r="AI191" s="58"/>
      <c r="AJ191" s="58"/>
      <c r="AK191" s="58"/>
      <c r="AL191" s="58"/>
    </row>
    <row r="192" spans="23:38" ht="18" customHeight="1" x14ac:dyDescent="0.25">
      <c r="W192" s="4"/>
      <c r="X192" s="4"/>
      <c r="Y192" s="58"/>
      <c r="Z192" s="58"/>
      <c r="AA192" s="58"/>
      <c r="AB192" s="58"/>
      <c r="AC192" s="58"/>
      <c r="AF192" s="58"/>
      <c r="AG192" s="58"/>
      <c r="AH192" s="58"/>
      <c r="AI192" s="58"/>
      <c r="AJ192" s="58"/>
      <c r="AK192" s="58"/>
      <c r="AL192" s="58"/>
    </row>
    <row r="193" spans="23:38" ht="18" customHeight="1" x14ac:dyDescent="0.25">
      <c r="W193" s="4"/>
      <c r="X193" s="4"/>
      <c r="Y193" s="58"/>
      <c r="Z193" s="58"/>
      <c r="AA193" s="58"/>
      <c r="AB193" s="58"/>
      <c r="AC193" s="58"/>
      <c r="AF193" s="58"/>
      <c r="AG193" s="58"/>
      <c r="AH193" s="58"/>
      <c r="AI193" s="58"/>
      <c r="AJ193" s="58"/>
      <c r="AK193" s="58"/>
      <c r="AL193" s="58"/>
    </row>
    <row r="194" spans="23:38" ht="18" customHeight="1" x14ac:dyDescent="0.25">
      <c r="W194" s="4"/>
      <c r="X194" s="4"/>
      <c r="Y194" s="58"/>
      <c r="Z194" s="58"/>
      <c r="AA194" s="58"/>
      <c r="AB194" s="58"/>
      <c r="AC194" s="58"/>
      <c r="AF194" s="58"/>
      <c r="AG194" s="58"/>
      <c r="AH194" s="58"/>
      <c r="AI194" s="58"/>
      <c r="AJ194" s="58"/>
      <c r="AK194" s="58"/>
      <c r="AL194" s="58"/>
    </row>
    <row r="195" spans="23:38" ht="18" customHeight="1" x14ac:dyDescent="0.25">
      <c r="W195" s="4"/>
      <c r="X195" s="4"/>
      <c r="Y195" s="58"/>
      <c r="Z195" s="58"/>
      <c r="AA195" s="58"/>
      <c r="AB195" s="58"/>
      <c r="AC195" s="58"/>
      <c r="AF195" s="58"/>
      <c r="AG195" s="58"/>
      <c r="AH195" s="58"/>
      <c r="AI195" s="58"/>
      <c r="AJ195" s="58"/>
      <c r="AK195" s="58"/>
      <c r="AL195" s="58"/>
    </row>
    <row r="196" spans="23:38" ht="18" customHeight="1" x14ac:dyDescent="0.25">
      <c r="W196" s="4"/>
      <c r="X196" s="4"/>
      <c r="Y196" s="58"/>
      <c r="Z196" s="58"/>
      <c r="AA196" s="58"/>
      <c r="AB196" s="58"/>
      <c r="AC196" s="58"/>
      <c r="AF196" s="58"/>
      <c r="AG196" s="58"/>
      <c r="AH196" s="58"/>
      <c r="AI196" s="58"/>
      <c r="AJ196" s="58"/>
      <c r="AK196" s="58"/>
      <c r="AL196" s="58"/>
    </row>
    <row r="197" spans="23:38" ht="18" customHeight="1" x14ac:dyDescent="0.25">
      <c r="W197" s="4"/>
      <c r="X197" s="4"/>
      <c r="Y197" s="58"/>
      <c r="Z197" s="58"/>
      <c r="AA197" s="58"/>
      <c r="AB197" s="58"/>
      <c r="AC197" s="58"/>
      <c r="AF197" s="58"/>
      <c r="AG197" s="58"/>
      <c r="AH197" s="58"/>
      <c r="AI197" s="58"/>
      <c r="AJ197" s="58"/>
      <c r="AK197" s="58"/>
      <c r="AL197" s="58"/>
    </row>
    <row r="198" spans="23:38" ht="18" customHeight="1" x14ac:dyDescent="0.25">
      <c r="W198" s="4"/>
      <c r="X198" s="4"/>
      <c r="Y198" s="58"/>
      <c r="Z198" s="58"/>
      <c r="AA198" s="58"/>
      <c r="AB198" s="58"/>
      <c r="AC198" s="58"/>
      <c r="AF198" s="58"/>
      <c r="AG198" s="58"/>
      <c r="AH198" s="58"/>
      <c r="AI198" s="58"/>
      <c r="AJ198" s="58"/>
      <c r="AK198" s="58"/>
      <c r="AL198" s="58"/>
    </row>
    <row r="199" spans="23:38" ht="18" customHeight="1" x14ac:dyDescent="0.25">
      <c r="W199" s="4"/>
      <c r="X199" s="4"/>
      <c r="Y199" s="58"/>
      <c r="Z199" s="58"/>
      <c r="AA199" s="58"/>
      <c r="AB199" s="58"/>
      <c r="AC199" s="58"/>
      <c r="AF199" s="58"/>
      <c r="AG199" s="58"/>
      <c r="AH199" s="58"/>
      <c r="AI199" s="58"/>
      <c r="AJ199" s="58"/>
      <c r="AK199" s="58"/>
      <c r="AL199" s="58"/>
    </row>
    <row r="200" spans="23:38" ht="18" customHeight="1" x14ac:dyDescent="0.25">
      <c r="W200" s="4"/>
      <c r="X200" s="4"/>
      <c r="Y200" s="58"/>
      <c r="Z200" s="58"/>
      <c r="AA200" s="58"/>
      <c r="AB200" s="58"/>
      <c r="AC200" s="58"/>
      <c r="AF200" s="58"/>
      <c r="AG200" s="58"/>
      <c r="AH200" s="58"/>
      <c r="AI200" s="58"/>
      <c r="AJ200" s="58"/>
      <c r="AK200" s="58"/>
      <c r="AL200" s="58"/>
    </row>
    <row r="201" spans="23:38" ht="18" customHeight="1" x14ac:dyDescent="0.25">
      <c r="W201" s="4"/>
      <c r="X201" s="4"/>
      <c r="Y201" s="58"/>
      <c r="Z201" s="58"/>
      <c r="AA201" s="58"/>
      <c r="AB201" s="58"/>
      <c r="AC201" s="58"/>
      <c r="AF201" s="58"/>
      <c r="AG201" s="58"/>
      <c r="AH201" s="58"/>
      <c r="AI201" s="58"/>
      <c r="AJ201" s="58"/>
      <c r="AK201" s="58"/>
      <c r="AL201" s="58"/>
    </row>
    <row r="202" spans="23:38" ht="18" customHeight="1" x14ac:dyDescent="0.25">
      <c r="W202" s="4"/>
      <c r="X202" s="4"/>
      <c r="Y202" s="58"/>
      <c r="Z202" s="58"/>
      <c r="AA202" s="58"/>
      <c r="AB202" s="58"/>
      <c r="AC202" s="58"/>
      <c r="AF202" s="58"/>
      <c r="AG202" s="58"/>
      <c r="AH202" s="58"/>
      <c r="AI202" s="58"/>
      <c r="AJ202" s="58"/>
      <c r="AK202" s="58"/>
      <c r="AL202" s="58"/>
    </row>
    <row r="203" spans="23:38" ht="18" customHeight="1" x14ac:dyDescent="0.25">
      <c r="W203" s="4"/>
      <c r="X203" s="4"/>
      <c r="Y203" s="58"/>
      <c r="Z203" s="58"/>
      <c r="AA203" s="58"/>
      <c r="AB203" s="58"/>
      <c r="AC203" s="58"/>
      <c r="AF203" s="58"/>
      <c r="AG203" s="58"/>
      <c r="AH203" s="58"/>
      <c r="AI203" s="58"/>
      <c r="AJ203" s="58"/>
      <c r="AK203" s="58"/>
      <c r="AL203" s="58"/>
    </row>
    <row r="204" spans="23:38" ht="18" customHeight="1" x14ac:dyDescent="0.25">
      <c r="W204" s="4"/>
      <c r="X204" s="4"/>
      <c r="Y204" s="58"/>
      <c r="Z204" s="58"/>
      <c r="AA204" s="58"/>
      <c r="AB204" s="58"/>
      <c r="AC204" s="58"/>
      <c r="AF204" s="58"/>
      <c r="AG204" s="58"/>
      <c r="AH204" s="58"/>
      <c r="AI204" s="58"/>
      <c r="AJ204" s="58"/>
      <c r="AK204" s="58"/>
      <c r="AL204" s="58"/>
    </row>
    <row r="205" spans="23:38" ht="18" customHeight="1" x14ac:dyDescent="0.25">
      <c r="W205" s="4"/>
      <c r="X205" s="4"/>
      <c r="Y205" s="58"/>
      <c r="Z205" s="58"/>
      <c r="AA205" s="58"/>
      <c r="AB205" s="58"/>
      <c r="AC205" s="58"/>
      <c r="AF205" s="58"/>
      <c r="AG205" s="58"/>
      <c r="AH205" s="58"/>
      <c r="AI205" s="58"/>
      <c r="AJ205" s="58"/>
      <c r="AK205" s="58"/>
      <c r="AL205" s="58"/>
    </row>
    <row r="206" spans="23:38" ht="18" customHeight="1" x14ac:dyDescent="0.25">
      <c r="W206" s="4"/>
      <c r="X206" s="4"/>
      <c r="Y206" s="58"/>
      <c r="Z206" s="58"/>
      <c r="AA206" s="58"/>
      <c r="AB206" s="58"/>
      <c r="AC206" s="58"/>
      <c r="AF206" s="58"/>
      <c r="AG206" s="58"/>
      <c r="AH206" s="58"/>
      <c r="AI206" s="58"/>
      <c r="AJ206" s="58"/>
      <c r="AK206" s="58"/>
      <c r="AL206" s="58"/>
    </row>
    <row r="207" spans="23:38" ht="18" customHeight="1" x14ac:dyDescent="0.25">
      <c r="W207" s="4"/>
      <c r="X207" s="4"/>
      <c r="Y207" s="58"/>
      <c r="Z207" s="58"/>
      <c r="AA207" s="58"/>
      <c r="AB207" s="58"/>
      <c r="AC207" s="58"/>
      <c r="AF207" s="58"/>
      <c r="AG207" s="58"/>
      <c r="AH207" s="58"/>
      <c r="AI207" s="58"/>
      <c r="AJ207" s="58"/>
      <c r="AK207" s="58"/>
      <c r="AL207" s="58"/>
    </row>
    <row r="208" spans="23:38" ht="18" customHeight="1" x14ac:dyDescent="0.25">
      <c r="W208" s="4"/>
      <c r="X208" s="4"/>
      <c r="Y208" s="58"/>
      <c r="Z208" s="58"/>
      <c r="AA208" s="58"/>
      <c r="AB208" s="58"/>
      <c r="AC208" s="58"/>
      <c r="AF208" s="58"/>
      <c r="AG208" s="58"/>
      <c r="AH208" s="58"/>
      <c r="AI208" s="58"/>
      <c r="AJ208" s="58"/>
      <c r="AK208" s="58"/>
      <c r="AL208" s="58"/>
    </row>
    <row r="209" spans="23:38" ht="18" customHeight="1" x14ac:dyDescent="0.25">
      <c r="W209" s="4"/>
      <c r="X209" s="4"/>
      <c r="Y209" s="58"/>
      <c r="Z209" s="58"/>
      <c r="AA209" s="58"/>
      <c r="AB209" s="58"/>
      <c r="AC209" s="58"/>
      <c r="AF209" s="58"/>
      <c r="AG209" s="58"/>
      <c r="AH209" s="58"/>
      <c r="AI209" s="58"/>
      <c r="AJ209" s="58"/>
      <c r="AK209" s="58"/>
      <c r="AL209" s="58"/>
    </row>
    <row r="210" spans="23:38" ht="18" customHeight="1" x14ac:dyDescent="0.25">
      <c r="W210" s="4"/>
      <c r="X210" s="4"/>
      <c r="Y210" s="58"/>
      <c r="Z210" s="58"/>
      <c r="AA210" s="58"/>
      <c r="AB210" s="58"/>
      <c r="AC210" s="58"/>
      <c r="AF210" s="58"/>
      <c r="AG210" s="58"/>
      <c r="AH210" s="58"/>
      <c r="AI210" s="58"/>
      <c r="AJ210" s="58"/>
      <c r="AK210" s="58"/>
      <c r="AL210" s="58"/>
    </row>
    <row r="211" spans="23:38" ht="18" customHeight="1" x14ac:dyDescent="0.25">
      <c r="W211" s="4"/>
      <c r="X211" s="4"/>
      <c r="Y211" s="58"/>
      <c r="Z211" s="58"/>
      <c r="AA211" s="58"/>
      <c r="AB211" s="58"/>
      <c r="AC211" s="58"/>
      <c r="AF211" s="58"/>
      <c r="AG211" s="58"/>
      <c r="AH211" s="58"/>
      <c r="AI211" s="58"/>
      <c r="AJ211" s="58"/>
      <c r="AK211" s="58"/>
      <c r="AL211" s="58"/>
    </row>
    <row r="212" spans="23:38" ht="18" customHeight="1" x14ac:dyDescent="0.25">
      <c r="W212" s="4"/>
      <c r="X212" s="4"/>
      <c r="Y212" s="58"/>
      <c r="Z212" s="58"/>
      <c r="AA212" s="58"/>
      <c r="AB212" s="58"/>
      <c r="AC212" s="58"/>
      <c r="AF212" s="58"/>
      <c r="AG212" s="58"/>
      <c r="AH212" s="58"/>
      <c r="AI212" s="58"/>
      <c r="AJ212" s="58"/>
      <c r="AK212" s="58"/>
      <c r="AL212" s="58"/>
    </row>
    <row r="213" spans="23:38" ht="18" customHeight="1" x14ac:dyDescent="0.25">
      <c r="W213" s="4"/>
      <c r="X213" s="4"/>
      <c r="Y213" s="58"/>
      <c r="Z213" s="58"/>
      <c r="AA213" s="58"/>
      <c r="AB213" s="58"/>
      <c r="AC213" s="58"/>
      <c r="AF213" s="58"/>
      <c r="AG213" s="58"/>
      <c r="AH213" s="58"/>
      <c r="AI213" s="58"/>
      <c r="AJ213" s="58"/>
      <c r="AK213" s="58"/>
      <c r="AL213" s="58"/>
    </row>
    <row r="214" spans="23:38" ht="18" customHeight="1" x14ac:dyDescent="0.25">
      <c r="W214" s="4"/>
      <c r="X214" s="4"/>
      <c r="Y214" s="58"/>
      <c r="Z214" s="58"/>
      <c r="AA214" s="58"/>
      <c r="AB214" s="58"/>
      <c r="AC214" s="58"/>
      <c r="AF214" s="58"/>
      <c r="AG214" s="58"/>
      <c r="AH214" s="58"/>
      <c r="AI214" s="58"/>
      <c r="AJ214" s="58"/>
      <c r="AK214" s="58"/>
      <c r="AL214" s="58"/>
    </row>
    <row r="215" spans="23:38" ht="18" customHeight="1" x14ac:dyDescent="0.25">
      <c r="W215" s="4"/>
      <c r="X215" s="4"/>
      <c r="Y215" s="58"/>
      <c r="Z215" s="58"/>
      <c r="AA215" s="58"/>
      <c r="AB215" s="58"/>
      <c r="AC215" s="58"/>
      <c r="AF215" s="58"/>
      <c r="AG215" s="58"/>
      <c r="AH215" s="58"/>
      <c r="AI215" s="58"/>
      <c r="AJ215" s="58"/>
      <c r="AK215" s="58"/>
      <c r="AL215" s="58"/>
    </row>
    <row r="216" spans="23:38" ht="18" customHeight="1" x14ac:dyDescent="0.25">
      <c r="W216" s="4"/>
      <c r="X216" s="4"/>
      <c r="Y216" s="58"/>
      <c r="Z216" s="58"/>
      <c r="AA216" s="58"/>
      <c r="AB216" s="58"/>
      <c r="AC216" s="58"/>
      <c r="AF216" s="58"/>
      <c r="AG216" s="58"/>
      <c r="AH216" s="58"/>
      <c r="AI216" s="58"/>
      <c r="AJ216" s="58"/>
      <c r="AK216" s="58"/>
      <c r="AL216" s="58"/>
    </row>
    <row r="217" spans="23:38" ht="18" customHeight="1" x14ac:dyDescent="0.25">
      <c r="W217" s="4"/>
      <c r="X217" s="4"/>
      <c r="Y217" s="58"/>
      <c r="Z217" s="58"/>
      <c r="AA217" s="58"/>
      <c r="AB217" s="58"/>
      <c r="AC217" s="58"/>
      <c r="AF217" s="58"/>
      <c r="AG217" s="58"/>
      <c r="AH217" s="58"/>
      <c r="AI217" s="58"/>
      <c r="AJ217" s="58"/>
      <c r="AK217" s="58"/>
      <c r="AL217" s="58"/>
    </row>
    <row r="218" spans="23:38" ht="18" customHeight="1" x14ac:dyDescent="0.25">
      <c r="W218" s="4"/>
      <c r="X218" s="4"/>
      <c r="Y218" s="58"/>
      <c r="Z218" s="58"/>
      <c r="AA218" s="58"/>
      <c r="AB218" s="58"/>
      <c r="AC218" s="58"/>
      <c r="AF218" s="58"/>
      <c r="AG218" s="58"/>
      <c r="AH218" s="58"/>
      <c r="AI218" s="58"/>
      <c r="AJ218" s="58"/>
      <c r="AK218" s="58"/>
      <c r="AL218" s="58"/>
    </row>
    <row r="219" spans="23:38" ht="18" customHeight="1" x14ac:dyDescent="0.25">
      <c r="W219" s="4"/>
      <c r="X219" s="4"/>
      <c r="Y219" s="58"/>
      <c r="Z219" s="58"/>
      <c r="AA219" s="58"/>
      <c r="AB219" s="58"/>
      <c r="AC219" s="58"/>
      <c r="AF219" s="58"/>
      <c r="AG219" s="58"/>
      <c r="AH219" s="58"/>
      <c r="AI219" s="58"/>
      <c r="AJ219" s="58"/>
      <c r="AK219" s="58"/>
      <c r="AL219" s="58"/>
    </row>
    <row r="220" spans="23:38" ht="18" customHeight="1" x14ac:dyDescent="0.25">
      <c r="W220" s="4"/>
      <c r="X220" s="4"/>
      <c r="Y220" s="58"/>
      <c r="Z220" s="58"/>
      <c r="AA220" s="58"/>
      <c r="AB220" s="58"/>
      <c r="AC220" s="58"/>
      <c r="AF220" s="58"/>
      <c r="AG220" s="58"/>
      <c r="AH220" s="58"/>
      <c r="AI220" s="58"/>
      <c r="AJ220" s="58"/>
      <c r="AK220" s="58"/>
      <c r="AL220" s="58"/>
    </row>
    <row r="221" spans="23:38" ht="18" customHeight="1" x14ac:dyDescent="0.25">
      <c r="W221" s="4"/>
      <c r="X221" s="4"/>
      <c r="Y221" s="58"/>
      <c r="Z221" s="58"/>
      <c r="AA221" s="58"/>
      <c r="AB221" s="58"/>
      <c r="AC221" s="58"/>
      <c r="AF221" s="58"/>
      <c r="AG221" s="58"/>
      <c r="AH221" s="58"/>
      <c r="AI221" s="58"/>
      <c r="AJ221" s="58"/>
      <c r="AK221" s="58"/>
      <c r="AL221" s="58"/>
    </row>
    <row r="222" spans="23:38" ht="18" customHeight="1" x14ac:dyDescent="0.25">
      <c r="W222" s="4"/>
      <c r="X222" s="4"/>
      <c r="Y222" s="58"/>
      <c r="Z222" s="58"/>
      <c r="AA222" s="58"/>
      <c r="AB222" s="58"/>
      <c r="AC222" s="58"/>
      <c r="AF222" s="58"/>
      <c r="AG222" s="58"/>
      <c r="AH222" s="58"/>
      <c r="AI222" s="58"/>
      <c r="AJ222" s="58"/>
      <c r="AK222" s="58"/>
      <c r="AL222" s="58"/>
    </row>
    <row r="223" spans="23:38" ht="18" customHeight="1" x14ac:dyDescent="0.25">
      <c r="W223" s="4"/>
      <c r="X223" s="4"/>
      <c r="Y223" s="58"/>
      <c r="Z223" s="58"/>
      <c r="AA223" s="58"/>
      <c r="AB223" s="58"/>
      <c r="AC223" s="58"/>
      <c r="AF223" s="58"/>
      <c r="AG223" s="58"/>
      <c r="AH223" s="58"/>
      <c r="AI223" s="58"/>
      <c r="AJ223" s="58"/>
      <c r="AK223" s="58"/>
      <c r="AL223" s="58"/>
    </row>
    <row r="224" spans="23:38" ht="18" customHeight="1" x14ac:dyDescent="0.25">
      <c r="W224" s="4"/>
      <c r="X224" s="4"/>
      <c r="Y224" s="58"/>
      <c r="Z224" s="58"/>
      <c r="AA224" s="58"/>
      <c r="AB224" s="58"/>
      <c r="AC224" s="58"/>
      <c r="AF224" s="58"/>
      <c r="AG224" s="58"/>
      <c r="AH224" s="58"/>
      <c r="AI224" s="58"/>
      <c r="AJ224" s="58"/>
      <c r="AK224" s="58"/>
      <c r="AL224" s="58"/>
    </row>
    <row r="225" spans="23:38" ht="18" customHeight="1" x14ac:dyDescent="0.25">
      <c r="W225" s="4"/>
      <c r="X225" s="4"/>
      <c r="Y225" s="58"/>
      <c r="Z225" s="58"/>
      <c r="AA225" s="58"/>
      <c r="AB225" s="58"/>
      <c r="AC225" s="58"/>
      <c r="AF225" s="58"/>
      <c r="AG225" s="58"/>
      <c r="AH225" s="58"/>
      <c r="AI225" s="58"/>
      <c r="AJ225" s="58"/>
      <c r="AK225" s="58"/>
      <c r="AL225" s="58"/>
    </row>
    <row r="226" spans="23:38" ht="18" customHeight="1" x14ac:dyDescent="0.25">
      <c r="W226" s="4"/>
      <c r="X226" s="4"/>
      <c r="Y226" s="58"/>
      <c r="Z226" s="58"/>
      <c r="AA226" s="58"/>
      <c r="AB226" s="58"/>
      <c r="AC226" s="58"/>
      <c r="AF226" s="58"/>
      <c r="AG226" s="58"/>
      <c r="AH226" s="58"/>
      <c r="AI226" s="58"/>
      <c r="AJ226" s="58"/>
      <c r="AK226" s="58"/>
      <c r="AL226" s="58"/>
    </row>
    <row r="227" spans="23:38" ht="18" customHeight="1" x14ac:dyDescent="0.25">
      <c r="W227" s="4"/>
      <c r="X227" s="4"/>
      <c r="Y227" s="58"/>
      <c r="Z227" s="58"/>
      <c r="AA227" s="58"/>
      <c r="AB227" s="58"/>
      <c r="AC227" s="58"/>
      <c r="AF227" s="58"/>
      <c r="AG227" s="58"/>
      <c r="AH227" s="58"/>
      <c r="AI227" s="58"/>
      <c r="AJ227" s="58"/>
      <c r="AK227" s="58"/>
      <c r="AL227" s="58"/>
    </row>
    <row r="228" spans="23:38" ht="18" customHeight="1" x14ac:dyDescent="0.25">
      <c r="W228" s="4"/>
      <c r="X228" s="4"/>
      <c r="Y228" s="58"/>
      <c r="Z228" s="58"/>
      <c r="AA228" s="58"/>
      <c r="AB228" s="58"/>
      <c r="AC228" s="58"/>
      <c r="AF228" s="58"/>
      <c r="AG228" s="58"/>
      <c r="AH228" s="58"/>
      <c r="AI228" s="58"/>
      <c r="AJ228" s="58"/>
      <c r="AK228" s="58"/>
      <c r="AL228" s="58"/>
    </row>
    <row r="229" spans="23:38" ht="18" customHeight="1" x14ac:dyDescent="0.25">
      <c r="W229" s="4"/>
      <c r="X229" s="4"/>
      <c r="Y229" s="58"/>
      <c r="Z229" s="58"/>
      <c r="AA229" s="58"/>
      <c r="AB229" s="58"/>
      <c r="AC229" s="58"/>
      <c r="AF229" s="58"/>
      <c r="AG229" s="58"/>
      <c r="AH229" s="58"/>
      <c r="AI229" s="58"/>
      <c r="AJ229" s="58"/>
      <c r="AK229" s="58"/>
      <c r="AL229" s="58"/>
    </row>
    <row r="230" spans="23:38" ht="18" customHeight="1" x14ac:dyDescent="0.25">
      <c r="W230" s="4"/>
      <c r="X230" s="4"/>
      <c r="Y230" s="58"/>
      <c r="Z230" s="58"/>
      <c r="AA230" s="58"/>
      <c r="AB230" s="58"/>
      <c r="AC230" s="58"/>
      <c r="AF230" s="58"/>
      <c r="AG230" s="58"/>
      <c r="AH230" s="58"/>
      <c r="AI230" s="58"/>
      <c r="AJ230" s="58"/>
      <c r="AK230" s="58"/>
      <c r="AL230" s="58"/>
    </row>
    <row r="231" spans="23:38" ht="18" customHeight="1" x14ac:dyDescent="0.25">
      <c r="W231" s="4"/>
      <c r="X231" s="4"/>
      <c r="Y231" s="58"/>
      <c r="Z231" s="58"/>
      <c r="AA231" s="58"/>
      <c r="AB231" s="58"/>
      <c r="AC231" s="58"/>
      <c r="AF231" s="58"/>
      <c r="AG231" s="58"/>
      <c r="AH231" s="58"/>
      <c r="AI231" s="58"/>
      <c r="AJ231" s="58"/>
      <c r="AK231" s="58"/>
      <c r="AL231" s="58"/>
    </row>
    <row r="232" spans="23:38" ht="18" customHeight="1" x14ac:dyDescent="0.25">
      <c r="W232" s="4"/>
      <c r="X232" s="4"/>
      <c r="Y232" s="58"/>
      <c r="Z232" s="58"/>
      <c r="AA232" s="58"/>
      <c r="AB232" s="58"/>
      <c r="AC232" s="58"/>
      <c r="AF232" s="58"/>
      <c r="AG232" s="58"/>
      <c r="AH232" s="58"/>
      <c r="AI232" s="58"/>
      <c r="AJ232" s="58"/>
      <c r="AK232" s="58"/>
      <c r="AL232" s="58"/>
    </row>
    <row r="233" spans="23:38" ht="18" customHeight="1" x14ac:dyDescent="0.25">
      <c r="W233" s="4"/>
      <c r="X233" s="4"/>
      <c r="Y233" s="58"/>
      <c r="Z233" s="58"/>
      <c r="AA233" s="58"/>
      <c r="AB233" s="58"/>
      <c r="AC233" s="58"/>
      <c r="AF233" s="58"/>
      <c r="AG233" s="58"/>
      <c r="AH233" s="58"/>
      <c r="AI233" s="58"/>
      <c r="AJ233" s="58"/>
      <c r="AK233" s="58"/>
      <c r="AL233" s="58"/>
    </row>
    <row r="234" spans="23:38" ht="18" customHeight="1" x14ac:dyDescent="0.25">
      <c r="W234" s="4"/>
      <c r="X234" s="4"/>
      <c r="Y234" s="58"/>
      <c r="Z234" s="58"/>
      <c r="AA234" s="58"/>
      <c r="AB234" s="58"/>
      <c r="AC234" s="58"/>
      <c r="AF234" s="58"/>
      <c r="AG234" s="58"/>
      <c r="AH234" s="58"/>
      <c r="AI234" s="58"/>
      <c r="AJ234" s="58"/>
      <c r="AK234" s="58"/>
      <c r="AL234" s="58"/>
    </row>
    <row r="235" spans="23:38" ht="18" customHeight="1" x14ac:dyDescent="0.25">
      <c r="W235" s="4"/>
      <c r="X235" s="4"/>
      <c r="Y235" s="58"/>
      <c r="Z235" s="58"/>
      <c r="AA235" s="58"/>
      <c r="AB235" s="58"/>
      <c r="AC235" s="58"/>
      <c r="AF235" s="58"/>
      <c r="AG235" s="58"/>
      <c r="AH235" s="58"/>
      <c r="AI235" s="58"/>
      <c r="AJ235" s="58"/>
      <c r="AK235" s="58"/>
      <c r="AL235" s="58"/>
    </row>
    <row r="236" spans="23:38" ht="18" customHeight="1" x14ac:dyDescent="0.25">
      <c r="W236" s="4"/>
      <c r="X236" s="4"/>
      <c r="Y236" s="58"/>
      <c r="Z236" s="58"/>
      <c r="AA236" s="58"/>
      <c r="AB236" s="58"/>
      <c r="AC236" s="58"/>
      <c r="AF236" s="58"/>
      <c r="AG236" s="58"/>
      <c r="AH236" s="58"/>
      <c r="AI236" s="58"/>
      <c r="AJ236" s="58"/>
      <c r="AK236" s="58"/>
      <c r="AL236" s="58"/>
    </row>
    <row r="237" spans="23:38" ht="18" customHeight="1" x14ac:dyDescent="0.25">
      <c r="W237" s="4"/>
      <c r="X237" s="4"/>
      <c r="Y237" s="58"/>
      <c r="Z237" s="58"/>
      <c r="AA237" s="58"/>
      <c r="AB237" s="58"/>
      <c r="AC237" s="58"/>
      <c r="AF237" s="58"/>
      <c r="AG237" s="58"/>
      <c r="AH237" s="58"/>
      <c r="AI237" s="58"/>
      <c r="AJ237" s="58"/>
      <c r="AK237" s="58"/>
      <c r="AL237" s="58"/>
    </row>
    <row r="238" spans="23:38" ht="18" customHeight="1" x14ac:dyDescent="0.25">
      <c r="W238" s="4"/>
      <c r="X238" s="4"/>
      <c r="Y238" s="58"/>
      <c r="Z238" s="58"/>
      <c r="AA238" s="58"/>
      <c r="AB238" s="58"/>
      <c r="AC238" s="58"/>
      <c r="AF238" s="58"/>
      <c r="AG238" s="58"/>
      <c r="AH238" s="58"/>
      <c r="AI238" s="58"/>
      <c r="AJ238" s="58"/>
      <c r="AK238" s="58"/>
      <c r="AL238" s="58"/>
    </row>
    <row r="239" spans="23:38" ht="18" customHeight="1" x14ac:dyDescent="0.25">
      <c r="W239" s="4"/>
      <c r="X239" s="4"/>
      <c r="Y239" s="58"/>
      <c r="Z239" s="58"/>
      <c r="AA239" s="58"/>
      <c r="AB239" s="58"/>
      <c r="AC239" s="58"/>
      <c r="AF239" s="58"/>
      <c r="AG239" s="58"/>
      <c r="AH239" s="58"/>
      <c r="AI239" s="58"/>
      <c r="AJ239" s="58"/>
      <c r="AK239" s="58"/>
      <c r="AL239" s="58"/>
    </row>
    <row r="240" spans="23:38" ht="18" customHeight="1" x14ac:dyDescent="0.25">
      <c r="W240" s="4"/>
      <c r="X240" s="4"/>
      <c r="Y240" s="58"/>
      <c r="Z240" s="58"/>
      <c r="AA240" s="58"/>
      <c r="AB240" s="58"/>
      <c r="AC240" s="58"/>
      <c r="AF240" s="58"/>
      <c r="AG240" s="58"/>
      <c r="AH240" s="58"/>
      <c r="AI240" s="58"/>
      <c r="AJ240" s="58"/>
      <c r="AK240" s="58"/>
      <c r="AL240" s="58"/>
    </row>
    <row r="241" spans="23:38" ht="18" customHeight="1" x14ac:dyDescent="0.25">
      <c r="W241" s="4"/>
      <c r="X241" s="4"/>
      <c r="Y241" s="58"/>
      <c r="Z241" s="58"/>
      <c r="AA241" s="58"/>
      <c r="AB241" s="58"/>
      <c r="AC241" s="58"/>
      <c r="AF241" s="58"/>
      <c r="AG241" s="58"/>
      <c r="AH241" s="58"/>
      <c r="AI241" s="58"/>
      <c r="AJ241" s="58"/>
      <c r="AK241" s="58"/>
      <c r="AL241" s="58"/>
    </row>
    <row r="242" spans="23:38" ht="18" customHeight="1" x14ac:dyDescent="0.25">
      <c r="W242" s="4"/>
      <c r="X242" s="4"/>
      <c r="Y242" s="58"/>
      <c r="Z242" s="58"/>
      <c r="AA242" s="58"/>
      <c r="AB242" s="58"/>
      <c r="AC242" s="58"/>
      <c r="AF242" s="58"/>
      <c r="AG242" s="58"/>
      <c r="AH242" s="58"/>
      <c r="AI242" s="58"/>
      <c r="AJ242" s="58"/>
      <c r="AK242" s="58"/>
      <c r="AL242" s="58"/>
    </row>
    <row r="243" spans="23:38" ht="18" customHeight="1" x14ac:dyDescent="0.25">
      <c r="W243" s="4"/>
      <c r="X243" s="4"/>
      <c r="Y243" s="58"/>
      <c r="Z243" s="58"/>
      <c r="AA243" s="58"/>
      <c r="AB243" s="58"/>
      <c r="AC243" s="58"/>
      <c r="AF243" s="58"/>
      <c r="AG243" s="58"/>
      <c r="AH243" s="58"/>
      <c r="AI243" s="58"/>
      <c r="AJ243" s="58"/>
      <c r="AK243" s="58"/>
      <c r="AL243" s="58"/>
    </row>
    <row r="244" spans="23:38" ht="18" customHeight="1" x14ac:dyDescent="0.25">
      <c r="W244" s="4"/>
      <c r="X244" s="4"/>
      <c r="Y244" s="58"/>
      <c r="Z244" s="58"/>
      <c r="AA244" s="58"/>
      <c r="AB244" s="58"/>
      <c r="AC244" s="58"/>
      <c r="AF244" s="58"/>
      <c r="AG244" s="58"/>
      <c r="AH244" s="58"/>
      <c r="AI244" s="58"/>
      <c r="AJ244" s="58"/>
      <c r="AK244" s="58"/>
      <c r="AL244" s="58"/>
    </row>
    <row r="245" spans="23:38" ht="18" customHeight="1" x14ac:dyDescent="0.25">
      <c r="W245" s="4"/>
      <c r="X245" s="4"/>
      <c r="Y245" s="58"/>
      <c r="Z245" s="58"/>
      <c r="AA245" s="58"/>
      <c r="AB245" s="58"/>
      <c r="AC245" s="58"/>
      <c r="AF245" s="58"/>
      <c r="AG245" s="58"/>
      <c r="AH245" s="58"/>
      <c r="AI245" s="58"/>
      <c r="AJ245" s="58"/>
      <c r="AK245" s="58"/>
      <c r="AL245" s="58"/>
    </row>
    <row r="246" spans="23:38" ht="18" customHeight="1" x14ac:dyDescent="0.25">
      <c r="W246" s="4"/>
      <c r="X246" s="4"/>
      <c r="Y246" s="58"/>
      <c r="Z246" s="58"/>
      <c r="AA246" s="58"/>
      <c r="AB246" s="58"/>
      <c r="AC246" s="58"/>
      <c r="AF246" s="58"/>
      <c r="AG246" s="58"/>
      <c r="AH246" s="58"/>
      <c r="AI246" s="58"/>
      <c r="AJ246" s="58"/>
      <c r="AK246" s="58"/>
      <c r="AL246" s="58"/>
    </row>
    <row r="247" spans="23:38" ht="18" customHeight="1" x14ac:dyDescent="0.25">
      <c r="W247" s="4"/>
      <c r="X247" s="4"/>
      <c r="Y247" s="58"/>
      <c r="Z247" s="58"/>
      <c r="AA247" s="58"/>
      <c r="AB247" s="58"/>
      <c r="AC247" s="58"/>
      <c r="AF247" s="58"/>
      <c r="AG247" s="58"/>
      <c r="AH247" s="58"/>
      <c r="AI247" s="58"/>
      <c r="AJ247" s="58"/>
      <c r="AK247" s="58"/>
      <c r="AL247" s="58"/>
    </row>
    <row r="248" spans="23:38" ht="18" customHeight="1" x14ac:dyDescent="0.25">
      <c r="W248" s="4"/>
      <c r="X248" s="4"/>
      <c r="Y248" s="58"/>
      <c r="Z248" s="58"/>
      <c r="AA248" s="58"/>
      <c r="AB248" s="58"/>
      <c r="AC248" s="58"/>
      <c r="AF248" s="58"/>
      <c r="AG248" s="58"/>
      <c r="AH248" s="58"/>
      <c r="AI248" s="58"/>
      <c r="AJ248" s="58"/>
      <c r="AK248" s="58"/>
      <c r="AL248" s="58"/>
    </row>
    <row r="249" spans="23:38" ht="18" customHeight="1" x14ac:dyDescent="0.25">
      <c r="W249" s="4"/>
      <c r="X249" s="4"/>
      <c r="Y249" s="58"/>
      <c r="Z249" s="58"/>
      <c r="AA249" s="58"/>
      <c r="AB249" s="58"/>
      <c r="AC249" s="58"/>
      <c r="AF249" s="58"/>
      <c r="AG249" s="58"/>
      <c r="AH249" s="58"/>
      <c r="AI249" s="58"/>
      <c r="AJ249" s="58"/>
      <c r="AK249" s="58"/>
      <c r="AL249" s="58"/>
    </row>
    <row r="250" spans="23:38" ht="18" customHeight="1" x14ac:dyDescent="0.25">
      <c r="W250" s="4"/>
      <c r="X250" s="4"/>
      <c r="Y250" s="58"/>
      <c r="Z250" s="58"/>
      <c r="AA250" s="58"/>
      <c r="AB250" s="58"/>
      <c r="AC250" s="58"/>
      <c r="AF250" s="58"/>
      <c r="AG250" s="58"/>
      <c r="AH250" s="58"/>
      <c r="AI250" s="58"/>
      <c r="AJ250" s="58"/>
      <c r="AK250" s="58"/>
      <c r="AL250" s="58"/>
    </row>
    <row r="251" spans="23:38" ht="18" customHeight="1" x14ac:dyDescent="0.25">
      <c r="W251" s="4"/>
      <c r="X251" s="4"/>
      <c r="Y251" s="58"/>
      <c r="Z251" s="58"/>
      <c r="AA251" s="58"/>
      <c r="AB251" s="58"/>
      <c r="AC251" s="58"/>
      <c r="AF251" s="58"/>
      <c r="AG251" s="58"/>
      <c r="AH251" s="58"/>
      <c r="AI251" s="58"/>
      <c r="AJ251" s="58"/>
      <c r="AK251" s="58"/>
      <c r="AL251" s="58"/>
    </row>
    <row r="252" spans="23:38" ht="18" customHeight="1" x14ac:dyDescent="0.25">
      <c r="W252" s="4"/>
      <c r="X252" s="4"/>
      <c r="Y252" s="58"/>
      <c r="Z252" s="58"/>
      <c r="AA252" s="58"/>
      <c r="AB252" s="58"/>
      <c r="AC252" s="58"/>
      <c r="AF252" s="58"/>
      <c r="AG252" s="58"/>
      <c r="AH252" s="58"/>
      <c r="AI252" s="58"/>
      <c r="AJ252" s="58"/>
      <c r="AK252" s="58"/>
      <c r="AL252" s="58"/>
    </row>
    <row r="253" spans="23:38" ht="18" customHeight="1" x14ac:dyDescent="0.25">
      <c r="W253" s="4"/>
      <c r="X253" s="4"/>
      <c r="Y253" s="58"/>
      <c r="Z253" s="58"/>
      <c r="AA253" s="58"/>
      <c r="AB253" s="58"/>
      <c r="AC253" s="58"/>
      <c r="AF253" s="58"/>
      <c r="AG253" s="58"/>
      <c r="AH253" s="58"/>
      <c r="AI253" s="58"/>
      <c r="AJ253" s="58"/>
      <c r="AK253" s="58"/>
      <c r="AL253" s="58"/>
    </row>
    <row r="254" spans="23:38" ht="18" customHeight="1" x14ac:dyDescent="0.25">
      <c r="W254" s="4"/>
      <c r="X254" s="4"/>
      <c r="Y254" s="58"/>
      <c r="Z254" s="58"/>
      <c r="AA254" s="58"/>
      <c r="AB254" s="58"/>
      <c r="AC254" s="58"/>
      <c r="AF254" s="58"/>
      <c r="AG254" s="58"/>
      <c r="AH254" s="58"/>
      <c r="AI254" s="58"/>
      <c r="AJ254" s="58"/>
      <c r="AK254" s="58"/>
      <c r="AL254" s="58"/>
    </row>
    <row r="255" spans="23:38" ht="18" customHeight="1" x14ac:dyDescent="0.25">
      <c r="W255" s="4"/>
      <c r="X255" s="4"/>
      <c r="Y255" s="58"/>
      <c r="Z255" s="58"/>
      <c r="AA255" s="58"/>
      <c r="AB255" s="58"/>
      <c r="AC255" s="58"/>
      <c r="AF255" s="58"/>
      <c r="AG255" s="58"/>
      <c r="AH255" s="58"/>
      <c r="AI255" s="58"/>
      <c r="AJ255" s="58"/>
      <c r="AK255" s="58"/>
      <c r="AL255" s="58"/>
    </row>
    <row r="256" spans="23:38" ht="18" customHeight="1" x14ac:dyDescent="0.25">
      <c r="W256" s="4"/>
      <c r="X256" s="4"/>
      <c r="Y256" s="58"/>
      <c r="Z256" s="58"/>
      <c r="AA256" s="58"/>
      <c r="AB256" s="58"/>
      <c r="AC256" s="58"/>
      <c r="AF256" s="58"/>
      <c r="AG256" s="58"/>
      <c r="AH256" s="58"/>
      <c r="AI256" s="58"/>
      <c r="AJ256" s="58"/>
      <c r="AK256" s="58"/>
      <c r="AL256" s="58"/>
    </row>
    <row r="257" spans="23:38" ht="18" customHeight="1" x14ac:dyDescent="0.25">
      <c r="W257" s="4"/>
      <c r="X257" s="4"/>
      <c r="Y257" s="58"/>
      <c r="Z257" s="58"/>
      <c r="AA257" s="58"/>
      <c r="AB257" s="58"/>
      <c r="AC257" s="58"/>
      <c r="AF257" s="58"/>
      <c r="AG257" s="58"/>
      <c r="AH257" s="58"/>
      <c r="AI257" s="58"/>
      <c r="AJ257" s="58"/>
      <c r="AK257" s="58"/>
      <c r="AL257" s="58"/>
    </row>
    <row r="258" spans="23:38" ht="18" customHeight="1" x14ac:dyDescent="0.25">
      <c r="W258" s="4"/>
      <c r="X258" s="4"/>
      <c r="Y258" s="58"/>
      <c r="Z258" s="58"/>
      <c r="AA258" s="58"/>
      <c r="AB258" s="58"/>
      <c r="AC258" s="58"/>
      <c r="AF258" s="58"/>
      <c r="AG258" s="58"/>
      <c r="AH258" s="58"/>
      <c r="AI258" s="58"/>
      <c r="AJ258" s="58"/>
      <c r="AK258" s="58"/>
      <c r="AL258" s="58"/>
    </row>
    <row r="259" spans="23:38" ht="18" customHeight="1" x14ac:dyDescent="0.25">
      <c r="W259" s="4"/>
      <c r="X259" s="4"/>
      <c r="Y259" s="58"/>
      <c r="Z259" s="58"/>
      <c r="AA259" s="58"/>
      <c r="AB259" s="58"/>
      <c r="AC259" s="58"/>
      <c r="AF259" s="58"/>
      <c r="AG259" s="58"/>
      <c r="AH259" s="58"/>
      <c r="AI259" s="58"/>
      <c r="AJ259" s="58"/>
      <c r="AK259" s="58"/>
      <c r="AL259" s="58"/>
    </row>
    <row r="260" spans="23:38" ht="18" customHeight="1" x14ac:dyDescent="0.25">
      <c r="W260" s="4"/>
      <c r="X260" s="4"/>
      <c r="Y260" s="58"/>
      <c r="Z260" s="58"/>
      <c r="AA260" s="58"/>
      <c r="AB260" s="58"/>
      <c r="AC260" s="58"/>
      <c r="AF260" s="58"/>
      <c r="AG260" s="58"/>
      <c r="AH260" s="58"/>
      <c r="AI260" s="58"/>
      <c r="AJ260" s="58"/>
      <c r="AK260" s="58"/>
      <c r="AL260" s="58"/>
    </row>
    <row r="261" spans="23:38" ht="18" customHeight="1" x14ac:dyDescent="0.25">
      <c r="W261" s="4"/>
      <c r="X261" s="4"/>
      <c r="Y261" s="58"/>
      <c r="Z261" s="58"/>
      <c r="AA261" s="58"/>
      <c r="AB261" s="58"/>
      <c r="AC261" s="58"/>
      <c r="AF261" s="58"/>
      <c r="AG261" s="58"/>
      <c r="AH261" s="58"/>
      <c r="AI261" s="58"/>
      <c r="AJ261" s="58"/>
      <c r="AK261" s="58"/>
      <c r="AL261" s="58"/>
    </row>
    <row r="262" spans="23:38" ht="18" customHeight="1" x14ac:dyDescent="0.25">
      <c r="W262" s="4"/>
      <c r="X262" s="4"/>
      <c r="Y262" s="58"/>
      <c r="Z262" s="58"/>
      <c r="AA262" s="58"/>
      <c r="AB262" s="58"/>
      <c r="AC262" s="58"/>
      <c r="AF262" s="58"/>
      <c r="AG262" s="58"/>
      <c r="AH262" s="58"/>
      <c r="AI262" s="58"/>
      <c r="AJ262" s="58"/>
      <c r="AK262" s="58"/>
      <c r="AL262" s="58"/>
    </row>
    <row r="263" spans="23:38" ht="18" customHeight="1" x14ac:dyDescent="0.25">
      <c r="W263" s="4"/>
      <c r="X263" s="4"/>
      <c r="Y263" s="58"/>
      <c r="Z263" s="58"/>
      <c r="AA263" s="58"/>
      <c r="AB263" s="58"/>
      <c r="AC263" s="58"/>
      <c r="AF263" s="58"/>
      <c r="AG263" s="58"/>
      <c r="AH263" s="58"/>
      <c r="AI263" s="58"/>
      <c r="AJ263" s="58"/>
      <c r="AK263" s="58"/>
      <c r="AL263" s="58"/>
    </row>
    <row r="264" spans="23:38" ht="18" customHeight="1" x14ac:dyDescent="0.25">
      <c r="W264" s="4"/>
      <c r="X264" s="4"/>
      <c r="Y264" s="58"/>
      <c r="Z264" s="58"/>
      <c r="AA264" s="58"/>
      <c r="AB264" s="58"/>
      <c r="AC264" s="58"/>
      <c r="AF264" s="58"/>
      <c r="AG264" s="58"/>
      <c r="AH264" s="58"/>
      <c r="AI264" s="58"/>
      <c r="AJ264" s="58"/>
      <c r="AK264" s="58"/>
      <c r="AL264" s="58"/>
    </row>
    <row r="265" spans="23:38" ht="18" customHeight="1" x14ac:dyDescent="0.25">
      <c r="W265" s="4"/>
      <c r="X265" s="4"/>
      <c r="Y265" s="58"/>
      <c r="Z265" s="58"/>
      <c r="AA265" s="58"/>
      <c r="AB265" s="58"/>
      <c r="AC265" s="58"/>
      <c r="AF265" s="58"/>
      <c r="AG265" s="58"/>
      <c r="AH265" s="58"/>
      <c r="AI265" s="58"/>
      <c r="AJ265" s="58"/>
      <c r="AK265" s="58"/>
      <c r="AL265" s="58"/>
    </row>
    <row r="266" spans="23:38" ht="18" customHeight="1" x14ac:dyDescent="0.25">
      <c r="W266" s="4"/>
      <c r="X266" s="4"/>
      <c r="Y266" s="58"/>
      <c r="Z266" s="58"/>
      <c r="AA266" s="58"/>
      <c r="AB266" s="58"/>
      <c r="AC266" s="58"/>
      <c r="AF266" s="58"/>
      <c r="AG266" s="58"/>
      <c r="AH266" s="58"/>
      <c r="AI266" s="58"/>
      <c r="AJ266" s="58"/>
      <c r="AK266" s="58"/>
      <c r="AL266" s="58"/>
    </row>
    <row r="267" spans="23:38" ht="18" customHeight="1" x14ac:dyDescent="0.25">
      <c r="W267" s="4"/>
      <c r="X267" s="4"/>
      <c r="Y267" s="58"/>
      <c r="Z267" s="58"/>
      <c r="AA267" s="58"/>
      <c r="AB267" s="58"/>
      <c r="AC267" s="58"/>
      <c r="AF267" s="58"/>
      <c r="AG267" s="58"/>
      <c r="AH267" s="58"/>
      <c r="AI267" s="58"/>
      <c r="AJ267" s="58"/>
      <c r="AK267" s="58"/>
      <c r="AL267" s="58"/>
    </row>
    <row r="268" spans="23:38" ht="18" customHeight="1" x14ac:dyDescent="0.25">
      <c r="W268" s="4"/>
      <c r="X268" s="4"/>
      <c r="Y268" s="58"/>
      <c r="Z268" s="58"/>
      <c r="AA268" s="58"/>
      <c r="AB268" s="58"/>
      <c r="AC268" s="58"/>
      <c r="AF268" s="58"/>
      <c r="AG268" s="58"/>
      <c r="AH268" s="58"/>
      <c r="AI268" s="58"/>
      <c r="AJ268" s="58"/>
      <c r="AK268" s="58"/>
      <c r="AL268" s="58"/>
    </row>
    <row r="269" spans="23:38" ht="18" customHeight="1" x14ac:dyDescent="0.25">
      <c r="W269" s="4"/>
      <c r="X269" s="4"/>
      <c r="Y269" s="58"/>
      <c r="Z269" s="58"/>
      <c r="AA269" s="58"/>
      <c r="AB269" s="58"/>
      <c r="AC269" s="58"/>
      <c r="AF269" s="58"/>
      <c r="AG269" s="58"/>
      <c r="AH269" s="58"/>
      <c r="AI269" s="58"/>
      <c r="AJ269" s="58"/>
      <c r="AK269" s="58"/>
      <c r="AL269" s="58"/>
    </row>
    <row r="270" spans="23:38" ht="18" customHeight="1" x14ac:dyDescent="0.25">
      <c r="W270" s="4"/>
      <c r="X270" s="4"/>
      <c r="Y270" s="58"/>
      <c r="Z270" s="58"/>
      <c r="AA270" s="58"/>
      <c r="AB270" s="58"/>
      <c r="AC270" s="58"/>
      <c r="AF270" s="58"/>
      <c r="AG270" s="58"/>
      <c r="AH270" s="58"/>
      <c r="AI270" s="58"/>
      <c r="AJ270" s="58"/>
      <c r="AK270" s="58"/>
      <c r="AL270" s="58"/>
    </row>
    <row r="271" spans="23:38" ht="18" customHeight="1" x14ac:dyDescent="0.25">
      <c r="W271" s="4"/>
      <c r="X271" s="4"/>
      <c r="Y271" s="58"/>
      <c r="Z271" s="58"/>
      <c r="AA271" s="58"/>
      <c r="AB271" s="58"/>
      <c r="AC271" s="58"/>
      <c r="AF271" s="58"/>
      <c r="AG271" s="58"/>
      <c r="AH271" s="58"/>
      <c r="AI271" s="58"/>
      <c r="AJ271" s="58"/>
      <c r="AK271" s="58"/>
      <c r="AL271" s="58"/>
    </row>
    <row r="272" spans="23:38" ht="18" customHeight="1" x14ac:dyDescent="0.25">
      <c r="W272" s="4"/>
      <c r="X272" s="4"/>
      <c r="Y272" s="58"/>
      <c r="Z272" s="58"/>
      <c r="AA272" s="58"/>
      <c r="AB272" s="58"/>
      <c r="AC272" s="58"/>
      <c r="AF272" s="58"/>
      <c r="AG272" s="58"/>
      <c r="AH272" s="58"/>
      <c r="AI272" s="58"/>
      <c r="AJ272" s="58"/>
      <c r="AK272" s="58"/>
      <c r="AL272" s="58"/>
    </row>
    <row r="273" spans="23:38" ht="18" customHeight="1" x14ac:dyDescent="0.25">
      <c r="W273" s="4"/>
      <c r="X273" s="4"/>
      <c r="Y273" s="58"/>
      <c r="Z273" s="58"/>
      <c r="AA273" s="58"/>
      <c r="AB273" s="58"/>
      <c r="AC273" s="58"/>
      <c r="AF273" s="58"/>
      <c r="AG273" s="58"/>
      <c r="AH273" s="58"/>
      <c r="AI273" s="58"/>
      <c r="AJ273" s="58"/>
      <c r="AK273" s="58"/>
      <c r="AL273" s="58"/>
    </row>
    <row r="274" spans="23:38" ht="18" customHeight="1" x14ac:dyDescent="0.25">
      <c r="W274" s="4"/>
      <c r="X274" s="4"/>
      <c r="Y274" s="58"/>
      <c r="Z274" s="58"/>
      <c r="AA274" s="58"/>
      <c r="AB274" s="58"/>
      <c r="AC274" s="58"/>
      <c r="AF274" s="58"/>
      <c r="AG274" s="58"/>
      <c r="AH274" s="58"/>
      <c r="AI274" s="58"/>
      <c r="AJ274" s="58"/>
      <c r="AK274" s="58"/>
      <c r="AL274" s="58"/>
    </row>
    <row r="275" spans="23:38" ht="18" customHeight="1" x14ac:dyDescent="0.25">
      <c r="W275" s="4"/>
      <c r="X275" s="4"/>
      <c r="Y275" s="58"/>
      <c r="Z275" s="58"/>
      <c r="AA275" s="58"/>
      <c r="AB275" s="58"/>
      <c r="AC275" s="58"/>
      <c r="AF275" s="58"/>
      <c r="AG275" s="58"/>
      <c r="AH275" s="58"/>
      <c r="AI275" s="58"/>
      <c r="AJ275" s="58"/>
      <c r="AK275" s="58"/>
      <c r="AL275" s="58"/>
    </row>
    <row r="276" spans="23:38" ht="18" customHeight="1" x14ac:dyDescent="0.25">
      <c r="W276" s="4"/>
      <c r="X276" s="4"/>
      <c r="Y276" s="58"/>
      <c r="Z276" s="58"/>
      <c r="AA276" s="58"/>
      <c r="AB276" s="58"/>
      <c r="AC276" s="58"/>
      <c r="AF276" s="58"/>
      <c r="AG276" s="58"/>
      <c r="AH276" s="58"/>
      <c r="AI276" s="58"/>
      <c r="AJ276" s="58"/>
      <c r="AK276" s="58"/>
      <c r="AL276" s="58"/>
    </row>
    <row r="277" spans="23:38" ht="18" customHeight="1" x14ac:dyDescent="0.25">
      <c r="W277" s="4"/>
      <c r="X277" s="4"/>
      <c r="Y277" s="58"/>
      <c r="Z277" s="58"/>
      <c r="AA277" s="58"/>
      <c r="AB277" s="58"/>
      <c r="AC277" s="58"/>
      <c r="AF277" s="58"/>
      <c r="AG277" s="58"/>
      <c r="AH277" s="58"/>
      <c r="AI277" s="58"/>
      <c r="AJ277" s="58"/>
      <c r="AK277" s="58"/>
      <c r="AL277" s="58"/>
    </row>
    <row r="278" spans="23:38" ht="18" customHeight="1" x14ac:dyDescent="0.25">
      <c r="W278" s="4"/>
      <c r="X278" s="4"/>
      <c r="Y278" s="58"/>
      <c r="Z278" s="58"/>
      <c r="AA278" s="58"/>
      <c r="AB278" s="58"/>
      <c r="AC278" s="58"/>
      <c r="AF278" s="58"/>
      <c r="AG278" s="58"/>
      <c r="AH278" s="58"/>
      <c r="AI278" s="58"/>
      <c r="AJ278" s="58"/>
      <c r="AK278" s="58"/>
      <c r="AL278" s="58"/>
    </row>
    <row r="279" spans="23:38" ht="18" customHeight="1" x14ac:dyDescent="0.25">
      <c r="W279" s="4"/>
      <c r="X279" s="4"/>
      <c r="Y279" s="58"/>
      <c r="Z279" s="58"/>
      <c r="AA279" s="58"/>
      <c r="AB279" s="58"/>
      <c r="AC279" s="58"/>
      <c r="AF279" s="58"/>
      <c r="AG279" s="58"/>
      <c r="AH279" s="58"/>
      <c r="AI279" s="58"/>
      <c r="AJ279" s="58"/>
      <c r="AK279" s="58"/>
      <c r="AL279" s="58"/>
    </row>
    <row r="280" spans="23:38" ht="18" customHeight="1" x14ac:dyDescent="0.25">
      <c r="W280" s="4"/>
      <c r="X280" s="4"/>
      <c r="Y280" s="58"/>
      <c r="Z280" s="58"/>
      <c r="AA280" s="58"/>
      <c r="AB280" s="58"/>
      <c r="AC280" s="58"/>
      <c r="AF280" s="58"/>
      <c r="AG280" s="58"/>
      <c r="AH280" s="58"/>
      <c r="AI280" s="58"/>
      <c r="AJ280" s="58"/>
      <c r="AK280" s="58"/>
      <c r="AL280" s="58"/>
    </row>
    <row r="281" spans="23:38" ht="18" customHeight="1" x14ac:dyDescent="0.25">
      <c r="W281" s="4"/>
      <c r="X281" s="4"/>
      <c r="Y281" s="58"/>
      <c r="Z281" s="58"/>
      <c r="AA281" s="58"/>
      <c r="AB281" s="58"/>
      <c r="AC281" s="58"/>
      <c r="AF281" s="58"/>
      <c r="AG281" s="58"/>
      <c r="AH281" s="58"/>
      <c r="AI281" s="58"/>
      <c r="AJ281" s="58"/>
      <c r="AK281" s="58"/>
      <c r="AL281" s="58"/>
    </row>
    <row r="282" spans="23:38" ht="18" customHeight="1" x14ac:dyDescent="0.25">
      <c r="W282" s="4"/>
      <c r="X282" s="4"/>
      <c r="Y282" s="58"/>
      <c r="Z282" s="58"/>
      <c r="AA282" s="58"/>
      <c r="AB282" s="58"/>
      <c r="AC282" s="58"/>
      <c r="AF282" s="58"/>
      <c r="AG282" s="58"/>
      <c r="AH282" s="58"/>
      <c r="AI282" s="58"/>
      <c r="AJ282" s="58"/>
      <c r="AK282" s="58"/>
      <c r="AL282" s="58"/>
    </row>
    <row r="283" spans="23:38" ht="18" customHeight="1" x14ac:dyDescent="0.25">
      <c r="W283" s="4"/>
      <c r="X283" s="4"/>
      <c r="Y283" s="58"/>
      <c r="Z283" s="58"/>
      <c r="AA283" s="58"/>
      <c r="AB283" s="58"/>
      <c r="AC283" s="58"/>
      <c r="AF283" s="58"/>
      <c r="AG283" s="58"/>
      <c r="AH283" s="58"/>
      <c r="AI283" s="58"/>
      <c r="AJ283" s="58"/>
      <c r="AK283" s="58"/>
      <c r="AL283" s="58"/>
    </row>
    <row r="284" spans="23:38" ht="18" customHeight="1" x14ac:dyDescent="0.25">
      <c r="W284" s="4"/>
      <c r="X284" s="4"/>
      <c r="Y284" s="58"/>
      <c r="Z284" s="58"/>
      <c r="AA284" s="58"/>
      <c r="AB284" s="58"/>
      <c r="AC284" s="58"/>
      <c r="AF284" s="58"/>
      <c r="AG284" s="58"/>
      <c r="AH284" s="58"/>
      <c r="AI284" s="58"/>
      <c r="AJ284" s="58"/>
      <c r="AK284" s="58"/>
      <c r="AL284" s="58"/>
    </row>
    <row r="285" spans="23:38" ht="18" customHeight="1" x14ac:dyDescent="0.25">
      <c r="W285" s="4"/>
      <c r="X285" s="4"/>
      <c r="Y285" s="58"/>
      <c r="Z285" s="58"/>
      <c r="AA285" s="58"/>
      <c r="AB285" s="58"/>
      <c r="AC285" s="58"/>
      <c r="AF285" s="58"/>
      <c r="AG285" s="58"/>
      <c r="AH285" s="58"/>
      <c r="AI285" s="58"/>
      <c r="AJ285" s="58"/>
      <c r="AK285" s="58"/>
      <c r="AL285" s="58"/>
    </row>
    <row r="286" spans="23:38" ht="18" customHeight="1" x14ac:dyDescent="0.25">
      <c r="W286" s="4"/>
      <c r="X286" s="4"/>
      <c r="Y286" s="58"/>
      <c r="Z286" s="58"/>
      <c r="AA286" s="58"/>
      <c r="AB286" s="58"/>
      <c r="AC286" s="58"/>
      <c r="AF286" s="58"/>
      <c r="AG286" s="58"/>
      <c r="AH286" s="58"/>
      <c r="AI286" s="58"/>
      <c r="AJ286" s="58"/>
      <c r="AK286" s="58"/>
      <c r="AL286" s="58"/>
    </row>
    <row r="287" spans="23:38" ht="18" customHeight="1" x14ac:dyDescent="0.25">
      <c r="W287" s="4"/>
      <c r="X287" s="4"/>
      <c r="Y287" s="58"/>
      <c r="Z287" s="58"/>
      <c r="AA287" s="58"/>
      <c r="AB287" s="58"/>
      <c r="AC287" s="58"/>
      <c r="AF287" s="58"/>
      <c r="AG287" s="58"/>
      <c r="AH287" s="58"/>
      <c r="AI287" s="58"/>
      <c r="AJ287" s="58"/>
      <c r="AK287" s="58"/>
      <c r="AL287" s="58"/>
    </row>
    <row r="288" spans="23:38" ht="18" customHeight="1" x14ac:dyDescent="0.25">
      <c r="W288" s="4"/>
      <c r="X288" s="4"/>
      <c r="Y288" s="58"/>
      <c r="Z288" s="58"/>
      <c r="AA288" s="58"/>
      <c r="AB288" s="58"/>
      <c r="AC288" s="58"/>
      <c r="AF288" s="58"/>
      <c r="AG288" s="58"/>
      <c r="AH288" s="58"/>
      <c r="AI288" s="58"/>
      <c r="AJ288" s="58"/>
      <c r="AK288" s="58"/>
      <c r="AL288" s="58"/>
    </row>
    <row r="289" spans="23:38" ht="18" customHeight="1" x14ac:dyDescent="0.25">
      <c r="W289" s="4"/>
      <c r="X289" s="4"/>
      <c r="Y289" s="58"/>
      <c r="Z289" s="58"/>
      <c r="AA289" s="58"/>
      <c r="AB289" s="58"/>
      <c r="AC289" s="58"/>
      <c r="AF289" s="58"/>
      <c r="AG289" s="58"/>
      <c r="AH289" s="58"/>
      <c r="AI289" s="58"/>
      <c r="AJ289" s="58"/>
      <c r="AK289" s="58"/>
      <c r="AL289" s="58"/>
    </row>
    <row r="290" spans="23:38" ht="18" customHeight="1" x14ac:dyDescent="0.25">
      <c r="W290" s="4"/>
      <c r="X290" s="4"/>
      <c r="Y290" s="58"/>
      <c r="Z290" s="58"/>
      <c r="AA290" s="58"/>
      <c r="AB290" s="58"/>
      <c r="AC290" s="58"/>
      <c r="AF290" s="58"/>
      <c r="AG290" s="58"/>
      <c r="AH290" s="58"/>
      <c r="AI290" s="58"/>
      <c r="AJ290" s="58"/>
      <c r="AK290" s="58"/>
      <c r="AL290" s="58"/>
    </row>
    <row r="291" spans="23:38" ht="18" customHeight="1" x14ac:dyDescent="0.25">
      <c r="W291" s="4"/>
      <c r="X291" s="4"/>
      <c r="Y291" s="58"/>
      <c r="Z291" s="58"/>
      <c r="AA291" s="58"/>
      <c r="AB291" s="58"/>
      <c r="AC291" s="58"/>
      <c r="AF291" s="58"/>
      <c r="AG291" s="58"/>
      <c r="AH291" s="58"/>
      <c r="AI291" s="58"/>
      <c r="AJ291" s="58"/>
      <c r="AK291" s="58"/>
      <c r="AL291" s="58"/>
    </row>
    <row r="292" spans="23:38" ht="18" customHeight="1" x14ac:dyDescent="0.25">
      <c r="W292" s="4"/>
      <c r="X292" s="4"/>
      <c r="Y292" s="58"/>
      <c r="Z292" s="58"/>
      <c r="AA292" s="58"/>
      <c r="AB292" s="58"/>
      <c r="AC292" s="58"/>
      <c r="AF292" s="58"/>
      <c r="AG292" s="58"/>
      <c r="AH292" s="58"/>
      <c r="AI292" s="58"/>
      <c r="AJ292" s="58"/>
      <c r="AK292" s="58"/>
      <c r="AL292" s="58"/>
    </row>
    <row r="293" spans="23:38" ht="18" customHeight="1" x14ac:dyDescent="0.25">
      <c r="W293" s="4"/>
      <c r="X293" s="4"/>
      <c r="Y293" s="58"/>
      <c r="Z293" s="58"/>
      <c r="AA293" s="58"/>
      <c r="AB293" s="58"/>
      <c r="AC293" s="58"/>
      <c r="AF293" s="58"/>
      <c r="AG293" s="58"/>
      <c r="AH293" s="58"/>
      <c r="AI293" s="58"/>
      <c r="AJ293" s="58"/>
      <c r="AK293" s="58"/>
      <c r="AL293" s="58"/>
    </row>
    <row r="294" spans="23:38" ht="18" customHeight="1" x14ac:dyDescent="0.25">
      <c r="W294" s="4"/>
      <c r="X294" s="4"/>
      <c r="Y294" s="58"/>
      <c r="Z294" s="58"/>
      <c r="AA294" s="58"/>
      <c r="AB294" s="58"/>
      <c r="AC294" s="58"/>
      <c r="AF294" s="58"/>
      <c r="AG294" s="58"/>
      <c r="AH294" s="58"/>
      <c r="AI294" s="58"/>
      <c r="AJ294" s="58"/>
      <c r="AK294" s="58"/>
      <c r="AL294" s="58"/>
    </row>
    <row r="295" spans="23:38" ht="18" customHeight="1" x14ac:dyDescent="0.25">
      <c r="W295" s="4"/>
      <c r="X295" s="4"/>
      <c r="Y295" s="58"/>
      <c r="Z295" s="58"/>
      <c r="AA295" s="58"/>
      <c r="AB295" s="58"/>
      <c r="AC295" s="58"/>
      <c r="AF295" s="58"/>
      <c r="AG295" s="58"/>
      <c r="AH295" s="58"/>
      <c r="AI295" s="58"/>
      <c r="AJ295" s="58"/>
      <c r="AK295" s="58"/>
      <c r="AL295" s="58"/>
    </row>
    <row r="296" spans="23:38" ht="18" customHeight="1" x14ac:dyDescent="0.25">
      <c r="W296" s="4"/>
      <c r="X296" s="4"/>
      <c r="Y296" s="58"/>
      <c r="Z296" s="58"/>
      <c r="AA296" s="58"/>
      <c r="AB296" s="58"/>
      <c r="AC296" s="58"/>
      <c r="AF296" s="58"/>
      <c r="AG296" s="58"/>
      <c r="AH296" s="58"/>
      <c r="AI296" s="58"/>
      <c r="AJ296" s="58"/>
      <c r="AK296" s="58"/>
      <c r="AL296" s="58"/>
    </row>
    <row r="297" spans="23:38" ht="18" customHeight="1" x14ac:dyDescent="0.25">
      <c r="W297" s="4"/>
      <c r="X297" s="4"/>
      <c r="Y297" s="58"/>
      <c r="Z297" s="58"/>
      <c r="AA297" s="58"/>
      <c r="AB297" s="58"/>
      <c r="AC297" s="58"/>
      <c r="AF297" s="58"/>
      <c r="AG297" s="58"/>
      <c r="AH297" s="58"/>
      <c r="AI297" s="58"/>
      <c r="AJ297" s="58"/>
      <c r="AK297" s="58"/>
      <c r="AL297" s="58"/>
    </row>
    <row r="298" spans="23:38" ht="18" customHeight="1" x14ac:dyDescent="0.25">
      <c r="W298" s="4"/>
      <c r="X298" s="4"/>
      <c r="Y298" s="58"/>
      <c r="Z298" s="58"/>
      <c r="AA298" s="58"/>
      <c r="AB298" s="58"/>
      <c r="AC298" s="58"/>
      <c r="AF298" s="58"/>
      <c r="AG298" s="58"/>
      <c r="AH298" s="58"/>
      <c r="AI298" s="58"/>
      <c r="AJ298" s="58"/>
      <c r="AK298" s="58"/>
      <c r="AL298" s="58"/>
    </row>
    <row r="299" spans="23:38" ht="18" customHeight="1" x14ac:dyDescent="0.25">
      <c r="W299" s="4"/>
      <c r="X299" s="4"/>
      <c r="Y299" s="58"/>
      <c r="Z299" s="58"/>
      <c r="AA299" s="58"/>
      <c r="AB299" s="58"/>
      <c r="AC299" s="58"/>
      <c r="AF299" s="58"/>
      <c r="AG299" s="58"/>
      <c r="AH299" s="58"/>
      <c r="AI299" s="58"/>
      <c r="AJ299" s="58"/>
      <c r="AK299" s="58"/>
      <c r="AL299" s="58"/>
    </row>
    <row r="300" spans="23:38" ht="18" customHeight="1" x14ac:dyDescent="0.25">
      <c r="W300" s="4"/>
      <c r="X300" s="4"/>
      <c r="Y300" s="58"/>
      <c r="Z300" s="58"/>
      <c r="AA300" s="58"/>
      <c r="AB300" s="58"/>
      <c r="AC300" s="58"/>
      <c r="AF300" s="58"/>
      <c r="AG300" s="58"/>
      <c r="AH300" s="58"/>
      <c r="AI300" s="58"/>
      <c r="AJ300" s="58"/>
      <c r="AK300" s="58"/>
      <c r="AL300" s="58"/>
    </row>
    <row r="301" spans="23:38" ht="18" customHeight="1" x14ac:dyDescent="0.25">
      <c r="W301" s="4"/>
      <c r="X301" s="4"/>
      <c r="Y301" s="58"/>
      <c r="Z301" s="58"/>
      <c r="AA301" s="58"/>
      <c r="AB301" s="58"/>
      <c r="AC301" s="58"/>
      <c r="AF301" s="58"/>
      <c r="AG301" s="58"/>
      <c r="AH301" s="58"/>
      <c r="AI301" s="58"/>
      <c r="AJ301" s="58"/>
      <c r="AK301" s="58"/>
      <c r="AL301" s="58"/>
    </row>
    <row r="302" spans="23:38" ht="18" customHeight="1" x14ac:dyDescent="0.25">
      <c r="W302" s="4"/>
      <c r="X302" s="4"/>
      <c r="Y302" s="58"/>
      <c r="Z302" s="58"/>
      <c r="AA302" s="58"/>
      <c r="AB302" s="58"/>
      <c r="AC302" s="58"/>
      <c r="AF302" s="58"/>
      <c r="AG302" s="58"/>
      <c r="AH302" s="58"/>
      <c r="AI302" s="58"/>
      <c r="AJ302" s="58"/>
      <c r="AK302" s="58"/>
      <c r="AL302" s="58"/>
    </row>
    <row r="303" spans="23:38" ht="18" customHeight="1" x14ac:dyDescent="0.25">
      <c r="W303" s="4"/>
      <c r="X303" s="4"/>
      <c r="Y303" s="58"/>
      <c r="Z303" s="58"/>
      <c r="AA303" s="58"/>
      <c r="AB303" s="58"/>
      <c r="AC303" s="58"/>
      <c r="AF303" s="58"/>
      <c r="AG303" s="58"/>
      <c r="AH303" s="58"/>
      <c r="AI303" s="58"/>
      <c r="AJ303" s="58"/>
      <c r="AK303" s="58"/>
      <c r="AL303" s="58"/>
    </row>
    <row r="304" spans="23:38" ht="18" customHeight="1" x14ac:dyDescent="0.25">
      <c r="W304" s="4"/>
      <c r="X304" s="4"/>
      <c r="Y304" s="58"/>
      <c r="Z304" s="58"/>
      <c r="AA304" s="58"/>
      <c r="AB304" s="58"/>
      <c r="AC304" s="58"/>
      <c r="AF304" s="58"/>
      <c r="AG304" s="58"/>
      <c r="AH304" s="58"/>
      <c r="AI304" s="58"/>
      <c r="AJ304" s="58"/>
      <c r="AK304" s="58"/>
      <c r="AL304" s="58"/>
    </row>
    <row r="305" spans="23:38" ht="18" customHeight="1" x14ac:dyDescent="0.25">
      <c r="W305" s="4"/>
      <c r="X305" s="4"/>
      <c r="Y305" s="58"/>
      <c r="Z305" s="58"/>
      <c r="AA305" s="58"/>
      <c r="AB305" s="58"/>
      <c r="AC305" s="58"/>
      <c r="AF305" s="58"/>
      <c r="AG305" s="58"/>
      <c r="AH305" s="58"/>
      <c r="AI305" s="58"/>
      <c r="AJ305" s="58"/>
      <c r="AK305" s="58"/>
      <c r="AL305" s="58"/>
    </row>
    <row r="306" spans="23:38" ht="18" customHeight="1" x14ac:dyDescent="0.25">
      <c r="W306" s="4"/>
      <c r="X306" s="4"/>
      <c r="Y306" s="58"/>
      <c r="Z306" s="58"/>
      <c r="AA306" s="58"/>
      <c r="AB306" s="58"/>
      <c r="AC306" s="58"/>
      <c r="AF306" s="58"/>
      <c r="AG306" s="58"/>
      <c r="AH306" s="58"/>
      <c r="AI306" s="58"/>
      <c r="AJ306" s="58"/>
      <c r="AK306" s="58"/>
      <c r="AL306" s="58"/>
    </row>
    <row r="307" spans="23:38" ht="18" customHeight="1" x14ac:dyDescent="0.25">
      <c r="W307" s="4"/>
      <c r="X307" s="4"/>
      <c r="Y307" s="58"/>
      <c r="Z307" s="58"/>
      <c r="AA307" s="58"/>
      <c r="AB307" s="58"/>
      <c r="AC307" s="58"/>
      <c r="AF307" s="58"/>
      <c r="AG307" s="58"/>
      <c r="AH307" s="58"/>
      <c r="AI307" s="58"/>
      <c r="AJ307" s="58"/>
      <c r="AK307" s="58"/>
      <c r="AL307" s="58"/>
    </row>
    <row r="308" spans="23:38" ht="18" customHeight="1" x14ac:dyDescent="0.25">
      <c r="W308" s="4"/>
      <c r="X308" s="4"/>
      <c r="Y308" s="58"/>
      <c r="Z308" s="58"/>
      <c r="AA308" s="58"/>
      <c r="AB308" s="58"/>
      <c r="AC308" s="58"/>
      <c r="AF308" s="58"/>
      <c r="AG308" s="58"/>
      <c r="AH308" s="58"/>
      <c r="AI308" s="58"/>
      <c r="AJ308" s="58"/>
      <c r="AK308" s="58"/>
      <c r="AL308" s="58"/>
    </row>
    <row r="309" spans="23:38" ht="18" customHeight="1" x14ac:dyDescent="0.25">
      <c r="W309" s="4"/>
      <c r="X309" s="4"/>
      <c r="Y309" s="58"/>
      <c r="Z309" s="58"/>
      <c r="AA309" s="58"/>
      <c r="AB309" s="58"/>
      <c r="AC309" s="58"/>
      <c r="AF309" s="58"/>
      <c r="AG309" s="58"/>
      <c r="AH309" s="58"/>
      <c r="AI309" s="58"/>
      <c r="AJ309" s="58"/>
      <c r="AK309" s="58"/>
      <c r="AL309" s="58"/>
    </row>
    <row r="310" spans="23:38" ht="18" customHeight="1" x14ac:dyDescent="0.25">
      <c r="W310" s="4"/>
      <c r="X310" s="4"/>
      <c r="Y310" s="58"/>
      <c r="Z310" s="58"/>
      <c r="AA310" s="58"/>
      <c r="AB310" s="58"/>
      <c r="AC310" s="58"/>
      <c r="AF310" s="58"/>
      <c r="AG310" s="58"/>
      <c r="AH310" s="58"/>
      <c r="AI310" s="58"/>
      <c r="AJ310" s="58"/>
      <c r="AK310" s="58"/>
      <c r="AL310" s="58"/>
    </row>
    <row r="311" spans="23:38" ht="18" customHeight="1" x14ac:dyDescent="0.25">
      <c r="W311" s="4"/>
      <c r="X311" s="4"/>
      <c r="Y311" s="58"/>
      <c r="Z311" s="58"/>
      <c r="AA311" s="58"/>
      <c r="AB311" s="58"/>
      <c r="AC311" s="58"/>
      <c r="AF311" s="58"/>
      <c r="AG311" s="58"/>
      <c r="AH311" s="58"/>
      <c r="AI311" s="58"/>
      <c r="AJ311" s="58"/>
      <c r="AK311" s="58"/>
      <c r="AL311" s="58"/>
    </row>
    <row r="312" spans="23:38" ht="18" customHeight="1" x14ac:dyDescent="0.25">
      <c r="W312" s="4"/>
      <c r="X312" s="4"/>
      <c r="Y312" s="58"/>
      <c r="Z312" s="58"/>
      <c r="AA312" s="58"/>
      <c r="AB312" s="58"/>
      <c r="AC312" s="58"/>
      <c r="AF312" s="58"/>
      <c r="AG312" s="58"/>
      <c r="AH312" s="58"/>
      <c r="AI312" s="58"/>
      <c r="AJ312" s="58"/>
      <c r="AK312" s="58"/>
      <c r="AL312" s="58"/>
    </row>
    <row r="313" spans="23:38" ht="18" customHeight="1" x14ac:dyDescent="0.25">
      <c r="W313" s="4"/>
      <c r="X313" s="4"/>
      <c r="Y313" s="58"/>
      <c r="Z313" s="58"/>
      <c r="AA313" s="58"/>
      <c r="AB313" s="58"/>
      <c r="AC313" s="58"/>
      <c r="AF313" s="58"/>
      <c r="AG313" s="58"/>
      <c r="AH313" s="58"/>
      <c r="AI313" s="58"/>
      <c r="AJ313" s="58"/>
      <c r="AK313" s="58"/>
      <c r="AL313" s="58"/>
    </row>
    <row r="314" spans="23:38" ht="18" customHeight="1" x14ac:dyDescent="0.25">
      <c r="W314" s="4"/>
      <c r="X314" s="4"/>
      <c r="Y314" s="58"/>
      <c r="Z314" s="58"/>
      <c r="AA314" s="58"/>
      <c r="AB314" s="58"/>
      <c r="AC314" s="58"/>
      <c r="AF314" s="58"/>
      <c r="AG314" s="58"/>
      <c r="AH314" s="58"/>
      <c r="AI314" s="58"/>
      <c r="AJ314" s="58"/>
      <c r="AK314" s="58"/>
      <c r="AL314" s="58"/>
    </row>
    <row r="315" spans="23:38" ht="18" customHeight="1" x14ac:dyDescent="0.25">
      <c r="W315" s="4"/>
      <c r="X315" s="4"/>
      <c r="Y315" s="58"/>
      <c r="Z315" s="58"/>
      <c r="AA315" s="58"/>
      <c r="AB315" s="58"/>
      <c r="AC315" s="58"/>
      <c r="AF315" s="58"/>
      <c r="AG315" s="58"/>
      <c r="AH315" s="58"/>
      <c r="AI315" s="58"/>
      <c r="AJ315" s="58"/>
      <c r="AK315" s="58"/>
      <c r="AL315" s="58"/>
    </row>
    <row r="316" spans="23:38" ht="18" customHeight="1" x14ac:dyDescent="0.25">
      <c r="W316" s="4"/>
      <c r="X316" s="4"/>
      <c r="Y316" s="58"/>
      <c r="Z316" s="58"/>
      <c r="AA316" s="58"/>
      <c r="AB316" s="58"/>
      <c r="AC316" s="58"/>
      <c r="AF316" s="58"/>
      <c r="AG316" s="58"/>
      <c r="AH316" s="58"/>
      <c r="AI316" s="58"/>
      <c r="AJ316" s="58"/>
      <c r="AK316" s="58"/>
      <c r="AL316" s="58"/>
    </row>
    <row r="317" spans="23:38" ht="18" customHeight="1" x14ac:dyDescent="0.25">
      <c r="W317" s="4"/>
      <c r="X317" s="4"/>
      <c r="Y317" s="58"/>
      <c r="Z317" s="58"/>
      <c r="AA317" s="58"/>
      <c r="AB317" s="58"/>
      <c r="AC317" s="58"/>
      <c r="AF317" s="58"/>
      <c r="AG317" s="58"/>
      <c r="AH317" s="58"/>
      <c r="AI317" s="58"/>
      <c r="AJ317" s="58"/>
      <c r="AK317" s="58"/>
      <c r="AL317" s="58"/>
    </row>
    <row r="318" spans="23:38" ht="18" customHeight="1" x14ac:dyDescent="0.25">
      <c r="W318" s="4"/>
      <c r="X318" s="4"/>
      <c r="Y318" s="58"/>
      <c r="Z318" s="58"/>
      <c r="AA318" s="58"/>
      <c r="AB318" s="58"/>
      <c r="AC318" s="58"/>
      <c r="AF318" s="58"/>
      <c r="AG318" s="58"/>
      <c r="AH318" s="58"/>
      <c r="AI318" s="58"/>
      <c r="AJ318" s="58"/>
      <c r="AK318" s="58"/>
      <c r="AL318" s="58"/>
    </row>
    <row r="319" spans="23:38" ht="18" customHeight="1" x14ac:dyDescent="0.25">
      <c r="W319" s="4"/>
      <c r="X319" s="4"/>
      <c r="Y319" s="58"/>
      <c r="Z319" s="58"/>
      <c r="AA319" s="58"/>
      <c r="AB319" s="58"/>
      <c r="AC319" s="58"/>
      <c r="AF319" s="58"/>
      <c r="AG319" s="58"/>
      <c r="AH319" s="58"/>
      <c r="AI319" s="58"/>
      <c r="AJ319" s="58"/>
      <c r="AK319" s="58"/>
      <c r="AL319" s="58"/>
    </row>
    <row r="320" spans="23:38" ht="18" customHeight="1" x14ac:dyDescent="0.25">
      <c r="W320" s="4"/>
      <c r="X320" s="4"/>
      <c r="Y320" s="58"/>
      <c r="Z320" s="58"/>
      <c r="AA320" s="58"/>
      <c r="AB320" s="58"/>
      <c r="AC320" s="58"/>
      <c r="AF320" s="58"/>
      <c r="AG320" s="58"/>
      <c r="AH320" s="58"/>
      <c r="AI320" s="58"/>
      <c r="AJ320" s="58"/>
      <c r="AK320" s="58"/>
      <c r="AL320" s="58"/>
    </row>
    <row r="321" spans="23:38" ht="18" customHeight="1" x14ac:dyDescent="0.25">
      <c r="W321" s="4"/>
      <c r="X321" s="4"/>
      <c r="Y321" s="58"/>
      <c r="Z321" s="58"/>
      <c r="AA321" s="58"/>
      <c r="AB321" s="58"/>
      <c r="AC321" s="58"/>
      <c r="AF321" s="58"/>
      <c r="AG321" s="58"/>
      <c r="AH321" s="58"/>
      <c r="AI321" s="58"/>
      <c r="AJ321" s="58"/>
      <c r="AK321" s="58"/>
      <c r="AL321" s="58"/>
    </row>
    <row r="322" spans="23:38" ht="18" customHeight="1" x14ac:dyDescent="0.25">
      <c r="W322" s="4"/>
      <c r="X322" s="4"/>
      <c r="Y322" s="58"/>
      <c r="Z322" s="58"/>
      <c r="AA322" s="58"/>
      <c r="AB322" s="58"/>
      <c r="AC322" s="58"/>
      <c r="AF322" s="58"/>
      <c r="AG322" s="58"/>
      <c r="AH322" s="58"/>
      <c r="AI322" s="58"/>
      <c r="AJ322" s="58"/>
      <c r="AK322" s="58"/>
      <c r="AL322" s="58"/>
    </row>
    <row r="323" spans="23:38" ht="18" customHeight="1" x14ac:dyDescent="0.25">
      <c r="W323" s="4"/>
      <c r="X323" s="4"/>
      <c r="Y323" s="58"/>
      <c r="Z323" s="58"/>
      <c r="AA323" s="58"/>
      <c r="AB323" s="58"/>
      <c r="AC323" s="58"/>
      <c r="AF323" s="58"/>
      <c r="AG323" s="58"/>
      <c r="AH323" s="58"/>
      <c r="AI323" s="58"/>
      <c r="AJ323" s="58"/>
      <c r="AK323" s="58"/>
      <c r="AL323" s="58"/>
    </row>
    <row r="324" spans="23:38" ht="18" customHeight="1" x14ac:dyDescent="0.25">
      <c r="W324" s="4"/>
      <c r="X324" s="4"/>
      <c r="Y324" s="58"/>
      <c r="Z324" s="58"/>
      <c r="AA324" s="58"/>
      <c r="AB324" s="58"/>
      <c r="AC324" s="58"/>
      <c r="AF324" s="58"/>
      <c r="AG324" s="58"/>
      <c r="AH324" s="58"/>
      <c r="AI324" s="58"/>
      <c r="AJ324" s="58"/>
      <c r="AK324" s="58"/>
      <c r="AL324" s="58"/>
    </row>
    <row r="325" spans="23:38" ht="18" customHeight="1" x14ac:dyDescent="0.25">
      <c r="W325" s="4"/>
      <c r="X325" s="4"/>
      <c r="Y325" s="58"/>
      <c r="Z325" s="58"/>
      <c r="AA325" s="58"/>
      <c r="AB325" s="58"/>
      <c r="AC325" s="58"/>
      <c r="AF325" s="58"/>
      <c r="AG325" s="58"/>
      <c r="AH325" s="58"/>
      <c r="AI325" s="58"/>
      <c r="AJ325" s="58"/>
      <c r="AK325" s="58"/>
      <c r="AL325" s="58"/>
    </row>
    <row r="326" spans="23:38" ht="18" customHeight="1" x14ac:dyDescent="0.25">
      <c r="W326" s="4"/>
      <c r="X326" s="4"/>
      <c r="Y326" s="58"/>
      <c r="Z326" s="58"/>
      <c r="AA326" s="58"/>
      <c r="AB326" s="58"/>
      <c r="AC326" s="58"/>
      <c r="AF326" s="58"/>
      <c r="AG326" s="58"/>
      <c r="AH326" s="58"/>
      <c r="AI326" s="58"/>
      <c r="AJ326" s="58"/>
      <c r="AK326" s="58"/>
      <c r="AL326" s="58"/>
    </row>
    <row r="327" spans="23:38" ht="18" customHeight="1" x14ac:dyDescent="0.25">
      <c r="W327" s="4"/>
      <c r="X327" s="4"/>
      <c r="Y327" s="58"/>
      <c r="Z327" s="58"/>
      <c r="AA327" s="58"/>
      <c r="AB327" s="58"/>
      <c r="AC327" s="58"/>
      <c r="AF327" s="58"/>
      <c r="AG327" s="58"/>
      <c r="AH327" s="58"/>
      <c r="AI327" s="58"/>
      <c r="AJ327" s="58"/>
      <c r="AK327" s="58"/>
      <c r="AL327" s="58"/>
    </row>
    <row r="328" spans="23:38" ht="18" customHeight="1" x14ac:dyDescent="0.25">
      <c r="W328" s="4"/>
      <c r="X328" s="4"/>
      <c r="Y328" s="58"/>
      <c r="Z328" s="58"/>
      <c r="AA328" s="58"/>
      <c r="AB328" s="58"/>
      <c r="AC328" s="58"/>
      <c r="AF328" s="58"/>
      <c r="AG328" s="58"/>
      <c r="AH328" s="58"/>
      <c r="AI328" s="58"/>
      <c r="AJ328" s="58"/>
      <c r="AK328" s="58"/>
      <c r="AL328" s="58"/>
    </row>
    <row r="329" spans="23:38" ht="18" customHeight="1" x14ac:dyDescent="0.25">
      <c r="W329" s="4"/>
      <c r="X329" s="4"/>
      <c r="Y329" s="58"/>
      <c r="Z329" s="58"/>
      <c r="AA329" s="58"/>
      <c r="AB329" s="58"/>
      <c r="AC329" s="58"/>
      <c r="AF329" s="58"/>
      <c r="AG329" s="58"/>
      <c r="AH329" s="58"/>
      <c r="AI329" s="58"/>
      <c r="AJ329" s="58"/>
      <c r="AK329" s="58"/>
      <c r="AL329" s="58"/>
    </row>
    <row r="330" spans="23:38" ht="18" customHeight="1" x14ac:dyDescent="0.25">
      <c r="W330" s="4"/>
      <c r="X330" s="4"/>
      <c r="Y330" s="58"/>
      <c r="Z330" s="58"/>
      <c r="AA330" s="58"/>
      <c r="AB330" s="58"/>
      <c r="AC330" s="58"/>
      <c r="AF330" s="58"/>
      <c r="AG330" s="58"/>
      <c r="AH330" s="58"/>
      <c r="AI330" s="58"/>
      <c r="AJ330" s="58"/>
      <c r="AK330" s="58"/>
      <c r="AL330" s="58"/>
    </row>
    <row r="331" spans="23:38" ht="18" customHeight="1" x14ac:dyDescent="0.25">
      <c r="W331" s="4"/>
      <c r="X331" s="4"/>
      <c r="Y331" s="58"/>
      <c r="Z331" s="58"/>
      <c r="AA331" s="58"/>
      <c r="AB331" s="58"/>
      <c r="AC331" s="58"/>
      <c r="AF331" s="58"/>
      <c r="AG331" s="58"/>
      <c r="AH331" s="58"/>
      <c r="AI331" s="58"/>
      <c r="AJ331" s="58"/>
      <c r="AK331" s="58"/>
      <c r="AL331" s="58"/>
    </row>
    <row r="332" spans="23:38" ht="18" customHeight="1" x14ac:dyDescent="0.25">
      <c r="W332" s="4"/>
      <c r="X332" s="4"/>
      <c r="Y332" s="58"/>
      <c r="Z332" s="58"/>
      <c r="AA332" s="58"/>
      <c r="AB332" s="58"/>
      <c r="AC332" s="58"/>
      <c r="AF332" s="58"/>
      <c r="AG332" s="58"/>
      <c r="AH332" s="58"/>
      <c r="AI332" s="58"/>
      <c r="AJ332" s="58"/>
      <c r="AK332" s="58"/>
      <c r="AL332" s="58"/>
    </row>
    <row r="333" spans="23:38" ht="18" customHeight="1" x14ac:dyDescent="0.25">
      <c r="W333" s="4"/>
      <c r="X333" s="4"/>
      <c r="Y333" s="58"/>
      <c r="Z333" s="58"/>
      <c r="AA333" s="58"/>
      <c r="AB333" s="58"/>
      <c r="AC333" s="58"/>
      <c r="AF333" s="58"/>
      <c r="AG333" s="58"/>
      <c r="AH333" s="58"/>
      <c r="AI333" s="58"/>
      <c r="AJ333" s="58"/>
      <c r="AK333" s="58"/>
      <c r="AL333" s="58"/>
    </row>
    <row r="334" spans="23:38" ht="18" customHeight="1" x14ac:dyDescent="0.25">
      <c r="W334" s="4"/>
      <c r="X334" s="4"/>
      <c r="Y334" s="58"/>
      <c r="Z334" s="58"/>
      <c r="AA334" s="58"/>
      <c r="AB334" s="58"/>
      <c r="AC334" s="58"/>
      <c r="AF334" s="58"/>
      <c r="AG334" s="58"/>
      <c r="AH334" s="58"/>
      <c r="AI334" s="58"/>
      <c r="AJ334" s="58"/>
      <c r="AK334" s="58"/>
      <c r="AL334" s="58"/>
    </row>
    <row r="335" spans="23:38" ht="18" customHeight="1" x14ac:dyDescent="0.25">
      <c r="W335" s="4"/>
      <c r="X335" s="4"/>
      <c r="Y335" s="58"/>
      <c r="Z335" s="58"/>
      <c r="AA335" s="58"/>
      <c r="AB335" s="58"/>
      <c r="AC335" s="58"/>
      <c r="AF335" s="58"/>
      <c r="AG335" s="58"/>
      <c r="AH335" s="58"/>
      <c r="AI335" s="58"/>
      <c r="AJ335" s="58"/>
      <c r="AK335" s="58"/>
      <c r="AL335" s="58"/>
    </row>
    <row r="336" spans="23:38" ht="18" customHeight="1" x14ac:dyDescent="0.25">
      <c r="W336" s="4"/>
      <c r="X336" s="4"/>
      <c r="Y336" s="58"/>
      <c r="Z336" s="58"/>
      <c r="AA336" s="58"/>
      <c r="AB336" s="58"/>
      <c r="AC336" s="58"/>
      <c r="AF336" s="58"/>
      <c r="AG336" s="58"/>
      <c r="AH336" s="58"/>
      <c r="AI336" s="58"/>
      <c r="AJ336" s="58"/>
      <c r="AK336" s="58"/>
      <c r="AL336" s="58"/>
    </row>
    <row r="337" spans="23:38" ht="18" customHeight="1" x14ac:dyDescent="0.25">
      <c r="W337" s="4"/>
      <c r="X337" s="4"/>
      <c r="Y337" s="58"/>
      <c r="Z337" s="58"/>
      <c r="AA337" s="58"/>
      <c r="AB337" s="58"/>
      <c r="AC337" s="58"/>
      <c r="AF337" s="58"/>
      <c r="AG337" s="58"/>
      <c r="AH337" s="58"/>
      <c r="AI337" s="58"/>
      <c r="AJ337" s="58"/>
      <c r="AK337" s="58"/>
      <c r="AL337" s="58"/>
    </row>
    <row r="338" spans="23:38" ht="18" customHeight="1" x14ac:dyDescent="0.25">
      <c r="W338" s="4"/>
      <c r="X338" s="4"/>
      <c r="Y338" s="58"/>
      <c r="Z338" s="58"/>
      <c r="AA338" s="58"/>
      <c r="AB338" s="58"/>
      <c r="AC338" s="58"/>
      <c r="AF338" s="58"/>
      <c r="AG338" s="58"/>
      <c r="AH338" s="58"/>
      <c r="AI338" s="58"/>
      <c r="AJ338" s="58"/>
      <c r="AK338" s="58"/>
      <c r="AL338" s="58"/>
    </row>
    <row r="339" spans="23:38" ht="18" customHeight="1" x14ac:dyDescent="0.25">
      <c r="W339" s="4"/>
      <c r="X339" s="4"/>
      <c r="Y339" s="58"/>
      <c r="Z339" s="58"/>
      <c r="AA339" s="58"/>
      <c r="AB339" s="58"/>
      <c r="AC339" s="58"/>
      <c r="AF339" s="58"/>
      <c r="AG339" s="58"/>
      <c r="AH339" s="58"/>
      <c r="AI339" s="58"/>
      <c r="AJ339" s="58"/>
      <c r="AK339" s="58"/>
      <c r="AL339" s="58"/>
    </row>
    <row r="340" spans="23:38" ht="18" customHeight="1" x14ac:dyDescent="0.25">
      <c r="W340" s="4"/>
      <c r="X340" s="4"/>
      <c r="Y340" s="58"/>
      <c r="Z340" s="58"/>
      <c r="AA340" s="58"/>
      <c r="AB340" s="58"/>
      <c r="AC340" s="58"/>
      <c r="AF340" s="58"/>
      <c r="AG340" s="58"/>
      <c r="AH340" s="58"/>
      <c r="AI340" s="58"/>
      <c r="AJ340" s="58"/>
      <c r="AK340" s="58"/>
      <c r="AL340" s="58"/>
    </row>
    <row r="341" spans="23:38" ht="18" customHeight="1" x14ac:dyDescent="0.25">
      <c r="W341" s="4"/>
      <c r="X341" s="4"/>
      <c r="Y341" s="58"/>
      <c r="Z341" s="58"/>
      <c r="AA341" s="58"/>
      <c r="AB341" s="58"/>
      <c r="AC341" s="58"/>
      <c r="AF341" s="58"/>
      <c r="AG341" s="58"/>
      <c r="AH341" s="58"/>
      <c r="AI341" s="58"/>
      <c r="AJ341" s="58"/>
      <c r="AK341" s="58"/>
      <c r="AL341" s="58"/>
    </row>
    <row r="342" spans="23:38" ht="18" customHeight="1" x14ac:dyDescent="0.25">
      <c r="W342" s="4"/>
      <c r="X342" s="4"/>
      <c r="Y342" s="58"/>
      <c r="Z342" s="58"/>
      <c r="AA342" s="58"/>
      <c r="AB342" s="58"/>
      <c r="AC342" s="58"/>
      <c r="AF342" s="58"/>
      <c r="AG342" s="58"/>
      <c r="AH342" s="58"/>
      <c r="AI342" s="58"/>
      <c r="AJ342" s="58"/>
      <c r="AK342" s="58"/>
      <c r="AL342" s="58"/>
    </row>
    <row r="343" spans="23:38" ht="18" customHeight="1" x14ac:dyDescent="0.25">
      <c r="W343" s="4"/>
      <c r="X343" s="4"/>
      <c r="Y343" s="58"/>
      <c r="Z343" s="58"/>
      <c r="AA343" s="58"/>
      <c r="AB343" s="58"/>
      <c r="AC343" s="58"/>
      <c r="AF343" s="58"/>
      <c r="AG343" s="58"/>
      <c r="AH343" s="58"/>
      <c r="AI343" s="58"/>
      <c r="AJ343" s="58"/>
      <c r="AK343" s="58"/>
      <c r="AL343" s="58"/>
    </row>
    <row r="344" spans="23:38" ht="18" customHeight="1" x14ac:dyDescent="0.25">
      <c r="W344" s="4"/>
      <c r="X344" s="4"/>
      <c r="Y344" s="58"/>
      <c r="Z344" s="58"/>
      <c r="AA344" s="58"/>
      <c r="AB344" s="58"/>
      <c r="AC344" s="58"/>
      <c r="AF344" s="58"/>
      <c r="AG344" s="58"/>
      <c r="AH344" s="58"/>
      <c r="AI344" s="58"/>
      <c r="AJ344" s="58"/>
      <c r="AK344" s="58"/>
      <c r="AL344" s="58"/>
    </row>
    <row r="345" spans="23:38" ht="18" customHeight="1" x14ac:dyDescent="0.25">
      <c r="W345" s="4"/>
      <c r="X345" s="4"/>
      <c r="Y345" s="58"/>
      <c r="Z345" s="58"/>
      <c r="AA345" s="58"/>
      <c r="AB345" s="58"/>
      <c r="AC345" s="58"/>
      <c r="AF345" s="58"/>
      <c r="AG345" s="58"/>
      <c r="AH345" s="58"/>
      <c r="AI345" s="58"/>
      <c r="AJ345" s="58"/>
      <c r="AK345" s="58"/>
      <c r="AL345" s="58"/>
    </row>
    <row r="346" spans="23:38" ht="18" customHeight="1" x14ac:dyDescent="0.25">
      <c r="W346" s="4"/>
      <c r="X346" s="4"/>
      <c r="Y346" s="58"/>
      <c r="Z346" s="58"/>
      <c r="AA346" s="58"/>
      <c r="AB346" s="58"/>
      <c r="AC346" s="58"/>
      <c r="AF346" s="58"/>
      <c r="AG346" s="58"/>
      <c r="AH346" s="58"/>
      <c r="AI346" s="58"/>
      <c r="AJ346" s="58"/>
      <c r="AK346" s="58"/>
      <c r="AL346" s="58"/>
    </row>
    <row r="347" spans="23:38" ht="18" customHeight="1" x14ac:dyDescent="0.25">
      <c r="W347" s="4"/>
      <c r="X347" s="4"/>
      <c r="Y347" s="58"/>
      <c r="Z347" s="58"/>
      <c r="AA347" s="58"/>
      <c r="AB347" s="58"/>
      <c r="AC347" s="58"/>
      <c r="AF347" s="58"/>
      <c r="AG347" s="58"/>
      <c r="AH347" s="58"/>
      <c r="AI347" s="58"/>
      <c r="AJ347" s="58"/>
      <c r="AK347" s="58"/>
      <c r="AL347" s="58"/>
    </row>
    <row r="348" spans="23:38" ht="18" customHeight="1" x14ac:dyDescent="0.25">
      <c r="W348" s="4"/>
      <c r="X348" s="4"/>
      <c r="Y348" s="58"/>
      <c r="Z348" s="58"/>
      <c r="AA348" s="58"/>
      <c r="AB348" s="58"/>
      <c r="AC348" s="58"/>
      <c r="AF348" s="58"/>
      <c r="AG348" s="58"/>
      <c r="AH348" s="58"/>
      <c r="AI348" s="58"/>
      <c r="AJ348" s="58"/>
      <c r="AK348" s="58"/>
      <c r="AL348" s="58"/>
    </row>
    <row r="349" spans="23:38" ht="18" customHeight="1" x14ac:dyDescent="0.25">
      <c r="W349" s="4"/>
      <c r="X349" s="4"/>
      <c r="Y349" s="58"/>
      <c r="Z349" s="58"/>
      <c r="AA349" s="58"/>
      <c r="AB349" s="58"/>
      <c r="AC349" s="58"/>
      <c r="AF349" s="58"/>
      <c r="AG349" s="58"/>
      <c r="AH349" s="58"/>
      <c r="AI349" s="58"/>
      <c r="AJ349" s="58"/>
      <c r="AK349" s="58"/>
      <c r="AL349" s="58"/>
    </row>
    <row r="350" spans="23:38" ht="18" customHeight="1" x14ac:dyDescent="0.25">
      <c r="W350" s="4"/>
      <c r="X350" s="4"/>
      <c r="Y350" s="58"/>
      <c r="Z350" s="58"/>
      <c r="AA350" s="58"/>
      <c r="AB350" s="58"/>
      <c r="AC350" s="58"/>
      <c r="AF350" s="58"/>
      <c r="AG350" s="58"/>
      <c r="AH350" s="58"/>
      <c r="AI350" s="58"/>
      <c r="AJ350" s="58"/>
      <c r="AK350" s="58"/>
      <c r="AL350" s="58"/>
    </row>
    <row r="351" spans="23:38" ht="18" customHeight="1" x14ac:dyDescent="0.25">
      <c r="W351" s="4"/>
      <c r="X351" s="4"/>
      <c r="Y351" s="58"/>
      <c r="Z351" s="58"/>
      <c r="AA351" s="58"/>
      <c r="AB351" s="58"/>
      <c r="AC351" s="58"/>
      <c r="AF351" s="58"/>
      <c r="AG351" s="58"/>
      <c r="AH351" s="58"/>
      <c r="AI351" s="58"/>
      <c r="AJ351" s="58"/>
      <c r="AK351" s="58"/>
      <c r="AL351" s="58"/>
    </row>
    <row r="352" spans="23:38" ht="18" customHeight="1" x14ac:dyDescent="0.25">
      <c r="W352" s="4"/>
      <c r="X352" s="4"/>
      <c r="Y352" s="58"/>
      <c r="Z352" s="58"/>
      <c r="AA352" s="58"/>
      <c r="AB352" s="58"/>
      <c r="AC352" s="58"/>
      <c r="AF352" s="58"/>
      <c r="AG352" s="58"/>
      <c r="AH352" s="58"/>
      <c r="AI352" s="58"/>
      <c r="AJ352" s="58"/>
      <c r="AK352" s="58"/>
      <c r="AL352" s="58"/>
    </row>
    <row r="353" spans="23:38" ht="18" customHeight="1" x14ac:dyDescent="0.25">
      <c r="W353" s="4"/>
      <c r="X353" s="4"/>
      <c r="Y353" s="58"/>
      <c r="Z353" s="58"/>
      <c r="AA353" s="58"/>
      <c r="AB353" s="58"/>
      <c r="AC353" s="58"/>
      <c r="AF353" s="58"/>
      <c r="AG353" s="58"/>
      <c r="AH353" s="58"/>
      <c r="AI353" s="58"/>
      <c r="AJ353" s="58"/>
      <c r="AK353" s="58"/>
      <c r="AL353" s="58"/>
    </row>
    <row r="354" spans="23:38" ht="18" customHeight="1" x14ac:dyDescent="0.25">
      <c r="W354" s="4"/>
      <c r="X354" s="4"/>
      <c r="Y354" s="58"/>
      <c r="Z354" s="58"/>
      <c r="AA354" s="58"/>
      <c r="AB354" s="58"/>
      <c r="AC354" s="58"/>
      <c r="AF354" s="58"/>
      <c r="AG354" s="58"/>
      <c r="AH354" s="58"/>
      <c r="AI354" s="58"/>
      <c r="AJ354" s="58"/>
      <c r="AK354" s="58"/>
      <c r="AL354" s="58"/>
    </row>
    <row r="355" spans="23:38" ht="18" customHeight="1" x14ac:dyDescent="0.25">
      <c r="W355" s="4"/>
      <c r="X355" s="4"/>
      <c r="Y355" s="58"/>
      <c r="Z355" s="58"/>
      <c r="AA355" s="58"/>
      <c r="AB355" s="58"/>
      <c r="AC355" s="58"/>
      <c r="AF355" s="58"/>
      <c r="AG355" s="58"/>
      <c r="AH355" s="58"/>
      <c r="AI355" s="58"/>
      <c r="AJ355" s="58"/>
      <c r="AK355" s="58"/>
      <c r="AL355" s="58"/>
    </row>
    <row r="356" spans="23:38" ht="18" customHeight="1" x14ac:dyDescent="0.25">
      <c r="W356" s="4"/>
      <c r="X356" s="4"/>
      <c r="Y356" s="58"/>
      <c r="Z356" s="58"/>
      <c r="AA356" s="58"/>
      <c r="AB356" s="58"/>
      <c r="AC356" s="58"/>
      <c r="AF356" s="58"/>
      <c r="AG356" s="58"/>
      <c r="AH356" s="58"/>
      <c r="AI356" s="58"/>
      <c r="AJ356" s="58"/>
      <c r="AK356" s="58"/>
      <c r="AL356" s="58"/>
    </row>
    <row r="357" spans="23:38" ht="18" customHeight="1" x14ac:dyDescent="0.25">
      <c r="W357" s="4"/>
      <c r="X357" s="4"/>
      <c r="Y357" s="58"/>
      <c r="Z357" s="58"/>
      <c r="AA357" s="58"/>
      <c r="AB357" s="58"/>
      <c r="AC357" s="58"/>
      <c r="AF357" s="58"/>
      <c r="AG357" s="58"/>
      <c r="AH357" s="58"/>
      <c r="AI357" s="58"/>
      <c r="AJ357" s="58"/>
      <c r="AK357" s="58"/>
      <c r="AL357" s="58"/>
    </row>
    <row r="358" spans="23:38" ht="18" customHeight="1" x14ac:dyDescent="0.25">
      <c r="W358" s="4"/>
      <c r="X358" s="4"/>
      <c r="Y358" s="58"/>
      <c r="Z358" s="58"/>
      <c r="AA358" s="58"/>
      <c r="AB358" s="58"/>
      <c r="AC358" s="58"/>
      <c r="AF358" s="58"/>
      <c r="AG358" s="58"/>
      <c r="AH358" s="58"/>
      <c r="AI358" s="58"/>
      <c r="AJ358" s="58"/>
      <c r="AK358" s="58"/>
      <c r="AL358" s="58"/>
    </row>
    <row r="359" spans="23:38" ht="18" customHeight="1" x14ac:dyDescent="0.25">
      <c r="W359" s="4"/>
      <c r="X359" s="4"/>
      <c r="Y359" s="58"/>
      <c r="Z359" s="58"/>
      <c r="AA359" s="58"/>
      <c r="AB359" s="58"/>
      <c r="AC359" s="58"/>
      <c r="AF359" s="58"/>
      <c r="AG359" s="58"/>
      <c r="AH359" s="58"/>
      <c r="AI359" s="58"/>
      <c r="AJ359" s="58"/>
      <c r="AK359" s="58"/>
      <c r="AL359" s="58"/>
    </row>
    <row r="360" spans="23:38" ht="18" customHeight="1" x14ac:dyDescent="0.25">
      <c r="W360" s="4"/>
      <c r="X360" s="4"/>
      <c r="Y360" s="58"/>
      <c r="Z360" s="58"/>
      <c r="AA360" s="58"/>
      <c r="AB360" s="58"/>
      <c r="AC360" s="58"/>
      <c r="AF360" s="58"/>
      <c r="AG360" s="58"/>
      <c r="AH360" s="58"/>
      <c r="AI360" s="58"/>
      <c r="AJ360" s="58"/>
      <c r="AK360" s="58"/>
      <c r="AL360" s="58"/>
    </row>
    <row r="361" spans="23:38" ht="18" customHeight="1" x14ac:dyDescent="0.25">
      <c r="W361" s="4"/>
      <c r="X361" s="4"/>
      <c r="Y361" s="58"/>
      <c r="Z361" s="58"/>
      <c r="AA361" s="58"/>
      <c r="AB361" s="58"/>
      <c r="AC361" s="58"/>
      <c r="AF361" s="58"/>
      <c r="AG361" s="58"/>
      <c r="AH361" s="58"/>
      <c r="AI361" s="58"/>
      <c r="AJ361" s="78"/>
      <c r="AK361" s="58"/>
      <c r="AL361" s="58"/>
    </row>
    <row r="362" spans="23:38" ht="18" customHeight="1" x14ac:dyDescent="0.25">
      <c r="W362" s="4"/>
      <c r="X362" s="4"/>
      <c r="Y362" s="58"/>
      <c r="Z362" s="58"/>
      <c r="AA362" s="58"/>
      <c r="AB362" s="58"/>
      <c r="AC362" s="58"/>
      <c r="AF362" s="58"/>
      <c r="AG362" s="58"/>
      <c r="AH362" s="58"/>
      <c r="AI362" s="58"/>
      <c r="AJ362" s="58"/>
      <c r="AK362" s="58"/>
      <c r="AL362" s="58"/>
    </row>
    <row r="363" spans="23:38" ht="18" customHeight="1" x14ac:dyDescent="0.25">
      <c r="W363" s="4"/>
      <c r="X363" s="4"/>
      <c r="Y363" s="58"/>
      <c r="Z363" s="58"/>
      <c r="AA363" s="58"/>
      <c r="AB363" s="58"/>
      <c r="AC363" s="58"/>
      <c r="AF363" s="58"/>
      <c r="AG363" s="58"/>
      <c r="AH363" s="58"/>
      <c r="AI363" s="58"/>
      <c r="AJ363" s="58"/>
      <c r="AK363" s="58"/>
      <c r="AL363" s="58"/>
    </row>
    <row r="364" spans="23:38" ht="18" customHeight="1" x14ac:dyDescent="0.25">
      <c r="W364" s="4"/>
      <c r="X364" s="4"/>
      <c r="Y364" s="58"/>
      <c r="Z364" s="58"/>
      <c r="AA364" s="58"/>
      <c r="AB364" s="58"/>
      <c r="AC364" s="58"/>
      <c r="AF364" s="58"/>
      <c r="AG364" s="58"/>
      <c r="AH364" s="58"/>
      <c r="AJ364" s="58"/>
      <c r="AK364" s="58"/>
      <c r="AL364" s="58"/>
    </row>
    <row r="365" spans="23:38" ht="18" customHeight="1" x14ac:dyDescent="0.25">
      <c r="W365" s="4"/>
      <c r="X365" s="4"/>
      <c r="Y365" s="58"/>
      <c r="Z365" s="58"/>
      <c r="AA365" s="58"/>
      <c r="AB365" s="58"/>
      <c r="AC365" s="58"/>
      <c r="AF365" s="58"/>
      <c r="AG365" s="58"/>
      <c r="AH365" s="58"/>
      <c r="AJ365" s="58"/>
      <c r="AK365" s="58"/>
      <c r="AL365" s="58"/>
    </row>
    <row r="366" spans="23:38" ht="18" customHeight="1" x14ac:dyDescent="0.25">
      <c r="W366" s="4"/>
      <c r="X366" s="4"/>
      <c r="Y366" s="58"/>
      <c r="Z366" s="58"/>
      <c r="AA366" s="58"/>
      <c r="AB366" s="58"/>
      <c r="AC366" s="58"/>
      <c r="AF366" s="58"/>
      <c r="AG366" s="58"/>
      <c r="AH366" s="58"/>
      <c r="AJ366" s="58"/>
      <c r="AK366" s="58"/>
      <c r="AL366" s="58"/>
    </row>
    <row r="367" spans="23:38" ht="18" customHeight="1" x14ac:dyDescent="0.25">
      <c r="W367" s="4"/>
      <c r="X367" s="4"/>
      <c r="Y367" s="58"/>
      <c r="Z367" s="58"/>
      <c r="AA367" s="58"/>
      <c r="AB367" s="58"/>
      <c r="AC367" s="58"/>
      <c r="AF367" s="58"/>
      <c r="AG367" s="58"/>
      <c r="AH367" s="58"/>
      <c r="AJ367" s="58"/>
      <c r="AK367" s="58"/>
      <c r="AL367" s="58"/>
    </row>
    <row r="368" spans="23:38" ht="18" customHeight="1" x14ac:dyDescent="0.25">
      <c r="W368" s="4"/>
      <c r="X368" s="4"/>
      <c r="Y368" s="58"/>
      <c r="Z368" s="58"/>
      <c r="AA368" s="58"/>
      <c r="AB368" s="58"/>
      <c r="AC368" s="58"/>
      <c r="AF368" s="58"/>
      <c r="AG368" s="58"/>
      <c r="AH368" s="58"/>
      <c r="AJ368" s="58"/>
      <c r="AK368" s="58"/>
      <c r="AL368" s="58"/>
    </row>
    <row r="369" spans="23:38" ht="18" customHeight="1" x14ac:dyDescent="0.25">
      <c r="W369" s="4"/>
      <c r="X369" s="4"/>
      <c r="Y369" s="58"/>
      <c r="Z369" s="58"/>
      <c r="AA369" s="58"/>
      <c r="AB369" s="58"/>
      <c r="AC369" s="58"/>
      <c r="AF369" s="58"/>
      <c r="AG369" s="58"/>
      <c r="AH369" s="58"/>
      <c r="AI369" s="58"/>
      <c r="AJ369" s="58"/>
      <c r="AK369" s="58"/>
      <c r="AL369" s="58"/>
    </row>
    <row r="370" spans="23:38" ht="18" customHeight="1" x14ac:dyDescent="0.25">
      <c r="W370" s="4"/>
      <c r="X370" s="4"/>
      <c r="Y370" s="58"/>
      <c r="Z370" s="58"/>
      <c r="AA370" s="58"/>
      <c r="AB370" s="58"/>
      <c r="AC370" s="58"/>
      <c r="AF370" s="58"/>
      <c r="AG370" s="58"/>
      <c r="AH370" s="58"/>
      <c r="AI370" s="58"/>
      <c r="AJ370" s="58"/>
      <c r="AK370" s="58"/>
      <c r="AL370" s="58"/>
    </row>
    <row r="371" spans="23:38" ht="18" customHeight="1" x14ac:dyDescent="0.25">
      <c r="W371" s="4"/>
      <c r="X371" s="4"/>
      <c r="Y371" s="58"/>
      <c r="Z371" s="58"/>
      <c r="AA371" s="58"/>
      <c r="AB371" s="58"/>
      <c r="AC371" s="58"/>
      <c r="AF371" s="58"/>
      <c r="AG371" s="58"/>
      <c r="AH371" s="58"/>
      <c r="AJ371" s="58"/>
      <c r="AK371" s="58"/>
      <c r="AL371" s="58"/>
    </row>
    <row r="372" spans="23:38" ht="18" customHeight="1" x14ac:dyDescent="0.25">
      <c r="W372" s="4"/>
      <c r="X372" s="4"/>
      <c r="Y372" s="58"/>
      <c r="Z372" s="58"/>
      <c r="AA372" s="58"/>
      <c r="AB372" s="58"/>
      <c r="AC372" s="58"/>
      <c r="AF372" s="58"/>
      <c r="AG372" s="58"/>
      <c r="AH372" s="58"/>
      <c r="AJ372" s="58"/>
      <c r="AK372" s="58"/>
      <c r="AL372" s="58"/>
    </row>
    <row r="373" spans="23:38" ht="18" customHeight="1" x14ac:dyDescent="0.25">
      <c r="W373" s="4"/>
      <c r="X373" s="4"/>
      <c r="Y373" s="58"/>
      <c r="Z373" s="58"/>
      <c r="AA373" s="58"/>
      <c r="AB373" s="58"/>
      <c r="AC373" s="58"/>
      <c r="AF373" s="58"/>
      <c r="AG373" s="58"/>
      <c r="AH373" s="58"/>
      <c r="AJ373" s="58"/>
      <c r="AK373" s="58"/>
      <c r="AL373" s="58"/>
    </row>
    <row r="374" spans="23:38" ht="18" customHeight="1" x14ac:dyDescent="0.25">
      <c r="W374" s="4"/>
      <c r="X374" s="4"/>
      <c r="Y374" s="58"/>
      <c r="Z374" s="58"/>
      <c r="AA374" s="58"/>
      <c r="AB374" s="58"/>
      <c r="AC374" s="58"/>
      <c r="AF374" s="58"/>
      <c r="AG374" s="58"/>
      <c r="AH374" s="58"/>
      <c r="AJ374" s="78"/>
      <c r="AK374" s="58"/>
      <c r="AL374" s="58"/>
    </row>
    <row r="375" spans="23:38" ht="18" customHeight="1" x14ac:dyDescent="0.25">
      <c r="W375" s="4"/>
      <c r="X375" s="4"/>
      <c r="Y375" s="58"/>
      <c r="Z375" s="58"/>
      <c r="AA375" s="58"/>
      <c r="AB375" s="58"/>
      <c r="AC375" s="58"/>
      <c r="AF375" s="58"/>
      <c r="AG375" s="58"/>
      <c r="AH375" s="58"/>
      <c r="AJ375" s="58"/>
      <c r="AK375" s="58"/>
      <c r="AL375" s="58"/>
    </row>
    <row r="376" spans="23:38" ht="18" customHeight="1" x14ac:dyDescent="0.25">
      <c r="W376" s="4"/>
      <c r="X376" s="4"/>
      <c r="Y376" s="58"/>
      <c r="Z376" s="58"/>
      <c r="AA376" s="58"/>
      <c r="AB376" s="58"/>
      <c r="AC376" s="58"/>
      <c r="AF376" s="58"/>
      <c r="AG376" s="58"/>
      <c r="AH376" s="58"/>
      <c r="AJ376" s="58"/>
      <c r="AK376" s="58"/>
      <c r="AL376" s="58"/>
    </row>
    <row r="377" spans="23:38" ht="18" customHeight="1" x14ac:dyDescent="0.25">
      <c r="W377" s="4"/>
      <c r="X377" s="4"/>
      <c r="Y377" s="58"/>
      <c r="Z377" s="58"/>
      <c r="AA377" s="58"/>
      <c r="AB377" s="58"/>
      <c r="AC377" s="58"/>
      <c r="AF377" s="58"/>
      <c r="AG377" s="58"/>
      <c r="AH377" s="58"/>
      <c r="AJ377" s="58"/>
      <c r="AK377" s="58"/>
      <c r="AL377" s="58"/>
    </row>
    <row r="378" spans="23:38" ht="18" customHeight="1" x14ac:dyDescent="0.25">
      <c r="W378" s="4"/>
      <c r="X378" s="4"/>
      <c r="Y378" s="58"/>
      <c r="Z378" s="58"/>
      <c r="AA378" s="58"/>
      <c r="AB378" s="58"/>
      <c r="AC378" s="58"/>
      <c r="AF378" s="58"/>
      <c r="AG378" s="58"/>
      <c r="AH378" s="58"/>
      <c r="AJ378" s="58"/>
      <c r="AK378" s="58"/>
      <c r="AL378" s="58"/>
    </row>
    <row r="379" spans="23:38" ht="18" customHeight="1" x14ac:dyDescent="0.25">
      <c r="W379" s="4"/>
      <c r="X379" s="4"/>
      <c r="Y379" s="58"/>
      <c r="Z379" s="58"/>
      <c r="AA379" s="58"/>
      <c r="AB379" s="58"/>
      <c r="AC379" s="58"/>
      <c r="AF379" s="58"/>
      <c r="AG379" s="58"/>
      <c r="AH379" s="58"/>
      <c r="AJ379" s="58"/>
      <c r="AK379" s="58"/>
      <c r="AL379" s="58"/>
    </row>
    <row r="380" spans="23:38" ht="18" customHeight="1" x14ac:dyDescent="0.25">
      <c r="W380" s="4"/>
      <c r="X380" s="4"/>
      <c r="Y380" s="58"/>
      <c r="Z380" s="58"/>
      <c r="AA380" s="58"/>
      <c r="AB380" s="58"/>
      <c r="AC380" s="58"/>
      <c r="AF380" s="58"/>
      <c r="AG380" s="58"/>
      <c r="AH380" s="58"/>
      <c r="AJ380" s="58"/>
      <c r="AK380" s="58"/>
      <c r="AL380" s="58"/>
    </row>
    <row r="381" spans="23:38" ht="18" customHeight="1" x14ac:dyDescent="0.25">
      <c r="W381" s="4"/>
      <c r="X381" s="4"/>
      <c r="Y381" s="58"/>
      <c r="Z381" s="58"/>
      <c r="AA381" s="58"/>
      <c r="AB381" s="58"/>
      <c r="AC381" s="58"/>
      <c r="AF381" s="58"/>
      <c r="AG381" s="58"/>
      <c r="AH381" s="58"/>
      <c r="AJ381" s="78"/>
      <c r="AK381" s="58"/>
      <c r="AL381" s="58"/>
    </row>
    <row r="382" spans="23:38" ht="18" customHeight="1" x14ac:dyDescent="0.25">
      <c r="W382" s="4"/>
      <c r="X382" s="4"/>
      <c r="Y382" s="58"/>
      <c r="Z382" s="58"/>
      <c r="AA382" s="58"/>
      <c r="AB382" s="58"/>
      <c r="AC382" s="58"/>
      <c r="AF382" s="58"/>
      <c r="AG382" s="58"/>
      <c r="AH382" s="58"/>
      <c r="AJ382" s="78"/>
      <c r="AK382" s="58"/>
      <c r="AL382" s="58"/>
    </row>
    <row r="383" spans="23:38" ht="18" customHeight="1" x14ac:dyDescent="0.25">
      <c r="W383" s="4"/>
      <c r="X383" s="4"/>
      <c r="Y383" s="58"/>
      <c r="Z383" s="58"/>
      <c r="AA383" s="58"/>
      <c r="AB383" s="58"/>
      <c r="AC383" s="58"/>
      <c r="AF383" s="58"/>
      <c r="AG383" s="58"/>
      <c r="AH383" s="58"/>
      <c r="AJ383" s="58"/>
      <c r="AK383" s="58"/>
      <c r="AL383" s="58"/>
    </row>
    <row r="384" spans="23:38" ht="18" customHeight="1" x14ac:dyDescent="0.25">
      <c r="W384" s="4"/>
      <c r="X384" s="4"/>
      <c r="Y384" s="58"/>
      <c r="Z384" s="58"/>
      <c r="AA384" s="58"/>
      <c r="AB384" s="58"/>
      <c r="AC384" s="58"/>
      <c r="AF384" s="58"/>
      <c r="AG384" s="58"/>
      <c r="AH384" s="58"/>
      <c r="AJ384" s="58"/>
      <c r="AK384" s="58"/>
      <c r="AL384" s="58"/>
    </row>
    <row r="385" spans="23:38" ht="18" customHeight="1" x14ac:dyDescent="0.25">
      <c r="W385" s="4"/>
      <c r="X385" s="4"/>
      <c r="Y385" s="58"/>
      <c r="Z385" s="58"/>
      <c r="AA385" s="58"/>
      <c r="AB385" s="58"/>
      <c r="AC385" s="58"/>
      <c r="AF385" s="58"/>
      <c r="AG385" s="58"/>
      <c r="AH385" s="58"/>
      <c r="AJ385" s="58"/>
      <c r="AK385" s="58"/>
      <c r="AL385" s="58"/>
    </row>
    <row r="386" spans="23:38" ht="18" customHeight="1" x14ac:dyDescent="0.25">
      <c r="W386" s="4"/>
      <c r="X386" s="4"/>
      <c r="Y386" s="58"/>
      <c r="Z386" s="58"/>
      <c r="AA386" s="58"/>
      <c r="AB386" s="58"/>
      <c r="AC386" s="58"/>
      <c r="AF386" s="58"/>
      <c r="AG386" s="58"/>
      <c r="AH386" s="58"/>
      <c r="AJ386" s="58"/>
      <c r="AK386" s="58"/>
      <c r="AL386" s="58"/>
    </row>
    <row r="387" spans="23:38" ht="18" customHeight="1" x14ac:dyDescent="0.25">
      <c r="W387" s="4"/>
      <c r="X387" s="4"/>
      <c r="Y387" s="58"/>
      <c r="Z387" s="58"/>
      <c r="AA387" s="58"/>
      <c r="AB387" s="58"/>
      <c r="AC387" s="58"/>
      <c r="AF387" s="58"/>
      <c r="AG387" s="58"/>
      <c r="AH387" s="58"/>
      <c r="AJ387" s="58"/>
      <c r="AK387" s="58"/>
      <c r="AL387" s="58"/>
    </row>
    <row r="388" spans="23:38" ht="18" customHeight="1" x14ac:dyDescent="0.25">
      <c r="W388" s="4"/>
      <c r="X388" s="4"/>
      <c r="Y388" s="58"/>
      <c r="Z388" s="58"/>
      <c r="AA388" s="58"/>
      <c r="AB388" s="58"/>
      <c r="AC388" s="58"/>
      <c r="AF388" s="58"/>
      <c r="AG388" s="58"/>
      <c r="AH388" s="58"/>
      <c r="AJ388" s="58"/>
      <c r="AK388" s="58"/>
      <c r="AL388" s="58"/>
    </row>
    <row r="389" spans="23:38" ht="18" customHeight="1" x14ac:dyDescent="0.25">
      <c r="W389" s="4"/>
      <c r="X389" s="4"/>
      <c r="Y389" s="58"/>
      <c r="Z389" s="58"/>
      <c r="AA389" s="58"/>
      <c r="AB389" s="58"/>
      <c r="AC389" s="58"/>
      <c r="AF389" s="58"/>
      <c r="AG389" s="58"/>
      <c r="AH389" s="58"/>
      <c r="AJ389" s="58"/>
      <c r="AK389" s="58"/>
      <c r="AL389" s="58"/>
    </row>
    <row r="390" spans="23:38" ht="18" customHeight="1" x14ac:dyDescent="0.25">
      <c r="W390" s="4"/>
      <c r="X390" s="4"/>
      <c r="Y390" s="58"/>
      <c r="Z390" s="58"/>
      <c r="AA390" s="58"/>
      <c r="AB390" s="58"/>
      <c r="AC390" s="58"/>
      <c r="AF390" s="58"/>
      <c r="AG390" s="58"/>
      <c r="AH390" s="58"/>
      <c r="AJ390" s="58"/>
      <c r="AK390" s="58"/>
      <c r="AL390" s="58"/>
    </row>
    <row r="391" spans="23:38" ht="18" customHeight="1" x14ac:dyDescent="0.25">
      <c r="W391" s="4"/>
      <c r="X391" s="4"/>
      <c r="Y391" s="58"/>
      <c r="Z391" s="58"/>
      <c r="AA391" s="58"/>
      <c r="AB391" s="58"/>
      <c r="AC391" s="58"/>
      <c r="AF391" s="58"/>
      <c r="AG391" s="58"/>
      <c r="AH391" s="58"/>
      <c r="AJ391" s="58"/>
      <c r="AK391" s="58"/>
      <c r="AL391" s="58"/>
    </row>
    <row r="392" spans="23:38" ht="18" customHeight="1" x14ac:dyDescent="0.25">
      <c r="W392" s="4"/>
      <c r="X392" s="4"/>
      <c r="Y392" s="58"/>
      <c r="Z392" s="58"/>
      <c r="AA392" s="58"/>
      <c r="AB392" s="58"/>
      <c r="AC392" s="58"/>
      <c r="AF392" s="58"/>
      <c r="AG392" s="58"/>
      <c r="AH392" s="58"/>
      <c r="AJ392" s="58"/>
      <c r="AK392" s="58"/>
      <c r="AL392" s="58"/>
    </row>
    <row r="393" spans="23:38" ht="18" customHeight="1" x14ac:dyDescent="0.25">
      <c r="W393" s="4"/>
      <c r="X393" s="4"/>
      <c r="Y393" s="58"/>
      <c r="Z393" s="58"/>
      <c r="AA393" s="58"/>
      <c r="AB393" s="58"/>
      <c r="AC393" s="58"/>
      <c r="AF393" s="58"/>
      <c r="AG393" s="58"/>
      <c r="AH393" s="58"/>
      <c r="AJ393" s="78"/>
      <c r="AK393" s="58"/>
      <c r="AL393" s="58"/>
    </row>
    <row r="394" spans="23:38" ht="18" customHeight="1" x14ac:dyDescent="0.25">
      <c r="W394" s="4"/>
      <c r="X394" s="4"/>
      <c r="Y394" s="58"/>
      <c r="Z394" s="58"/>
      <c r="AA394" s="58"/>
      <c r="AB394" s="58"/>
      <c r="AC394" s="58"/>
      <c r="AF394" s="58"/>
      <c r="AG394" s="58"/>
      <c r="AH394" s="58"/>
      <c r="AJ394" s="58"/>
      <c r="AK394" s="58"/>
      <c r="AL394" s="58"/>
    </row>
    <row r="395" spans="23:38" ht="18" customHeight="1" x14ac:dyDescent="0.25">
      <c r="W395" s="4"/>
      <c r="X395" s="4"/>
      <c r="Y395" s="58"/>
      <c r="Z395" s="58"/>
      <c r="AA395" s="58"/>
      <c r="AB395" s="58"/>
      <c r="AC395" s="58"/>
      <c r="AF395" s="58"/>
      <c r="AG395" s="58"/>
      <c r="AH395" s="58"/>
      <c r="AJ395" s="58"/>
      <c r="AK395" s="58"/>
      <c r="AL395" s="58"/>
    </row>
    <row r="396" spans="23:38" ht="18" customHeight="1" x14ac:dyDescent="0.25">
      <c r="W396" s="4"/>
      <c r="X396" s="4"/>
      <c r="Y396" s="58"/>
      <c r="Z396" s="58"/>
      <c r="AA396" s="58"/>
      <c r="AB396" s="58"/>
      <c r="AC396" s="58"/>
      <c r="AF396" s="58"/>
      <c r="AG396" s="58"/>
      <c r="AH396" s="58"/>
      <c r="AJ396" s="58"/>
      <c r="AK396" s="58"/>
      <c r="AL396" s="58"/>
    </row>
    <row r="397" spans="23:38" ht="18" customHeight="1" x14ac:dyDescent="0.25">
      <c r="W397" s="4"/>
      <c r="X397" s="4"/>
      <c r="Y397" s="58"/>
      <c r="Z397" s="58"/>
      <c r="AA397" s="58"/>
      <c r="AB397" s="58"/>
      <c r="AC397" s="58"/>
      <c r="AF397" s="58"/>
      <c r="AG397" s="58"/>
      <c r="AH397" s="58"/>
      <c r="AJ397" s="58"/>
      <c r="AK397" s="58"/>
      <c r="AL397" s="58"/>
    </row>
    <row r="398" spans="23:38" ht="18" customHeight="1" x14ac:dyDescent="0.25">
      <c r="W398" s="4"/>
      <c r="X398" s="4"/>
      <c r="Y398" s="58"/>
      <c r="Z398" s="58"/>
      <c r="AA398" s="58"/>
      <c r="AB398" s="58"/>
      <c r="AC398" s="58"/>
      <c r="AF398" s="58"/>
      <c r="AG398" s="58"/>
      <c r="AH398" s="58"/>
      <c r="AJ398" s="58"/>
      <c r="AK398" s="58"/>
      <c r="AL398" s="58"/>
    </row>
    <row r="399" spans="23:38" ht="18" customHeight="1" x14ac:dyDescent="0.25">
      <c r="W399" s="4"/>
      <c r="X399" s="4"/>
      <c r="Y399" s="58"/>
      <c r="Z399" s="58"/>
      <c r="AA399" s="58"/>
      <c r="AB399" s="58"/>
      <c r="AC399" s="58"/>
      <c r="AF399" s="58"/>
      <c r="AG399" s="58"/>
      <c r="AH399" s="58"/>
      <c r="AJ399" s="58"/>
      <c r="AK399" s="58"/>
      <c r="AL399" s="58"/>
    </row>
    <row r="400" spans="23:38" ht="18" customHeight="1" x14ac:dyDescent="0.25">
      <c r="W400" s="4"/>
      <c r="X400" s="4"/>
      <c r="Y400" s="58"/>
      <c r="Z400" s="58"/>
      <c r="AA400" s="58"/>
      <c r="AB400" s="58"/>
      <c r="AC400" s="58"/>
      <c r="AF400" s="58"/>
      <c r="AG400" s="58"/>
      <c r="AH400" s="58"/>
      <c r="AJ400" s="58"/>
      <c r="AK400" s="58"/>
      <c r="AL400" s="58"/>
    </row>
    <row r="401" spans="23:38" ht="18" customHeight="1" x14ac:dyDescent="0.25">
      <c r="W401" s="4"/>
      <c r="X401" s="4"/>
      <c r="Y401" s="58"/>
      <c r="Z401" s="58"/>
      <c r="AA401" s="58"/>
      <c r="AB401" s="58"/>
      <c r="AC401" s="58"/>
      <c r="AF401" s="58"/>
      <c r="AG401" s="58"/>
      <c r="AH401" s="58"/>
      <c r="AJ401" s="58"/>
      <c r="AK401" s="58"/>
      <c r="AL401" s="58"/>
    </row>
    <row r="402" spans="23:38" ht="18" customHeight="1" x14ac:dyDescent="0.25">
      <c r="W402" s="4"/>
      <c r="X402" s="4"/>
      <c r="Y402" s="58"/>
      <c r="Z402" s="58"/>
      <c r="AA402" s="58"/>
      <c r="AB402" s="58"/>
      <c r="AC402" s="58"/>
      <c r="AF402" s="58"/>
      <c r="AG402" s="58"/>
      <c r="AH402" s="58"/>
      <c r="AJ402" s="58"/>
      <c r="AK402" s="58"/>
      <c r="AL402" s="58"/>
    </row>
    <row r="403" spans="23:38" ht="18" customHeight="1" x14ac:dyDescent="0.25">
      <c r="W403" s="4"/>
      <c r="X403" s="4"/>
      <c r="Y403" s="58"/>
      <c r="Z403" s="58"/>
      <c r="AA403" s="58"/>
      <c r="AB403" s="58"/>
      <c r="AC403" s="58"/>
      <c r="AF403" s="58"/>
      <c r="AG403" s="58"/>
      <c r="AH403" s="58"/>
      <c r="AJ403" s="58"/>
      <c r="AK403" s="58"/>
      <c r="AL403" s="58"/>
    </row>
    <row r="404" spans="23:38" ht="18" customHeight="1" x14ac:dyDescent="0.25">
      <c r="W404" s="4"/>
      <c r="X404" s="4"/>
      <c r="Y404" s="58"/>
      <c r="Z404" s="58"/>
      <c r="AA404" s="58"/>
      <c r="AB404" s="58"/>
      <c r="AC404" s="58"/>
      <c r="AF404" s="58"/>
      <c r="AG404" s="58"/>
      <c r="AH404" s="58"/>
      <c r="AJ404" s="58"/>
      <c r="AK404" s="58"/>
      <c r="AL404" s="58"/>
    </row>
    <row r="405" spans="23:38" ht="18" customHeight="1" x14ac:dyDescent="0.25">
      <c r="W405" s="4"/>
      <c r="X405" s="4"/>
      <c r="Y405" s="58"/>
      <c r="Z405" s="58"/>
      <c r="AA405" s="58"/>
      <c r="AB405" s="58"/>
      <c r="AC405" s="58"/>
      <c r="AF405" s="58"/>
      <c r="AG405" s="58"/>
      <c r="AH405" s="58"/>
      <c r="AJ405" s="58"/>
      <c r="AK405" s="58"/>
      <c r="AL405" s="58"/>
    </row>
    <row r="406" spans="23:38" ht="18" customHeight="1" x14ac:dyDescent="0.25">
      <c r="W406" s="4"/>
      <c r="X406" s="4"/>
      <c r="Y406" s="58"/>
      <c r="Z406" s="58"/>
      <c r="AA406" s="58"/>
      <c r="AB406" s="58"/>
      <c r="AC406" s="58"/>
      <c r="AF406" s="58"/>
      <c r="AG406" s="58"/>
      <c r="AH406" s="58"/>
      <c r="AJ406" s="58"/>
      <c r="AK406" s="58"/>
      <c r="AL406" s="58"/>
    </row>
    <row r="407" spans="23:38" ht="18" customHeight="1" x14ac:dyDescent="0.25">
      <c r="W407" s="4"/>
      <c r="X407" s="4"/>
      <c r="Y407" s="58"/>
      <c r="Z407" s="58"/>
      <c r="AA407" s="58"/>
      <c r="AB407" s="58"/>
      <c r="AC407" s="58"/>
      <c r="AF407" s="58"/>
      <c r="AG407" s="58"/>
      <c r="AH407" s="58"/>
      <c r="AJ407" s="58"/>
      <c r="AK407" s="58"/>
      <c r="AL407" s="58"/>
    </row>
    <row r="408" spans="23:38" ht="18" customHeight="1" x14ac:dyDescent="0.25">
      <c r="W408" s="4"/>
      <c r="X408" s="4"/>
      <c r="Y408" s="58"/>
      <c r="Z408" s="58"/>
      <c r="AA408" s="58"/>
      <c r="AB408" s="58"/>
      <c r="AC408" s="58"/>
      <c r="AF408" s="58"/>
      <c r="AG408" s="58"/>
      <c r="AH408" s="58"/>
      <c r="AJ408" s="58"/>
      <c r="AK408" s="58"/>
      <c r="AL408" s="58"/>
    </row>
    <row r="409" spans="23:38" ht="18" customHeight="1" x14ac:dyDescent="0.25">
      <c r="W409" s="4"/>
      <c r="X409" s="4"/>
      <c r="Y409" s="58"/>
      <c r="Z409" s="58"/>
      <c r="AA409" s="58"/>
      <c r="AB409" s="58"/>
      <c r="AC409" s="58"/>
      <c r="AF409" s="58"/>
      <c r="AG409" s="58"/>
      <c r="AH409" s="58"/>
      <c r="AJ409" s="58"/>
      <c r="AK409" s="58"/>
      <c r="AL409" s="58"/>
    </row>
    <row r="410" spans="23:38" ht="18" customHeight="1" x14ac:dyDescent="0.25">
      <c r="W410" s="4"/>
      <c r="X410" s="4"/>
      <c r="Y410" s="58"/>
      <c r="Z410" s="58"/>
      <c r="AA410" s="58"/>
      <c r="AB410" s="58"/>
      <c r="AC410" s="58"/>
      <c r="AF410" s="58"/>
      <c r="AG410" s="58"/>
      <c r="AH410" s="58"/>
      <c r="AJ410" s="58"/>
      <c r="AK410" s="58"/>
      <c r="AL410" s="58"/>
    </row>
    <row r="411" spans="23:38" ht="18" customHeight="1" x14ac:dyDescent="0.25">
      <c r="W411" s="4"/>
      <c r="X411" s="4"/>
      <c r="Y411" s="58"/>
      <c r="Z411" s="58"/>
      <c r="AA411" s="58"/>
      <c r="AB411" s="58"/>
      <c r="AC411" s="58"/>
      <c r="AF411" s="58"/>
      <c r="AG411" s="58"/>
      <c r="AH411" s="58"/>
      <c r="AJ411" s="58"/>
      <c r="AK411" s="58"/>
      <c r="AL411" s="58"/>
    </row>
    <row r="412" spans="23:38" ht="18" customHeight="1" x14ac:dyDescent="0.25">
      <c r="W412" s="4"/>
      <c r="X412" s="4"/>
      <c r="Y412" s="58"/>
      <c r="Z412" s="58"/>
      <c r="AA412" s="58"/>
      <c r="AB412" s="58"/>
      <c r="AC412" s="58"/>
      <c r="AF412" s="58"/>
      <c r="AG412" s="58"/>
      <c r="AH412" s="58"/>
      <c r="AJ412" s="58"/>
      <c r="AK412" s="58"/>
      <c r="AL412" s="58"/>
    </row>
    <row r="413" spans="23:38" ht="18" customHeight="1" x14ac:dyDescent="0.25">
      <c r="W413" s="4"/>
      <c r="X413" s="4"/>
      <c r="Y413" s="58"/>
      <c r="Z413" s="58"/>
      <c r="AA413" s="58"/>
      <c r="AB413" s="58"/>
      <c r="AC413" s="58"/>
      <c r="AF413" s="58"/>
      <c r="AG413" s="58"/>
      <c r="AH413" s="58"/>
      <c r="AJ413" s="78"/>
      <c r="AK413" s="58"/>
      <c r="AL413" s="58"/>
    </row>
    <row r="414" spans="23:38" ht="18" customHeight="1" x14ac:dyDescent="0.25">
      <c r="W414" s="4"/>
      <c r="X414" s="4"/>
      <c r="Y414" s="58"/>
      <c r="Z414" s="58"/>
      <c r="AA414" s="58"/>
      <c r="AB414" s="58"/>
      <c r="AC414" s="58"/>
      <c r="AF414" s="58"/>
      <c r="AG414" s="58"/>
      <c r="AH414" s="58"/>
      <c r="AJ414" s="78"/>
      <c r="AK414" s="58"/>
      <c r="AL414" s="58"/>
    </row>
    <row r="415" spans="23:38" ht="18" customHeight="1" x14ac:dyDescent="0.25">
      <c r="W415" s="4"/>
      <c r="X415" s="4"/>
      <c r="Y415" s="58"/>
      <c r="Z415" s="58"/>
      <c r="AA415" s="58"/>
      <c r="AB415" s="58"/>
      <c r="AC415" s="58"/>
      <c r="AF415" s="58"/>
      <c r="AG415" s="58"/>
      <c r="AH415" s="58"/>
      <c r="AJ415" s="58"/>
      <c r="AK415" s="58"/>
      <c r="AL415" s="58"/>
    </row>
    <row r="416" spans="23:38" ht="18" customHeight="1" x14ac:dyDescent="0.25">
      <c r="W416" s="4"/>
      <c r="X416" s="4"/>
      <c r="Y416" s="58"/>
      <c r="Z416" s="58"/>
      <c r="AA416" s="58"/>
      <c r="AB416" s="58"/>
      <c r="AC416" s="58"/>
      <c r="AF416" s="58"/>
      <c r="AG416" s="58"/>
      <c r="AH416" s="58"/>
      <c r="AJ416" s="78"/>
      <c r="AK416" s="58"/>
      <c r="AL416" s="58"/>
    </row>
    <row r="417" spans="23:38" ht="18" customHeight="1" x14ac:dyDescent="0.25">
      <c r="W417" s="4"/>
      <c r="X417" s="4"/>
      <c r="Y417" s="58"/>
      <c r="Z417" s="58"/>
      <c r="AA417" s="58"/>
      <c r="AB417" s="58"/>
      <c r="AC417" s="58"/>
      <c r="AF417" s="58"/>
      <c r="AG417" s="58"/>
      <c r="AH417" s="58"/>
      <c r="AJ417" s="58"/>
      <c r="AK417" s="58"/>
      <c r="AL417" s="58"/>
    </row>
    <row r="418" spans="23:38" ht="18" customHeight="1" x14ac:dyDescent="0.25">
      <c r="W418" s="4"/>
      <c r="X418" s="4"/>
      <c r="Y418" s="58"/>
      <c r="Z418" s="58"/>
      <c r="AA418" s="58"/>
      <c r="AB418" s="58"/>
      <c r="AC418" s="58"/>
      <c r="AF418" s="58"/>
      <c r="AG418" s="58"/>
      <c r="AH418" s="58"/>
      <c r="AJ418" s="78"/>
      <c r="AK418" s="58"/>
      <c r="AL418" s="58"/>
    </row>
    <row r="419" spans="23:38" ht="18" customHeight="1" x14ac:dyDescent="0.25">
      <c r="W419" s="4"/>
      <c r="X419" s="4"/>
      <c r="Y419" s="58"/>
      <c r="Z419" s="58"/>
      <c r="AA419" s="58"/>
      <c r="AB419" s="58"/>
      <c r="AC419" s="58"/>
      <c r="AF419" s="58"/>
      <c r="AG419" s="58"/>
      <c r="AH419" s="58"/>
      <c r="AJ419" s="58"/>
      <c r="AK419" s="58"/>
      <c r="AL419" s="58"/>
    </row>
    <row r="420" spans="23:38" ht="18" customHeight="1" x14ac:dyDescent="0.25">
      <c r="W420" s="4"/>
      <c r="X420" s="4"/>
      <c r="Y420" s="58"/>
      <c r="Z420" s="58"/>
      <c r="AA420" s="58"/>
      <c r="AB420" s="58"/>
      <c r="AC420" s="58"/>
    </row>
    <row r="421" spans="23:38" ht="18" customHeight="1" x14ac:dyDescent="0.25">
      <c r="W421" s="4"/>
      <c r="X421" s="4"/>
      <c r="Y421" s="58"/>
      <c r="Z421" s="58"/>
      <c r="AA421" s="58"/>
      <c r="AB421" s="58"/>
      <c r="AC421" s="58"/>
    </row>
    <row r="422" spans="23:38" ht="18" customHeight="1" x14ac:dyDescent="0.25">
      <c r="W422" s="4"/>
      <c r="X422" s="4"/>
      <c r="Y422" s="58"/>
      <c r="Z422" s="58"/>
      <c r="AA422" s="58"/>
      <c r="AB422" s="58"/>
      <c r="AC422" s="58"/>
      <c r="AJ422" s="295"/>
    </row>
    <row r="423" spans="23:38" ht="18" customHeight="1" x14ac:dyDescent="0.25">
      <c r="W423" s="4"/>
      <c r="X423" s="4"/>
      <c r="Y423" s="58"/>
      <c r="Z423" s="58"/>
      <c r="AA423" s="58"/>
      <c r="AB423" s="58"/>
      <c r="AC423" s="58"/>
    </row>
    <row r="424" spans="23:38" ht="18" customHeight="1" x14ac:dyDescent="0.25">
      <c r="W424" s="4"/>
      <c r="X424" s="4"/>
      <c r="Y424" s="58"/>
      <c r="Z424" s="58"/>
      <c r="AA424" s="58"/>
      <c r="AB424" s="58"/>
      <c r="AC424" s="58"/>
    </row>
    <row r="425" spans="23:38" ht="18" customHeight="1" x14ac:dyDescent="0.25">
      <c r="W425" s="4"/>
      <c r="X425" s="4"/>
      <c r="Y425" s="58"/>
      <c r="Z425" s="58"/>
      <c r="AA425" s="58"/>
      <c r="AB425" s="58"/>
      <c r="AC425" s="58"/>
    </row>
    <row r="426" spans="23:38" ht="18" customHeight="1" x14ac:dyDescent="0.25">
      <c r="W426" s="4"/>
      <c r="X426" s="4"/>
      <c r="Y426" s="58"/>
      <c r="Z426" s="58"/>
      <c r="AA426" s="58"/>
      <c r="AB426" s="58"/>
      <c r="AC426" s="58"/>
    </row>
    <row r="427" spans="23:38" ht="18" customHeight="1" x14ac:dyDescent="0.25">
      <c r="W427" s="4"/>
      <c r="X427" s="4"/>
      <c r="Y427" s="58"/>
      <c r="Z427" s="58"/>
      <c r="AA427" s="58"/>
      <c r="AB427" s="58"/>
      <c r="AC427" s="58"/>
    </row>
    <row r="428" spans="23:38" ht="18" customHeight="1" x14ac:dyDescent="0.25">
      <c r="W428" s="4"/>
      <c r="X428" s="4"/>
      <c r="Y428" s="58"/>
      <c r="Z428" s="58"/>
      <c r="AA428" s="58"/>
      <c r="AB428" s="58"/>
      <c r="AC428" s="58"/>
    </row>
    <row r="429" spans="23:38" ht="18" customHeight="1" x14ac:dyDescent="0.25">
      <c r="W429" s="4"/>
      <c r="X429" s="4"/>
      <c r="Y429" s="58"/>
      <c r="Z429" s="58"/>
      <c r="AA429" s="58"/>
      <c r="AB429" s="58"/>
      <c r="AC429" s="58"/>
    </row>
    <row r="430" spans="23:38" ht="18" customHeight="1" x14ac:dyDescent="0.25">
      <c r="W430" s="4"/>
      <c r="X430" s="4"/>
      <c r="Y430" s="58"/>
      <c r="Z430" s="58"/>
      <c r="AA430" s="58"/>
      <c r="AB430" s="58"/>
      <c r="AC430" s="58"/>
    </row>
    <row r="431" spans="23:38" ht="18" customHeight="1" x14ac:dyDescent="0.25">
      <c r="W431" s="4"/>
      <c r="X431" s="4"/>
      <c r="Y431" s="58"/>
      <c r="Z431" s="58"/>
      <c r="AA431" s="58"/>
      <c r="AB431" s="58"/>
      <c r="AC431" s="58"/>
    </row>
    <row r="432" spans="23:38" ht="18" customHeight="1" x14ac:dyDescent="0.25">
      <c r="W432" s="4"/>
      <c r="X432" s="4"/>
      <c r="Y432" s="58"/>
      <c r="Z432" s="58"/>
      <c r="AA432" s="58"/>
      <c r="AB432" s="58"/>
      <c r="AC432" s="58"/>
    </row>
    <row r="433" spans="23:36" ht="18" customHeight="1" x14ac:dyDescent="0.25">
      <c r="W433" s="4"/>
      <c r="X433" s="4"/>
      <c r="Y433" s="58"/>
      <c r="Z433" s="58"/>
      <c r="AA433" s="58"/>
      <c r="AB433" s="58"/>
      <c r="AC433" s="58"/>
    </row>
    <row r="434" spans="23:36" ht="18" customHeight="1" x14ac:dyDescent="0.25">
      <c r="W434" s="4"/>
      <c r="X434" s="4"/>
      <c r="Y434" s="58"/>
      <c r="Z434" s="58"/>
      <c r="AA434" s="58"/>
      <c r="AB434" s="58"/>
      <c r="AC434" s="58"/>
    </row>
    <row r="435" spans="23:36" ht="18" customHeight="1" x14ac:dyDescent="0.25">
      <c r="W435" s="4"/>
      <c r="X435" s="4"/>
      <c r="Y435" s="58"/>
      <c r="Z435" s="58"/>
      <c r="AA435" s="58"/>
      <c r="AB435" s="58"/>
      <c r="AC435" s="58"/>
    </row>
    <row r="436" spans="23:36" ht="18" customHeight="1" x14ac:dyDescent="0.25">
      <c r="W436" s="4"/>
      <c r="X436" s="4"/>
      <c r="Y436" s="58"/>
      <c r="Z436" s="58"/>
      <c r="AA436" s="58"/>
      <c r="AB436" s="58"/>
      <c r="AC436" s="58"/>
    </row>
    <row r="437" spans="23:36" ht="18" customHeight="1" x14ac:dyDescent="0.25">
      <c r="W437" s="4"/>
      <c r="X437" s="4"/>
      <c r="Y437" s="58"/>
      <c r="Z437" s="58"/>
      <c r="AA437" s="58"/>
      <c r="AB437" s="58"/>
      <c r="AC437" s="58"/>
    </row>
    <row r="438" spans="23:36" ht="18" customHeight="1" x14ac:dyDescent="0.25">
      <c r="W438" s="4"/>
      <c r="X438" s="4"/>
      <c r="Y438" s="58"/>
      <c r="Z438" s="58"/>
      <c r="AA438" s="58"/>
      <c r="AB438" s="58"/>
      <c r="AC438" s="58"/>
    </row>
    <row r="439" spans="23:36" ht="18" customHeight="1" x14ac:dyDescent="0.25">
      <c r="W439" s="4"/>
      <c r="X439" s="4"/>
      <c r="Y439" s="58"/>
      <c r="Z439" s="58"/>
      <c r="AA439" s="58"/>
      <c r="AB439" s="58"/>
      <c r="AC439" s="58"/>
    </row>
    <row r="440" spans="23:36" ht="18" customHeight="1" x14ac:dyDescent="0.25">
      <c r="W440" s="4"/>
      <c r="X440" s="4"/>
      <c r="Y440" s="58"/>
      <c r="Z440" s="58"/>
      <c r="AA440" s="58"/>
      <c r="AB440" s="58"/>
      <c r="AC440" s="58"/>
    </row>
    <row r="441" spans="23:36" ht="18" customHeight="1" x14ac:dyDescent="0.25">
      <c r="W441" s="4"/>
      <c r="X441" s="4"/>
      <c r="Y441" s="58"/>
      <c r="Z441" s="58"/>
      <c r="AA441" s="58"/>
      <c r="AB441" s="58"/>
      <c r="AC441" s="58"/>
      <c r="AJ441" s="295"/>
    </row>
    <row r="442" spans="23:36" ht="18" customHeight="1" x14ac:dyDescent="0.25">
      <c r="W442" s="4"/>
      <c r="X442" s="4"/>
      <c r="Y442" s="58"/>
      <c r="Z442" s="58"/>
      <c r="AA442" s="58"/>
      <c r="AB442" s="58"/>
      <c r="AC442" s="58"/>
    </row>
    <row r="443" spans="23:36" ht="18" customHeight="1" x14ac:dyDescent="0.25">
      <c r="W443" s="4"/>
      <c r="X443" s="4"/>
      <c r="Y443" s="58"/>
      <c r="Z443" s="58"/>
      <c r="AA443" s="58"/>
      <c r="AB443" s="58"/>
      <c r="AC443" s="58"/>
    </row>
    <row r="444" spans="23:36" ht="18" customHeight="1" x14ac:dyDescent="0.25">
      <c r="W444" s="4"/>
      <c r="X444" s="4"/>
      <c r="Y444" s="58"/>
      <c r="Z444" s="58"/>
      <c r="AA444" s="58"/>
      <c r="AB444" s="58"/>
      <c r="AC444" s="58"/>
    </row>
    <row r="445" spans="23:36" ht="18" customHeight="1" x14ac:dyDescent="0.25">
      <c r="W445" s="4"/>
      <c r="X445" s="4"/>
      <c r="Y445" s="58"/>
      <c r="Z445" s="58"/>
      <c r="AA445" s="58"/>
      <c r="AB445" s="58"/>
      <c r="AC445" s="58"/>
    </row>
    <row r="446" spans="23:36" ht="18" customHeight="1" x14ac:dyDescent="0.25">
      <c r="W446" s="4"/>
      <c r="X446" s="4"/>
      <c r="Y446" s="58"/>
      <c r="Z446" s="58"/>
      <c r="AA446" s="58"/>
      <c r="AB446" s="58"/>
      <c r="AC446" s="58"/>
    </row>
    <row r="447" spans="23:36" ht="18" customHeight="1" x14ac:dyDescent="0.25">
      <c r="W447" s="4"/>
      <c r="X447" s="4"/>
      <c r="Y447" s="58"/>
      <c r="Z447" s="58"/>
      <c r="AA447" s="58"/>
      <c r="AB447" s="58"/>
      <c r="AC447" s="58"/>
    </row>
    <row r="448" spans="23:36" ht="18" customHeight="1" x14ac:dyDescent="0.25">
      <c r="W448" s="4"/>
      <c r="X448" s="4"/>
      <c r="Y448" s="58"/>
      <c r="Z448" s="58"/>
      <c r="AA448" s="58"/>
      <c r="AB448" s="58"/>
      <c r="AC448" s="58"/>
    </row>
    <row r="449" spans="23:36" ht="18" customHeight="1" x14ac:dyDescent="0.25">
      <c r="W449" s="4"/>
      <c r="X449" s="4"/>
      <c r="Y449" s="58"/>
      <c r="Z449" s="58"/>
      <c r="AA449" s="58"/>
      <c r="AB449" s="58"/>
      <c r="AC449" s="58"/>
    </row>
    <row r="450" spans="23:36" ht="18" customHeight="1" x14ac:dyDescent="0.25">
      <c r="W450" s="4"/>
      <c r="X450" s="4"/>
      <c r="Y450" s="58"/>
      <c r="Z450" s="58"/>
      <c r="AA450" s="58"/>
      <c r="AB450" s="58"/>
      <c r="AC450" s="58"/>
      <c r="AJ450" s="295"/>
    </row>
    <row r="451" spans="23:36" ht="18" customHeight="1" x14ac:dyDescent="0.25">
      <c r="W451" s="4"/>
      <c r="X451" s="4"/>
      <c r="Y451" s="58"/>
      <c r="Z451" s="58"/>
      <c r="AA451" s="58"/>
      <c r="AB451" s="58"/>
      <c r="AC451" s="58"/>
    </row>
    <row r="452" spans="23:36" ht="18" customHeight="1" x14ac:dyDescent="0.25">
      <c r="W452" s="4"/>
      <c r="X452" s="4"/>
      <c r="Y452" s="58"/>
      <c r="Z452" s="58"/>
      <c r="AA452" s="58"/>
      <c r="AB452" s="58"/>
      <c r="AC452" s="58"/>
    </row>
    <row r="453" spans="23:36" ht="18" customHeight="1" x14ac:dyDescent="0.25">
      <c r="W453" s="4"/>
      <c r="X453" s="4"/>
      <c r="Y453" s="58"/>
      <c r="Z453" s="58"/>
      <c r="AA453" s="58"/>
      <c r="AB453" s="58"/>
      <c r="AC453" s="58"/>
    </row>
    <row r="454" spans="23:36" ht="18" customHeight="1" x14ac:dyDescent="0.25">
      <c r="W454" s="4"/>
      <c r="X454" s="4"/>
      <c r="Y454" s="58"/>
      <c r="Z454" s="58"/>
      <c r="AA454" s="58"/>
      <c r="AB454" s="58"/>
      <c r="AC454" s="58"/>
    </row>
    <row r="455" spans="23:36" ht="18" customHeight="1" x14ac:dyDescent="0.25">
      <c r="W455" s="4"/>
      <c r="X455" s="4"/>
      <c r="Y455" s="58"/>
      <c r="Z455" s="58"/>
      <c r="AA455" s="58"/>
      <c r="AB455" s="58"/>
      <c r="AC455" s="58"/>
    </row>
    <row r="456" spans="23:36" ht="18" customHeight="1" x14ac:dyDescent="0.25">
      <c r="W456" s="4"/>
      <c r="X456" s="4"/>
      <c r="Y456" s="58"/>
      <c r="Z456" s="58"/>
      <c r="AA456" s="58"/>
      <c r="AB456" s="58"/>
      <c r="AC456" s="58"/>
    </row>
    <row r="457" spans="23:36" ht="18" customHeight="1" x14ac:dyDescent="0.25">
      <c r="W457" s="4"/>
      <c r="X457" s="4"/>
      <c r="Y457" s="58"/>
      <c r="Z457" s="58"/>
      <c r="AA457" s="58"/>
      <c r="AB457" s="58"/>
      <c r="AC457" s="58"/>
    </row>
    <row r="458" spans="23:36" ht="18" customHeight="1" x14ac:dyDescent="0.25">
      <c r="W458" s="4"/>
      <c r="X458" s="4"/>
      <c r="Y458" s="58"/>
      <c r="Z458" s="58"/>
      <c r="AA458" s="58"/>
      <c r="AB458" s="58"/>
      <c r="AC458" s="58"/>
    </row>
    <row r="459" spans="23:36" ht="18" customHeight="1" x14ac:dyDescent="0.25">
      <c r="W459" s="4"/>
      <c r="X459" s="4"/>
      <c r="Y459" s="58"/>
      <c r="Z459" s="58"/>
      <c r="AA459" s="58"/>
      <c r="AB459" s="58"/>
      <c r="AC459" s="58"/>
    </row>
    <row r="460" spans="23:36" ht="18" customHeight="1" x14ac:dyDescent="0.25">
      <c r="W460" s="4"/>
      <c r="X460" s="4"/>
      <c r="Y460" s="58"/>
      <c r="Z460" s="58"/>
      <c r="AA460" s="58"/>
      <c r="AB460" s="58"/>
      <c r="AC460" s="58"/>
      <c r="AJ460" s="295"/>
    </row>
    <row r="461" spans="23:36" ht="18" customHeight="1" x14ac:dyDescent="0.25">
      <c r="W461" s="4"/>
      <c r="X461" s="4"/>
      <c r="Y461" s="58"/>
      <c r="Z461" s="58"/>
      <c r="AA461" s="58"/>
      <c r="AB461" s="58"/>
      <c r="AC461" s="58"/>
    </row>
    <row r="462" spans="23:36" ht="18" customHeight="1" x14ac:dyDescent="0.25">
      <c r="W462" s="4"/>
      <c r="X462" s="4"/>
      <c r="Y462" s="58"/>
      <c r="Z462" s="58"/>
      <c r="AA462" s="58"/>
      <c r="AB462" s="58"/>
      <c r="AC462" s="58"/>
    </row>
    <row r="463" spans="23:36" ht="18" customHeight="1" x14ac:dyDescent="0.25">
      <c r="W463" s="4"/>
      <c r="X463" s="4"/>
      <c r="Y463" s="58"/>
      <c r="Z463" s="58"/>
      <c r="AA463" s="58"/>
      <c r="AB463" s="58"/>
      <c r="AC463" s="58"/>
    </row>
    <row r="464" spans="23:36" ht="18" customHeight="1" x14ac:dyDescent="0.25">
      <c r="W464" s="4"/>
      <c r="X464" s="4"/>
      <c r="Y464" s="58"/>
      <c r="Z464" s="58"/>
      <c r="AA464" s="58"/>
      <c r="AB464" s="58"/>
      <c r="AC464" s="58"/>
    </row>
    <row r="465" spans="23:36" ht="18" customHeight="1" x14ac:dyDescent="0.25">
      <c r="W465" s="4"/>
      <c r="X465" s="4"/>
      <c r="Y465" s="58"/>
      <c r="Z465" s="58"/>
      <c r="AA465" s="58"/>
      <c r="AB465" s="58"/>
      <c r="AC465" s="58"/>
    </row>
    <row r="466" spans="23:36" ht="18" customHeight="1" x14ac:dyDescent="0.25">
      <c r="W466" s="4"/>
      <c r="X466" s="4"/>
      <c r="Y466" s="58"/>
      <c r="Z466" s="58"/>
      <c r="AA466" s="58"/>
      <c r="AB466" s="58"/>
      <c r="AC466" s="58"/>
    </row>
    <row r="467" spans="23:36" ht="18" customHeight="1" x14ac:dyDescent="0.25">
      <c r="W467" s="4"/>
      <c r="X467" s="4"/>
      <c r="Y467" s="58"/>
      <c r="Z467" s="58"/>
      <c r="AA467" s="58"/>
      <c r="AB467" s="58"/>
      <c r="AC467" s="58"/>
    </row>
    <row r="468" spans="23:36" ht="18" customHeight="1" x14ac:dyDescent="0.25">
      <c r="W468" s="4"/>
      <c r="X468" s="4"/>
      <c r="Y468" s="58"/>
      <c r="Z468" s="58"/>
      <c r="AA468" s="58"/>
      <c r="AB468" s="58"/>
      <c r="AC468" s="58"/>
    </row>
    <row r="469" spans="23:36" ht="18" customHeight="1" x14ac:dyDescent="0.25">
      <c r="W469" s="4"/>
      <c r="X469" s="4"/>
      <c r="Y469" s="58"/>
      <c r="Z469" s="58"/>
      <c r="AA469" s="58"/>
      <c r="AB469" s="58"/>
      <c r="AC469" s="58"/>
    </row>
    <row r="470" spans="23:36" ht="18" customHeight="1" x14ac:dyDescent="0.25">
      <c r="W470" s="4"/>
      <c r="X470" s="4"/>
      <c r="Y470" s="58"/>
      <c r="Z470" s="58"/>
      <c r="AA470" s="58"/>
      <c r="AB470" s="58"/>
      <c r="AC470" s="58"/>
    </row>
    <row r="471" spans="23:36" ht="18" customHeight="1" x14ac:dyDescent="0.25">
      <c r="W471" s="4"/>
      <c r="X471" s="4"/>
      <c r="Y471" s="58"/>
      <c r="Z471" s="58"/>
      <c r="AA471" s="58"/>
      <c r="AB471" s="58"/>
      <c r="AC471" s="58"/>
      <c r="AJ471" s="295"/>
    </row>
    <row r="472" spans="23:36" ht="18" customHeight="1" x14ac:dyDescent="0.25">
      <c r="W472" s="4"/>
      <c r="X472" s="4"/>
      <c r="Y472" s="58"/>
      <c r="Z472" s="58"/>
      <c r="AA472" s="58"/>
      <c r="AB472" s="58"/>
      <c r="AC472" s="58"/>
    </row>
    <row r="473" spans="23:36" ht="18" customHeight="1" x14ac:dyDescent="0.25">
      <c r="W473" s="4"/>
      <c r="X473" s="4"/>
      <c r="Y473" s="58"/>
      <c r="Z473" s="58"/>
      <c r="AA473" s="58"/>
      <c r="AB473" s="58"/>
      <c r="AC473" s="58"/>
    </row>
    <row r="474" spans="23:36" ht="18" customHeight="1" x14ac:dyDescent="0.25">
      <c r="W474" s="4"/>
      <c r="X474" s="4"/>
      <c r="Y474" s="58"/>
      <c r="Z474" s="58"/>
      <c r="AA474" s="58"/>
      <c r="AB474" s="58"/>
      <c r="AC474" s="58"/>
    </row>
    <row r="475" spans="23:36" ht="18" customHeight="1" x14ac:dyDescent="0.25">
      <c r="W475" s="4"/>
      <c r="X475" s="4"/>
      <c r="Y475" s="58"/>
      <c r="Z475" s="58"/>
      <c r="AA475" s="58"/>
      <c r="AB475" s="58"/>
      <c r="AC475" s="58"/>
    </row>
    <row r="476" spans="23:36" ht="18" customHeight="1" x14ac:dyDescent="0.25">
      <c r="W476" s="4"/>
      <c r="X476" s="4"/>
      <c r="Y476" s="58"/>
      <c r="Z476" s="58"/>
      <c r="AA476" s="58"/>
      <c r="AB476" s="58"/>
      <c r="AC476" s="58"/>
    </row>
    <row r="477" spans="23:36" ht="18" customHeight="1" x14ac:dyDescent="0.25">
      <c r="W477" s="4"/>
      <c r="X477" s="4"/>
      <c r="Y477" s="58"/>
      <c r="Z477" s="58"/>
      <c r="AA477" s="58"/>
      <c r="AB477" s="58"/>
      <c r="AC477" s="58"/>
    </row>
    <row r="478" spans="23:36" ht="18" customHeight="1" x14ac:dyDescent="0.25">
      <c r="W478" s="4"/>
      <c r="X478" s="4"/>
      <c r="Y478" s="58"/>
      <c r="Z478" s="58"/>
      <c r="AA478" s="58"/>
      <c r="AB478" s="58"/>
      <c r="AC478" s="58"/>
    </row>
    <row r="479" spans="23:36" ht="18" customHeight="1" x14ac:dyDescent="0.25">
      <c r="W479" s="4"/>
      <c r="X479" s="4"/>
      <c r="Y479" s="58"/>
      <c r="Z479" s="58"/>
      <c r="AA479" s="58"/>
      <c r="AB479" s="58"/>
      <c r="AC479" s="58"/>
    </row>
    <row r="480" spans="23:36" ht="18" customHeight="1" x14ac:dyDescent="0.25">
      <c r="W480" s="4"/>
      <c r="X480" s="4"/>
      <c r="Y480" s="58"/>
      <c r="Z480" s="58"/>
      <c r="AA480" s="58"/>
      <c r="AB480" s="58"/>
      <c r="AC480" s="58"/>
    </row>
    <row r="481" spans="23:36" ht="18" customHeight="1" x14ac:dyDescent="0.25">
      <c r="W481" s="4"/>
      <c r="X481" s="4"/>
      <c r="Y481" s="58"/>
      <c r="Z481" s="58"/>
      <c r="AA481" s="58"/>
      <c r="AB481" s="58"/>
      <c r="AC481" s="58"/>
    </row>
    <row r="482" spans="23:36" ht="18" customHeight="1" x14ac:dyDescent="0.25">
      <c r="W482" s="4"/>
      <c r="X482" s="4"/>
      <c r="Y482" s="58"/>
      <c r="Z482" s="58"/>
      <c r="AA482" s="58"/>
      <c r="AB482" s="58"/>
      <c r="AC482" s="58"/>
    </row>
    <row r="483" spans="23:36" ht="18" customHeight="1" x14ac:dyDescent="0.25">
      <c r="W483" s="4"/>
      <c r="X483" s="4"/>
      <c r="Y483" s="58"/>
      <c r="Z483" s="58"/>
      <c r="AA483" s="58"/>
      <c r="AB483" s="58"/>
      <c r="AC483" s="58"/>
    </row>
    <row r="484" spans="23:36" ht="18" customHeight="1" x14ac:dyDescent="0.25">
      <c r="W484" s="4"/>
      <c r="X484" s="4"/>
      <c r="Y484" s="58"/>
      <c r="Z484" s="58"/>
      <c r="AA484" s="58"/>
      <c r="AB484" s="58"/>
      <c r="AC484" s="58"/>
    </row>
    <row r="485" spans="23:36" ht="18" customHeight="1" x14ac:dyDescent="0.25">
      <c r="W485" s="4"/>
      <c r="X485" s="4"/>
      <c r="Y485" s="58"/>
      <c r="Z485" s="58"/>
      <c r="AA485" s="58"/>
      <c r="AB485" s="58"/>
      <c r="AC485" s="58"/>
    </row>
    <row r="486" spans="23:36" ht="18" customHeight="1" x14ac:dyDescent="0.25">
      <c r="W486" s="4"/>
      <c r="X486" s="4"/>
      <c r="Y486" s="58"/>
      <c r="Z486" s="58"/>
      <c r="AA486" s="58"/>
      <c r="AB486" s="58"/>
      <c r="AC486" s="58"/>
    </row>
    <row r="487" spans="23:36" ht="18" customHeight="1" x14ac:dyDescent="0.25">
      <c r="W487" s="4"/>
      <c r="X487" s="4"/>
      <c r="Y487" s="58"/>
      <c r="Z487" s="58"/>
      <c r="AA487" s="58"/>
      <c r="AB487" s="58"/>
      <c r="AC487" s="58"/>
    </row>
    <row r="488" spans="23:36" ht="18" customHeight="1" x14ac:dyDescent="0.25">
      <c r="W488" s="4"/>
      <c r="X488" s="4"/>
      <c r="Y488" s="58"/>
      <c r="Z488" s="58"/>
      <c r="AA488" s="58"/>
      <c r="AB488" s="58"/>
      <c r="AC488" s="58"/>
    </row>
    <row r="489" spans="23:36" ht="18" customHeight="1" x14ac:dyDescent="0.25">
      <c r="W489" s="4"/>
      <c r="X489" s="4"/>
      <c r="Y489" s="58"/>
      <c r="Z489" s="58"/>
      <c r="AA489" s="58"/>
      <c r="AB489" s="58"/>
      <c r="AC489" s="58"/>
    </row>
    <row r="490" spans="23:36" ht="18" customHeight="1" x14ac:dyDescent="0.25">
      <c r="W490" s="4"/>
      <c r="X490" s="4"/>
      <c r="Y490" s="58"/>
      <c r="Z490" s="58"/>
      <c r="AA490" s="58"/>
      <c r="AB490" s="58"/>
      <c r="AC490" s="58"/>
    </row>
    <row r="491" spans="23:36" ht="18" customHeight="1" x14ac:dyDescent="0.25">
      <c r="W491" s="4"/>
      <c r="X491" s="4"/>
      <c r="Y491" s="58"/>
      <c r="Z491" s="58"/>
      <c r="AA491" s="58"/>
      <c r="AB491" s="58"/>
      <c r="AC491" s="58"/>
    </row>
    <row r="492" spans="23:36" ht="18" customHeight="1" x14ac:dyDescent="0.25">
      <c r="W492" s="4"/>
      <c r="X492" s="4"/>
      <c r="Y492" s="58"/>
      <c r="Z492" s="58"/>
      <c r="AA492" s="58"/>
      <c r="AB492" s="58"/>
      <c r="AC492" s="58"/>
    </row>
    <row r="493" spans="23:36" ht="18" customHeight="1" x14ac:dyDescent="0.25">
      <c r="W493" s="4"/>
      <c r="X493" s="4"/>
      <c r="Y493" s="58"/>
      <c r="Z493" s="58"/>
      <c r="AA493" s="58"/>
      <c r="AB493" s="58"/>
      <c r="AC493" s="58"/>
      <c r="AJ493" s="295"/>
    </row>
    <row r="494" spans="23:36" ht="18" customHeight="1" x14ac:dyDescent="0.25">
      <c r="W494" s="4"/>
      <c r="X494" s="4"/>
      <c r="Y494" s="58"/>
      <c r="Z494" s="58"/>
      <c r="AA494" s="58"/>
      <c r="AB494" s="58"/>
      <c r="AC494" s="58"/>
    </row>
    <row r="495" spans="23:36" ht="18" customHeight="1" x14ac:dyDescent="0.25">
      <c r="W495" s="4"/>
      <c r="X495" s="4"/>
      <c r="Y495" s="58"/>
      <c r="Z495" s="58"/>
      <c r="AA495" s="58"/>
      <c r="AB495" s="58"/>
      <c r="AC495" s="58"/>
    </row>
    <row r="496" spans="23:36" ht="18" customHeight="1" x14ac:dyDescent="0.25">
      <c r="W496" s="4"/>
      <c r="X496" s="4"/>
      <c r="Y496" s="58"/>
      <c r="Z496" s="58"/>
      <c r="AA496" s="58"/>
      <c r="AB496" s="58"/>
      <c r="AC496" s="58"/>
    </row>
    <row r="497" spans="23:38" ht="18" customHeight="1" x14ac:dyDescent="0.25">
      <c r="W497" s="4"/>
      <c r="X497" s="4"/>
      <c r="Y497" s="58"/>
      <c r="Z497" s="58"/>
      <c r="AA497" s="58"/>
      <c r="AB497" s="58"/>
      <c r="AC497" s="58"/>
    </row>
    <row r="498" spans="23:38" ht="18" customHeight="1" x14ac:dyDescent="0.25">
      <c r="W498" s="4"/>
      <c r="X498" s="4"/>
      <c r="Y498" s="58"/>
      <c r="Z498" s="58"/>
      <c r="AA498" s="58"/>
      <c r="AB498" s="58"/>
      <c r="AC498" s="58"/>
    </row>
    <row r="499" spans="23:38" ht="18" customHeight="1" x14ac:dyDescent="0.25">
      <c r="W499" s="4"/>
      <c r="X499" s="4"/>
      <c r="Y499" s="58"/>
      <c r="Z499" s="58"/>
      <c r="AA499" s="58"/>
      <c r="AB499" s="58"/>
      <c r="AC499" s="58"/>
      <c r="AJ499" s="295"/>
    </row>
    <row r="500" spans="23:38" ht="18" customHeight="1" x14ac:dyDescent="0.25">
      <c r="W500" s="4"/>
      <c r="X500" s="4"/>
      <c r="Y500" s="58"/>
      <c r="Z500" s="58"/>
      <c r="AA500" s="58"/>
      <c r="AB500" s="58"/>
      <c r="AC500" s="58"/>
    </row>
    <row r="501" spans="23:38" ht="18" customHeight="1" x14ac:dyDescent="0.25">
      <c r="W501" s="4"/>
      <c r="X501" s="4"/>
      <c r="Y501" s="58"/>
      <c r="Z501" s="58"/>
      <c r="AA501" s="58"/>
      <c r="AB501" s="58"/>
      <c r="AC501" s="58"/>
    </row>
    <row r="502" spans="23:38" ht="18" customHeight="1" x14ac:dyDescent="0.25">
      <c r="W502" s="4"/>
      <c r="X502" s="4"/>
      <c r="Y502" s="58"/>
      <c r="Z502" s="58"/>
      <c r="AA502" s="58"/>
      <c r="AB502" s="58"/>
      <c r="AC502" s="58"/>
    </row>
    <row r="503" spans="23:38" ht="18" customHeight="1" x14ac:dyDescent="0.25">
      <c r="W503" s="4"/>
      <c r="X503" s="4"/>
      <c r="Y503" s="58"/>
      <c r="Z503" s="58"/>
      <c r="AA503" s="58"/>
      <c r="AB503" s="58"/>
      <c r="AC503" s="58"/>
    </row>
    <row r="504" spans="23:38" ht="18" customHeight="1" x14ac:dyDescent="0.25">
      <c r="W504" s="4"/>
      <c r="X504" s="4"/>
      <c r="Y504" s="58"/>
      <c r="Z504" s="58"/>
      <c r="AA504" s="58"/>
      <c r="AB504" s="58"/>
      <c r="AC504" s="58"/>
    </row>
    <row r="505" spans="23:38" ht="18" customHeight="1" x14ac:dyDescent="0.25">
      <c r="W505" s="4"/>
      <c r="X505" s="4"/>
      <c r="Y505" s="58"/>
      <c r="Z505" s="58"/>
      <c r="AA505" s="58"/>
      <c r="AB505" s="58"/>
      <c r="AC505" s="58"/>
      <c r="AJ505" s="295"/>
    </row>
    <row r="506" spans="23:38" ht="18" customHeight="1" x14ac:dyDescent="0.25">
      <c r="W506" s="4"/>
      <c r="X506" s="4"/>
      <c r="Y506" s="58"/>
      <c r="Z506" s="58"/>
      <c r="AA506" s="58"/>
      <c r="AB506" s="58"/>
      <c r="AC506" s="58"/>
    </row>
    <row r="507" spans="23:38" ht="18" customHeight="1" x14ac:dyDescent="0.25">
      <c r="W507" s="4"/>
      <c r="X507" s="4"/>
      <c r="Y507" s="58"/>
      <c r="Z507" s="58"/>
      <c r="AA507" s="58"/>
      <c r="AB507" s="58"/>
      <c r="AC507" s="58"/>
    </row>
    <row r="508" spans="23:38" ht="18" customHeight="1" x14ac:dyDescent="0.25">
      <c r="W508" s="4"/>
      <c r="X508" s="4"/>
      <c r="Y508" s="58"/>
      <c r="Z508" s="58"/>
      <c r="AA508" s="58"/>
      <c r="AB508" s="58"/>
      <c r="AC508" s="58"/>
    </row>
    <row r="509" spans="23:38" ht="18" customHeight="1" x14ac:dyDescent="0.25">
      <c r="W509" s="4"/>
      <c r="X509" s="4"/>
      <c r="Y509" s="58"/>
      <c r="Z509" s="58"/>
      <c r="AA509" s="58"/>
      <c r="AB509" s="58"/>
      <c r="AC509" s="58"/>
    </row>
    <row r="510" spans="23:38" ht="18" customHeight="1" x14ac:dyDescent="0.25">
      <c r="W510" s="4"/>
      <c r="X510" s="4"/>
      <c r="Y510" s="58"/>
      <c r="Z510" s="58"/>
      <c r="AA510" s="58"/>
      <c r="AB510" s="58"/>
      <c r="AC510" s="58"/>
    </row>
    <row r="511" spans="23:38" ht="18" customHeight="1" x14ac:dyDescent="0.25">
      <c r="AF511" s="6" t="s">
        <v>1970</v>
      </c>
      <c r="AG511" s="6">
        <v>4433</v>
      </c>
      <c r="AH511" s="60" t="s">
        <v>1971</v>
      </c>
      <c r="AJ511" s="60" t="s">
        <v>854</v>
      </c>
      <c r="AK511" s="6" t="s">
        <v>1344</v>
      </c>
      <c r="AL511" s="60" t="s">
        <v>1379</v>
      </c>
    </row>
    <row r="512" spans="23:38" ht="18" customHeight="1" x14ac:dyDescent="0.25">
      <c r="AF512" s="6" t="s">
        <v>1972</v>
      </c>
      <c r="AG512" s="6">
        <v>6258</v>
      </c>
      <c r="AH512" s="60" t="s">
        <v>1973</v>
      </c>
      <c r="AJ512" s="60" t="s">
        <v>854</v>
      </c>
      <c r="AK512" s="6" t="s">
        <v>245</v>
      </c>
      <c r="AL512" s="60" t="s">
        <v>724</v>
      </c>
    </row>
    <row r="513" spans="32:38" ht="18" customHeight="1" x14ac:dyDescent="0.25">
      <c r="AF513" s="6" t="s">
        <v>1972</v>
      </c>
      <c r="AG513" s="6">
        <v>2473</v>
      </c>
      <c r="AH513" s="60" t="s">
        <v>1974</v>
      </c>
      <c r="AJ513" s="60" t="s">
        <v>854</v>
      </c>
      <c r="AK513" s="6" t="s">
        <v>1346</v>
      </c>
      <c r="AL513" s="60" t="s">
        <v>724</v>
      </c>
    </row>
    <row r="514" spans="32:38" ht="18" customHeight="1" x14ac:dyDescent="0.25">
      <c r="AF514" s="6" t="s">
        <v>1975</v>
      </c>
      <c r="AG514" s="6">
        <v>7222</v>
      </c>
      <c r="AH514" s="60" t="s">
        <v>1976</v>
      </c>
      <c r="AJ514" s="60" t="s">
        <v>854</v>
      </c>
      <c r="AK514" s="6" t="s">
        <v>245</v>
      </c>
      <c r="AL514" s="60" t="s">
        <v>723</v>
      </c>
    </row>
    <row r="515" spans="32:38" ht="18" customHeight="1" x14ac:dyDescent="0.25">
      <c r="AF515" s="6" t="s">
        <v>1977</v>
      </c>
      <c r="AG515" s="6">
        <v>7978</v>
      </c>
      <c r="AH515" s="60" t="s">
        <v>1978</v>
      </c>
      <c r="AJ515" s="60" t="s">
        <v>854</v>
      </c>
      <c r="AK515" s="6" t="s">
        <v>245</v>
      </c>
      <c r="AL515" s="60" t="s">
        <v>723</v>
      </c>
    </row>
    <row r="516" spans="32:38" ht="18" customHeight="1" x14ac:dyDescent="0.25">
      <c r="AF516" s="6" t="s">
        <v>1979</v>
      </c>
      <c r="AG516" s="6">
        <v>15447</v>
      </c>
      <c r="AH516" s="60" t="s">
        <v>1980</v>
      </c>
      <c r="AJ516" s="60" t="s">
        <v>854</v>
      </c>
      <c r="AK516" s="6" t="s">
        <v>431</v>
      </c>
      <c r="AL516" s="60" t="s">
        <v>1037</v>
      </c>
    </row>
    <row r="517" spans="32:38" ht="18" customHeight="1" x14ac:dyDescent="0.25">
      <c r="AF517" s="6" t="s">
        <v>1979</v>
      </c>
      <c r="AG517" s="6">
        <v>12988</v>
      </c>
      <c r="AH517" s="60" t="s">
        <v>1981</v>
      </c>
      <c r="AJ517" s="60" t="s">
        <v>854</v>
      </c>
      <c r="AK517" s="6" t="s">
        <v>431</v>
      </c>
      <c r="AL517" s="60" t="s">
        <v>69</v>
      </c>
    </row>
    <row r="518" spans="32:38" ht="18" customHeight="1" x14ac:dyDescent="0.25">
      <c r="AF518" s="6" t="s">
        <v>1982</v>
      </c>
      <c r="AG518" s="6">
        <v>20210</v>
      </c>
      <c r="AH518" s="60" t="s">
        <v>1983</v>
      </c>
      <c r="AJ518" s="60" t="s">
        <v>854</v>
      </c>
      <c r="AK518" s="6" t="s">
        <v>1344</v>
      </c>
      <c r="AL518" s="60" t="s">
        <v>648</v>
      </c>
    </row>
    <row r="519" spans="32:38" ht="18" customHeight="1" x14ac:dyDescent="0.25">
      <c r="AF519" s="6" t="s">
        <v>1984</v>
      </c>
      <c r="AG519" s="6">
        <v>26131</v>
      </c>
      <c r="AH519" s="60" t="s">
        <v>1985</v>
      </c>
      <c r="AJ519" s="60" t="s">
        <v>854</v>
      </c>
      <c r="AK519" s="6" t="s">
        <v>1344</v>
      </c>
      <c r="AL519" s="60" t="s">
        <v>648</v>
      </c>
    </row>
    <row r="520" spans="32:38" ht="18" customHeight="1" x14ac:dyDescent="0.25">
      <c r="AF520" s="6" t="s">
        <v>1986</v>
      </c>
      <c r="AG520" s="6">
        <v>21309</v>
      </c>
      <c r="AH520" s="60" t="s">
        <v>1987</v>
      </c>
      <c r="AJ520" s="60" t="s">
        <v>854</v>
      </c>
      <c r="AK520" s="6" t="s">
        <v>1344</v>
      </c>
      <c r="AL520" s="60" t="s">
        <v>648</v>
      </c>
    </row>
    <row r="521" spans="32:38" ht="18" customHeight="1" x14ac:dyDescent="0.25">
      <c r="AF521" s="6" t="s">
        <v>1988</v>
      </c>
      <c r="AG521" s="6">
        <v>2130701</v>
      </c>
      <c r="AH521" s="60" t="s">
        <v>1989</v>
      </c>
      <c r="AJ521" s="60" t="s">
        <v>854</v>
      </c>
      <c r="AK521" s="6" t="s">
        <v>1348</v>
      </c>
      <c r="AL521" s="60" t="s">
        <v>1088</v>
      </c>
    </row>
    <row r="522" spans="32:38" ht="18" customHeight="1" x14ac:dyDescent="0.25">
      <c r="AF522" s="6" t="s">
        <v>1988</v>
      </c>
      <c r="AG522" s="6">
        <v>13099</v>
      </c>
      <c r="AH522" s="60" t="s">
        <v>1990</v>
      </c>
      <c r="AJ522" s="295" t="s">
        <v>855</v>
      </c>
      <c r="AK522" s="6" t="s">
        <v>1068</v>
      </c>
      <c r="AL522" s="60" t="s">
        <v>1088</v>
      </c>
    </row>
    <row r="523" spans="32:38" ht="18" customHeight="1" x14ac:dyDescent="0.25">
      <c r="AF523" s="6" t="s">
        <v>1991</v>
      </c>
      <c r="AG523" s="6">
        <v>2799</v>
      </c>
      <c r="AH523" s="60" t="s">
        <v>1992</v>
      </c>
      <c r="AJ523" s="60" t="s">
        <v>854</v>
      </c>
      <c r="AK523" s="6" t="s">
        <v>1344</v>
      </c>
      <c r="AL523" s="60" t="s">
        <v>511</v>
      </c>
    </row>
    <row r="524" spans="32:38" ht="18" customHeight="1" x14ac:dyDescent="0.25">
      <c r="AF524" s="6" t="s">
        <v>1993</v>
      </c>
      <c r="AG524" s="6">
        <v>18225</v>
      </c>
      <c r="AH524" s="60" t="s">
        <v>1994</v>
      </c>
      <c r="AJ524" s="295" t="s">
        <v>855</v>
      </c>
      <c r="AK524" s="6" t="s">
        <v>1068</v>
      </c>
      <c r="AL524" s="60" t="s">
        <v>606</v>
      </c>
    </row>
    <row r="525" spans="32:38" ht="18" customHeight="1" x14ac:dyDescent="0.25">
      <c r="AF525" s="6" t="s">
        <v>1995</v>
      </c>
      <c r="AG525" s="6">
        <v>68341</v>
      </c>
      <c r="AH525" s="60" t="s">
        <v>1996</v>
      </c>
      <c r="AJ525" s="60" t="s">
        <v>977</v>
      </c>
      <c r="AK525" s="6" t="s">
        <v>174</v>
      </c>
      <c r="AL525" s="60" t="s">
        <v>604</v>
      </c>
    </row>
    <row r="526" spans="32:38" ht="18" customHeight="1" x14ac:dyDescent="0.25">
      <c r="AF526" s="6" t="s">
        <v>1997</v>
      </c>
      <c r="AG526" s="6">
        <v>73460</v>
      </c>
      <c r="AH526" s="60" t="s">
        <v>1998</v>
      </c>
      <c r="AJ526" s="60" t="s">
        <v>854</v>
      </c>
      <c r="AK526" s="6" t="s">
        <v>245</v>
      </c>
      <c r="AL526" s="60" t="s">
        <v>1999</v>
      </c>
    </row>
    <row r="527" spans="32:38" ht="18" customHeight="1" x14ac:dyDescent="0.25">
      <c r="AF527" s="6" t="s">
        <v>2000</v>
      </c>
      <c r="AG527" s="6">
        <v>31923</v>
      </c>
      <c r="AH527" s="60" t="s">
        <v>2001</v>
      </c>
      <c r="AJ527" s="60" t="s">
        <v>854</v>
      </c>
      <c r="AK527" s="6" t="s">
        <v>245</v>
      </c>
      <c r="AL527" s="60" t="s">
        <v>2002</v>
      </c>
    </row>
    <row r="528" spans="32:38" ht="18" customHeight="1" x14ac:dyDescent="0.25">
      <c r="AF528" s="6" t="s">
        <v>2003</v>
      </c>
      <c r="AG528" s="6">
        <v>30671</v>
      </c>
      <c r="AH528" s="60" t="s">
        <v>2004</v>
      </c>
      <c r="AJ528" s="60" t="s">
        <v>854</v>
      </c>
      <c r="AK528" s="6" t="s">
        <v>245</v>
      </c>
      <c r="AL528" s="60" t="s">
        <v>2005</v>
      </c>
    </row>
    <row r="529" spans="32:38" ht="18" customHeight="1" x14ac:dyDescent="0.25">
      <c r="AF529" s="6" t="s">
        <v>2006</v>
      </c>
      <c r="AG529" s="6">
        <v>562</v>
      </c>
      <c r="AH529" s="60" t="s">
        <v>2007</v>
      </c>
      <c r="AJ529" s="60" t="s">
        <v>854</v>
      </c>
      <c r="AK529" s="6" t="s">
        <v>1344</v>
      </c>
      <c r="AL529" s="60" t="s">
        <v>613</v>
      </c>
    </row>
    <row r="530" spans="32:38" ht="18" customHeight="1" x14ac:dyDescent="0.25">
      <c r="AF530" s="6" t="s">
        <v>2008</v>
      </c>
      <c r="AG530" s="6">
        <v>151</v>
      </c>
      <c r="AH530" s="60" t="s">
        <v>2009</v>
      </c>
      <c r="AJ530" s="60" t="s">
        <v>854</v>
      </c>
      <c r="AK530" s="6" t="s">
        <v>1344</v>
      </c>
      <c r="AL530" s="60" t="s">
        <v>1142</v>
      </c>
    </row>
    <row r="531" spans="32:38" ht="18" customHeight="1" x14ac:dyDescent="0.25">
      <c r="AF531" s="6" t="s">
        <v>2010</v>
      </c>
      <c r="AG531" s="6">
        <v>5464</v>
      </c>
      <c r="AH531" s="60" t="s">
        <v>2011</v>
      </c>
      <c r="AJ531" s="60" t="s">
        <v>977</v>
      </c>
      <c r="AK531" s="6" t="s">
        <v>2012</v>
      </c>
      <c r="AL531" s="60" t="s">
        <v>1145</v>
      </c>
    </row>
    <row r="532" spans="32:38" ht="18" customHeight="1" x14ac:dyDescent="0.25">
      <c r="AF532" s="6" t="s">
        <v>2013</v>
      </c>
      <c r="AG532" s="6">
        <v>42167</v>
      </c>
      <c r="AH532" s="60" t="s">
        <v>2014</v>
      </c>
      <c r="AJ532" s="60" t="s">
        <v>854</v>
      </c>
      <c r="AK532" s="6" t="s">
        <v>245</v>
      </c>
      <c r="AL532" s="60" t="s">
        <v>610</v>
      </c>
    </row>
    <row r="533" spans="32:38" ht="18" customHeight="1" x14ac:dyDescent="0.25">
      <c r="AF533" s="6" t="s">
        <v>2015</v>
      </c>
      <c r="AG533" s="6">
        <v>9304</v>
      </c>
      <c r="AH533" s="60" t="s">
        <v>2016</v>
      </c>
      <c r="AJ533" s="60" t="s">
        <v>854</v>
      </c>
      <c r="AK533" s="6" t="s">
        <v>1344</v>
      </c>
      <c r="AL533" s="60" t="s">
        <v>601</v>
      </c>
    </row>
    <row r="534" spans="32:38" ht="18" customHeight="1" x14ac:dyDescent="0.25">
      <c r="AF534" s="6" t="s">
        <v>2017</v>
      </c>
      <c r="AG534" s="6">
        <v>37460</v>
      </c>
      <c r="AH534" s="60" t="s">
        <v>2018</v>
      </c>
      <c r="AJ534" s="60" t="s">
        <v>854</v>
      </c>
      <c r="AK534" s="6" t="s">
        <v>245</v>
      </c>
      <c r="AL534" s="60" t="s">
        <v>610</v>
      </c>
    </row>
    <row r="535" spans="32:38" ht="18" customHeight="1" x14ac:dyDescent="0.25">
      <c r="AF535" s="6" t="s">
        <v>2019</v>
      </c>
      <c r="AG535" s="6">
        <v>9008</v>
      </c>
      <c r="AH535" s="60" t="s">
        <v>2020</v>
      </c>
      <c r="AJ535" s="60" t="s">
        <v>854</v>
      </c>
      <c r="AK535" s="6" t="s">
        <v>1344</v>
      </c>
      <c r="AL535" s="60" t="s">
        <v>836</v>
      </c>
    </row>
    <row r="536" spans="32:38" ht="18" customHeight="1" x14ac:dyDescent="0.25">
      <c r="AF536" s="6" t="s">
        <v>2021</v>
      </c>
      <c r="AG536" s="6">
        <v>3055756</v>
      </c>
      <c r="AH536" s="60" t="s">
        <v>2022</v>
      </c>
      <c r="AJ536" s="60" t="s">
        <v>977</v>
      </c>
      <c r="AK536" s="6" t="s">
        <v>2012</v>
      </c>
      <c r="AL536" s="60" t="s">
        <v>2023</v>
      </c>
    </row>
    <row r="537" spans="32:38" ht="18" customHeight="1" x14ac:dyDescent="0.25">
      <c r="AF537" s="6" t="s">
        <v>2024</v>
      </c>
      <c r="AG537" s="6">
        <v>3030863</v>
      </c>
      <c r="AH537" s="60" t="s">
        <v>2025</v>
      </c>
      <c r="AJ537" s="60" t="s">
        <v>854</v>
      </c>
      <c r="AK537" s="6" t="s">
        <v>119</v>
      </c>
      <c r="AL537" s="60" t="s">
        <v>848</v>
      </c>
    </row>
    <row r="538" spans="32:38" ht="18" customHeight="1" x14ac:dyDescent="0.25">
      <c r="AF538" s="6" t="s">
        <v>2026</v>
      </c>
      <c r="AG538" s="6">
        <v>3041048</v>
      </c>
      <c r="AH538" s="60" t="s">
        <v>2027</v>
      </c>
      <c r="AJ538" s="60" t="s">
        <v>854</v>
      </c>
      <c r="AK538" s="6" t="s">
        <v>245</v>
      </c>
      <c r="AL538" s="60" t="s">
        <v>848</v>
      </c>
    </row>
    <row r="539" spans="32:38" ht="18" customHeight="1" x14ac:dyDescent="0.25">
      <c r="AF539" s="6" t="s">
        <v>2028</v>
      </c>
      <c r="AG539" s="6">
        <v>14464</v>
      </c>
      <c r="AH539" s="60" t="s">
        <v>2029</v>
      </c>
      <c r="AJ539" s="60" t="s">
        <v>854</v>
      </c>
      <c r="AK539" s="6" t="s">
        <v>1344</v>
      </c>
      <c r="AL539" s="60" t="s">
        <v>709</v>
      </c>
    </row>
    <row r="540" spans="32:38" ht="18" customHeight="1" x14ac:dyDescent="0.25">
      <c r="AF540" s="6" t="s">
        <v>2030</v>
      </c>
      <c r="AG540" s="6">
        <v>508174</v>
      </c>
      <c r="AH540" s="60" t="s">
        <v>2031</v>
      </c>
      <c r="AJ540" s="295" t="s">
        <v>855</v>
      </c>
      <c r="AK540" s="6" t="s">
        <v>1068</v>
      </c>
      <c r="AL540" s="60" t="s">
        <v>1134</v>
      </c>
    </row>
    <row r="541" spans="32:38" ht="18" customHeight="1" x14ac:dyDescent="0.25">
      <c r="AF541" s="6" t="s">
        <v>2032</v>
      </c>
      <c r="AG541" s="6">
        <v>521302</v>
      </c>
      <c r="AH541" s="60" t="s">
        <v>2033</v>
      </c>
      <c r="AJ541" s="295" t="s">
        <v>1220</v>
      </c>
      <c r="AK541" s="6" t="s">
        <v>497</v>
      </c>
      <c r="AL541" s="60" t="s">
        <v>710</v>
      </c>
    </row>
    <row r="542" spans="32:38" ht="18" customHeight="1" x14ac:dyDescent="0.25">
      <c r="AF542" s="6" t="s">
        <v>2034</v>
      </c>
      <c r="AG542" s="6">
        <v>531546</v>
      </c>
      <c r="AH542" s="60" t="s">
        <v>2035</v>
      </c>
      <c r="AJ542" s="60" t="s">
        <v>854</v>
      </c>
      <c r="AK542" s="6" t="s">
        <v>119</v>
      </c>
      <c r="AL542" s="60" t="s">
        <v>1133</v>
      </c>
    </row>
    <row r="543" spans="32:38" ht="18" customHeight="1" x14ac:dyDescent="0.25">
      <c r="AF543" s="6" t="s">
        <v>2036</v>
      </c>
      <c r="AG543" s="6">
        <v>519327</v>
      </c>
      <c r="AH543" s="60" t="s">
        <v>2037</v>
      </c>
      <c r="AJ543" s="60" t="s">
        <v>854</v>
      </c>
      <c r="AK543" s="6" t="s">
        <v>1344</v>
      </c>
      <c r="AL543" s="60" t="s">
        <v>710</v>
      </c>
    </row>
    <row r="544" spans="32:38" ht="18" customHeight="1" x14ac:dyDescent="0.25">
      <c r="AF544" s="6" t="s">
        <v>2038</v>
      </c>
      <c r="AG544" s="6">
        <v>21803</v>
      </c>
      <c r="AH544" s="60" t="s">
        <v>2039</v>
      </c>
      <c r="AJ544" s="60" t="s">
        <v>854</v>
      </c>
      <c r="AK544" s="6" t="s">
        <v>245</v>
      </c>
      <c r="AL544" s="60" t="s">
        <v>1135</v>
      </c>
    </row>
    <row r="545" spans="32:38" ht="18" customHeight="1" x14ac:dyDescent="0.25">
      <c r="AF545" s="6" t="s">
        <v>2040</v>
      </c>
      <c r="AG545" s="6">
        <v>19191</v>
      </c>
      <c r="AH545" s="60" t="s">
        <v>2041</v>
      </c>
      <c r="AJ545" s="60" t="s">
        <v>854</v>
      </c>
      <c r="AK545" s="6" t="s">
        <v>1344</v>
      </c>
      <c r="AL545" s="60" t="s">
        <v>2042</v>
      </c>
    </row>
    <row r="546" spans="32:38" ht="18" customHeight="1" x14ac:dyDescent="0.25">
      <c r="AF546" s="6" t="s">
        <v>2021</v>
      </c>
      <c r="AG546" s="6">
        <v>47775</v>
      </c>
      <c r="AH546" s="60" t="s">
        <v>2043</v>
      </c>
      <c r="AJ546" s="60" t="s">
        <v>854</v>
      </c>
      <c r="AK546" s="6" t="s">
        <v>245</v>
      </c>
      <c r="AL546" s="60" t="s">
        <v>2044</v>
      </c>
    </row>
    <row r="547" spans="32:38" ht="18" customHeight="1" x14ac:dyDescent="0.25">
      <c r="AF547" s="6" t="s">
        <v>2021</v>
      </c>
      <c r="AG547" s="6">
        <v>47379</v>
      </c>
      <c r="AH547" s="60" t="s">
        <v>2045</v>
      </c>
      <c r="AJ547" s="60" t="s">
        <v>854</v>
      </c>
      <c r="AK547" s="6" t="s">
        <v>245</v>
      </c>
      <c r="AL547" s="60" t="s">
        <v>2044</v>
      </c>
    </row>
    <row r="548" spans="32:38" ht="18" customHeight="1" x14ac:dyDescent="0.25">
      <c r="AF548" s="6" t="s">
        <v>2046</v>
      </c>
      <c r="AG548" s="6">
        <v>33493</v>
      </c>
      <c r="AH548" s="60" t="s">
        <v>2047</v>
      </c>
      <c r="AJ548" s="295" t="s">
        <v>1220</v>
      </c>
      <c r="AK548" s="6" t="s">
        <v>497</v>
      </c>
      <c r="AL548" s="60" t="s">
        <v>1137</v>
      </c>
    </row>
    <row r="549" spans="32:38" ht="18" customHeight="1" x14ac:dyDescent="0.25">
      <c r="AF549" s="6" t="s">
        <v>2048</v>
      </c>
      <c r="AG549" s="6">
        <v>48075</v>
      </c>
      <c r="AH549" s="60" t="s">
        <v>2049</v>
      </c>
      <c r="AJ549" s="60" t="s">
        <v>854</v>
      </c>
      <c r="AK549" s="6" t="s">
        <v>245</v>
      </c>
      <c r="AL549" s="60" t="s">
        <v>2044</v>
      </c>
    </row>
    <row r="550" spans="32:38" ht="18" customHeight="1" x14ac:dyDescent="0.25">
      <c r="AF550" s="6" t="s">
        <v>2050</v>
      </c>
      <c r="AG550" s="6">
        <v>75865</v>
      </c>
      <c r="AH550" s="60" t="s">
        <v>2051</v>
      </c>
      <c r="AJ550" s="60" t="s">
        <v>854</v>
      </c>
      <c r="AK550" s="6" t="s">
        <v>1344</v>
      </c>
      <c r="AL550" s="60" t="s">
        <v>505</v>
      </c>
    </row>
    <row r="551" spans="32:38" ht="18" customHeight="1" x14ac:dyDescent="0.25">
      <c r="AF551" s="6" t="s">
        <v>2212</v>
      </c>
      <c r="AG551" s="6">
        <v>51809</v>
      </c>
      <c r="AH551" s="60" t="s">
        <v>2213</v>
      </c>
      <c r="AJ551" s="60" t="s">
        <v>977</v>
      </c>
      <c r="AK551" s="6" t="s">
        <v>174</v>
      </c>
      <c r="AL551" s="60" t="s">
        <v>1347</v>
      </c>
    </row>
    <row r="552" spans="32:38" ht="18" customHeight="1" x14ac:dyDescent="0.25">
      <c r="AF552" s="6" t="s">
        <v>2214</v>
      </c>
      <c r="AG552" s="6">
        <v>14295</v>
      </c>
      <c r="AH552" s="60" t="s">
        <v>2215</v>
      </c>
      <c r="AJ552" s="60" t="s">
        <v>854</v>
      </c>
      <c r="AK552" s="6" t="s">
        <v>245</v>
      </c>
      <c r="AL552" s="60" t="s">
        <v>2206</v>
      </c>
    </row>
    <row r="553" spans="32:38" ht="18" customHeight="1" x14ac:dyDescent="0.25">
      <c r="AF553" s="6" t="s">
        <v>2216</v>
      </c>
      <c r="AG553" s="6">
        <v>8591</v>
      </c>
      <c r="AH553" s="60" t="s">
        <v>2217</v>
      </c>
      <c r="AJ553" s="60" t="s">
        <v>854</v>
      </c>
      <c r="AK553" s="6" t="s">
        <v>1344</v>
      </c>
      <c r="AL553" s="60" t="s">
        <v>428</v>
      </c>
    </row>
    <row r="554" spans="32:38" ht="18" customHeight="1" x14ac:dyDescent="0.25">
      <c r="AF554" s="6" t="s">
        <v>2218</v>
      </c>
      <c r="AG554" s="6">
        <v>7232</v>
      </c>
      <c r="AH554" s="60" t="s">
        <v>2219</v>
      </c>
      <c r="AJ554" s="60" t="s">
        <v>854</v>
      </c>
      <c r="AK554" s="6" t="s">
        <v>1346</v>
      </c>
      <c r="AL554" s="60" t="s">
        <v>2207</v>
      </c>
    </row>
    <row r="555" spans="32:38" ht="18" customHeight="1" x14ac:dyDescent="0.25">
      <c r="AF555" s="6" t="s">
        <v>2220</v>
      </c>
      <c r="AG555" s="6">
        <v>990</v>
      </c>
      <c r="AH555" s="60" t="s">
        <v>2221</v>
      </c>
      <c r="AJ555" s="60" t="s">
        <v>854</v>
      </c>
      <c r="AK555" s="6" t="s">
        <v>1344</v>
      </c>
      <c r="AL555" s="60" t="s">
        <v>1296</v>
      </c>
    </row>
    <row r="556" spans="32:38" ht="18" customHeight="1" x14ac:dyDescent="0.25">
      <c r="AF556" s="6" t="s">
        <v>2222</v>
      </c>
      <c r="AG556" s="6">
        <v>51905</v>
      </c>
      <c r="AH556" s="60" t="s">
        <v>2223</v>
      </c>
      <c r="AJ556" s="60" t="s">
        <v>854</v>
      </c>
      <c r="AK556" s="6" t="s">
        <v>246</v>
      </c>
      <c r="AL556" s="60" t="s">
        <v>1352</v>
      </c>
    </row>
    <row r="557" spans="32:38" ht="18" customHeight="1" x14ac:dyDescent="0.25">
      <c r="AF557" s="6" t="s">
        <v>2224</v>
      </c>
      <c r="AG557" s="6">
        <v>3961</v>
      </c>
      <c r="AH557" s="60" t="s">
        <v>2225</v>
      </c>
      <c r="AJ557" s="60" t="s">
        <v>854</v>
      </c>
      <c r="AK557" s="6" t="s">
        <v>430</v>
      </c>
      <c r="AL557" s="60" t="s">
        <v>1353</v>
      </c>
    </row>
    <row r="558" spans="32:38" ht="18" customHeight="1" x14ac:dyDescent="0.25">
      <c r="AF558" s="6" t="s">
        <v>2226</v>
      </c>
      <c r="AG558" s="6">
        <v>2508</v>
      </c>
      <c r="AH558" s="60" t="s">
        <v>2227</v>
      </c>
      <c r="AJ558" s="60" t="s">
        <v>854</v>
      </c>
      <c r="AK558" s="6" t="s">
        <v>1344</v>
      </c>
      <c r="AL558" s="60" t="s">
        <v>2204</v>
      </c>
    </row>
    <row r="559" spans="32:38" ht="18" customHeight="1" x14ac:dyDescent="0.25">
      <c r="AF559" s="6" t="s">
        <v>2228</v>
      </c>
      <c r="AG559" s="6">
        <v>13316</v>
      </c>
      <c r="AH559" s="60" t="s">
        <v>2229</v>
      </c>
      <c r="AJ559" s="60" t="s">
        <v>854</v>
      </c>
      <c r="AK559" s="6" t="s">
        <v>1344</v>
      </c>
      <c r="AL559" s="60" t="s">
        <v>1037</v>
      </c>
    </row>
    <row r="560" spans="32:38" ht="18" customHeight="1" x14ac:dyDescent="0.25">
      <c r="AF560" s="6" t="s">
        <v>2230</v>
      </c>
      <c r="AG560" s="6">
        <v>30130</v>
      </c>
      <c r="AH560" s="60" t="s">
        <v>2231</v>
      </c>
      <c r="AJ560" s="60" t="s">
        <v>854</v>
      </c>
      <c r="AK560" s="6" t="s">
        <v>1346</v>
      </c>
      <c r="AL560" s="60" t="s">
        <v>508</v>
      </c>
    </row>
    <row r="561" spans="32:38" ht="18" customHeight="1" x14ac:dyDescent="0.25">
      <c r="AF561" s="6" t="s">
        <v>2232</v>
      </c>
      <c r="AG561" s="6">
        <v>27833</v>
      </c>
      <c r="AH561" s="60" t="s">
        <v>2233</v>
      </c>
      <c r="AJ561" s="60" t="s">
        <v>854</v>
      </c>
      <c r="AK561" s="6" t="s">
        <v>725</v>
      </c>
      <c r="AL561" s="60" t="s">
        <v>2205</v>
      </c>
    </row>
    <row r="562" spans="32:38" ht="18" customHeight="1" x14ac:dyDescent="0.25">
      <c r="AF562" s="6" t="s">
        <v>2234</v>
      </c>
      <c r="AG562" s="6">
        <v>11296</v>
      </c>
      <c r="AH562" s="60" t="s">
        <v>2235</v>
      </c>
      <c r="AJ562" s="295" t="s">
        <v>855</v>
      </c>
      <c r="AK562" s="6" t="s">
        <v>1068</v>
      </c>
      <c r="AL562" s="60" t="s">
        <v>648</v>
      </c>
    </row>
    <row r="563" spans="32:38" ht="18" customHeight="1" x14ac:dyDescent="0.25">
      <c r="AF563" s="6" t="s">
        <v>2236</v>
      </c>
      <c r="AG563" s="6">
        <v>33603</v>
      </c>
      <c r="AH563" s="60" t="s">
        <v>2237</v>
      </c>
      <c r="AJ563" s="60" t="s">
        <v>854</v>
      </c>
      <c r="AK563" s="6" t="s">
        <v>245</v>
      </c>
      <c r="AL563" s="60" t="s">
        <v>508</v>
      </c>
    </row>
    <row r="564" spans="32:38" ht="18" customHeight="1" x14ac:dyDescent="0.25">
      <c r="AF564" s="6" t="s">
        <v>2238</v>
      </c>
      <c r="AG564" s="6">
        <v>2125179</v>
      </c>
      <c r="AH564" s="60" t="s">
        <v>2239</v>
      </c>
      <c r="AJ564" s="60" t="s">
        <v>854</v>
      </c>
      <c r="AK564" s="6" t="s">
        <v>1344</v>
      </c>
      <c r="AL564" s="60" t="s">
        <v>1088</v>
      </c>
    </row>
    <row r="565" spans="32:38" ht="18" customHeight="1" x14ac:dyDescent="0.25">
      <c r="AF565" s="6" t="s">
        <v>2240</v>
      </c>
      <c r="AG565" s="6">
        <v>101681</v>
      </c>
      <c r="AH565" s="60" t="s">
        <v>2241</v>
      </c>
      <c r="AJ565" s="60" t="s">
        <v>854</v>
      </c>
      <c r="AK565" s="6" t="s">
        <v>245</v>
      </c>
      <c r="AL565" s="60" t="s">
        <v>507</v>
      </c>
    </row>
    <row r="566" spans="32:38" ht="18" customHeight="1" x14ac:dyDescent="0.25">
      <c r="AF566" s="6" t="s">
        <v>2242</v>
      </c>
      <c r="AG566" s="6">
        <v>55034</v>
      </c>
      <c r="AH566" s="60" t="s">
        <v>2243</v>
      </c>
      <c r="AJ566" s="60" t="s">
        <v>977</v>
      </c>
      <c r="AK566" s="6" t="s">
        <v>174</v>
      </c>
      <c r="AL566" s="60" t="s">
        <v>853</v>
      </c>
    </row>
    <row r="567" spans="32:38" ht="18" customHeight="1" x14ac:dyDescent="0.25">
      <c r="AF567" s="6" t="s">
        <v>2244</v>
      </c>
      <c r="AG567" s="6">
        <v>81590</v>
      </c>
      <c r="AH567" s="60" t="s">
        <v>2245</v>
      </c>
      <c r="AJ567" s="60" t="s">
        <v>854</v>
      </c>
      <c r="AK567" s="6" t="s">
        <v>1344</v>
      </c>
      <c r="AL567" s="60" t="s">
        <v>496</v>
      </c>
    </row>
    <row r="568" spans="32:38" ht="18" customHeight="1" x14ac:dyDescent="0.25">
      <c r="AF568" s="6" t="s">
        <v>2246</v>
      </c>
      <c r="AG568" s="6">
        <v>76024</v>
      </c>
      <c r="AH568" s="60" t="s">
        <v>2247</v>
      </c>
      <c r="AJ568" s="60" t="s">
        <v>854</v>
      </c>
      <c r="AK568" s="6" t="s">
        <v>245</v>
      </c>
      <c r="AL568" s="60" t="s">
        <v>513</v>
      </c>
    </row>
    <row r="569" spans="32:38" ht="18" customHeight="1" x14ac:dyDescent="0.25">
      <c r="AF569" s="6" t="s">
        <v>2248</v>
      </c>
      <c r="AG569" s="6">
        <v>74305</v>
      </c>
      <c r="AH569" s="60" t="s">
        <v>2249</v>
      </c>
      <c r="AJ569" s="60" t="s">
        <v>854</v>
      </c>
      <c r="AK569" s="6" t="s">
        <v>245</v>
      </c>
      <c r="AL569" s="60" t="s">
        <v>513</v>
      </c>
    </row>
    <row r="570" spans="32:38" ht="18" customHeight="1" x14ac:dyDescent="0.25">
      <c r="AF570" s="6" t="s">
        <v>2250</v>
      </c>
      <c r="AG570" s="6">
        <v>29253</v>
      </c>
      <c r="AH570" s="60" t="s">
        <v>2251</v>
      </c>
      <c r="AJ570" s="60" t="s">
        <v>854</v>
      </c>
      <c r="AK570" s="6" t="s">
        <v>246</v>
      </c>
      <c r="AL570" s="60" t="s">
        <v>2208</v>
      </c>
    </row>
    <row r="571" spans="32:38" ht="18" customHeight="1" x14ac:dyDescent="0.25">
      <c r="AF571" s="6" t="s">
        <v>2250</v>
      </c>
      <c r="AG571" s="6">
        <v>24669</v>
      </c>
      <c r="AH571" s="60" t="s">
        <v>2252</v>
      </c>
      <c r="AJ571" s="60" t="s">
        <v>854</v>
      </c>
      <c r="AK571" s="6" t="s">
        <v>1344</v>
      </c>
      <c r="AL571" s="60" t="s">
        <v>2208</v>
      </c>
    </row>
    <row r="572" spans="32:38" ht="18" customHeight="1" x14ac:dyDescent="0.25">
      <c r="AF572" s="6" t="s">
        <v>2253</v>
      </c>
      <c r="AG572" s="6" t="s">
        <v>2254</v>
      </c>
      <c r="AH572" s="60" t="s">
        <v>2255</v>
      </c>
      <c r="AJ572" s="60" t="s">
        <v>854</v>
      </c>
      <c r="AK572" s="6" t="s">
        <v>1344</v>
      </c>
      <c r="AL572" s="60" t="s">
        <v>2208</v>
      </c>
    </row>
    <row r="573" spans="32:38" ht="18" customHeight="1" x14ac:dyDescent="0.25">
      <c r="AF573" s="6" t="s">
        <v>2256</v>
      </c>
      <c r="AG573" s="6">
        <v>20664</v>
      </c>
      <c r="AH573" s="60" t="s">
        <v>2257</v>
      </c>
      <c r="AJ573" s="60" t="s">
        <v>854</v>
      </c>
      <c r="AK573" s="6" t="s">
        <v>1344</v>
      </c>
      <c r="AL573" s="60" t="s">
        <v>824</v>
      </c>
    </row>
    <row r="574" spans="32:38" ht="18" customHeight="1" x14ac:dyDescent="0.25">
      <c r="AF574" s="6" t="s">
        <v>2258</v>
      </c>
      <c r="AG574" s="6">
        <v>9065</v>
      </c>
      <c r="AH574" s="60" t="s">
        <v>2259</v>
      </c>
      <c r="AJ574" s="60" t="s">
        <v>854</v>
      </c>
      <c r="AK574" s="6" t="s">
        <v>1344</v>
      </c>
      <c r="AL574" s="60" t="s">
        <v>828</v>
      </c>
    </row>
    <row r="575" spans="32:38" ht="18" customHeight="1" x14ac:dyDescent="0.25">
      <c r="AF575" s="6" t="s">
        <v>2260</v>
      </c>
      <c r="AG575" s="6">
        <v>14102</v>
      </c>
      <c r="AH575" s="60" t="s">
        <v>2261</v>
      </c>
      <c r="AJ575" s="60" t="s">
        <v>854</v>
      </c>
      <c r="AK575" s="6" t="s">
        <v>119</v>
      </c>
      <c r="AL575" s="60" t="s">
        <v>1141</v>
      </c>
    </row>
    <row r="576" spans="32:38" ht="18" customHeight="1" x14ac:dyDescent="0.25">
      <c r="AF576" s="6" t="s">
        <v>2262</v>
      </c>
      <c r="AG576" s="6" t="s">
        <v>2263</v>
      </c>
      <c r="AH576" s="60" t="s">
        <v>2264</v>
      </c>
      <c r="AJ576" s="60" t="s">
        <v>854</v>
      </c>
      <c r="AK576" s="6" t="s">
        <v>1344</v>
      </c>
      <c r="AL576" s="60" t="s">
        <v>1143</v>
      </c>
    </row>
    <row r="577" spans="32:38" ht="18" customHeight="1" x14ac:dyDescent="0.25">
      <c r="AF577" s="6" t="s">
        <v>2265</v>
      </c>
      <c r="AG577" s="6">
        <v>10199</v>
      </c>
      <c r="AH577" s="60" t="s">
        <v>2266</v>
      </c>
      <c r="AJ577" s="60" t="s">
        <v>854</v>
      </c>
      <c r="AK577" s="6" t="s">
        <v>725</v>
      </c>
      <c r="AL577" s="60" t="s">
        <v>1143</v>
      </c>
    </row>
    <row r="578" spans="32:38" ht="18" customHeight="1" x14ac:dyDescent="0.25">
      <c r="AF578" s="6" t="s">
        <v>2267</v>
      </c>
      <c r="AG578" s="6">
        <v>16199</v>
      </c>
      <c r="AH578" s="60" t="s">
        <v>2268</v>
      </c>
      <c r="AJ578" s="60" t="s">
        <v>854</v>
      </c>
      <c r="AK578" s="6" t="s">
        <v>245</v>
      </c>
      <c r="AL578" s="60" t="s">
        <v>617</v>
      </c>
    </row>
    <row r="579" spans="32:38" ht="18" customHeight="1" x14ac:dyDescent="0.25">
      <c r="AF579" s="6" t="s">
        <v>2269</v>
      </c>
      <c r="AG579" s="6">
        <v>3591</v>
      </c>
      <c r="AH579" s="60" t="s">
        <v>2270</v>
      </c>
      <c r="AJ579" s="60" t="s">
        <v>854</v>
      </c>
      <c r="AK579" s="6" t="s">
        <v>119</v>
      </c>
      <c r="AL579" s="60" t="s">
        <v>514</v>
      </c>
    </row>
    <row r="580" spans="32:38" ht="18" customHeight="1" x14ac:dyDescent="0.25">
      <c r="AF580" s="6" t="s">
        <v>2269</v>
      </c>
      <c r="AG580" s="6">
        <v>2136</v>
      </c>
      <c r="AH580" s="60" t="s">
        <v>2271</v>
      </c>
      <c r="AJ580" s="60" t="s">
        <v>854</v>
      </c>
      <c r="AK580" s="6" t="s">
        <v>1344</v>
      </c>
      <c r="AL580" s="60" t="s">
        <v>514</v>
      </c>
    </row>
    <row r="581" spans="32:38" ht="18" customHeight="1" x14ac:dyDescent="0.25">
      <c r="AF581" s="6" t="s">
        <v>2269</v>
      </c>
      <c r="AG581" s="6">
        <v>4235</v>
      </c>
      <c r="AH581" s="60" t="s">
        <v>2272</v>
      </c>
      <c r="AJ581" s="60" t="s">
        <v>854</v>
      </c>
      <c r="AK581" s="6" t="s">
        <v>119</v>
      </c>
      <c r="AL581" s="60" t="s">
        <v>514</v>
      </c>
    </row>
    <row r="582" spans="32:38" ht="18" customHeight="1" x14ac:dyDescent="0.25">
      <c r="AF582" s="6" t="s">
        <v>2269</v>
      </c>
      <c r="AG582" s="6">
        <v>4487</v>
      </c>
      <c r="AH582" s="60" t="s">
        <v>2273</v>
      </c>
      <c r="AJ582" s="60" t="s">
        <v>854</v>
      </c>
      <c r="AK582" s="6" t="s">
        <v>119</v>
      </c>
      <c r="AL582" s="60" t="s">
        <v>514</v>
      </c>
    </row>
    <row r="583" spans="32:38" ht="18" customHeight="1" x14ac:dyDescent="0.25">
      <c r="AF583" s="6" t="s">
        <v>2269</v>
      </c>
      <c r="AG583" s="6">
        <v>6170</v>
      </c>
      <c r="AH583" s="60" t="s">
        <v>2274</v>
      </c>
      <c r="AJ583" s="60" t="s">
        <v>854</v>
      </c>
      <c r="AK583" s="6" t="s">
        <v>245</v>
      </c>
      <c r="AL583" s="60" t="s">
        <v>514</v>
      </c>
    </row>
    <row r="584" spans="32:38" ht="18" customHeight="1" x14ac:dyDescent="0.25">
      <c r="AF584" s="6" t="s">
        <v>2275</v>
      </c>
      <c r="AG584" s="6">
        <v>1586</v>
      </c>
      <c r="AH584" s="60" t="s">
        <v>2276</v>
      </c>
      <c r="AJ584" s="295" t="s">
        <v>1220</v>
      </c>
      <c r="AK584" s="6" t="s">
        <v>497</v>
      </c>
      <c r="AL584" s="60" t="s">
        <v>514</v>
      </c>
    </row>
    <row r="585" spans="32:38" ht="18" customHeight="1" x14ac:dyDescent="0.25">
      <c r="AF585" s="6" t="s">
        <v>2277</v>
      </c>
      <c r="AG585" s="6">
        <v>3939</v>
      </c>
      <c r="AH585" s="60" t="s">
        <v>2278</v>
      </c>
      <c r="AJ585" s="60" t="s">
        <v>854</v>
      </c>
      <c r="AK585" s="6" t="s">
        <v>1346</v>
      </c>
      <c r="AL585" s="60" t="s">
        <v>516</v>
      </c>
    </row>
    <row r="586" spans="32:38" ht="18" customHeight="1" x14ac:dyDescent="0.25">
      <c r="AF586" s="6" t="s">
        <v>2277</v>
      </c>
      <c r="AG586" s="6">
        <v>1270</v>
      </c>
      <c r="AH586" s="60" t="s">
        <v>2279</v>
      </c>
      <c r="AJ586" s="60" t="s">
        <v>854</v>
      </c>
      <c r="AK586" s="6" t="s">
        <v>1344</v>
      </c>
      <c r="AL586" s="60" t="s">
        <v>712</v>
      </c>
    </row>
    <row r="587" spans="32:38" ht="18" customHeight="1" x14ac:dyDescent="0.25">
      <c r="AF587" s="6" t="s">
        <v>2280</v>
      </c>
      <c r="AG587" s="6">
        <v>8745</v>
      </c>
      <c r="AH587" s="60" t="s">
        <v>2281</v>
      </c>
      <c r="AJ587" s="60" t="s">
        <v>854</v>
      </c>
      <c r="AK587" s="6" t="s">
        <v>431</v>
      </c>
      <c r="AL587" s="60" t="s">
        <v>940</v>
      </c>
    </row>
    <row r="588" spans="32:38" ht="18" customHeight="1" x14ac:dyDescent="0.25">
      <c r="AF588" s="6" t="s">
        <v>2282</v>
      </c>
      <c r="AG588" s="6">
        <v>1314</v>
      </c>
      <c r="AH588" s="60" t="s">
        <v>2283</v>
      </c>
      <c r="AJ588" s="60" t="s">
        <v>854</v>
      </c>
      <c r="AK588" s="6" t="s">
        <v>849</v>
      </c>
      <c r="AL588" s="60" t="s">
        <v>341</v>
      </c>
    </row>
    <row r="589" spans="32:38" ht="18" customHeight="1" x14ac:dyDescent="0.25">
      <c r="AF589" s="6" t="s">
        <v>2284</v>
      </c>
      <c r="AG589" s="6">
        <v>757</v>
      </c>
      <c r="AH589" s="60" t="s">
        <v>2285</v>
      </c>
      <c r="AJ589" s="60" t="s">
        <v>854</v>
      </c>
      <c r="AK589" s="6" t="s">
        <v>430</v>
      </c>
      <c r="AL589" s="60" t="s">
        <v>610</v>
      </c>
    </row>
    <row r="590" spans="32:38" ht="18" customHeight="1" x14ac:dyDescent="0.25">
      <c r="AF590" s="6" t="s">
        <v>2286</v>
      </c>
      <c r="AG590" s="6">
        <v>3025025</v>
      </c>
      <c r="AH590" s="60" t="s">
        <v>2287</v>
      </c>
      <c r="AJ590" s="60" t="s">
        <v>854</v>
      </c>
      <c r="AK590" s="6" t="s">
        <v>725</v>
      </c>
      <c r="AL590" s="60" t="s">
        <v>711</v>
      </c>
    </row>
    <row r="591" spans="32:38" ht="18" customHeight="1" x14ac:dyDescent="0.25">
      <c r="AF591" s="6" t="s">
        <v>2288</v>
      </c>
      <c r="AG591" s="6">
        <v>3051322</v>
      </c>
      <c r="AH591" s="60" t="s">
        <v>2289</v>
      </c>
      <c r="AJ591" s="60" t="s">
        <v>854</v>
      </c>
      <c r="AK591" s="6" t="s">
        <v>245</v>
      </c>
      <c r="AL591" s="60" t="s">
        <v>137</v>
      </c>
    </row>
    <row r="592" spans="32:38" ht="18" customHeight="1" x14ac:dyDescent="0.25">
      <c r="AF592" s="6" t="s">
        <v>2288</v>
      </c>
      <c r="AG592" s="6">
        <v>3040341</v>
      </c>
      <c r="AH592" s="60" t="s">
        <v>2290</v>
      </c>
      <c r="AJ592" s="60" t="s">
        <v>854</v>
      </c>
      <c r="AK592" s="6" t="s">
        <v>245</v>
      </c>
      <c r="AL592" s="60" t="s">
        <v>137</v>
      </c>
    </row>
    <row r="593" spans="32:38" ht="18" customHeight="1" x14ac:dyDescent="0.25">
      <c r="AF593" s="6" t="s">
        <v>2291</v>
      </c>
      <c r="AG593" s="6">
        <v>3030847</v>
      </c>
      <c r="AH593" s="60" t="s">
        <v>2292</v>
      </c>
      <c r="AJ593" s="60" t="s">
        <v>854</v>
      </c>
      <c r="AK593" s="6" t="s">
        <v>246</v>
      </c>
      <c r="AL593" s="60" t="s">
        <v>134</v>
      </c>
    </row>
    <row r="594" spans="32:38" ht="18" customHeight="1" x14ac:dyDescent="0.25">
      <c r="AF594" s="6" t="s">
        <v>2293</v>
      </c>
      <c r="AG594" s="6">
        <v>34477</v>
      </c>
      <c r="AH594" s="60" t="s">
        <v>2294</v>
      </c>
      <c r="AJ594" s="60" t="s">
        <v>854</v>
      </c>
      <c r="AK594" s="6" t="s">
        <v>1344</v>
      </c>
      <c r="AL594" s="60" t="s">
        <v>1384</v>
      </c>
    </row>
    <row r="595" spans="32:38" ht="18" customHeight="1" x14ac:dyDescent="0.25">
      <c r="AF595" s="6" t="s">
        <v>2295</v>
      </c>
      <c r="AG595" s="6">
        <v>3053680</v>
      </c>
      <c r="AH595" s="60" t="s">
        <v>2296</v>
      </c>
      <c r="AJ595" s="60" t="s">
        <v>854</v>
      </c>
      <c r="AK595" s="6" t="s">
        <v>245</v>
      </c>
      <c r="AL595" s="60" t="s">
        <v>242</v>
      </c>
    </row>
    <row r="596" spans="32:38" ht="18" customHeight="1" x14ac:dyDescent="0.25">
      <c r="AF596" s="6" t="s">
        <v>2297</v>
      </c>
      <c r="AG596" s="6">
        <v>3026538</v>
      </c>
      <c r="AH596" s="60" t="s">
        <v>2298</v>
      </c>
      <c r="AJ596" s="60" t="s">
        <v>854</v>
      </c>
      <c r="AK596" s="6" t="s">
        <v>1346</v>
      </c>
      <c r="AL596" s="60" t="s">
        <v>134</v>
      </c>
    </row>
    <row r="597" spans="32:38" ht="18" customHeight="1" x14ac:dyDescent="0.25">
      <c r="AF597" s="6" t="s">
        <v>2299</v>
      </c>
      <c r="AG597" s="6">
        <v>524896</v>
      </c>
      <c r="AH597" s="60" t="s">
        <v>2300</v>
      </c>
      <c r="AJ597" s="60" t="s">
        <v>854</v>
      </c>
      <c r="AK597" s="6" t="s">
        <v>1344</v>
      </c>
      <c r="AL597" s="60" t="s">
        <v>517</v>
      </c>
    </row>
    <row r="598" spans="32:38" ht="18" customHeight="1" x14ac:dyDescent="0.25">
      <c r="AF598" s="6" t="s">
        <v>2301</v>
      </c>
      <c r="AG598" s="6">
        <v>12437</v>
      </c>
      <c r="AH598" s="60" t="s">
        <v>2302</v>
      </c>
      <c r="AJ598" s="60" t="s">
        <v>854</v>
      </c>
      <c r="AK598" s="6" t="s">
        <v>1348</v>
      </c>
      <c r="AL598" s="60" t="s">
        <v>706</v>
      </c>
    </row>
    <row r="599" spans="32:38" ht="18" customHeight="1" x14ac:dyDescent="0.25">
      <c r="AF599" s="6" t="s">
        <v>2303</v>
      </c>
      <c r="AG599" s="6">
        <v>14454</v>
      </c>
      <c r="AH599" s="60" t="s">
        <v>2304</v>
      </c>
      <c r="AJ599" s="60" t="s">
        <v>854</v>
      </c>
      <c r="AK599" s="6" t="s">
        <v>1344</v>
      </c>
      <c r="AL599" s="60" t="s">
        <v>705</v>
      </c>
    </row>
    <row r="600" spans="32:38" ht="18" customHeight="1" x14ac:dyDescent="0.25">
      <c r="AF600" s="6" t="s">
        <v>2303</v>
      </c>
      <c r="AG600" s="6">
        <v>529088</v>
      </c>
      <c r="AH600" s="60" t="s">
        <v>2305</v>
      </c>
      <c r="AJ600" s="60" t="s">
        <v>854</v>
      </c>
      <c r="AK600" s="6" t="s">
        <v>430</v>
      </c>
      <c r="AL600" s="60" t="s">
        <v>705</v>
      </c>
    </row>
    <row r="601" spans="32:38" ht="18" customHeight="1" x14ac:dyDescent="0.25">
      <c r="AF601" s="6" t="s">
        <v>2306</v>
      </c>
      <c r="AG601" s="6">
        <v>34408</v>
      </c>
      <c r="AH601" s="60" t="s">
        <v>2307</v>
      </c>
      <c r="AJ601" s="60" t="s">
        <v>854</v>
      </c>
      <c r="AK601" s="6" t="s">
        <v>431</v>
      </c>
      <c r="AL601" s="60" t="s">
        <v>708</v>
      </c>
    </row>
    <row r="602" spans="32:38" ht="18" customHeight="1" x14ac:dyDescent="0.25">
      <c r="AF602" s="6" t="s">
        <v>2308</v>
      </c>
      <c r="AG602" s="6">
        <v>18931</v>
      </c>
      <c r="AH602" s="60" t="s">
        <v>2309</v>
      </c>
      <c r="AJ602" s="60" t="s">
        <v>854</v>
      </c>
      <c r="AK602" s="6" t="s">
        <v>245</v>
      </c>
      <c r="AL602" s="60" t="s">
        <v>2209</v>
      </c>
    </row>
    <row r="603" spans="32:38" ht="18" customHeight="1" x14ac:dyDescent="0.25">
      <c r="AF603" s="6" t="s">
        <v>2310</v>
      </c>
      <c r="AG603" s="6">
        <v>27815</v>
      </c>
      <c r="AH603" s="60" t="s">
        <v>2311</v>
      </c>
      <c r="AJ603" s="60" t="s">
        <v>854</v>
      </c>
      <c r="AK603" s="6" t="s">
        <v>119</v>
      </c>
      <c r="AL603" s="60" t="s">
        <v>2210</v>
      </c>
    </row>
    <row r="604" spans="32:38" ht="18" customHeight="1" x14ac:dyDescent="0.25">
      <c r="AF604" s="6" t="s">
        <v>2312</v>
      </c>
      <c r="AG604" s="6">
        <v>23035</v>
      </c>
      <c r="AH604" s="60" t="s">
        <v>2313</v>
      </c>
      <c r="AJ604" s="60" t="s">
        <v>854</v>
      </c>
      <c r="AK604" s="6" t="s">
        <v>1344</v>
      </c>
      <c r="AL604" s="60" t="s">
        <v>1137</v>
      </c>
    </row>
    <row r="605" spans="32:38" ht="18" customHeight="1" x14ac:dyDescent="0.25">
      <c r="AF605" s="6" t="s">
        <v>2314</v>
      </c>
      <c r="AG605" s="6">
        <v>79726</v>
      </c>
      <c r="AH605" s="60" t="s">
        <v>2315</v>
      </c>
      <c r="AJ605" s="60" t="s">
        <v>854</v>
      </c>
      <c r="AK605" s="6" t="s">
        <v>1344</v>
      </c>
      <c r="AL605" s="60" t="s">
        <v>2211</v>
      </c>
    </row>
    <row r="606" spans="32:38" ht="18" customHeight="1" x14ac:dyDescent="0.25">
      <c r="AF606" s="6" t="s">
        <v>2314</v>
      </c>
      <c r="AG606" s="6">
        <v>91253</v>
      </c>
      <c r="AH606" s="60" t="s">
        <v>2316</v>
      </c>
      <c r="AJ606" s="60" t="s">
        <v>854</v>
      </c>
      <c r="AK606" s="6" t="s">
        <v>430</v>
      </c>
      <c r="AL606" s="60" t="s">
        <v>2211</v>
      </c>
    </row>
    <row r="607" spans="32:38" ht="18" customHeight="1" x14ac:dyDescent="0.25">
      <c r="AF607" s="6" t="s">
        <v>2314</v>
      </c>
      <c r="AG607" s="6">
        <v>89563</v>
      </c>
      <c r="AH607" s="60" t="s">
        <v>2317</v>
      </c>
      <c r="AJ607" s="60" t="s">
        <v>854</v>
      </c>
      <c r="AK607" s="6" t="s">
        <v>430</v>
      </c>
      <c r="AL607" s="60" t="s">
        <v>2211</v>
      </c>
    </row>
    <row r="608" spans="32:38" ht="18" customHeight="1" x14ac:dyDescent="0.25">
      <c r="AF608" s="6" t="s">
        <v>2318</v>
      </c>
      <c r="AG608" s="6">
        <v>87271</v>
      </c>
      <c r="AH608" s="60" t="s">
        <v>2319</v>
      </c>
      <c r="AJ608" s="60" t="s">
        <v>854</v>
      </c>
      <c r="AK608" s="6" t="s">
        <v>1346</v>
      </c>
      <c r="AL608" s="60" t="s">
        <v>2211</v>
      </c>
    </row>
    <row r="609" spans="32:38" ht="18" customHeight="1" x14ac:dyDescent="0.25">
      <c r="AF609" s="6" t="s">
        <v>2375</v>
      </c>
      <c r="AG609" s="6">
        <v>64987</v>
      </c>
      <c r="AH609" s="60" t="s">
        <v>2376</v>
      </c>
      <c r="AJ609" s="60" t="s">
        <v>854</v>
      </c>
      <c r="AK609" s="6" t="s">
        <v>2356</v>
      </c>
      <c r="AL609" s="60" t="s">
        <v>1140</v>
      </c>
    </row>
    <row r="610" spans="32:38" ht="18" customHeight="1" x14ac:dyDescent="0.25">
      <c r="AF610" s="6" t="s">
        <v>2377</v>
      </c>
      <c r="AG610" s="6">
        <v>15272</v>
      </c>
      <c r="AH610" s="60" t="s">
        <v>2378</v>
      </c>
      <c r="AJ610" s="60" t="s">
        <v>854</v>
      </c>
      <c r="AK610" s="6" t="s">
        <v>2356</v>
      </c>
      <c r="AL610" s="60" t="s">
        <v>429</v>
      </c>
    </row>
    <row r="611" spans="32:38" ht="18" customHeight="1" x14ac:dyDescent="0.25">
      <c r="AF611" s="6" t="s">
        <v>2379</v>
      </c>
      <c r="AG611" s="6">
        <v>7982</v>
      </c>
      <c r="AH611" s="60" t="s">
        <v>2380</v>
      </c>
      <c r="AJ611" s="60" t="s">
        <v>854</v>
      </c>
      <c r="AK611" s="6" t="s">
        <v>2362</v>
      </c>
      <c r="AL611" s="60" t="s">
        <v>969</v>
      </c>
    </row>
    <row r="612" spans="32:38" ht="18" customHeight="1" x14ac:dyDescent="0.25">
      <c r="AF612" s="6" t="s">
        <v>2379</v>
      </c>
      <c r="AG612" s="6">
        <v>85</v>
      </c>
      <c r="AH612" s="60" t="s">
        <v>2381</v>
      </c>
      <c r="AJ612" s="60" t="s">
        <v>854</v>
      </c>
      <c r="AK612" s="6" t="s">
        <v>2362</v>
      </c>
      <c r="AL612" s="60" t="s">
        <v>969</v>
      </c>
    </row>
    <row r="613" spans="32:38" ht="18" customHeight="1" x14ac:dyDescent="0.25">
      <c r="AF613" s="6" t="s">
        <v>2382</v>
      </c>
      <c r="AG613" s="6">
        <v>794</v>
      </c>
      <c r="AH613" s="60" t="s">
        <v>2383</v>
      </c>
      <c r="AJ613" s="60" t="s">
        <v>854</v>
      </c>
      <c r="AK613" s="6" t="s">
        <v>2361</v>
      </c>
      <c r="AL613" s="60" t="s">
        <v>2206</v>
      </c>
    </row>
    <row r="614" spans="32:38" ht="18" customHeight="1" x14ac:dyDescent="0.25">
      <c r="AF614" s="6" t="s">
        <v>2384</v>
      </c>
      <c r="AG614" s="6">
        <v>4930</v>
      </c>
      <c r="AH614" s="60" t="s">
        <v>2385</v>
      </c>
      <c r="AJ614" s="60" t="s">
        <v>854</v>
      </c>
      <c r="AK614" s="6" t="s">
        <v>2354</v>
      </c>
      <c r="AL614" s="60" t="s">
        <v>247</v>
      </c>
    </row>
    <row r="615" spans="32:38" ht="18" customHeight="1" x14ac:dyDescent="0.25">
      <c r="AF615" s="6" t="s">
        <v>2364</v>
      </c>
      <c r="AG615" s="6">
        <v>2131046</v>
      </c>
      <c r="AH615" s="60" t="s">
        <v>2365</v>
      </c>
      <c r="AJ615" s="60" t="s">
        <v>854</v>
      </c>
      <c r="AK615" s="6" t="s">
        <v>2354</v>
      </c>
      <c r="AL615" s="60" t="s">
        <v>2363</v>
      </c>
    </row>
    <row r="616" spans="32:38" ht="18" customHeight="1" x14ac:dyDescent="0.25">
      <c r="AF616" s="6" t="s">
        <v>2367</v>
      </c>
      <c r="AG616" s="6">
        <v>29582</v>
      </c>
      <c r="AH616" s="60" t="s">
        <v>2368</v>
      </c>
      <c r="AJ616" s="60" t="s">
        <v>854</v>
      </c>
      <c r="AK616" s="6" t="s">
        <v>2356</v>
      </c>
      <c r="AL616" s="60" t="s">
        <v>2349</v>
      </c>
    </row>
    <row r="617" spans="32:38" ht="18" customHeight="1" x14ac:dyDescent="0.25">
      <c r="AF617" s="6" t="s">
        <v>2386</v>
      </c>
      <c r="AG617" s="6">
        <v>32943</v>
      </c>
      <c r="AH617" s="60" t="s">
        <v>2387</v>
      </c>
      <c r="AJ617" s="60" t="s">
        <v>854</v>
      </c>
      <c r="AK617" s="6" t="s">
        <v>2358</v>
      </c>
      <c r="AL617" s="60" t="s">
        <v>2352</v>
      </c>
    </row>
    <row r="618" spans="32:38" ht="18" customHeight="1" x14ac:dyDescent="0.25">
      <c r="AF618" s="6" t="s">
        <v>2388</v>
      </c>
      <c r="AG618" s="6">
        <v>46205</v>
      </c>
      <c r="AH618" s="60" t="s">
        <v>2389</v>
      </c>
      <c r="AJ618" s="60" t="s">
        <v>977</v>
      </c>
      <c r="AK618" s="6" t="s">
        <v>2366</v>
      </c>
      <c r="AL618" s="60" t="s">
        <v>2348</v>
      </c>
    </row>
    <row r="619" spans="32:38" ht="18" customHeight="1" x14ac:dyDescent="0.25">
      <c r="AF619" s="6" t="s">
        <v>2390</v>
      </c>
      <c r="AG619" s="6">
        <v>67052</v>
      </c>
      <c r="AH619" s="60" t="s">
        <v>2391</v>
      </c>
      <c r="AJ619" s="60" t="s">
        <v>977</v>
      </c>
      <c r="AK619" s="6" t="s">
        <v>2366</v>
      </c>
      <c r="AL619" s="60" t="s">
        <v>2351</v>
      </c>
    </row>
    <row r="620" spans="32:38" ht="18" customHeight="1" x14ac:dyDescent="0.25">
      <c r="AF620" s="6" t="s">
        <v>2392</v>
      </c>
      <c r="AG620" s="6">
        <v>92713</v>
      </c>
      <c r="AH620" s="60" t="s">
        <v>2393</v>
      </c>
      <c r="AJ620" s="60" t="s">
        <v>854</v>
      </c>
      <c r="AK620" s="6" t="s">
        <v>2356</v>
      </c>
      <c r="AL620" s="60" t="s">
        <v>1090</v>
      </c>
    </row>
    <row r="621" spans="32:38" ht="18" customHeight="1" x14ac:dyDescent="0.25">
      <c r="AF621" s="6" t="s">
        <v>2394</v>
      </c>
      <c r="AG621" s="6">
        <v>58712</v>
      </c>
      <c r="AH621" s="60" t="s">
        <v>2395</v>
      </c>
      <c r="AJ621" s="60" t="s">
        <v>854</v>
      </c>
      <c r="AK621" s="6" t="s">
        <v>2354</v>
      </c>
      <c r="AL621" s="60" t="s">
        <v>2350</v>
      </c>
    </row>
    <row r="622" spans="32:38" ht="18" customHeight="1" x14ac:dyDescent="0.25">
      <c r="AF622" s="6" t="s">
        <v>2396</v>
      </c>
      <c r="AG622" s="6">
        <v>13733</v>
      </c>
      <c r="AH622" s="60" t="s">
        <v>2397</v>
      </c>
      <c r="AJ622" s="60" t="s">
        <v>854</v>
      </c>
      <c r="AK622" s="6" t="s">
        <v>2360</v>
      </c>
      <c r="AL622" s="60" t="s">
        <v>826</v>
      </c>
    </row>
    <row r="623" spans="32:38" ht="18" customHeight="1" x14ac:dyDescent="0.25">
      <c r="AF623" s="6" t="s">
        <v>2398</v>
      </c>
      <c r="AG623" s="6">
        <v>5567</v>
      </c>
      <c r="AH623" s="60" t="s">
        <v>2399</v>
      </c>
      <c r="AJ623" s="60" t="s">
        <v>854</v>
      </c>
      <c r="AK623" s="6" t="s">
        <v>2354</v>
      </c>
      <c r="AL623" s="60" t="s">
        <v>1141</v>
      </c>
    </row>
    <row r="624" spans="32:38" ht="18" customHeight="1" x14ac:dyDescent="0.25">
      <c r="AF624" s="6" t="s">
        <v>2353</v>
      </c>
      <c r="AG624" s="6">
        <v>4788</v>
      </c>
      <c r="AH624" s="60" t="s">
        <v>2400</v>
      </c>
      <c r="AJ624" s="295" t="s">
        <v>855</v>
      </c>
      <c r="AK624" s="6" t="s">
        <v>2355</v>
      </c>
      <c r="AL624" s="60" t="s">
        <v>825</v>
      </c>
    </row>
    <row r="625" spans="32:38" ht="18" customHeight="1" x14ac:dyDescent="0.25">
      <c r="AF625" s="6" t="s">
        <v>2401</v>
      </c>
      <c r="AG625" s="6">
        <v>20847</v>
      </c>
      <c r="AH625" s="60" t="s">
        <v>2402</v>
      </c>
      <c r="AJ625" s="60" t="s">
        <v>854</v>
      </c>
      <c r="AK625" s="6" t="s">
        <v>2356</v>
      </c>
      <c r="AL625" s="60" t="s">
        <v>829</v>
      </c>
    </row>
    <row r="626" spans="32:38" ht="18" customHeight="1" x14ac:dyDescent="0.25">
      <c r="AF626" s="6" t="s">
        <v>2403</v>
      </c>
      <c r="AG626" s="6">
        <v>4902</v>
      </c>
      <c r="AH626" s="60" t="s">
        <v>2404</v>
      </c>
      <c r="AJ626" s="295" t="s">
        <v>855</v>
      </c>
      <c r="AK626" s="6" t="s">
        <v>2355</v>
      </c>
      <c r="AL626" s="60" t="s">
        <v>829</v>
      </c>
    </row>
    <row r="627" spans="32:38" ht="18" customHeight="1" x14ac:dyDescent="0.25">
      <c r="AF627" s="6" t="s">
        <v>2403</v>
      </c>
      <c r="AG627" s="6" t="s">
        <v>2405</v>
      </c>
      <c r="AH627" s="60" t="s">
        <v>2406</v>
      </c>
      <c r="AJ627" s="295" t="s">
        <v>855</v>
      </c>
      <c r="AK627" s="6" t="s">
        <v>2355</v>
      </c>
      <c r="AL627" s="60" t="s">
        <v>829</v>
      </c>
    </row>
    <row r="628" spans="32:38" ht="18" customHeight="1" x14ac:dyDescent="0.25">
      <c r="AF628" s="6" t="s">
        <v>2407</v>
      </c>
      <c r="AG628" s="6">
        <v>4944</v>
      </c>
      <c r="AH628" s="60" t="s">
        <v>2408</v>
      </c>
      <c r="AJ628" s="60" t="s">
        <v>854</v>
      </c>
      <c r="AK628" s="6" t="s">
        <v>2357</v>
      </c>
      <c r="AL628" s="60" t="s">
        <v>1145</v>
      </c>
    </row>
    <row r="629" spans="32:38" ht="18" customHeight="1" x14ac:dyDescent="0.25">
      <c r="AF629" s="6" t="s">
        <v>2409</v>
      </c>
      <c r="AG629" s="6">
        <v>27700</v>
      </c>
      <c r="AH629" s="60" t="s">
        <v>2410</v>
      </c>
      <c r="AJ629" s="60" t="s">
        <v>854</v>
      </c>
      <c r="AK629" s="6" t="s">
        <v>2360</v>
      </c>
      <c r="AL629" s="60" t="s">
        <v>609</v>
      </c>
    </row>
    <row r="630" spans="32:38" ht="18" customHeight="1" x14ac:dyDescent="0.25">
      <c r="AF630" s="6" t="s">
        <v>2411</v>
      </c>
      <c r="AG630" s="6">
        <v>8285</v>
      </c>
      <c r="AH630" s="60" t="s">
        <v>2412</v>
      </c>
      <c r="AJ630" s="60" t="s">
        <v>854</v>
      </c>
      <c r="AK630" s="6" t="s">
        <v>2354</v>
      </c>
      <c r="AL630" s="60" t="s">
        <v>611</v>
      </c>
    </row>
    <row r="631" spans="32:38" ht="18" customHeight="1" x14ac:dyDescent="0.25">
      <c r="AF631" s="6" t="s">
        <v>2413</v>
      </c>
      <c r="AG631" s="6">
        <v>59773</v>
      </c>
      <c r="AH631" s="60" t="s">
        <v>2414</v>
      </c>
      <c r="AJ631" s="60" t="s">
        <v>854</v>
      </c>
      <c r="AK631" s="6" t="s">
        <v>2356</v>
      </c>
      <c r="AL631" s="60" t="s">
        <v>2415</v>
      </c>
    </row>
    <row r="632" spans="32:38" ht="18" customHeight="1" x14ac:dyDescent="0.25">
      <c r="AF632" s="6" t="s">
        <v>2416</v>
      </c>
      <c r="AG632" s="6">
        <v>1975</v>
      </c>
      <c r="AH632" s="60" t="s">
        <v>2417</v>
      </c>
      <c r="AJ632" s="60" t="s">
        <v>854</v>
      </c>
      <c r="AK632" s="6" t="s">
        <v>2354</v>
      </c>
      <c r="AL632" s="60" t="s">
        <v>938</v>
      </c>
    </row>
    <row r="633" spans="32:38" ht="18" customHeight="1" x14ac:dyDescent="0.25">
      <c r="AF633" s="6" t="s">
        <v>2418</v>
      </c>
      <c r="AG633" s="6">
        <v>2349027</v>
      </c>
      <c r="AH633" s="60" t="s">
        <v>2419</v>
      </c>
      <c r="AJ633" s="60" t="s">
        <v>854</v>
      </c>
      <c r="AK633" s="6" t="s">
        <v>2361</v>
      </c>
      <c r="AL633" s="60" t="s">
        <v>835</v>
      </c>
    </row>
    <row r="634" spans="32:38" ht="18" customHeight="1" x14ac:dyDescent="0.25">
      <c r="AF634" s="6" t="s">
        <v>2420</v>
      </c>
      <c r="AG634" s="6">
        <v>37887</v>
      </c>
      <c r="AH634" s="60" t="s">
        <v>2421</v>
      </c>
      <c r="AJ634" s="60" t="s">
        <v>854</v>
      </c>
      <c r="AK634" s="6" t="s">
        <v>2356</v>
      </c>
      <c r="AL634" s="60" t="s">
        <v>341</v>
      </c>
    </row>
    <row r="635" spans="32:38" ht="18" customHeight="1" x14ac:dyDescent="0.25">
      <c r="AF635" s="6" t="s">
        <v>2369</v>
      </c>
      <c r="AG635" s="6">
        <v>34070</v>
      </c>
      <c r="AH635" s="60" t="s">
        <v>2370</v>
      </c>
      <c r="AJ635" s="60" t="s">
        <v>854</v>
      </c>
      <c r="AK635" s="6" t="s">
        <v>2354</v>
      </c>
      <c r="AL635" s="60" t="s">
        <v>133</v>
      </c>
    </row>
    <row r="636" spans="32:38" ht="18" customHeight="1" x14ac:dyDescent="0.25">
      <c r="AF636" s="6" t="s">
        <v>2422</v>
      </c>
      <c r="AG636" s="6">
        <v>31719</v>
      </c>
      <c r="AH636" s="60" t="s">
        <v>2423</v>
      </c>
      <c r="AJ636" s="60" t="s">
        <v>854</v>
      </c>
      <c r="AK636" s="6" t="s">
        <v>2354</v>
      </c>
      <c r="AL636" s="60" t="s">
        <v>939</v>
      </c>
    </row>
    <row r="637" spans="32:38" ht="18" customHeight="1" x14ac:dyDescent="0.25">
      <c r="AF637" s="6" t="s">
        <v>2422</v>
      </c>
      <c r="AG637" s="6">
        <v>18328</v>
      </c>
      <c r="AH637" s="60" t="s">
        <v>2424</v>
      </c>
      <c r="AJ637" s="60" t="s">
        <v>854</v>
      </c>
      <c r="AK637" s="6" t="s">
        <v>2360</v>
      </c>
      <c r="AL637" s="60" t="s">
        <v>939</v>
      </c>
    </row>
    <row r="638" spans="32:38" ht="18" customHeight="1" x14ac:dyDescent="0.25">
      <c r="AF638" s="6" t="s">
        <v>2425</v>
      </c>
      <c r="AG638" s="6">
        <v>3059776</v>
      </c>
      <c r="AH638" s="60" t="s">
        <v>2426</v>
      </c>
      <c r="AJ638" s="60" t="s">
        <v>854</v>
      </c>
      <c r="AK638" s="6" t="s">
        <v>2356</v>
      </c>
      <c r="AL638" s="60" t="s">
        <v>242</v>
      </c>
    </row>
    <row r="639" spans="32:38" ht="18" customHeight="1" x14ac:dyDescent="0.25">
      <c r="AF639" s="6" t="s">
        <v>2427</v>
      </c>
      <c r="AG639" s="6">
        <v>3049998</v>
      </c>
      <c r="AH639" s="60" t="s">
        <v>2428</v>
      </c>
      <c r="AJ639" s="60" t="s">
        <v>854</v>
      </c>
      <c r="AK639" s="6" t="s">
        <v>2356</v>
      </c>
      <c r="AL639" s="60" t="s">
        <v>848</v>
      </c>
    </row>
    <row r="640" spans="32:38" ht="18" customHeight="1" x14ac:dyDescent="0.25">
      <c r="AF640" s="6" t="s">
        <v>2429</v>
      </c>
      <c r="AG640" s="6">
        <v>3054298</v>
      </c>
      <c r="AH640" s="60" t="s">
        <v>2430</v>
      </c>
      <c r="AJ640" s="60" t="s">
        <v>854</v>
      </c>
      <c r="AK640" s="6" t="s">
        <v>2356</v>
      </c>
      <c r="AL640" s="60" t="s">
        <v>136</v>
      </c>
    </row>
    <row r="641" spans="32:38" ht="18" customHeight="1" x14ac:dyDescent="0.25">
      <c r="AF641" s="6" t="s">
        <v>2431</v>
      </c>
      <c r="AG641" s="6">
        <v>3033320</v>
      </c>
      <c r="AH641" s="60" t="s">
        <v>2432</v>
      </c>
      <c r="AJ641" s="60" t="s">
        <v>854</v>
      </c>
      <c r="AK641" s="6" t="s">
        <v>2357</v>
      </c>
      <c r="AL641" s="60" t="s">
        <v>134</v>
      </c>
    </row>
    <row r="642" spans="32:38" ht="18" customHeight="1" x14ac:dyDescent="0.25">
      <c r="AF642" s="6" t="s">
        <v>2433</v>
      </c>
      <c r="AG642" s="6">
        <v>3043550</v>
      </c>
      <c r="AH642" s="60" t="s">
        <v>2434</v>
      </c>
      <c r="AJ642" s="60" t="s">
        <v>854</v>
      </c>
      <c r="AK642" s="6" t="s">
        <v>2356</v>
      </c>
      <c r="AL642" s="60" t="s">
        <v>2371</v>
      </c>
    </row>
    <row r="643" spans="32:38" ht="18" customHeight="1" x14ac:dyDescent="0.25">
      <c r="AF643" s="6" t="s">
        <v>2435</v>
      </c>
      <c r="AG643" s="6">
        <v>3039603</v>
      </c>
      <c r="AH643" s="60" t="s">
        <v>2436</v>
      </c>
      <c r="AJ643" s="60" t="s">
        <v>854</v>
      </c>
      <c r="AK643" s="6" t="s">
        <v>2356</v>
      </c>
      <c r="AL643" s="60" t="s">
        <v>135</v>
      </c>
    </row>
    <row r="644" spans="32:38" ht="18" customHeight="1" x14ac:dyDescent="0.25">
      <c r="AF644" s="6" t="s">
        <v>2437</v>
      </c>
      <c r="AG644" s="6">
        <v>2994109</v>
      </c>
      <c r="AH644" s="60" t="s">
        <v>2438</v>
      </c>
      <c r="AJ644" s="60" t="s">
        <v>854</v>
      </c>
      <c r="AK644" s="6" t="s">
        <v>2354</v>
      </c>
      <c r="AL644" s="60" t="s">
        <v>136</v>
      </c>
    </row>
    <row r="645" spans="32:38" ht="18" customHeight="1" x14ac:dyDescent="0.25">
      <c r="AF645" s="6" t="s">
        <v>2439</v>
      </c>
      <c r="AG645" s="6">
        <v>3023969</v>
      </c>
      <c r="AH645" s="60" t="s">
        <v>2440</v>
      </c>
      <c r="AJ645" s="60" t="s">
        <v>854</v>
      </c>
      <c r="AK645" s="6" t="s">
        <v>2359</v>
      </c>
      <c r="AL645" s="60" t="s">
        <v>2023</v>
      </c>
    </row>
    <row r="646" spans="32:38" ht="18" customHeight="1" x14ac:dyDescent="0.25">
      <c r="AF646" s="6" t="s">
        <v>2372</v>
      </c>
      <c r="AG646" s="6">
        <v>35887</v>
      </c>
      <c r="AH646" s="60" t="s">
        <v>2373</v>
      </c>
      <c r="AJ646" s="60" t="s">
        <v>854</v>
      </c>
      <c r="AK646" s="6" t="s">
        <v>2362</v>
      </c>
      <c r="AL646" s="60" t="s">
        <v>708</v>
      </c>
    </row>
    <row r="647" spans="32:38" ht="18" customHeight="1" x14ac:dyDescent="0.25">
      <c r="AF647" s="6" t="s">
        <v>2441</v>
      </c>
      <c r="AG647" s="6">
        <v>46888</v>
      </c>
      <c r="AH647" s="60" t="s">
        <v>2442</v>
      </c>
      <c r="AJ647" s="60" t="s">
        <v>977</v>
      </c>
      <c r="AK647" s="6" t="s">
        <v>2366</v>
      </c>
      <c r="AL647" s="60" t="s">
        <v>2044</v>
      </c>
    </row>
    <row r="648" spans="32:38" ht="18" customHeight="1" x14ac:dyDescent="0.25">
      <c r="AF648" s="6" t="s">
        <v>2509</v>
      </c>
      <c r="AG648" s="6">
        <v>5429</v>
      </c>
      <c r="AH648" s="60" t="s">
        <v>2510</v>
      </c>
      <c r="AJ648" s="60" t="s">
        <v>854</v>
      </c>
      <c r="AK648" s="6" t="s">
        <v>2358</v>
      </c>
      <c r="AL648" s="60" t="s">
        <v>1296</v>
      </c>
    </row>
    <row r="649" spans="32:38" ht="18" customHeight="1" x14ac:dyDescent="0.25">
      <c r="AF649" s="6" t="s">
        <v>2511</v>
      </c>
      <c r="AG649" s="6">
        <v>59282</v>
      </c>
      <c r="AH649" s="60" t="s">
        <v>2512</v>
      </c>
      <c r="AJ649" s="60" t="s">
        <v>854</v>
      </c>
      <c r="AK649" s="6" t="s">
        <v>2356</v>
      </c>
      <c r="AL649" s="60" t="s">
        <v>968</v>
      </c>
    </row>
    <row r="650" spans="32:38" ht="18" customHeight="1" x14ac:dyDescent="0.25">
      <c r="AF650" s="6" t="s">
        <v>2513</v>
      </c>
      <c r="AG650" s="6">
        <v>5121</v>
      </c>
      <c r="AH650" s="60" t="s">
        <v>2514</v>
      </c>
      <c r="AJ650" s="60" t="s">
        <v>854</v>
      </c>
      <c r="AK650" s="6" t="s">
        <v>2358</v>
      </c>
      <c r="AL650" s="60" t="s">
        <v>2515</v>
      </c>
    </row>
    <row r="651" spans="32:38" ht="18" customHeight="1" x14ac:dyDescent="0.25">
      <c r="AF651" s="6" t="s">
        <v>2516</v>
      </c>
      <c r="AG651" s="6">
        <v>21140</v>
      </c>
      <c r="AH651" s="60" t="s">
        <v>2517</v>
      </c>
      <c r="AJ651" s="60" t="s">
        <v>977</v>
      </c>
      <c r="AK651" s="6" t="s">
        <v>2518</v>
      </c>
      <c r="AL651" s="60" t="s">
        <v>1356</v>
      </c>
    </row>
    <row r="652" spans="32:38" ht="18" customHeight="1" x14ac:dyDescent="0.25">
      <c r="AF652" s="6" t="s">
        <v>2519</v>
      </c>
      <c r="AG652" s="6">
        <v>7912</v>
      </c>
      <c r="AH652" s="60" t="s">
        <v>2520</v>
      </c>
      <c r="AJ652" s="60" t="s">
        <v>854</v>
      </c>
      <c r="AK652" s="6" t="s">
        <v>2358</v>
      </c>
      <c r="AL652" s="60" t="s">
        <v>2521</v>
      </c>
    </row>
    <row r="653" spans="32:38" ht="18" customHeight="1" x14ac:dyDescent="0.25">
      <c r="AF653" s="6" t="s">
        <v>2519</v>
      </c>
      <c r="AG653" s="6">
        <v>2123566</v>
      </c>
      <c r="AH653" s="60" t="s">
        <v>2522</v>
      </c>
      <c r="AJ653" s="60" t="s">
        <v>854</v>
      </c>
      <c r="AK653" s="6" t="s">
        <v>2354</v>
      </c>
      <c r="AL653" s="60" t="s">
        <v>1088</v>
      </c>
    </row>
    <row r="654" spans="32:38" ht="18" customHeight="1" x14ac:dyDescent="0.25">
      <c r="AF654" s="6" t="s">
        <v>2523</v>
      </c>
      <c r="AG654" s="6">
        <v>9396</v>
      </c>
      <c r="AH654" s="60" t="s">
        <v>2524</v>
      </c>
      <c r="AJ654" s="60" t="s">
        <v>854</v>
      </c>
      <c r="AK654" s="6" t="s">
        <v>2356</v>
      </c>
      <c r="AL654" s="60" t="s">
        <v>2521</v>
      </c>
    </row>
    <row r="655" spans="32:38" ht="18" customHeight="1" x14ac:dyDescent="0.25">
      <c r="AF655" s="6" t="s">
        <v>2525</v>
      </c>
      <c r="AG655" s="6">
        <v>82323</v>
      </c>
      <c r="AH655" s="60" t="s">
        <v>2526</v>
      </c>
      <c r="AJ655" s="60" t="s">
        <v>977</v>
      </c>
      <c r="AK655" s="6" t="s">
        <v>2527</v>
      </c>
      <c r="AL655" s="60" t="s">
        <v>1091</v>
      </c>
    </row>
    <row r="656" spans="32:38" ht="18" customHeight="1" x14ac:dyDescent="0.25">
      <c r="AF656" s="6" t="s">
        <v>2528</v>
      </c>
      <c r="AG656" s="6">
        <v>104665</v>
      </c>
      <c r="AH656" s="60" t="s">
        <v>2529</v>
      </c>
      <c r="AJ656" s="60" t="s">
        <v>854</v>
      </c>
      <c r="AK656" s="6" t="s">
        <v>2356</v>
      </c>
      <c r="AL656" s="60" t="s">
        <v>618</v>
      </c>
    </row>
    <row r="657" spans="32:38" ht="18" customHeight="1" x14ac:dyDescent="0.25">
      <c r="AF657" s="6" t="s">
        <v>2528</v>
      </c>
      <c r="AG657" s="6">
        <v>89856</v>
      </c>
      <c r="AH657" s="60" t="s">
        <v>2530</v>
      </c>
      <c r="AJ657" s="60" t="s">
        <v>854</v>
      </c>
      <c r="AK657" s="6" t="s">
        <v>2358</v>
      </c>
      <c r="AL657" s="60" t="s">
        <v>618</v>
      </c>
    </row>
    <row r="658" spans="32:38" ht="18" customHeight="1" x14ac:dyDescent="0.25">
      <c r="AF658" s="6" t="s">
        <v>2531</v>
      </c>
      <c r="AG658" s="6">
        <v>67923</v>
      </c>
      <c r="AH658" s="60" t="s">
        <v>2532</v>
      </c>
      <c r="AJ658" s="60" t="s">
        <v>854</v>
      </c>
      <c r="AK658" s="6" t="s">
        <v>2358</v>
      </c>
      <c r="AL658" s="60" t="s">
        <v>2350</v>
      </c>
    </row>
    <row r="659" spans="32:38" ht="18" customHeight="1" x14ac:dyDescent="0.25">
      <c r="AF659" s="6" t="s">
        <v>2533</v>
      </c>
      <c r="AG659" s="6">
        <v>21795</v>
      </c>
      <c r="AH659" s="60" t="s">
        <v>2534</v>
      </c>
      <c r="AJ659" s="295" t="s">
        <v>855</v>
      </c>
      <c r="AK659" s="6" t="s">
        <v>2355</v>
      </c>
      <c r="AL659" s="60" t="s">
        <v>2535</v>
      </c>
    </row>
    <row r="660" spans="32:38" ht="18" customHeight="1" x14ac:dyDescent="0.25">
      <c r="AF660" s="6" t="s">
        <v>2536</v>
      </c>
      <c r="AG660" s="6">
        <v>17729</v>
      </c>
      <c r="AH660" s="60" t="s">
        <v>2537</v>
      </c>
      <c r="AJ660" s="60" t="s">
        <v>854</v>
      </c>
      <c r="AK660" s="6" t="s">
        <v>2356</v>
      </c>
      <c r="AL660" s="60" t="s">
        <v>827</v>
      </c>
    </row>
    <row r="661" spans="32:38" ht="18" customHeight="1" x14ac:dyDescent="0.25">
      <c r="AF661" s="6" t="s">
        <v>2538</v>
      </c>
      <c r="AG661" s="6">
        <v>10057</v>
      </c>
      <c r="AH661" s="60" t="s">
        <v>2539</v>
      </c>
      <c r="AJ661" s="60" t="s">
        <v>854</v>
      </c>
      <c r="AK661" s="6" t="s">
        <v>2354</v>
      </c>
      <c r="AL661" s="60" t="s">
        <v>828</v>
      </c>
    </row>
    <row r="662" spans="32:38" ht="18" customHeight="1" x14ac:dyDescent="0.25">
      <c r="AF662" s="6" t="s">
        <v>2538</v>
      </c>
      <c r="AG662" s="6">
        <v>15068</v>
      </c>
      <c r="AH662" s="60" t="s">
        <v>2540</v>
      </c>
      <c r="AJ662" s="60" t="s">
        <v>854</v>
      </c>
      <c r="AK662" s="6" t="s">
        <v>2356</v>
      </c>
      <c r="AL662" s="60" t="s">
        <v>1047</v>
      </c>
    </row>
    <row r="663" spans="32:38" ht="18" customHeight="1" x14ac:dyDescent="0.25">
      <c r="AF663" s="6" t="s">
        <v>2541</v>
      </c>
      <c r="AG663" s="6">
        <v>9716</v>
      </c>
      <c r="AH663" s="60" t="s">
        <v>2542</v>
      </c>
      <c r="AJ663" s="60" t="s">
        <v>854</v>
      </c>
      <c r="AK663" s="6" t="s">
        <v>2362</v>
      </c>
      <c r="AL663" s="60" t="s">
        <v>827</v>
      </c>
    </row>
    <row r="664" spans="32:38" ht="18" customHeight="1" x14ac:dyDescent="0.25">
      <c r="AF664" s="6" t="s">
        <v>2543</v>
      </c>
      <c r="AG664" s="6">
        <v>3398</v>
      </c>
      <c r="AH664" s="60" t="s">
        <v>2544</v>
      </c>
      <c r="AJ664" s="60" t="s">
        <v>854</v>
      </c>
      <c r="AK664" s="6" t="s">
        <v>2354</v>
      </c>
      <c r="AL664" s="60" t="s">
        <v>2545</v>
      </c>
    </row>
    <row r="665" spans="32:38" ht="18" customHeight="1" x14ac:dyDescent="0.25">
      <c r="AF665" s="6" t="s">
        <v>2546</v>
      </c>
      <c r="AG665" s="6">
        <v>15528</v>
      </c>
      <c r="AH665" s="60" t="s">
        <v>2547</v>
      </c>
      <c r="AJ665" s="60" t="s">
        <v>854</v>
      </c>
      <c r="AK665" s="6" t="s">
        <v>2360</v>
      </c>
      <c r="AL665" s="60" t="s">
        <v>2545</v>
      </c>
    </row>
    <row r="666" spans="32:38" ht="18" customHeight="1" x14ac:dyDescent="0.25">
      <c r="AF666" s="6" t="s">
        <v>2546</v>
      </c>
      <c r="AG666" s="6">
        <v>4321</v>
      </c>
      <c r="AH666" s="60" t="s">
        <v>2548</v>
      </c>
      <c r="AJ666" s="60" t="s">
        <v>854</v>
      </c>
      <c r="AK666" s="6" t="s">
        <v>2354</v>
      </c>
      <c r="AL666" s="60" t="s">
        <v>2545</v>
      </c>
    </row>
    <row r="667" spans="32:38" ht="18" customHeight="1" x14ac:dyDescent="0.25">
      <c r="AF667" s="6" t="s">
        <v>2546</v>
      </c>
      <c r="AG667" s="6">
        <v>9522</v>
      </c>
      <c r="AH667" s="60" t="s">
        <v>2549</v>
      </c>
      <c r="AJ667" s="60" t="s">
        <v>854</v>
      </c>
      <c r="AK667" s="6" t="s">
        <v>2360</v>
      </c>
      <c r="AL667" s="60" t="s">
        <v>2545</v>
      </c>
    </row>
    <row r="668" spans="32:38" ht="18" customHeight="1" x14ac:dyDescent="0.25">
      <c r="AF668" s="6" t="s">
        <v>2550</v>
      </c>
      <c r="AG668" s="6">
        <v>4593</v>
      </c>
      <c r="AH668" s="60" t="s">
        <v>2551</v>
      </c>
      <c r="AJ668" s="60" t="s">
        <v>854</v>
      </c>
      <c r="AK668" s="6" t="s">
        <v>2358</v>
      </c>
      <c r="AL668" s="60" t="s">
        <v>1145</v>
      </c>
    </row>
    <row r="669" spans="32:38" ht="18" customHeight="1" x14ac:dyDescent="0.25">
      <c r="AF669" s="6" t="s">
        <v>2552</v>
      </c>
      <c r="AG669" s="6">
        <v>6450</v>
      </c>
      <c r="AH669" s="60" t="s">
        <v>2553</v>
      </c>
      <c r="AJ669" s="60" t="s">
        <v>854</v>
      </c>
      <c r="AK669" s="6" t="s">
        <v>2554</v>
      </c>
      <c r="AL669" s="60" t="s">
        <v>1145</v>
      </c>
    </row>
    <row r="670" spans="32:38" ht="18" customHeight="1" x14ac:dyDescent="0.25">
      <c r="AF670" s="6" t="s">
        <v>2555</v>
      </c>
      <c r="AG670" s="6">
        <v>7880</v>
      </c>
      <c r="AH670" s="60" t="s">
        <v>2556</v>
      </c>
      <c r="AJ670" s="60" t="s">
        <v>854</v>
      </c>
      <c r="AK670" s="6" t="s">
        <v>2356</v>
      </c>
      <c r="AL670" s="60" t="s">
        <v>860</v>
      </c>
    </row>
    <row r="671" spans="32:38" ht="18" customHeight="1" x14ac:dyDescent="0.25">
      <c r="AF671" s="6" t="s">
        <v>2557</v>
      </c>
      <c r="AG671" s="6">
        <v>34837</v>
      </c>
      <c r="AH671" s="60" t="s">
        <v>2558</v>
      </c>
      <c r="AJ671" s="60" t="s">
        <v>854</v>
      </c>
      <c r="AK671" s="6" t="s">
        <v>2358</v>
      </c>
      <c r="AL671" s="60" t="s">
        <v>133</v>
      </c>
    </row>
    <row r="672" spans="32:38" ht="18" customHeight="1" x14ac:dyDescent="0.25">
      <c r="AF672" s="6" t="s">
        <v>2559</v>
      </c>
      <c r="AG672" s="6">
        <v>11202</v>
      </c>
      <c r="AH672" s="60" t="s">
        <v>2560</v>
      </c>
      <c r="AJ672" s="60" t="s">
        <v>854</v>
      </c>
      <c r="AK672" s="6" t="s">
        <v>2354</v>
      </c>
      <c r="AL672" s="60" t="s">
        <v>133</v>
      </c>
    </row>
    <row r="673" spans="32:38" ht="18" customHeight="1" x14ac:dyDescent="0.25">
      <c r="AF673" s="6" t="s">
        <v>2561</v>
      </c>
      <c r="AG673" s="6">
        <v>39547</v>
      </c>
      <c r="AH673" s="60" t="s">
        <v>2562</v>
      </c>
      <c r="AJ673" s="60" t="s">
        <v>854</v>
      </c>
      <c r="AK673" s="6" t="s">
        <v>2356</v>
      </c>
      <c r="AL673" s="60" t="s">
        <v>2563</v>
      </c>
    </row>
    <row r="674" spans="32:38" ht="18" customHeight="1" x14ac:dyDescent="0.25">
      <c r="AF674" s="6" t="s">
        <v>2564</v>
      </c>
      <c r="AG674" s="6">
        <v>18949</v>
      </c>
      <c r="AH674" s="60" t="s">
        <v>2565</v>
      </c>
      <c r="AJ674" s="60" t="s">
        <v>854</v>
      </c>
      <c r="AK674" s="6" t="s">
        <v>2359</v>
      </c>
      <c r="AL674" s="60" t="s">
        <v>837</v>
      </c>
    </row>
    <row r="675" spans="32:38" ht="18" customHeight="1" x14ac:dyDescent="0.25">
      <c r="AF675" s="6" t="s">
        <v>2566</v>
      </c>
      <c r="AG675" s="6">
        <v>41839</v>
      </c>
      <c r="AH675" s="60" t="s">
        <v>2567</v>
      </c>
      <c r="AJ675" s="60" t="s">
        <v>854</v>
      </c>
      <c r="AK675" s="6" t="s">
        <v>2356</v>
      </c>
      <c r="AL675" s="60" t="s">
        <v>611</v>
      </c>
    </row>
    <row r="676" spans="32:38" ht="18" customHeight="1" x14ac:dyDescent="0.25">
      <c r="AF676" s="6" t="s">
        <v>2568</v>
      </c>
      <c r="AG676" s="6">
        <v>33594</v>
      </c>
      <c r="AH676" s="60" t="s">
        <v>2569</v>
      </c>
      <c r="AJ676" s="60" t="s">
        <v>854</v>
      </c>
      <c r="AK676" s="6" t="s">
        <v>2360</v>
      </c>
      <c r="AL676" s="60" t="s">
        <v>133</v>
      </c>
    </row>
    <row r="677" spans="32:38" ht="18" customHeight="1" x14ac:dyDescent="0.25">
      <c r="AF677" s="6" t="s">
        <v>2570</v>
      </c>
      <c r="AG677" s="6">
        <v>3055217</v>
      </c>
      <c r="AH677" s="60" t="s">
        <v>2571</v>
      </c>
      <c r="AJ677" s="60" t="s">
        <v>854</v>
      </c>
      <c r="AK677" s="6" t="s">
        <v>2356</v>
      </c>
      <c r="AL677" s="60" t="s">
        <v>2371</v>
      </c>
    </row>
    <row r="678" spans="32:38" ht="18" customHeight="1" x14ac:dyDescent="0.25">
      <c r="AF678" s="6" t="s">
        <v>2572</v>
      </c>
      <c r="AG678" s="6">
        <v>3063085</v>
      </c>
      <c r="AH678" s="60" t="s">
        <v>2573</v>
      </c>
      <c r="AJ678" s="60" t="s">
        <v>854</v>
      </c>
      <c r="AK678" s="6" t="s">
        <v>2356</v>
      </c>
      <c r="AL678" s="60" t="s">
        <v>242</v>
      </c>
    </row>
    <row r="679" spans="32:38" ht="18" customHeight="1" x14ac:dyDescent="0.25">
      <c r="AF679" s="6" t="s">
        <v>2574</v>
      </c>
      <c r="AG679" s="6">
        <v>522895</v>
      </c>
      <c r="AH679" s="60" t="s">
        <v>2575</v>
      </c>
      <c r="AJ679" s="60" t="s">
        <v>854</v>
      </c>
      <c r="AK679" s="6" t="s">
        <v>2354</v>
      </c>
      <c r="AL679" s="60" t="s">
        <v>1133</v>
      </c>
    </row>
    <row r="680" spans="32:38" ht="18" customHeight="1" x14ac:dyDescent="0.25">
      <c r="AF680" s="6" t="s">
        <v>2574</v>
      </c>
      <c r="AG680" s="6">
        <v>540277</v>
      </c>
      <c r="AH680" s="60" t="s">
        <v>2576</v>
      </c>
      <c r="AJ680" s="60" t="s">
        <v>854</v>
      </c>
      <c r="AK680" s="6" t="s">
        <v>2356</v>
      </c>
      <c r="AL680" s="60" t="s">
        <v>1133</v>
      </c>
    </row>
    <row r="681" spans="32:38" ht="18" customHeight="1" x14ac:dyDescent="0.25">
      <c r="AF681" s="6" t="s">
        <v>2577</v>
      </c>
      <c r="AG681" s="6">
        <v>539137</v>
      </c>
      <c r="AH681" s="60" t="s">
        <v>2578</v>
      </c>
      <c r="AJ681" s="60" t="s">
        <v>854</v>
      </c>
      <c r="AK681" s="6" t="s">
        <v>2356</v>
      </c>
      <c r="AL681" s="60" t="s">
        <v>710</v>
      </c>
    </row>
    <row r="682" spans="32:38" ht="18" customHeight="1" x14ac:dyDescent="0.25">
      <c r="AF682" s="6" t="s">
        <v>2577</v>
      </c>
      <c r="AG682" s="6">
        <v>522856</v>
      </c>
      <c r="AH682" s="60" t="s">
        <v>2579</v>
      </c>
      <c r="AJ682" s="60" t="s">
        <v>854</v>
      </c>
      <c r="AK682" s="6" t="s">
        <v>2362</v>
      </c>
      <c r="AL682" s="60" t="s">
        <v>517</v>
      </c>
    </row>
    <row r="683" spans="32:38" ht="18" customHeight="1" x14ac:dyDescent="0.25">
      <c r="AF683" s="6" t="s">
        <v>2580</v>
      </c>
      <c r="AG683" s="6">
        <v>529745</v>
      </c>
      <c r="AH683" s="60" t="s">
        <v>2581</v>
      </c>
      <c r="AJ683" s="60" t="s">
        <v>854</v>
      </c>
      <c r="AK683" s="6" t="s">
        <v>2360</v>
      </c>
      <c r="AL683" s="60" t="s">
        <v>517</v>
      </c>
    </row>
    <row r="684" spans="32:38" ht="18" customHeight="1" x14ac:dyDescent="0.25">
      <c r="AF684" s="6" t="s">
        <v>2582</v>
      </c>
      <c r="AG684" s="6">
        <v>536927</v>
      </c>
      <c r="AH684" s="60" t="s">
        <v>2583</v>
      </c>
      <c r="AJ684" s="60" t="s">
        <v>854</v>
      </c>
      <c r="AK684" s="6" t="s">
        <v>2356</v>
      </c>
      <c r="AL684" s="60" t="s">
        <v>517</v>
      </c>
    </row>
    <row r="685" spans="32:38" ht="18" customHeight="1" x14ac:dyDescent="0.25">
      <c r="AF685" s="6" t="s">
        <v>2584</v>
      </c>
      <c r="AG685" s="6">
        <v>533860</v>
      </c>
      <c r="AH685" s="60" t="s">
        <v>2585</v>
      </c>
      <c r="AJ685" s="60" t="s">
        <v>854</v>
      </c>
      <c r="AK685" s="6" t="s">
        <v>2360</v>
      </c>
      <c r="AL685" s="60" t="s">
        <v>710</v>
      </c>
    </row>
    <row r="686" spans="32:38" ht="18" customHeight="1" x14ac:dyDescent="0.25">
      <c r="AF686" s="6" t="s">
        <v>2586</v>
      </c>
      <c r="AG686" s="6">
        <v>27275</v>
      </c>
      <c r="AH686" s="60" t="s">
        <v>2587</v>
      </c>
      <c r="AJ686" s="60" t="s">
        <v>854</v>
      </c>
      <c r="AK686" s="6" t="s">
        <v>2357</v>
      </c>
      <c r="AL686" s="60" t="s">
        <v>494</v>
      </c>
    </row>
    <row r="687" spans="32:38" ht="18" customHeight="1" x14ac:dyDescent="0.25">
      <c r="AF687" s="6" t="s">
        <v>2588</v>
      </c>
      <c r="AG687" s="6">
        <v>83250</v>
      </c>
      <c r="AH687" s="60" t="s">
        <v>2589</v>
      </c>
      <c r="AJ687" s="60" t="s">
        <v>854</v>
      </c>
      <c r="AK687" s="6" t="s">
        <v>2362</v>
      </c>
      <c r="AL687" s="60" t="s">
        <v>505</v>
      </c>
    </row>
    <row r="688" spans="32:38" ht="18" customHeight="1" x14ac:dyDescent="0.25">
      <c r="AF688" s="6" t="s">
        <v>2588</v>
      </c>
      <c r="AG688" s="6">
        <v>87330</v>
      </c>
      <c r="AH688" s="60" t="s">
        <v>2590</v>
      </c>
      <c r="AJ688" s="60" t="s">
        <v>854</v>
      </c>
      <c r="AK688" s="6" t="s">
        <v>2360</v>
      </c>
      <c r="AL688" s="60" t="s">
        <v>505</v>
      </c>
    </row>
    <row r="689" spans="32:38" ht="18" customHeight="1" x14ac:dyDescent="0.25">
      <c r="AF689" s="6" t="s">
        <v>2751</v>
      </c>
      <c r="AG689" s="6">
        <v>50989</v>
      </c>
      <c r="AH689" s="60" t="s">
        <v>2752</v>
      </c>
      <c r="AJ689" s="60" t="s">
        <v>854</v>
      </c>
      <c r="AK689" s="6" t="s">
        <v>2354</v>
      </c>
      <c r="AL689" s="60" t="s">
        <v>1345</v>
      </c>
    </row>
    <row r="690" spans="32:38" ht="18" customHeight="1" x14ac:dyDescent="0.25">
      <c r="AF690" s="6" t="s">
        <v>2753</v>
      </c>
      <c r="AG690" s="6">
        <v>10275</v>
      </c>
      <c r="AH690" s="60" t="s">
        <v>2754</v>
      </c>
      <c r="AJ690" s="60" t="s">
        <v>854</v>
      </c>
      <c r="AK690" s="6" t="s">
        <v>2360</v>
      </c>
      <c r="AL690" s="60" t="s">
        <v>429</v>
      </c>
    </row>
    <row r="691" spans="32:38" ht="18" customHeight="1" x14ac:dyDescent="0.25">
      <c r="AF691" s="6" t="s">
        <v>2755</v>
      </c>
      <c r="AG691" s="6">
        <v>15805</v>
      </c>
      <c r="AH691" s="60" t="s">
        <v>2756</v>
      </c>
      <c r="AJ691" s="60" t="s">
        <v>854</v>
      </c>
      <c r="AK691" s="6" t="s">
        <v>2356</v>
      </c>
      <c r="AL691" s="60" t="s">
        <v>1378</v>
      </c>
    </row>
    <row r="692" spans="32:38" ht="18" customHeight="1" x14ac:dyDescent="0.25">
      <c r="AF692" s="6" t="s">
        <v>2757</v>
      </c>
      <c r="AG692" s="6">
        <v>11876</v>
      </c>
      <c r="AH692" s="60" t="s">
        <v>2758</v>
      </c>
      <c r="AJ692" s="60" t="s">
        <v>854</v>
      </c>
      <c r="AK692" s="6" t="s">
        <v>2360</v>
      </c>
      <c r="AL692" s="60" t="s">
        <v>429</v>
      </c>
    </row>
    <row r="693" spans="32:38" ht="18" customHeight="1" x14ac:dyDescent="0.25">
      <c r="AF693" s="6" t="s">
        <v>2759</v>
      </c>
      <c r="AG693" s="6">
        <v>349</v>
      </c>
      <c r="AH693" s="60" t="s">
        <v>2760</v>
      </c>
      <c r="AJ693" s="60" t="s">
        <v>854</v>
      </c>
      <c r="AK693" s="6" t="s">
        <v>2354</v>
      </c>
      <c r="AL693" s="60" t="s">
        <v>429</v>
      </c>
    </row>
    <row r="694" spans="32:38" ht="18" customHeight="1" x14ac:dyDescent="0.25">
      <c r="AF694" s="6" t="s">
        <v>2761</v>
      </c>
      <c r="AG694" s="6">
        <v>16519</v>
      </c>
      <c r="AH694" s="60" t="s">
        <v>2762</v>
      </c>
      <c r="AJ694" s="60" t="s">
        <v>854</v>
      </c>
      <c r="AK694" s="6" t="s">
        <v>2356</v>
      </c>
      <c r="AL694" s="60" t="s">
        <v>429</v>
      </c>
    </row>
    <row r="695" spans="32:38" ht="18" customHeight="1" x14ac:dyDescent="0.25">
      <c r="AF695" s="6" t="s">
        <v>2761</v>
      </c>
      <c r="AG695" s="6">
        <v>2741</v>
      </c>
      <c r="AH695" s="60" t="s">
        <v>2763</v>
      </c>
      <c r="AJ695" s="60" t="s">
        <v>854</v>
      </c>
      <c r="AK695" s="6" t="s">
        <v>2354</v>
      </c>
      <c r="AL695" s="60" t="s">
        <v>429</v>
      </c>
    </row>
    <row r="696" spans="32:38" ht="18" customHeight="1" x14ac:dyDescent="0.25">
      <c r="AF696" s="6" t="s">
        <v>2764</v>
      </c>
      <c r="AG696" s="6">
        <v>10398</v>
      </c>
      <c r="AH696" s="60" t="s">
        <v>2765</v>
      </c>
      <c r="AJ696" s="60" t="s">
        <v>854</v>
      </c>
      <c r="AK696" s="6" t="s">
        <v>2359</v>
      </c>
      <c r="AL696" s="60" t="s">
        <v>429</v>
      </c>
    </row>
    <row r="697" spans="32:38" ht="18" customHeight="1" x14ac:dyDescent="0.25">
      <c r="AF697" s="6" t="s">
        <v>2766</v>
      </c>
      <c r="AG697" s="6">
        <v>3546</v>
      </c>
      <c r="AH697" s="60" t="s">
        <v>2767</v>
      </c>
      <c r="AJ697" s="60" t="s">
        <v>854</v>
      </c>
      <c r="AK697" s="6" t="s">
        <v>2354</v>
      </c>
      <c r="AL697" s="60" t="s">
        <v>969</v>
      </c>
    </row>
    <row r="698" spans="32:38" ht="18" customHeight="1" x14ac:dyDescent="0.25">
      <c r="AF698" s="6" t="s">
        <v>2768</v>
      </c>
      <c r="AG698" s="6">
        <v>12036</v>
      </c>
      <c r="AH698" s="60" t="s">
        <v>2769</v>
      </c>
      <c r="AJ698" s="60" t="s">
        <v>854</v>
      </c>
      <c r="AK698" s="6" t="s">
        <v>2362</v>
      </c>
      <c r="AL698" s="60" t="s">
        <v>542</v>
      </c>
    </row>
    <row r="699" spans="32:38" ht="18" customHeight="1" x14ac:dyDescent="0.25">
      <c r="AF699" s="6" t="s">
        <v>2770</v>
      </c>
      <c r="AG699" s="6">
        <v>5557</v>
      </c>
      <c r="AH699" s="60" t="s">
        <v>2771</v>
      </c>
      <c r="AJ699" s="60" t="s">
        <v>854</v>
      </c>
      <c r="AK699" s="6" t="s">
        <v>2354</v>
      </c>
      <c r="AL699" s="60" t="s">
        <v>542</v>
      </c>
    </row>
    <row r="700" spans="32:38" ht="18" customHeight="1" x14ac:dyDescent="0.25">
      <c r="AF700" s="6" t="s">
        <v>2772</v>
      </c>
      <c r="AG700" s="6">
        <v>15635</v>
      </c>
      <c r="AH700" s="60" t="s">
        <v>2773</v>
      </c>
      <c r="AJ700" s="60" t="s">
        <v>854</v>
      </c>
      <c r="AK700" s="6" t="s">
        <v>2360</v>
      </c>
      <c r="AL700" s="60" t="s">
        <v>2774</v>
      </c>
    </row>
    <row r="701" spans="32:38" ht="18" customHeight="1" x14ac:dyDescent="0.25">
      <c r="AF701" s="6" t="s">
        <v>2775</v>
      </c>
      <c r="AG701" s="6">
        <v>15408</v>
      </c>
      <c r="AH701" s="60" t="s">
        <v>2776</v>
      </c>
      <c r="AJ701" s="60" t="s">
        <v>854</v>
      </c>
      <c r="AK701" s="6" t="s">
        <v>2360</v>
      </c>
      <c r="AL701" s="60" t="s">
        <v>1380</v>
      </c>
    </row>
    <row r="702" spans="32:38" ht="18" customHeight="1" x14ac:dyDescent="0.25">
      <c r="AF702" s="6" t="s">
        <v>2777</v>
      </c>
      <c r="AG702" s="6">
        <v>11373</v>
      </c>
      <c r="AH702" s="60" t="s">
        <v>2778</v>
      </c>
      <c r="AJ702" s="60" t="s">
        <v>854</v>
      </c>
      <c r="AK702" s="6" t="s">
        <v>2361</v>
      </c>
      <c r="AL702" s="60" t="s">
        <v>542</v>
      </c>
    </row>
    <row r="703" spans="32:38" ht="18" customHeight="1" x14ac:dyDescent="0.25">
      <c r="AF703" s="6" t="s">
        <v>2779</v>
      </c>
      <c r="AG703" s="6">
        <v>20146</v>
      </c>
      <c r="AH703" s="60" t="s">
        <v>2780</v>
      </c>
      <c r="AJ703" s="60" t="s">
        <v>854</v>
      </c>
      <c r="AK703" s="6" t="s">
        <v>2361</v>
      </c>
      <c r="AL703" s="60" t="s">
        <v>2781</v>
      </c>
    </row>
    <row r="704" spans="32:38" ht="18" customHeight="1" x14ac:dyDescent="0.25">
      <c r="AF704" s="6" t="s">
        <v>2782</v>
      </c>
      <c r="AG704" s="6">
        <v>21130</v>
      </c>
      <c r="AH704" s="60" t="s">
        <v>2783</v>
      </c>
      <c r="AJ704" s="60" t="s">
        <v>854</v>
      </c>
      <c r="AK704" s="6" t="s">
        <v>2356</v>
      </c>
      <c r="AL704" s="60" t="s">
        <v>722</v>
      </c>
    </row>
    <row r="705" spans="32:38" ht="18" customHeight="1" x14ac:dyDescent="0.25">
      <c r="AF705" s="6" t="s">
        <v>2784</v>
      </c>
      <c r="AG705" s="6">
        <v>16195</v>
      </c>
      <c r="AH705" s="60" t="s">
        <v>2785</v>
      </c>
      <c r="AJ705" s="295" t="s">
        <v>855</v>
      </c>
      <c r="AK705" s="6" t="s">
        <v>2355</v>
      </c>
      <c r="AL705" s="60" t="s">
        <v>542</v>
      </c>
    </row>
    <row r="706" spans="32:38" ht="18" customHeight="1" x14ac:dyDescent="0.25">
      <c r="AF706" s="6" t="s">
        <v>2786</v>
      </c>
      <c r="AG706" s="6">
        <v>1702</v>
      </c>
      <c r="AH706" s="60" t="s">
        <v>2787</v>
      </c>
      <c r="AJ706" s="60" t="s">
        <v>854</v>
      </c>
      <c r="AK706" s="6" t="s">
        <v>2354</v>
      </c>
      <c r="AL706" s="60" t="s">
        <v>1296</v>
      </c>
    </row>
    <row r="707" spans="32:38" ht="18" customHeight="1" x14ac:dyDescent="0.25">
      <c r="AF707" s="6" t="s">
        <v>2788</v>
      </c>
      <c r="AG707" s="6">
        <v>438</v>
      </c>
      <c r="AH707" s="60" t="s">
        <v>2789</v>
      </c>
      <c r="AJ707" s="60" t="s">
        <v>854</v>
      </c>
      <c r="AK707" s="6" t="s">
        <v>2354</v>
      </c>
      <c r="AL707" s="60" t="s">
        <v>247</v>
      </c>
    </row>
    <row r="708" spans="32:38" ht="18" customHeight="1" x14ac:dyDescent="0.25">
      <c r="AF708" s="6" t="s">
        <v>2790</v>
      </c>
      <c r="AG708" s="6">
        <v>8071</v>
      </c>
      <c r="AH708" s="60" t="s">
        <v>2791</v>
      </c>
      <c r="AJ708" s="60" t="s">
        <v>854</v>
      </c>
      <c r="AK708" s="6" t="s">
        <v>2360</v>
      </c>
      <c r="AL708" s="60" t="s">
        <v>2207</v>
      </c>
    </row>
    <row r="709" spans="32:38" ht="18" customHeight="1" x14ac:dyDescent="0.25">
      <c r="AF709" s="6" t="s">
        <v>2792</v>
      </c>
      <c r="AG709" s="6">
        <v>7835</v>
      </c>
      <c r="AH709" s="60" t="s">
        <v>2793</v>
      </c>
      <c r="AJ709" s="60" t="s">
        <v>854</v>
      </c>
      <c r="AK709" s="6" t="s">
        <v>2358</v>
      </c>
      <c r="AL709" s="60" t="s">
        <v>1296</v>
      </c>
    </row>
    <row r="710" spans="32:38" ht="18" customHeight="1" x14ac:dyDescent="0.25">
      <c r="AF710" s="6" t="s">
        <v>2794</v>
      </c>
      <c r="AG710" s="6">
        <v>1799</v>
      </c>
      <c r="AH710" s="60" t="s">
        <v>2795</v>
      </c>
      <c r="AJ710" s="60" t="s">
        <v>854</v>
      </c>
      <c r="AK710" s="6" t="s">
        <v>2354</v>
      </c>
      <c r="AL710" s="60" t="s">
        <v>1296</v>
      </c>
    </row>
    <row r="711" spans="32:38" ht="18" customHeight="1" x14ac:dyDescent="0.25">
      <c r="AF711" s="6" t="s">
        <v>2796</v>
      </c>
      <c r="AG711" s="6">
        <v>9070</v>
      </c>
      <c r="AH711" s="60" t="s">
        <v>2797</v>
      </c>
      <c r="AJ711" s="60" t="s">
        <v>854</v>
      </c>
      <c r="AK711" s="6" t="s">
        <v>2356</v>
      </c>
      <c r="AL711" s="60" t="s">
        <v>2207</v>
      </c>
    </row>
    <row r="712" spans="32:38" ht="18" customHeight="1" x14ac:dyDescent="0.25">
      <c r="AF712" s="6" t="s">
        <v>2798</v>
      </c>
      <c r="AG712" s="6">
        <v>1242</v>
      </c>
      <c r="AH712" s="60" t="s">
        <v>2799</v>
      </c>
      <c r="AJ712" s="60" t="s">
        <v>854</v>
      </c>
      <c r="AK712" s="6" t="s">
        <v>2354</v>
      </c>
      <c r="AL712" s="60" t="s">
        <v>1296</v>
      </c>
    </row>
    <row r="713" spans="32:38" ht="18" customHeight="1" x14ac:dyDescent="0.25">
      <c r="AF713" s="6" t="s">
        <v>2800</v>
      </c>
      <c r="AG713" s="6">
        <v>497</v>
      </c>
      <c r="AH713" s="60" t="s">
        <v>2801</v>
      </c>
      <c r="AJ713" s="60" t="s">
        <v>854</v>
      </c>
      <c r="AK713" s="6" t="s">
        <v>2354</v>
      </c>
      <c r="AL713" s="60" t="s">
        <v>247</v>
      </c>
    </row>
    <row r="714" spans="32:38" ht="18" customHeight="1" x14ac:dyDescent="0.25">
      <c r="AF714" s="6" t="s">
        <v>2802</v>
      </c>
      <c r="AG714" s="6">
        <v>2076104</v>
      </c>
      <c r="AH714" s="60" t="s">
        <v>2803</v>
      </c>
      <c r="AJ714" s="60" t="s">
        <v>854</v>
      </c>
      <c r="AK714" s="6" t="s">
        <v>2354</v>
      </c>
      <c r="AL714" s="60" t="s">
        <v>1969</v>
      </c>
    </row>
    <row r="715" spans="32:38" ht="18" customHeight="1" x14ac:dyDescent="0.25">
      <c r="AF715" s="6" t="s">
        <v>2804</v>
      </c>
      <c r="AG715" s="6">
        <v>46769</v>
      </c>
      <c r="AH715" s="60" t="s">
        <v>2805</v>
      </c>
      <c r="AJ715" s="60" t="s">
        <v>854</v>
      </c>
      <c r="AK715" s="6" t="s">
        <v>2354</v>
      </c>
      <c r="AL715" s="60" t="s">
        <v>1349</v>
      </c>
    </row>
    <row r="716" spans="32:38" ht="18" customHeight="1" x14ac:dyDescent="0.25">
      <c r="AF716" s="6" t="s">
        <v>2806</v>
      </c>
      <c r="AG716" s="6">
        <v>51608</v>
      </c>
      <c r="AH716" s="60" t="s">
        <v>2807</v>
      </c>
      <c r="AJ716" s="60" t="s">
        <v>854</v>
      </c>
      <c r="AK716" s="6" t="s">
        <v>2360</v>
      </c>
      <c r="AL716" s="60" t="s">
        <v>1350</v>
      </c>
    </row>
    <row r="717" spans="32:38" ht="18" customHeight="1" x14ac:dyDescent="0.25">
      <c r="AF717" s="6" t="s">
        <v>2808</v>
      </c>
      <c r="AG717" s="6">
        <v>44574</v>
      </c>
      <c r="AH717" s="60" t="s">
        <v>2809</v>
      </c>
      <c r="AJ717" s="60" t="s">
        <v>854</v>
      </c>
      <c r="AK717" s="6" t="s">
        <v>2354</v>
      </c>
      <c r="AL717" s="60" t="s">
        <v>1349</v>
      </c>
    </row>
    <row r="718" spans="32:38" ht="18" customHeight="1" x14ac:dyDescent="0.25">
      <c r="AF718" s="6" t="s">
        <v>2808</v>
      </c>
      <c r="AG718" s="6">
        <v>60302</v>
      </c>
      <c r="AH718" s="60" t="s">
        <v>2810</v>
      </c>
      <c r="AJ718" s="60" t="s">
        <v>854</v>
      </c>
      <c r="AK718" s="6" t="s">
        <v>2554</v>
      </c>
      <c r="AL718" s="60" t="s">
        <v>968</v>
      </c>
    </row>
    <row r="719" spans="32:38" ht="18" customHeight="1" x14ac:dyDescent="0.25">
      <c r="AF719" s="6" t="s">
        <v>2811</v>
      </c>
      <c r="AG719" s="6">
        <v>49538</v>
      </c>
      <c r="AH719" s="60" t="s">
        <v>2812</v>
      </c>
      <c r="AJ719" s="60" t="s">
        <v>854</v>
      </c>
      <c r="AK719" s="6" t="s">
        <v>2360</v>
      </c>
      <c r="AL719" s="60" t="s">
        <v>1968</v>
      </c>
    </row>
    <row r="720" spans="32:38" ht="18" customHeight="1" x14ac:dyDescent="0.25">
      <c r="AF720" s="6" t="s">
        <v>2813</v>
      </c>
      <c r="AG720" s="6">
        <v>26682</v>
      </c>
      <c r="AH720" s="60" t="s">
        <v>2814</v>
      </c>
      <c r="AJ720" s="60" t="s">
        <v>854</v>
      </c>
      <c r="AK720" s="6" t="s">
        <v>2354</v>
      </c>
      <c r="AL720" s="60" t="s">
        <v>1349</v>
      </c>
    </row>
    <row r="721" spans="32:38" ht="18" customHeight="1" x14ac:dyDescent="0.25">
      <c r="AF721" s="6" t="s">
        <v>2815</v>
      </c>
      <c r="AG721" s="6">
        <v>49124</v>
      </c>
      <c r="AH721" s="60" t="s">
        <v>2816</v>
      </c>
      <c r="AJ721" s="60" t="s">
        <v>854</v>
      </c>
      <c r="AK721" s="6" t="s">
        <v>2360</v>
      </c>
      <c r="AL721" s="60" t="s">
        <v>1968</v>
      </c>
    </row>
    <row r="722" spans="32:38" ht="18" customHeight="1" x14ac:dyDescent="0.25">
      <c r="AF722" s="6" t="s">
        <v>2817</v>
      </c>
      <c r="AG722" s="6">
        <v>54096</v>
      </c>
      <c r="AH722" s="60" t="s">
        <v>2818</v>
      </c>
      <c r="AJ722" s="60" t="s">
        <v>854</v>
      </c>
      <c r="AK722" s="6" t="s">
        <v>2356</v>
      </c>
      <c r="AL722" s="60" t="s">
        <v>968</v>
      </c>
    </row>
    <row r="723" spans="32:38" ht="18" customHeight="1" x14ac:dyDescent="0.25">
      <c r="AF723" s="6" t="s">
        <v>2819</v>
      </c>
      <c r="AG723" s="6">
        <v>2417</v>
      </c>
      <c r="AH723" s="60" t="s">
        <v>2820</v>
      </c>
      <c r="AJ723" s="295" t="s">
        <v>855</v>
      </c>
      <c r="AK723" s="6" t="s">
        <v>2355</v>
      </c>
      <c r="AL723" s="60" t="s">
        <v>1353</v>
      </c>
    </row>
    <row r="724" spans="32:38" ht="18" customHeight="1" x14ac:dyDescent="0.25">
      <c r="AF724" s="6" t="s">
        <v>2821</v>
      </c>
      <c r="AG724" s="6">
        <v>3603</v>
      </c>
      <c r="AH724" s="60" t="s">
        <v>2822</v>
      </c>
      <c r="AJ724" s="60" t="s">
        <v>854</v>
      </c>
      <c r="AK724" s="6" t="s">
        <v>2361</v>
      </c>
      <c r="AL724" s="60" t="s">
        <v>1353</v>
      </c>
    </row>
    <row r="725" spans="32:38" ht="18" customHeight="1" x14ac:dyDescent="0.25">
      <c r="AF725" s="6" t="s">
        <v>2823</v>
      </c>
      <c r="AG725" s="6">
        <v>7121</v>
      </c>
      <c r="AH725" s="60" t="s">
        <v>2824</v>
      </c>
      <c r="AJ725" s="60" t="s">
        <v>854</v>
      </c>
      <c r="AK725" s="6" t="s">
        <v>2360</v>
      </c>
      <c r="AL725" s="60" t="s">
        <v>1379</v>
      </c>
    </row>
    <row r="726" spans="32:38" ht="18" customHeight="1" x14ac:dyDescent="0.25">
      <c r="AF726" s="6" t="s">
        <v>2825</v>
      </c>
      <c r="AG726" s="6">
        <v>2882</v>
      </c>
      <c r="AH726" s="60" t="s">
        <v>2826</v>
      </c>
      <c r="AJ726" s="60" t="s">
        <v>854</v>
      </c>
      <c r="AK726" s="6" t="s">
        <v>2354</v>
      </c>
      <c r="AL726" s="60" t="s">
        <v>1353</v>
      </c>
    </row>
    <row r="727" spans="32:38" ht="18" customHeight="1" x14ac:dyDescent="0.25">
      <c r="AF727" s="6" t="s">
        <v>2827</v>
      </c>
      <c r="AG727" s="6">
        <v>4006</v>
      </c>
      <c r="AH727" s="60" t="s">
        <v>2828</v>
      </c>
      <c r="AJ727" s="60" t="s">
        <v>854</v>
      </c>
      <c r="AK727" s="6" t="s">
        <v>2360</v>
      </c>
      <c r="AL727" s="60" t="s">
        <v>726</v>
      </c>
    </row>
    <row r="728" spans="32:38" ht="18" customHeight="1" x14ac:dyDescent="0.25">
      <c r="AF728" s="6" t="s">
        <v>2829</v>
      </c>
      <c r="AG728" s="6">
        <v>3144</v>
      </c>
      <c r="AH728" s="60" t="s">
        <v>2830</v>
      </c>
      <c r="AJ728" s="60" t="s">
        <v>854</v>
      </c>
      <c r="AK728" s="6" t="s">
        <v>2360</v>
      </c>
      <c r="AL728" s="60" t="s">
        <v>299</v>
      </c>
    </row>
    <row r="729" spans="32:38" ht="18" customHeight="1" x14ac:dyDescent="0.25">
      <c r="AF729" s="6" t="s">
        <v>2831</v>
      </c>
      <c r="AG729" s="6">
        <v>3012</v>
      </c>
      <c r="AH729" s="60" t="s">
        <v>2832</v>
      </c>
      <c r="AJ729" s="60" t="s">
        <v>854</v>
      </c>
      <c r="AK729" s="6" t="s">
        <v>2360</v>
      </c>
      <c r="AL729" s="60" t="s">
        <v>299</v>
      </c>
    </row>
    <row r="730" spans="32:38" ht="18" customHeight="1" x14ac:dyDescent="0.25">
      <c r="AF730" s="6" t="s">
        <v>2833</v>
      </c>
      <c r="AG730" s="6">
        <v>30317</v>
      </c>
      <c r="AH730" s="60" t="s">
        <v>2834</v>
      </c>
      <c r="AJ730" s="60" t="s">
        <v>854</v>
      </c>
      <c r="AK730" s="6" t="s">
        <v>2360</v>
      </c>
      <c r="AL730" s="60" t="s">
        <v>1356</v>
      </c>
    </row>
    <row r="731" spans="32:38" ht="18" customHeight="1" x14ac:dyDescent="0.25">
      <c r="AF731" s="6" t="s">
        <v>2835</v>
      </c>
      <c r="AG731" s="6">
        <v>30644</v>
      </c>
      <c r="AH731" s="60" t="s">
        <v>2836</v>
      </c>
      <c r="AJ731" s="60" t="s">
        <v>854</v>
      </c>
      <c r="AK731" s="6" t="s">
        <v>2360</v>
      </c>
      <c r="AL731" s="60" t="s">
        <v>2837</v>
      </c>
    </row>
    <row r="732" spans="32:38" ht="18" customHeight="1" x14ac:dyDescent="0.25">
      <c r="AF732" s="6" t="s">
        <v>2838</v>
      </c>
      <c r="AG732" s="6">
        <v>10878</v>
      </c>
      <c r="AH732" s="60" t="s">
        <v>2839</v>
      </c>
      <c r="AJ732" s="60" t="s">
        <v>854</v>
      </c>
      <c r="AK732" s="6" t="s">
        <v>2361</v>
      </c>
      <c r="AL732" s="60" t="s">
        <v>2840</v>
      </c>
    </row>
    <row r="733" spans="32:38" ht="18" customHeight="1" x14ac:dyDescent="0.25">
      <c r="AF733" s="6" t="s">
        <v>2841</v>
      </c>
      <c r="AG733" s="6">
        <v>16719</v>
      </c>
      <c r="AH733" s="60" t="s">
        <v>2842</v>
      </c>
      <c r="AJ733" s="60" t="s">
        <v>854</v>
      </c>
      <c r="AK733" s="6" t="s">
        <v>2356</v>
      </c>
      <c r="AL733" s="60" t="s">
        <v>2840</v>
      </c>
    </row>
    <row r="734" spans="32:38" ht="18" customHeight="1" x14ac:dyDescent="0.25">
      <c r="AF734" s="6" t="s">
        <v>2843</v>
      </c>
      <c r="AG734" s="6">
        <v>3511</v>
      </c>
      <c r="AH734" s="60" t="s">
        <v>2844</v>
      </c>
      <c r="AJ734" s="60" t="s">
        <v>854</v>
      </c>
      <c r="AK734" s="6" t="s">
        <v>2354</v>
      </c>
      <c r="AL734" s="60" t="s">
        <v>2204</v>
      </c>
    </row>
    <row r="735" spans="32:38" ht="18" customHeight="1" x14ac:dyDescent="0.25">
      <c r="AF735" s="6" t="s">
        <v>2845</v>
      </c>
      <c r="AG735" s="6">
        <v>907</v>
      </c>
      <c r="AH735" s="60" t="s">
        <v>2846</v>
      </c>
      <c r="AJ735" s="60" t="s">
        <v>854</v>
      </c>
      <c r="AK735" s="6" t="s">
        <v>2354</v>
      </c>
      <c r="AL735" s="60" t="s">
        <v>2847</v>
      </c>
    </row>
    <row r="736" spans="32:38" ht="18" customHeight="1" x14ac:dyDescent="0.25">
      <c r="AF736" s="6" t="s">
        <v>2848</v>
      </c>
      <c r="AG736" s="6">
        <v>11248</v>
      </c>
      <c r="AH736" s="60" t="s">
        <v>2849</v>
      </c>
      <c r="AJ736" s="60" t="s">
        <v>854</v>
      </c>
      <c r="AK736" s="6" t="s">
        <v>2359</v>
      </c>
      <c r="AL736" s="60" t="s">
        <v>2204</v>
      </c>
    </row>
    <row r="737" spans="32:38" ht="18" customHeight="1" x14ac:dyDescent="0.25">
      <c r="AF737" s="6" t="s">
        <v>2850</v>
      </c>
      <c r="AG737" s="6">
        <v>8406</v>
      </c>
      <c r="AH737" s="60" t="s">
        <v>2851</v>
      </c>
      <c r="AJ737" s="60" t="s">
        <v>854</v>
      </c>
      <c r="AK737" s="6" t="s">
        <v>2361</v>
      </c>
      <c r="AL737" s="60" t="s">
        <v>2852</v>
      </c>
    </row>
    <row r="738" spans="32:38" ht="18" customHeight="1" x14ac:dyDescent="0.25">
      <c r="AF738" s="6" t="s">
        <v>2853</v>
      </c>
      <c r="AG738" s="6">
        <v>6878</v>
      </c>
      <c r="AH738" s="60" t="s">
        <v>2854</v>
      </c>
      <c r="AJ738" s="60" t="s">
        <v>854</v>
      </c>
      <c r="AK738" s="6" t="s">
        <v>2354</v>
      </c>
      <c r="AL738" s="60" t="s">
        <v>2847</v>
      </c>
    </row>
    <row r="739" spans="32:38" ht="18" customHeight="1" x14ac:dyDescent="0.25">
      <c r="AF739" s="6" t="s">
        <v>2855</v>
      </c>
      <c r="AG739" s="6">
        <v>14823</v>
      </c>
      <c r="AH739" s="60" t="s">
        <v>2856</v>
      </c>
      <c r="AJ739" s="60" t="s">
        <v>854</v>
      </c>
      <c r="AK739" s="6" t="s">
        <v>2354</v>
      </c>
      <c r="AL739" s="60" t="s">
        <v>1037</v>
      </c>
    </row>
    <row r="740" spans="32:38" ht="18" customHeight="1" x14ac:dyDescent="0.25">
      <c r="AF740" s="6" t="s">
        <v>2857</v>
      </c>
      <c r="AG740" s="6">
        <v>124</v>
      </c>
      <c r="AH740" s="60" t="s">
        <v>2858</v>
      </c>
      <c r="AJ740" s="60" t="s">
        <v>854</v>
      </c>
      <c r="AK740" s="6" t="s">
        <v>2354</v>
      </c>
      <c r="AL740" s="60" t="s">
        <v>2859</v>
      </c>
    </row>
    <row r="741" spans="32:38" ht="18" customHeight="1" x14ac:dyDescent="0.25">
      <c r="AF741" s="6" t="s">
        <v>2860</v>
      </c>
      <c r="AG741" s="6">
        <v>10810</v>
      </c>
      <c r="AH741" s="60" t="s">
        <v>2861</v>
      </c>
      <c r="AJ741" s="60" t="s">
        <v>854</v>
      </c>
      <c r="AK741" s="6" t="s">
        <v>2358</v>
      </c>
      <c r="AL741" s="60" t="s">
        <v>2862</v>
      </c>
    </row>
    <row r="742" spans="32:38" ht="18" customHeight="1" x14ac:dyDescent="0.25">
      <c r="AF742" s="6" t="s">
        <v>2860</v>
      </c>
      <c r="AG742" s="6">
        <v>5329</v>
      </c>
      <c r="AH742" s="60" t="s">
        <v>2863</v>
      </c>
      <c r="AJ742" s="60" t="s">
        <v>854</v>
      </c>
      <c r="AK742" s="6" t="s">
        <v>2354</v>
      </c>
      <c r="AL742" s="60" t="s">
        <v>857</v>
      </c>
    </row>
    <row r="743" spans="32:38" ht="18" customHeight="1" x14ac:dyDescent="0.25">
      <c r="AF743" s="6" t="s">
        <v>2864</v>
      </c>
      <c r="AG743" s="6">
        <v>11308</v>
      </c>
      <c r="AH743" s="60" t="s">
        <v>2865</v>
      </c>
      <c r="AJ743" s="295" t="s">
        <v>855</v>
      </c>
      <c r="AK743" s="6" t="s">
        <v>2355</v>
      </c>
      <c r="AL743" s="60" t="s">
        <v>857</v>
      </c>
    </row>
    <row r="744" spans="32:38" ht="18" customHeight="1" x14ac:dyDescent="0.25">
      <c r="AF744" s="6" t="s">
        <v>2866</v>
      </c>
      <c r="AG744" s="6">
        <v>23468</v>
      </c>
      <c r="AH744" s="60" t="s">
        <v>2867</v>
      </c>
      <c r="AJ744" s="60" t="s">
        <v>854</v>
      </c>
      <c r="AK744" s="6" t="s">
        <v>2362</v>
      </c>
      <c r="AL744" s="60" t="s">
        <v>647</v>
      </c>
    </row>
    <row r="745" spans="32:38" ht="18" customHeight="1" x14ac:dyDescent="0.25">
      <c r="AF745" s="6" t="s">
        <v>2868</v>
      </c>
      <c r="AG745" s="6">
        <v>30424</v>
      </c>
      <c r="AH745" s="60" t="s">
        <v>2869</v>
      </c>
      <c r="AJ745" s="60" t="s">
        <v>854</v>
      </c>
      <c r="AK745" s="6" t="s">
        <v>2360</v>
      </c>
      <c r="AL745" s="60" t="s">
        <v>727</v>
      </c>
    </row>
    <row r="746" spans="32:38" ht="18" customHeight="1" x14ac:dyDescent="0.25">
      <c r="AF746" s="6" t="s">
        <v>2868</v>
      </c>
      <c r="AG746" s="6">
        <v>28790</v>
      </c>
      <c r="AH746" s="60" t="s">
        <v>2870</v>
      </c>
      <c r="AJ746" s="60" t="s">
        <v>854</v>
      </c>
      <c r="AK746" s="6" t="s">
        <v>2358</v>
      </c>
      <c r="AL746" s="60" t="s">
        <v>727</v>
      </c>
    </row>
    <row r="747" spans="32:38" ht="18" customHeight="1" x14ac:dyDescent="0.25">
      <c r="AF747" s="6" t="s">
        <v>2871</v>
      </c>
      <c r="AG747" s="6">
        <v>35342</v>
      </c>
      <c r="AH747" s="60" t="s">
        <v>2872</v>
      </c>
      <c r="AJ747" s="60" t="s">
        <v>854</v>
      </c>
      <c r="AK747" s="6" t="s">
        <v>2554</v>
      </c>
      <c r="AL747" s="60" t="s">
        <v>508</v>
      </c>
    </row>
    <row r="748" spans="32:38" ht="18" customHeight="1" x14ac:dyDescent="0.25">
      <c r="AF748" s="6" t="s">
        <v>2873</v>
      </c>
      <c r="AG748" s="6">
        <v>10118</v>
      </c>
      <c r="AH748" s="60" t="s">
        <v>2874</v>
      </c>
      <c r="AJ748" s="295" t="s">
        <v>855</v>
      </c>
      <c r="AK748" s="6" t="s">
        <v>2743</v>
      </c>
      <c r="AL748" s="60" t="s">
        <v>648</v>
      </c>
    </row>
    <row r="749" spans="32:38" ht="18" customHeight="1" x14ac:dyDescent="0.25">
      <c r="AF749" s="6" t="s">
        <v>2875</v>
      </c>
      <c r="AG749" s="6">
        <v>26047</v>
      </c>
      <c r="AH749" s="60" t="s">
        <v>2876</v>
      </c>
      <c r="AJ749" s="60" t="s">
        <v>854</v>
      </c>
      <c r="AK749" s="6" t="s">
        <v>2354</v>
      </c>
      <c r="AL749" s="60" t="s">
        <v>184</v>
      </c>
    </row>
    <row r="750" spans="32:38" ht="18" customHeight="1" x14ac:dyDescent="0.25">
      <c r="AF750" s="6" t="s">
        <v>2877</v>
      </c>
      <c r="AG750" s="6">
        <v>33722</v>
      </c>
      <c r="AH750" s="60" t="s">
        <v>2878</v>
      </c>
      <c r="AJ750" s="60" t="s">
        <v>854</v>
      </c>
      <c r="AK750" s="6" t="s">
        <v>2356</v>
      </c>
      <c r="AL750" s="60" t="s">
        <v>2205</v>
      </c>
    </row>
    <row r="751" spans="32:38" ht="18" customHeight="1" x14ac:dyDescent="0.25">
      <c r="AF751" s="6" t="s">
        <v>2879</v>
      </c>
      <c r="AG751" s="6">
        <v>28510</v>
      </c>
      <c r="AH751" s="60" t="s">
        <v>2880</v>
      </c>
      <c r="AJ751" s="60" t="s">
        <v>854</v>
      </c>
      <c r="AK751" s="6" t="s">
        <v>2360</v>
      </c>
      <c r="AL751" s="60" t="s">
        <v>647</v>
      </c>
    </row>
    <row r="752" spans="32:38" ht="18" customHeight="1" x14ac:dyDescent="0.25">
      <c r="AF752" s="6" t="s">
        <v>2881</v>
      </c>
      <c r="AG752" s="6">
        <v>7428</v>
      </c>
      <c r="AH752" s="60" t="s">
        <v>2882</v>
      </c>
      <c r="AJ752" s="60" t="s">
        <v>854</v>
      </c>
      <c r="AK752" s="6" t="s">
        <v>2360</v>
      </c>
      <c r="AL752" s="60" t="s">
        <v>511</v>
      </c>
    </row>
    <row r="753" spans="32:38" ht="18" customHeight="1" x14ac:dyDescent="0.25">
      <c r="AF753" s="6" t="s">
        <v>2883</v>
      </c>
      <c r="AG753" s="6">
        <v>2128183</v>
      </c>
      <c r="AH753" s="60" t="s">
        <v>2884</v>
      </c>
      <c r="AJ753" s="60" t="s">
        <v>854</v>
      </c>
      <c r="AK753" s="6" t="s">
        <v>2885</v>
      </c>
      <c r="AL753" s="60" t="s">
        <v>1088</v>
      </c>
    </row>
    <row r="754" spans="32:38" ht="18" customHeight="1" x14ac:dyDescent="0.25">
      <c r="AF754" s="6" t="s">
        <v>2886</v>
      </c>
      <c r="AG754" s="6">
        <v>11973</v>
      </c>
      <c r="AH754" s="60" t="s">
        <v>2887</v>
      </c>
      <c r="AJ754" s="60" t="s">
        <v>854</v>
      </c>
      <c r="AK754" s="6" t="s">
        <v>2356</v>
      </c>
      <c r="AL754" s="60" t="s">
        <v>2363</v>
      </c>
    </row>
    <row r="755" spans="32:38" ht="18" customHeight="1" x14ac:dyDescent="0.25">
      <c r="AF755" s="6" t="s">
        <v>2888</v>
      </c>
      <c r="AG755" s="6">
        <v>2201</v>
      </c>
      <c r="AH755" s="60" t="s">
        <v>2889</v>
      </c>
      <c r="AJ755" s="60" t="s">
        <v>854</v>
      </c>
      <c r="AK755" s="6" t="s">
        <v>2362</v>
      </c>
      <c r="AL755" s="60" t="s">
        <v>1088</v>
      </c>
    </row>
    <row r="756" spans="32:38" ht="18" customHeight="1" x14ac:dyDescent="0.25">
      <c r="AF756" s="6" t="s">
        <v>2888</v>
      </c>
      <c r="AG756" s="6">
        <v>7549</v>
      </c>
      <c r="AH756" s="60" t="s">
        <v>2890</v>
      </c>
      <c r="AJ756" s="60" t="s">
        <v>854</v>
      </c>
      <c r="AK756" s="6" t="s">
        <v>2360</v>
      </c>
      <c r="AL756" s="60" t="s">
        <v>2521</v>
      </c>
    </row>
    <row r="757" spans="32:38" ht="18" customHeight="1" x14ac:dyDescent="0.25">
      <c r="AF757" s="6" t="s">
        <v>2891</v>
      </c>
      <c r="AG757" s="6">
        <v>8537</v>
      </c>
      <c r="AH757" s="60" t="s">
        <v>2892</v>
      </c>
      <c r="AJ757" s="60" t="s">
        <v>854</v>
      </c>
      <c r="AK757" s="6" t="s">
        <v>2356</v>
      </c>
      <c r="AL757" s="60" t="s">
        <v>864</v>
      </c>
    </row>
    <row r="758" spans="32:38" ht="18" customHeight="1" x14ac:dyDescent="0.25">
      <c r="AF758" s="6" t="s">
        <v>2893</v>
      </c>
      <c r="AG758" s="6">
        <v>1049</v>
      </c>
      <c r="AH758" s="60" t="s">
        <v>2894</v>
      </c>
      <c r="AJ758" s="60" t="s">
        <v>854</v>
      </c>
      <c r="AK758" s="6" t="s">
        <v>2362</v>
      </c>
      <c r="AL758" s="60" t="s">
        <v>1088</v>
      </c>
    </row>
    <row r="759" spans="32:38" ht="18" customHeight="1" x14ac:dyDescent="0.25">
      <c r="AF759" s="6" t="s">
        <v>2895</v>
      </c>
      <c r="AG759" s="6">
        <v>9227</v>
      </c>
      <c r="AH759" s="60" t="s">
        <v>2896</v>
      </c>
      <c r="AJ759" s="60" t="s">
        <v>854</v>
      </c>
      <c r="AK759" s="6" t="s">
        <v>2356</v>
      </c>
      <c r="AL759" s="60" t="s">
        <v>2521</v>
      </c>
    </row>
    <row r="760" spans="32:38" ht="18" customHeight="1" x14ac:dyDescent="0.25">
      <c r="AF760" s="6" t="s">
        <v>2897</v>
      </c>
      <c r="AG760" s="6">
        <v>2122641</v>
      </c>
      <c r="AH760" s="60" t="s">
        <v>2898</v>
      </c>
      <c r="AJ760" s="60" t="s">
        <v>854</v>
      </c>
      <c r="AK760" s="6" t="s">
        <v>2362</v>
      </c>
      <c r="AL760" s="60" t="s">
        <v>1088</v>
      </c>
    </row>
    <row r="761" spans="32:38" ht="18" customHeight="1" x14ac:dyDescent="0.25">
      <c r="AF761" s="6" t="s">
        <v>2899</v>
      </c>
      <c r="AG761" s="6">
        <v>9499</v>
      </c>
      <c r="AH761" s="60" t="s">
        <v>2900</v>
      </c>
      <c r="AJ761" s="60" t="s">
        <v>854</v>
      </c>
      <c r="AK761" s="6" t="s">
        <v>2360</v>
      </c>
      <c r="AL761" s="60" t="s">
        <v>2596</v>
      </c>
    </row>
    <row r="762" spans="32:38" ht="18" customHeight="1" x14ac:dyDescent="0.25">
      <c r="AF762" s="6" t="s">
        <v>2901</v>
      </c>
      <c r="AG762" s="6">
        <v>25638</v>
      </c>
      <c r="AH762" s="60" t="s">
        <v>2902</v>
      </c>
      <c r="AJ762" s="60" t="s">
        <v>854</v>
      </c>
      <c r="AK762" s="6" t="s">
        <v>2358</v>
      </c>
      <c r="AL762" s="60" t="s">
        <v>2535</v>
      </c>
    </row>
    <row r="763" spans="32:38" ht="18" customHeight="1" x14ac:dyDescent="0.25">
      <c r="AF763" s="6" t="s">
        <v>2903</v>
      </c>
      <c r="AG763" s="6">
        <v>118333</v>
      </c>
      <c r="AH763" s="60" t="s">
        <v>2904</v>
      </c>
      <c r="AJ763" s="60" t="s">
        <v>854</v>
      </c>
      <c r="AK763" s="6" t="s">
        <v>2356</v>
      </c>
      <c r="AL763" s="60" t="s">
        <v>2593</v>
      </c>
    </row>
    <row r="764" spans="32:38" ht="18" customHeight="1" x14ac:dyDescent="0.25">
      <c r="AF764" s="6" t="s">
        <v>2905</v>
      </c>
      <c r="AG764" s="6">
        <v>68992</v>
      </c>
      <c r="AH764" s="60" t="s">
        <v>2906</v>
      </c>
      <c r="AJ764" s="60" t="s">
        <v>854</v>
      </c>
      <c r="AK764" s="6" t="s">
        <v>2357</v>
      </c>
      <c r="AL764" s="60" t="s">
        <v>2350</v>
      </c>
    </row>
    <row r="765" spans="32:38" ht="18" customHeight="1" x14ac:dyDescent="0.25">
      <c r="AF765" s="6" t="s">
        <v>2907</v>
      </c>
      <c r="AG765" s="6">
        <v>86090</v>
      </c>
      <c r="AH765" s="60" t="s">
        <v>2908</v>
      </c>
      <c r="AJ765" s="60" t="s">
        <v>854</v>
      </c>
      <c r="AK765" s="6" t="s">
        <v>2357</v>
      </c>
      <c r="AL765" s="60" t="s">
        <v>607</v>
      </c>
    </row>
    <row r="766" spans="32:38" ht="18" customHeight="1" x14ac:dyDescent="0.25">
      <c r="AF766" s="6" t="s">
        <v>2909</v>
      </c>
      <c r="AG766" s="6">
        <v>116043</v>
      </c>
      <c r="AH766" s="60" t="s">
        <v>2910</v>
      </c>
      <c r="AJ766" s="60" t="s">
        <v>854</v>
      </c>
      <c r="AK766" s="6" t="s">
        <v>2356</v>
      </c>
      <c r="AL766" s="60" t="s">
        <v>2911</v>
      </c>
    </row>
    <row r="767" spans="32:38" ht="18" customHeight="1" x14ac:dyDescent="0.25">
      <c r="AF767" s="6" t="s">
        <v>2912</v>
      </c>
      <c r="AG767" s="6">
        <v>85526</v>
      </c>
      <c r="AH767" s="60" t="s">
        <v>2913</v>
      </c>
      <c r="AJ767" s="60" t="s">
        <v>854</v>
      </c>
      <c r="AK767" s="6" t="s">
        <v>2358</v>
      </c>
      <c r="AL767" s="60" t="s">
        <v>605</v>
      </c>
    </row>
    <row r="768" spans="32:38" ht="18" customHeight="1" x14ac:dyDescent="0.25">
      <c r="AF768" s="6" t="s">
        <v>2914</v>
      </c>
      <c r="AG768" s="6">
        <v>13506</v>
      </c>
      <c r="AH768" s="60" t="s">
        <v>2915</v>
      </c>
      <c r="AJ768" s="60" t="s">
        <v>854</v>
      </c>
      <c r="AK768" s="6" t="s">
        <v>2356</v>
      </c>
      <c r="AL768" s="60" t="s">
        <v>2916</v>
      </c>
    </row>
    <row r="769" spans="32:38" ht="18" customHeight="1" x14ac:dyDescent="0.25">
      <c r="AF769" s="6" t="s">
        <v>2914</v>
      </c>
      <c r="AG769" s="6">
        <v>14484</v>
      </c>
      <c r="AH769" s="60" t="s">
        <v>2917</v>
      </c>
      <c r="AJ769" s="60" t="s">
        <v>854</v>
      </c>
      <c r="AK769" s="6" t="s">
        <v>2554</v>
      </c>
      <c r="AL769" s="60" t="s">
        <v>2918</v>
      </c>
    </row>
    <row r="770" spans="32:38" ht="18" customHeight="1" x14ac:dyDescent="0.25">
      <c r="AF770" s="6" t="s">
        <v>2919</v>
      </c>
      <c r="AG770" s="6">
        <v>32436</v>
      </c>
      <c r="AH770" s="60" t="s">
        <v>2920</v>
      </c>
      <c r="AJ770" s="60" t="s">
        <v>854</v>
      </c>
      <c r="AK770" s="6" t="s">
        <v>2356</v>
      </c>
      <c r="AL770" s="60" t="s">
        <v>2349</v>
      </c>
    </row>
    <row r="771" spans="32:38" ht="18" customHeight="1" x14ac:dyDescent="0.25">
      <c r="AF771" s="6" t="s">
        <v>2921</v>
      </c>
      <c r="AG771" s="6">
        <v>80782</v>
      </c>
      <c r="AH771" s="60" t="s">
        <v>2922</v>
      </c>
      <c r="AJ771" s="60" t="s">
        <v>854</v>
      </c>
      <c r="AK771" s="6" t="s">
        <v>2356</v>
      </c>
      <c r="AL771" s="60" t="s">
        <v>2911</v>
      </c>
    </row>
    <row r="772" spans="32:38" ht="18" customHeight="1" x14ac:dyDescent="0.25">
      <c r="AF772" s="6" t="s">
        <v>2923</v>
      </c>
      <c r="AG772" s="6">
        <v>90566</v>
      </c>
      <c r="AH772" s="60" t="s">
        <v>2924</v>
      </c>
      <c r="AJ772" s="60" t="s">
        <v>854</v>
      </c>
      <c r="AK772" s="6" t="s">
        <v>2360</v>
      </c>
      <c r="AL772" s="60" t="s">
        <v>1383</v>
      </c>
    </row>
    <row r="773" spans="32:38" ht="18" customHeight="1" x14ac:dyDescent="0.25">
      <c r="AF773" s="6" t="s">
        <v>2925</v>
      </c>
      <c r="AG773" s="6">
        <v>104039</v>
      </c>
      <c r="AH773" s="60" t="s">
        <v>2926</v>
      </c>
      <c r="AJ773" s="60" t="s">
        <v>854</v>
      </c>
      <c r="AK773" s="6" t="s">
        <v>2356</v>
      </c>
      <c r="AL773" s="60" t="s">
        <v>2598</v>
      </c>
    </row>
    <row r="774" spans="32:38" ht="18" customHeight="1" x14ac:dyDescent="0.25">
      <c r="AF774" s="6" t="s">
        <v>2927</v>
      </c>
      <c r="AG774" s="6">
        <v>21954</v>
      </c>
      <c r="AH774" s="60" t="s">
        <v>2928</v>
      </c>
      <c r="AJ774" s="60" t="s">
        <v>854</v>
      </c>
      <c r="AK774" s="6" t="s">
        <v>2354</v>
      </c>
      <c r="AL774" s="60" t="s">
        <v>2929</v>
      </c>
    </row>
    <row r="775" spans="32:38" ht="18" customHeight="1" x14ac:dyDescent="0.25">
      <c r="AF775" s="6" t="s">
        <v>2912</v>
      </c>
      <c r="AG775" s="6">
        <v>67070</v>
      </c>
      <c r="AH775" s="60" t="s">
        <v>2930</v>
      </c>
      <c r="AJ775" s="60" t="s">
        <v>854</v>
      </c>
      <c r="AK775" s="6" t="s">
        <v>2354</v>
      </c>
      <c r="AL775" s="60" t="s">
        <v>607</v>
      </c>
    </row>
    <row r="776" spans="32:38" ht="18" customHeight="1" x14ac:dyDescent="0.25">
      <c r="AF776" s="6" t="s">
        <v>2931</v>
      </c>
      <c r="AG776" s="6">
        <v>6423</v>
      </c>
      <c r="AH776" s="60" t="s">
        <v>2932</v>
      </c>
      <c r="AJ776" s="60" t="s">
        <v>1357</v>
      </c>
      <c r="AK776" s="6" t="s">
        <v>2591</v>
      </c>
      <c r="AL776" s="60" t="s">
        <v>2597</v>
      </c>
    </row>
    <row r="777" spans="32:38" ht="18" customHeight="1" x14ac:dyDescent="0.25">
      <c r="AF777" s="6" t="s">
        <v>2741</v>
      </c>
      <c r="AG777" s="6">
        <v>1553</v>
      </c>
      <c r="AH777" s="60" t="s">
        <v>2933</v>
      </c>
      <c r="AJ777" s="60" t="s">
        <v>1357</v>
      </c>
      <c r="AK777" s="6" t="s">
        <v>2591</v>
      </c>
      <c r="AL777" s="60" t="s">
        <v>2592</v>
      </c>
    </row>
    <row r="778" spans="32:38" ht="18" customHeight="1" x14ac:dyDescent="0.25">
      <c r="AF778" s="6" t="s">
        <v>2741</v>
      </c>
      <c r="AG778" s="6">
        <v>31178</v>
      </c>
      <c r="AH778" s="60" t="s">
        <v>2742</v>
      </c>
      <c r="AJ778" s="60" t="s">
        <v>1357</v>
      </c>
      <c r="AK778" s="6" t="s">
        <v>2591</v>
      </c>
      <c r="AL778" s="60" t="s">
        <v>2508</v>
      </c>
    </row>
    <row r="779" spans="32:38" ht="18" customHeight="1" x14ac:dyDescent="0.25">
      <c r="AF779" s="6" t="s">
        <v>2934</v>
      </c>
      <c r="AG779" s="6" t="s">
        <v>2935</v>
      </c>
      <c r="AH779" s="60" t="s">
        <v>2936</v>
      </c>
      <c r="AJ779" s="60" t="s">
        <v>854</v>
      </c>
      <c r="AK779" s="6" t="s">
        <v>2354</v>
      </c>
      <c r="AL779" s="60" t="s">
        <v>2937</v>
      </c>
    </row>
    <row r="780" spans="32:38" ht="18" customHeight="1" x14ac:dyDescent="0.25">
      <c r="AF780" s="6" t="s">
        <v>2938</v>
      </c>
      <c r="AG780" s="6">
        <v>71065</v>
      </c>
      <c r="AH780" s="60" t="s">
        <v>2939</v>
      </c>
      <c r="AJ780" s="60" t="s">
        <v>977</v>
      </c>
      <c r="AK780" s="6" t="s">
        <v>2518</v>
      </c>
      <c r="AL780" s="60" t="s">
        <v>823</v>
      </c>
    </row>
    <row r="781" spans="32:38" ht="18" customHeight="1" x14ac:dyDescent="0.25">
      <c r="AF781" s="6" t="s">
        <v>2940</v>
      </c>
      <c r="AG781" s="6">
        <v>10662</v>
      </c>
      <c r="AH781" s="60" t="s">
        <v>2941</v>
      </c>
      <c r="AJ781" s="60" t="s">
        <v>854</v>
      </c>
      <c r="AK781" s="6" t="s">
        <v>2360</v>
      </c>
      <c r="AL781" s="60" t="s">
        <v>828</v>
      </c>
    </row>
    <row r="782" spans="32:38" ht="18" customHeight="1" x14ac:dyDescent="0.25">
      <c r="AF782" s="6" t="s">
        <v>2942</v>
      </c>
      <c r="AG782" s="6">
        <v>11559</v>
      </c>
      <c r="AH782" s="60" t="s">
        <v>2943</v>
      </c>
      <c r="AJ782" s="60" t="s">
        <v>854</v>
      </c>
      <c r="AK782" s="6" t="s">
        <v>2360</v>
      </c>
      <c r="AL782" s="60" t="s">
        <v>826</v>
      </c>
    </row>
    <row r="783" spans="32:38" ht="18" customHeight="1" x14ac:dyDescent="0.25">
      <c r="AF783" s="6" t="s">
        <v>2944</v>
      </c>
      <c r="AG783" s="6">
        <v>15212</v>
      </c>
      <c r="AH783" s="60" t="s">
        <v>2945</v>
      </c>
      <c r="AJ783" s="60" t="s">
        <v>854</v>
      </c>
      <c r="AK783" s="6" t="s">
        <v>2356</v>
      </c>
      <c r="AL783" s="60" t="s">
        <v>826</v>
      </c>
    </row>
    <row r="784" spans="32:38" ht="18" customHeight="1" x14ac:dyDescent="0.25">
      <c r="AF784" s="6" t="s">
        <v>2946</v>
      </c>
      <c r="AG784" s="6">
        <v>8653</v>
      </c>
      <c r="AH784" s="60" t="s">
        <v>2947</v>
      </c>
      <c r="AJ784" s="60" t="s">
        <v>854</v>
      </c>
      <c r="AK784" s="6" t="s">
        <v>2354</v>
      </c>
      <c r="AL784" s="60" t="s">
        <v>612</v>
      </c>
    </row>
    <row r="785" spans="32:38" ht="18" customHeight="1" x14ac:dyDescent="0.25">
      <c r="AF785" s="6" t="s">
        <v>2946</v>
      </c>
      <c r="AG785" s="6">
        <v>16630</v>
      </c>
      <c r="AH785" s="60" t="s">
        <v>2948</v>
      </c>
      <c r="AJ785" s="60" t="s">
        <v>854</v>
      </c>
      <c r="AK785" s="6" t="s">
        <v>2356</v>
      </c>
      <c r="AL785" s="60" t="s">
        <v>612</v>
      </c>
    </row>
    <row r="786" spans="32:38" ht="18" customHeight="1" x14ac:dyDescent="0.25">
      <c r="AF786" s="6" t="s">
        <v>2949</v>
      </c>
      <c r="AG786" s="6">
        <v>73</v>
      </c>
      <c r="AH786" s="60" t="s">
        <v>2950</v>
      </c>
      <c r="AJ786" s="60" t="s">
        <v>854</v>
      </c>
      <c r="AK786" s="6" t="s">
        <v>2362</v>
      </c>
      <c r="AL786" s="60" t="s">
        <v>613</v>
      </c>
    </row>
    <row r="787" spans="32:38" ht="18" customHeight="1" x14ac:dyDescent="0.25">
      <c r="AF787" s="6" t="s">
        <v>2951</v>
      </c>
      <c r="AG787" s="6">
        <v>8428</v>
      </c>
      <c r="AH787" s="60" t="s">
        <v>2952</v>
      </c>
      <c r="AJ787" s="60" t="s">
        <v>854</v>
      </c>
      <c r="AK787" s="6" t="s">
        <v>2360</v>
      </c>
      <c r="AL787" s="60" t="s">
        <v>832</v>
      </c>
    </row>
    <row r="788" spans="32:38" ht="18" customHeight="1" x14ac:dyDescent="0.25">
      <c r="AF788" s="6" t="s">
        <v>2953</v>
      </c>
      <c r="AG788" s="6">
        <v>15299</v>
      </c>
      <c r="AH788" s="60" t="s">
        <v>2954</v>
      </c>
      <c r="AJ788" s="60" t="s">
        <v>854</v>
      </c>
      <c r="AK788" s="6" t="s">
        <v>2358</v>
      </c>
      <c r="AL788" s="60" t="s">
        <v>832</v>
      </c>
    </row>
    <row r="789" spans="32:38" ht="18" customHeight="1" x14ac:dyDescent="0.25">
      <c r="AF789" s="6" t="s">
        <v>2955</v>
      </c>
      <c r="AG789" s="6">
        <v>3644</v>
      </c>
      <c r="AH789" s="60" t="s">
        <v>2956</v>
      </c>
      <c r="AJ789" s="60" t="s">
        <v>977</v>
      </c>
      <c r="AK789" s="6" t="s">
        <v>2518</v>
      </c>
      <c r="AL789" s="60" t="s">
        <v>830</v>
      </c>
    </row>
    <row r="790" spans="32:38" ht="18" customHeight="1" x14ac:dyDescent="0.25">
      <c r="AF790" s="6" t="s">
        <v>2957</v>
      </c>
      <c r="AG790" s="6">
        <v>8132</v>
      </c>
      <c r="AH790" s="60" t="s">
        <v>2958</v>
      </c>
      <c r="AJ790" s="60" t="s">
        <v>854</v>
      </c>
      <c r="AK790" s="6" t="s">
        <v>2360</v>
      </c>
      <c r="AL790" s="60" t="s">
        <v>2545</v>
      </c>
    </row>
    <row r="791" spans="32:38" ht="18" customHeight="1" x14ac:dyDescent="0.25">
      <c r="AF791" s="6" t="s">
        <v>2959</v>
      </c>
      <c r="AG791" s="6">
        <v>8157</v>
      </c>
      <c r="AH791" s="60" t="s">
        <v>2960</v>
      </c>
      <c r="AJ791" s="60" t="s">
        <v>854</v>
      </c>
      <c r="AK791" s="6" t="s">
        <v>2360</v>
      </c>
      <c r="AL791" s="60" t="s">
        <v>2545</v>
      </c>
    </row>
    <row r="792" spans="32:38" ht="18" customHeight="1" x14ac:dyDescent="0.25">
      <c r="AF792" s="6" t="s">
        <v>2961</v>
      </c>
      <c r="AG792" s="6">
        <v>6867</v>
      </c>
      <c r="AH792" s="60" t="s">
        <v>2962</v>
      </c>
      <c r="AJ792" s="60" t="s">
        <v>854</v>
      </c>
      <c r="AK792" s="6" t="s">
        <v>2354</v>
      </c>
      <c r="AL792" s="60" t="s">
        <v>859</v>
      </c>
    </row>
    <row r="793" spans="32:38" ht="18" customHeight="1" x14ac:dyDescent="0.25">
      <c r="AF793" s="6" t="s">
        <v>2963</v>
      </c>
      <c r="AG793" s="6">
        <v>7493</v>
      </c>
      <c r="AH793" s="60" t="s">
        <v>2964</v>
      </c>
      <c r="AJ793" s="60" t="s">
        <v>977</v>
      </c>
      <c r="AK793" s="6" t="s">
        <v>2518</v>
      </c>
      <c r="AL793" s="60" t="s">
        <v>830</v>
      </c>
    </row>
    <row r="794" spans="32:38" ht="18" customHeight="1" x14ac:dyDescent="0.25">
      <c r="AF794" s="6" t="s">
        <v>2965</v>
      </c>
      <c r="AG794" s="6">
        <v>16812</v>
      </c>
      <c r="AH794" s="60" t="s">
        <v>2966</v>
      </c>
      <c r="AJ794" s="60" t="s">
        <v>854</v>
      </c>
      <c r="AK794" s="6" t="s">
        <v>2356</v>
      </c>
      <c r="AL794" s="60" t="s">
        <v>2545</v>
      </c>
    </row>
    <row r="795" spans="32:38" ht="18" customHeight="1" x14ac:dyDescent="0.25">
      <c r="AF795" s="6" t="s">
        <v>2965</v>
      </c>
      <c r="AG795" s="6">
        <v>6350</v>
      </c>
      <c r="AH795" s="60" t="s">
        <v>2967</v>
      </c>
      <c r="AJ795" s="60" t="s">
        <v>854</v>
      </c>
      <c r="AK795" s="6" t="s">
        <v>2885</v>
      </c>
      <c r="AL795" s="60" t="s">
        <v>2545</v>
      </c>
    </row>
    <row r="796" spans="32:38" ht="18" customHeight="1" x14ac:dyDescent="0.25">
      <c r="AF796" s="6" t="s">
        <v>2968</v>
      </c>
      <c r="AG796" s="6">
        <v>2784</v>
      </c>
      <c r="AH796" s="60" t="s">
        <v>2969</v>
      </c>
      <c r="AJ796" s="60" t="s">
        <v>854</v>
      </c>
      <c r="AK796" s="6" t="s">
        <v>2885</v>
      </c>
      <c r="AL796" s="60" t="s">
        <v>2545</v>
      </c>
    </row>
    <row r="797" spans="32:38" ht="18" customHeight="1" x14ac:dyDescent="0.25">
      <c r="AF797" s="6" t="s">
        <v>2968</v>
      </c>
      <c r="AG797" s="6">
        <v>9845</v>
      </c>
      <c r="AH797" s="60" t="s">
        <v>2970</v>
      </c>
      <c r="AJ797" s="60" t="s">
        <v>854</v>
      </c>
      <c r="AK797" s="6" t="s">
        <v>2358</v>
      </c>
      <c r="AL797" s="60" t="s">
        <v>2545</v>
      </c>
    </row>
    <row r="798" spans="32:38" ht="18" customHeight="1" x14ac:dyDescent="0.25">
      <c r="AF798" s="6" t="s">
        <v>2971</v>
      </c>
      <c r="AG798" s="6">
        <v>16399</v>
      </c>
      <c r="AH798" s="60" t="s">
        <v>2972</v>
      </c>
      <c r="AJ798" s="60" t="s">
        <v>854</v>
      </c>
      <c r="AK798" s="6" t="s">
        <v>2356</v>
      </c>
      <c r="AL798" s="60" t="s">
        <v>1143</v>
      </c>
    </row>
    <row r="799" spans="32:38" ht="18" customHeight="1" x14ac:dyDescent="0.25">
      <c r="AF799" s="6" t="s">
        <v>2973</v>
      </c>
      <c r="AG799" s="6">
        <v>13589</v>
      </c>
      <c r="AH799" s="60" t="s">
        <v>2974</v>
      </c>
      <c r="AJ799" s="60" t="s">
        <v>854</v>
      </c>
      <c r="AK799" s="6" t="s">
        <v>2360</v>
      </c>
      <c r="AL799" s="60" t="s">
        <v>831</v>
      </c>
    </row>
    <row r="800" spans="32:38" ht="18" customHeight="1" x14ac:dyDescent="0.25">
      <c r="AF800" s="6" t="s">
        <v>2975</v>
      </c>
      <c r="AG800" s="6">
        <v>18871</v>
      </c>
      <c r="AH800" s="60" t="s">
        <v>2976</v>
      </c>
      <c r="AJ800" s="60" t="s">
        <v>854</v>
      </c>
      <c r="AK800" s="6" t="s">
        <v>2356</v>
      </c>
      <c r="AL800" s="60" t="s">
        <v>830</v>
      </c>
    </row>
    <row r="801" spans="32:38" ht="18" customHeight="1" x14ac:dyDescent="0.25">
      <c r="AF801" s="6" t="s">
        <v>2977</v>
      </c>
      <c r="AG801" s="6">
        <v>7512</v>
      </c>
      <c r="AH801" s="60" t="s">
        <v>2978</v>
      </c>
      <c r="AJ801" s="60" t="s">
        <v>854</v>
      </c>
      <c r="AK801" s="6" t="s">
        <v>2362</v>
      </c>
      <c r="AL801" s="60" t="s">
        <v>829</v>
      </c>
    </row>
    <row r="802" spans="32:38" ht="18" customHeight="1" x14ac:dyDescent="0.25">
      <c r="AF802" s="6" t="s">
        <v>2979</v>
      </c>
      <c r="AG802" s="6">
        <v>7246</v>
      </c>
      <c r="AH802" s="60" t="s">
        <v>2980</v>
      </c>
      <c r="AJ802" s="60" t="s">
        <v>1357</v>
      </c>
      <c r="AK802" s="6" t="s">
        <v>2591</v>
      </c>
      <c r="AL802" s="60" t="s">
        <v>829</v>
      </c>
    </row>
    <row r="803" spans="32:38" ht="18" customHeight="1" x14ac:dyDescent="0.25">
      <c r="AF803" s="6" t="s">
        <v>2981</v>
      </c>
      <c r="AG803" s="6">
        <v>3119</v>
      </c>
      <c r="AH803" s="60" t="s">
        <v>2982</v>
      </c>
      <c r="AJ803" s="295" t="s">
        <v>855</v>
      </c>
      <c r="AK803" s="6" t="s">
        <v>2355</v>
      </c>
      <c r="AL803" s="60" t="s">
        <v>1145</v>
      </c>
    </row>
    <row r="804" spans="32:38" ht="18" customHeight="1" x14ac:dyDescent="0.25">
      <c r="AF804" s="6" t="s">
        <v>2983</v>
      </c>
      <c r="AG804" s="6">
        <v>1923</v>
      </c>
      <c r="AH804" s="60" t="s">
        <v>2984</v>
      </c>
      <c r="AJ804" s="60" t="s">
        <v>854</v>
      </c>
      <c r="AK804" s="6" t="s">
        <v>2354</v>
      </c>
      <c r="AL804" s="60" t="s">
        <v>1145</v>
      </c>
    </row>
    <row r="805" spans="32:38" ht="18" customHeight="1" x14ac:dyDescent="0.25">
      <c r="AF805" s="6" t="s">
        <v>2985</v>
      </c>
      <c r="AG805" s="6">
        <v>5423545</v>
      </c>
      <c r="AH805" s="60" t="s">
        <v>2986</v>
      </c>
      <c r="AJ805" s="60" t="s">
        <v>854</v>
      </c>
      <c r="AK805" s="6" t="s">
        <v>2354</v>
      </c>
      <c r="AL805" s="60" t="s">
        <v>834</v>
      </c>
    </row>
    <row r="806" spans="32:38" ht="18" customHeight="1" x14ac:dyDescent="0.25">
      <c r="AF806" s="6" t="s">
        <v>2987</v>
      </c>
      <c r="AG806" s="6">
        <v>44413</v>
      </c>
      <c r="AH806" s="60" t="s">
        <v>2988</v>
      </c>
      <c r="AJ806" s="60" t="s">
        <v>854</v>
      </c>
      <c r="AK806" s="6" t="s">
        <v>2362</v>
      </c>
      <c r="AL806" s="60" t="s">
        <v>133</v>
      </c>
    </row>
    <row r="807" spans="32:38" ht="18" customHeight="1" x14ac:dyDescent="0.25">
      <c r="AF807" s="6" t="s">
        <v>2989</v>
      </c>
      <c r="AG807" s="6">
        <v>38493</v>
      </c>
      <c r="AH807" s="60" t="s">
        <v>2990</v>
      </c>
      <c r="AJ807" s="60" t="s">
        <v>854</v>
      </c>
      <c r="AK807" s="6" t="s">
        <v>2354</v>
      </c>
      <c r="AL807" s="60" t="s">
        <v>837</v>
      </c>
    </row>
    <row r="808" spans="32:38" ht="18" customHeight="1" x14ac:dyDescent="0.25">
      <c r="AF808" s="6" t="s">
        <v>2991</v>
      </c>
      <c r="AG808" s="6">
        <v>5344</v>
      </c>
      <c r="AH808" s="60" t="s">
        <v>2992</v>
      </c>
      <c r="AJ808" s="60" t="s">
        <v>854</v>
      </c>
      <c r="AK808" s="6" t="s">
        <v>2354</v>
      </c>
      <c r="AL808" s="60" t="s">
        <v>938</v>
      </c>
    </row>
    <row r="809" spans="32:38" ht="18" customHeight="1" x14ac:dyDescent="0.25">
      <c r="AF809" s="6" t="s">
        <v>2993</v>
      </c>
      <c r="AG809" s="6">
        <v>4448</v>
      </c>
      <c r="AH809" s="60" t="s">
        <v>2994</v>
      </c>
      <c r="AJ809" s="60" t="s">
        <v>854</v>
      </c>
      <c r="AK809" s="6" t="s">
        <v>2354</v>
      </c>
      <c r="AL809" s="60" t="s">
        <v>938</v>
      </c>
    </row>
    <row r="810" spans="32:38" ht="18" customHeight="1" x14ac:dyDescent="0.25">
      <c r="AF810" s="6" t="s">
        <v>2995</v>
      </c>
      <c r="AG810" s="6">
        <v>2349922</v>
      </c>
      <c r="AH810" s="60" t="s">
        <v>2996</v>
      </c>
      <c r="AJ810" s="60" t="s">
        <v>854</v>
      </c>
      <c r="AK810" s="6" t="s">
        <v>2354</v>
      </c>
      <c r="AL810" s="60" t="s">
        <v>835</v>
      </c>
    </row>
    <row r="811" spans="32:38" ht="18" customHeight="1" x14ac:dyDescent="0.25">
      <c r="AF811" s="6" t="s">
        <v>2997</v>
      </c>
      <c r="AG811" s="6">
        <v>12172</v>
      </c>
      <c r="AH811" s="60" t="s">
        <v>2998</v>
      </c>
      <c r="AJ811" s="60" t="s">
        <v>854</v>
      </c>
      <c r="AK811" s="6" t="s">
        <v>2354</v>
      </c>
      <c r="AL811" s="60" t="s">
        <v>340</v>
      </c>
    </row>
    <row r="812" spans="32:38" ht="18" customHeight="1" x14ac:dyDescent="0.25">
      <c r="AF812" s="6" t="s">
        <v>2999</v>
      </c>
      <c r="AG812" s="6">
        <v>1198</v>
      </c>
      <c r="AH812" s="60" t="s">
        <v>3000</v>
      </c>
      <c r="AJ812" s="60" t="s">
        <v>854</v>
      </c>
      <c r="AK812" s="6" t="s">
        <v>2354</v>
      </c>
      <c r="AL812" s="60" t="s">
        <v>341</v>
      </c>
    </row>
    <row r="813" spans="32:38" ht="18" customHeight="1" x14ac:dyDescent="0.25">
      <c r="AF813" s="6" t="s">
        <v>3001</v>
      </c>
      <c r="AG813" s="6">
        <v>2350022</v>
      </c>
      <c r="AH813" s="60" t="s">
        <v>3002</v>
      </c>
      <c r="AJ813" s="60" t="s">
        <v>854</v>
      </c>
      <c r="AK813" s="6" t="s">
        <v>2354</v>
      </c>
      <c r="AL813" s="60" t="s">
        <v>835</v>
      </c>
    </row>
    <row r="814" spans="32:38" ht="18" customHeight="1" x14ac:dyDescent="0.25">
      <c r="AF814" s="6" t="s">
        <v>3003</v>
      </c>
      <c r="AG814" s="6">
        <v>2801</v>
      </c>
      <c r="AH814" s="60" t="s">
        <v>3004</v>
      </c>
      <c r="AJ814" s="295" t="s">
        <v>855</v>
      </c>
      <c r="AK814" s="6" t="s">
        <v>2355</v>
      </c>
      <c r="AL814" s="60" t="s">
        <v>714</v>
      </c>
    </row>
    <row r="815" spans="32:38" ht="18" customHeight="1" x14ac:dyDescent="0.25">
      <c r="AF815" s="6" t="s">
        <v>3005</v>
      </c>
      <c r="AG815" s="6">
        <v>14433</v>
      </c>
      <c r="AH815" s="60" t="s">
        <v>3006</v>
      </c>
      <c r="AJ815" s="60" t="s">
        <v>854</v>
      </c>
      <c r="AK815" s="6" t="s">
        <v>2354</v>
      </c>
      <c r="AL815" s="60" t="s">
        <v>133</v>
      </c>
    </row>
    <row r="816" spans="32:38" ht="18" customHeight="1" x14ac:dyDescent="0.25">
      <c r="AF816" s="6" t="s">
        <v>3007</v>
      </c>
      <c r="AG816" s="6">
        <v>9494</v>
      </c>
      <c r="AH816" s="60" t="s">
        <v>3008</v>
      </c>
      <c r="AJ816" s="60" t="s">
        <v>854</v>
      </c>
      <c r="AK816" s="6" t="s">
        <v>2354</v>
      </c>
      <c r="AL816" s="60" t="s">
        <v>939</v>
      </c>
    </row>
    <row r="817" spans="32:38" ht="18" customHeight="1" x14ac:dyDescent="0.25">
      <c r="AF817" s="6" t="s">
        <v>3009</v>
      </c>
      <c r="AG817" s="6">
        <v>981</v>
      </c>
      <c r="AH817" s="60" t="s">
        <v>3010</v>
      </c>
      <c r="AJ817" s="60" t="s">
        <v>854</v>
      </c>
      <c r="AK817" s="6" t="s">
        <v>2354</v>
      </c>
      <c r="AL817" s="60" t="s">
        <v>714</v>
      </c>
    </row>
    <row r="818" spans="32:38" ht="18" customHeight="1" x14ac:dyDescent="0.25">
      <c r="AF818" s="6" t="s">
        <v>3011</v>
      </c>
      <c r="AG818" s="6">
        <v>32714</v>
      </c>
      <c r="AH818" s="60" t="s">
        <v>3012</v>
      </c>
      <c r="AJ818" s="60" t="s">
        <v>854</v>
      </c>
      <c r="AK818" s="6" t="s">
        <v>2360</v>
      </c>
      <c r="AL818" s="60" t="s">
        <v>611</v>
      </c>
    </row>
    <row r="819" spans="32:38" ht="18" customHeight="1" x14ac:dyDescent="0.25">
      <c r="AF819" s="6" t="s">
        <v>3013</v>
      </c>
      <c r="AG819" s="6">
        <v>44310</v>
      </c>
      <c r="AH819" s="60" t="s">
        <v>3014</v>
      </c>
      <c r="AJ819" s="60" t="s">
        <v>854</v>
      </c>
      <c r="AK819" s="6" t="s">
        <v>2356</v>
      </c>
      <c r="AL819" s="60" t="s">
        <v>133</v>
      </c>
    </row>
    <row r="820" spans="32:38" ht="18" customHeight="1" x14ac:dyDescent="0.25">
      <c r="AF820" s="6" t="s">
        <v>2995</v>
      </c>
      <c r="AG820" s="6">
        <v>36312</v>
      </c>
      <c r="AH820" s="60" t="s">
        <v>3015</v>
      </c>
      <c r="AJ820" s="60" t="s">
        <v>854</v>
      </c>
      <c r="AK820" s="6" t="s">
        <v>2360</v>
      </c>
      <c r="AL820" s="60" t="s">
        <v>835</v>
      </c>
    </row>
    <row r="821" spans="32:38" ht="18" customHeight="1" x14ac:dyDescent="0.25">
      <c r="AF821" s="6" t="s">
        <v>3016</v>
      </c>
      <c r="AG821" s="6">
        <v>31794</v>
      </c>
      <c r="AH821" s="60" t="s">
        <v>3017</v>
      </c>
      <c r="AJ821" s="60" t="s">
        <v>854</v>
      </c>
      <c r="AK821" s="6" t="s">
        <v>2360</v>
      </c>
      <c r="AL821" s="60" t="s">
        <v>610</v>
      </c>
    </row>
    <row r="822" spans="32:38" ht="18" customHeight="1" x14ac:dyDescent="0.25">
      <c r="AF822" s="6" t="s">
        <v>3018</v>
      </c>
      <c r="AG822" s="6">
        <v>46368</v>
      </c>
      <c r="AH822" s="60" t="s">
        <v>3019</v>
      </c>
      <c r="AJ822" s="60" t="s">
        <v>977</v>
      </c>
      <c r="AK822" s="6" t="s">
        <v>2366</v>
      </c>
      <c r="AL822" s="60" t="s">
        <v>132</v>
      </c>
    </row>
    <row r="823" spans="32:38" ht="18" customHeight="1" x14ac:dyDescent="0.25">
      <c r="AF823" s="6" t="s">
        <v>3020</v>
      </c>
      <c r="AG823" s="6">
        <v>51293</v>
      </c>
      <c r="AH823" s="60" t="s">
        <v>3021</v>
      </c>
      <c r="AJ823" s="60" t="s">
        <v>854</v>
      </c>
      <c r="AK823" s="6" t="s">
        <v>2356</v>
      </c>
      <c r="AL823" s="60" t="s">
        <v>3022</v>
      </c>
    </row>
    <row r="824" spans="32:38" ht="18" customHeight="1" x14ac:dyDescent="0.25">
      <c r="AF824" s="6" t="s">
        <v>3023</v>
      </c>
      <c r="AG824" s="6">
        <v>52909</v>
      </c>
      <c r="AH824" s="60" t="s">
        <v>3024</v>
      </c>
      <c r="AJ824" s="60" t="s">
        <v>854</v>
      </c>
      <c r="AK824" s="6" t="s">
        <v>2356</v>
      </c>
      <c r="AL824" s="60" t="s">
        <v>837</v>
      </c>
    </row>
    <row r="825" spans="32:38" ht="18" customHeight="1" x14ac:dyDescent="0.25">
      <c r="AF825" s="6" t="s">
        <v>3025</v>
      </c>
      <c r="AG825" s="6">
        <v>70634</v>
      </c>
      <c r="AH825" s="60" t="s">
        <v>3026</v>
      </c>
      <c r="AJ825" s="60" t="s">
        <v>854</v>
      </c>
      <c r="AK825" s="6" t="s">
        <v>2356</v>
      </c>
      <c r="AL825" s="60" t="s">
        <v>609</v>
      </c>
    </row>
    <row r="826" spans="32:38" ht="18" customHeight="1" x14ac:dyDescent="0.25">
      <c r="AF826" s="6" t="s">
        <v>3027</v>
      </c>
      <c r="AG826" s="6">
        <v>39951</v>
      </c>
      <c r="AH826" s="60" t="s">
        <v>3028</v>
      </c>
      <c r="AJ826" s="60" t="s">
        <v>854</v>
      </c>
      <c r="AK826" s="6" t="s">
        <v>2356</v>
      </c>
      <c r="AL826" s="60" t="s">
        <v>703</v>
      </c>
    </row>
    <row r="827" spans="32:38" ht="18" customHeight="1" x14ac:dyDescent="0.25">
      <c r="AF827" s="6" t="s">
        <v>3029</v>
      </c>
      <c r="AG827" s="6">
        <v>3022658</v>
      </c>
      <c r="AH827" s="60" t="s">
        <v>3030</v>
      </c>
      <c r="AJ827" s="60" t="s">
        <v>854</v>
      </c>
      <c r="AK827" s="6" t="s">
        <v>2360</v>
      </c>
      <c r="AL827" s="60" t="s">
        <v>3031</v>
      </c>
    </row>
    <row r="828" spans="32:38" ht="18" customHeight="1" x14ac:dyDescent="0.25">
      <c r="AF828" s="6" t="s">
        <v>3032</v>
      </c>
      <c r="AG828" s="6">
        <v>3023532</v>
      </c>
      <c r="AH828" s="60" t="s">
        <v>3033</v>
      </c>
      <c r="AJ828" s="60" t="s">
        <v>854</v>
      </c>
      <c r="AK828" s="6" t="s">
        <v>2360</v>
      </c>
      <c r="AL828" s="60" t="s">
        <v>847</v>
      </c>
    </row>
    <row r="829" spans="32:38" ht="18" customHeight="1" x14ac:dyDescent="0.25">
      <c r="AF829" s="6" t="s">
        <v>3034</v>
      </c>
      <c r="AG829" s="6">
        <v>3068274</v>
      </c>
      <c r="AH829" s="60" t="s">
        <v>3035</v>
      </c>
      <c r="AJ829" s="60" t="s">
        <v>854</v>
      </c>
      <c r="AK829" s="6" t="s">
        <v>2356</v>
      </c>
      <c r="AL829" s="60" t="s">
        <v>137</v>
      </c>
    </row>
    <row r="830" spans="32:38" ht="18" customHeight="1" x14ac:dyDescent="0.25">
      <c r="AF830" s="6" t="s">
        <v>3036</v>
      </c>
      <c r="AG830" s="6">
        <v>39124</v>
      </c>
      <c r="AH830" s="60" t="s">
        <v>3037</v>
      </c>
      <c r="AJ830" s="60" t="s">
        <v>854</v>
      </c>
      <c r="AK830" s="6" t="s">
        <v>2358</v>
      </c>
      <c r="AL830" s="60" t="s">
        <v>703</v>
      </c>
    </row>
    <row r="831" spans="32:38" ht="18" customHeight="1" x14ac:dyDescent="0.25">
      <c r="AF831" s="6" t="s">
        <v>3038</v>
      </c>
      <c r="AG831" s="6">
        <v>38013</v>
      </c>
      <c r="AH831" s="60" t="s">
        <v>3039</v>
      </c>
      <c r="AJ831" s="60" t="s">
        <v>854</v>
      </c>
      <c r="AK831" s="6" t="s">
        <v>2360</v>
      </c>
      <c r="AL831" s="60" t="s">
        <v>3040</v>
      </c>
    </row>
    <row r="832" spans="32:38" ht="18" customHeight="1" x14ac:dyDescent="0.25">
      <c r="AF832" s="6" t="s">
        <v>3038</v>
      </c>
      <c r="AG832" s="6">
        <v>37120</v>
      </c>
      <c r="AH832" s="60" t="s">
        <v>3041</v>
      </c>
      <c r="AJ832" s="60" t="s">
        <v>854</v>
      </c>
      <c r="AK832" s="6" t="s">
        <v>2360</v>
      </c>
      <c r="AL832" s="60" t="s">
        <v>3040</v>
      </c>
    </row>
    <row r="833" spans="32:38" ht="18" customHeight="1" x14ac:dyDescent="0.25">
      <c r="AF833" s="6" t="s">
        <v>3042</v>
      </c>
      <c r="AG833" s="6">
        <v>34752</v>
      </c>
      <c r="AH833" s="60" t="s">
        <v>3043</v>
      </c>
      <c r="AJ833" s="60" t="s">
        <v>854</v>
      </c>
      <c r="AK833" s="6" t="s">
        <v>2354</v>
      </c>
      <c r="AL833" s="60" t="s">
        <v>703</v>
      </c>
    </row>
    <row r="834" spans="32:38" ht="18" customHeight="1" x14ac:dyDescent="0.25">
      <c r="AF834" s="6" t="s">
        <v>3042</v>
      </c>
      <c r="AG834" s="6">
        <v>29647</v>
      </c>
      <c r="AH834" s="60" t="s">
        <v>3044</v>
      </c>
      <c r="AJ834" s="60" t="s">
        <v>854</v>
      </c>
      <c r="AK834" s="6" t="s">
        <v>2354</v>
      </c>
      <c r="AL834" s="60" t="s">
        <v>703</v>
      </c>
    </row>
    <row r="835" spans="32:38" ht="18" customHeight="1" x14ac:dyDescent="0.25">
      <c r="AF835" s="6" t="s">
        <v>3045</v>
      </c>
      <c r="AG835" s="6">
        <v>2998557</v>
      </c>
      <c r="AH835" s="60" t="s">
        <v>3046</v>
      </c>
      <c r="AJ835" s="60" t="s">
        <v>854</v>
      </c>
      <c r="AK835" s="6" t="s">
        <v>2354</v>
      </c>
      <c r="AL835" s="60" t="s">
        <v>704</v>
      </c>
    </row>
    <row r="836" spans="32:38" ht="18" customHeight="1" x14ac:dyDescent="0.25">
      <c r="AF836" s="6" t="s">
        <v>3047</v>
      </c>
      <c r="AG836" s="6">
        <v>3004224</v>
      </c>
      <c r="AH836" s="60" t="s">
        <v>3048</v>
      </c>
      <c r="AJ836" s="60" t="s">
        <v>977</v>
      </c>
      <c r="AK836" s="6" t="s">
        <v>2518</v>
      </c>
      <c r="AL836" s="60" t="s">
        <v>2371</v>
      </c>
    </row>
    <row r="837" spans="32:38" ht="18" customHeight="1" x14ac:dyDescent="0.25">
      <c r="AF837" s="6" t="s">
        <v>3049</v>
      </c>
      <c r="AG837" s="6">
        <v>2986958</v>
      </c>
      <c r="AH837" s="60" t="s">
        <v>3050</v>
      </c>
      <c r="AJ837" s="60" t="s">
        <v>854</v>
      </c>
      <c r="AK837" s="6" t="s">
        <v>2354</v>
      </c>
      <c r="AL837" s="60" t="s">
        <v>704</v>
      </c>
    </row>
    <row r="838" spans="32:38" ht="18" customHeight="1" x14ac:dyDescent="0.25">
      <c r="AF838" s="6" t="s">
        <v>3051</v>
      </c>
      <c r="AG838" s="6">
        <v>2996427</v>
      </c>
      <c r="AH838" s="60" t="s">
        <v>3052</v>
      </c>
      <c r="AJ838" s="295" t="s">
        <v>855</v>
      </c>
      <c r="AK838" s="6" t="s">
        <v>2355</v>
      </c>
      <c r="AL838" s="60" t="s">
        <v>847</v>
      </c>
    </row>
    <row r="839" spans="32:38" ht="18" customHeight="1" x14ac:dyDescent="0.25">
      <c r="AF839" s="6" t="s">
        <v>3053</v>
      </c>
      <c r="AG839" s="6">
        <v>3031985</v>
      </c>
      <c r="AH839" s="60" t="s">
        <v>3054</v>
      </c>
      <c r="AJ839" s="295" t="s">
        <v>855</v>
      </c>
      <c r="AK839" s="6" t="s">
        <v>2744</v>
      </c>
      <c r="AL839" s="60" t="s">
        <v>134</v>
      </c>
    </row>
    <row r="840" spans="32:38" ht="18" customHeight="1" x14ac:dyDescent="0.25">
      <c r="AF840" s="6" t="s">
        <v>3055</v>
      </c>
      <c r="AG840" s="6">
        <v>3011922</v>
      </c>
      <c r="AH840" s="60" t="s">
        <v>3056</v>
      </c>
      <c r="AJ840" s="60" t="s">
        <v>854</v>
      </c>
      <c r="AK840" s="6" t="s">
        <v>2354</v>
      </c>
      <c r="AL840" s="60" t="s">
        <v>2745</v>
      </c>
    </row>
    <row r="841" spans="32:38" ht="18" customHeight="1" x14ac:dyDescent="0.25">
      <c r="AF841" s="6" t="s">
        <v>3057</v>
      </c>
      <c r="AG841" s="6">
        <v>35768</v>
      </c>
      <c r="AH841" s="60" t="s">
        <v>3058</v>
      </c>
      <c r="AJ841" s="60" t="s">
        <v>854</v>
      </c>
      <c r="AK841" s="6" t="s">
        <v>2361</v>
      </c>
      <c r="AL841" s="60" t="s">
        <v>1384</v>
      </c>
    </row>
    <row r="842" spans="32:38" ht="18" customHeight="1" x14ac:dyDescent="0.25">
      <c r="AF842" s="6" t="s">
        <v>3059</v>
      </c>
      <c r="AG842" s="6">
        <v>3017659</v>
      </c>
      <c r="AH842" s="60" t="s">
        <v>3060</v>
      </c>
      <c r="AJ842" s="60" t="s">
        <v>854</v>
      </c>
      <c r="AK842" s="6" t="s">
        <v>2354</v>
      </c>
      <c r="AL842" s="60" t="s">
        <v>138</v>
      </c>
    </row>
    <row r="843" spans="32:38" ht="18" customHeight="1" x14ac:dyDescent="0.25">
      <c r="AF843" s="6" t="s">
        <v>3061</v>
      </c>
      <c r="AG843" s="6">
        <v>2950006</v>
      </c>
      <c r="AH843" s="60" t="s">
        <v>3062</v>
      </c>
      <c r="AJ843" s="60" t="s">
        <v>854</v>
      </c>
      <c r="AK843" s="6" t="s">
        <v>2354</v>
      </c>
      <c r="AL843" s="60" t="s">
        <v>136</v>
      </c>
    </row>
    <row r="844" spans="32:38" ht="18" customHeight="1" x14ac:dyDescent="0.25">
      <c r="AF844" s="6" t="s">
        <v>3063</v>
      </c>
      <c r="AG844" s="6">
        <v>3020094</v>
      </c>
      <c r="AH844" s="60" t="s">
        <v>3064</v>
      </c>
      <c r="AJ844" s="60" t="s">
        <v>854</v>
      </c>
      <c r="AK844" s="6" t="s">
        <v>2354</v>
      </c>
      <c r="AL844" s="60" t="s">
        <v>135</v>
      </c>
    </row>
    <row r="845" spans="32:38" ht="18" customHeight="1" x14ac:dyDescent="0.25">
      <c r="AF845" s="6" t="s">
        <v>3065</v>
      </c>
      <c r="AG845" s="6">
        <v>33097</v>
      </c>
      <c r="AH845" s="60" t="s">
        <v>3066</v>
      </c>
      <c r="AJ845" s="60" t="s">
        <v>854</v>
      </c>
      <c r="AK845" s="6" t="s">
        <v>2354</v>
      </c>
      <c r="AL845" s="60" t="s">
        <v>1384</v>
      </c>
    </row>
    <row r="846" spans="32:38" ht="18" customHeight="1" x14ac:dyDescent="0.25">
      <c r="AF846" s="6" t="s">
        <v>3067</v>
      </c>
      <c r="AG846" s="6">
        <v>30180</v>
      </c>
      <c r="AH846" s="60" t="s">
        <v>3068</v>
      </c>
      <c r="AJ846" s="60" t="s">
        <v>854</v>
      </c>
      <c r="AK846" s="6" t="s">
        <v>2354</v>
      </c>
      <c r="AL846" s="60" t="s">
        <v>703</v>
      </c>
    </row>
    <row r="847" spans="32:38" ht="18" customHeight="1" x14ac:dyDescent="0.25">
      <c r="AF847" s="6" t="s">
        <v>3069</v>
      </c>
      <c r="AG847" s="6">
        <v>3046283</v>
      </c>
      <c r="AH847" s="60" t="s">
        <v>3070</v>
      </c>
      <c r="AJ847" s="60" t="s">
        <v>854</v>
      </c>
      <c r="AK847" s="6" t="s">
        <v>2361</v>
      </c>
      <c r="AL847" s="60" t="s">
        <v>1384</v>
      </c>
    </row>
    <row r="848" spans="32:38" ht="18" customHeight="1" x14ac:dyDescent="0.25">
      <c r="AF848" s="6" t="s">
        <v>3071</v>
      </c>
      <c r="AG848" s="6">
        <v>15055</v>
      </c>
      <c r="AH848" s="60" t="s">
        <v>3072</v>
      </c>
      <c r="AJ848" s="60" t="s">
        <v>854</v>
      </c>
      <c r="AK848" s="6" t="s">
        <v>2354</v>
      </c>
      <c r="AL848" s="60" t="s">
        <v>705</v>
      </c>
    </row>
    <row r="849" spans="32:38" ht="18" customHeight="1" x14ac:dyDescent="0.25">
      <c r="AF849" s="6" t="s">
        <v>3073</v>
      </c>
      <c r="AG849" s="6">
        <v>13375</v>
      </c>
      <c r="AH849" s="60" t="s">
        <v>3074</v>
      </c>
      <c r="AJ849" s="60" t="s">
        <v>854</v>
      </c>
      <c r="AK849" s="6" t="s">
        <v>2354</v>
      </c>
      <c r="AL849" s="60" t="s">
        <v>705</v>
      </c>
    </row>
    <row r="850" spans="32:38" ht="18" customHeight="1" x14ac:dyDescent="0.25">
      <c r="AF850" s="6" t="s">
        <v>3075</v>
      </c>
      <c r="AG850" s="6">
        <v>16492</v>
      </c>
      <c r="AH850" s="60" t="s">
        <v>3076</v>
      </c>
      <c r="AJ850" s="60" t="s">
        <v>854</v>
      </c>
      <c r="AK850" s="6" t="s">
        <v>2354</v>
      </c>
      <c r="AL850" s="60" t="s">
        <v>705</v>
      </c>
    </row>
    <row r="851" spans="32:38" ht="18" customHeight="1" x14ac:dyDescent="0.25">
      <c r="AF851" s="6" t="s">
        <v>3077</v>
      </c>
      <c r="AG851" s="6">
        <v>518021</v>
      </c>
      <c r="AH851" s="60" t="s">
        <v>3078</v>
      </c>
      <c r="AJ851" s="60" t="s">
        <v>854</v>
      </c>
      <c r="AK851" s="6" t="s">
        <v>2354</v>
      </c>
      <c r="AL851" s="60" t="s">
        <v>1134</v>
      </c>
    </row>
    <row r="852" spans="32:38" ht="18" customHeight="1" x14ac:dyDescent="0.25">
      <c r="AF852" s="6" t="s">
        <v>3079</v>
      </c>
      <c r="AG852" s="6">
        <v>540533</v>
      </c>
      <c r="AH852" s="60" t="s">
        <v>3080</v>
      </c>
      <c r="AJ852" s="60" t="s">
        <v>854</v>
      </c>
      <c r="AK852" s="6" t="s">
        <v>2356</v>
      </c>
      <c r="AL852" s="60" t="s">
        <v>710</v>
      </c>
    </row>
    <row r="853" spans="32:38" ht="18" customHeight="1" x14ac:dyDescent="0.25">
      <c r="AF853" s="6" t="s">
        <v>3081</v>
      </c>
      <c r="AG853" s="6">
        <v>15016</v>
      </c>
      <c r="AH853" s="60" t="s">
        <v>3082</v>
      </c>
      <c r="AJ853" s="60" t="s">
        <v>854</v>
      </c>
      <c r="AK853" s="6" t="s">
        <v>2354</v>
      </c>
      <c r="AL853" s="60" t="s">
        <v>705</v>
      </c>
    </row>
    <row r="854" spans="32:38" ht="18" customHeight="1" x14ac:dyDescent="0.25">
      <c r="AF854" s="6" t="s">
        <v>3083</v>
      </c>
      <c r="AG854" s="6">
        <v>524735</v>
      </c>
      <c r="AH854" s="60" t="s">
        <v>3084</v>
      </c>
      <c r="AJ854" s="60" t="s">
        <v>854</v>
      </c>
      <c r="AK854" s="6" t="s">
        <v>2354</v>
      </c>
      <c r="AL854" s="60" t="s">
        <v>707</v>
      </c>
    </row>
    <row r="855" spans="32:38" ht="18" customHeight="1" x14ac:dyDescent="0.25">
      <c r="AF855" s="6" t="s">
        <v>3085</v>
      </c>
      <c r="AG855" s="6">
        <v>514759</v>
      </c>
      <c r="AH855" s="60" t="s">
        <v>3086</v>
      </c>
      <c r="AJ855" s="60" t="s">
        <v>854</v>
      </c>
      <c r="AK855" s="6" t="s">
        <v>2354</v>
      </c>
      <c r="AL855" s="60" t="s">
        <v>517</v>
      </c>
    </row>
    <row r="856" spans="32:38" ht="18" customHeight="1" x14ac:dyDescent="0.25">
      <c r="AF856" s="6" t="s">
        <v>3087</v>
      </c>
      <c r="AG856" s="6">
        <v>37103</v>
      </c>
      <c r="AH856" s="60" t="s">
        <v>3088</v>
      </c>
      <c r="AJ856" s="60" t="s">
        <v>854</v>
      </c>
      <c r="AK856" s="6" t="s">
        <v>2361</v>
      </c>
      <c r="AL856" s="60" t="s">
        <v>708</v>
      </c>
    </row>
    <row r="857" spans="32:38" ht="18" customHeight="1" x14ac:dyDescent="0.25">
      <c r="AF857" s="6" t="s">
        <v>3089</v>
      </c>
      <c r="AG857" s="6">
        <v>542476</v>
      </c>
      <c r="AH857" s="60" t="s">
        <v>3090</v>
      </c>
      <c r="AJ857" s="60" t="s">
        <v>854</v>
      </c>
      <c r="AK857" s="6" t="s">
        <v>2356</v>
      </c>
      <c r="AL857" s="60" t="s">
        <v>517</v>
      </c>
    </row>
    <row r="858" spans="32:38" ht="18" customHeight="1" x14ac:dyDescent="0.25">
      <c r="AF858" s="6" t="s">
        <v>3089</v>
      </c>
      <c r="AG858" s="6">
        <v>532625</v>
      </c>
      <c r="AH858" s="60" t="s">
        <v>3091</v>
      </c>
      <c r="AJ858" s="60" t="s">
        <v>854</v>
      </c>
      <c r="AK858" s="6" t="s">
        <v>2360</v>
      </c>
      <c r="AL858" s="60" t="s">
        <v>517</v>
      </c>
    </row>
    <row r="859" spans="32:38" ht="18" customHeight="1" x14ac:dyDescent="0.25">
      <c r="AF859" s="6" t="s">
        <v>3092</v>
      </c>
      <c r="AG859" s="6">
        <v>27143</v>
      </c>
      <c r="AH859" s="60" t="s">
        <v>3093</v>
      </c>
      <c r="AJ859" s="60" t="s">
        <v>854</v>
      </c>
      <c r="AK859" s="6" t="s">
        <v>2360</v>
      </c>
      <c r="AL859" s="60" t="s">
        <v>2210</v>
      </c>
    </row>
    <row r="860" spans="32:38" ht="18" customHeight="1" x14ac:dyDescent="0.25">
      <c r="AF860" s="6" t="s">
        <v>3094</v>
      </c>
      <c r="AG860" s="6">
        <v>27691</v>
      </c>
      <c r="AH860" s="60" t="s">
        <v>3095</v>
      </c>
      <c r="AJ860" s="60" t="s">
        <v>854</v>
      </c>
      <c r="AK860" s="6" t="s">
        <v>2360</v>
      </c>
      <c r="AL860" s="60" t="s">
        <v>2210</v>
      </c>
    </row>
    <row r="861" spans="32:38" ht="18" customHeight="1" x14ac:dyDescent="0.25">
      <c r="AF861" s="6" t="s">
        <v>3096</v>
      </c>
      <c r="AG861" s="6">
        <v>25175</v>
      </c>
      <c r="AH861" s="60" t="s">
        <v>3097</v>
      </c>
      <c r="AJ861" s="60" t="s">
        <v>854</v>
      </c>
      <c r="AK861" s="6" t="s">
        <v>2361</v>
      </c>
      <c r="AL861" s="60" t="s">
        <v>1136</v>
      </c>
    </row>
    <row r="862" spans="32:38" ht="18" customHeight="1" x14ac:dyDescent="0.25">
      <c r="AF862" s="6" t="s">
        <v>3098</v>
      </c>
      <c r="AG862" s="6">
        <v>13526</v>
      </c>
      <c r="AH862" s="60" t="s">
        <v>3099</v>
      </c>
      <c r="AJ862" s="60" t="s">
        <v>854</v>
      </c>
      <c r="AK862" s="6" t="s">
        <v>2361</v>
      </c>
      <c r="AL862" s="60" t="s">
        <v>494</v>
      </c>
    </row>
    <row r="863" spans="32:38" ht="18" customHeight="1" x14ac:dyDescent="0.25">
      <c r="AF863" s="6" t="s">
        <v>3100</v>
      </c>
      <c r="AG863" s="6">
        <v>24951</v>
      </c>
      <c r="AH863" s="60" t="s">
        <v>3101</v>
      </c>
      <c r="AJ863" s="60" t="s">
        <v>854</v>
      </c>
      <c r="AK863" s="6" t="s">
        <v>2358</v>
      </c>
      <c r="AL863" s="60" t="s">
        <v>2210</v>
      </c>
    </row>
    <row r="864" spans="32:38" ht="18" customHeight="1" x14ac:dyDescent="0.25">
      <c r="AF864" s="6" t="s">
        <v>3100</v>
      </c>
      <c r="AG864" s="6">
        <v>30007</v>
      </c>
      <c r="AH864" s="60" t="s">
        <v>3102</v>
      </c>
      <c r="AJ864" s="60" t="s">
        <v>854</v>
      </c>
      <c r="AK864" s="6" t="s">
        <v>2356</v>
      </c>
      <c r="AL864" s="60" t="s">
        <v>2210</v>
      </c>
    </row>
    <row r="865" spans="32:38" ht="18" customHeight="1" x14ac:dyDescent="0.25">
      <c r="AF865" s="6" t="s">
        <v>3103</v>
      </c>
      <c r="AG865" s="6">
        <v>18785</v>
      </c>
      <c r="AH865" s="60" t="s">
        <v>3104</v>
      </c>
      <c r="AJ865" s="60" t="s">
        <v>854</v>
      </c>
      <c r="AK865" s="6" t="s">
        <v>2354</v>
      </c>
      <c r="AL865" s="60" t="s">
        <v>2210</v>
      </c>
    </row>
    <row r="866" spans="32:38" ht="18" customHeight="1" x14ac:dyDescent="0.25">
      <c r="AF866" s="6" t="s">
        <v>3105</v>
      </c>
      <c r="AG866" s="6">
        <v>22256</v>
      </c>
      <c r="AH866" s="60" t="s">
        <v>3106</v>
      </c>
      <c r="AJ866" s="60" t="s">
        <v>854</v>
      </c>
      <c r="AK866" s="6" t="s">
        <v>2354</v>
      </c>
      <c r="AL866" s="60" t="s">
        <v>1137</v>
      </c>
    </row>
    <row r="867" spans="32:38" ht="18" customHeight="1" x14ac:dyDescent="0.25">
      <c r="AF867" s="6" t="s">
        <v>3107</v>
      </c>
      <c r="AG867" s="6">
        <v>43400</v>
      </c>
      <c r="AH867" s="60" t="s">
        <v>3108</v>
      </c>
      <c r="AJ867" s="60" t="s">
        <v>854</v>
      </c>
      <c r="AK867" s="6" t="s">
        <v>2360</v>
      </c>
      <c r="AL867" s="60" t="s">
        <v>3109</v>
      </c>
    </row>
    <row r="868" spans="32:38" ht="18" customHeight="1" x14ac:dyDescent="0.25">
      <c r="AF868" s="6" t="s">
        <v>3110</v>
      </c>
      <c r="AG868" s="6">
        <v>31486</v>
      </c>
      <c r="AH868" s="60" t="s">
        <v>3111</v>
      </c>
      <c r="AJ868" s="60" t="s">
        <v>854</v>
      </c>
      <c r="AK868" s="6" t="s">
        <v>2354</v>
      </c>
      <c r="AL868" s="60" t="s">
        <v>1137</v>
      </c>
    </row>
    <row r="869" spans="32:38" ht="18" customHeight="1" x14ac:dyDescent="0.25">
      <c r="AF869" s="6" t="s">
        <v>3112</v>
      </c>
      <c r="AG869" s="6">
        <v>33797</v>
      </c>
      <c r="AH869" s="60" t="s">
        <v>3113</v>
      </c>
      <c r="AJ869" s="60" t="s">
        <v>854</v>
      </c>
      <c r="AK869" s="6" t="s">
        <v>2354</v>
      </c>
      <c r="AL869" s="60" t="s">
        <v>3109</v>
      </c>
    </row>
    <row r="870" spans="32:38" ht="18" customHeight="1" x14ac:dyDescent="0.25">
      <c r="AF870" s="6" t="s">
        <v>3114</v>
      </c>
      <c r="AG870" s="6">
        <v>88416</v>
      </c>
      <c r="AH870" s="60" t="s">
        <v>3115</v>
      </c>
      <c r="AJ870" s="60" t="s">
        <v>854</v>
      </c>
      <c r="AK870" s="6" t="s">
        <v>2360</v>
      </c>
      <c r="AL870" s="60" t="s">
        <v>505</v>
      </c>
    </row>
    <row r="871" spans="32:38" ht="18" customHeight="1" x14ac:dyDescent="0.25">
      <c r="AF871" s="6" t="s">
        <v>3116</v>
      </c>
      <c r="AG871" s="6">
        <v>85581</v>
      </c>
      <c r="AH871" s="60" t="s">
        <v>3117</v>
      </c>
      <c r="AJ871" s="60" t="s">
        <v>854</v>
      </c>
      <c r="AK871" s="6" t="s">
        <v>2361</v>
      </c>
      <c r="AL871" s="60" t="s">
        <v>505</v>
      </c>
    </row>
    <row r="872" spans="32:38" ht="18" customHeight="1" x14ac:dyDescent="0.25">
      <c r="AF872" s="6" t="s">
        <v>3118</v>
      </c>
      <c r="AG872" s="6">
        <v>86127</v>
      </c>
      <c r="AH872" s="60" t="s">
        <v>3119</v>
      </c>
      <c r="AJ872" s="60" t="s">
        <v>854</v>
      </c>
      <c r="AK872" s="6" t="s">
        <v>2360</v>
      </c>
      <c r="AL872" s="60" t="s">
        <v>505</v>
      </c>
    </row>
    <row r="873" spans="32:38" ht="18" customHeight="1" x14ac:dyDescent="0.25">
      <c r="AF873" s="6" t="s">
        <v>3120</v>
      </c>
      <c r="AG873" s="6">
        <v>83055</v>
      </c>
      <c r="AH873" s="60" t="s">
        <v>3121</v>
      </c>
      <c r="AJ873" s="60" t="s">
        <v>854</v>
      </c>
      <c r="AK873" s="6" t="s">
        <v>2354</v>
      </c>
      <c r="AL873" s="60" t="s">
        <v>505</v>
      </c>
    </row>
    <row r="874" spans="32:38" ht="18" customHeight="1" x14ac:dyDescent="0.25">
      <c r="AF874" s="6" t="s">
        <v>3122</v>
      </c>
      <c r="AG874" s="6">
        <v>91725</v>
      </c>
      <c r="AH874" s="60" t="s">
        <v>3123</v>
      </c>
      <c r="AJ874" s="60" t="s">
        <v>854</v>
      </c>
      <c r="AK874" s="6" t="s">
        <v>2356</v>
      </c>
      <c r="AL874" s="60" t="s">
        <v>2750</v>
      </c>
    </row>
    <row r="875" spans="32:38" ht="18" customHeight="1" x14ac:dyDescent="0.25">
      <c r="AF875" s="6" t="s">
        <v>3235</v>
      </c>
      <c r="AG875" s="6">
        <v>45397</v>
      </c>
      <c r="AH875" s="60" t="s">
        <v>3236</v>
      </c>
      <c r="AJ875" s="60" t="s">
        <v>854</v>
      </c>
      <c r="AK875" s="6" t="s">
        <v>2354</v>
      </c>
      <c r="AL875" s="60" t="s">
        <v>1139</v>
      </c>
    </row>
    <row r="876" spans="32:38" ht="18" customHeight="1" x14ac:dyDescent="0.25">
      <c r="AF876" s="6" t="s">
        <v>3237</v>
      </c>
      <c r="AG876" s="6">
        <v>10606</v>
      </c>
      <c r="AH876" s="60" t="s">
        <v>3238</v>
      </c>
      <c r="AJ876" s="60" t="s">
        <v>854</v>
      </c>
      <c r="AK876" s="6" t="s">
        <v>2361</v>
      </c>
      <c r="AL876" s="60" t="s">
        <v>2206</v>
      </c>
    </row>
    <row r="877" spans="32:38" ht="18" customHeight="1" x14ac:dyDescent="0.25">
      <c r="AF877" s="6" t="s">
        <v>3239</v>
      </c>
      <c r="AG877" s="6">
        <v>9384</v>
      </c>
      <c r="AH877" s="60" t="s">
        <v>3240</v>
      </c>
      <c r="AJ877" s="60" t="s">
        <v>854</v>
      </c>
      <c r="AK877" s="6" t="s">
        <v>3241</v>
      </c>
      <c r="AL877" s="60" t="s">
        <v>429</v>
      </c>
    </row>
    <row r="878" spans="32:38" ht="18" customHeight="1" x14ac:dyDescent="0.25">
      <c r="AF878" s="6" t="s">
        <v>3242</v>
      </c>
      <c r="AG878" s="6">
        <v>14161</v>
      </c>
      <c r="AH878" s="60" t="s">
        <v>3243</v>
      </c>
      <c r="AJ878" s="60" t="s">
        <v>854</v>
      </c>
      <c r="AK878" s="6" t="s">
        <v>2358</v>
      </c>
      <c r="AL878" s="60" t="s">
        <v>542</v>
      </c>
    </row>
    <row r="879" spans="32:38" ht="18" customHeight="1" x14ac:dyDescent="0.25">
      <c r="AF879" s="6" t="s">
        <v>3244</v>
      </c>
      <c r="AG879" s="6">
        <v>12093</v>
      </c>
      <c r="AH879" s="60" t="s">
        <v>3245</v>
      </c>
      <c r="AJ879" s="60" t="s">
        <v>854</v>
      </c>
      <c r="AK879" s="6" t="s">
        <v>2356</v>
      </c>
      <c r="AL879" s="60" t="s">
        <v>2207</v>
      </c>
    </row>
    <row r="880" spans="32:38" ht="18" customHeight="1" x14ac:dyDescent="0.25">
      <c r="AF880" s="6" t="s">
        <v>3246</v>
      </c>
      <c r="AG880" s="6">
        <v>986</v>
      </c>
      <c r="AH880" s="60" t="s">
        <v>3247</v>
      </c>
      <c r="AJ880" s="295" t="s">
        <v>855</v>
      </c>
      <c r="AK880" s="6" t="s">
        <v>2355</v>
      </c>
      <c r="AL880" s="60" t="s">
        <v>1227</v>
      </c>
    </row>
    <row r="881" spans="32:38" ht="18" customHeight="1" x14ac:dyDescent="0.25">
      <c r="AF881" s="6" t="s">
        <v>3248</v>
      </c>
      <c r="AG881" s="6">
        <v>49865</v>
      </c>
      <c r="AH881" s="60" t="s">
        <v>3249</v>
      </c>
      <c r="AJ881" s="60" t="s">
        <v>854</v>
      </c>
      <c r="AK881" s="6" t="s">
        <v>2360</v>
      </c>
      <c r="AL881" s="60" t="s">
        <v>1349</v>
      </c>
    </row>
    <row r="882" spans="32:38" ht="18" customHeight="1" x14ac:dyDescent="0.25">
      <c r="AF882" s="6" t="s">
        <v>3250</v>
      </c>
      <c r="AG882" s="6">
        <v>41395</v>
      </c>
      <c r="AH882" s="60" t="s">
        <v>3251</v>
      </c>
      <c r="AJ882" s="60" t="s">
        <v>854</v>
      </c>
      <c r="AK882" s="6" t="s">
        <v>2354</v>
      </c>
      <c r="AL882" s="60" t="s">
        <v>1349</v>
      </c>
    </row>
    <row r="883" spans="32:38" ht="18" customHeight="1" x14ac:dyDescent="0.25">
      <c r="AF883" s="6" t="s">
        <v>3252</v>
      </c>
      <c r="AG883" s="6">
        <v>42763</v>
      </c>
      <c r="AH883" s="60" t="s">
        <v>3253</v>
      </c>
      <c r="AJ883" s="60" t="s">
        <v>977</v>
      </c>
      <c r="AK883" s="6" t="s">
        <v>2518</v>
      </c>
      <c r="AL883" s="60" t="s">
        <v>1349</v>
      </c>
    </row>
    <row r="884" spans="32:38" ht="18" customHeight="1" x14ac:dyDescent="0.25">
      <c r="AF884" s="6" t="s">
        <v>3254</v>
      </c>
      <c r="AG884" s="6">
        <v>59620</v>
      </c>
      <c r="AH884" s="60" t="s">
        <v>3255</v>
      </c>
      <c r="AJ884" s="60" t="s">
        <v>854</v>
      </c>
      <c r="AK884" s="6" t="s">
        <v>2356</v>
      </c>
      <c r="AL884" s="60" t="s">
        <v>1297</v>
      </c>
    </row>
    <row r="885" spans="32:38" ht="18" customHeight="1" x14ac:dyDescent="0.25">
      <c r="AF885" s="6" t="s">
        <v>3254</v>
      </c>
      <c r="AG885" s="6">
        <v>55223</v>
      </c>
      <c r="AH885" s="60" t="s">
        <v>3256</v>
      </c>
      <c r="AJ885" s="60" t="s">
        <v>854</v>
      </c>
      <c r="AK885" s="6" t="s">
        <v>2356</v>
      </c>
      <c r="AL885" s="60" t="s">
        <v>1297</v>
      </c>
    </row>
    <row r="886" spans="32:38" ht="18" customHeight="1" x14ac:dyDescent="0.25">
      <c r="AF886" s="6" t="s">
        <v>3254</v>
      </c>
      <c r="AG886" s="6">
        <v>57991</v>
      </c>
      <c r="AH886" s="60" t="s">
        <v>3257</v>
      </c>
      <c r="AJ886" s="60" t="s">
        <v>854</v>
      </c>
      <c r="AK886" s="6" t="s">
        <v>2356</v>
      </c>
      <c r="AL886" s="60" t="s">
        <v>1297</v>
      </c>
    </row>
    <row r="887" spans="32:38" ht="18" customHeight="1" x14ac:dyDescent="0.25">
      <c r="AF887" s="6" t="s">
        <v>3258</v>
      </c>
      <c r="AG887" s="6">
        <v>5382</v>
      </c>
      <c r="AH887" s="60" t="s">
        <v>3259</v>
      </c>
      <c r="AJ887" s="60" t="s">
        <v>854</v>
      </c>
      <c r="AK887" s="6" t="s">
        <v>2354</v>
      </c>
      <c r="AL887" s="60" t="s">
        <v>1353</v>
      </c>
    </row>
    <row r="888" spans="32:38" ht="18" customHeight="1" x14ac:dyDescent="0.25">
      <c r="AF888" s="6" t="s">
        <v>3260</v>
      </c>
      <c r="AG888" s="6">
        <v>10014</v>
      </c>
      <c r="AH888" s="60" t="s">
        <v>3261</v>
      </c>
      <c r="AJ888" s="60" t="s">
        <v>854</v>
      </c>
      <c r="AK888" s="6" t="s">
        <v>2356</v>
      </c>
      <c r="AL888" s="60" t="s">
        <v>1379</v>
      </c>
    </row>
    <row r="889" spans="32:38" ht="18" customHeight="1" x14ac:dyDescent="0.25">
      <c r="AF889" s="6" t="s">
        <v>3262</v>
      </c>
      <c r="AG889" s="6">
        <v>1166</v>
      </c>
      <c r="AH889" s="60" t="s">
        <v>3263</v>
      </c>
      <c r="AJ889" s="60" t="s">
        <v>854</v>
      </c>
      <c r="AK889" s="6" t="s">
        <v>2361</v>
      </c>
      <c r="AL889" s="60" t="s">
        <v>299</v>
      </c>
    </row>
    <row r="890" spans="32:38" ht="18" customHeight="1" x14ac:dyDescent="0.25">
      <c r="AF890" s="6" t="s">
        <v>3264</v>
      </c>
      <c r="AG890" s="6">
        <v>432</v>
      </c>
      <c r="AH890" s="60" t="s">
        <v>3265</v>
      </c>
      <c r="AJ890" s="60" t="s">
        <v>854</v>
      </c>
      <c r="AK890" s="6" t="s">
        <v>2354</v>
      </c>
      <c r="AL890" s="60" t="s">
        <v>726</v>
      </c>
    </row>
    <row r="891" spans="32:38" ht="18" customHeight="1" x14ac:dyDescent="0.25">
      <c r="AF891" s="6" t="s">
        <v>3264</v>
      </c>
      <c r="AG891" s="6">
        <v>815</v>
      </c>
      <c r="AH891" s="60" t="s">
        <v>3266</v>
      </c>
      <c r="AJ891" s="60" t="s">
        <v>854</v>
      </c>
      <c r="AK891" s="6" t="s">
        <v>2354</v>
      </c>
      <c r="AL891" s="60" t="s">
        <v>726</v>
      </c>
    </row>
    <row r="892" spans="32:38" ht="18" customHeight="1" x14ac:dyDescent="0.25">
      <c r="AF892" s="6" t="s">
        <v>3264</v>
      </c>
      <c r="AG892" s="6">
        <v>1961</v>
      </c>
      <c r="AH892" s="60" t="s">
        <v>3267</v>
      </c>
      <c r="AJ892" s="60" t="s">
        <v>854</v>
      </c>
      <c r="AK892" s="6" t="s">
        <v>2354</v>
      </c>
      <c r="AL892" s="60" t="s">
        <v>726</v>
      </c>
    </row>
    <row r="893" spans="32:38" ht="18" customHeight="1" x14ac:dyDescent="0.25">
      <c r="AF893" s="6" t="s">
        <v>3268</v>
      </c>
      <c r="AG893" s="6">
        <v>5825</v>
      </c>
      <c r="AH893" s="60" t="s">
        <v>3269</v>
      </c>
      <c r="AJ893" s="60" t="s">
        <v>854</v>
      </c>
      <c r="AK893" s="6" t="s">
        <v>2356</v>
      </c>
      <c r="AL893" s="60" t="s">
        <v>726</v>
      </c>
    </row>
    <row r="894" spans="32:38" ht="18" customHeight="1" x14ac:dyDescent="0.25">
      <c r="AF894" s="6" t="s">
        <v>3270</v>
      </c>
      <c r="AG894" s="6">
        <v>2842</v>
      </c>
      <c r="AH894" s="60" t="s">
        <v>3271</v>
      </c>
      <c r="AJ894" s="60" t="s">
        <v>854</v>
      </c>
      <c r="AK894" s="6" t="s">
        <v>2360</v>
      </c>
      <c r="AL894" s="60" t="s">
        <v>726</v>
      </c>
    </row>
    <row r="895" spans="32:38" ht="18" customHeight="1" x14ac:dyDescent="0.25">
      <c r="AF895" s="6" t="s">
        <v>3272</v>
      </c>
      <c r="AG895" s="6">
        <v>18370</v>
      </c>
      <c r="AH895" s="60" t="s">
        <v>3273</v>
      </c>
      <c r="AJ895" s="60" t="s">
        <v>854</v>
      </c>
      <c r="AK895" s="6" t="s">
        <v>2361</v>
      </c>
      <c r="AL895" s="60" t="s">
        <v>2840</v>
      </c>
    </row>
    <row r="896" spans="32:38" ht="18" customHeight="1" x14ac:dyDescent="0.25">
      <c r="AF896" s="6" t="s">
        <v>3274</v>
      </c>
      <c r="AG896" s="6">
        <v>384</v>
      </c>
      <c r="AH896" s="60" t="s">
        <v>3275</v>
      </c>
      <c r="AJ896" s="60" t="s">
        <v>854</v>
      </c>
      <c r="AK896" s="6" t="s">
        <v>2354</v>
      </c>
      <c r="AL896" s="60" t="s">
        <v>2840</v>
      </c>
    </row>
    <row r="897" spans="32:38" ht="18" customHeight="1" x14ac:dyDescent="0.25">
      <c r="AF897" s="6" t="s">
        <v>3276</v>
      </c>
      <c r="AG897" s="6">
        <v>20928</v>
      </c>
      <c r="AH897" s="60" t="s">
        <v>3277</v>
      </c>
      <c r="AJ897" s="60" t="s">
        <v>854</v>
      </c>
      <c r="AK897" s="6" t="s">
        <v>2356</v>
      </c>
      <c r="AL897" s="60" t="s">
        <v>862</v>
      </c>
    </row>
    <row r="898" spans="32:38" ht="18" customHeight="1" x14ac:dyDescent="0.25">
      <c r="AF898" s="6" t="s">
        <v>3278</v>
      </c>
      <c r="AG898" s="6">
        <v>9819</v>
      </c>
      <c r="AH898" s="60" t="s">
        <v>3279</v>
      </c>
      <c r="AJ898" s="60" t="s">
        <v>854</v>
      </c>
      <c r="AK898" s="6" t="s">
        <v>2360</v>
      </c>
      <c r="AL898" s="60" t="s">
        <v>863</v>
      </c>
    </row>
    <row r="899" spans="32:38" ht="18" customHeight="1" x14ac:dyDescent="0.25">
      <c r="AF899" s="6" t="s">
        <v>3280</v>
      </c>
      <c r="AG899" s="6">
        <v>3655</v>
      </c>
      <c r="AH899" s="60" t="s">
        <v>3281</v>
      </c>
      <c r="AJ899" s="60" t="s">
        <v>977</v>
      </c>
      <c r="AK899" s="6" t="s">
        <v>2518</v>
      </c>
      <c r="AL899" s="60" t="s">
        <v>2862</v>
      </c>
    </row>
    <row r="900" spans="32:38" ht="18" customHeight="1" x14ac:dyDescent="0.25">
      <c r="AF900" s="6" t="s">
        <v>3282</v>
      </c>
      <c r="AG900" s="6">
        <v>9182</v>
      </c>
      <c r="AH900" s="60" t="s">
        <v>3283</v>
      </c>
      <c r="AJ900" s="60" t="s">
        <v>854</v>
      </c>
      <c r="AK900" s="6" t="s">
        <v>2359</v>
      </c>
      <c r="AL900" s="60" t="s">
        <v>2862</v>
      </c>
    </row>
    <row r="901" spans="32:38" ht="18" customHeight="1" x14ac:dyDescent="0.25">
      <c r="AF901" s="6" t="s">
        <v>3284</v>
      </c>
      <c r="AG901" s="6">
        <v>268</v>
      </c>
      <c r="AH901" s="60" t="s">
        <v>3285</v>
      </c>
      <c r="AJ901" s="295" t="s">
        <v>855</v>
      </c>
      <c r="AK901" s="6" t="s">
        <v>2355</v>
      </c>
      <c r="AL901" s="60" t="s">
        <v>863</v>
      </c>
    </row>
    <row r="902" spans="32:38" ht="18" customHeight="1" x14ac:dyDescent="0.25">
      <c r="AF902" s="6" t="s">
        <v>3286</v>
      </c>
      <c r="AG902" s="6">
        <v>11985</v>
      </c>
      <c r="AH902" s="60" t="s">
        <v>3287</v>
      </c>
      <c r="AJ902" s="60" t="s">
        <v>854</v>
      </c>
      <c r="AK902" s="6" t="s">
        <v>2356</v>
      </c>
      <c r="AL902" s="60" t="s">
        <v>857</v>
      </c>
    </row>
    <row r="903" spans="32:38" ht="18" customHeight="1" x14ac:dyDescent="0.25">
      <c r="AF903" s="6" t="s">
        <v>3288</v>
      </c>
      <c r="AG903" s="6">
        <v>29832</v>
      </c>
      <c r="AH903" s="60" t="s">
        <v>3289</v>
      </c>
      <c r="AJ903" s="60" t="s">
        <v>854</v>
      </c>
      <c r="AK903" s="6" t="s">
        <v>2357</v>
      </c>
      <c r="AL903" s="60" t="s">
        <v>184</v>
      </c>
    </row>
    <row r="904" spans="32:38" ht="18" customHeight="1" x14ac:dyDescent="0.25">
      <c r="AF904" s="6" t="s">
        <v>3290</v>
      </c>
      <c r="AG904" s="6">
        <v>2127204</v>
      </c>
      <c r="AH904" s="60" t="s">
        <v>3291</v>
      </c>
      <c r="AJ904" s="60" t="s">
        <v>854</v>
      </c>
      <c r="AK904" s="6" t="s">
        <v>2354</v>
      </c>
      <c r="AL904" s="60" t="s">
        <v>512</v>
      </c>
    </row>
    <row r="905" spans="32:38" ht="18" customHeight="1" x14ac:dyDescent="0.25">
      <c r="AF905" s="6" t="s">
        <v>3292</v>
      </c>
      <c r="AG905" s="6">
        <v>2132182</v>
      </c>
      <c r="AH905" s="60" t="s">
        <v>3293</v>
      </c>
      <c r="AJ905" s="60" t="s">
        <v>854</v>
      </c>
      <c r="AK905" s="6" t="s">
        <v>2354</v>
      </c>
      <c r="AL905" s="60" t="s">
        <v>511</v>
      </c>
    </row>
    <row r="906" spans="32:38" ht="18" customHeight="1" x14ac:dyDescent="0.25">
      <c r="AF906" s="6" t="s">
        <v>3294</v>
      </c>
      <c r="AG906" s="6">
        <v>2131746</v>
      </c>
      <c r="AH906" s="60" t="s">
        <v>3295</v>
      </c>
      <c r="AJ906" s="60" t="s">
        <v>854</v>
      </c>
      <c r="AK906" s="6" t="s">
        <v>2354</v>
      </c>
      <c r="AL906" s="60" t="s">
        <v>1088</v>
      </c>
    </row>
    <row r="907" spans="32:38" ht="18" customHeight="1" x14ac:dyDescent="0.25">
      <c r="AF907" s="6" t="s">
        <v>3296</v>
      </c>
      <c r="AG907" s="6">
        <v>11344</v>
      </c>
      <c r="AH907" s="60" t="s">
        <v>3297</v>
      </c>
      <c r="AJ907" s="60" t="s">
        <v>854</v>
      </c>
      <c r="AK907" s="6" t="s">
        <v>2356</v>
      </c>
      <c r="AL907" s="60" t="s">
        <v>510</v>
      </c>
    </row>
    <row r="908" spans="32:38" ht="18" customHeight="1" x14ac:dyDescent="0.25">
      <c r="AF908" s="6" t="s">
        <v>3298</v>
      </c>
      <c r="AG908" s="6">
        <v>5291</v>
      </c>
      <c r="AH908" s="60" t="s">
        <v>3299</v>
      </c>
      <c r="AJ908" s="60" t="s">
        <v>854</v>
      </c>
      <c r="AK908" s="6" t="s">
        <v>2360</v>
      </c>
      <c r="AL908" s="60" t="s">
        <v>511</v>
      </c>
    </row>
    <row r="909" spans="32:38" ht="18" customHeight="1" x14ac:dyDescent="0.25">
      <c r="AF909" s="6" t="s">
        <v>3300</v>
      </c>
      <c r="AG909" s="6">
        <v>90952</v>
      </c>
      <c r="AH909" s="60" t="s">
        <v>3301</v>
      </c>
      <c r="AJ909" s="60" t="s">
        <v>854</v>
      </c>
      <c r="AK909" s="6" t="s">
        <v>2356</v>
      </c>
      <c r="AL909" s="60" t="s">
        <v>507</v>
      </c>
    </row>
    <row r="910" spans="32:38" ht="18" customHeight="1" x14ac:dyDescent="0.25">
      <c r="AF910" s="6" t="s">
        <v>3302</v>
      </c>
      <c r="AG910" s="6">
        <v>49504</v>
      </c>
      <c r="AH910" s="60" t="s">
        <v>3303</v>
      </c>
      <c r="AJ910" s="60" t="s">
        <v>854</v>
      </c>
      <c r="AK910" s="6" t="s">
        <v>2554</v>
      </c>
      <c r="AL910" s="60" t="s">
        <v>2352</v>
      </c>
    </row>
    <row r="911" spans="32:38" ht="18" customHeight="1" x14ac:dyDescent="0.25">
      <c r="AF911" s="6" t="s">
        <v>3304</v>
      </c>
      <c r="AG911" s="6">
        <v>26387</v>
      </c>
      <c r="AH911" s="60" t="s">
        <v>3305</v>
      </c>
      <c r="AJ911" s="60" t="s">
        <v>854</v>
      </c>
      <c r="AK911" s="6" t="s">
        <v>2354</v>
      </c>
      <c r="AL911" s="60" t="s">
        <v>2593</v>
      </c>
    </row>
    <row r="912" spans="32:38" ht="18" customHeight="1" x14ac:dyDescent="0.25">
      <c r="AF912" s="6" t="s">
        <v>3306</v>
      </c>
      <c r="AG912" s="6">
        <v>38003</v>
      </c>
      <c r="AH912" s="60" t="s">
        <v>3307</v>
      </c>
      <c r="AJ912" s="60" t="s">
        <v>854</v>
      </c>
      <c r="AK912" s="6" t="s">
        <v>2362</v>
      </c>
      <c r="AL912" s="60" t="s">
        <v>3308</v>
      </c>
    </row>
    <row r="913" spans="32:38" ht="18" customHeight="1" x14ac:dyDescent="0.25">
      <c r="AF913" s="6" t="s">
        <v>3309</v>
      </c>
      <c r="AG913" s="6">
        <v>25461</v>
      </c>
      <c r="AH913" s="60" t="s">
        <v>3310</v>
      </c>
      <c r="AJ913" s="60" t="s">
        <v>854</v>
      </c>
      <c r="AK913" s="6" t="s">
        <v>2360</v>
      </c>
      <c r="AL913" s="60" t="s">
        <v>3311</v>
      </c>
    </row>
    <row r="914" spans="32:38" ht="18" customHeight="1" x14ac:dyDescent="0.25">
      <c r="AF914" s="6" t="s">
        <v>3312</v>
      </c>
      <c r="AG914" s="6">
        <v>56522</v>
      </c>
      <c r="AH914" s="60" t="s">
        <v>3313</v>
      </c>
      <c r="AJ914" s="295" t="s">
        <v>1220</v>
      </c>
      <c r="AK914" s="6" t="s">
        <v>3314</v>
      </c>
      <c r="AL914" s="60" t="s">
        <v>3127</v>
      </c>
    </row>
    <row r="915" spans="32:38" ht="18" customHeight="1" x14ac:dyDescent="0.25">
      <c r="AF915" s="6" t="s">
        <v>3315</v>
      </c>
      <c r="AG915" s="6">
        <v>81762</v>
      </c>
      <c r="AH915" s="60" t="s">
        <v>3316</v>
      </c>
      <c r="AJ915" s="60" t="s">
        <v>854</v>
      </c>
      <c r="AK915" s="6" t="s">
        <v>2358</v>
      </c>
      <c r="AL915" s="60" t="s">
        <v>607</v>
      </c>
    </row>
    <row r="916" spans="32:38" ht="18" customHeight="1" x14ac:dyDescent="0.25">
      <c r="AF916" s="6" t="s">
        <v>3302</v>
      </c>
      <c r="AG916" s="6">
        <v>36179</v>
      </c>
      <c r="AH916" s="60" t="s">
        <v>3317</v>
      </c>
      <c r="AJ916" s="60" t="s">
        <v>854</v>
      </c>
      <c r="AK916" s="6" t="s">
        <v>2358</v>
      </c>
      <c r="AL916" s="60" t="s">
        <v>3318</v>
      </c>
    </row>
    <row r="917" spans="32:38" ht="18" customHeight="1" x14ac:dyDescent="0.25">
      <c r="AF917" s="6" t="s">
        <v>3319</v>
      </c>
      <c r="AG917" s="6">
        <v>17020</v>
      </c>
      <c r="AH917" s="60" t="s">
        <v>3320</v>
      </c>
      <c r="AJ917" s="60" t="s">
        <v>854</v>
      </c>
      <c r="AK917" s="6" t="s">
        <v>2356</v>
      </c>
      <c r="AL917" s="60" t="s">
        <v>612</v>
      </c>
    </row>
    <row r="918" spans="32:38" ht="18" customHeight="1" x14ac:dyDescent="0.25">
      <c r="AF918" s="6" t="s">
        <v>3321</v>
      </c>
      <c r="AG918" s="6">
        <v>15169</v>
      </c>
      <c r="AH918" s="60" t="s">
        <v>3322</v>
      </c>
      <c r="AJ918" s="60" t="s">
        <v>854</v>
      </c>
      <c r="AK918" s="6" t="s">
        <v>2360</v>
      </c>
      <c r="AL918" s="60" t="s">
        <v>185</v>
      </c>
    </row>
    <row r="919" spans="32:38" ht="18" customHeight="1" x14ac:dyDescent="0.25">
      <c r="AF919" s="6" t="s">
        <v>3323</v>
      </c>
      <c r="AG919" s="6">
        <v>21185</v>
      </c>
      <c r="AH919" s="60" t="s">
        <v>3324</v>
      </c>
      <c r="AJ919" s="60" t="s">
        <v>854</v>
      </c>
      <c r="AK919" s="6" t="s">
        <v>2356</v>
      </c>
      <c r="AL919" s="60" t="s">
        <v>829</v>
      </c>
    </row>
    <row r="920" spans="32:38" ht="18" customHeight="1" x14ac:dyDescent="0.25">
      <c r="AF920" s="6" t="s">
        <v>3325</v>
      </c>
      <c r="AG920" s="6">
        <v>27882</v>
      </c>
      <c r="AH920" s="60" t="s">
        <v>3326</v>
      </c>
      <c r="AJ920" s="60" t="s">
        <v>854</v>
      </c>
      <c r="AK920" s="6" t="s">
        <v>2356</v>
      </c>
      <c r="AL920" s="60" t="s">
        <v>1143</v>
      </c>
    </row>
    <row r="921" spans="32:38" ht="18" customHeight="1" x14ac:dyDescent="0.25">
      <c r="AF921" s="6" t="s">
        <v>3327</v>
      </c>
      <c r="AG921" s="6">
        <v>12434</v>
      </c>
      <c r="AH921" s="60" t="s">
        <v>3328</v>
      </c>
      <c r="AJ921" s="60" t="s">
        <v>854</v>
      </c>
      <c r="AK921" s="6" t="s">
        <v>2358</v>
      </c>
      <c r="AL921" s="60" t="s">
        <v>829</v>
      </c>
    </row>
    <row r="922" spans="32:38" ht="18" customHeight="1" x14ac:dyDescent="0.25">
      <c r="AF922" s="6" t="s">
        <v>3329</v>
      </c>
      <c r="AG922" s="6">
        <v>526</v>
      </c>
      <c r="AH922" s="60" t="s">
        <v>3330</v>
      </c>
      <c r="AJ922" s="60" t="s">
        <v>854</v>
      </c>
      <c r="AK922" s="6" t="s">
        <v>2354</v>
      </c>
      <c r="AL922" s="60" t="s">
        <v>514</v>
      </c>
    </row>
    <row r="923" spans="32:38" ht="18" customHeight="1" x14ac:dyDescent="0.25">
      <c r="AF923" s="6" t="s">
        <v>3331</v>
      </c>
      <c r="AG923" s="6">
        <v>93</v>
      </c>
      <c r="AH923" s="60" t="s">
        <v>3332</v>
      </c>
      <c r="AJ923" s="60" t="s">
        <v>854</v>
      </c>
      <c r="AK923" s="6" t="s">
        <v>2554</v>
      </c>
      <c r="AL923" s="60" t="s">
        <v>514</v>
      </c>
    </row>
    <row r="924" spans="32:38" ht="18" customHeight="1" x14ac:dyDescent="0.25">
      <c r="AF924" s="6" t="s">
        <v>3331</v>
      </c>
      <c r="AG924" s="6">
        <v>2281</v>
      </c>
      <c r="AH924" s="60" t="s">
        <v>3333</v>
      </c>
      <c r="AJ924" s="295" t="s">
        <v>1220</v>
      </c>
      <c r="AK924" s="6" t="s">
        <v>3314</v>
      </c>
      <c r="AL924" s="60" t="s">
        <v>514</v>
      </c>
    </row>
    <row r="925" spans="32:38" ht="18" customHeight="1" x14ac:dyDescent="0.25">
      <c r="AF925" s="6" t="s">
        <v>3334</v>
      </c>
      <c r="AG925" s="6">
        <v>3899</v>
      </c>
      <c r="AH925" s="60" t="s">
        <v>3335</v>
      </c>
      <c r="AJ925" s="60" t="s">
        <v>854</v>
      </c>
      <c r="AK925" s="6" t="s">
        <v>2357</v>
      </c>
      <c r="AL925" s="60" t="s">
        <v>515</v>
      </c>
    </row>
    <row r="926" spans="32:38" ht="18" customHeight="1" x14ac:dyDescent="0.25">
      <c r="AF926" s="6" t="s">
        <v>3336</v>
      </c>
      <c r="AG926" s="6">
        <v>5163</v>
      </c>
      <c r="AH926" s="60" t="s">
        <v>3337</v>
      </c>
      <c r="AJ926" s="60" t="s">
        <v>854</v>
      </c>
      <c r="AK926" s="6" t="s">
        <v>2358</v>
      </c>
      <c r="AL926" s="60" t="s">
        <v>834</v>
      </c>
    </row>
    <row r="927" spans="32:38" ht="18" customHeight="1" x14ac:dyDescent="0.25">
      <c r="AF927" s="6" t="s">
        <v>3338</v>
      </c>
      <c r="AG927" s="6">
        <v>5425486</v>
      </c>
      <c r="AH927" s="60" t="s">
        <v>3339</v>
      </c>
      <c r="AJ927" s="60" t="s">
        <v>854</v>
      </c>
      <c r="AK927" s="6" t="s">
        <v>2354</v>
      </c>
      <c r="AL927" s="60" t="s">
        <v>834</v>
      </c>
    </row>
    <row r="928" spans="32:38" ht="18" customHeight="1" x14ac:dyDescent="0.25">
      <c r="AF928" s="6" t="s">
        <v>3340</v>
      </c>
      <c r="AG928" s="6">
        <v>3869</v>
      </c>
      <c r="AH928" s="60" t="s">
        <v>3341</v>
      </c>
      <c r="AJ928" s="60" t="s">
        <v>854</v>
      </c>
      <c r="AK928" s="6" t="s">
        <v>2360</v>
      </c>
      <c r="AL928" s="60" t="s">
        <v>860</v>
      </c>
    </row>
    <row r="929" spans="32:38" ht="18" customHeight="1" x14ac:dyDescent="0.25">
      <c r="AF929" s="6" t="s">
        <v>3342</v>
      </c>
      <c r="AG929" s="6">
        <v>2503</v>
      </c>
      <c r="AH929" s="60" t="s">
        <v>3343</v>
      </c>
      <c r="AJ929" s="60" t="s">
        <v>854</v>
      </c>
      <c r="AK929" s="6" t="s">
        <v>2354</v>
      </c>
      <c r="AL929" s="60" t="s">
        <v>834</v>
      </c>
    </row>
    <row r="930" spans="32:38" ht="18" customHeight="1" x14ac:dyDescent="0.25">
      <c r="AF930" s="6" t="s">
        <v>3344</v>
      </c>
      <c r="AG930" s="6">
        <v>6447</v>
      </c>
      <c r="AH930" s="60" t="s">
        <v>3345</v>
      </c>
      <c r="AJ930" s="60" t="s">
        <v>854</v>
      </c>
      <c r="AK930" s="6" t="s">
        <v>2357</v>
      </c>
      <c r="AL930" s="60" t="s">
        <v>860</v>
      </c>
    </row>
    <row r="931" spans="32:38" ht="18" customHeight="1" x14ac:dyDescent="0.25">
      <c r="AF931" s="6" t="s">
        <v>3346</v>
      </c>
      <c r="AG931" s="6">
        <v>1834</v>
      </c>
      <c r="AH931" s="60" t="s">
        <v>3347</v>
      </c>
      <c r="AJ931" s="60" t="s">
        <v>854</v>
      </c>
      <c r="AK931" s="6" t="s">
        <v>2354</v>
      </c>
      <c r="AL931" s="60" t="s">
        <v>834</v>
      </c>
    </row>
    <row r="932" spans="32:38" ht="18" customHeight="1" x14ac:dyDescent="0.25">
      <c r="AF932" s="6" t="s">
        <v>3348</v>
      </c>
      <c r="AG932" s="6">
        <v>7065</v>
      </c>
      <c r="AH932" s="60" t="s">
        <v>3349</v>
      </c>
      <c r="AJ932" s="60" t="s">
        <v>854</v>
      </c>
      <c r="AK932" s="6" t="s">
        <v>2357</v>
      </c>
      <c r="AL932" s="60" t="s">
        <v>834</v>
      </c>
    </row>
    <row r="933" spans="32:38" ht="18" customHeight="1" x14ac:dyDescent="0.25">
      <c r="AF933" s="6" t="s">
        <v>3350</v>
      </c>
      <c r="AG933" s="6">
        <v>5118</v>
      </c>
      <c r="AH933" s="60" t="s">
        <v>3351</v>
      </c>
      <c r="AJ933" s="60" t="s">
        <v>854</v>
      </c>
      <c r="AK933" s="6" t="s">
        <v>2356</v>
      </c>
      <c r="AL933" s="60" t="s">
        <v>516</v>
      </c>
    </row>
    <row r="934" spans="32:38" ht="18" customHeight="1" x14ac:dyDescent="0.25">
      <c r="AF934" s="6" t="s">
        <v>3352</v>
      </c>
      <c r="AG934" s="6">
        <v>224</v>
      </c>
      <c r="AH934" s="60" t="s">
        <v>3353</v>
      </c>
      <c r="AJ934" s="60" t="s">
        <v>854</v>
      </c>
      <c r="AK934" s="6" t="s">
        <v>2354</v>
      </c>
      <c r="AL934" s="60" t="s">
        <v>610</v>
      </c>
    </row>
    <row r="935" spans="32:38" ht="18" customHeight="1" x14ac:dyDescent="0.25">
      <c r="AF935" s="6" t="s">
        <v>3354</v>
      </c>
      <c r="AG935" s="6">
        <v>43418</v>
      </c>
      <c r="AH935" s="60" t="s">
        <v>3355</v>
      </c>
      <c r="AJ935" s="60" t="s">
        <v>854</v>
      </c>
      <c r="AK935" s="6" t="s">
        <v>2354</v>
      </c>
      <c r="AL935" s="60" t="s">
        <v>836</v>
      </c>
    </row>
    <row r="936" spans="32:38" ht="18" customHeight="1" x14ac:dyDescent="0.25">
      <c r="AF936" s="6" t="s">
        <v>3356</v>
      </c>
      <c r="AG936" s="6">
        <v>331</v>
      </c>
      <c r="AH936" s="60" t="s">
        <v>3357</v>
      </c>
      <c r="AJ936" s="60" t="s">
        <v>854</v>
      </c>
      <c r="AK936" s="6" t="s">
        <v>2354</v>
      </c>
      <c r="AL936" s="60" t="s">
        <v>940</v>
      </c>
    </row>
    <row r="937" spans="32:38" ht="18" customHeight="1" x14ac:dyDescent="0.25">
      <c r="AF937" s="6" t="s">
        <v>3358</v>
      </c>
      <c r="AG937" s="6">
        <v>11616</v>
      </c>
      <c r="AH937" s="60" t="s">
        <v>3359</v>
      </c>
      <c r="AJ937" s="60" t="s">
        <v>854</v>
      </c>
      <c r="AK937" s="6" t="s">
        <v>2354</v>
      </c>
      <c r="AL937" s="60" t="s">
        <v>836</v>
      </c>
    </row>
    <row r="938" spans="32:38" ht="18" customHeight="1" x14ac:dyDescent="0.25">
      <c r="AF938" s="6" t="s">
        <v>3360</v>
      </c>
      <c r="AG938" s="6">
        <v>29712</v>
      </c>
      <c r="AH938" s="60" t="s">
        <v>3361</v>
      </c>
      <c r="AJ938" s="60" t="s">
        <v>854</v>
      </c>
      <c r="AK938" s="6" t="s">
        <v>2354</v>
      </c>
      <c r="AL938" s="60" t="s">
        <v>837</v>
      </c>
    </row>
    <row r="939" spans="32:38" ht="18" customHeight="1" x14ac:dyDescent="0.25">
      <c r="AF939" s="6" t="s">
        <v>3362</v>
      </c>
      <c r="AG939" s="6">
        <v>34182</v>
      </c>
      <c r="AH939" s="60" t="s">
        <v>3363</v>
      </c>
      <c r="AJ939" s="60" t="s">
        <v>977</v>
      </c>
      <c r="AK939" s="6" t="s">
        <v>2518</v>
      </c>
      <c r="AL939" s="60" t="s">
        <v>133</v>
      </c>
    </row>
    <row r="940" spans="32:38" ht="18" customHeight="1" x14ac:dyDescent="0.25">
      <c r="AF940" s="6" t="s">
        <v>3362</v>
      </c>
      <c r="AG940" s="6">
        <v>35892</v>
      </c>
      <c r="AH940" s="60" t="s">
        <v>3364</v>
      </c>
      <c r="AJ940" s="60" t="s">
        <v>854</v>
      </c>
      <c r="AK940" s="6" t="s">
        <v>2354</v>
      </c>
      <c r="AL940" s="60" t="s">
        <v>133</v>
      </c>
    </row>
    <row r="941" spans="32:38" ht="18" customHeight="1" x14ac:dyDescent="0.25">
      <c r="AF941" s="6" t="s">
        <v>3365</v>
      </c>
      <c r="AG941" s="6">
        <v>11609</v>
      </c>
      <c r="AH941" s="60" t="s">
        <v>3366</v>
      </c>
      <c r="AJ941" s="60" t="s">
        <v>854</v>
      </c>
      <c r="AK941" s="6" t="s">
        <v>2885</v>
      </c>
      <c r="AL941" s="60" t="s">
        <v>341</v>
      </c>
    </row>
    <row r="942" spans="32:38" ht="18" customHeight="1" x14ac:dyDescent="0.25">
      <c r="AF942" s="6" t="s">
        <v>3367</v>
      </c>
      <c r="AG942" s="6">
        <v>26039</v>
      </c>
      <c r="AH942" s="60" t="s">
        <v>3368</v>
      </c>
      <c r="AJ942" s="60" t="s">
        <v>977</v>
      </c>
      <c r="AK942" s="6" t="s">
        <v>2518</v>
      </c>
      <c r="AL942" s="60" t="s">
        <v>132</v>
      </c>
    </row>
    <row r="943" spans="32:38" ht="18" customHeight="1" x14ac:dyDescent="0.25">
      <c r="AF943" s="6" t="s">
        <v>3354</v>
      </c>
      <c r="AG943" s="6">
        <v>52989</v>
      </c>
      <c r="AH943" s="60" t="s">
        <v>3369</v>
      </c>
      <c r="AJ943" s="60" t="s">
        <v>854</v>
      </c>
      <c r="AK943" s="6" t="s">
        <v>2356</v>
      </c>
      <c r="AL943" s="60" t="s">
        <v>133</v>
      </c>
    </row>
    <row r="944" spans="32:38" ht="18" customHeight="1" x14ac:dyDescent="0.25">
      <c r="AF944" s="6" t="s">
        <v>3370</v>
      </c>
      <c r="AG944" s="6">
        <v>29708</v>
      </c>
      <c r="AH944" s="60" t="s">
        <v>3371</v>
      </c>
      <c r="AJ944" s="60" t="s">
        <v>854</v>
      </c>
      <c r="AK944" s="6" t="s">
        <v>2360</v>
      </c>
      <c r="AL944" s="60" t="s">
        <v>835</v>
      </c>
    </row>
    <row r="945" spans="32:38" ht="18" customHeight="1" x14ac:dyDescent="0.25">
      <c r="AF945" s="6" t="s">
        <v>3372</v>
      </c>
      <c r="AG945" s="6">
        <v>22559</v>
      </c>
      <c r="AH945" s="60" t="s">
        <v>3373</v>
      </c>
      <c r="AJ945" s="60" t="s">
        <v>854</v>
      </c>
      <c r="AK945" s="6" t="s">
        <v>2360</v>
      </c>
      <c r="AL945" s="60" t="s">
        <v>340</v>
      </c>
    </row>
    <row r="946" spans="32:38" ht="18" customHeight="1" x14ac:dyDescent="0.25">
      <c r="AF946" s="6" t="s">
        <v>3374</v>
      </c>
      <c r="AG946" s="6">
        <v>63866</v>
      </c>
      <c r="AH946" s="60" t="s">
        <v>3375</v>
      </c>
      <c r="AJ946" s="60" t="s">
        <v>854</v>
      </c>
      <c r="AK946" s="6" t="s">
        <v>2356</v>
      </c>
      <c r="AL946" s="60" t="s">
        <v>713</v>
      </c>
    </row>
    <row r="947" spans="32:38" ht="18" customHeight="1" x14ac:dyDescent="0.25">
      <c r="AF947" s="6" t="s">
        <v>3376</v>
      </c>
      <c r="AG947" s="6">
        <v>23459</v>
      </c>
      <c r="AH947" s="60" t="s">
        <v>3377</v>
      </c>
      <c r="AJ947" s="60" t="s">
        <v>854</v>
      </c>
      <c r="AK947" s="6" t="s">
        <v>2360</v>
      </c>
      <c r="AL947" s="60" t="s">
        <v>2563</v>
      </c>
    </row>
    <row r="948" spans="32:38" ht="18" customHeight="1" x14ac:dyDescent="0.25">
      <c r="AF948" s="6" t="s">
        <v>3378</v>
      </c>
      <c r="AG948" s="6">
        <v>42948</v>
      </c>
      <c r="AH948" s="60" t="s">
        <v>3379</v>
      </c>
      <c r="AJ948" s="60" t="s">
        <v>854</v>
      </c>
      <c r="AK948" s="6" t="s">
        <v>2356</v>
      </c>
      <c r="AL948" s="60" t="s">
        <v>133</v>
      </c>
    </row>
    <row r="949" spans="32:38" ht="18" customHeight="1" x14ac:dyDescent="0.25">
      <c r="AF949" s="6" t="s">
        <v>3380</v>
      </c>
      <c r="AG949" s="6">
        <v>46919</v>
      </c>
      <c r="AH949" s="60" t="s">
        <v>3381</v>
      </c>
      <c r="AJ949" s="60" t="s">
        <v>854</v>
      </c>
      <c r="AK949" s="6" t="s">
        <v>2356</v>
      </c>
      <c r="AL949" s="60" t="s">
        <v>938</v>
      </c>
    </row>
    <row r="950" spans="32:38" ht="18" customHeight="1" x14ac:dyDescent="0.25">
      <c r="AF950" s="6" t="s">
        <v>3365</v>
      </c>
      <c r="AG950" s="6">
        <v>74067</v>
      </c>
      <c r="AH950" s="60" t="s">
        <v>3382</v>
      </c>
      <c r="AJ950" s="60" t="s">
        <v>854</v>
      </c>
      <c r="AK950" s="6" t="s">
        <v>2356</v>
      </c>
      <c r="AL950" s="60" t="s">
        <v>341</v>
      </c>
    </row>
    <row r="951" spans="32:38" ht="18" customHeight="1" x14ac:dyDescent="0.25">
      <c r="AF951" s="6" t="s">
        <v>3383</v>
      </c>
      <c r="AG951" s="6">
        <v>3042476</v>
      </c>
      <c r="AH951" s="60" t="s">
        <v>3384</v>
      </c>
      <c r="AJ951" s="60" t="s">
        <v>854</v>
      </c>
      <c r="AK951" s="6" t="s">
        <v>2356</v>
      </c>
      <c r="AL951" s="60" t="s">
        <v>847</v>
      </c>
    </row>
    <row r="952" spans="32:38" ht="18" customHeight="1" x14ac:dyDescent="0.25">
      <c r="AF952" s="6" t="s">
        <v>3385</v>
      </c>
      <c r="AG952" s="6">
        <v>3057541</v>
      </c>
      <c r="AH952" s="60" t="s">
        <v>3386</v>
      </c>
      <c r="AJ952" s="60" t="s">
        <v>977</v>
      </c>
      <c r="AK952" s="6" t="s">
        <v>2527</v>
      </c>
      <c r="AL952" s="60" t="s">
        <v>135</v>
      </c>
    </row>
    <row r="953" spans="32:38" ht="18" customHeight="1" x14ac:dyDescent="0.25">
      <c r="AF953" s="6" t="s">
        <v>3387</v>
      </c>
      <c r="AG953" s="6">
        <v>3075442</v>
      </c>
      <c r="AH953" s="60" t="s">
        <v>3388</v>
      </c>
      <c r="AJ953" s="60" t="s">
        <v>854</v>
      </c>
      <c r="AK953" s="6" t="s">
        <v>2356</v>
      </c>
      <c r="AL953" s="60" t="s">
        <v>136</v>
      </c>
    </row>
    <row r="954" spans="32:38" ht="18" customHeight="1" x14ac:dyDescent="0.25">
      <c r="AF954" s="6" t="s">
        <v>3389</v>
      </c>
      <c r="AG954" s="6">
        <v>3020774</v>
      </c>
      <c r="AH954" s="60" t="s">
        <v>3390</v>
      </c>
      <c r="AJ954" s="60" t="s">
        <v>854</v>
      </c>
      <c r="AK954" s="6" t="s">
        <v>2362</v>
      </c>
      <c r="AL954" s="60" t="s">
        <v>2371</v>
      </c>
    </row>
    <row r="955" spans="32:38" ht="18" customHeight="1" x14ac:dyDescent="0.25">
      <c r="AF955" s="6" t="s">
        <v>3391</v>
      </c>
      <c r="AG955" s="6">
        <v>2995450</v>
      </c>
      <c r="AH955" s="60" t="s">
        <v>3392</v>
      </c>
      <c r="AJ955" s="60" t="s">
        <v>854</v>
      </c>
      <c r="AK955" s="6" t="s">
        <v>2354</v>
      </c>
      <c r="AL955" s="60" t="s">
        <v>135</v>
      </c>
    </row>
    <row r="956" spans="32:38" ht="18" customHeight="1" x14ac:dyDescent="0.25">
      <c r="AF956" s="6" t="s">
        <v>3393</v>
      </c>
      <c r="AG956" s="6">
        <v>37163</v>
      </c>
      <c r="AH956" s="60" t="s">
        <v>3394</v>
      </c>
      <c r="AJ956" s="60" t="s">
        <v>854</v>
      </c>
      <c r="AK956" s="6" t="s">
        <v>2361</v>
      </c>
      <c r="AL956" s="60" t="s">
        <v>1384</v>
      </c>
    </row>
    <row r="957" spans="32:38" ht="18" customHeight="1" x14ac:dyDescent="0.25">
      <c r="AF957" s="6" t="s">
        <v>3395</v>
      </c>
      <c r="AG957" s="6">
        <v>4485</v>
      </c>
      <c r="AH957" s="60" t="s">
        <v>3396</v>
      </c>
      <c r="AJ957" s="295" t="s">
        <v>855</v>
      </c>
      <c r="AK957" s="6" t="s">
        <v>2355</v>
      </c>
      <c r="AL957" s="60" t="s">
        <v>847</v>
      </c>
    </row>
    <row r="958" spans="32:38" ht="18" customHeight="1" x14ac:dyDescent="0.25">
      <c r="AF958" s="6" t="s">
        <v>3397</v>
      </c>
      <c r="AG958" s="6">
        <v>35795</v>
      </c>
      <c r="AH958" s="60" t="s">
        <v>3398</v>
      </c>
      <c r="AJ958" s="60" t="s">
        <v>854</v>
      </c>
      <c r="AK958" s="6" t="s">
        <v>2354</v>
      </c>
      <c r="AL958" s="60" t="s">
        <v>3040</v>
      </c>
    </row>
    <row r="959" spans="32:38" ht="18" customHeight="1" x14ac:dyDescent="0.25">
      <c r="AF959" s="6" t="s">
        <v>3399</v>
      </c>
      <c r="AG959" s="6">
        <v>514654</v>
      </c>
      <c r="AH959" s="60" t="s">
        <v>3400</v>
      </c>
      <c r="AJ959" s="60" t="s">
        <v>854</v>
      </c>
      <c r="AK959" s="6" t="s">
        <v>2354</v>
      </c>
      <c r="AL959" s="60" t="s">
        <v>517</v>
      </c>
    </row>
    <row r="960" spans="32:38" ht="18" customHeight="1" x14ac:dyDescent="0.25">
      <c r="AF960" s="6" t="s">
        <v>3401</v>
      </c>
      <c r="AG960" s="6">
        <v>542897</v>
      </c>
      <c r="AH960" s="60" t="s">
        <v>3402</v>
      </c>
      <c r="AJ960" s="60" t="s">
        <v>854</v>
      </c>
      <c r="AK960" s="6" t="s">
        <v>2554</v>
      </c>
      <c r="AL960" s="60" t="s">
        <v>706</v>
      </c>
    </row>
    <row r="961" spans="32:38" ht="18" customHeight="1" x14ac:dyDescent="0.25">
      <c r="AF961" s="6" t="s">
        <v>3403</v>
      </c>
      <c r="AG961" s="6">
        <v>539989</v>
      </c>
      <c r="AH961" s="60" t="s">
        <v>3404</v>
      </c>
      <c r="AJ961" s="60" t="s">
        <v>854</v>
      </c>
      <c r="AK961" s="6" t="s">
        <v>2356</v>
      </c>
      <c r="AL961" s="60" t="s">
        <v>710</v>
      </c>
    </row>
    <row r="962" spans="32:38" ht="18" customHeight="1" x14ac:dyDescent="0.25">
      <c r="AF962" s="6" t="s">
        <v>3405</v>
      </c>
      <c r="AG962" s="6">
        <v>9820</v>
      </c>
      <c r="AH962" s="60" t="s">
        <v>3406</v>
      </c>
      <c r="AJ962" s="60" t="s">
        <v>854</v>
      </c>
      <c r="AK962" s="6" t="s">
        <v>2354</v>
      </c>
      <c r="AL962" s="60" t="s">
        <v>706</v>
      </c>
    </row>
    <row r="963" spans="32:38" ht="18" customHeight="1" x14ac:dyDescent="0.25">
      <c r="AF963" s="6" t="s">
        <v>3407</v>
      </c>
      <c r="AG963" s="6">
        <v>528746</v>
      </c>
      <c r="AH963" s="60" t="s">
        <v>3408</v>
      </c>
      <c r="AJ963" s="60" t="s">
        <v>854</v>
      </c>
      <c r="AK963" s="6" t="s">
        <v>2360</v>
      </c>
      <c r="AL963" s="60" t="s">
        <v>705</v>
      </c>
    </row>
    <row r="964" spans="32:38" ht="18" customHeight="1" x14ac:dyDescent="0.25">
      <c r="AF964" s="6" t="s">
        <v>3409</v>
      </c>
      <c r="AG964" s="6">
        <v>519372</v>
      </c>
      <c r="AH964" s="60" t="s">
        <v>3410</v>
      </c>
      <c r="AJ964" s="60" t="s">
        <v>854</v>
      </c>
      <c r="AK964" s="6" t="s">
        <v>2354</v>
      </c>
      <c r="AL964" s="60" t="s">
        <v>707</v>
      </c>
    </row>
    <row r="965" spans="32:38" ht="18" customHeight="1" x14ac:dyDescent="0.25">
      <c r="AF965" s="6" t="s">
        <v>3411</v>
      </c>
      <c r="AG965" s="6">
        <v>527234</v>
      </c>
      <c r="AH965" s="60" t="s">
        <v>3412</v>
      </c>
      <c r="AJ965" s="60" t="s">
        <v>854</v>
      </c>
      <c r="AK965" s="6" t="s">
        <v>2361</v>
      </c>
      <c r="AL965" s="60" t="s">
        <v>705</v>
      </c>
    </row>
    <row r="966" spans="32:38" ht="18" customHeight="1" x14ac:dyDescent="0.25">
      <c r="AF966" s="6" t="s">
        <v>3413</v>
      </c>
      <c r="AG966" s="6">
        <v>535830</v>
      </c>
      <c r="AH966" s="60" t="s">
        <v>3414</v>
      </c>
      <c r="AJ966" s="60" t="s">
        <v>854</v>
      </c>
      <c r="AK966" s="6" t="s">
        <v>2356</v>
      </c>
      <c r="AL966" s="60" t="s">
        <v>1133</v>
      </c>
    </row>
    <row r="967" spans="32:38" ht="18" customHeight="1" x14ac:dyDescent="0.25">
      <c r="AF967" s="6" t="s">
        <v>3415</v>
      </c>
      <c r="AG967" s="6">
        <v>529934</v>
      </c>
      <c r="AH967" s="60" t="s">
        <v>3416</v>
      </c>
      <c r="AJ967" s="295" t="s">
        <v>855</v>
      </c>
      <c r="AK967" s="6" t="s">
        <v>2355</v>
      </c>
      <c r="AL967" s="60" t="s">
        <v>706</v>
      </c>
    </row>
    <row r="968" spans="32:38" ht="18" customHeight="1" x14ac:dyDescent="0.25">
      <c r="AF968" s="6" t="s">
        <v>3417</v>
      </c>
      <c r="AG968" s="6">
        <v>16583</v>
      </c>
      <c r="AH968" s="60" t="s">
        <v>3418</v>
      </c>
      <c r="AJ968" s="60" t="s">
        <v>854</v>
      </c>
      <c r="AK968" s="6" t="s">
        <v>2354</v>
      </c>
      <c r="AL968" s="60" t="s">
        <v>705</v>
      </c>
    </row>
    <row r="969" spans="32:38" ht="18" customHeight="1" x14ac:dyDescent="0.25">
      <c r="AF969" s="6" t="s">
        <v>3419</v>
      </c>
      <c r="AG969" s="6">
        <v>16978</v>
      </c>
      <c r="AH969" s="60" t="s">
        <v>3420</v>
      </c>
      <c r="AJ969" s="60" t="s">
        <v>854</v>
      </c>
      <c r="AK969" s="6" t="s">
        <v>2360</v>
      </c>
      <c r="AL969" s="60" t="s">
        <v>2209</v>
      </c>
    </row>
    <row r="970" spans="32:38" ht="18" customHeight="1" x14ac:dyDescent="0.25">
      <c r="AF970" s="6" t="s">
        <v>3421</v>
      </c>
      <c r="AG970" s="6">
        <v>19884</v>
      </c>
      <c r="AH970" s="60" t="s">
        <v>3422</v>
      </c>
      <c r="AJ970" s="60" t="s">
        <v>854</v>
      </c>
      <c r="AK970" s="6" t="s">
        <v>2356</v>
      </c>
      <c r="AL970" s="60" t="s">
        <v>1135</v>
      </c>
    </row>
    <row r="971" spans="32:38" ht="18" customHeight="1" x14ac:dyDescent="0.25">
      <c r="AF971" s="6" t="s">
        <v>3423</v>
      </c>
      <c r="AG971" s="6">
        <v>24704</v>
      </c>
      <c r="AH971" s="60" t="s">
        <v>3424</v>
      </c>
      <c r="AJ971" s="60" t="s">
        <v>854</v>
      </c>
      <c r="AK971" s="6" t="s">
        <v>2361</v>
      </c>
      <c r="AL971" s="60" t="s">
        <v>1136</v>
      </c>
    </row>
    <row r="972" spans="32:38" ht="18" customHeight="1" x14ac:dyDescent="0.25">
      <c r="AF972" s="6" t="s">
        <v>3425</v>
      </c>
      <c r="AG972" s="6">
        <v>20662</v>
      </c>
      <c r="AH972" s="60" t="s">
        <v>3426</v>
      </c>
      <c r="AJ972" s="60" t="s">
        <v>854</v>
      </c>
      <c r="AK972" s="6" t="s">
        <v>2361</v>
      </c>
      <c r="AL972" s="60" t="s">
        <v>494</v>
      </c>
    </row>
    <row r="973" spans="32:38" ht="18" customHeight="1" x14ac:dyDescent="0.25">
      <c r="AF973" s="6" t="s">
        <v>3427</v>
      </c>
      <c r="AG973" s="6">
        <v>32981</v>
      </c>
      <c r="AH973" s="60" t="s">
        <v>3428</v>
      </c>
      <c r="AJ973" s="60" t="s">
        <v>854</v>
      </c>
      <c r="AK973" s="6" t="s">
        <v>2356</v>
      </c>
      <c r="AL973" s="60" t="s">
        <v>3429</v>
      </c>
    </row>
    <row r="974" spans="32:38" ht="18" customHeight="1" x14ac:dyDescent="0.25">
      <c r="AF974" s="6" t="s">
        <v>3430</v>
      </c>
      <c r="AG974" s="6">
        <v>43984</v>
      </c>
      <c r="AH974" s="60" t="s">
        <v>3431</v>
      </c>
      <c r="AJ974" s="60" t="s">
        <v>854</v>
      </c>
      <c r="AK974" s="6" t="s">
        <v>2360</v>
      </c>
      <c r="AL974" s="60" t="s">
        <v>1137</v>
      </c>
    </row>
    <row r="975" spans="32:38" ht="18" customHeight="1" x14ac:dyDescent="0.25">
      <c r="AF975" s="6" t="s">
        <v>3432</v>
      </c>
      <c r="AG975" s="6">
        <v>9870</v>
      </c>
      <c r="AH975" s="60" t="s">
        <v>3433</v>
      </c>
      <c r="AJ975" s="60" t="s">
        <v>854</v>
      </c>
      <c r="AK975" s="6" t="s">
        <v>2354</v>
      </c>
      <c r="AL975" s="60" t="s">
        <v>1385</v>
      </c>
    </row>
    <row r="976" spans="32:38" ht="18" customHeight="1" x14ac:dyDescent="0.25">
      <c r="AF976" s="6" t="s">
        <v>3432</v>
      </c>
      <c r="AG976" s="6">
        <v>11727</v>
      </c>
      <c r="AH976" s="60" t="s">
        <v>3434</v>
      </c>
      <c r="AJ976" s="60" t="s">
        <v>854</v>
      </c>
      <c r="AK976" s="6" t="s">
        <v>2354</v>
      </c>
      <c r="AL976" s="60" t="s">
        <v>1385</v>
      </c>
    </row>
    <row r="977" spans="32:38" ht="18" customHeight="1" x14ac:dyDescent="0.25">
      <c r="AF977" s="6" t="s">
        <v>3435</v>
      </c>
      <c r="AG977" s="6">
        <v>31356</v>
      </c>
      <c r="AH977" s="60" t="s">
        <v>3436</v>
      </c>
      <c r="AJ977" s="60" t="s">
        <v>854</v>
      </c>
      <c r="AK977" s="6" t="s">
        <v>2361</v>
      </c>
      <c r="AL977" s="60" t="s">
        <v>3437</v>
      </c>
    </row>
    <row r="978" spans="32:38" ht="18" customHeight="1" x14ac:dyDescent="0.25">
      <c r="AF978" s="6" t="s">
        <v>3438</v>
      </c>
      <c r="AG978" s="6">
        <v>40274</v>
      </c>
      <c r="AH978" s="60" t="s">
        <v>3439</v>
      </c>
      <c r="AJ978" s="60" t="s">
        <v>854</v>
      </c>
      <c r="AK978" s="6" t="s">
        <v>2362</v>
      </c>
      <c r="AL978" s="60" t="s">
        <v>509</v>
      </c>
    </row>
    <row r="979" spans="32:38" ht="18" customHeight="1" x14ac:dyDescent="0.25">
      <c r="AF979" s="6" t="s">
        <v>3440</v>
      </c>
      <c r="AG979" s="6">
        <v>11319</v>
      </c>
      <c r="AH979" s="60" t="s">
        <v>3441</v>
      </c>
      <c r="AJ979" s="60" t="s">
        <v>854</v>
      </c>
      <c r="AK979" s="6" t="s">
        <v>2354</v>
      </c>
      <c r="AL979" s="60" t="s">
        <v>1385</v>
      </c>
    </row>
    <row r="980" spans="32:38" ht="18" customHeight="1" x14ac:dyDescent="0.25">
      <c r="AF980" s="6" t="s">
        <v>3442</v>
      </c>
      <c r="AG980" s="6">
        <v>18943</v>
      </c>
      <c r="AH980" s="60" t="s">
        <v>3443</v>
      </c>
      <c r="AJ980" s="60" t="s">
        <v>854</v>
      </c>
      <c r="AK980" s="6" t="s">
        <v>2362</v>
      </c>
      <c r="AL980" s="60" t="s">
        <v>1137</v>
      </c>
    </row>
    <row r="981" spans="32:38" ht="18" customHeight="1" x14ac:dyDescent="0.25">
      <c r="AF981" s="6" t="s">
        <v>3444</v>
      </c>
      <c r="AG981" s="6">
        <v>46061</v>
      </c>
      <c r="AH981" s="60" t="s">
        <v>3445</v>
      </c>
      <c r="AJ981" s="60" t="s">
        <v>854</v>
      </c>
      <c r="AK981" s="6" t="s">
        <v>2356</v>
      </c>
      <c r="AL981" s="60" t="s">
        <v>3109</v>
      </c>
    </row>
    <row r="982" spans="32:38" ht="18" customHeight="1" x14ac:dyDescent="0.25">
      <c r="AF982" s="6" t="s">
        <v>3446</v>
      </c>
      <c r="AG982" s="6">
        <v>81004</v>
      </c>
      <c r="AH982" s="60" t="s">
        <v>3447</v>
      </c>
      <c r="AJ982" s="60" t="s">
        <v>854</v>
      </c>
      <c r="AK982" s="6" t="s">
        <v>2354</v>
      </c>
      <c r="AL982" s="60" t="s">
        <v>3448</v>
      </c>
    </row>
    <row r="983" spans="32:38" ht="18" customHeight="1" x14ac:dyDescent="0.25">
      <c r="AF983" s="6" t="s">
        <v>3452</v>
      </c>
      <c r="AG983" s="6">
        <v>7153</v>
      </c>
      <c r="AH983" s="60" t="s">
        <v>3453</v>
      </c>
      <c r="AJ983" s="60" t="s">
        <v>854</v>
      </c>
      <c r="AK983" s="6" t="s">
        <v>2360</v>
      </c>
      <c r="AL983" s="60" t="s">
        <v>1296</v>
      </c>
    </row>
    <row r="984" spans="32:38" ht="18" customHeight="1" x14ac:dyDescent="0.25">
      <c r="AF984" s="6" t="s">
        <v>3454</v>
      </c>
      <c r="AG984" s="6">
        <v>346</v>
      </c>
      <c r="AH984" s="60" t="s">
        <v>3455</v>
      </c>
      <c r="AJ984" s="60" t="s">
        <v>854</v>
      </c>
      <c r="AK984" s="6" t="s">
        <v>2354</v>
      </c>
      <c r="AL984" s="60" t="s">
        <v>1227</v>
      </c>
    </row>
    <row r="985" spans="32:38" ht="18" customHeight="1" x14ac:dyDescent="0.25">
      <c r="AF985" s="6" t="s">
        <v>3456</v>
      </c>
      <c r="AG985" s="6">
        <v>378</v>
      </c>
      <c r="AH985" s="60" t="s">
        <v>3457</v>
      </c>
      <c r="AJ985" s="60" t="s">
        <v>854</v>
      </c>
      <c r="AK985" s="6" t="s">
        <v>2354</v>
      </c>
      <c r="AL985" s="60" t="s">
        <v>1296</v>
      </c>
    </row>
    <row r="986" spans="32:38" ht="18" customHeight="1" x14ac:dyDescent="0.25">
      <c r="AF986" s="6" t="s">
        <v>3458</v>
      </c>
      <c r="AG986" s="6">
        <v>64243</v>
      </c>
      <c r="AH986" s="60" t="s">
        <v>3459</v>
      </c>
      <c r="AJ986" s="60" t="s">
        <v>1357</v>
      </c>
      <c r="AK986" s="6" t="s">
        <v>3460</v>
      </c>
      <c r="AL986" s="60" t="s">
        <v>248</v>
      </c>
    </row>
    <row r="987" spans="32:38" ht="18" customHeight="1" x14ac:dyDescent="0.25">
      <c r="AF987" s="6" t="s">
        <v>3461</v>
      </c>
      <c r="AG987" s="6">
        <v>53921</v>
      </c>
      <c r="AH987" s="60" t="s">
        <v>3462</v>
      </c>
      <c r="AJ987" s="60" t="s">
        <v>854</v>
      </c>
      <c r="AK987" s="6" t="s">
        <v>2356</v>
      </c>
      <c r="AL987" s="60" t="s">
        <v>1352</v>
      </c>
    </row>
    <row r="988" spans="32:38" ht="18" customHeight="1" x14ac:dyDescent="0.25">
      <c r="AF988" s="6" t="s">
        <v>3461</v>
      </c>
      <c r="AG988" s="6">
        <v>46804</v>
      </c>
      <c r="AH988" s="60" t="s">
        <v>3463</v>
      </c>
      <c r="AJ988" s="60" t="s">
        <v>854</v>
      </c>
      <c r="AK988" s="6" t="s">
        <v>2885</v>
      </c>
      <c r="AL988" s="60" t="s">
        <v>1352</v>
      </c>
    </row>
    <row r="989" spans="32:38" ht="18" customHeight="1" x14ac:dyDescent="0.25">
      <c r="AF989" s="6" t="s">
        <v>3464</v>
      </c>
      <c r="AG989" s="6">
        <v>263</v>
      </c>
      <c r="AH989" s="60" t="s">
        <v>3465</v>
      </c>
      <c r="AJ989" s="60" t="s">
        <v>1357</v>
      </c>
      <c r="AK989" s="6" t="s">
        <v>3460</v>
      </c>
      <c r="AL989" s="60" t="s">
        <v>248</v>
      </c>
    </row>
    <row r="990" spans="32:38" ht="18" customHeight="1" x14ac:dyDescent="0.25">
      <c r="AF990" s="6" t="s">
        <v>3466</v>
      </c>
      <c r="AG990" s="6">
        <v>50226</v>
      </c>
      <c r="AH990" s="60" t="s">
        <v>3467</v>
      </c>
      <c r="AJ990" s="60" t="s">
        <v>854</v>
      </c>
      <c r="AK990" s="6" t="s">
        <v>2360</v>
      </c>
      <c r="AL990" s="60" t="s">
        <v>1350</v>
      </c>
    </row>
    <row r="991" spans="32:38" ht="18" customHeight="1" x14ac:dyDescent="0.25">
      <c r="AF991" s="6" t="s">
        <v>3468</v>
      </c>
      <c r="AG991" s="6">
        <v>59045</v>
      </c>
      <c r="AH991" s="60" t="s">
        <v>3469</v>
      </c>
      <c r="AJ991" s="60" t="s">
        <v>854</v>
      </c>
      <c r="AK991" s="6" t="s">
        <v>2356</v>
      </c>
      <c r="AL991" s="60" t="s">
        <v>1297</v>
      </c>
    </row>
    <row r="992" spans="32:38" ht="18" customHeight="1" x14ac:dyDescent="0.25">
      <c r="AF992" s="6" t="s">
        <v>3468</v>
      </c>
      <c r="AG992" s="6">
        <v>51139</v>
      </c>
      <c r="AH992" s="60" t="s">
        <v>3470</v>
      </c>
      <c r="AJ992" s="60" t="s">
        <v>854</v>
      </c>
      <c r="AK992" s="6" t="s">
        <v>2357</v>
      </c>
      <c r="AL992" s="60" t="s">
        <v>1351</v>
      </c>
    </row>
    <row r="993" spans="32:38" ht="18" customHeight="1" x14ac:dyDescent="0.25">
      <c r="AF993" s="6" t="s">
        <v>3471</v>
      </c>
      <c r="AG993" s="6">
        <v>62136</v>
      </c>
      <c r="AH993" s="60" t="s">
        <v>3472</v>
      </c>
      <c r="AJ993" s="60" t="s">
        <v>854</v>
      </c>
      <c r="AK993" s="6" t="s">
        <v>2356</v>
      </c>
      <c r="AL993" s="60" t="s">
        <v>1352</v>
      </c>
    </row>
    <row r="994" spans="32:38" ht="18" customHeight="1" x14ac:dyDescent="0.25">
      <c r="AF994" s="6" t="s">
        <v>3473</v>
      </c>
      <c r="AG994" s="6">
        <v>8097</v>
      </c>
      <c r="AH994" s="60" t="s">
        <v>3474</v>
      </c>
      <c r="AJ994" s="60" t="s">
        <v>854</v>
      </c>
      <c r="AK994" s="6" t="s">
        <v>2360</v>
      </c>
      <c r="AL994" s="60" t="s">
        <v>1379</v>
      </c>
    </row>
    <row r="995" spans="32:38" ht="18" customHeight="1" x14ac:dyDescent="0.25">
      <c r="AF995" s="6" t="s">
        <v>3475</v>
      </c>
      <c r="AG995" s="6">
        <v>7422</v>
      </c>
      <c r="AH995" s="60" t="s">
        <v>3476</v>
      </c>
      <c r="AJ995" s="60" t="s">
        <v>854</v>
      </c>
      <c r="AK995" s="6" t="s">
        <v>2360</v>
      </c>
      <c r="AL995" s="60" t="s">
        <v>1379</v>
      </c>
    </row>
    <row r="996" spans="32:38" ht="18" customHeight="1" x14ac:dyDescent="0.25">
      <c r="AF996" s="6" t="s">
        <v>3477</v>
      </c>
      <c r="AG996" s="6">
        <v>2970</v>
      </c>
      <c r="AH996" s="60" t="s">
        <v>3478</v>
      </c>
      <c r="AJ996" s="60" t="s">
        <v>854</v>
      </c>
      <c r="AK996" s="6" t="s">
        <v>2354</v>
      </c>
      <c r="AL996" s="60" t="s">
        <v>1379</v>
      </c>
    </row>
    <row r="997" spans="32:38" ht="18" customHeight="1" x14ac:dyDescent="0.25">
      <c r="AF997" s="6" t="s">
        <v>3479</v>
      </c>
      <c r="AG997" s="6">
        <v>10692</v>
      </c>
      <c r="AH997" s="60" t="s">
        <v>3480</v>
      </c>
      <c r="AJ997" s="60" t="s">
        <v>854</v>
      </c>
      <c r="AK997" s="6" t="s">
        <v>2361</v>
      </c>
      <c r="AL997" s="60" t="s">
        <v>1379</v>
      </c>
    </row>
    <row r="998" spans="32:38" ht="18" customHeight="1" x14ac:dyDescent="0.25">
      <c r="AF998" s="6" t="s">
        <v>3479</v>
      </c>
      <c r="AG998" s="6">
        <v>4053</v>
      </c>
      <c r="AH998" s="60" t="s">
        <v>3481</v>
      </c>
      <c r="AJ998" s="60" t="s">
        <v>854</v>
      </c>
      <c r="AK998" s="6" t="s">
        <v>2361</v>
      </c>
      <c r="AL998" s="60" t="s">
        <v>1379</v>
      </c>
    </row>
    <row r="999" spans="32:38" ht="18" customHeight="1" x14ac:dyDescent="0.25">
      <c r="AF999" s="6" t="s">
        <v>3482</v>
      </c>
      <c r="AG999" s="6">
        <v>6160</v>
      </c>
      <c r="AH999" s="60" t="s">
        <v>3483</v>
      </c>
      <c r="AJ999" s="60" t="s">
        <v>854</v>
      </c>
      <c r="AK999" s="6" t="s">
        <v>2360</v>
      </c>
      <c r="AL999" s="60" t="s">
        <v>1354</v>
      </c>
    </row>
    <row r="1000" spans="32:38" ht="18" customHeight="1" x14ac:dyDescent="0.25">
      <c r="AF1000" s="6" t="s">
        <v>3484</v>
      </c>
      <c r="AG1000" s="6">
        <v>11382</v>
      </c>
      <c r="AH1000" s="60" t="s">
        <v>3485</v>
      </c>
      <c r="AJ1000" s="60" t="s">
        <v>854</v>
      </c>
      <c r="AK1000" s="6" t="s">
        <v>2356</v>
      </c>
      <c r="AL1000" s="60" t="s">
        <v>1354</v>
      </c>
    </row>
    <row r="1001" spans="32:38" ht="18" customHeight="1" x14ac:dyDescent="0.25">
      <c r="AF1001" s="6" t="s">
        <v>3484</v>
      </c>
      <c r="AG1001" s="6">
        <v>6310</v>
      </c>
      <c r="AH1001" s="60" t="s">
        <v>3486</v>
      </c>
      <c r="AJ1001" s="60" t="s">
        <v>854</v>
      </c>
      <c r="AK1001" s="6" t="s">
        <v>2360</v>
      </c>
      <c r="AL1001" s="60" t="s">
        <v>1354</v>
      </c>
    </row>
    <row r="1002" spans="32:38" ht="18" customHeight="1" x14ac:dyDescent="0.25">
      <c r="AF1002" s="6" t="s">
        <v>3487</v>
      </c>
      <c r="AG1002" s="6">
        <v>6834</v>
      </c>
      <c r="AH1002" s="60" t="s">
        <v>3488</v>
      </c>
      <c r="AJ1002" s="60" t="s">
        <v>854</v>
      </c>
      <c r="AK1002" s="6" t="s">
        <v>2360</v>
      </c>
      <c r="AL1002" s="60" t="s">
        <v>1379</v>
      </c>
    </row>
    <row r="1003" spans="32:38" ht="18" customHeight="1" x14ac:dyDescent="0.25">
      <c r="AF1003" s="6" t="s">
        <v>3489</v>
      </c>
      <c r="AG1003" s="6">
        <v>7081</v>
      </c>
      <c r="AH1003" s="60" t="s">
        <v>3490</v>
      </c>
      <c r="AJ1003" s="60" t="s">
        <v>854</v>
      </c>
      <c r="AK1003" s="6" t="s">
        <v>2356</v>
      </c>
      <c r="AL1003" s="60" t="s">
        <v>724</v>
      </c>
    </row>
    <row r="1004" spans="32:38" ht="18" customHeight="1" x14ac:dyDescent="0.25">
      <c r="AF1004" s="6" t="s">
        <v>3491</v>
      </c>
      <c r="AG1004" s="6">
        <v>3681</v>
      </c>
      <c r="AH1004" s="60" t="s">
        <v>3492</v>
      </c>
      <c r="AJ1004" s="60" t="s">
        <v>854</v>
      </c>
      <c r="AK1004" s="6" t="s">
        <v>2360</v>
      </c>
      <c r="AL1004" s="60" t="s">
        <v>723</v>
      </c>
    </row>
    <row r="1005" spans="32:38" ht="18" customHeight="1" x14ac:dyDescent="0.25">
      <c r="AF1005" s="6" t="s">
        <v>3493</v>
      </c>
      <c r="AG1005" s="6">
        <v>8765</v>
      </c>
      <c r="AH1005" s="60" t="s">
        <v>3494</v>
      </c>
      <c r="AJ1005" s="60" t="s">
        <v>854</v>
      </c>
      <c r="AK1005" s="6" t="s">
        <v>2356</v>
      </c>
      <c r="AL1005" s="60" t="s">
        <v>726</v>
      </c>
    </row>
    <row r="1006" spans="32:38" ht="18" customHeight="1" x14ac:dyDescent="0.25">
      <c r="AF1006" s="6" t="s">
        <v>3495</v>
      </c>
      <c r="AG1006" s="6">
        <v>1285</v>
      </c>
      <c r="AH1006" s="60" t="s">
        <v>3496</v>
      </c>
      <c r="AJ1006" s="60" t="s">
        <v>854</v>
      </c>
      <c r="AK1006" s="6" t="s">
        <v>2354</v>
      </c>
      <c r="AL1006" s="60" t="s">
        <v>299</v>
      </c>
    </row>
    <row r="1007" spans="32:38" ht="18" customHeight="1" x14ac:dyDescent="0.25">
      <c r="AF1007" s="6" t="s">
        <v>3497</v>
      </c>
      <c r="AG1007" s="6">
        <v>18396</v>
      </c>
      <c r="AH1007" s="60" t="s">
        <v>3498</v>
      </c>
      <c r="AJ1007" s="60" t="s">
        <v>854</v>
      </c>
      <c r="AK1007" s="6" t="s">
        <v>2361</v>
      </c>
      <c r="AL1007" s="60" t="s">
        <v>2847</v>
      </c>
    </row>
    <row r="1008" spans="32:38" ht="18" customHeight="1" x14ac:dyDescent="0.25">
      <c r="AF1008" s="6" t="s">
        <v>3499</v>
      </c>
      <c r="AG1008" s="6">
        <v>17976</v>
      </c>
      <c r="AH1008" s="60" t="s">
        <v>3500</v>
      </c>
      <c r="AJ1008" s="60" t="s">
        <v>854</v>
      </c>
      <c r="AK1008" s="6" t="s">
        <v>2356</v>
      </c>
      <c r="AL1008" s="60" t="s">
        <v>3501</v>
      </c>
    </row>
    <row r="1009" spans="32:38" ht="18" customHeight="1" x14ac:dyDescent="0.25">
      <c r="AF1009" s="6" t="s">
        <v>3499</v>
      </c>
      <c r="AG1009" s="6">
        <v>19462</v>
      </c>
      <c r="AH1009" s="60" t="s">
        <v>3502</v>
      </c>
      <c r="AJ1009" s="60" t="s">
        <v>854</v>
      </c>
      <c r="AK1009" s="6" t="s">
        <v>2356</v>
      </c>
      <c r="AL1009" s="60" t="s">
        <v>3503</v>
      </c>
    </row>
    <row r="1010" spans="32:38" ht="18" customHeight="1" x14ac:dyDescent="0.25">
      <c r="AF1010" s="6" t="s">
        <v>3504</v>
      </c>
      <c r="AG1010" s="6">
        <v>19293</v>
      </c>
      <c r="AH1010" s="60" t="s">
        <v>3505</v>
      </c>
      <c r="AJ1010" s="60" t="s">
        <v>854</v>
      </c>
      <c r="AK1010" s="6" t="s">
        <v>2356</v>
      </c>
      <c r="AL1010" s="60" t="s">
        <v>3503</v>
      </c>
    </row>
    <row r="1011" spans="32:38" ht="18" customHeight="1" x14ac:dyDescent="0.25">
      <c r="AF1011" s="6" t="s">
        <v>3504</v>
      </c>
      <c r="AG1011" s="6">
        <v>15858</v>
      </c>
      <c r="AH1011" s="60" t="s">
        <v>3506</v>
      </c>
      <c r="AJ1011" s="60" t="s">
        <v>854</v>
      </c>
      <c r="AK1011" s="6" t="s">
        <v>2358</v>
      </c>
      <c r="AL1011" s="60" t="s">
        <v>1037</v>
      </c>
    </row>
    <row r="1012" spans="32:38" ht="18" customHeight="1" x14ac:dyDescent="0.25">
      <c r="AF1012" s="6" t="s">
        <v>3507</v>
      </c>
      <c r="AG1012" s="6">
        <v>19748</v>
      </c>
      <c r="AH1012" s="60" t="s">
        <v>3508</v>
      </c>
      <c r="AJ1012" s="60" t="s">
        <v>854</v>
      </c>
      <c r="AK1012" s="6" t="s">
        <v>2356</v>
      </c>
      <c r="AL1012" s="60" t="s">
        <v>3503</v>
      </c>
    </row>
    <row r="1013" spans="32:38" ht="18" customHeight="1" x14ac:dyDescent="0.25">
      <c r="AF1013" s="6" t="s">
        <v>3509</v>
      </c>
      <c r="AG1013" s="6">
        <v>14526</v>
      </c>
      <c r="AH1013" s="60" t="s">
        <v>3510</v>
      </c>
      <c r="AJ1013" s="60" t="s">
        <v>854</v>
      </c>
      <c r="AK1013" s="6" t="s">
        <v>2354</v>
      </c>
      <c r="AL1013" s="60" t="s">
        <v>69</v>
      </c>
    </row>
    <row r="1014" spans="32:38" ht="18" customHeight="1" x14ac:dyDescent="0.25">
      <c r="AF1014" s="6" t="s">
        <v>3511</v>
      </c>
      <c r="AG1014" s="6">
        <v>664</v>
      </c>
      <c r="AH1014" s="60" t="s">
        <v>3512</v>
      </c>
      <c r="AJ1014" s="60" t="s">
        <v>854</v>
      </c>
      <c r="AK1014" s="6" t="s">
        <v>2354</v>
      </c>
      <c r="AL1014" s="60" t="s">
        <v>863</v>
      </c>
    </row>
    <row r="1015" spans="32:38" ht="18" customHeight="1" x14ac:dyDescent="0.25">
      <c r="AF1015" s="6" t="s">
        <v>3513</v>
      </c>
      <c r="AG1015" s="6">
        <v>37251</v>
      </c>
      <c r="AH1015" s="60" t="s">
        <v>3514</v>
      </c>
      <c r="AJ1015" s="295" t="s">
        <v>855</v>
      </c>
      <c r="AK1015" s="6" t="s">
        <v>3515</v>
      </c>
      <c r="AL1015" s="60" t="s">
        <v>3516</v>
      </c>
    </row>
    <row r="1016" spans="32:38" ht="18" customHeight="1" x14ac:dyDescent="0.25">
      <c r="AF1016" s="6" t="s">
        <v>3517</v>
      </c>
      <c r="AG1016" s="6">
        <v>28854</v>
      </c>
      <c r="AH1016" s="60" t="s">
        <v>3518</v>
      </c>
      <c r="AJ1016" s="295" t="s">
        <v>1220</v>
      </c>
      <c r="AK1016" s="6" t="s">
        <v>3314</v>
      </c>
      <c r="AL1016" s="60" t="s">
        <v>648</v>
      </c>
    </row>
    <row r="1017" spans="32:38" ht="18" customHeight="1" x14ac:dyDescent="0.25">
      <c r="AF1017" s="6" t="s">
        <v>3519</v>
      </c>
      <c r="AG1017" s="6">
        <v>38096</v>
      </c>
      <c r="AH1017" s="60" t="s">
        <v>3520</v>
      </c>
      <c r="AJ1017" s="60" t="s">
        <v>854</v>
      </c>
      <c r="AK1017" s="6" t="s">
        <v>2356</v>
      </c>
      <c r="AL1017" s="60" t="s">
        <v>3521</v>
      </c>
    </row>
    <row r="1018" spans="32:38" ht="18" customHeight="1" x14ac:dyDescent="0.25">
      <c r="AF1018" s="6" t="s">
        <v>3519</v>
      </c>
      <c r="AG1018" s="6">
        <v>4031</v>
      </c>
      <c r="AH1018" s="60" t="s">
        <v>3522</v>
      </c>
      <c r="AJ1018" s="60" t="s">
        <v>854</v>
      </c>
      <c r="AK1018" s="6" t="s">
        <v>2354</v>
      </c>
      <c r="AL1018" s="60" t="s">
        <v>2205</v>
      </c>
    </row>
    <row r="1019" spans="32:38" ht="18" customHeight="1" x14ac:dyDescent="0.25">
      <c r="AF1019" s="6" t="s">
        <v>3523</v>
      </c>
      <c r="AG1019" s="6">
        <v>30582</v>
      </c>
      <c r="AH1019" s="60" t="s">
        <v>3524</v>
      </c>
      <c r="AJ1019" s="60" t="s">
        <v>854</v>
      </c>
      <c r="AK1019" s="6" t="s">
        <v>2358</v>
      </c>
      <c r="AL1019" s="60" t="s">
        <v>727</v>
      </c>
    </row>
    <row r="1020" spans="32:38" ht="18" customHeight="1" x14ac:dyDescent="0.25">
      <c r="AF1020" s="6" t="s">
        <v>3525</v>
      </c>
      <c r="AG1020" s="6">
        <v>41912</v>
      </c>
      <c r="AH1020" s="60" t="s">
        <v>3526</v>
      </c>
      <c r="AJ1020" s="60" t="s">
        <v>854</v>
      </c>
      <c r="AK1020" s="6" t="s">
        <v>2356</v>
      </c>
      <c r="AL1020" s="60" t="s">
        <v>3318</v>
      </c>
    </row>
    <row r="1021" spans="32:38" ht="18" customHeight="1" x14ac:dyDescent="0.25">
      <c r="AF1021" s="6" t="s">
        <v>3527</v>
      </c>
      <c r="AG1021" s="6">
        <v>14793</v>
      </c>
      <c r="AH1021" s="60" t="s">
        <v>3528</v>
      </c>
      <c r="AJ1021" s="60" t="s">
        <v>854</v>
      </c>
      <c r="AK1021" s="6" t="s">
        <v>2356</v>
      </c>
      <c r="AL1021" s="60" t="s">
        <v>2916</v>
      </c>
    </row>
    <row r="1022" spans="32:38" ht="18" customHeight="1" x14ac:dyDescent="0.25">
      <c r="AF1022" s="6" t="s">
        <v>3529</v>
      </c>
      <c r="AG1022" s="6">
        <v>91406</v>
      </c>
      <c r="AH1022" s="60" t="s">
        <v>3530</v>
      </c>
      <c r="AJ1022" s="60" t="s">
        <v>854</v>
      </c>
      <c r="AK1022" s="6" t="s">
        <v>2356</v>
      </c>
      <c r="AL1022" s="60" t="s">
        <v>3531</v>
      </c>
    </row>
    <row r="1023" spans="32:38" ht="18" customHeight="1" x14ac:dyDescent="0.25">
      <c r="AF1023" s="6" t="s">
        <v>3532</v>
      </c>
      <c r="AG1023" s="6">
        <v>50016</v>
      </c>
      <c r="AH1023" s="60" t="s">
        <v>3533</v>
      </c>
      <c r="AJ1023" s="60" t="s">
        <v>854</v>
      </c>
      <c r="AK1023" s="6" t="s">
        <v>2554</v>
      </c>
      <c r="AL1023" s="60" t="s">
        <v>3534</v>
      </c>
    </row>
    <row r="1024" spans="32:38" ht="18" customHeight="1" x14ac:dyDescent="0.25">
      <c r="AF1024" s="6" t="s">
        <v>3535</v>
      </c>
      <c r="AG1024" s="6">
        <v>29344</v>
      </c>
      <c r="AH1024" s="60" t="s">
        <v>3536</v>
      </c>
      <c r="AJ1024" s="60" t="s">
        <v>977</v>
      </c>
      <c r="AK1024" s="6" t="s">
        <v>3537</v>
      </c>
      <c r="AL1024" s="60" t="s">
        <v>3538</v>
      </c>
    </row>
    <row r="1025" spans="32:38" ht="18" customHeight="1" x14ac:dyDescent="0.25">
      <c r="AF1025" s="6" t="s">
        <v>3539</v>
      </c>
      <c r="AG1025" s="6">
        <v>10512</v>
      </c>
      <c r="AH1025" s="60" t="s">
        <v>3540</v>
      </c>
      <c r="AJ1025" s="60" t="s">
        <v>854</v>
      </c>
      <c r="AK1025" s="6" t="s">
        <v>2360</v>
      </c>
      <c r="AL1025" s="60" t="s">
        <v>2596</v>
      </c>
    </row>
    <row r="1026" spans="32:38" ht="18" customHeight="1" x14ac:dyDescent="0.25">
      <c r="AF1026" s="6" t="s">
        <v>3541</v>
      </c>
      <c r="AG1026" s="6">
        <v>10296</v>
      </c>
      <c r="AH1026" s="60" t="s">
        <v>3542</v>
      </c>
      <c r="AJ1026" s="60" t="s">
        <v>854</v>
      </c>
      <c r="AK1026" s="6" t="s">
        <v>2360</v>
      </c>
      <c r="AL1026" s="60" t="s">
        <v>2596</v>
      </c>
    </row>
    <row r="1027" spans="32:38" ht="18" customHeight="1" x14ac:dyDescent="0.25">
      <c r="AF1027" s="6" t="s">
        <v>3541</v>
      </c>
      <c r="AG1027" s="6">
        <v>7045</v>
      </c>
      <c r="AH1027" s="60" t="s">
        <v>3543</v>
      </c>
      <c r="AJ1027" s="60" t="s">
        <v>854</v>
      </c>
      <c r="AK1027" s="6" t="s">
        <v>2362</v>
      </c>
      <c r="AL1027" s="60" t="s">
        <v>2596</v>
      </c>
    </row>
    <row r="1028" spans="32:38" ht="18" customHeight="1" x14ac:dyDescent="0.25">
      <c r="AF1028" s="6" t="s">
        <v>3544</v>
      </c>
      <c r="AG1028" s="6">
        <v>64715</v>
      </c>
      <c r="AH1028" s="60" t="s">
        <v>3545</v>
      </c>
      <c r="AJ1028" s="295" t="s">
        <v>1220</v>
      </c>
      <c r="AK1028" s="6" t="s">
        <v>3314</v>
      </c>
      <c r="AL1028" s="60" t="s">
        <v>3546</v>
      </c>
    </row>
    <row r="1029" spans="32:38" ht="18" customHeight="1" x14ac:dyDescent="0.25">
      <c r="AF1029" s="6" t="s">
        <v>3547</v>
      </c>
      <c r="AG1029" s="6">
        <v>12541</v>
      </c>
      <c r="AH1029" s="60" t="s">
        <v>3548</v>
      </c>
      <c r="AJ1029" s="60" t="s">
        <v>854</v>
      </c>
      <c r="AK1029" s="6" t="s">
        <v>2360</v>
      </c>
      <c r="AL1029" s="60" t="s">
        <v>1141</v>
      </c>
    </row>
    <row r="1030" spans="32:38" ht="18" customHeight="1" x14ac:dyDescent="0.25">
      <c r="AF1030" s="6" t="s">
        <v>3549</v>
      </c>
      <c r="AG1030" s="6">
        <v>17729</v>
      </c>
      <c r="AH1030" s="60" t="s">
        <v>3550</v>
      </c>
      <c r="AJ1030" s="60" t="s">
        <v>854</v>
      </c>
      <c r="AK1030" s="6" t="s">
        <v>2356</v>
      </c>
      <c r="AL1030" s="60" t="s">
        <v>3551</v>
      </c>
    </row>
    <row r="1031" spans="32:38" ht="18" customHeight="1" x14ac:dyDescent="0.25">
      <c r="AF1031" s="6" t="s">
        <v>3552</v>
      </c>
      <c r="AG1031" s="6">
        <v>10344</v>
      </c>
      <c r="AH1031" s="60" t="s">
        <v>3553</v>
      </c>
      <c r="AJ1031" s="60" t="s">
        <v>854</v>
      </c>
      <c r="AK1031" s="6" t="s">
        <v>2354</v>
      </c>
      <c r="AL1031" s="60" t="s">
        <v>828</v>
      </c>
    </row>
    <row r="1032" spans="32:38" ht="18" customHeight="1" x14ac:dyDescent="0.25">
      <c r="AF1032" s="6" t="s">
        <v>3552</v>
      </c>
      <c r="AG1032" s="6">
        <v>15917</v>
      </c>
      <c r="AH1032" s="60" t="s">
        <v>3554</v>
      </c>
      <c r="AJ1032" s="60" t="s">
        <v>854</v>
      </c>
      <c r="AK1032" s="6" t="s">
        <v>2356</v>
      </c>
      <c r="AL1032" s="60" t="s">
        <v>1047</v>
      </c>
    </row>
    <row r="1033" spans="32:38" ht="18" customHeight="1" x14ac:dyDescent="0.25">
      <c r="AF1033" s="6" t="s">
        <v>3555</v>
      </c>
      <c r="AG1033" s="6">
        <v>14357</v>
      </c>
      <c r="AH1033" s="60" t="s">
        <v>3556</v>
      </c>
      <c r="AJ1033" s="60" t="s">
        <v>854</v>
      </c>
      <c r="AK1033" s="6" t="s">
        <v>2358</v>
      </c>
      <c r="AL1033" s="60" t="s">
        <v>612</v>
      </c>
    </row>
    <row r="1034" spans="32:38" ht="18" customHeight="1" x14ac:dyDescent="0.25">
      <c r="AF1034" s="6" t="s">
        <v>3557</v>
      </c>
      <c r="AG1034" s="6">
        <v>21977</v>
      </c>
      <c r="AH1034" s="60" t="s">
        <v>3558</v>
      </c>
      <c r="AJ1034" s="60" t="s">
        <v>854</v>
      </c>
      <c r="AK1034" s="6" t="s">
        <v>2356</v>
      </c>
      <c r="AL1034" s="60" t="s">
        <v>2545</v>
      </c>
    </row>
    <row r="1035" spans="32:38" ht="18" customHeight="1" x14ac:dyDescent="0.25">
      <c r="AF1035" s="6" t="s">
        <v>3559</v>
      </c>
      <c r="AG1035" s="6">
        <v>29165</v>
      </c>
      <c r="AH1035" s="60" t="s">
        <v>3560</v>
      </c>
      <c r="AJ1035" s="60" t="s">
        <v>854</v>
      </c>
      <c r="AK1035" s="6" t="s">
        <v>2356</v>
      </c>
      <c r="AL1035" s="60" t="s">
        <v>2545</v>
      </c>
    </row>
    <row r="1036" spans="32:38" ht="18" customHeight="1" x14ac:dyDescent="0.25">
      <c r="AF1036" s="6" t="s">
        <v>3559</v>
      </c>
      <c r="AG1036" s="6">
        <v>19253</v>
      </c>
      <c r="AH1036" s="60" t="s">
        <v>3561</v>
      </c>
      <c r="AJ1036" s="60" t="s">
        <v>854</v>
      </c>
      <c r="AK1036" s="6" t="s">
        <v>2356</v>
      </c>
      <c r="AL1036" s="60" t="s">
        <v>2545</v>
      </c>
    </row>
    <row r="1037" spans="32:38" ht="18" customHeight="1" x14ac:dyDescent="0.25">
      <c r="AF1037" s="6" t="s">
        <v>3559</v>
      </c>
      <c r="AG1037" s="6">
        <v>23311</v>
      </c>
      <c r="AH1037" s="60" t="s">
        <v>3562</v>
      </c>
      <c r="AJ1037" s="60" t="s">
        <v>854</v>
      </c>
      <c r="AK1037" s="6" t="s">
        <v>2356</v>
      </c>
      <c r="AL1037" s="60" t="s">
        <v>2545</v>
      </c>
    </row>
    <row r="1038" spans="32:38" ht="18" customHeight="1" x14ac:dyDescent="0.25">
      <c r="AF1038" s="6" t="s">
        <v>3563</v>
      </c>
      <c r="AG1038" s="6">
        <v>15286</v>
      </c>
      <c r="AH1038" s="60" t="s">
        <v>3564</v>
      </c>
      <c r="AJ1038" s="60" t="s">
        <v>854</v>
      </c>
      <c r="AK1038" s="6" t="s">
        <v>2358</v>
      </c>
      <c r="AL1038" s="60" t="s">
        <v>1143</v>
      </c>
    </row>
    <row r="1039" spans="32:38" ht="18" customHeight="1" x14ac:dyDescent="0.25">
      <c r="AF1039" s="6" t="s">
        <v>3563</v>
      </c>
      <c r="AG1039" s="6">
        <v>24281</v>
      </c>
      <c r="AH1039" s="60" t="s">
        <v>3565</v>
      </c>
      <c r="AJ1039" s="60" t="s">
        <v>854</v>
      </c>
      <c r="AK1039" s="6" t="s">
        <v>2554</v>
      </c>
      <c r="AL1039" s="60" t="s">
        <v>1143</v>
      </c>
    </row>
    <row r="1040" spans="32:38" ht="18" customHeight="1" x14ac:dyDescent="0.25">
      <c r="AF1040" s="6" t="s">
        <v>3566</v>
      </c>
      <c r="AG1040" s="6">
        <v>9331</v>
      </c>
      <c r="AH1040" s="60" t="s">
        <v>3567</v>
      </c>
      <c r="AJ1040" s="60" t="s">
        <v>854</v>
      </c>
      <c r="AK1040" s="6" t="s">
        <v>2354</v>
      </c>
      <c r="AL1040" s="60" t="s">
        <v>832</v>
      </c>
    </row>
    <row r="1041" spans="32:38" ht="18" customHeight="1" x14ac:dyDescent="0.25">
      <c r="AF1041" s="6" t="s">
        <v>3568</v>
      </c>
      <c r="AG1041" s="6" t="s">
        <v>3569</v>
      </c>
      <c r="AH1041" s="60" t="s">
        <v>3570</v>
      </c>
      <c r="AJ1041" s="60" t="s">
        <v>854</v>
      </c>
      <c r="AK1041" s="6" t="s">
        <v>2361</v>
      </c>
      <c r="AL1041" s="60" t="s">
        <v>1143</v>
      </c>
    </row>
    <row r="1042" spans="32:38" ht="18" customHeight="1" x14ac:dyDescent="0.25">
      <c r="AF1042" s="6" t="s">
        <v>3571</v>
      </c>
      <c r="AG1042" s="6">
        <v>4756</v>
      </c>
      <c r="AH1042" s="60" t="s">
        <v>3572</v>
      </c>
      <c r="AJ1042" s="60" t="s">
        <v>854</v>
      </c>
      <c r="AK1042" s="6" t="s">
        <v>2358</v>
      </c>
      <c r="AL1042" s="60" t="s">
        <v>834</v>
      </c>
    </row>
    <row r="1043" spans="32:38" ht="18" customHeight="1" x14ac:dyDescent="0.25">
      <c r="AF1043" s="6" t="s">
        <v>3573</v>
      </c>
      <c r="AG1043" s="6">
        <v>5423622</v>
      </c>
      <c r="AH1043" s="60" t="s">
        <v>3574</v>
      </c>
      <c r="AJ1043" s="60" t="s">
        <v>854</v>
      </c>
      <c r="AK1043" s="6" t="s">
        <v>2354</v>
      </c>
      <c r="AL1043" s="60" t="s">
        <v>516</v>
      </c>
    </row>
    <row r="1044" spans="32:38" ht="18" customHeight="1" x14ac:dyDescent="0.25">
      <c r="AF1044" s="6" t="s">
        <v>3575</v>
      </c>
      <c r="AG1044" s="6">
        <v>58842</v>
      </c>
      <c r="AH1044" s="60" t="s">
        <v>3576</v>
      </c>
      <c r="AJ1044" s="60" t="s">
        <v>854</v>
      </c>
      <c r="AK1044" s="6" t="s">
        <v>2356</v>
      </c>
      <c r="AL1044" s="60" t="s">
        <v>836</v>
      </c>
    </row>
    <row r="1045" spans="32:38" ht="18" customHeight="1" x14ac:dyDescent="0.25">
      <c r="AF1045" s="6" t="s">
        <v>3577</v>
      </c>
      <c r="AG1045" s="6">
        <v>70239</v>
      </c>
      <c r="AH1045" s="60" t="s">
        <v>3578</v>
      </c>
      <c r="AJ1045" s="60" t="s">
        <v>854</v>
      </c>
      <c r="AK1045" s="6" t="s">
        <v>2356</v>
      </c>
      <c r="AL1045" s="60" t="s">
        <v>3579</v>
      </c>
    </row>
    <row r="1046" spans="32:38" ht="18" customHeight="1" x14ac:dyDescent="0.25">
      <c r="AF1046" s="6" t="s">
        <v>3580</v>
      </c>
      <c r="AG1046" s="6">
        <v>45276</v>
      </c>
      <c r="AH1046" s="60" t="s">
        <v>3581</v>
      </c>
      <c r="AJ1046" s="60" t="s">
        <v>854</v>
      </c>
      <c r="AK1046" s="6" t="s">
        <v>2356</v>
      </c>
      <c r="AL1046" s="60" t="s">
        <v>133</v>
      </c>
    </row>
    <row r="1047" spans="32:38" ht="18" customHeight="1" x14ac:dyDescent="0.25">
      <c r="AF1047" s="6" t="s">
        <v>3582</v>
      </c>
      <c r="AG1047" s="6">
        <v>5861</v>
      </c>
      <c r="AH1047" s="60" t="s">
        <v>3583</v>
      </c>
      <c r="AJ1047" s="295" t="s">
        <v>1220</v>
      </c>
      <c r="AK1047" s="6" t="s">
        <v>3314</v>
      </c>
      <c r="AL1047" s="60" t="s">
        <v>608</v>
      </c>
    </row>
    <row r="1048" spans="32:38" ht="18" customHeight="1" x14ac:dyDescent="0.25">
      <c r="AF1048" s="6" t="s">
        <v>3582</v>
      </c>
      <c r="AG1048" s="6" t="s">
        <v>3584</v>
      </c>
      <c r="AH1048" s="60" t="s">
        <v>3585</v>
      </c>
      <c r="AJ1048" s="295" t="s">
        <v>855</v>
      </c>
      <c r="AK1048" s="6" t="s">
        <v>2355</v>
      </c>
      <c r="AL1048" s="60" t="s">
        <v>836</v>
      </c>
    </row>
    <row r="1049" spans="32:38" ht="18" customHeight="1" x14ac:dyDescent="0.25">
      <c r="AF1049" s="6" t="s">
        <v>3586</v>
      </c>
      <c r="AG1049" s="6">
        <v>15375</v>
      </c>
      <c r="AH1049" s="60" t="s">
        <v>3587</v>
      </c>
      <c r="AJ1049" s="60" t="s">
        <v>854</v>
      </c>
      <c r="AK1049" s="6" t="s">
        <v>2354</v>
      </c>
      <c r="AL1049" s="60" t="s">
        <v>133</v>
      </c>
    </row>
    <row r="1050" spans="32:38" ht="18" customHeight="1" x14ac:dyDescent="0.25">
      <c r="AF1050" s="6" t="s">
        <v>3588</v>
      </c>
      <c r="AG1050" s="6">
        <v>3077391</v>
      </c>
      <c r="AH1050" s="60" t="s">
        <v>3589</v>
      </c>
      <c r="AJ1050" s="60" t="s">
        <v>854</v>
      </c>
      <c r="AK1050" s="6" t="s">
        <v>2356</v>
      </c>
      <c r="AL1050" s="60" t="s">
        <v>134</v>
      </c>
    </row>
    <row r="1051" spans="32:38" ht="18" customHeight="1" x14ac:dyDescent="0.25">
      <c r="AF1051" s="6" t="s">
        <v>3590</v>
      </c>
      <c r="AG1051" s="6">
        <v>38662</v>
      </c>
      <c r="AH1051" s="60" t="s">
        <v>3591</v>
      </c>
      <c r="AJ1051" s="60" t="s">
        <v>854</v>
      </c>
      <c r="AK1051" s="6" t="s">
        <v>2360</v>
      </c>
      <c r="AL1051" s="60" t="s">
        <v>1384</v>
      </c>
    </row>
    <row r="1052" spans="32:38" ht="18" customHeight="1" x14ac:dyDescent="0.25">
      <c r="AF1052" s="6" t="s">
        <v>3592</v>
      </c>
      <c r="AG1052" s="6">
        <v>3037242</v>
      </c>
      <c r="AH1052" s="60" t="s">
        <v>3593</v>
      </c>
      <c r="AJ1052" s="60" t="s">
        <v>854</v>
      </c>
      <c r="AK1052" s="6" t="s">
        <v>2358</v>
      </c>
      <c r="AL1052" s="60" t="s">
        <v>3594</v>
      </c>
    </row>
    <row r="1053" spans="32:38" ht="18" customHeight="1" x14ac:dyDescent="0.25">
      <c r="AF1053" s="6" t="s">
        <v>3595</v>
      </c>
      <c r="AG1053" s="6">
        <v>544021</v>
      </c>
      <c r="AH1053" s="60" t="s">
        <v>3596</v>
      </c>
      <c r="AJ1053" s="60" t="s">
        <v>854</v>
      </c>
      <c r="AK1053" s="6" t="s">
        <v>2356</v>
      </c>
      <c r="AL1053" s="60" t="s">
        <v>3597</v>
      </c>
    </row>
    <row r="1054" spans="32:38" ht="18" customHeight="1" x14ac:dyDescent="0.25">
      <c r="AF1054" s="6" t="s">
        <v>3598</v>
      </c>
      <c r="AG1054" s="6">
        <v>544411</v>
      </c>
      <c r="AH1054" s="60" t="s">
        <v>3599</v>
      </c>
      <c r="AJ1054" s="60" t="s">
        <v>854</v>
      </c>
      <c r="AK1054" s="6" t="s">
        <v>2356</v>
      </c>
      <c r="AL1054" s="60" t="s">
        <v>705</v>
      </c>
    </row>
    <row r="1055" spans="32:38" ht="18" customHeight="1" x14ac:dyDescent="0.25">
      <c r="AF1055" s="6" t="s">
        <v>3600</v>
      </c>
      <c r="AG1055" s="6">
        <v>540026</v>
      </c>
      <c r="AH1055" s="60" t="s">
        <v>3601</v>
      </c>
      <c r="AJ1055" s="60" t="s">
        <v>854</v>
      </c>
      <c r="AK1055" s="6" t="s">
        <v>2356</v>
      </c>
      <c r="AL1055" s="60" t="s">
        <v>517</v>
      </c>
    </row>
    <row r="1056" spans="32:38" ht="18" customHeight="1" x14ac:dyDescent="0.25">
      <c r="AF1056" s="6" t="s">
        <v>3602</v>
      </c>
      <c r="AG1056" s="6">
        <v>13080</v>
      </c>
      <c r="AH1056" s="60" t="s">
        <v>3603</v>
      </c>
      <c r="AJ1056" s="295" t="s">
        <v>855</v>
      </c>
      <c r="AK1056" s="6" t="s">
        <v>2355</v>
      </c>
      <c r="AL1056" s="60" t="s">
        <v>705</v>
      </c>
    </row>
    <row r="1057" spans="32:38" ht="18" customHeight="1" x14ac:dyDescent="0.25">
      <c r="AF1057" s="6" t="s">
        <v>3602</v>
      </c>
      <c r="AG1057" s="6">
        <v>545821</v>
      </c>
      <c r="AH1057" s="60" t="s">
        <v>3604</v>
      </c>
      <c r="AJ1057" s="60" t="s">
        <v>854</v>
      </c>
      <c r="AK1057" s="6" t="s">
        <v>2361</v>
      </c>
      <c r="AL1057" s="60" t="s">
        <v>3605</v>
      </c>
    </row>
    <row r="1058" spans="32:38" ht="18" customHeight="1" x14ac:dyDescent="0.25">
      <c r="AF1058" s="6" t="s">
        <v>3606</v>
      </c>
      <c r="AG1058" s="6">
        <v>530606</v>
      </c>
      <c r="AH1058" s="60" t="s">
        <v>3607</v>
      </c>
      <c r="AJ1058" s="60" t="s">
        <v>854</v>
      </c>
      <c r="AK1058" s="6" t="s">
        <v>2360</v>
      </c>
      <c r="AL1058" s="60" t="s">
        <v>3608</v>
      </c>
    </row>
    <row r="1059" spans="32:38" ht="18" customHeight="1" x14ac:dyDescent="0.25">
      <c r="AF1059" s="6" t="s">
        <v>3609</v>
      </c>
      <c r="AG1059" s="6">
        <v>11364</v>
      </c>
      <c r="AH1059" s="60" t="s">
        <v>3610</v>
      </c>
      <c r="AJ1059" s="60" t="s">
        <v>854</v>
      </c>
      <c r="AK1059" s="6" t="s">
        <v>2354</v>
      </c>
      <c r="AL1059" s="60" t="s">
        <v>706</v>
      </c>
    </row>
    <row r="1060" spans="32:38" ht="18" customHeight="1" x14ac:dyDescent="0.25">
      <c r="AF1060" s="6" t="s">
        <v>3611</v>
      </c>
      <c r="AG1060" s="6">
        <v>534789</v>
      </c>
      <c r="AH1060" s="60" t="s">
        <v>3612</v>
      </c>
      <c r="AJ1060" s="60" t="s">
        <v>854</v>
      </c>
      <c r="AK1060" s="6" t="s">
        <v>2356</v>
      </c>
      <c r="AL1060" s="60" t="s">
        <v>517</v>
      </c>
    </row>
    <row r="1061" spans="32:38" ht="18" customHeight="1" x14ac:dyDescent="0.25">
      <c r="AF1061" s="6" t="s">
        <v>3613</v>
      </c>
      <c r="AG1061" s="6">
        <v>16733</v>
      </c>
      <c r="AH1061" s="60" t="s">
        <v>3614</v>
      </c>
      <c r="AJ1061" s="60" t="s">
        <v>854</v>
      </c>
      <c r="AK1061" s="6" t="s">
        <v>2360</v>
      </c>
      <c r="AL1061" s="60" t="s">
        <v>1135</v>
      </c>
    </row>
    <row r="1062" spans="32:38" ht="18" customHeight="1" x14ac:dyDescent="0.25">
      <c r="AF1062" s="6" t="s">
        <v>3613</v>
      </c>
      <c r="AG1062" s="6">
        <v>21006</v>
      </c>
      <c r="AH1062" s="60" t="s">
        <v>3615</v>
      </c>
      <c r="AJ1062" s="60" t="s">
        <v>854</v>
      </c>
      <c r="AK1062" s="6" t="s">
        <v>2356</v>
      </c>
      <c r="AL1062" s="60" t="s">
        <v>2209</v>
      </c>
    </row>
    <row r="1063" spans="32:38" ht="18" customHeight="1" x14ac:dyDescent="0.25">
      <c r="AF1063" s="6" t="s">
        <v>3616</v>
      </c>
      <c r="AG1063" s="6">
        <v>28803</v>
      </c>
      <c r="AH1063" s="60" t="s">
        <v>3617</v>
      </c>
      <c r="AJ1063" s="60" t="s">
        <v>854</v>
      </c>
      <c r="AK1063" s="6" t="s">
        <v>2358</v>
      </c>
      <c r="AL1063" s="60" t="s">
        <v>3618</v>
      </c>
    </row>
    <row r="1064" spans="32:38" ht="18" customHeight="1" x14ac:dyDescent="0.25">
      <c r="AF1064" s="6" t="s">
        <v>3619</v>
      </c>
      <c r="AG1064" s="6">
        <v>33413</v>
      </c>
      <c r="AH1064" s="60" t="s">
        <v>3620</v>
      </c>
      <c r="AJ1064" s="60" t="s">
        <v>854</v>
      </c>
      <c r="AK1064" s="6" t="s">
        <v>2356</v>
      </c>
      <c r="AL1064" s="60" t="s">
        <v>3429</v>
      </c>
    </row>
    <row r="1065" spans="32:38" ht="18" customHeight="1" x14ac:dyDescent="0.25">
      <c r="AF1065" s="6" t="s">
        <v>3621</v>
      </c>
      <c r="AG1065" s="6">
        <v>52206</v>
      </c>
      <c r="AH1065" s="60" t="s">
        <v>3622</v>
      </c>
      <c r="AJ1065" s="60" t="s">
        <v>854</v>
      </c>
      <c r="AK1065" s="6" t="s">
        <v>2356</v>
      </c>
      <c r="AL1065" s="60" t="s">
        <v>3623</v>
      </c>
    </row>
    <row r="1066" spans="32:38" ht="18" customHeight="1" x14ac:dyDescent="0.25">
      <c r="AF1066" s="6" t="s">
        <v>3624</v>
      </c>
      <c r="AG1066" s="6">
        <v>87954</v>
      </c>
      <c r="AH1066" s="60" t="s">
        <v>3625</v>
      </c>
      <c r="AJ1066" s="60" t="s">
        <v>854</v>
      </c>
      <c r="AK1066" s="6" t="s">
        <v>2361</v>
      </c>
      <c r="AL1066" s="60" t="s">
        <v>3448</v>
      </c>
    </row>
    <row r="1067" spans="32:38" ht="18" customHeight="1" x14ac:dyDescent="0.25">
      <c r="AF1067" s="6" t="s">
        <v>3626</v>
      </c>
      <c r="AG1067" s="6">
        <v>83214</v>
      </c>
      <c r="AH1067" s="60" t="s">
        <v>3627</v>
      </c>
      <c r="AJ1067" s="60" t="s">
        <v>854</v>
      </c>
      <c r="AK1067" s="6" t="s">
        <v>2362</v>
      </c>
      <c r="AL1067" s="60" t="s">
        <v>3448</v>
      </c>
    </row>
    <row r="1068" spans="32:38" ht="18" customHeight="1" x14ac:dyDescent="0.25">
      <c r="AF1068" s="6" t="s">
        <v>3842</v>
      </c>
      <c r="AG1068" s="6">
        <v>72180</v>
      </c>
      <c r="AH1068" s="60" t="s">
        <v>3843</v>
      </c>
      <c r="AJ1068" s="60" t="s">
        <v>854</v>
      </c>
      <c r="AK1068" s="6" t="s">
        <v>2356</v>
      </c>
      <c r="AL1068" s="60" t="s">
        <v>3834</v>
      </c>
    </row>
    <row r="1069" spans="32:38" ht="18" customHeight="1" x14ac:dyDescent="0.25">
      <c r="AF1069" s="6" t="s">
        <v>3844</v>
      </c>
      <c r="AG1069" s="6">
        <v>10709</v>
      </c>
      <c r="AH1069" s="60" t="s">
        <v>3845</v>
      </c>
      <c r="AJ1069" s="60" t="s">
        <v>854</v>
      </c>
      <c r="AK1069" s="6" t="s">
        <v>2360</v>
      </c>
      <c r="AL1069" s="60" t="s">
        <v>429</v>
      </c>
    </row>
    <row r="1070" spans="32:38" ht="18" customHeight="1" x14ac:dyDescent="0.25">
      <c r="AF1070" s="6" t="s">
        <v>3846</v>
      </c>
      <c r="AG1070" s="6">
        <v>979</v>
      </c>
      <c r="AH1070" s="60" t="s">
        <v>3847</v>
      </c>
      <c r="AJ1070" s="60" t="s">
        <v>854</v>
      </c>
      <c r="AK1070" s="6" t="s">
        <v>2362</v>
      </c>
      <c r="AL1070" s="60" t="s">
        <v>429</v>
      </c>
    </row>
    <row r="1071" spans="32:38" ht="18" customHeight="1" x14ac:dyDescent="0.25">
      <c r="AF1071" s="6" t="s">
        <v>3848</v>
      </c>
      <c r="AG1071" s="6">
        <v>1654</v>
      </c>
      <c r="AH1071" s="60" t="s">
        <v>3849</v>
      </c>
      <c r="AJ1071" s="60" t="s">
        <v>854</v>
      </c>
      <c r="AK1071" s="6" t="s">
        <v>2885</v>
      </c>
      <c r="AL1071" s="60" t="s">
        <v>1296</v>
      </c>
    </row>
    <row r="1072" spans="32:38" ht="18" customHeight="1" x14ac:dyDescent="0.25">
      <c r="AF1072" s="6" t="s">
        <v>3850</v>
      </c>
      <c r="AG1072" s="6">
        <v>12497</v>
      </c>
      <c r="AH1072" s="60" t="s">
        <v>3851</v>
      </c>
      <c r="AJ1072" s="60" t="s">
        <v>854</v>
      </c>
      <c r="AK1072" s="6" t="s">
        <v>2356</v>
      </c>
      <c r="AL1072" s="60" t="s">
        <v>2207</v>
      </c>
    </row>
    <row r="1073" spans="32:38" ht="18" customHeight="1" x14ac:dyDescent="0.25">
      <c r="AF1073" s="6" t="s">
        <v>3852</v>
      </c>
      <c r="AG1073" s="6">
        <v>1120</v>
      </c>
      <c r="AH1073" s="60" t="s">
        <v>3853</v>
      </c>
      <c r="AJ1073" s="60" t="s">
        <v>854</v>
      </c>
      <c r="AK1073" s="6" t="s">
        <v>2354</v>
      </c>
      <c r="AL1073" s="60" t="s">
        <v>1227</v>
      </c>
    </row>
    <row r="1074" spans="32:38" ht="18" customHeight="1" x14ac:dyDescent="0.25">
      <c r="AF1074" s="6" t="s">
        <v>3854</v>
      </c>
      <c r="AG1074" s="6">
        <v>21863</v>
      </c>
      <c r="AH1074" s="60" t="s">
        <v>3855</v>
      </c>
      <c r="AJ1074" s="295" t="s">
        <v>855</v>
      </c>
      <c r="AK1074" s="6" t="s">
        <v>2355</v>
      </c>
      <c r="AL1074" s="60" t="s">
        <v>1349</v>
      </c>
    </row>
    <row r="1075" spans="32:38" ht="18" customHeight="1" x14ac:dyDescent="0.25">
      <c r="AF1075" s="6" t="s">
        <v>3856</v>
      </c>
      <c r="AG1075" s="6">
        <v>52934</v>
      </c>
      <c r="AH1075" s="60" t="s">
        <v>3857</v>
      </c>
      <c r="AJ1075" s="60" t="s">
        <v>854</v>
      </c>
      <c r="AK1075" s="6" t="s">
        <v>2358</v>
      </c>
      <c r="AL1075" s="60" t="s">
        <v>1350</v>
      </c>
    </row>
    <row r="1076" spans="32:38" ht="18" customHeight="1" x14ac:dyDescent="0.25">
      <c r="AF1076" s="6" t="s">
        <v>3858</v>
      </c>
      <c r="AG1076" s="6">
        <v>48443</v>
      </c>
      <c r="AH1076" s="60" t="s">
        <v>3859</v>
      </c>
      <c r="AJ1076" s="60" t="s">
        <v>854</v>
      </c>
      <c r="AK1076" s="6" t="s">
        <v>2360</v>
      </c>
      <c r="AL1076" s="60" t="s">
        <v>1352</v>
      </c>
    </row>
    <row r="1077" spans="32:38" ht="18" customHeight="1" x14ac:dyDescent="0.25">
      <c r="AF1077" s="6" t="s">
        <v>3860</v>
      </c>
      <c r="AG1077" s="6">
        <v>6659</v>
      </c>
      <c r="AH1077" s="60" t="s">
        <v>3861</v>
      </c>
      <c r="AJ1077" s="60" t="s">
        <v>854</v>
      </c>
      <c r="AK1077" s="6" t="s">
        <v>2354</v>
      </c>
      <c r="AL1077" s="60" t="s">
        <v>1353</v>
      </c>
    </row>
    <row r="1078" spans="32:38" ht="18" customHeight="1" x14ac:dyDescent="0.25">
      <c r="AF1078" s="6" t="s">
        <v>3862</v>
      </c>
      <c r="AG1078" s="6">
        <v>2072</v>
      </c>
      <c r="AH1078" s="60" t="s">
        <v>3863</v>
      </c>
      <c r="AJ1078" s="60" t="s">
        <v>854</v>
      </c>
      <c r="AK1078" s="6" t="s">
        <v>2354</v>
      </c>
      <c r="AL1078" s="60" t="s">
        <v>299</v>
      </c>
    </row>
    <row r="1079" spans="32:38" ht="18" customHeight="1" x14ac:dyDescent="0.25">
      <c r="AF1079" s="6" t="s">
        <v>3864</v>
      </c>
      <c r="AG1079" s="6">
        <v>6623</v>
      </c>
      <c r="AH1079" s="60" t="s">
        <v>3865</v>
      </c>
      <c r="AJ1079" s="60" t="s">
        <v>854</v>
      </c>
      <c r="AK1079" s="6" t="s">
        <v>2356</v>
      </c>
      <c r="AL1079" s="60" t="s">
        <v>724</v>
      </c>
    </row>
    <row r="1080" spans="32:38" ht="18" customHeight="1" x14ac:dyDescent="0.25">
      <c r="AF1080" s="6" t="s">
        <v>3866</v>
      </c>
      <c r="AG1080" s="6">
        <v>1802</v>
      </c>
      <c r="AH1080" s="60" t="s">
        <v>3867</v>
      </c>
      <c r="AJ1080" s="60" t="s">
        <v>854</v>
      </c>
      <c r="AK1080" s="6" t="s">
        <v>2354</v>
      </c>
      <c r="AL1080" s="60" t="s">
        <v>2204</v>
      </c>
    </row>
    <row r="1081" spans="32:38" ht="18" customHeight="1" x14ac:dyDescent="0.25">
      <c r="AF1081" s="6" t="s">
        <v>3868</v>
      </c>
      <c r="AG1081" s="6">
        <v>36949</v>
      </c>
      <c r="AH1081" s="60" t="s">
        <v>3869</v>
      </c>
      <c r="AJ1081" s="60" t="s">
        <v>854</v>
      </c>
      <c r="AK1081" s="6" t="s">
        <v>2554</v>
      </c>
      <c r="AL1081" s="60" t="s">
        <v>3836</v>
      </c>
    </row>
    <row r="1082" spans="32:38" ht="18" customHeight="1" x14ac:dyDescent="0.25">
      <c r="AF1082" s="6" t="s">
        <v>3870</v>
      </c>
      <c r="AG1082" s="6">
        <v>24662</v>
      </c>
      <c r="AH1082" s="60" t="s">
        <v>3871</v>
      </c>
      <c r="AJ1082" s="60" t="s">
        <v>854</v>
      </c>
      <c r="AK1082" s="6" t="s">
        <v>2354</v>
      </c>
      <c r="AL1082" s="60" t="s">
        <v>647</v>
      </c>
    </row>
    <row r="1083" spans="32:38" ht="18" customHeight="1" x14ac:dyDescent="0.25">
      <c r="AF1083" s="6" t="s">
        <v>3872</v>
      </c>
      <c r="AG1083" s="6">
        <v>4140</v>
      </c>
      <c r="AH1083" s="60" t="s">
        <v>3873</v>
      </c>
      <c r="AJ1083" s="60" t="s">
        <v>854</v>
      </c>
      <c r="AK1083" s="6" t="s">
        <v>2354</v>
      </c>
      <c r="AL1083" s="60" t="s">
        <v>2205</v>
      </c>
    </row>
    <row r="1084" spans="32:38" ht="18" customHeight="1" x14ac:dyDescent="0.25">
      <c r="AF1084" s="6" t="s">
        <v>3874</v>
      </c>
      <c r="AG1084" s="6">
        <v>39245</v>
      </c>
      <c r="AH1084" s="60" t="s">
        <v>3875</v>
      </c>
      <c r="AJ1084" s="60" t="s">
        <v>854</v>
      </c>
      <c r="AK1084" s="6" t="s">
        <v>2356</v>
      </c>
      <c r="AL1084" s="60" t="s">
        <v>184</v>
      </c>
    </row>
    <row r="1085" spans="32:38" ht="18" customHeight="1" x14ac:dyDescent="0.25">
      <c r="AF1085" s="6" t="s">
        <v>3876</v>
      </c>
      <c r="AG1085" s="6">
        <v>1584</v>
      </c>
      <c r="AH1085" s="60" t="s">
        <v>3877</v>
      </c>
      <c r="AJ1085" s="60" t="s">
        <v>854</v>
      </c>
      <c r="AK1085" s="6" t="s">
        <v>2362</v>
      </c>
      <c r="AL1085" s="60" t="s">
        <v>1088</v>
      </c>
    </row>
    <row r="1086" spans="32:38" ht="18" customHeight="1" x14ac:dyDescent="0.25">
      <c r="AF1086" s="6" t="s">
        <v>3878</v>
      </c>
      <c r="AG1086" s="6">
        <v>44599</v>
      </c>
      <c r="AH1086" s="60" t="s">
        <v>3879</v>
      </c>
      <c r="AJ1086" s="60" t="s">
        <v>854</v>
      </c>
      <c r="AK1086" s="6" t="s">
        <v>2356</v>
      </c>
      <c r="AL1086" s="60" t="s">
        <v>3838</v>
      </c>
    </row>
    <row r="1087" spans="32:38" ht="18" customHeight="1" x14ac:dyDescent="0.25">
      <c r="AF1087" s="6" t="s">
        <v>3880</v>
      </c>
      <c r="AG1087" s="6">
        <v>47943</v>
      </c>
      <c r="AH1087" s="60" t="s">
        <v>3881</v>
      </c>
      <c r="AJ1087" s="60" t="s">
        <v>854</v>
      </c>
      <c r="AK1087" s="6" t="s">
        <v>2356</v>
      </c>
      <c r="AL1087" s="60" t="s">
        <v>3538</v>
      </c>
    </row>
    <row r="1088" spans="32:38" ht="18" customHeight="1" x14ac:dyDescent="0.25">
      <c r="AF1088" s="6" t="s">
        <v>3882</v>
      </c>
      <c r="AG1088" s="6">
        <v>1733</v>
      </c>
      <c r="AH1088" s="60" t="s">
        <v>3883</v>
      </c>
      <c r="AJ1088" s="60" t="s">
        <v>854</v>
      </c>
      <c r="AK1088" s="6" t="s">
        <v>2356</v>
      </c>
      <c r="AL1088" s="60" t="s">
        <v>3308</v>
      </c>
    </row>
    <row r="1089" spans="32:38" ht="18" customHeight="1" x14ac:dyDescent="0.25">
      <c r="AF1089" s="6" t="s">
        <v>3884</v>
      </c>
      <c r="AG1089" s="6">
        <v>124830</v>
      </c>
      <c r="AH1089" s="60" t="s">
        <v>3885</v>
      </c>
      <c r="AJ1089" s="60" t="s">
        <v>854</v>
      </c>
      <c r="AK1089" s="6" t="s">
        <v>2356</v>
      </c>
      <c r="AL1089" s="60" t="s">
        <v>606</v>
      </c>
    </row>
    <row r="1090" spans="32:38" ht="18" customHeight="1" x14ac:dyDescent="0.25">
      <c r="AF1090" s="6" t="s">
        <v>3886</v>
      </c>
      <c r="AG1090" s="6">
        <v>30052</v>
      </c>
      <c r="AH1090" s="60" t="s">
        <v>3887</v>
      </c>
      <c r="AJ1090" s="60" t="s">
        <v>854</v>
      </c>
      <c r="AK1090" s="6" t="s">
        <v>2359</v>
      </c>
      <c r="AL1090" s="60" t="s">
        <v>3318</v>
      </c>
    </row>
    <row r="1091" spans="32:38" ht="18" customHeight="1" x14ac:dyDescent="0.25">
      <c r="AF1091" s="6" t="s">
        <v>3888</v>
      </c>
      <c r="AG1091" s="6">
        <v>51000</v>
      </c>
      <c r="AH1091" s="60" t="s">
        <v>3889</v>
      </c>
      <c r="AJ1091" s="60" t="s">
        <v>977</v>
      </c>
      <c r="AK1091" s="6" t="s">
        <v>2366</v>
      </c>
      <c r="AL1091" s="60" t="s">
        <v>2592</v>
      </c>
    </row>
    <row r="1092" spans="32:38" ht="18" customHeight="1" x14ac:dyDescent="0.25">
      <c r="AF1092" s="6" t="s">
        <v>3890</v>
      </c>
      <c r="AG1092" s="6">
        <v>68406</v>
      </c>
      <c r="AH1092" s="60" t="s">
        <v>3891</v>
      </c>
      <c r="AJ1092" s="60" t="s">
        <v>854</v>
      </c>
      <c r="AK1092" s="6" t="s">
        <v>2360</v>
      </c>
      <c r="AL1092" s="60" t="s">
        <v>3837</v>
      </c>
    </row>
    <row r="1093" spans="32:38" ht="18" customHeight="1" x14ac:dyDescent="0.25">
      <c r="AF1093" s="6" t="s">
        <v>3892</v>
      </c>
      <c r="AG1093" s="6">
        <v>143299</v>
      </c>
      <c r="AH1093" s="60" t="s">
        <v>3893</v>
      </c>
      <c r="AJ1093" s="60" t="s">
        <v>1357</v>
      </c>
      <c r="AK1093" s="6" t="s">
        <v>3460</v>
      </c>
      <c r="AL1093" s="60" t="s">
        <v>604</v>
      </c>
    </row>
    <row r="1094" spans="32:38" ht="18" customHeight="1" x14ac:dyDescent="0.25">
      <c r="AF1094" s="6" t="s">
        <v>3894</v>
      </c>
      <c r="AG1094" s="6">
        <v>143468</v>
      </c>
      <c r="AH1094" s="60" t="s">
        <v>3895</v>
      </c>
      <c r="AJ1094" s="60" t="s">
        <v>1357</v>
      </c>
      <c r="AK1094" s="6" t="s">
        <v>3460</v>
      </c>
      <c r="AL1094" s="60" t="s">
        <v>496</v>
      </c>
    </row>
    <row r="1095" spans="32:38" ht="18" customHeight="1" x14ac:dyDescent="0.25">
      <c r="AF1095" s="6" t="s">
        <v>3896</v>
      </c>
      <c r="AG1095" s="6">
        <v>298</v>
      </c>
      <c r="AH1095" s="60" t="s">
        <v>3897</v>
      </c>
      <c r="AJ1095" s="60" t="s">
        <v>854</v>
      </c>
      <c r="AK1095" s="6" t="s">
        <v>2356</v>
      </c>
      <c r="AL1095" s="60" t="s">
        <v>830</v>
      </c>
    </row>
    <row r="1096" spans="32:38" ht="18" customHeight="1" x14ac:dyDescent="0.25">
      <c r="AF1096" s="6" t="s">
        <v>3898</v>
      </c>
      <c r="AG1096" s="6">
        <v>13484</v>
      </c>
      <c r="AH1096" s="60" t="s">
        <v>3899</v>
      </c>
      <c r="AJ1096" s="60" t="s">
        <v>854</v>
      </c>
      <c r="AK1096" s="6" t="s">
        <v>2360</v>
      </c>
      <c r="AL1096" s="60" t="s">
        <v>830</v>
      </c>
    </row>
    <row r="1097" spans="32:38" ht="18" customHeight="1" x14ac:dyDescent="0.25">
      <c r="AF1097" s="6" t="s">
        <v>3900</v>
      </c>
      <c r="AG1097" s="6">
        <v>13298</v>
      </c>
      <c r="AH1097" s="60" t="s">
        <v>3901</v>
      </c>
      <c r="AJ1097" s="60" t="s">
        <v>854</v>
      </c>
      <c r="AK1097" s="6" t="s">
        <v>2358</v>
      </c>
      <c r="AL1097" s="60" t="s">
        <v>1142</v>
      </c>
    </row>
    <row r="1098" spans="32:38" ht="18" customHeight="1" x14ac:dyDescent="0.25">
      <c r="AF1098" s="6" t="s">
        <v>3902</v>
      </c>
      <c r="AG1098" s="6">
        <v>30178</v>
      </c>
      <c r="AH1098" s="60" t="s">
        <v>3903</v>
      </c>
      <c r="AJ1098" s="60" t="s">
        <v>854</v>
      </c>
      <c r="AK1098" s="6" t="s">
        <v>2356</v>
      </c>
      <c r="AL1098" s="60" t="s">
        <v>829</v>
      </c>
    </row>
    <row r="1099" spans="32:38" ht="18" customHeight="1" x14ac:dyDescent="0.25">
      <c r="AF1099" s="6" t="s">
        <v>3904</v>
      </c>
      <c r="AG1099" s="6">
        <v>15454</v>
      </c>
      <c r="AH1099" s="60" t="s">
        <v>3905</v>
      </c>
      <c r="AJ1099" s="60" t="s">
        <v>854</v>
      </c>
      <c r="AK1099" s="6" t="s">
        <v>2360</v>
      </c>
      <c r="AL1099" s="60" t="s">
        <v>830</v>
      </c>
    </row>
    <row r="1100" spans="32:38" ht="18" customHeight="1" x14ac:dyDescent="0.25">
      <c r="AF1100" s="6" t="s">
        <v>3904</v>
      </c>
      <c r="AG1100" s="6">
        <v>27781</v>
      </c>
      <c r="AH1100" s="60" t="s">
        <v>3906</v>
      </c>
      <c r="AJ1100" s="60" t="s">
        <v>854</v>
      </c>
      <c r="AK1100" s="6" t="s">
        <v>2356</v>
      </c>
      <c r="AL1100" s="60" t="s">
        <v>830</v>
      </c>
    </row>
    <row r="1101" spans="32:38" ht="18" customHeight="1" x14ac:dyDescent="0.25">
      <c r="AF1101" s="6" t="s">
        <v>3907</v>
      </c>
      <c r="AG1101" s="6">
        <v>1045</v>
      </c>
      <c r="AH1101" s="60" t="s">
        <v>3908</v>
      </c>
      <c r="AJ1101" s="60" t="s">
        <v>854</v>
      </c>
      <c r="AK1101" s="6" t="s">
        <v>2354</v>
      </c>
      <c r="AL1101" s="60" t="s">
        <v>1145</v>
      </c>
    </row>
    <row r="1102" spans="32:38" ht="18" customHeight="1" x14ac:dyDescent="0.25">
      <c r="AF1102" s="6" t="s">
        <v>3909</v>
      </c>
      <c r="AG1102" s="6">
        <v>7532</v>
      </c>
      <c r="AH1102" s="60" t="s">
        <v>3910</v>
      </c>
      <c r="AJ1102" s="60" t="s">
        <v>854</v>
      </c>
      <c r="AK1102" s="6" t="s">
        <v>2356</v>
      </c>
      <c r="AL1102" s="60" t="s">
        <v>23</v>
      </c>
    </row>
    <row r="1103" spans="32:38" ht="18" customHeight="1" x14ac:dyDescent="0.25">
      <c r="AF1103" s="6" t="s">
        <v>3911</v>
      </c>
      <c r="AG1103" s="6">
        <v>40882</v>
      </c>
      <c r="AH1103" s="60" t="s">
        <v>3912</v>
      </c>
      <c r="AJ1103" s="60" t="s">
        <v>854</v>
      </c>
      <c r="AK1103" s="6" t="s">
        <v>2356</v>
      </c>
      <c r="AL1103" s="60" t="s">
        <v>133</v>
      </c>
    </row>
    <row r="1104" spans="32:38" ht="18" customHeight="1" x14ac:dyDescent="0.25">
      <c r="AF1104" s="6" t="s">
        <v>3911</v>
      </c>
      <c r="AG1104" s="6">
        <v>71463</v>
      </c>
      <c r="AH1104" s="60" t="s">
        <v>3913</v>
      </c>
      <c r="AJ1104" s="60" t="s">
        <v>854</v>
      </c>
      <c r="AK1104" s="6" t="s">
        <v>2356</v>
      </c>
      <c r="AL1104" s="60" t="s">
        <v>133</v>
      </c>
    </row>
    <row r="1105" spans="32:38" ht="18" customHeight="1" x14ac:dyDescent="0.25">
      <c r="AF1105" s="6" t="s">
        <v>3914</v>
      </c>
      <c r="AG1105" s="6">
        <v>22134</v>
      </c>
      <c r="AH1105" s="60" t="s">
        <v>3915</v>
      </c>
      <c r="AJ1105" s="60" t="s">
        <v>854</v>
      </c>
      <c r="AK1105" s="6" t="s">
        <v>2360</v>
      </c>
      <c r="AL1105" s="60" t="s">
        <v>341</v>
      </c>
    </row>
    <row r="1106" spans="32:38" ht="18" customHeight="1" x14ac:dyDescent="0.25">
      <c r="AF1106" s="6" t="s">
        <v>3916</v>
      </c>
      <c r="AG1106" s="6">
        <v>42528</v>
      </c>
      <c r="AH1106" s="60" t="s">
        <v>3917</v>
      </c>
      <c r="AJ1106" s="60" t="s">
        <v>854</v>
      </c>
      <c r="AK1106" s="6" t="s">
        <v>2356</v>
      </c>
      <c r="AL1106" s="60" t="s">
        <v>341</v>
      </c>
    </row>
    <row r="1107" spans="32:38" ht="18" customHeight="1" x14ac:dyDescent="0.25">
      <c r="AF1107" s="6" t="s">
        <v>3918</v>
      </c>
      <c r="AG1107" s="6">
        <v>44978</v>
      </c>
      <c r="AH1107" s="60" t="s">
        <v>3919</v>
      </c>
      <c r="AJ1107" s="60" t="s">
        <v>977</v>
      </c>
      <c r="AK1107" s="6" t="s">
        <v>2527</v>
      </c>
      <c r="AL1107" s="60" t="s">
        <v>133</v>
      </c>
    </row>
    <row r="1108" spans="32:38" ht="18" customHeight="1" x14ac:dyDescent="0.25">
      <c r="AF1108" s="6" t="s">
        <v>3920</v>
      </c>
      <c r="AG1108" s="6">
        <v>70926</v>
      </c>
      <c r="AH1108" s="60" t="s">
        <v>3921</v>
      </c>
      <c r="AJ1108" s="60" t="s">
        <v>854</v>
      </c>
      <c r="AK1108" s="6" t="s">
        <v>2356</v>
      </c>
      <c r="AL1108" s="60" t="s">
        <v>340</v>
      </c>
    </row>
    <row r="1109" spans="32:38" ht="18" customHeight="1" x14ac:dyDescent="0.25">
      <c r="AF1109" s="6" t="s">
        <v>3922</v>
      </c>
      <c r="AG1109" s="6">
        <v>72068</v>
      </c>
      <c r="AH1109" s="60" t="s">
        <v>3923</v>
      </c>
      <c r="AJ1109" s="60" t="s">
        <v>854</v>
      </c>
      <c r="AK1109" s="6" t="s">
        <v>2356</v>
      </c>
      <c r="AL1109" s="60" t="s">
        <v>837</v>
      </c>
    </row>
    <row r="1110" spans="32:38" ht="18" customHeight="1" x14ac:dyDescent="0.25">
      <c r="AF1110" s="6" t="s">
        <v>3924</v>
      </c>
      <c r="AG1110" s="6">
        <v>43444</v>
      </c>
      <c r="AH1110" s="60" t="s">
        <v>3925</v>
      </c>
      <c r="AJ1110" s="60" t="s">
        <v>854</v>
      </c>
      <c r="AK1110" s="6" t="s">
        <v>2356</v>
      </c>
      <c r="AL1110" s="60" t="s">
        <v>939</v>
      </c>
    </row>
    <row r="1111" spans="32:38" ht="18" customHeight="1" x14ac:dyDescent="0.25">
      <c r="AF1111" s="6" t="s">
        <v>3926</v>
      </c>
      <c r="AG1111" s="6">
        <v>61196</v>
      </c>
      <c r="AH1111" s="60" t="s">
        <v>3927</v>
      </c>
      <c r="AJ1111" s="60" t="s">
        <v>854</v>
      </c>
      <c r="AK1111" s="6" t="s">
        <v>2356</v>
      </c>
      <c r="AL1111" s="60" t="s">
        <v>609</v>
      </c>
    </row>
    <row r="1112" spans="32:38" ht="18" customHeight="1" x14ac:dyDescent="0.25">
      <c r="AF1112" s="6" t="s">
        <v>3928</v>
      </c>
      <c r="AG1112" s="6">
        <v>9577</v>
      </c>
      <c r="AH1112" s="60" t="s">
        <v>3929</v>
      </c>
      <c r="AJ1112" s="60" t="s">
        <v>854</v>
      </c>
      <c r="AK1112" s="6" t="s">
        <v>2354</v>
      </c>
      <c r="AL1112" s="60" t="s">
        <v>836</v>
      </c>
    </row>
    <row r="1113" spans="32:38" ht="18" customHeight="1" x14ac:dyDescent="0.25">
      <c r="AF1113" s="6" t="s">
        <v>3930</v>
      </c>
      <c r="AG1113" s="6">
        <v>490</v>
      </c>
      <c r="AH1113" s="60" t="s">
        <v>3931</v>
      </c>
      <c r="AJ1113" s="60" t="s">
        <v>854</v>
      </c>
      <c r="AK1113" s="6" t="s">
        <v>2354</v>
      </c>
      <c r="AL1113" s="60" t="s">
        <v>340</v>
      </c>
    </row>
    <row r="1114" spans="32:38" ht="18" customHeight="1" x14ac:dyDescent="0.25">
      <c r="AF1114" s="6" t="s">
        <v>3918</v>
      </c>
      <c r="AG1114" s="6">
        <v>13746</v>
      </c>
      <c r="AH1114" s="60" t="s">
        <v>3932</v>
      </c>
      <c r="AJ1114" s="60" t="s">
        <v>854</v>
      </c>
      <c r="AK1114" s="6" t="s">
        <v>2354</v>
      </c>
      <c r="AL1114" s="60" t="s">
        <v>133</v>
      </c>
    </row>
    <row r="1115" spans="32:38" ht="18" customHeight="1" x14ac:dyDescent="0.25">
      <c r="AF1115" s="6" t="s">
        <v>3933</v>
      </c>
      <c r="AG1115" s="6">
        <v>13760</v>
      </c>
      <c r="AH1115" s="60" t="s">
        <v>3934</v>
      </c>
      <c r="AJ1115" s="60" t="s">
        <v>854</v>
      </c>
      <c r="AK1115" s="6" t="s">
        <v>2354</v>
      </c>
      <c r="AL1115" s="60" t="s">
        <v>835</v>
      </c>
    </row>
    <row r="1116" spans="32:38" ht="18" customHeight="1" x14ac:dyDescent="0.25">
      <c r="AF1116" s="6" t="s">
        <v>3935</v>
      </c>
      <c r="AG1116" s="6" t="s">
        <v>3936</v>
      </c>
      <c r="AH1116" s="60" t="s">
        <v>3937</v>
      </c>
      <c r="AJ1116" s="295" t="s">
        <v>855</v>
      </c>
      <c r="AK1116" s="6" t="s">
        <v>2355</v>
      </c>
      <c r="AL1116" s="60" t="s">
        <v>611</v>
      </c>
    </row>
    <row r="1117" spans="32:38" ht="18" customHeight="1" x14ac:dyDescent="0.25">
      <c r="AF1117" s="6" t="s">
        <v>3938</v>
      </c>
      <c r="AG1117" s="6">
        <v>2705</v>
      </c>
      <c r="AH1117" s="60" t="s">
        <v>3939</v>
      </c>
      <c r="AJ1117" s="60" t="s">
        <v>1357</v>
      </c>
      <c r="AK1117" s="6" t="s">
        <v>2591</v>
      </c>
      <c r="AL1117" s="60" t="s">
        <v>836</v>
      </c>
    </row>
    <row r="1118" spans="32:38" ht="18" customHeight="1" x14ac:dyDescent="0.25">
      <c r="AF1118" s="6" t="s">
        <v>3940</v>
      </c>
      <c r="AG1118" s="6">
        <v>3040585</v>
      </c>
      <c r="AH1118" s="60" t="s">
        <v>3941</v>
      </c>
      <c r="AJ1118" s="60" t="s">
        <v>854</v>
      </c>
      <c r="AK1118" s="6" t="s">
        <v>2356</v>
      </c>
      <c r="AL1118" s="60" t="s">
        <v>138</v>
      </c>
    </row>
    <row r="1119" spans="32:38" ht="18" customHeight="1" x14ac:dyDescent="0.25">
      <c r="AF1119" s="6" t="s">
        <v>3942</v>
      </c>
      <c r="AG1119" s="6">
        <v>3045122</v>
      </c>
      <c r="AH1119" s="60" t="s">
        <v>3943</v>
      </c>
      <c r="AJ1119" s="60" t="s">
        <v>854</v>
      </c>
      <c r="AK1119" s="6" t="s">
        <v>2356</v>
      </c>
      <c r="AL1119" s="60" t="s">
        <v>3594</v>
      </c>
    </row>
    <row r="1120" spans="32:38" ht="18" customHeight="1" x14ac:dyDescent="0.25">
      <c r="AF1120" s="6" t="s">
        <v>3944</v>
      </c>
      <c r="AG1120" s="6">
        <v>3056249</v>
      </c>
      <c r="AH1120" s="60" t="s">
        <v>3945</v>
      </c>
      <c r="AJ1120" s="60" t="s">
        <v>854</v>
      </c>
      <c r="AK1120" s="6" t="s">
        <v>2356</v>
      </c>
      <c r="AL1120" s="60" t="s">
        <v>242</v>
      </c>
    </row>
    <row r="1121" spans="32:38" ht="18" customHeight="1" x14ac:dyDescent="0.25">
      <c r="AF1121" s="6" t="s">
        <v>3946</v>
      </c>
      <c r="AG1121" s="6">
        <v>39806</v>
      </c>
      <c r="AH1121" s="60" t="s">
        <v>3947</v>
      </c>
      <c r="AJ1121" s="60" t="s">
        <v>854</v>
      </c>
      <c r="AK1121" s="6" t="s">
        <v>2356</v>
      </c>
      <c r="AL1121" s="60" t="s">
        <v>703</v>
      </c>
    </row>
    <row r="1122" spans="32:38" ht="18" customHeight="1" x14ac:dyDescent="0.25">
      <c r="AF1122" s="6" t="s">
        <v>3948</v>
      </c>
      <c r="AG1122" s="6">
        <v>39107</v>
      </c>
      <c r="AH1122" s="60" t="s">
        <v>3949</v>
      </c>
      <c r="AJ1122" s="60" t="s">
        <v>854</v>
      </c>
      <c r="AK1122" s="6" t="s">
        <v>2360</v>
      </c>
      <c r="AL1122" s="60" t="s">
        <v>3040</v>
      </c>
    </row>
    <row r="1123" spans="32:38" ht="18" customHeight="1" x14ac:dyDescent="0.25">
      <c r="AF1123" s="6" t="s">
        <v>3950</v>
      </c>
      <c r="AG1123" s="6">
        <v>3036348</v>
      </c>
      <c r="AH1123" s="60" t="s">
        <v>3951</v>
      </c>
      <c r="AJ1123" s="60" t="s">
        <v>854</v>
      </c>
      <c r="AK1123" s="6" t="s">
        <v>2358</v>
      </c>
      <c r="AL1123" s="60" t="s">
        <v>2371</v>
      </c>
    </row>
    <row r="1124" spans="32:38" ht="18" customHeight="1" x14ac:dyDescent="0.25">
      <c r="AF1124" s="6" t="s">
        <v>3952</v>
      </c>
      <c r="AG1124" s="6">
        <v>37181</v>
      </c>
      <c r="AH1124" s="60" t="s">
        <v>3953</v>
      </c>
      <c r="AJ1124" s="60" t="s">
        <v>854</v>
      </c>
      <c r="AK1124" s="6" t="s">
        <v>2358</v>
      </c>
      <c r="AL1124" s="60" t="s">
        <v>1384</v>
      </c>
    </row>
    <row r="1125" spans="32:38" ht="18" customHeight="1" x14ac:dyDescent="0.25">
      <c r="AF1125" s="6" t="s">
        <v>3954</v>
      </c>
      <c r="AG1125" s="6">
        <v>3063357</v>
      </c>
      <c r="AH1125" s="60" t="s">
        <v>3955</v>
      </c>
      <c r="AJ1125" s="60" t="s">
        <v>854</v>
      </c>
      <c r="AK1125" s="6" t="s">
        <v>2356</v>
      </c>
      <c r="AL1125" s="60" t="s">
        <v>3839</v>
      </c>
    </row>
    <row r="1126" spans="32:38" ht="18" customHeight="1" x14ac:dyDescent="0.25">
      <c r="AF1126" s="6" t="s">
        <v>3956</v>
      </c>
      <c r="AG1126" s="6">
        <v>3067278</v>
      </c>
      <c r="AH1126" s="60" t="s">
        <v>3957</v>
      </c>
      <c r="AJ1126" s="60" t="s">
        <v>854</v>
      </c>
      <c r="AK1126" s="6" t="s">
        <v>2356</v>
      </c>
      <c r="AL1126" s="60" t="s">
        <v>703</v>
      </c>
    </row>
    <row r="1127" spans="32:38" ht="18" customHeight="1" x14ac:dyDescent="0.25">
      <c r="AF1127" s="6" t="s">
        <v>3958</v>
      </c>
      <c r="AG1127" s="6">
        <v>3056029</v>
      </c>
      <c r="AH1127" s="60" t="s">
        <v>3959</v>
      </c>
      <c r="AJ1127" s="295" t="s">
        <v>1220</v>
      </c>
      <c r="AK1127" s="6" t="s">
        <v>3835</v>
      </c>
      <c r="AL1127" s="60" t="s">
        <v>2745</v>
      </c>
    </row>
    <row r="1128" spans="32:38" ht="18" customHeight="1" x14ac:dyDescent="0.25">
      <c r="AF1128" s="6" t="s">
        <v>3960</v>
      </c>
      <c r="AG1128" s="6">
        <v>2989477</v>
      </c>
      <c r="AH1128" s="60" t="s">
        <v>3961</v>
      </c>
      <c r="AJ1128" s="60" t="s">
        <v>977</v>
      </c>
      <c r="AK1128" s="6" t="s">
        <v>2518</v>
      </c>
      <c r="AL1128" s="60" t="s">
        <v>2371</v>
      </c>
    </row>
    <row r="1129" spans="32:38" ht="18" customHeight="1" x14ac:dyDescent="0.25">
      <c r="AF1129" s="6" t="s">
        <v>3840</v>
      </c>
      <c r="AG1129" s="6">
        <v>518638</v>
      </c>
      <c r="AH1129" s="60" t="s">
        <v>3962</v>
      </c>
      <c r="AJ1129" s="60" t="s">
        <v>854</v>
      </c>
      <c r="AK1129" s="6" t="s">
        <v>2354</v>
      </c>
      <c r="AL1129" s="60" t="s">
        <v>707</v>
      </c>
    </row>
    <row r="1130" spans="32:38" ht="18" customHeight="1" x14ac:dyDescent="0.25">
      <c r="AF1130" s="6" t="s">
        <v>3963</v>
      </c>
      <c r="AG1130" s="6">
        <v>542101</v>
      </c>
      <c r="AH1130" s="60" t="s">
        <v>3964</v>
      </c>
      <c r="AJ1130" s="60" t="s">
        <v>854</v>
      </c>
      <c r="AK1130" s="6" t="s">
        <v>2554</v>
      </c>
      <c r="AL1130" s="60" t="s">
        <v>1133</v>
      </c>
    </row>
    <row r="1131" spans="32:38" ht="18" customHeight="1" x14ac:dyDescent="0.25">
      <c r="AF1131" s="6" t="s">
        <v>3841</v>
      </c>
      <c r="AG1131" s="6">
        <v>546272</v>
      </c>
      <c r="AH1131" s="60" t="s">
        <v>3965</v>
      </c>
      <c r="AJ1131" s="60" t="s">
        <v>854</v>
      </c>
      <c r="AK1131" s="6" t="s">
        <v>2356</v>
      </c>
      <c r="AL1131" s="60" t="s">
        <v>517</v>
      </c>
    </row>
    <row r="1132" spans="32:38" ht="18" customHeight="1" x14ac:dyDescent="0.25">
      <c r="AF1132" s="6" t="s">
        <v>3966</v>
      </c>
      <c r="AG1132" s="6">
        <v>541883</v>
      </c>
      <c r="AH1132" s="60" t="s">
        <v>3967</v>
      </c>
      <c r="AJ1132" s="60" t="s">
        <v>854</v>
      </c>
      <c r="AK1132" s="6" t="s">
        <v>2356</v>
      </c>
      <c r="AL1132" s="60" t="s">
        <v>710</v>
      </c>
    </row>
    <row r="1133" spans="32:38" ht="18" customHeight="1" x14ac:dyDescent="0.25">
      <c r="AF1133" s="6" t="s">
        <v>3968</v>
      </c>
      <c r="AG1133" s="6">
        <v>50415</v>
      </c>
      <c r="AH1133" s="60" t="s">
        <v>3969</v>
      </c>
      <c r="AJ1133" s="60" t="s">
        <v>854</v>
      </c>
      <c r="AK1133" s="6" t="s">
        <v>2356</v>
      </c>
      <c r="AL1133" s="60" t="s">
        <v>3437</v>
      </c>
    </row>
    <row r="1134" spans="32:38" ht="18" customHeight="1" x14ac:dyDescent="0.25">
      <c r="AF1134" s="6" t="s">
        <v>3970</v>
      </c>
      <c r="AG1134" s="6">
        <v>46175</v>
      </c>
      <c r="AH1134" s="60" t="s">
        <v>3971</v>
      </c>
      <c r="AJ1134" s="60" t="s">
        <v>854</v>
      </c>
      <c r="AK1134" s="6" t="s">
        <v>2356</v>
      </c>
      <c r="AL1134" s="60" t="s">
        <v>509</v>
      </c>
    </row>
    <row r="1135" spans="32:38" ht="18" customHeight="1" x14ac:dyDescent="0.25">
      <c r="AF1135" s="6" t="s">
        <v>4067</v>
      </c>
      <c r="AG1135" s="6">
        <v>10234</v>
      </c>
      <c r="AH1135" s="60" t="s">
        <v>4068</v>
      </c>
      <c r="AJ1135" s="60" t="s">
        <v>854</v>
      </c>
      <c r="AK1135" s="6" t="s">
        <v>2356</v>
      </c>
      <c r="AL1135" s="60" t="s">
        <v>247</v>
      </c>
    </row>
    <row r="1136" spans="32:38" ht="18" customHeight="1" x14ac:dyDescent="0.25">
      <c r="AF1136" s="6" t="s">
        <v>4067</v>
      </c>
      <c r="AG1136" s="6">
        <v>11790</v>
      </c>
      <c r="AH1136" s="60" t="s">
        <v>4069</v>
      </c>
      <c r="AJ1136" s="60" t="s">
        <v>854</v>
      </c>
      <c r="AK1136" s="6" t="s">
        <v>2356</v>
      </c>
      <c r="AL1136" s="60" t="s">
        <v>1296</v>
      </c>
    </row>
    <row r="1137" spans="32:38" ht="18" customHeight="1" x14ac:dyDescent="0.25">
      <c r="AF1137" s="6" t="s">
        <v>4070</v>
      </c>
      <c r="AG1137" s="6">
        <v>14807</v>
      </c>
      <c r="AH1137" s="60" t="s">
        <v>4071</v>
      </c>
      <c r="AJ1137" s="60" t="s">
        <v>854</v>
      </c>
      <c r="AK1137" s="6" t="s">
        <v>2356</v>
      </c>
      <c r="AL1137" s="60" t="s">
        <v>1296</v>
      </c>
    </row>
    <row r="1138" spans="32:38" ht="18" customHeight="1" x14ac:dyDescent="0.25">
      <c r="AF1138" s="6" t="s">
        <v>4072</v>
      </c>
      <c r="AG1138" s="6">
        <v>14583</v>
      </c>
      <c r="AH1138" s="60" t="s">
        <v>4073</v>
      </c>
      <c r="AJ1138" s="60" t="s">
        <v>854</v>
      </c>
      <c r="AK1138" s="6" t="s">
        <v>2356</v>
      </c>
      <c r="AL1138" s="60" t="s">
        <v>2207</v>
      </c>
    </row>
    <row r="1139" spans="32:38" ht="18" customHeight="1" x14ac:dyDescent="0.25">
      <c r="AF1139" s="6" t="s">
        <v>4074</v>
      </c>
      <c r="AG1139" s="6">
        <v>44626</v>
      </c>
      <c r="AH1139" s="60" t="s">
        <v>4075</v>
      </c>
      <c r="AJ1139" s="60" t="s">
        <v>854</v>
      </c>
      <c r="AK1139" s="6" t="s">
        <v>2354</v>
      </c>
      <c r="AL1139" s="60" t="s">
        <v>1349</v>
      </c>
    </row>
    <row r="1140" spans="32:38" ht="18" customHeight="1" x14ac:dyDescent="0.25">
      <c r="AF1140" s="6" t="s">
        <v>4076</v>
      </c>
      <c r="AG1140" s="6">
        <v>10331</v>
      </c>
      <c r="AH1140" s="60" t="s">
        <v>4077</v>
      </c>
      <c r="AJ1140" s="60" t="s">
        <v>854</v>
      </c>
      <c r="AK1140" s="6" t="s">
        <v>2356</v>
      </c>
      <c r="AL1140" s="60" t="s">
        <v>1354</v>
      </c>
    </row>
    <row r="1141" spans="32:38" ht="18" customHeight="1" x14ac:dyDescent="0.25">
      <c r="AF1141" s="6" t="s">
        <v>4076</v>
      </c>
      <c r="AG1141" s="6">
        <v>4200</v>
      </c>
      <c r="AH1141" s="60" t="s">
        <v>4078</v>
      </c>
      <c r="AJ1141" s="60" t="s">
        <v>854</v>
      </c>
      <c r="AK1141" s="6" t="s">
        <v>2354</v>
      </c>
      <c r="AL1141" s="60" t="s">
        <v>1354</v>
      </c>
    </row>
    <row r="1142" spans="32:38" ht="18" customHeight="1" x14ac:dyDescent="0.25">
      <c r="AF1142" s="6" t="s">
        <v>4079</v>
      </c>
      <c r="AG1142" s="6">
        <v>9745</v>
      </c>
      <c r="AH1142" s="60" t="s">
        <v>4080</v>
      </c>
      <c r="AJ1142" s="60" t="s">
        <v>854</v>
      </c>
      <c r="AK1142" s="6" t="s">
        <v>2356</v>
      </c>
      <c r="AL1142" s="60" t="s">
        <v>4081</v>
      </c>
    </row>
    <row r="1143" spans="32:38" ht="18" customHeight="1" x14ac:dyDescent="0.25">
      <c r="AF1143" s="6" t="s">
        <v>4082</v>
      </c>
      <c r="AG1143" s="6">
        <v>5088</v>
      </c>
      <c r="AH1143" s="60" t="s">
        <v>4083</v>
      </c>
      <c r="AJ1143" s="60" t="s">
        <v>854</v>
      </c>
      <c r="AK1143" s="6" t="s">
        <v>2360</v>
      </c>
      <c r="AL1143" s="60" t="s">
        <v>724</v>
      </c>
    </row>
    <row r="1144" spans="32:38" ht="18" customHeight="1" x14ac:dyDescent="0.25">
      <c r="AF1144" s="6" t="s">
        <v>4084</v>
      </c>
      <c r="AG1144" s="6">
        <v>20188</v>
      </c>
      <c r="AH1144" s="60" t="s">
        <v>4085</v>
      </c>
      <c r="AJ1144" s="60" t="s">
        <v>854</v>
      </c>
      <c r="AK1144" s="6" t="s">
        <v>2356</v>
      </c>
      <c r="AL1144" s="60" t="s">
        <v>3503</v>
      </c>
    </row>
    <row r="1145" spans="32:38" ht="18" customHeight="1" x14ac:dyDescent="0.25">
      <c r="AF1145" s="6" t="s">
        <v>4086</v>
      </c>
      <c r="AG1145" s="6">
        <v>18524</v>
      </c>
      <c r="AH1145" s="60" t="s">
        <v>4087</v>
      </c>
      <c r="AJ1145" s="60" t="s">
        <v>854</v>
      </c>
      <c r="AK1145" s="6" t="s">
        <v>2356</v>
      </c>
      <c r="AL1145" s="60" t="s">
        <v>3503</v>
      </c>
    </row>
    <row r="1146" spans="32:38" ht="18" customHeight="1" x14ac:dyDescent="0.25">
      <c r="AF1146" s="6" t="s">
        <v>4088</v>
      </c>
      <c r="AG1146" s="6">
        <v>8906</v>
      </c>
      <c r="AH1146" s="60" t="s">
        <v>4089</v>
      </c>
      <c r="AJ1146" s="60" t="s">
        <v>854</v>
      </c>
      <c r="AK1146" s="6" t="s">
        <v>2358</v>
      </c>
      <c r="AL1146" s="60" t="s">
        <v>857</v>
      </c>
    </row>
    <row r="1147" spans="32:38" ht="18" customHeight="1" x14ac:dyDescent="0.25">
      <c r="AF1147" s="6" t="s">
        <v>4090</v>
      </c>
      <c r="AG1147" s="6">
        <v>37203</v>
      </c>
      <c r="AH1147" s="60" t="s">
        <v>4091</v>
      </c>
      <c r="AJ1147" s="60" t="s">
        <v>854</v>
      </c>
      <c r="AK1147" s="6" t="s">
        <v>2356</v>
      </c>
      <c r="AL1147" s="60" t="s">
        <v>3836</v>
      </c>
    </row>
    <row r="1148" spans="32:38" ht="18" customHeight="1" x14ac:dyDescent="0.25">
      <c r="AF1148" s="6" t="s">
        <v>4092</v>
      </c>
      <c r="AG1148" s="6">
        <v>33646</v>
      </c>
      <c r="AH1148" s="60" t="s">
        <v>4093</v>
      </c>
      <c r="AJ1148" s="60" t="s">
        <v>854</v>
      </c>
      <c r="AK1148" s="6" t="s">
        <v>2356</v>
      </c>
      <c r="AL1148" s="60" t="s">
        <v>2205</v>
      </c>
    </row>
    <row r="1149" spans="32:38" ht="18" customHeight="1" x14ac:dyDescent="0.25">
      <c r="AF1149" s="6" t="s">
        <v>4094</v>
      </c>
      <c r="AG1149" s="6">
        <v>100665</v>
      </c>
      <c r="AH1149" s="60" t="s">
        <v>4095</v>
      </c>
      <c r="AJ1149" s="60" t="s">
        <v>854</v>
      </c>
      <c r="AK1149" s="6" t="s">
        <v>2356</v>
      </c>
      <c r="AL1149" s="60" t="s">
        <v>618</v>
      </c>
    </row>
    <row r="1150" spans="32:38" ht="18" customHeight="1" x14ac:dyDescent="0.25">
      <c r="AF1150" s="6" t="s">
        <v>4096</v>
      </c>
      <c r="AG1150" s="6">
        <v>128926</v>
      </c>
      <c r="AH1150" s="60" t="s">
        <v>4097</v>
      </c>
      <c r="AJ1150" s="60" t="s">
        <v>854</v>
      </c>
      <c r="AK1150" s="6" t="s">
        <v>2356</v>
      </c>
      <c r="AL1150" s="60" t="s">
        <v>2597</v>
      </c>
    </row>
    <row r="1151" spans="32:38" ht="18" customHeight="1" x14ac:dyDescent="0.25">
      <c r="AF1151" s="6" t="s">
        <v>4098</v>
      </c>
      <c r="AG1151" s="6">
        <v>910</v>
      </c>
      <c r="AH1151" s="60" t="s">
        <v>4099</v>
      </c>
      <c r="AJ1151" s="60" t="s">
        <v>854</v>
      </c>
      <c r="AK1151" s="6" t="s">
        <v>2356</v>
      </c>
      <c r="AL1151" s="60" t="s">
        <v>4100</v>
      </c>
    </row>
    <row r="1152" spans="32:38" ht="18" customHeight="1" x14ac:dyDescent="0.25">
      <c r="AF1152" s="6" t="s">
        <v>4101</v>
      </c>
      <c r="AG1152" s="6">
        <v>697</v>
      </c>
      <c r="AH1152" s="60" t="s">
        <v>4102</v>
      </c>
      <c r="AJ1152" s="60" t="s">
        <v>854</v>
      </c>
      <c r="AK1152" s="6" t="s">
        <v>2356</v>
      </c>
      <c r="AL1152" s="60" t="s">
        <v>507</v>
      </c>
    </row>
    <row r="1153" spans="32:38" ht="18" customHeight="1" x14ac:dyDescent="0.25">
      <c r="AF1153" s="6" t="s">
        <v>4103</v>
      </c>
      <c r="AG1153" s="6">
        <v>118448</v>
      </c>
      <c r="AH1153" s="60" t="s">
        <v>4104</v>
      </c>
      <c r="AJ1153" s="60" t="s">
        <v>854</v>
      </c>
      <c r="AK1153" s="6" t="s">
        <v>2356</v>
      </c>
      <c r="AL1153" s="60" t="s">
        <v>4105</v>
      </c>
    </row>
    <row r="1154" spans="32:38" ht="18" customHeight="1" x14ac:dyDescent="0.25">
      <c r="AF1154" s="6" t="s">
        <v>4103</v>
      </c>
      <c r="AG1154" s="6">
        <v>129923</v>
      </c>
      <c r="AH1154" s="60" t="s">
        <v>4106</v>
      </c>
      <c r="AJ1154" s="60" t="s">
        <v>854</v>
      </c>
      <c r="AK1154" s="6" t="s">
        <v>2356</v>
      </c>
      <c r="AL1154" s="60" t="s">
        <v>4107</v>
      </c>
    </row>
    <row r="1155" spans="32:38" ht="18" customHeight="1" x14ac:dyDescent="0.25">
      <c r="AF1155" s="6" t="s">
        <v>4108</v>
      </c>
      <c r="AG1155" s="6">
        <v>49255</v>
      </c>
      <c r="AH1155" s="60" t="s">
        <v>4109</v>
      </c>
      <c r="AJ1155" s="60" t="s">
        <v>854</v>
      </c>
      <c r="AK1155" s="6" t="s">
        <v>2554</v>
      </c>
      <c r="AL1155" s="60" t="s">
        <v>3318</v>
      </c>
    </row>
    <row r="1156" spans="32:38" ht="18" customHeight="1" x14ac:dyDescent="0.25">
      <c r="AF1156" s="6" t="s">
        <v>4110</v>
      </c>
      <c r="AG1156" s="6">
        <v>118983</v>
      </c>
      <c r="AH1156" s="60" t="s">
        <v>4111</v>
      </c>
      <c r="AJ1156" s="60" t="s">
        <v>854</v>
      </c>
      <c r="AK1156" s="6" t="s">
        <v>2356</v>
      </c>
      <c r="AL1156" s="60" t="s">
        <v>4112</v>
      </c>
    </row>
    <row r="1157" spans="32:38" ht="18" customHeight="1" x14ac:dyDescent="0.25">
      <c r="AF1157" s="6" t="s">
        <v>4113</v>
      </c>
      <c r="AG1157" s="6">
        <v>90709</v>
      </c>
      <c r="AH1157" s="60" t="s">
        <v>4114</v>
      </c>
      <c r="AJ1157" s="60" t="s">
        <v>977</v>
      </c>
      <c r="AK1157" s="6" t="s">
        <v>2527</v>
      </c>
      <c r="AL1157" s="60" t="s">
        <v>865</v>
      </c>
    </row>
    <row r="1158" spans="32:38" ht="18" customHeight="1" x14ac:dyDescent="0.25">
      <c r="AF1158" s="6" t="s">
        <v>4115</v>
      </c>
      <c r="AG1158" s="6">
        <v>55135</v>
      </c>
      <c r="AH1158" s="60" t="s">
        <v>4116</v>
      </c>
      <c r="AJ1158" s="295" t="s">
        <v>1220</v>
      </c>
      <c r="AK1158" s="6" t="s">
        <v>3314</v>
      </c>
      <c r="AL1158" s="60" t="s">
        <v>3308</v>
      </c>
    </row>
    <row r="1159" spans="32:38" ht="18" customHeight="1" x14ac:dyDescent="0.25">
      <c r="AF1159" s="6" t="s">
        <v>4117</v>
      </c>
      <c r="AG1159" s="6">
        <v>20468</v>
      </c>
      <c r="AH1159" s="60" t="s">
        <v>4118</v>
      </c>
      <c r="AJ1159" s="60" t="s">
        <v>854</v>
      </c>
      <c r="AK1159" s="6" t="s">
        <v>2356</v>
      </c>
      <c r="AL1159" s="60" t="s">
        <v>4119</v>
      </c>
    </row>
    <row r="1160" spans="32:38" ht="18" customHeight="1" x14ac:dyDescent="0.25">
      <c r="AF1160" s="6" t="s">
        <v>4120</v>
      </c>
      <c r="AG1160" s="6">
        <v>129</v>
      </c>
      <c r="AH1160" s="60" t="s">
        <v>4121</v>
      </c>
      <c r="AJ1160" s="60" t="s">
        <v>854</v>
      </c>
      <c r="AK1160" s="6" t="s">
        <v>2356</v>
      </c>
      <c r="AL1160" s="60" t="s">
        <v>2545</v>
      </c>
    </row>
    <row r="1161" spans="32:38" ht="18" customHeight="1" x14ac:dyDescent="0.25">
      <c r="AF1161" s="6" t="s">
        <v>4122</v>
      </c>
      <c r="AG1161" s="6">
        <v>1562</v>
      </c>
      <c r="AH1161" s="60" t="s">
        <v>4123</v>
      </c>
      <c r="AJ1161" s="60" t="s">
        <v>854</v>
      </c>
      <c r="AK1161" s="6" t="s">
        <v>2885</v>
      </c>
      <c r="AL1161" s="60" t="s">
        <v>1145</v>
      </c>
    </row>
    <row r="1162" spans="32:38" ht="18" customHeight="1" x14ac:dyDescent="0.25">
      <c r="AF1162" s="6" t="s">
        <v>4124</v>
      </c>
      <c r="AG1162" s="6">
        <v>2941</v>
      </c>
      <c r="AH1162" s="60" t="s">
        <v>4125</v>
      </c>
      <c r="AJ1162" s="60" t="s">
        <v>854</v>
      </c>
      <c r="AK1162" s="6" t="s">
        <v>2360</v>
      </c>
      <c r="AL1162" s="60" t="s">
        <v>514</v>
      </c>
    </row>
    <row r="1163" spans="32:38" ht="18" customHeight="1" x14ac:dyDescent="0.25">
      <c r="AF1163" s="6" t="s">
        <v>4126</v>
      </c>
      <c r="AG1163" s="6">
        <v>8303</v>
      </c>
      <c r="AH1163" s="60" t="s">
        <v>4127</v>
      </c>
      <c r="AJ1163" s="60" t="s">
        <v>854</v>
      </c>
      <c r="AK1163" s="6" t="s">
        <v>2356</v>
      </c>
      <c r="AL1163" s="60" t="s">
        <v>834</v>
      </c>
    </row>
    <row r="1164" spans="32:38" ht="18" customHeight="1" x14ac:dyDescent="0.25">
      <c r="AF1164" s="6" t="s">
        <v>4128</v>
      </c>
      <c r="AG1164" s="6">
        <v>6004</v>
      </c>
      <c r="AH1164" s="60" t="s">
        <v>4129</v>
      </c>
      <c r="AJ1164" s="60" t="s">
        <v>854</v>
      </c>
      <c r="AK1164" s="6" t="s">
        <v>2356</v>
      </c>
      <c r="AL1164" s="60" t="s">
        <v>516</v>
      </c>
    </row>
    <row r="1165" spans="32:38" ht="18" customHeight="1" x14ac:dyDescent="0.25">
      <c r="AF1165" s="6" t="s">
        <v>4130</v>
      </c>
      <c r="AG1165" s="6">
        <v>1995</v>
      </c>
      <c r="AH1165" s="60" t="s">
        <v>4131</v>
      </c>
      <c r="AJ1165" s="60" t="s">
        <v>854</v>
      </c>
      <c r="AK1165" s="6" t="s">
        <v>2885</v>
      </c>
      <c r="AL1165" s="60" t="s">
        <v>516</v>
      </c>
    </row>
    <row r="1166" spans="32:38" ht="18" customHeight="1" x14ac:dyDescent="0.25">
      <c r="AF1166" s="6" t="s">
        <v>4130</v>
      </c>
      <c r="AG1166" s="6">
        <v>3357</v>
      </c>
      <c r="AH1166" s="60" t="s">
        <v>4132</v>
      </c>
      <c r="AJ1166" s="60" t="s">
        <v>854</v>
      </c>
      <c r="AK1166" s="6" t="s">
        <v>2360</v>
      </c>
      <c r="AL1166" s="60" t="s">
        <v>712</v>
      </c>
    </row>
    <row r="1167" spans="32:38" ht="18" customHeight="1" x14ac:dyDescent="0.25">
      <c r="AF1167" s="6" t="s">
        <v>4130</v>
      </c>
      <c r="AG1167" s="6">
        <v>5424789</v>
      </c>
      <c r="AH1167" s="60" t="s">
        <v>4133</v>
      </c>
      <c r="AJ1167" s="60" t="s">
        <v>854</v>
      </c>
      <c r="AK1167" s="6" t="s">
        <v>2354</v>
      </c>
      <c r="AL1167" s="60" t="s">
        <v>516</v>
      </c>
    </row>
    <row r="1168" spans="32:38" ht="18" customHeight="1" x14ac:dyDescent="0.25">
      <c r="AF1168" s="6" t="s">
        <v>4134</v>
      </c>
      <c r="AG1168" s="6">
        <v>2141</v>
      </c>
      <c r="AH1168" s="60" t="s">
        <v>4135</v>
      </c>
      <c r="AJ1168" s="60" t="s">
        <v>854</v>
      </c>
      <c r="AK1168" s="6" t="s">
        <v>2354</v>
      </c>
      <c r="AL1168" s="60" t="s">
        <v>516</v>
      </c>
    </row>
    <row r="1169" spans="32:38" ht="18" customHeight="1" x14ac:dyDescent="0.25">
      <c r="AF1169" s="6" t="s">
        <v>4134</v>
      </c>
      <c r="AG1169" s="6">
        <v>774</v>
      </c>
      <c r="AH1169" s="60" t="s">
        <v>4136</v>
      </c>
      <c r="AJ1169" s="60" t="s">
        <v>854</v>
      </c>
      <c r="AK1169" s="6" t="s">
        <v>2354</v>
      </c>
      <c r="AL1169" s="60" t="s">
        <v>516</v>
      </c>
    </row>
    <row r="1170" spans="32:38" ht="18" customHeight="1" x14ac:dyDescent="0.25">
      <c r="AF1170" s="6" t="s">
        <v>4137</v>
      </c>
      <c r="AG1170" s="6">
        <v>42143</v>
      </c>
      <c r="AH1170" s="60" t="s">
        <v>4138</v>
      </c>
      <c r="AJ1170" s="60" t="s">
        <v>854</v>
      </c>
      <c r="AK1170" s="6" t="s">
        <v>2356</v>
      </c>
      <c r="AL1170" s="60" t="s">
        <v>610</v>
      </c>
    </row>
    <row r="1171" spans="32:38" ht="18" customHeight="1" x14ac:dyDescent="0.25">
      <c r="AF1171" s="6" t="s">
        <v>4139</v>
      </c>
      <c r="AG1171" s="6">
        <v>22447</v>
      </c>
      <c r="AH1171" s="60" t="s">
        <v>4140</v>
      </c>
      <c r="AJ1171" s="60" t="s">
        <v>854</v>
      </c>
      <c r="AK1171" s="6" t="s">
        <v>2360</v>
      </c>
      <c r="AL1171" s="60" t="s">
        <v>938</v>
      </c>
    </row>
    <row r="1172" spans="32:38" ht="18" customHeight="1" x14ac:dyDescent="0.25">
      <c r="AF1172" s="6" t="s">
        <v>4141</v>
      </c>
      <c r="AG1172" s="6">
        <v>53677</v>
      </c>
      <c r="AH1172" s="60" t="s">
        <v>4142</v>
      </c>
      <c r="AJ1172" s="60" t="s">
        <v>854</v>
      </c>
      <c r="AK1172" s="6" t="s">
        <v>2356</v>
      </c>
      <c r="AL1172" s="60" t="s">
        <v>938</v>
      </c>
    </row>
    <row r="1173" spans="32:38" ht="18" customHeight="1" x14ac:dyDescent="0.25">
      <c r="AF1173" s="6" t="s">
        <v>4143</v>
      </c>
      <c r="AG1173" s="6">
        <v>79926</v>
      </c>
      <c r="AH1173" s="60" t="s">
        <v>4144</v>
      </c>
      <c r="AJ1173" s="60" t="s">
        <v>854</v>
      </c>
      <c r="AK1173" s="6" t="s">
        <v>2361</v>
      </c>
      <c r="AL1173" s="60" t="s">
        <v>714</v>
      </c>
    </row>
    <row r="1174" spans="32:38" ht="18" customHeight="1" x14ac:dyDescent="0.25">
      <c r="AF1174" s="6" t="s">
        <v>4145</v>
      </c>
      <c r="AG1174" s="6">
        <v>3073941</v>
      </c>
      <c r="AH1174" s="60" t="s">
        <v>4146</v>
      </c>
      <c r="AJ1174" s="60" t="s">
        <v>854</v>
      </c>
      <c r="AK1174" s="6" t="s">
        <v>2356</v>
      </c>
      <c r="AL1174" s="60" t="s">
        <v>135</v>
      </c>
    </row>
    <row r="1175" spans="32:38" ht="18" customHeight="1" x14ac:dyDescent="0.25">
      <c r="AF1175" s="6" t="s">
        <v>4147</v>
      </c>
      <c r="AG1175" s="6">
        <v>3062285</v>
      </c>
      <c r="AH1175" s="60" t="s">
        <v>4148</v>
      </c>
      <c r="AJ1175" s="60" t="s">
        <v>854</v>
      </c>
      <c r="AK1175" s="6" t="s">
        <v>2356</v>
      </c>
      <c r="AL1175" s="60" t="s">
        <v>861</v>
      </c>
    </row>
    <row r="1176" spans="32:38" ht="18" customHeight="1" x14ac:dyDescent="0.25">
      <c r="AF1176" s="6" t="s">
        <v>4149</v>
      </c>
      <c r="AG1176" s="6">
        <v>3033942</v>
      </c>
      <c r="AH1176" s="60" t="s">
        <v>4150</v>
      </c>
      <c r="AJ1176" s="60" t="s">
        <v>854</v>
      </c>
      <c r="AK1176" s="6" t="s">
        <v>2358</v>
      </c>
      <c r="AL1176" s="60" t="s">
        <v>136</v>
      </c>
    </row>
    <row r="1177" spans="32:38" ht="18" customHeight="1" x14ac:dyDescent="0.25">
      <c r="AF1177" s="6" t="s">
        <v>4149</v>
      </c>
      <c r="AG1177" s="6">
        <v>3053327</v>
      </c>
      <c r="AH1177" s="60" t="s">
        <v>4151</v>
      </c>
      <c r="AJ1177" s="60" t="s">
        <v>854</v>
      </c>
      <c r="AK1177" s="6" t="s">
        <v>2356</v>
      </c>
      <c r="AL1177" s="60" t="s">
        <v>861</v>
      </c>
    </row>
    <row r="1178" spans="32:38" ht="18" customHeight="1" x14ac:dyDescent="0.25">
      <c r="AF1178" s="6" t="s">
        <v>4152</v>
      </c>
      <c r="AG1178" s="6">
        <v>525020</v>
      </c>
      <c r="AH1178" s="60" t="s">
        <v>4153</v>
      </c>
      <c r="AJ1178" s="60" t="s">
        <v>854</v>
      </c>
      <c r="AK1178" s="6" t="s">
        <v>2354</v>
      </c>
      <c r="AL1178" s="60" t="s">
        <v>1133</v>
      </c>
    </row>
    <row r="1179" spans="32:38" ht="18" customHeight="1" x14ac:dyDescent="0.25">
      <c r="AF1179" s="6" t="s">
        <v>4154</v>
      </c>
      <c r="AG1179" s="6">
        <v>38268</v>
      </c>
      <c r="AH1179" s="60" t="s">
        <v>4155</v>
      </c>
      <c r="AJ1179" s="60" t="s">
        <v>854</v>
      </c>
      <c r="AK1179" s="6" t="s">
        <v>2356</v>
      </c>
      <c r="AL1179" s="60" t="s">
        <v>2837</v>
      </c>
    </row>
    <row r="1180" spans="32:38" ht="18" customHeight="1" x14ac:dyDescent="0.25">
      <c r="AF1180" s="6" t="s">
        <v>4156</v>
      </c>
      <c r="AG1180" s="6">
        <v>38269</v>
      </c>
      <c r="AH1180" s="60" t="s">
        <v>4157</v>
      </c>
      <c r="AJ1180" s="60" t="s">
        <v>854</v>
      </c>
      <c r="AK1180" s="6" t="s">
        <v>2356</v>
      </c>
      <c r="AL1180" s="60" t="s">
        <v>2837</v>
      </c>
    </row>
    <row r="1181" spans="32:38" ht="18" customHeight="1" x14ac:dyDescent="0.25">
      <c r="AF1181" s="6" t="s">
        <v>4555</v>
      </c>
      <c r="AG1181" s="6">
        <v>12836</v>
      </c>
      <c r="AH1181" s="60" t="s">
        <v>4556</v>
      </c>
      <c r="AJ1181" s="60" t="s">
        <v>854</v>
      </c>
      <c r="AK1181" s="6" t="s">
        <v>2554</v>
      </c>
      <c r="AL1181" s="60" t="s">
        <v>834</v>
      </c>
    </row>
    <row r="1182" spans="32:38" ht="18" customHeight="1" x14ac:dyDescent="0.25">
      <c r="AF1182" s="6" t="s">
        <v>4644</v>
      </c>
      <c r="AG1182" s="6">
        <v>618</v>
      </c>
      <c r="AH1182" s="60" t="s">
        <v>4645</v>
      </c>
      <c r="AJ1182" s="60" t="s">
        <v>854</v>
      </c>
      <c r="AK1182" s="6" t="s">
        <v>2354</v>
      </c>
      <c r="AL1182" s="60" t="s">
        <v>4184</v>
      </c>
    </row>
    <row r="1183" spans="32:38" ht="18" customHeight="1" x14ac:dyDescent="0.25">
      <c r="AF1183" s="6" t="s">
        <v>1898</v>
      </c>
      <c r="AG1183" s="6">
        <v>17146</v>
      </c>
      <c r="AH1183" s="60" t="s">
        <v>4638</v>
      </c>
      <c r="AJ1183" s="60" t="s">
        <v>1357</v>
      </c>
      <c r="AK1183" s="6" t="s">
        <v>3460</v>
      </c>
      <c r="AL1183" s="60" t="s">
        <v>834</v>
      </c>
    </row>
    <row r="1184" spans="32:38" ht="18" customHeight="1" x14ac:dyDescent="0.25">
      <c r="AF1184" s="6" t="s">
        <v>4807</v>
      </c>
      <c r="AG1184" s="6">
        <v>30101</v>
      </c>
      <c r="AH1184" s="60" t="s">
        <v>4808</v>
      </c>
      <c r="AJ1184" s="60" t="s">
        <v>1357</v>
      </c>
      <c r="AK1184" s="6" t="s">
        <v>3460</v>
      </c>
      <c r="AL1184" s="60" t="s">
        <v>2840</v>
      </c>
    </row>
    <row r="31490" spans="69:69" ht="18" customHeight="1" x14ac:dyDescent="0.25">
      <c r="BQ31490" s="6">
        <v>0</v>
      </c>
    </row>
  </sheetData>
  <autoFilter ref="P1:S169"/>
  <mergeCells count="16">
    <mergeCell ref="A20:A21"/>
    <mergeCell ref="B20:B21"/>
    <mergeCell ref="L1:M1"/>
    <mergeCell ref="J1:K1"/>
    <mergeCell ref="A14:A16"/>
    <mergeCell ref="B14:B16"/>
    <mergeCell ref="A24:A25"/>
    <mergeCell ref="B24:B25"/>
    <mergeCell ref="A33:A34"/>
    <mergeCell ref="B33:B34"/>
    <mergeCell ref="A51:A52"/>
    <mergeCell ref="B51:B52"/>
    <mergeCell ref="A35:A36"/>
    <mergeCell ref="B35:B36"/>
    <mergeCell ref="A37:A38"/>
    <mergeCell ref="B37:B38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H1082"/>
  <sheetViews>
    <sheetView workbookViewId="0">
      <selection activeCell="G37" sqref="G37"/>
    </sheetView>
  </sheetViews>
  <sheetFormatPr defaultColWidth="9.109375" defaultRowHeight="13.2" x14ac:dyDescent="0.25"/>
  <cols>
    <col min="1" max="1" width="22.88671875" style="58" customWidth="1"/>
    <col min="2" max="2" width="21.88671875" style="58" customWidth="1"/>
    <col min="3" max="3" width="23.5546875" style="58" customWidth="1"/>
    <col min="4" max="4" width="22.33203125" style="58" customWidth="1"/>
    <col min="5" max="5" width="21.44140625" style="58" customWidth="1"/>
    <col min="6" max="6" width="21.5546875" style="58" customWidth="1"/>
    <col min="7" max="8" width="21.109375" style="58" customWidth="1"/>
    <col min="9" max="10" width="22.5546875" style="58" customWidth="1"/>
    <col min="11" max="11" width="22.6640625" style="58" customWidth="1"/>
    <col min="12" max="12" width="21.33203125" style="58" customWidth="1"/>
    <col min="13" max="13" width="20.88671875" style="58" customWidth="1"/>
    <col min="14" max="14" width="21.44140625" style="58" customWidth="1"/>
    <col min="15" max="15" width="21.33203125" style="58" customWidth="1"/>
    <col min="16" max="17" width="22.33203125" style="58" customWidth="1"/>
    <col min="18" max="18" width="22" style="58" customWidth="1"/>
    <col min="19" max="20" width="21.33203125" style="58" customWidth="1"/>
    <col min="21" max="21" width="20.6640625" style="58" customWidth="1"/>
    <col min="22" max="22" width="20.5546875" style="58" customWidth="1"/>
    <col min="23" max="23" width="18.33203125" style="58" customWidth="1"/>
    <col min="24" max="24" width="21.88671875" style="58" customWidth="1"/>
    <col min="25" max="25" width="21.33203125" style="58" customWidth="1"/>
    <col min="26" max="26" width="22.6640625" style="58" customWidth="1"/>
    <col min="27" max="27" width="21.6640625" style="58" customWidth="1"/>
    <col min="28" max="28" width="21.109375" style="58" customWidth="1"/>
    <col min="29" max="29" width="20.5546875" style="58" customWidth="1"/>
    <col min="30" max="30" width="21.5546875" style="58" customWidth="1"/>
    <col min="31" max="33" width="21.44140625" style="58" bestFit="1" customWidth="1"/>
    <col min="34" max="34" width="21.109375" style="58" customWidth="1"/>
    <col min="35" max="16384" width="9.109375" style="58"/>
  </cols>
  <sheetData>
    <row r="1" spans="1:34" s="57" customFormat="1" x14ac:dyDescent="0.25">
      <c r="A1" s="57">
        <v>8618</v>
      </c>
      <c r="B1" s="57" t="s">
        <v>1339</v>
      </c>
      <c r="C1" s="57" t="s">
        <v>1340</v>
      </c>
      <c r="D1" s="57" t="s">
        <v>167</v>
      </c>
      <c r="E1" s="57" t="s">
        <v>168</v>
      </c>
      <c r="F1" s="57" t="s">
        <v>1333</v>
      </c>
      <c r="G1" s="57" t="s">
        <v>169</v>
      </c>
      <c r="H1" s="57" t="s">
        <v>170</v>
      </c>
      <c r="I1" s="57" t="s">
        <v>171</v>
      </c>
      <c r="J1" s="57" t="s">
        <v>1248</v>
      </c>
      <c r="K1" s="57" t="s">
        <v>1249</v>
      </c>
      <c r="L1" s="57" t="s">
        <v>23</v>
      </c>
      <c r="M1" s="57" t="s">
        <v>24</v>
      </c>
      <c r="N1" s="57" t="s">
        <v>29</v>
      </c>
      <c r="O1" s="57" t="s">
        <v>377</v>
      </c>
      <c r="P1" s="57">
        <v>8405</v>
      </c>
      <c r="Q1" s="57" t="s">
        <v>382</v>
      </c>
      <c r="R1" s="57">
        <v>1623</v>
      </c>
      <c r="S1" s="57" t="s">
        <v>948</v>
      </c>
      <c r="T1" s="57">
        <v>1629</v>
      </c>
      <c r="U1" s="57">
        <v>4929</v>
      </c>
      <c r="V1" s="57">
        <v>1631</v>
      </c>
      <c r="W1" s="57">
        <v>6131</v>
      </c>
      <c r="X1" s="57">
        <v>1637</v>
      </c>
      <c r="Y1" s="57">
        <v>1638</v>
      </c>
      <c r="Z1" s="57">
        <v>1640</v>
      </c>
      <c r="AA1" s="57">
        <v>1664</v>
      </c>
      <c r="AB1" s="57">
        <v>1668</v>
      </c>
      <c r="AC1" s="57">
        <v>1675</v>
      </c>
      <c r="AD1" s="57">
        <v>6984</v>
      </c>
      <c r="AE1" s="57">
        <v>1793</v>
      </c>
      <c r="AF1" s="57">
        <v>5293</v>
      </c>
      <c r="AG1" s="57">
        <v>5294</v>
      </c>
      <c r="AH1" s="57">
        <v>6897</v>
      </c>
    </row>
    <row r="2" spans="1:34" s="57" customFormat="1" x14ac:dyDescent="0.25">
      <c r="A2" s="57">
        <v>61</v>
      </c>
      <c r="B2" s="57" t="s">
        <v>1036</v>
      </c>
      <c r="C2" s="57" t="s">
        <v>1327</v>
      </c>
      <c r="D2" s="57" t="s">
        <v>1329</v>
      </c>
      <c r="E2" s="57" t="s">
        <v>1331</v>
      </c>
      <c r="F2" s="57" t="s">
        <v>1334</v>
      </c>
      <c r="G2" s="57" t="s">
        <v>1336</v>
      </c>
      <c r="H2" s="57" t="s">
        <v>266</v>
      </c>
      <c r="I2" s="57" t="s">
        <v>264</v>
      </c>
      <c r="J2" s="57" t="s">
        <v>634</v>
      </c>
      <c r="K2" s="57" t="s">
        <v>632</v>
      </c>
      <c r="L2" s="57" t="s">
        <v>630</v>
      </c>
      <c r="M2" s="57" t="s">
        <v>628</v>
      </c>
      <c r="N2" s="57" t="s">
        <v>625</v>
      </c>
      <c r="O2" s="57" t="s">
        <v>378</v>
      </c>
      <c r="P2" s="57" t="s">
        <v>797</v>
      </c>
      <c r="Q2" s="57" t="s">
        <v>383</v>
      </c>
      <c r="R2" s="57" t="s">
        <v>386</v>
      </c>
      <c r="S2" s="57" t="s">
        <v>388</v>
      </c>
      <c r="T2" s="57" t="s">
        <v>390</v>
      </c>
      <c r="U2" s="57" t="s">
        <v>392</v>
      </c>
      <c r="V2" s="57" t="s">
        <v>394</v>
      </c>
      <c r="W2" s="57" t="s">
        <v>396</v>
      </c>
      <c r="X2" s="57" t="s">
        <v>398</v>
      </c>
      <c r="Y2" s="57" t="s">
        <v>400</v>
      </c>
      <c r="Z2" s="57" t="s">
        <v>403</v>
      </c>
      <c r="AA2" s="57" t="s">
        <v>405</v>
      </c>
      <c r="AB2" s="57" t="s">
        <v>407</v>
      </c>
      <c r="AC2" s="57" t="s">
        <v>409</v>
      </c>
      <c r="AD2" s="57" t="s">
        <v>411</v>
      </c>
      <c r="AE2" s="57" t="s">
        <v>413</v>
      </c>
      <c r="AF2" s="57" t="s">
        <v>415</v>
      </c>
      <c r="AG2" s="57" t="s">
        <v>621</v>
      </c>
      <c r="AH2" s="57" t="s">
        <v>623</v>
      </c>
    </row>
    <row r="3" spans="1:34" x14ac:dyDescent="0.25">
      <c r="A3" s="58" t="s">
        <v>686</v>
      </c>
      <c r="C3" s="58" t="s">
        <v>851</v>
      </c>
      <c r="D3" s="58" t="s">
        <v>444</v>
      </c>
      <c r="E3" s="58" t="s">
        <v>418</v>
      </c>
      <c r="F3" s="58" t="s">
        <v>540</v>
      </c>
      <c r="G3" s="58" t="s">
        <v>964</v>
      </c>
      <c r="H3" s="58" t="s">
        <v>1280</v>
      </c>
      <c r="I3" s="58" t="s">
        <v>218</v>
      </c>
      <c r="J3" s="58" t="s">
        <v>65</v>
      </c>
      <c r="K3" s="58" t="s">
        <v>253</v>
      </c>
      <c r="L3" s="58" t="s">
        <v>806</v>
      </c>
      <c r="M3" s="58" t="s">
        <v>802</v>
      </c>
      <c r="N3" s="58" t="s">
        <v>788</v>
      </c>
      <c r="O3" s="59" t="s">
        <v>270</v>
      </c>
      <c r="P3" s="58" t="s">
        <v>550</v>
      </c>
      <c r="Q3" s="58" t="s">
        <v>936</v>
      </c>
      <c r="R3" s="58" t="s">
        <v>695</v>
      </c>
      <c r="S3" s="58" t="s">
        <v>635</v>
      </c>
      <c r="T3" s="58" t="s">
        <v>217</v>
      </c>
      <c r="U3" s="58" t="s">
        <v>619</v>
      </c>
      <c r="V3" s="58" t="s">
        <v>524</v>
      </c>
      <c r="W3" s="58" t="s">
        <v>1245</v>
      </c>
      <c r="X3" s="58" t="s">
        <v>1127</v>
      </c>
      <c r="Y3" s="58" t="s">
        <v>498</v>
      </c>
      <c r="Z3" s="58" t="s">
        <v>489</v>
      </c>
      <c r="AA3" s="58" t="s">
        <v>501</v>
      </c>
      <c r="AB3" s="58" t="s">
        <v>328</v>
      </c>
      <c r="AC3" s="58" t="s">
        <v>799</v>
      </c>
      <c r="AE3" s="58" t="s">
        <v>471</v>
      </c>
      <c r="AF3" s="58" t="s">
        <v>719</v>
      </c>
      <c r="AG3" s="58" t="s">
        <v>259</v>
      </c>
      <c r="AH3" s="58" t="s">
        <v>541</v>
      </c>
    </row>
    <row r="4" spans="1:34" x14ac:dyDescent="0.25">
      <c r="A4" s="58" t="s">
        <v>687</v>
      </c>
      <c r="C4" s="58" t="s">
        <v>693</v>
      </c>
      <c r="D4" s="58" t="s">
        <v>445</v>
      </c>
      <c r="E4" s="58" t="s">
        <v>1044</v>
      </c>
      <c r="F4" s="58" t="s">
        <v>296</v>
      </c>
      <c r="G4" s="58" t="s">
        <v>965</v>
      </c>
      <c r="H4" s="58" t="s">
        <v>342</v>
      </c>
      <c r="I4" s="58" t="s">
        <v>732</v>
      </c>
      <c r="J4" s="58" t="s">
        <v>1095</v>
      </c>
      <c r="K4" s="58" t="s">
        <v>254</v>
      </c>
      <c r="L4" s="58" t="s">
        <v>807</v>
      </c>
      <c r="M4" s="58" t="s">
        <v>803</v>
      </c>
      <c r="N4" s="58" t="s">
        <v>1146</v>
      </c>
      <c r="O4" s="58" t="s">
        <v>560</v>
      </c>
      <c r="P4" s="58" t="s">
        <v>551</v>
      </c>
      <c r="Q4" s="58" t="s">
        <v>86</v>
      </c>
      <c r="R4" s="58" t="s">
        <v>696</v>
      </c>
      <c r="S4" s="58" t="s">
        <v>636</v>
      </c>
      <c r="T4" s="58" t="s">
        <v>1236</v>
      </c>
      <c r="U4" s="58" t="s">
        <v>1123</v>
      </c>
      <c r="V4" s="58" t="s">
        <v>525</v>
      </c>
      <c r="W4" s="58" t="s">
        <v>1246</v>
      </c>
      <c r="X4" s="58" t="s">
        <v>1128</v>
      </c>
      <c r="Y4" s="58" t="s">
        <v>499</v>
      </c>
      <c r="Z4" s="58" t="s">
        <v>490</v>
      </c>
      <c r="AA4" s="58" t="s">
        <v>502</v>
      </c>
      <c r="AB4" s="58" t="s">
        <v>329</v>
      </c>
      <c r="AC4" s="58" t="s">
        <v>1073</v>
      </c>
      <c r="AE4" s="58" t="s">
        <v>472</v>
      </c>
      <c r="AF4" s="58" t="s">
        <v>758</v>
      </c>
      <c r="AG4" s="58" t="s">
        <v>260</v>
      </c>
      <c r="AH4" s="58" t="s">
        <v>852</v>
      </c>
    </row>
    <row r="5" spans="1:34" x14ac:dyDescent="0.25">
      <c r="A5" s="58" t="s">
        <v>688</v>
      </c>
      <c r="C5" s="58" t="s">
        <v>694</v>
      </c>
      <c r="D5" s="58" t="s">
        <v>446</v>
      </c>
      <c r="E5" s="58" t="s">
        <v>1045</v>
      </c>
      <c r="F5" s="58" t="s">
        <v>297</v>
      </c>
      <c r="G5" s="58" t="s">
        <v>974</v>
      </c>
      <c r="H5" s="58" t="s">
        <v>343</v>
      </c>
      <c r="I5" s="58" t="s">
        <v>733</v>
      </c>
      <c r="J5" s="58" t="s">
        <v>1096</v>
      </c>
      <c r="K5" s="58" t="s">
        <v>255</v>
      </c>
      <c r="L5" s="58" t="s">
        <v>808</v>
      </c>
      <c r="M5" s="58" t="s">
        <v>804</v>
      </c>
      <c r="N5" s="58" t="s">
        <v>269</v>
      </c>
      <c r="O5" s="58" t="s">
        <v>561</v>
      </c>
      <c r="P5" s="58" t="s">
        <v>552</v>
      </c>
      <c r="Q5" s="58" t="s">
        <v>87</v>
      </c>
      <c r="R5" s="58" t="s">
        <v>697</v>
      </c>
      <c r="S5" s="58" t="s">
        <v>637</v>
      </c>
      <c r="T5" s="58" t="s">
        <v>1237</v>
      </c>
      <c r="U5" s="58" t="s">
        <v>1124</v>
      </c>
      <c r="V5" s="58" t="s">
        <v>526</v>
      </c>
      <c r="W5" s="58" t="s">
        <v>1247</v>
      </c>
      <c r="X5" s="58" t="s">
        <v>1129</v>
      </c>
      <c r="Y5" s="58" t="s">
        <v>679</v>
      </c>
      <c r="Z5" s="58" t="s">
        <v>491</v>
      </c>
      <c r="AA5" s="58" t="s">
        <v>503</v>
      </c>
      <c r="AB5" s="58" t="s">
        <v>330</v>
      </c>
      <c r="AC5" s="58" t="s">
        <v>1074</v>
      </c>
      <c r="AE5" s="58" t="s">
        <v>752</v>
      </c>
      <c r="AF5" s="58" t="s">
        <v>759</v>
      </c>
      <c r="AG5" s="58" t="s">
        <v>261</v>
      </c>
      <c r="AH5" s="58" t="s">
        <v>192</v>
      </c>
    </row>
    <row r="6" spans="1:34" x14ac:dyDescent="0.25">
      <c r="A6" s="58" t="s">
        <v>84</v>
      </c>
      <c r="C6" s="58" t="s">
        <v>346</v>
      </c>
      <c r="D6" s="58" t="s">
        <v>447</v>
      </c>
      <c r="E6" s="58" t="s">
        <v>464</v>
      </c>
      <c r="F6" s="58" t="s">
        <v>958</v>
      </c>
      <c r="G6" s="58" t="s">
        <v>1364</v>
      </c>
      <c r="H6" s="58" t="s">
        <v>344</v>
      </c>
      <c r="I6" s="58" t="s">
        <v>858</v>
      </c>
      <c r="J6" s="58" t="s">
        <v>1275</v>
      </c>
      <c r="K6" s="58" t="s">
        <v>368</v>
      </c>
      <c r="L6" s="58" t="s">
        <v>809</v>
      </c>
      <c r="M6" s="58" t="s">
        <v>805</v>
      </c>
      <c r="N6" s="58" t="s">
        <v>789</v>
      </c>
      <c r="O6" s="58" t="s">
        <v>562</v>
      </c>
      <c r="P6" s="58" t="s">
        <v>975</v>
      </c>
      <c r="Q6" s="58" t="s">
        <v>88</v>
      </c>
      <c r="R6" s="58" t="s">
        <v>698</v>
      </c>
      <c r="S6" s="58" t="s">
        <v>638</v>
      </c>
      <c r="T6" s="58" t="s">
        <v>1238</v>
      </c>
      <c r="U6" s="58" t="s">
        <v>1125</v>
      </c>
      <c r="V6" s="58" t="s">
        <v>527</v>
      </c>
      <c r="W6" s="58" t="s">
        <v>176</v>
      </c>
      <c r="X6" s="58" t="s">
        <v>949</v>
      </c>
      <c r="Y6" s="58" t="s">
        <v>819</v>
      </c>
      <c r="Z6" s="58" t="s">
        <v>492</v>
      </c>
      <c r="AA6" s="58" t="s">
        <v>504</v>
      </c>
      <c r="AB6" s="58" t="s">
        <v>553</v>
      </c>
      <c r="AC6" s="58" t="s">
        <v>689</v>
      </c>
      <c r="AE6" s="58" t="s">
        <v>753</v>
      </c>
      <c r="AF6" s="58" t="s">
        <v>1312</v>
      </c>
      <c r="AG6" s="58" t="s">
        <v>262</v>
      </c>
      <c r="AH6" s="58" t="s">
        <v>193</v>
      </c>
    </row>
    <row r="7" spans="1:34" x14ac:dyDescent="0.25">
      <c r="A7" s="58" t="s">
        <v>85</v>
      </c>
      <c r="C7" s="58" t="s">
        <v>347</v>
      </c>
      <c r="D7" s="58" t="s">
        <v>448</v>
      </c>
      <c r="E7" s="58" t="s">
        <v>465</v>
      </c>
      <c r="F7" s="58" t="s">
        <v>959</v>
      </c>
      <c r="G7" s="58" t="s">
        <v>1365</v>
      </c>
      <c r="H7" s="58" t="s">
        <v>345</v>
      </c>
      <c r="I7" s="58" t="s">
        <v>1101</v>
      </c>
      <c r="J7" s="58" t="s">
        <v>1276</v>
      </c>
      <c r="K7" s="58" t="s">
        <v>369</v>
      </c>
      <c r="L7" s="58" t="s">
        <v>810</v>
      </c>
      <c r="M7" s="58" t="s">
        <v>1049</v>
      </c>
      <c r="N7" s="58" t="s">
        <v>928</v>
      </c>
      <c r="O7" s="58" t="s">
        <v>563</v>
      </c>
      <c r="P7" s="58" t="s">
        <v>976</v>
      </c>
      <c r="Q7" s="58" t="s">
        <v>89</v>
      </c>
      <c r="R7" s="58" t="s">
        <v>699</v>
      </c>
      <c r="S7" s="58" t="s">
        <v>639</v>
      </c>
      <c r="T7" s="58" t="s">
        <v>1239</v>
      </c>
      <c r="U7" s="58" t="s">
        <v>362</v>
      </c>
      <c r="V7" s="58" t="s">
        <v>528</v>
      </c>
      <c r="W7" s="58" t="s">
        <v>177</v>
      </c>
      <c r="X7" s="58" t="s">
        <v>950</v>
      </c>
      <c r="Y7" s="58" t="s">
        <v>820</v>
      </c>
      <c r="Z7" s="58" t="s">
        <v>493</v>
      </c>
      <c r="AA7" s="58" t="s">
        <v>323</v>
      </c>
      <c r="AB7" s="58" t="s">
        <v>554</v>
      </c>
      <c r="AC7" s="58" t="s">
        <v>360</v>
      </c>
      <c r="AE7" s="58" t="s">
        <v>754</v>
      </c>
      <c r="AF7" s="58" t="s">
        <v>1313</v>
      </c>
      <c r="AG7" s="58" t="s">
        <v>371</v>
      </c>
      <c r="AH7" s="58" t="s">
        <v>194</v>
      </c>
    </row>
    <row r="8" spans="1:34" x14ac:dyDescent="0.25">
      <c r="A8" s="58" t="s">
        <v>473</v>
      </c>
      <c r="C8" s="58" t="s">
        <v>348</v>
      </c>
      <c r="D8" s="58" t="s">
        <v>449</v>
      </c>
      <c r="E8" s="58" t="s">
        <v>466</v>
      </c>
      <c r="F8" s="58" t="s">
        <v>960</v>
      </c>
      <c r="G8" s="58" t="s">
        <v>1366</v>
      </c>
      <c r="H8" s="58" t="s">
        <v>1288</v>
      </c>
      <c r="I8" s="58" t="s">
        <v>1102</v>
      </c>
      <c r="J8" s="58" t="s">
        <v>1277</v>
      </c>
      <c r="K8" s="58" t="s">
        <v>370</v>
      </c>
      <c r="L8" s="58" t="s">
        <v>811</v>
      </c>
      <c r="M8" s="58" t="s">
        <v>1050</v>
      </c>
      <c r="N8" s="58" t="s">
        <v>58</v>
      </c>
      <c r="O8" s="58" t="s">
        <v>1314</v>
      </c>
      <c r="P8" s="58" t="s">
        <v>1027</v>
      </c>
      <c r="Q8" s="58" t="s">
        <v>90</v>
      </c>
      <c r="R8" s="58" t="s">
        <v>700</v>
      </c>
      <c r="S8" s="58" t="s">
        <v>214</v>
      </c>
      <c r="T8" s="58" t="s">
        <v>1092</v>
      </c>
      <c r="U8" s="58" t="s">
        <v>363</v>
      </c>
      <c r="V8" s="58" t="s">
        <v>1097</v>
      </c>
      <c r="W8" s="58" t="s">
        <v>178</v>
      </c>
      <c r="X8" s="58" t="s">
        <v>676</v>
      </c>
      <c r="Y8" s="58" t="s">
        <v>821</v>
      </c>
      <c r="Z8" s="58" t="s">
        <v>500</v>
      </c>
      <c r="AA8" s="58" t="s">
        <v>324</v>
      </c>
      <c r="AB8" s="58" t="s">
        <v>555</v>
      </c>
      <c r="AC8" s="58" t="s">
        <v>361</v>
      </c>
      <c r="AE8" s="58" t="s">
        <v>715</v>
      </c>
      <c r="AF8" s="58" t="s">
        <v>195</v>
      </c>
      <c r="AG8" s="58" t="s">
        <v>372</v>
      </c>
      <c r="AH8" s="58" t="s">
        <v>850</v>
      </c>
    </row>
    <row r="9" spans="1:34" x14ac:dyDescent="0.25">
      <c r="A9" s="58" t="s">
        <v>474</v>
      </c>
      <c r="C9" s="58" t="s">
        <v>441</v>
      </c>
      <c r="D9" s="58" t="s">
        <v>650</v>
      </c>
      <c r="E9" s="58" t="s">
        <v>800</v>
      </c>
      <c r="F9" s="58" t="s">
        <v>961</v>
      </c>
      <c r="G9" s="58" t="s">
        <v>1367</v>
      </c>
      <c r="H9" s="58" t="s">
        <v>1289</v>
      </c>
      <c r="I9" s="58" t="s">
        <v>1103</v>
      </c>
      <c r="J9" s="58" t="s">
        <v>1278</v>
      </c>
      <c r="K9" s="58" t="s">
        <v>64</v>
      </c>
      <c r="L9" s="58" t="s">
        <v>812</v>
      </c>
      <c r="M9" s="58" t="s">
        <v>1051</v>
      </c>
      <c r="N9" s="58" t="s">
        <v>59</v>
      </c>
      <c r="O9" s="58" t="s">
        <v>729</v>
      </c>
      <c r="P9" s="58" t="s">
        <v>1028</v>
      </c>
      <c r="Q9" s="58" t="s">
        <v>91</v>
      </c>
      <c r="R9" s="58" t="s">
        <v>701</v>
      </c>
      <c r="S9" s="58" t="s">
        <v>215</v>
      </c>
      <c r="T9" s="58" t="s">
        <v>1093</v>
      </c>
      <c r="U9" s="58" t="s">
        <v>364</v>
      </c>
      <c r="V9" s="58" t="s">
        <v>1098</v>
      </c>
      <c r="W9" s="58" t="s">
        <v>179</v>
      </c>
      <c r="X9" s="58" t="s">
        <v>677</v>
      </c>
      <c r="Y9" s="58" t="s">
        <v>487</v>
      </c>
      <c r="Z9" s="58" t="s">
        <v>127</v>
      </c>
      <c r="AA9" s="58" t="s">
        <v>325</v>
      </c>
      <c r="AB9" s="58" t="s">
        <v>556</v>
      </c>
      <c r="AC9" s="58" t="s">
        <v>1216</v>
      </c>
      <c r="AE9" s="58" t="s">
        <v>716</v>
      </c>
      <c r="AF9" s="58" t="s">
        <v>196</v>
      </c>
      <c r="AG9" s="58" t="s">
        <v>373</v>
      </c>
      <c r="AH9" s="58" t="s">
        <v>293</v>
      </c>
    </row>
    <row r="10" spans="1:34" x14ac:dyDescent="0.25">
      <c r="A10" s="58" t="s">
        <v>475</v>
      </c>
      <c r="C10" s="58" t="s">
        <v>442</v>
      </c>
      <c r="D10" s="58" t="s">
        <v>1376</v>
      </c>
      <c r="E10" s="58" t="s">
        <v>1377</v>
      </c>
      <c r="F10" s="58" t="s">
        <v>962</v>
      </c>
      <c r="G10" s="58" t="s">
        <v>927</v>
      </c>
      <c r="H10" s="58" t="s">
        <v>1290</v>
      </c>
      <c r="I10" s="58" t="s">
        <v>1104</v>
      </c>
      <c r="J10" s="58" t="s">
        <v>1279</v>
      </c>
      <c r="K10" s="58" t="s">
        <v>250</v>
      </c>
      <c r="L10" s="58" t="s">
        <v>1202</v>
      </c>
      <c r="M10" s="58" t="s">
        <v>1702</v>
      </c>
      <c r="N10" s="58" t="s">
        <v>60</v>
      </c>
      <c r="O10" s="58" t="s">
        <v>730</v>
      </c>
      <c r="P10" s="58" t="s">
        <v>1029</v>
      </c>
      <c r="Q10" s="58" t="s">
        <v>83</v>
      </c>
      <c r="R10" s="58" t="s">
        <v>249</v>
      </c>
      <c r="S10" s="58" t="s">
        <v>216</v>
      </c>
      <c r="T10" s="58" t="s">
        <v>1094</v>
      </c>
      <c r="U10" s="58" t="s">
        <v>365</v>
      </c>
      <c r="V10" s="58" t="s">
        <v>1099</v>
      </c>
      <c r="W10" s="58" t="s">
        <v>896</v>
      </c>
      <c r="X10" s="58" t="s">
        <v>678</v>
      </c>
      <c r="Y10" s="58" t="s">
        <v>488</v>
      </c>
      <c r="Z10" s="58" t="s">
        <v>128</v>
      </c>
      <c r="AA10" s="58" t="s">
        <v>326</v>
      </c>
      <c r="AB10" s="58" t="s">
        <v>557</v>
      </c>
      <c r="AC10" s="58" t="s">
        <v>1217</v>
      </c>
      <c r="AE10" s="58" t="s">
        <v>717</v>
      </c>
      <c r="AF10" s="58" t="s">
        <v>197</v>
      </c>
      <c r="AG10" s="58" t="s">
        <v>374</v>
      </c>
      <c r="AH10" s="58" t="s">
        <v>294</v>
      </c>
    </row>
    <row r="11" spans="1:34" x14ac:dyDescent="0.25">
      <c r="A11" s="58" t="s">
        <v>956</v>
      </c>
      <c r="C11" s="58" t="s">
        <v>443</v>
      </c>
      <c r="D11" s="58" t="s">
        <v>1846</v>
      </c>
      <c r="E11" s="58" t="s">
        <v>1862</v>
      </c>
      <c r="F11" s="58" t="s">
        <v>963</v>
      </c>
      <c r="G11" s="58" t="s">
        <v>1888</v>
      </c>
      <c r="H11" s="58" t="s">
        <v>1291</v>
      </c>
      <c r="I11" s="58" t="s">
        <v>311</v>
      </c>
      <c r="J11" s="58" t="s">
        <v>310</v>
      </c>
      <c r="K11" s="58" t="s">
        <v>309</v>
      </c>
      <c r="L11" s="58" t="s">
        <v>308</v>
      </c>
      <c r="M11" s="58" t="s">
        <v>3684</v>
      </c>
      <c r="N11" s="58" t="s">
        <v>61</v>
      </c>
      <c r="O11" s="58" t="s">
        <v>731</v>
      </c>
      <c r="P11" s="58" t="s">
        <v>1030</v>
      </c>
      <c r="Q11" s="58" t="s">
        <v>1240</v>
      </c>
      <c r="R11" s="58" t="s">
        <v>889</v>
      </c>
      <c r="S11" s="58" t="s">
        <v>893</v>
      </c>
      <c r="T11" s="58" t="s">
        <v>1445</v>
      </c>
      <c r="U11" s="58" t="s">
        <v>366</v>
      </c>
      <c r="V11" s="58" t="s">
        <v>895</v>
      </c>
      <c r="W11" s="58" t="s">
        <v>897</v>
      </c>
      <c r="X11" s="58" t="s">
        <v>63</v>
      </c>
      <c r="Y11" s="58" t="s">
        <v>900</v>
      </c>
      <c r="Z11" s="58" t="s">
        <v>901</v>
      </c>
      <c r="AA11" s="58" t="s">
        <v>327</v>
      </c>
      <c r="AB11" s="58" t="s">
        <v>558</v>
      </c>
      <c r="AC11" s="58" t="s">
        <v>1218</v>
      </c>
      <c r="AE11" s="58" t="s">
        <v>718</v>
      </c>
      <c r="AF11" s="58" t="s">
        <v>545</v>
      </c>
      <c r="AG11" s="58" t="s">
        <v>375</v>
      </c>
      <c r="AH11" s="58" t="s">
        <v>295</v>
      </c>
    </row>
    <row r="12" spans="1:34" x14ac:dyDescent="0.25">
      <c r="A12" s="58" t="s">
        <v>125</v>
      </c>
      <c r="C12" s="58" t="s">
        <v>1207</v>
      </c>
      <c r="D12" s="58" t="s">
        <v>1847</v>
      </c>
      <c r="E12" s="58" t="s">
        <v>1863</v>
      </c>
      <c r="F12" s="58" t="s">
        <v>926</v>
      </c>
      <c r="G12" s="58" t="s">
        <v>1889</v>
      </c>
      <c r="H12" s="58" t="s">
        <v>1292</v>
      </c>
      <c r="I12" s="58" t="s">
        <v>312</v>
      </c>
      <c r="J12" s="58" t="s">
        <v>1726</v>
      </c>
      <c r="K12" s="58" t="s">
        <v>1713</v>
      </c>
      <c r="L12" s="58" t="s">
        <v>1703</v>
      </c>
      <c r="M12" s="58" t="s">
        <v>3685</v>
      </c>
      <c r="N12" s="58" t="s">
        <v>62</v>
      </c>
      <c r="O12" s="58" t="s">
        <v>548</v>
      </c>
      <c r="P12" s="58" t="s">
        <v>1031</v>
      </c>
      <c r="Q12" s="58" t="s">
        <v>1241</v>
      </c>
      <c r="R12" s="58" t="s">
        <v>890</v>
      </c>
      <c r="S12" s="58" t="s">
        <v>1427</v>
      </c>
      <c r="T12" s="58" t="s">
        <v>1446</v>
      </c>
      <c r="U12" s="58" t="s">
        <v>971</v>
      </c>
      <c r="V12" s="58" t="s">
        <v>1476</v>
      </c>
      <c r="W12" s="58" t="s">
        <v>1490</v>
      </c>
      <c r="X12" s="58" t="s">
        <v>898</v>
      </c>
      <c r="Y12" s="58" t="s">
        <v>1509</v>
      </c>
      <c r="Z12" s="58" t="s">
        <v>1520</v>
      </c>
      <c r="AA12" s="58" t="s">
        <v>902</v>
      </c>
      <c r="AB12" s="58" t="s">
        <v>257</v>
      </c>
      <c r="AC12" s="58" t="s">
        <v>1219</v>
      </c>
      <c r="AE12" s="58" t="s">
        <v>909</v>
      </c>
      <c r="AF12" s="58" t="s">
        <v>546</v>
      </c>
      <c r="AG12" s="58" t="s">
        <v>306</v>
      </c>
      <c r="AH12" s="58" t="s">
        <v>1038</v>
      </c>
    </row>
    <row r="13" spans="1:34" x14ac:dyDescent="0.25">
      <c r="A13" s="58" t="s">
        <v>126</v>
      </c>
      <c r="C13" s="58" t="s">
        <v>1208</v>
      </c>
      <c r="D13" s="58" t="s">
        <v>1848</v>
      </c>
      <c r="E13" s="58" t="s">
        <v>1864</v>
      </c>
      <c r="F13" s="58" t="s">
        <v>1872</v>
      </c>
      <c r="G13" s="58" t="s">
        <v>1890</v>
      </c>
      <c r="H13" s="58" t="s">
        <v>351</v>
      </c>
      <c r="I13" s="58" t="s">
        <v>313</v>
      </c>
      <c r="J13" s="58" t="s">
        <v>1727</v>
      </c>
      <c r="K13" s="58" t="s">
        <v>1714</v>
      </c>
      <c r="L13" s="58" t="s">
        <v>1704</v>
      </c>
      <c r="M13" s="58" t="s">
        <v>4739</v>
      </c>
      <c r="N13" s="58" t="s">
        <v>189</v>
      </c>
      <c r="O13" s="58" t="s">
        <v>549</v>
      </c>
      <c r="P13" s="58" t="s">
        <v>1032</v>
      </c>
      <c r="Q13" s="58" t="s">
        <v>519</v>
      </c>
      <c r="R13" s="58" t="s">
        <v>891</v>
      </c>
      <c r="S13" s="58" t="s">
        <v>1428</v>
      </c>
      <c r="T13" s="58" t="s">
        <v>1447</v>
      </c>
      <c r="U13" s="58" t="s">
        <v>972</v>
      </c>
      <c r="V13" s="58" t="s">
        <v>1477</v>
      </c>
      <c r="W13" s="58" t="s">
        <v>1491</v>
      </c>
      <c r="X13" s="58" t="s">
        <v>899</v>
      </c>
      <c r="Y13" s="58" t="s">
        <v>1510</v>
      </c>
      <c r="Z13" s="58" t="s">
        <v>1521</v>
      </c>
      <c r="AA13" s="58" t="s">
        <v>1525</v>
      </c>
      <c r="AB13" s="58" t="s">
        <v>937</v>
      </c>
      <c r="AC13" s="58" t="s">
        <v>907</v>
      </c>
      <c r="AE13" s="58" t="s">
        <v>910</v>
      </c>
      <c r="AF13" s="58" t="s">
        <v>547</v>
      </c>
      <c r="AG13" s="58" t="s">
        <v>307</v>
      </c>
      <c r="AH13" s="58" t="s">
        <v>476</v>
      </c>
    </row>
    <row r="14" spans="1:34" x14ac:dyDescent="0.25">
      <c r="A14" s="58" t="s">
        <v>271</v>
      </c>
      <c r="C14" s="58" t="s">
        <v>1209</v>
      </c>
      <c r="D14" s="58" t="s">
        <v>1849</v>
      </c>
      <c r="E14" s="58" t="s">
        <v>1865</v>
      </c>
      <c r="F14" s="58" t="s">
        <v>1873</v>
      </c>
      <c r="G14" s="58" t="s">
        <v>1891</v>
      </c>
      <c r="H14" s="58" t="s">
        <v>674</v>
      </c>
      <c r="I14" s="58" t="s">
        <v>1745</v>
      </c>
      <c r="J14" s="58" t="s">
        <v>1728</v>
      </c>
      <c r="K14" s="58" t="s">
        <v>1715</v>
      </c>
      <c r="L14" s="58" t="s">
        <v>1705</v>
      </c>
      <c r="M14" s="58" t="s">
        <v>4740</v>
      </c>
      <c r="N14" s="58" t="s">
        <v>190</v>
      </c>
      <c r="O14" s="58" t="s">
        <v>881</v>
      </c>
      <c r="P14" s="58" t="s">
        <v>935</v>
      </c>
      <c r="Q14" s="58" t="s">
        <v>520</v>
      </c>
      <c r="R14" s="58" t="s">
        <v>892</v>
      </c>
      <c r="S14" s="58" t="s">
        <v>1429</v>
      </c>
      <c r="T14" s="58" t="s">
        <v>1448</v>
      </c>
      <c r="U14" s="58" t="s">
        <v>790</v>
      </c>
      <c r="V14" s="58" t="s">
        <v>1478</v>
      </c>
      <c r="W14" s="58" t="s">
        <v>1492</v>
      </c>
      <c r="X14" s="58" t="s">
        <v>1497</v>
      </c>
      <c r="Y14" s="58" t="s">
        <v>1511</v>
      </c>
      <c r="Z14" s="58" t="s">
        <v>1522</v>
      </c>
      <c r="AA14" s="58" t="s">
        <v>1526</v>
      </c>
      <c r="AB14" s="58" t="s">
        <v>903</v>
      </c>
      <c r="AC14" s="58" t="s">
        <v>908</v>
      </c>
      <c r="AE14" s="58" t="s">
        <v>911</v>
      </c>
      <c r="AF14" s="58" t="s">
        <v>300</v>
      </c>
      <c r="AG14" s="58" t="s">
        <v>1637</v>
      </c>
      <c r="AH14" s="58" t="s">
        <v>477</v>
      </c>
    </row>
    <row r="15" spans="1:34" x14ac:dyDescent="0.25">
      <c r="A15" s="58" t="s">
        <v>272</v>
      </c>
      <c r="C15" s="58" t="s">
        <v>1371</v>
      </c>
      <c r="D15" s="58" t="s">
        <v>1850</v>
      </c>
      <c r="E15" s="58" t="s">
        <v>1866</v>
      </c>
      <c r="F15" s="58" t="s">
        <v>1874</v>
      </c>
      <c r="G15" s="58" t="s">
        <v>1892</v>
      </c>
      <c r="H15" s="58" t="s">
        <v>1112</v>
      </c>
      <c r="I15" s="58" t="s">
        <v>1746</v>
      </c>
      <c r="J15" s="58" t="s">
        <v>1729</v>
      </c>
      <c r="K15" s="58" t="s">
        <v>1716</v>
      </c>
      <c r="L15" s="58" t="s">
        <v>1706</v>
      </c>
      <c r="M15" s="58" t="s">
        <v>4741</v>
      </c>
      <c r="N15" s="58" t="s">
        <v>191</v>
      </c>
      <c r="O15" s="58" t="s">
        <v>1389</v>
      </c>
      <c r="P15" s="58" t="s">
        <v>1203</v>
      </c>
      <c r="Q15" s="58" t="s">
        <v>521</v>
      </c>
      <c r="R15" s="58" t="s">
        <v>1413</v>
      </c>
      <c r="S15" s="58" t="s">
        <v>1430</v>
      </c>
      <c r="T15" s="58" t="s">
        <v>1449</v>
      </c>
      <c r="U15" s="58" t="s">
        <v>894</v>
      </c>
      <c r="V15" s="58" t="s">
        <v>1479</v>
      </c>
      <c r="W15" s="58" t="s">
        <v>1493</v>
      </c>
      <c r="X15" s="58" t="s">
        <v>1498</v>
      </c>
      <c r="Y15" s="58" t="s">
        <v>1512</v>
      </c>
      <c r="Z15" s="58" t="s">
        <v>1523</v>
      </c>
      <c r="AA15" s="58" t="s">
        <v>1527</v>
      </c>
      <c r="AB15" s="58" t="s">
        <v>904</v>
      </c>
      <c r="AC15" s="58" t="s">
        <v>1550</v>
      </c>
      <c r="AE15" s="58" t="s">
        <v>912</v>
      </c>
      <c r="AF15" s="58" t="s">
        <v>301</v>
      </c>
      <c r="AG15" s="58" t="s">
        <v>1638</v>
      </c>
      <c r="AH15" s="58" t="s">
        <v>478</v>
      </c>
    </row>
    <row r="16" spans="1:34" x14ac:dyDescent="0.25">
      <c r="A16" s="58" t="s">
        <v>273</v>
      </c>
      <c r="C16" s="58" t="s">
        <v>1372</v>
      </c>
      <c r="D16" s="58" t="s">
        <v>1851</v>
      </c>
      <c r="E16" s="58" t="s">
        <v>1867</v>
      </c>
      <c r="F16" s="58" t="s">
        <v>1875</v>
      </c>
      <c r="G16" s="58" t="s">
        <v>1893</v>
      </c>
      <c r="H16" s="58" t="s">
        <v>1113</v>
      </c>
      <c r="I16" s="58" t="s">
        <v>1747</v>
      </c>
      <c r="J16" s="58" t="s">
        <v>1730</v>
      </c>
      <c r="K16" s="58" t="s">
        <v>1717</v>
      </c>
      <c r="L16" s="58" t="s">
        <v>1707</v>
      </c>
      <c r="N16" s="58" t="s">
        <v>801</v>
      </c>
      <c r="O16" s="58" t="s">
        <v>1390</v>
      </c>
      <c r="P16" s="58" t="s">
        <v>1398</v>
      </c>
      <c r="Q16" s="58" t="s">
        <v>522</v>
      </c>
      <c r="R16" s="58" t="s">
        <v>1414</v>
      </c>
      <c r="S16" s="58" t="s">
        <v>1431</v>
      </c>
      <c r="T16" s="58" t="s">
        <v>1450</v>
      </c>
      <c r="U16" s="58" t="s">
        <v>1460</v>
      </c>
      <c r="V16" s="58" t="s">
        <v>1480</v>
      </c>
      <c r="W16" s="58" t="s">
        <v>1494</v>
      </c>
      <c r="X16" s="58" t="s">
        <v>1499</v>
      </c>
      <c r="Y16" s="58" t="s">
        <v>1513</v>
      </c>
      <c r="Z16" s="58" t="s">
        <v>1524</v>
      </c>
      <c r="AA16" s="58" t="s">
        <v>1528</v>
      </c>
      <c r="AB16" s="58" t="s">
        <v>905</v>
      </c>
      <c r="AC16" s="58" t="s">
        <v>1551</v>
      </c>
      <c r="AE16" s="58" t="s">
        <v>913</v>
      </c>
      <c r="AF16" s="58" t="s">
        <v>302</v>
      </c>
      <c r="AG16" s="58" t="s">
        <v>1639</v>
      </c>
      <c r="AH16" s="58" t="s">
        <v>1665</v>
      </c>
    </row>
    <row r="17" spans="1:34" x14ac:dyDescent="0.25">
      <c r="A17" s="58" t="s">
        <v>274</v>
      </c>
      <c r="C17" s="58" t="s">
        <v>1373</v>
      </c>
      <c r="D17" s="58" t="s">
        <v>1852</v>
      </c>
      <c r="E17" s="58" t="s">
        <v>1868</v>
      </c>
      <c r="F17" s="58" t="s">
        <v>1876</v>
      </c>
      <c r="G17" s="58" t="s">
        <v>1894</v>
      </c>
      <c r="H17" s="58" t="s">
        <v>932</v>
      </c>
      <c r="I17" s="58" t="s">
        <v>1748</v>
      </c>
      <c r="J17" s="58" t="s">
        <v>1731</v>
      </c>
      <c r="K17" s="58" t="s">
        <v>1718</v>
      </c>
      <c r="L17" s="58" t="s">
        <v>1708</v>
      </c>
      <c r="N17" s="58" t="s">
        <v>1048</v>
      </c>
      <c r="O17" s="58" t="s">
        <v>1391</v>
      </c>
      <c r="P17" s="58" t="s">
        <v>1399</v>
      </c>
      <c r="Q17" s="58" t="s">
        <v>523</v>
      </c>
      <c r="R17" s="58" t="s">
        <v>1415</v>
      </c>
      <c r="S17" s="58" t="s">
        <v>1432</v>
      </c>
      <c r="T17" s="58" t="s">
        <v>1451</v>
      </c>
      <c r="U17" s="58" t="s">
        <v>1461</v>
      </c>
      <c r="V17" s="58" t="s">
        <v>1481</v>
      </c>
      <c r="W17" s="58" t="s">
        <v>1495</v>
      </c>
      <c r="X17" s="58" t="s">
        <v>1500</v>
      </c>
      <c r="Y17" s="58" t="s">
        <v>1514</v>
      </c>
      <c r="Z17" s="58" t="s">
        <v>1957</v>
      </c>
      <c r="AA17" s="58" t="s">
        <v>1529</v>
      </c>
      <c r="AB17" s="58" t="s">
        <v>906</v>
      </c>
      <c r="AC17" s="58" t="s">
        <v>1552</v>
      </c>
      <c r="AE17" s="58" t="s">
        <v>914</v>
      </c>
      <c r="AF17" s="58" t="s">
        <v>303</v>
      </c>
      <c r="AG17" s="58" t="s">
        <v>1640</v>
      </c>
      <c r="AH17" s="58" t="s">
        <v>1666</v>
      </c>
    </row>
    <row r="18" spans="1:34" x14ac:dyDescent="0.25">
      <c r="A18" s="58" t="s">
        <v>275</v>
      </c>
      <c r="C18" s="58" t="s">
        <v>1374</v>
      </c>
      <c r="D18" s="58" t="s">
        <v>1853</v>
      </c>
      <c r="E18" s="58" t="s">
        <v>1869</v>
      </c>
      <c r="F18" s="58" t="s">
        <v>1877</v>
      </c>
      <c r="G18" s="58" t="s">
        <v>1895</v>
      </c>
      <c r="H18" s="58" t="s">
        <v>933</v>
      </c>
      <c r="I18" s="58" t="s">
        <v>1749</v>
      </c>
      <c r="J18" s="58" t="s">
        <v>1732</v>
      </c>
      <c r="K18" s="58" t="s">
        <v>1719</v>
      </c>
      <c r="L18" s="58" t="s">
        <v>1709</v>
      </c>
      <c r="N18" s="58" t="s">
        <v>1677</v>
      </c>
      <c r="O18" s="58" t="s">
        <v>1392</v>
      </c>
      <c r="P18" s="58" t="s">
        <v>1400</v>
      </c>
      <c r="Q18" s="58" t="s">
        <v>1204</v>
      </c>
      <c r="R18" s="58" t="s">
        <v>1416</v>
      </c>
      <c r="S18" s="58" t="s">
        <v>1433</v>
      </c>
      <c r="T18" s="58" t="s">
        <v>1452</v>
      </c>
      <c r="U18" s="58" t="s">
        <v>1462</v>
      </c>
      <c r="V18" s="58" t="s">
        <v>1482</v>
      </c>
      <c r="W18" s="58" t="s">
        <v>1496</v>
      </c>
      <c r="X18" s="58" t="s">
        <v>1501</v>
      </c>
      <c r="Y18" s="58" t="s">
        <v>1515</v>
      </c>
      <c r="Z18" s="58" t="s">
        <v>2093</v>
      </c>
      <c r="AA18" s="58" t="s">
        <v>1530</v>
      </c>
      <c r="AB18" s="58" t="s">
        <v>1537</v>
      </c>
      <c r="AC18" s="58" t="s">
        <v>1553</v>
      </c>
      <c r="AE18" s="58" t="s">
        <v>1577</v>
      </c>
      <c r="AF18" s="58" t="s">
        <v>304</v>
      </c>
      <c r="AG18" s="58" t="s">
        <v>1641</v>
      </c>
      <c r="AH18" s="58" t="s">
        <v>1667</v>
      </c>
    </row>
    <row r="19" spans="1:34" x14ac:dyDescent="0.25">
      <c r="A19" s="58" t="s">
        <v>276</v>
      </c>
      <c r="C19" s="58" t="s">
        <v>1375</v>
      </c>
      <c r="D19" s="58" t="s">
        <v>1854</v>
      </c>
      <c r="E19" s="58" t="s">
        <v>1870</v>
      </c>
      <c r="F19" s="58" t="s">
        <v>1878</v>
      </c>
      <c r="G19" s="58" t="s">
        <v>1896</v>
      </c>
      <c r="H19" s="58" t="s">
        <v>966</v>
      </c>
      <c r="I19" s="58" t="s">
        <v>1750</v>
      </c>
      <c r="J19" s="58" t="s">
        <v>1733</v>
      </c>
      <c r="K19" s="58" t="s">
        <v>1720</v>
      </c>
      <c r="L19" s="58" t="s">
        <v>1710</v>
      </c>
      <c r="N19" s="58" t="s">
        <v>1678</v>
      </c>
      <c r="O19" s="58" t="s">
        <v>1393</v>
      </c>
      <c r="P19" s="58" t="s">
        <v>1401</v>
      </c>
      <c r="Q19" s="58" t="s">
        <v>1205</v>
      </c>
      <c r="R19" s="58" t="s">
        <v>1417</v>
      </c>
      <c r="S19" s="58" t="s">
        <v>1434</v>
      </c>
      <c r="T19" s="58" t="s">
        <v>1453</v>
      </c>
      <c r="U19" s="58" t="s">
        <v>1463</v>
      </c>
      <c r="V19" s="58" t="s">
        <v>1483</v>
      </c>
      <c r="W19" s="58" t="s">
        <v>1956</v>
      </c>
      <c r="X19" s="58" t="s">
        <v>1502</v>
      </c>
      <c r="Y19" s="58" t="s">
        <v>1516</v>
      </c>
      <c r="Z19" s="58" t="s">
        <v>2094</v>
      </c>
      <c r="AA19" s="58" t="s">
        <v>1531</v>
      </c>
      <c r="AB19" s="58" t="s">
        <v>1538</v>
      </c>
      <c r="AC19" s="58" t="s">
        <v>1554</v>
      </c>
      <c r="AE19" s="58" t="s">
        <v>1578</v>
      </c>
      <c r="AF19" s="58" t="s">
        <v>305</v>
      </c>
      <c r="AG19" s="58" t="s">
        <v>1642</v>
      </c>
      <c r="AH19" s="58" t="s">
        <v>1668</v>
      </c>
    </row>
    <row r="20" spans="1:34" x14ac:dyDescent="0.25">
      <c r="A20" s="58" t="s">
        <v>1802</v>
      </c>
      <c r="C20" s="58" t="s">
        <v>1833</v>
      </c>
      <c r="D20" s="58" t="s">
        <v>1855</v>
      </c>
      <c r="E20" s="58" t="s">
        <v>1871</v>
      </c>
      <c r="F20" s="58" t="s">
        <v>1879</v>
      </c>
      <c r="G20" s="58" t="s">
        <v>1897</v>
      </c>
      <c r="H20" s="58" t="s">
        <v>367</v>
      </c>
      <c r="I20" s="58" t="s">
        <v>1751</v>
      </c>
      <c r="J20" s="58" t="s">
        <v>1734</v>
      </c>
      <c r="K20" s="58" t="s">
        <v>1721</v>
      </c>
      <c r="L20" s="58" t="s">
        <v>1711</v>
      </c>
      <c r="N20" s="58" t="s">
        <v>1679</v>
      </c>
      <c r="O20" s="58" t="s">
        <v>1394</v>
      </c>
      <c r="P20" s="58" t="s">
        <v>1402</v>
      </c>
      <c r="Q20" s="58" t="s">
        <v>1206</v>
      </c>
      <c r="R20" s="58" t="s">
        <v>1418</v>
      </c>
      <c r="S20" s="58" t="s">
        <v>1435</v>
      </c>
      <c r="T20" s="58" t="s">
        <v>1454</v>
      </c>
      <c r="U20" s="58" t="s">
        <v>1464</v>
      </c>
      <c r="V20" s="58" t="s">
        <v>1484</v>
      </c>
      <c r="W20" s="58" t="s">
        <v>2084</v>
      </c>
      <c r="X20" s="58" t="s">
        <v>1503</v>
      </c>
      <c r="Y20" s="58" t="s">
        <v>1517</v>
      </c>
      <c r="Z20" s="58" t="s">
        <v>2095</v>
      </c>
      <c r="AA20" s="58" t="s">
        <v>1532</v>
      </c>
      <c r="AB20" s="58" t="s">
        <v>1539</v>
      </c>
      <c r="AC20" s="58" t="s">
        <v>1555</v>
      </c>
      <c r="AE20" s="58" t="s">
        <v>1579</v>
      </c>
      <c r="AF20" s="58" t="s">
        <v>1618</v>
      </c>
      <c r="AG20" s="58" t="s">
        <v>1643</v>
      </c>
      <c r="AH20" s="58" t="s">
        <v>1669</v>
      </c>
    </row>
    <row r="21" spans="1:34" x14ac:dyDescent="0.25">
      <c r="A21" s="58" t="s">
        <v>1803</v>
      </c>
      <c r="C21" s="58" t="s">
        <v>1834</v>
      </c>
      <c r="D21" s="58" t="s">
        <v>1856</v>
      </c>
      <c r="E21" s="58" t="s">
        <v>2494</v>
      </c>
      <c r="F21" s="58" t="s">
        <v>1880</v>
      </c>
      <c r="G21" s="58" t="s">
        <v>2199</v>
      </c>
      <c r="H21" s="58" t="s">
        <v>198</v>
      </c>
      <c r="I21" s="58" t="s">
        <v>1752</v>
      </c>
      <c r="J21" s="58" t="s">
        <v>1735</v>
      </c>
      <c r="K21" s="58" t="s">
        <v>1722</v>
      </c>
      <c r="L21" s="58" t="s">
        <v>1712</v>
      </c>
      <c r="N21" s="58" t="s">
        <v>1680</v>
      </c>
      <c r="O21" s="58" t="s">
        <v>1395</v>
      </c>
      <c r="P21" s="58" t="s">
        <v>1403</v>
      </c>
      <c r="Q21" s="58" t="s">
        <v>744</v>
      </c>
      <c r="R21" s="58" t="s">
        <v>1419</v>
      </c>
      <c r="S21" s="58" t="s">
        <v>1436</v>
      </c>
      <c r="T21" s="58" t="s">
        <v>1455</v>
      </c>
      <c r="U21" s="58" t="s">
        <v>1465</v>
      </c>
      <c r="V21" s="58" t="s">
        <v>1485</v>
      </c>
      <c r="W21" s="58" t="s">
        <v>2085</v>
      </c>
      <c r="X21" s="58" t="s">
        <v>1504</v>
      </c>
      <c r="Y21" s="58" t="s">
        <v>1518</v>
      </c>
      <c r="Z21" s="58" t="s">
        <v>2096</v>
      </c>
      <c r="AA21" s="58" t="s">
        <v>1533</v>
      </c>
      <c r="AB21" s="58" t="s">
        <v>1540</v>
      </c>
      <c r="AC21" s="58" t="s">
        <v>1556</v>
      </c>
      <c r="AE21" s="58" t="s">
        <v>1580</v>
      </c>
      <c r="AF21" s="58" t="s">
        <v>1619</v>
      </c>
      <c r="AG21" s="58" t="s">
        <v>1644</v>
      </c>
      <c r="AH21" s="58" t="s">
        <v>1670</v>
      </c>
    </row>
    <row r="22" spans="1:34" x14ac:dyDescent="0.25">
      <c r="A22" s="58" t="s">
        <v>1804</v>
      </c>
      <c r="C22" s="58" t="s">
        <v>1835</v>
      </c>
      <c r="D22" s="58" t="s">
        <v>1857</v>
      </c>
      <c r="E22" s="58" t="s">
        <v>2495</v>
      </c>
      <c r="F22" s="58" t="s">
        <v>1881</v>
      </c>
      <c r="G22" s="58" t="s">
        <v>2200</v>
      </c>
      <c r="H22" s="58" t="s">
        <v>199</v>
      </c>
      <c r="I22" s="58" t="s">
        <v>1753</v>
      </c>
      <c r="J22" s="58" t="s">
        <v>1736</v>
      </c>
      <c r="K22" s="58" t="s">
        <v>1723</v>
      </c>
      <c r="L22" s="58" t="s">
        <v>1963</v>
      </c>
      <c r="N22" s="58" t="s">
        <v>1681</v>
      </c>
      <c r="O22" s="58" t="s">
        <v>1396</v>
      </c>
      <c r="P22" s="58" t="s">
        <v>1404</v>
      </c>
      <c r="Q22" s="58" t="s">
        <v>745</v>
      </c>
      <c r="R22" s="58" t="s">
        <v>1420</v>
      </c>
      <c r="S22" s="58" t="s">
        <v>1437</v>
      </c>
      <c r="T22" s="58" t="s">
        <v>1456</v>
      </c>
      <c r="U22" s="58" t="s">
        <v>1466</v>
      </c>
      <c r="V22" s="58" t="s">
        <v>1486</v>
      </c>
      <c r="W22" s="58" t="s">
        <v>2086</v>
      </c>
      <c r="X22" s="58" t="s">
        <v>1505</v>
      </c>
      <c r="Y22" s="58" t="s">
        <v>1519</v>
      </c>
      <c r="Z22" s="58" t="s">
        <v>2454</v>
      </c>
      <c r="AA22" s="58" t="s">
        <v>1534</v>
      </c>
      <c r="AB22" s="58" t="s">
        <v>1541</v>
      </c>
      <c r="AC22" s="58" t="s">
        <v>1557</v>
      </c>
      <c r="AE22" s="58" t="s">
        <v>1581</v>
      </c>
      <c r="AF22" s="58" t="s">
        <v>1620</v>
      </c>
      <c r="AG22" s="58" t="s">
        <v>1645</v>
      </c>
      <c r="AH22" s="58" t="s">
        <v>1671</v>
      </c>
    </row>
    <row r="23" spans="1:34" x14ac:dyDescent="0.25">
      <c r="A23" s="58" t="s">
        <v>1805</v>
      </c>
      <c r="C23" s="58" t="s">
        <v>1836</v>
      </c>
      <c r="D23" s="58" t="s">
        <v>1858</v>
      </c>
      <c r="E23" s="58" t="s">
        <v>2496</v>
      </c>
      <c r="F23" s="58" t="s">
        <v>1882</v>
      </c>
      <c r="G23" s="58" t="s">
        <v>2201</v>
      </c>
      <c r="H23" s="58" t="s">
        <v>786</v>
      </c>
      <c r="I23" s="58" t="s">
        <v>1754</v>
      </c>
      <c r="J23" s="58" t="s">
        <v>1737</v>
      </c>
      <c r="K23" s="58" t="s">
        <v>1724</v>
      </c>
      <c r="L23" s="58" t="s">
        <v>2155</v>
      </c>
      <c r="N23" s="58" t="s">
        <v>1682</v>
      </c>
      <c r="O23" s="58" t="s">
        <v>1397</v>
      </c>
      <c r="P23" s="58" t="s">
        <v>1405</v>
      </c>
      <c r="Q23" s="58" t="s">
        <v>240</v>
      </c>
      <c r="R23" s="58" t="s">
        <v>1421</v>
      </c>
      <c r="S23" s="58" t="s">
        <v>1438</v>
      </c>
      <c r="T23" s="58" t="s">
        <v>1457</v>
      </c>
      <c r="U23" s="58" t="s">
        <v>1467</v>
      </c>
      <c r="V23" s="58" t="s">
        <v>1487</v>
      </c>
      <c r="W23" s="58" t="s">
        <v>2087</v>
      </c>
      <c r="X23" s="58" t="s">
        <v>1506</v>
      </c>
      <c r="Y23" s="58" t="s">
        <v>2336</v>
      </c>
      <c r="Z23" s="58" t="s">
        <v>2455</v>
      </c>
      <c r="AA23" s="58" t="s">
        <v>1535</v>
      </c>
      <c r="AB23" s="58" t="s">
        <v>1542</v>
      </c>
      <c r="AC23" s="58" t="s">
        <v>1558</v>
      </c>
      <c r="AE23" s="58" t="s">
        <v>1582</v>
      </c>
      <c r="AF23" s="58" t="s">
        <v>1621</v>
      </c>
      <c r="AG23" s="58" t="s">
        <v>1646</v>
      </c>
      <c r="AH23" s="58" t="s">
        <v>1672</v>
      </c>
    </row>
    <row r="24" spans="1:34" x14ac:dyDescent="0.25">
      <c r="A24" s="58" t="s">
        <v>1806</v>
      </c>
      <c r="C24" s="58" t="s">
        <v>1837</v>
      </c>
      <c r="D24" s="58" t="s">
        <v>1859</v>
      </c>
      <c r="E24" s="58" t="s">
        <v>2726</v>
      </c>
      <c r="F24" s="58" t="s">
        <v>1883</v>
      </c>
      <c r="G24" s="58" t="s">
        <v>2202</v>
      </c>
      <c r="H24" s="58" t="s">
        <v>787</v>
      </c>
      <c r="I24" s="58" t="s">
        <v>1755</v>
      </c>
      <c r="J24" s="58" t="s">
        <v>1738</v>
      </c>
      <c r="K24" s="58" t="s">
        <v>1725</v>
      </c>
      <c r="L24" s="58" t="s">
        <v>2156</v>
      </c>
      <c r="N24" s="58" t="s">
        <v>1683</v>
      </c>
      <c r="O24" s="58" t="s">
        <v>1900</v>
      </c>
      <c r="P24" s="58" t="s">
        <v>1406</v>
      </c>
      <c r="Q24" s="58" t="s">
        <v>882</v>
      </c>
      <c r="R24" s="58" t="s">
        <v>1422</v>
      </c>
      <c r="S24" s="58" t="s">
        <v>1439</v>
      </c>
      <c r="T24" s="58" t="s">
        <v>1458</v>
      </c>
      <c r="U24" s="58" t="s">
        <v>1468</v>
      </c>
      <c r="V24" s="58" t="s">
        <v>1488</v>
      </c>
      <c r="W24" s="58" t="s">
        <v>2088</v>
      </c>
      <c r="X24" s="58" t="s">
        <v>1507</v>
      </c>
      <c r="Y24" s="58" t="s">
        <v>2337</v>
      </c>
      <c r="Z24" s="58" t="s">
        <v>2456</v>
      </c>
      <c r="AA24" s="58" t="s">
        <v>1536</v>
      </c>
      <c r="AB24" s="58" t="s">
        <v>1543</v>
      </c>
      <c r="AC24" s="58" t="s">
        <v>1559</v>
      </c>
      <c r="AE24" s="58" t="s">
        <v>1583</v>
      </c>
      <c r="AF24" s="58" t="s">
        <v>1622</v>
      </c>
      <c r="AG24" s="58" t="s">
        <v>1647</v>
      </c>
      <c r="AH24" s="58" t="s">
        <v>1673</v>
      </c>
    </row>
    <row r="25" spans="1:34" x14ac:dyDescent="0.25">
      <c r="A25" s="58" t="s">
        <v>1807</v>
      </c>
      <c r="C25" s="58" t="s">
        <v>1838</v>
      </c>
      <c r="D25" s="58" t="s">
        <v>1860</v>
      </c>
      <c r="E25" s="58" t="s">
        <v>2727</v>
      </c>
      <c r="F25" s="58" t="s">
        <v>1884</v>
      </c>
      <c r="G25" s="58" t="s">
        <v>2203</v>
      </c>
      <c r="H25" s="58" t="s">
        <v>1281</v>
      </c>
      <c r="I25" s="58" t="s">
        <v>1756</v>
      </c>
      <c r="J25" s="58" t="s">
        <v>1739</v>
      </c>
      <c r="K25" s="58" t="s">
        <v>2158</v>
      </c>
      <c r="L25" s="58" t="s">
        <v>2157</v>
      </c>
      <c r="N25" s="58" t="s">
        <v>1684</v>
      </c>
      <c r="O25" s="58" t="s">
        <v>1901</v>
      </c>
      <c r="P25" s="58" t="s">
        <v>1407</v>
      </c>
      <c r="Q25" s="58" t="s">
        <v>883</v>
      </c>
      <c r="R25" s="58" t="s">
        <v>1423</v>
      </c>
      <c r="S25" s="58" t="s">
        <v>1440</v>
      </c>
      <c r="T25" s="58" t="s">
        <v>1459</v>
      </c>
      <c r="U25" s="58" t="s">
        <v>1469</v>
      </c>
      <c r="V25" s="58" t="s">
        <v>1489</v>
      </c>
      <c r="W25" s="58" t="s">
        <v>2089</v>
      </c>
      <c r="X25" s="58" t="s">
        <v>1508</v>
      </c>
      <c r="Y25" s="58" t="s">
        <v>2636</v>
      </c>
      <c r="Z25" s="58" t="s">
        <v>2639</v>
      </c>
      <c r="AA25" s="58" t="s">
        <v>2097</v>
      </c>
      <c r="AB25" s="58" t="s">
        <v>1544</v>
      </c>
      <c r="AC25" s="58" t="s">
        <v>1560</v>
      </c>
      <c r="AE25" s="58" t="s">
        <v>1584</v>
      </c>
      <c r="AF25" s="58" t="s">
        <v>1623</v>
      </c>
      <c r="AG25" s="58" t="s">
        <v>1648</v>
      </c>
      <c r="AH25" s="58" t="s">
        <v>1674</v>
      </c>
    </row>
    <row r="26" spans="1:34" x14ac:dyDescent="0.25">
      <c r="A26" s="58" t="s">
        <v>1808</v>
      </c>
      <c r="C26" s="58" t="s">
        <v>1839</v>
      </c>
      <c r="D26" s="58" t="s">
        <v>1861</v>
      </c>
      <c r="E26" s="58" t="s">
        <v>2728</v>
      </c>
      <c r="F26" s="58" t="s">
        <v>1885</v>
      </c>
      <c r="G26" s="58" t="s">
        <v>2499</v>
      </c>
      <c r="H26" s="58" t="s">
        <v>1282</v>
      </c>
      <c r="I26" s="58" t="s">
        <v>1757</v>
      </c>
      <c r="J26" s="58" t="s">
        <v>1740</v>
      </c>
      <c r="K26" s="58" t="s">
        <v>2159</v>
      </c>
      <c r="L26" s="58" t="s">
        <v>2478</v>
      </c>
      <c r="N26" s="58" t="s">
        <v>1685</v>
      </c>
      <c r="O26" s="58" t="s">
        <v>2056</v>
      </c>
      <c r="P26" s="58" t="s">
        <v>1408</v>
      </c>
      <c r="Q26" s="58" t="s">
        <v>884</v>
      </c>
      <c r="R26" s="58" t="s">
        <v>1424</v>
      </c>
      <c r="S26" s="58" t="s">
        <v>1441</v>
      </c>
      <c r="T26" s="58" t="s">
        <v>1954</v>
      </c>
      <c r="U26" s="58" t="s">
        <v>1470</v>
      </c>
      <c r="V26" s="58" t="s">
        <v>2081</v>
      </c>
      <c r="W26" s="58" t="s">
        <v>2090</v>
      </c>
      <c r="X26" s="58" t="s">
        <v>2091</v>
      </c>
      <c r="Y26" s="58" t="s">
        <v>2637</v>
      </c>
      <c r="Z26" s="58" t="s">
        <v>3653</v>
      </c>
      <c r="AA26" s="58" t="s">
        <v>2098</v>
      </c>
      <c r="AB26" s="58" t="s">
        <v>1545</v>
      </c>
      <c r="AC26" s="58" t="s">
        <v>1561</v>
      </c>
      <c r="AE26" s="58" t="s">
        <v>1585</v>
      </c>
      <c r="AF26" s="58" t="s">
        <v>1624</v>
      </c>
      <c r="AG26" s="58" t="s">
        <v>1649</v>
      </c>
      <c r="AH26" s="58" t="s">
        <v>1675</v>
      </c>
    </row>
    <row r="27" spans="1:34" x14ac:dyDescent="0.25">
      <c r="A27" s="58" t="s">
        <v>1809</v>
      </c>
      <c r="C27" s="58" t="s">
        <v>1840</v>
      </c>
      <c r="D27" s="58" t="s">
        <v>2193</v>
      </c>
      <c r="E27" s="58" t="s">
        <v>2729</v>
      </c>
      <c r="F27" s="58" t="s">
        <v>1886</v>
      </c>
      <c r="G27" s="58" t="s">
        <v>2500</v>
      </c>
      <c r="H27" s="58" t="s">
        <v>973</v>
      </c>
      <c r="I27" s="58" t="s">
        <v>1758</v>
      </c>
      <c r="J27" s="58" t="s">
        <v>1741</v>
      </c>
      <c r="K27" s="58" t="s">
        <v>2160</v>
      </c>
      <c r="L27" s="58" t="s">
        <v>2676</v>
      </c>
      <c r="N27" s="58" t="s">
        <v>1686</v>
      </c>
      <c r="O27" s="58" t="s">
        <v>2057</v>
      </c>
      <c r="P27" s="58" t="s">
        <v>1409</v>
      </c>
      <c r="Q27" s="58" t="s">
        <v>885</v>
      </c>
      <c r="R27" s="58" t="s">
        <v>1425</v>
      </c>
      <c r="S27" s="58" t="s">
        <v>1442</v>
      </c>
      <c r="T27" s="58" t="s">
        <v>1955</v>
      </c>
      <c r="U27" s="58" t="s">
        <v>1471</v>
      </c>
      <c r="V27" s="58" t="s">
        <v>2082</v>
      </c>
      <c r="W27" s="58" t="s">
        <v>2333</v>
      </c>
      <c r="X27" s="58" t="s">
        <v>2092</v>
      </c>
      <c r="Y27" s="58" t="s">
        <v>2638</v>
      </c>
      <c r="Z27" s="58" t="s">
        <v>3654</v>
      </c>
      <c r="AA27" s="58" t="s">
        <v>2099</v>
      </c>
      <c r="AB27" s="58" t="s">
        <v>1546</v>
      </c>
      <c r="AC27" s="58" t="s">
        <v>1562</v>
      </c>
      <c r="AE27" s="58" t="s">
        <v>1586</v>
      </c>
      <c r="AF27" s="58" t="s">
        <v>1625</v>
      </c>
      <c r="AG27" s="58" t="s">
        <v>1650</v>
      </c>
      <c r="AH27" s="58" t="s">
        <v>1676</v>
      </c>
    </row>
    <row r="28" spans="1:34" x14ac:dyDescent="0.25">
      <c r="A28" s="58" t="s">
        <v>1810</v>
      </c>
      <c r="C28" s="58" t="s">
        <v>1841</v>
      </c>
      <c r="D28" s="58" t="s">
        <v>2194</v>
      </c>
      <c r="E28" s="58" t="s">
        <v>2730</v>
      </c>
      <c r="F28" s="58" t="s">
        <v>1887</v>
      </c>
      <c r="G28" s="58" t="s">
        <v>2501</v>
      </c>
      <c r="H28" s="58" t="s">
        <v>292</v>
      </c>
      <c r="I28" s="58" t="s">
        <v>1759</v>
      </c>
      <c r="J28" s="58" t="s">
        <v>1742</v>
      </c>
      <c r="K28" s="58" t="s">
        <v>2161</v>
      </c>
      <c r="L28" s="58" t="s">
        <v>2677</v>
      </c>
      <c r="N28" s="58" t="s">
        <v>1687</v>
      </c>
      <c r="O28" s="58" t="s">
        <v>2058</v>
      </c>
      <c r="P28" s="58" t="s">
        <v>1410</v>
      </c>
      <c r="Q28" s="58" t="s">
        <v>886</v>
      </c>
      <c r="R28" s="58" t="s">
        <v>1426</v>
      </c>
      <c r="S28" s="58" t="s">
        <v>1443</v>
      </c>
      <c r="T28" s="58" t="s">
        <v>2075</v>
      </c>
      <c r="U28" s="58" t="s">
        <v>1472</v>
      </c>
      <c r="V28" s="58" t="s">
        <v>2083</v>
      </c>
      <c r="W28" s="58" t="s">
        <v>2334</v>
      </c>
      <c r="X28" s="58" t="s">
        <v>2335</v>
      </c>
      <c r="Y28" s="58" t="s">
        <v>3144</v>
      </c>
      <c r="Z28" s="58" t="s">
        <v>3655</v>
      </c>
      <c r="AA28" s="58" t="s">
        <v>2338</v>
      </c>
      <c r="AB28" s="58" t="s">
        <v>1547</v>
      </c>
      <c r="AC28" s="58" t="s">
        <v>1563</v>
      </c>
      <c r="AE28" s="58" t="s">
        <v>1587</v>
      </c>
      <c r="AF28" s="58" t="s">
        <v>1626</v>
      </c>
      <c r="AG28" s="58" t="s">
        <v>1651</v>
      </c>
      <c r="AH28" s="58" t="s">
        <v>2144</v>
      </c>
    </row>
    <row r="29" spans="1:34" x14ac:dyDescent="0.25">
      <c r="A29" s="58" t="s">
        <v>1811</v>
      </c>
      <c r="C29" s="58" t="s">
        <v>1842</v>
      </c>
      <c r="D29" s="58" t="s">
        <v>2195</v>
      </c>
      <c r="E29" s="58" t="s">
        <v>2731</v>
      </c>
      <c r="F29" s="58" t="s">
        <v>1967</v>
      </c>
      <c r="G29" s="58" t="s">
        <v>2502</v>
      </c>
      <c r="H29" s="58" t="s">
        <v>139</v>
      </c>
      <c r="I29" s="58" t="s">
        <v>1760</v>
      </c>
      <c r="J29" s="58" t="s">
        <v>1743</v>
      </c>
      <c r="K29" s="58" t="s">
        <v>2162</v>
      </c>
      <c r="L29" s="58" t="s">
        <v>3686</v>
      </c>
      <c r="N29" s="58" t="s">
        <v>1688</v>
      </c>
      <c r="P29" s="58" t="s">
        <v>1411</v>
      </c>
      <c r="Q29" s="58" t="s">
        <v>887</v>
      </c>
      <c r="R29" s="58" t="s">
        <v>2071</v>
      </c>
      <c r="S29" s="58" t="s">
        <v>1444</v>
      </c>
      <c r="T29" s="58" t="s">
        <v>2076</v>
      </c>
      <c r="U29" s="58" t="s">
        <v>1473</v>
      </c>
      <c r="V29" s="58" t="s">
        <v>2452</v>
      </c>
      <c r="W29" s="58" t="s">
        <v>2453</v>
      </c>
      <c r="X29" s="58" t="s">
        <v>2634</v>
      </c>
      <c r="Y29" s="58" t="s">
        <v>3145</v>
      </c>
      <c r="Z29" s="58" t="s">
        <v>3656</v>
      </c>
      <c r="AA29" s="58" t="s">
        <v>2457</v>
      </c>
      <c r="AB29" s="58" t="s">
        <v>1548</v>
      </c>
      <c r="AC29" s="58" t="s">
        <v>1564</v>
      </c>
      <c r="AE29" s="58" t="s">
        <v>1588</v>
      </c>
      <c r="AF29" s="58" t="s">
        <v>1627</v>
      </c>
      <c r="AG29" s="58" t="s">
        <v>1652</v>
      </c>
      <c r="AH29" s="58" t="s">
        <v>2145</v>
      </c>
    </row>
    <row r="30" spans="1:34" x14ac:dyDescent="0.25">
      <c r="A30" s="58" t="s">
        <v>1812</v>
      </c>
      <c r="C30" s="58" t="s">
        <v>1843</v>
      </c>
      <c r="D30" s="58" t="s">
        <v>2196</v>
      </c>
      <c r="E30" s="58" t="s">
        <v>3220</v>
      </c>
      <c r="F30" s="58" t="s">
        <v>2197</v>
      </c>
      <c r="G30" s="58" t="s">
        <v>2738</v>
      </c>
      <c r="H30" s="58" t="s">
        <v>140</v>
      </c>
      <c r="I30" s="58" t="s">
        <v>1761</v>
      </c>
      <c r="J30" s="58" t="s">
        <v>1744</v>
      </c>
      <c r="K30" s="58" t="s">
        <v>2163</v>
      </c>
      <c r="L30" s="58" t="s">
        <v>3687</v>
      </c>
      <c r="N30" s="58" t="s">
        <v>1689</v>
      </c>
      <c r="P30" s="58" t="s">
        <v>1412</v>
      </c>
      <c r="Q30" s="58" t="s">
        <v>888</v>
      </c>
      <c r="R30" s="58" t="s">
        <v>2072</v>
      </c>
      <c r="S30" s="58" t="s">
        <v>2074</v>
      </c>
      <c r="T30" s="58" t="s">
        <v>2448</v>
      </c>
      <c r="U30" s="58" t="s">
        <v>1474</v>
      </c>
      <c r="V30" s="58" t="s">
        <v>2627</v>
      </c>
      <c r="W30" s="58" t="s">
        <v>2632</v>
      </c>
      <c r="X30" s="58" t="s">
        <v>2635</v>
      </c>
      <c r="Y30" s="58" t="s">
        <v>3650</v>
      </c>
      <c r="Z30" s="58" t="s">
        <v>3657</v>
      </c>
      <c r="AA30" s="58" t="s">
        <v>2640</v>
      </c>
      <c r="AB30" s="58" t="s">
        <v>1549</v>
      </c>
      <c r="AC30" s="58" t="s">
        <v>1565</v>
      </c>
      <c r="AE30" s="58" t="s">
        <v>1589</v>
      </c>
      <c r="AF30" s="58" t="s">
        <v>1628</v>
      </c>
      <c r="AG30" s="58" t="s">
        <v>1653</v>
      </c>
      <c r="AH30" s="58" t="s">
        <v>2340</v>
      </c>
    </row>
    <row r="31" spans="1:34" x14ac:dyDescent="0.25">
      <c r="A31" s="58" t="s">
        <v>1813</v>
      </c>
      <c r="C31" s="58" t="s">
        <v>1844</v>
      </c>
      <c r="D31" s="58" t="s">
        <v>2493</v>
      </c>
      <c r="E31" s="58" t="s">
        <v>3221</v>
      </c>
      <c r="F31" s="58" t="s">
        <v>2198</v>
      </c>
      <c r="G31" s="58" t="s">
        <v>2739</v>
      </c>
      <c r="H31" s="58" t="s">
        <v>141</v>
      </c>
      <c r="I31" s="58" t="s">
        <v>2170</v>
      </c>
      <c r="J31" s="58" t="s">
        <v>2166</v>
      </c>
      <c r="K31" s="58" t="s">
        <v>2164</v>
      </c>
      <c r="L31" s="58" t="s">
        <v>3688</v>
      </c>
      <c r="N31" s="58" t="s">
        <v>1690</v>
      </c>
      <c r="P31" s="58" t="s">
        <v>2059</v>
      </c>
      <c r="Q31" s="58" t="s">
        <v>1902</v>
      </c>
      <c r="R31" s="58" t="s">
        <v>2073</v>
      </c>
      <c r="S31" s="58" t="s">
        <v>2605</v>
      </c>
      <c r="T31" s="58" t="s">
        <v>2449</v>
      </c>
      <c r="U31" s="58" t="s">
        <v>1475</v>
      </c>
      <c r="V31" s="58" t="s">
        <v>2628</v>
      </c>
      <c r="W31" s="58" t="s">
        <v>2633</v>
      </c>
      <c r="X31" s="58" t="s">
        <v>4001</v>
      </c>
      <c r="Y31" s="58" t="s">
        <v>3651</v>
      </c>
      <c r="Z31" s="58" t="s">
        <v>3658</v>
      </c>
      <c r="AA31" s="58" t="s">
        <v>2641</v>
      </c>
      <c r="AB31" s="58" t="s">
        <v>2100</v>
      </c>
      <c r="AC31" s="58" t="s">
        <v>1566</v>
      </c>
      <c r="AE31" s="58" t="s">
        <v>1590</v>
      </c>
      <c r="AF31" s="58" t="s">
        <v>1629</v>
      </c>
      <c r="AG31" s="58" t="s">
        <v>1654</v>
      </c>
      <c r="AH31" s="58" t="s">
        <v>2341</v>
      </c>
    </row>
    <row r="32" spans="1:34" x14ac:dyDescent="0.25">
      <c r="A32" s="58" t="s">
        <v>1814</v>
      </c>
      <c r="C32" s="58" t="s">
        <v>1845</v>
      </c>
      <c r="D32" s="58" t="s">
        <v>2724</v>
      </c>
      <c r="E32" s="58" t="s">
        <v>3222</v>
      </c>
      <c r="F32" s="58" t="s">
        <v>2347</v>
      </c>
      <c r="G32" s="58" t="s">
        <v>2740</v>
      </c>
      <c r="H32" s="58" t="s">
        <v>970</v>
      </c>
      <c r="I32" s="58" t="s">
        <v>2480</v>
      </c>
      <c r="J32" s="58" t="s">
        <v>2167</v>
      </c>
      <c r="K32" s="58" t="s">
        <v>2165</v>
      </c>
      <c r="L32" s="58" t="s">
        <v>4519</v>
      </c>
      <c r="N32" s="58" t="s">
        <v>1691</v>
      </c>
      <c r="P32" s="58" t="s">
        <v>2060</v>
      </c>
      <c r="Q32" s="58" t="s">
        <v>1903</v>
      </c>
      <c r="R32" s="58" t="s">
        <v>2331</v>
      </c>
      <c r="S32" s="58" t="s">
        <v>2606</v>
      </c>
      <c r="T32" s="58" t="s">
        <v>2613</v>
      </c>
      <c r="U32" s="58" t="s">
        <v>2077</v>
      </c>
      <c r="V32" s="58" t="s">
        <v>2629</v>
      </c>
      <c r="W32" s="58" t="s">
        <v>3141</v>
      </c>
      <c r="X32" s="58" t="s">
        <v>4002</v>
      </c>
      <c r="Y32" s="58" t="s">
        <v>3652</v>
      </c>
      <c r="Z32" s="58" t="s">
        <v>3659</v>
      </c>
      <c r="AA32" s="58" t="s">
        <v>2642</v>
      </c>
      <c r="AB32" s="58" t="s">
        <v>2101</v>
      </c>
      <c r="AC32" s="58" t="s">
        <v>1567</v>
      </c>
      <c r="AE32" s="58" t="s">
        <v>1591</v>
      </c>
      <c r="AF32" s="58" t="s">
        <v>1630</v>
      </c>
      <c r="AG32" s="58" t="s">
        <v>1655</v>
      </c>
      <c r="AH32" s="58" t="s">
        <v>2464</v>
      </c>
    </row>
    <row r="33" spans="1:34" x14ac:dyDescent="0.25">
      <c r="A33" s="58" t="s">
        <v>1815</v>
      </c>
      <c r="C33" s="58" t="s">
        <v>1965</v>
      </c>
      <c r="D33" s="58" t="s">
        <v>2725</v>
      </c>
      <c r="E33" s="58" t="s">
        <v>3223</v>
      </c>
      <c r="F33" s="58" t="s">
        <v>2497</v>
      </c>
      <c r="G33" s="58" t="s">
        <v>3234</v>
      </c>
      <c r="H33" s="58" t="s">
        <v>352</v>
      </c>
      <c r="I33" s="58" t="s">
        <v>3177</v>
      </c>
      <c r="J33" s="58" t="s">
        <v>2168</v>
      </c>
      <c r="K33" s="58" t="s">
        <v>2678</v>
      </c>
      <c r="L33" s="58" t="s">
        <v>4520</v>
      </c>
      <c r="N33" s="58" t="s">
        <v>1692</v>
      </c>
      <c r="P33" s="58" t="s">
        <v>2061</v>
      </c>
      <c r="Q33" s="58" t="s">
        <v>1904</v>
      </c>
      <c r="R33" s="58" t="s">
        <v>2447</v>
      </c>
      <c r="S33" s="58" t="s">
        <v>2607</v>
      </c>
      <c r="T33" s="58" t="s">
        <v>2614</v>
      </c>
      <c r="U33" s="58" t="s">
        <v>2078</v>
      </c>
      <c r="V33" s="58" t="s">
        <v>2630</v>
      </c>
      <c r="W33" s="58" t="s">
        <v>3142</v>
      </c>
      <c r="X33" s="58" t="s">
        <v>4587</v>
      </c>
      <c r="Y33" s="58" t="s">
        <v>3782</v>
      </c>
      <c r="Z33" s="58" t="s">
        <v>3660</v>
      </c>
      <c r="AA33" s="58" t="s">
        <v>3146</v>
      </c>
      <c r="AB33" s="58" t="s">
        <v>2102</v>
      </c>
      <c r="AC33" s="58" t="s">
        <v>1568</v>
      </c>
      <c r="AE33" s="58" t="s">
        <v>1592</v>
      </c>
      <c r="AF33" s="58" t="s">
        <v>1631</v>
      </c>
      <c r="AG33" s="58" t="s">
        <v>1656</v>
      </c>
      <c r="AH33" s="58" t="s">
        <v>2465</v>
      </c>
    </row>
    <row r="34" spans="1:34" x14ac:dyDescent="0.25">
      <c r="A34" s="58" t="s">
        <v>1816</v>
      </c>
      <c r="C34" s="58" t="s">
        <v>1966</v>
      </c>
      <c r="D34" s="58" t="s">
        <v>3217</v>
      </c>
      <c r="E34" s="58" t="s">
        <v>3224</v>
      </c>
      <c r="F34" s="58" t="s">
        <v>2498</v>
      </c>
      <c r="G34" s="58" t="s">
        <v>3722</v>
      </c>
      <c r="H34" s="58" t="s">
        <v>353</v>
      </c>
      <c r="I34" s="58" t="s">
        <v>3178</v>
      </c>
      <c r="J34" s="58" t="s">
        <v>2169</v>
      </c>
      <c r="K34" s="58" t="s">
        <v>2679</v>
      </c>
      <c r="L34" s="58" t="s">
        <v>4521</v>
      </c>
      <c r="N34" s="58" t="s">
        <v>1693</v>
      </c>
      <c r="P34" s="58" t="s">
        <v>2443</v>
      </c>
      <c r="Q34" s="58" t="s">
        <v>1905</v>
      </c>
      <c r="R34" s="58" t="s">
        <v>2602</v>
      </c>
      <c r="S34" s="58" t="s">
        <v>2608</v>
      </c>
      <c r="T34" s="58" t="s">
        <v>2615</v>
      </c>
      <c r="U34" s="58" t="s">
        <v>2079</v>
      </c>
      <c r="V34" s="58" t="s">
        <v>2631</v>
      </c>
      <c r="W34" s="58" t="s">
        <v>3143</v>
      </c>
      <c r="X34" s="58" t="s">
        <v>4588</v>
      </c>
      <c r="Y34" s="58" t="s">
        <v>3783</v>
      </c>
      <c r="Z34" s="58" t="s">
        <v>3661</v>
      </c>
      <c r="AA34" s="58" t="s">
        <v>3147</v>
      </c>
      <c r="AB34" s="58" t="s">
        <v>2103</v>
      </c>
      <c r="AC34" s="58" t="s">
        <v>1569</v>
      </c>
      <c r="AE34" s="58" t="s">
        <v>1593</v>
      </c>
      <c r="AF34" s="58" t="s">
        <v>1632</v>
      </c>
      <c r="AG34" s="58" t="s">
        <v>1657</v>
      </c>
      <c r="AH34" s="58" t="s">
        <v>2466</v>
      </c>
    </row>
    <row r="35" spans="1:34" x14ac:dyDescent="0.25">
      <c r="A35" s="58" t="s">
        <v>1817</v>
      </c>
      <c r="C35" s="58" t="s">
        <v>2189</v>
      </c>
      <c r="D35" s="58" t="s">
        <v>3218</v>
      </c>
      <c r="E35" s="58" t="s">
        <v>3719</v>
      </c>
      <c r="F35" s="58" t="s">
        <v>2732</v>
      </c>
      <c r="G35" s="58" t="s">
        <v>3723</v>
      </c>
      <c r="H35" s="58" t="s">
        <v>354</v>
      </c>
      <c r="I35" s="58" t="s">
        <v>3690</v>
      </c>
      <c r="J35" s="58" t="s">
        <v>2479</v>
      </c>
      <c r="K35" s="58" t="s">
        <v>2680</v>
      </c>
      <c r="L35" s="58" t="s">
        <v>4522</v>
      </c>
      <c r="N35" s="58" t="s">
        <v>1694</v>
      </c>
      <c r="P35" s="58" t="s">
        <v>2444</v>
      </c>
      <c r="Q35" s="58" t="s">
        <v>1906</v>
      </c>
      <c r="R35" s="58" t="s">
        <v>2603</v>
      </c>
      <c r="S35" s="58" t="s">
        <v>2609</v>
      </c>
      <c r="T35" s="58" t="s">
        <v>2616</v>
      </c>
      <c r="U35" s="58" t="s">
        <v>2080</v>
      </c>
      <c r="V35" s="58" t="s">
        <v>3140</v>
      </c>
      <c r="W35" s="58" t="s">
        <v>3645</v>
      </c>
      <c r="X35" s="58" t="s">
        <v>4589</v>
      </c>
      <c r="Y35" s="58" t="s">
        <v>3784</v>
      </c>
      <c r="Z35" s="58" t="s">
        <v>3662</v>
      </c>
      <c r="AA35" s="58" t="s">
        <v>3148</v>
      </c>
      <c r="AB35" s="58" t="s">
        <v>2339</v>
      </c>
      <c r="AC35" s="58" t="s">
        <v>1570</v>
      </c>
      <c r="AE35" s="58" t="s">
        <v>1594</v>
      </c>
      <c r="AF35" s="58" t="s">
        <v>1633</v>
      </c>
      <c r="AG35" s="58" t="s">
        <v>1658</v>
      </c>
      <c r="AH35" s="58" t="s">
        <v>2467</v>
      </c>
    </row>
    <row r="36" spans="1:34" x14ac:dyDescent="0.25">
      <c r="A36" s="58" t="s">
        <v>1818</v>
      </c>
      <c r="C36" s="58" t="s">
        <v>2190</v>
      </c>
      <c r="D36" s="58" t="s">
        <v>3219</v>
      </c>
      <c r="E36" s="58" t="s">
        <v>3720</v>
      </c>
      <c r="F36" s="58" t="s">
        <v>2733</v>
      </c>
      <c r="G36" s="58" t="s">
        <v>3833</v>
      </c>
      <c r="H36" s="58" t="s">
        <v>1083</v>
      </c>
      <c r="I36" s="58" t="s">
        <v>3806</v>
      </c>
      <c r="J36" s="58" t="s">
        <v>2681</v>
      </c>
      <c r="K36" s="58" t="s">
        <v>3166</v>
      </c>
      <c r="L36" s="58" t="s">
        <v>4523</v>
      </c>
      <c r="N36" s="58" t="s">
        <v>1695</v>
      </c>
      <c r="P36" s="58" t="s">
        <v>2445</v>
      </c>
      <c r="Q36" s="58" t="s">
        <v>1907</v>
      </c>
      <c r="R36" s="58" t="s">
        <v>2604</v>
      </c>
      <c r="S36" s="58" t="s">
        <v>2610</v>
      </c>
      <c r="T36" s="58" t="s">
        <v>2617</v>
      </c>
      <c r="U36" s="58" t="s">
        <v>2332</v>
      </c>
      <c r="V36" s="58" t="s">
        <v>3640</v>
      </c>
      <c r="W36" s="58" t="s">
        <v>3646</v>
      </c>
      <c r="X36" s="58" t="s">
        <v>4590</v>
      </c>
      <c r="Y36" s="58" t="s">
        <v>4500</v>
      </c>
      <c r="Z36" s="58" t="s">
        <v>3663</v>
      </c>
      <c r="AA36" s="58" t="s">
        <v>3149</v>
      </c>
      <c r="AB36" s="58" t="s">
        <v>2458</v>
      </c>
      <c r="AC36" s="58" t="s">
        <v>1571</v>
      </c>
      <c r="AE36" s="58" t="s">
        <v>1595</v>
      </c>
      <c r="AF36" s="58" t="s">
        <v>1634</v>
      </c>
      <c r="AG36" s="58" t="s">
        <v>1659</v>
      </c>
      <c r="AH36" s="58" t="s">
        <v>2654</v>
      </c>
    </row>
    <row r="37" spans="1:34" x14ac:dyDescent="0.25">
      <c r="A37" s="58" t="s">
        <v>1819</v>
      </c>
      <c r="C37" s="58" t="s">
        <v>2191</v>
      </c>
      <c r="D37" s="58" t="s">
        <v>3717</v>
      </c>
      <c r="E37" s="58" t="s">
        <v>3827</v>
      </c>
      <c r="F37" s="58" t="s">
        <v>2734</v>
      </c>
      <c r="G37" s="58" t="s">
        <v>4553</v>
      </c>
      <c r="H37" s="58" t="s">
        <v>684</v>
      </c>
      <c r="I37" s="58" t="s">
        <v>4027</v>
      </c>
      <c r="J37" s="58" t="s">
        <v>3171</v>
      </c>
      <c r="K37" s="58" t="s">
        <v>3167</v>
      </c>
      <c r="L37" s="58" t="s">
        <v>4524</v>
      </c>
      <c r="N37" s="58" t="s">
        <v>1696</v>
      </c>
      <c r="P37" s="58" t="s">
        <v>2446</v>
      </c>
      <c r="Q37" s="58" t="s">
        <v>1908</v>
      </c>
      <c r="R37" s="58" t="s">
        <v>3129</v>
      </c>
      <c r="S37" s="58" t="s">
        <v>2611</v>
      </c>
      <c r="T37" s="58" t="s">
        <v>3134</v>
      </c>
      <c r="U37" s="58" t="s">
        <v>2450</v>
      </c>
      <c r="V37" s="58" t="s">
        <v>3641</v>
      </c>
      <c r="W37" s="58" t="s">
        <v>3647</v>
      </c>
      <c r="X37" s="58" t="s">
        <v>4697</v>
      </c>
      <c r="Y37" s="58" t="s">
        <v>4501</v>
      </c>
      <c r="Z37" s="58" t="s">
        <v>3664</v>
      </c>
      <c r="AA37" s="58" t="s">
        <v>3150</v>
      </c>
      <c r="AB37" s="58" t="s">
        <v>2459</v>
      </c>
      <c r="AC37" s="58" t="s">
        <v>1572</v>
      </c>
      <c r="AE37" s="58" t="s">
        <v>1596</v>
      </c>
      <c r="AF37" s="58" t="s">
        <v>1635</v>
      </c>
      <c r="AG37" s="58" t="s">
        <v>1660</v>
      </c>
      <c r="AH37" s="58" t="s">
        <v>2655</v>
      </c>
    </row>
    <row r="38" spans="1:34" x14ac:dyDescent="0.25">
      <c r="A38" s="58" t="s">
        <v>1820</v>
      </c>
      <c r="C38" s="58" t="s">
        <v>2192</v>
      </c>
      <c r="D38" s="58" t="s">
        <v>3718</v>
      </c>
      <c r="E38" s="58" t="s">
        <v>3828</v>
      </c>
      <c r="F38" s="58" t="s">
        <v>2735</v>
      </c>
      <c r="G38" s="58" t="s">
        <v>4637</v>
      </c>
      <c r="H38" s="58" t="s">
        <v>685</v>
      </c>
      <c r="I38" s="58" t="s">
        <v>4028</v>
      </c>
      <c r="J38" s="58" t="s">
        <v>3172</v>
      </c>
      <c r="K38" s="58" t="s">
        <v>3168</v>
      </c>
      <c r="L38" s="58" t="s">
        <v>4525</v>
      </c>
      <c r="N38" s="58" t="s">
        <v>1697</v>
      </c>
      <c r="P38" s="58" t="s">
        <v>2599</v>
      </c>
      <c r="Q38" s="58" t="s">
        <v>1909</v>
      </c>
      <c r="R38" s="58" t="s">
        <v>3130</v>
      </c>
      <c r="S38" s="58" t="s">
        <v>2612</v>
      </c>
      <c r="T38" s="58" t="s">
        <v>3135</v>
      </c>
      <c r="U38" s="58" t="s">
        <v>2451</v>
      </c>
      <c r="V38" s="58" t="s">
        <v>3642</v>
      </c>
      <c r="W38" s="58" t="s">
        <v>3648</v>
      </c>
      <c r="X38" s="58" t="s">
        <v>4698</v>
      </c>
      <c r="Y38" s="58" t="s">
        <v>4591</v>
      </c>
      <c r="Z38" s="58" t="s">
        <v>3665</v>
      </c>
      <c r="AA38" s="58" t="s">
        <v>3788</v>
      </c>
      <c r="AB38" s="58" t="s">
        <v>2643</v>
      </c>
      <c r="AC38" s="58" t="s">
        <v>1573</v>
      </c>
      <c r="AE38" s="58" t="s">
        <v>1597</v>
      </c>
      <c r="AF38" s="58" t="s">
        <v>1636</v>
      </c>
      <c r="AG38" s="58" t="s">
        <v>1661</v>
      </c>
      <c r="AH38" s="58" t="s">
        <v>2656</v>
      </c>
    </row>
    <row r="39" spans="1:34" x14ac:dyDescent="0.25">
      <c r="A39" s="58" t="s">
        <v>1821</v>
      </c>
      <c r="C39" s="58" t="s">
        <v>2346</v>
      </c>
      <c r="D39" s="58" t="s">
        <v>4063</v>
      </c>
      <c r="E39" s="58" t="s">
        <v>4552</v>
      </c>
      <c r="F39" s="58" t="s">
        <v>2736</v>
      </c>
      <c r="G39" s="58" t="s">
        <v>4800</v>
      </c>
      <c r="H39" s="58" t="s">
        <v>1105</v>
      </c>
      <c r="I39" s="58" t="s">
        <v>4029</v>
      </c>
      <c r="J39" s="58" t="s">
        <v>3173</v>
      </c>
      <c r="K39" s="58" t="s">
        <v>3169</v>
      </c>
      <c r="L39" s="58" t="s">
        <v>4618</v>
      </c>
      <c r="N39" s="58" t="s">
        <v>1698</v>
      </c>
      <c r="P39" s="58" t="s">
        <v>2600</v>
      </c>
      <c r="Q39" s="58" t="s">
        <v>1910</v>
      </c>
      <c r="R39" s="58" t="s">
        <v>3131</v>
      </c>
      <c r="S39" s="58" t="s">
        <v>3132</v>
      </c>
      <c r="T39" s="58" t="s">
        <v>3633</v>
      </c>
      <c r="U39" s="58" t="s">
        <v>2618</v>
      </c>
      <c r="V39" s="58" t="s">
        <v>3643</v>
      </c>
      <c r="W39" s="58" t="s">
        <v>3649</v>
      </c>
      <c r="X39" s="58" t="s">
        <v>4699</v>
      </c>
      <c r="Y39" s="58" t="s">
        <v>4592</v>
      </c>
      <c r="Z39" s="58" t="s">
        <v>3785</v>
      </c>
      <c r="AA39" s="58" t="s">
        <v>3789</v>
      </c>
      <c r="AB39" s="58" t="s">
        <v>2644</v>
      </c>
      <c r="AC39" s="58" t="s">
        <v>1574</v>
      </c>
      <c r="AE39" s="58" t="s">
        <v>1598</v>
      </c>
      <c r="AF39" s="58" t="s">
        <v>2121</v>
      </c>
      <c r="AG39" s="58" t="s">
        <v>1662</v>
      </c>
      <c r="AH39" s="58" t="s">
        <v>2657</v>
      </c>
    </row>
    <row r="40" spans="1:34" x14ac:dyDescent="0.25">
      <c r="A40" s="58" t="s">
        <v>1822</v>
      </c>
      <c r="C40" s="58" t="s">
        <v>2489</v>
      </c>
      <c r="D40" s="58" t="s">
        <v>4064</v>
      </c>
      <c r="E40" s="58" t="s">
        <v>4785</v>
      </c>
      <c r="F40" s="58" t="s">
        <v>2737</v>
      </c>
      <c r="G40" s="58" t="s">
        <v>4801</v>
      </c>
      <c r="H40" s="58" t="s">
        <v>1106</v>
      </c>
      <c r="I40" s="58" t="s">
        <v>4030</v>
      </c>
      <c r="J40" s="58" t="s">
        <v>3174</v>
      </c>
      <c r="K40" s="58" t="s">
        <v>3170</v>
      </c>
      <c r="L40" s="58" t="s">
        <v>4619</v>
      </c>
      <c r="N40" s="58" t="s">
        <v>1699</v>
      </c>
      <c r="P40" s="58" t="s">
        <v>2601</v>
      </c>
      <c r="Q40" s="58" t="s">
        <v>1911</v>
      </c>
      <c r="R40" s="58" t="s">
        <v>3631</v>
      </c>
      <c r="S40" s="58" t="s">
        <v>3133</v>
      </c>
      <c r="T40" s="58" t="s">
        <v>3634</v>
      </c>
      <c r="U40" s="58" t="s">
        <v>2619</v>
      </c>
      <c r="V40" s="58" t="s">
        <v>3644</v>
      </c>
      <c r="W40" s="58" t="s">
        <v>3778</v>
      </c>
      <c r="X40" s="58" t="s">
        <v>4700</v>
      </c>
      <c r="Y40" s="58" t="s">
        <v>4593</v>
      </c>
      <c r="Z40" s="58" t="s">
        <v>3786</v>
      </c>
      <c r="AA40" s="58" t="s">
        <v>4010</v>
      </c>
      <c r="AB40" s="58" t="s">
        <v>3151</v>
      </c>
      <c r="AC40" s="58" t="s">
        <v>1575</v>
      </c>
      <c r="AE40" s="58" t="s">
        <v>1599</v>
      </c>
      <c r="AF40" s="58" t="s">
        <v>2122</v>
      </c>
      <c r="AG40" s="58" t="s">
        <v>1663</v>
      </c>
      <c r="AH40" s="58" t="s">
        <v>2658</v>
      </c>
    </row>
    <row r="41" spans="1:34" x14ac:dyDescent="0.25">
      <c r="A41" s="58" t="s">
        <v>1823</v>
      </c>
      <c r="C41" s="58" t="s">
        <v>2490</v>
      </c>
      <c r="D41" s="58" t="s">
        <v>4065</v>
      </c>
      <c r="E41" s="58" t="s">
        <v>4786</v>
      </c>
      <c r="F41" s="58" t="s">
        <v>3225</v>
      </c>
      <c r="G41" s="58" t="s">
        <v>4802</v>
      </c>
      <c r="H41" s="58" t="s">
        <v>955</v>
      </c>
      <c r="I41" s="58" t="s">
        <v>4031</v>
      </c>
      <c r="J41" s="58" t="s">
        <v>3175</v>
      </c>
      <c r="K41" s="58" t="s">
        <v>4025</v>
      </c>
      <c r="L41" s="58" t="s">
        <v>4742</v>
      </c>
      <c r="N41" s="58" t="s">
        <v>1700</v>
      </c>
      <c r="P41" s="58" t="s">
        <v>3128</v>
      </c>
      <c r="Q41" s="58" t="s">
        <v>1912</v>
      </c>
      <c r="R41" s="58" t="s">
        <v>3632</v>
      </c>
      <c r="S41" s="58" t="s">
        <v>3982</v>
      </c>
      <c r="T41" s="58" t="s">
        <v>3765</v>
      </c>
      <c r="U41" s="58" t="s">
        <v>2620</v>
      </c>
      <c r="V41" s="58" t="s">
        <v>3775</v>
      </c>
      <c r="W41" s="58" t="s">
        <v>3779</v>
      </c>
      <c r="X41" s="58" t="s">
        <v>4701</v>
      </c>
      <c r="Y41" s="58" t="s">
        <v>4594</v>
      </c>
      <c r="Z41" s="58" t="s">
        <v>3787</v>
      </c>
      <c r="AA41" s="58" t="s">
        <v>4011</v>
      </c>
      <c r="AB41" s="58" t="s">
        <v>3152</v>
      </c>
      <c r="AC41" s="58" t="s">
        <v>1576</v>
      </c>
      <c r="AE41" s="58" t="s">
        <v>1600</v>
      </c>
      <c r="AF41" s="58" t="s">
        <v>2123</v>
      </c>
      <c r="AG41" s="58" t="s">
        <v>1664</v>
      </c>
      <c r="AH41" s="58" t="s">
        <v>2659</v>
      </c>
    </row>
    <row r="42" spans="1:34" x14ac:dyDescent="0.25">
      <c r="A42" s="58" t="s">
        <v>1824</v>
      </c>
      <c r="C42" s="58" t="s">
        <v>2491</v>
      </c>
      <c r="D42" s="58" t="s">
        <v>4066</v>
      </c>
      <c r="E42" s="58" t="s">
        <v>4787</v>
      </c>
      <c r="F42" s="58" t="s">
        <v>3226</v>
      </c>
      <c r="G42" s="58" t="s">
        <v>4803</v>
      </c>
      <c r="H42" s="58" t="s">
        <v>241</v>
      </c>
      <c r="I42" s="58" t="s">
        <v>4032</v>
      </c>
      <c r="J42" s="58" t="s">
        <v>3176</v>
      </c>
      <c r="K42" s="58" t="s">
        <v>4526</v>
      </c>
      <c r="L42" s="58" t="s">
        <v>4743</v>
      </c>
      <c r="N42" s="58" t="s">
        <v>1701</v>
      </c>
      <c r="P42" s="58" t="s">
        <v>3758</v>
      </c>
      <c r="Q42" s="58" t="s">
        <v>1913</v>
      </c>
      <c r="R42" s="58" t="s">
        <v>3761</v>
      </c>
      <c r="S42" s="58" t="s">
        <v>4565</v>
      </c>
      <c r="T42" s="58" t="s">
        <v>3766</v>
      </c>
      <c r="U42" s="58" t="s">
        <v>2621</v>
      </c>
      <c r="V42" s="58" t="s">
        <v>3776</v>
      </c>
      <c r="W42" s="58" t="s">
        <v>3780</v>
      </c>
      <c r="Y42" s="58" t="s">
        <v>4595</v>
      </c>
      <c r="Z42" s="58" t="s">
        <v>4003</v>
      </c>
      <c r="AA42" s="58" t="s">
        <v>4504</v>
      </c>
      <c r="AB42" s="58" t="s">
        <v>3153</v>
      </c>
      <c r="AC42" s="58" t="s">
        <v>1958</v>
      </c>
      <c r="AE42" s="58" t="s">
        <v>1601</v>
      </c>
      <c r="AF42" s="58" t="s">
        <v>2124</v>
      </c>
      <c r="AG42" s="58" t="s">
        <v>1959</v>
      </c>
      <c r="AH42" s="58" t="s">
        <v>3158</v>
      </c>
    </row>
    <row r="43" spans="1:34" x14ac:dyDescent="0.25">
      <c r="A43" s="58" t="s">
        <v>1825</v>
      </c>
      <c r="C43" s="58" t="s">
        <v>2492</v>
      </c>
      <c r="D43" s="58" t="s">
        <v>4549</v>
      </c>
      <c r="E43" s="58" t="s">
        <v>4788</v>
      </c>
      <c r="F43" s="58" t="s">
        <v>3227</v>
      </c>
      <c r="G43" s="58" t="s">
        <v>4804</v>
      </c>
      <c r="H43" s="58" t="s">
        <v>124</v>
      </c>
      <c r="I43" s="58" t="s">
        <v>4033</v>
      </c>
      <c r="J43" s="58" t="s">
        <v>3689</v>
      </c>
      <c r="K43" s="58" t="s">
        <v>4527</v>
      </c>
      <c r="L43" s="58" t="s">
        <v>4744</v>
      </c>
      <c r="N43" s="58" t="s">
        <v>1962</v>
      </c>
      <c r="P43" s="58" t="s">
        <v>3759</v>
      </c>
      <c r="Q43" s="58" t="s">
        <v>1914</v>
      </c>
      <c r="R43" s="58" t="s">
        <v>3762</v>
      </c>
      <c r="S43" s="58" t="s">
        <v>4566</v>
      </c>
      <c r="T43" s="58" t="s">
        <v>3767</v>
      </c>
      <c r="U43" s="58" t="s">
        <v>2622</v>
      </c>
      <c r="V43" s="58" t="s">
        <v>3777</v>
      </c>
      <c r="W43" s="58" t="s">
        <v>3781</v>
      </c>
      <c r="Y43" s="58" t="s">
        <v>4702</v>
      </c>
      <c r="Z43" s="58" t="s">
        <v>4004</v>
      </c>
      <c r="AA43" s="58" t="s">
        <v>4505</v>
      </c>
      <c r="AB43" s="58" t="s">
        <v>3666</v>
      </c>
      <c r="AC43" s="58" t="s">
        <v>2104</v>
      </c>
      <c r="AE43" s="58" t="s">
        <v>1602</v>
      </c>
      <c r="AF43" s="58" t="s">
        <v>2125</v>
      </c>
      <c r="AG43" s="58" t="s">
        <v>1960</v>
      </c>
      <c r="AH43" s="58" t="s">
        <v>3159</v>
      </c>
    </row>
    <row r="44" spans="1:34" x14ac:dyDescent="0.25">
      <c r="A44" s="58" t="s">
        <v>1826</v>
      </c>
      <c r="C44" s="58" t="s">
        <v>2719</v>
      </c>
      <c r="D44" s="58" t="s">
        <v>4550</v>
      </c>
      <c r="E44" s="58" t="s">
        <v>4789</v>
      </c>
      <c r="F44" s="58" t="s">
        <v>3228</v>
      </c>
      <c r="G44" s="58" t="s">
        <v>4805</v>
      </c>
      <c r="H44" s="58" t="s">
        <v>987</v>
      </c>
      <c r="I44" s="58" t="s">
        <v>4034</v>
      </c>
      <c r="J44" s="58" t="s">
        <v>3805</v>
      </c>
      <c r="K44" s="58" t="s">
        <v>4620</v>
      </c>
      <c r="N44" s="58" t="s">
        <v>2146</v>
      </c>
      <c r="P44" s="58" t="s">
        <v>3760</v>
      </c>
      <c r="Q44" s="58" t="s">
        <v>1915</v>
      </c>
      <c r="R44" s="58" t="s">
        <v>3763</v>
      </c>
      <c r="S44" s="58" t="s">
        <v>4567</v>
      </c>
      <c r="T44" s="58" t="s">
        <v>3768</v>
      </c>
      <c r="U44" s="58" t="s">
        <v>2623</v>
      </c>
      <c r="V44" s="58" t="s">
        <v>3993</v>
      </c>
      <c r="W44" s="58" t="s">
        <v>3997</v>
      </c>
      <c r="Y44" s="58" t="s">
        <v>4703</v>
      </c>
      <c r="Z44" s="58" t="s">
        <v>4005</v>
      </c>
      <c r="AA44" s="58" t="s">
        <v>4506</v>
      </c>
      <c r="AB44" s="58" t="s">
        <v>3667</v>
      </c>
      <c r="AC44" s="58" t="s">
        <v>2105</v>
      </c>
      <c r="AE44" s="58" t="s">
        <v>1603</v>
      </c>
      <c r="AF44" s="58" t="s">
        <v>2126</v>
      </c>
      <c r="AG44" s="58" t="s">
        <v>1961</v>
      </c>
      <c r="AH44" s="58" t="s">
        <v>3160</v>
      </c>
    </row>
    <row r="45" spans="1:34" x14ac:dyDescent="0.25">
      <c r="A45" s="58" t="s">
        <v>1827</v>
      </c>
      <c r="C45" s="58" t="s">
        <v>2720</v>
      </c>
      <c r="D45" s="58" t="s">
        <v>4551</v>
      </c>
      <c r="E45" s="58" t="s">
        <v>4790</v>
      </c>
      <c r="F45" s="58" t="s">
        <v>3229</v>
      </c>
      <c r="G45" s="58" t="s">
        <v>4806</v>
      </c>
      <c r="H45" s="58" t="s">
        <v>816</v>
      </c>
      <c r="I45" s="58" t="s">
        <v>4035</v>
      </c>
      <c r="J45" s="58" t="s">
        <v>4026</v>
      </c>
      <c r="K45" s="58" t="s">
        <v>4621</v>
      </c>
      <c r="N45" s="58" t="s">
        <v>2147</v>
      </c>
      <c r="P45" s="58" t="s">
        <v>3975</v>
      </c>
      <c r="Q45" s="58" t="s">
        <v>1916</v>
      </c>
      <c r="R45" s="58" t="s">
        <v>3764</v>
      </c>
      <c r="S45" s="58" t="s">
        <v>4668</v>
      </c>
      <c r="T45" s="58" t="s">
        <v>3983</v>
      </c>
      <c r="U45" s="58" t="s">
        <v>2624</v>
      </c>
      <c r="V45" s="58" t="s">
        <v>3994</v>
      </c>
      <c r="W45" s="58" t="s">
        <v>3998</v>
      </c>
      <c r="Y45" s="58" t="s">
        <v>4704</v>
      </c>
      <c r="Z45" s="58" t="s">
        <v>4006</v>
      </c>
      <c r="AA45" s="58" t="s">
        <v>4713</v>
      </c>
      <c r="AB45" s="58" t="s">
        <v>3668</v>
      </c>
      <c r="AC45" s="58" t="s">
        <v>2460</v>
      </c>
      <c r="AE45" s="58" t="s">
        <v>1604</v>
      </c>
      <c r="AG45" s="58" t="s">
        <v>2127</v>
      </c>
      <c r="AH45" s="58" t="s">
        <v>3161</v>
      </c>
    </row>
    <row r="46" spans="1:34" x14ac:dyDescent="0.25">
      <c r="A46" s="58" t="s">
        <v>1828</v>
      </c>
      <c r="C46" s="58" t="s">
        <v>2721</v>
      </c>
      <c r="D46" s="58" t="s">
        <v>4634</v>
      </c>
      <c r="E46" s="58" t="s">
        <v>4791</v>
      </c>
      <c r="F46" s="58" t="s">
        <v>3230</v>
      </c>
      <c r="H46" s="58" t="s">
        <v>817</v>
      </c>
      <c r="I46" s="58" t="s">
        <v>4036</v>
      </c>
      <c r="J46" s="58" t="s">
        <v>4528</v>
      </c>
      <c r="K46" s="58" t="s">
        <v>4622</v>
      </c>
      <c r="N46" s="58" t="s">
        <v>2148</v>
      </c>
      <c r="P46" s="58" t="s">
        <v>3976</v>
      </c>
      <c r="Q46" s="58" t="s">
        <v>1917</v>
      </c>
      <c r="R46" s="58" t="s">
        <v>3979</v>
      </c>
      <c r="S46" s="58" t="s">
        <v>4669</v>
      </c>
      <c r="T46" s="58" t="s">
        <v>3984</v>
      </c>
      <c r="U46" s="58" t="s">
        <v>2625</v>
      </c>
      <c r="V46" s="58" t="s">
        <v>3995</v>
      </c>
      <c r="W46" s="58" t="s">
        <v>3999</v>
      </c>
      <c r="Y46" s="58" t="s">
        <v>4705</v>
      </c>
      <c r="Z46" s="58" t="s">
        <v>4007</v>
      </c>
      <c r="AA46" s="58" t="s">
        <v>4714</v>
      </c>
      <c r="AB46" s="58" t="s">
        <v>3669</v>
      </c>
      <c r="AC46" s="58" t="s">
        <v>2461</v>
      </c>
      <c r="AE46" s="58" t="s">
        <v>1605</v>
      </c>
      <c r="AG46" s="58" t="s">
        <v>2128</v>
      </c>
      <c r="AH46" s="58" t="s">
        <v>3673</v>
      </c>
    </row>
    <row r="47" spans="1:34" x14ac:dyDescent="0.25">
      <c r="A47" s="58" t="s">
        <v>1829</v>
      </c>
      <c r="C47" s="58" t="s">
        <v>2722</v>
      </c>
      <c r="D47" s="58" t="s">
        <v>4779</v>
      </c>
      <c r="E47" s="58" t="s">
        <v>4792</v>
      </c>
      <c r="F47" s="58" t="s">
        <v>3231</v>
      </c>
      <c r="H47" s="58" t="s">
        <v>818</v>
      </c>
      <c r="I47" s="58" t="s">
        <v>4037</v>
      </c>
      <c r="J47" s="58" t="s">
        <v>4529</v>
      </c>
      <c r="K47" s="58" t="s">
        <v>4745</v>
      </c>
      <c r="N47" s="58" t="s">
        <v>2149</v>
      </c>
      <c r="P47" s="58" t="s">
        <v>3977</v>
      </c>
      <c r="Q47" s="58" t="s">
        <v>1918</v>
      </c>
      <c r="R47" s="58" t="s">
        <v>3980</v>
      </c>
      <c r="S47" s="58" t="s">
        <v>4670</v>
      </c>
      <c r="T47" s="58" t="s">
        <v>3985</v>
      </c>
      <c r="U47" s="58" t="s">
        <v>2626</v>
      </c>
      <c r="V47" s="58" t="s">
        <v>3996</v>
      </c>
      <c r="W47" s="58" t="s">
        <v>4000</v>
      </c>
      <c r="Z47" s="58" t="s">
        <v>4008</v>
      </c>
      <c r="AA47" s="58" t="s">
        <v>4715</v>
      </c>
      <c r="AB47" s="58" t="s">
        <v>3790</v>
      </c>
      <c r="AC47" s="58" t="s">
        <v>2462</v>
      </c>
      <c r="AE47" s="58" t="s">
        <v>1606</v>
      </c>
      <c r="AG47" s="58" t="s">
        <v>2129</v>
      </c>
      <c r="AH47" s="58" t="s">
        <v>3674</v>
      </c>
    </row>
    <row r="48" spans="1:34" x14ac:dyDescent="0.25">
      <c r="A48" s="58" t="s">
        <v>1830</v>
      </c>
      <c r="C48" s="58" t="s">
        <v>2723</v>
      </c>
      <c r="D48" s="58" t="s">
        <v>4780</v>
      </c>
      <c r="E48" s="58" t="s">
        <v>4793</v>
      </c>
      <c r="F48" s="58" t="s">
        <v>3232</v>
      </c>
      <c r="H48" s="58" t="s">
        <v>1080</v>
      </c>
      <c r="I48" s="58" t="s">
        <v>4530</v>
      </c>
      <c r="J48" s="58" t="s">
        <v>4750</v>
      </c>
      <c r="K48" s="58" t="s">
        <v>4746</v>
      </c>
      <c r="N48" s="58" t="s">
        <v>2150</v>
      </c>
      <c r="P48" s="58" t="s">
        <v>3978</v>
      </c>
      <c r="Q48" s="58" t="s">
        <v>1919</v>
      </c>
      <c r="R48" s="58" t="s">
        <v>3981</v>
      </c>
      <c r="S48" s="58" t="s">
        <v>4671</v>
      </c>
      <c r="T48" s="58" t="s">
        <v>3986</v>
      </c>
      <c r="U48" s="58" t="s">
        <v>3136</v>
      </c>
      <c r="V48" s="58" t="s">
        <v>4494</v>
      </c>
      <c r="W48" s="58" t="s">
        <v>4496</v>
      </c>
      <c r="Z48" s="58" t="s">
        <v>4009</v>
      </c>
      <c r="AA48" s="58" t="s">
        <v>4716</v>
      </c>
      <c r="AB48" s="58" t="s">
        <v>3791</v>
      </c>
      <c r="AC48" s="58" t="s">
        <v>2463</v>
      </c>
      <c r="AE48" s="58" t="s">
        <v>1607</v>
      </c>
      <c r="AG48" s="58" t="s">
        <v>2130</v>
      </c>
      <c r="AH48" s="58" t="s">
        <v>3675</v>
      </c>
    </row>
    <row r="49" spans="1:34" x14ac:dyDescent="0.25">
      <c r="A49" s="58" t="s">
        <v>1831</v>
      </c>
      <c r="C49" s="58" t="s">
        <v>3206</v>
      </c>
      <c r="D49" s="58" t="s">
        <v>4781</v>
      </c>
      <c r="E49" s="58" t="s">
        <v>4794</v>
      </c>
      <c r="F49" s="58" t="s">
        <v>3233</v>
      </c>
      <c r="H49" s="58" t="s">
        <v>314</v>
      </c>
      <c r="I49" s="58" t="s">
        <v>4531</v>
      </c>
      <c r="J49" s="58" t="s">
        <v>4751</v>
      </c>
      <c r="K49" s="58" t="s">
        <v>4747</v>
      </c>
      <c r="N49" s="58" t="s">
        <v>2151</v>
      </c>
      <c r="P49" s="58" t="s">
        <v>4478</v>
      </c>
      <c r="Q49" s="58" t="s">
        <v>1920</v>
      </c>
      <c r="R49" s="58" t="s">
        <v>4479</v>
      </c>
      <c r="S49" s="58" t="s">
        <v>4672</v>
      </c>
      <c r="T49" s="58" t="s">
        <v>3987</v>
      </c>
      <c r="U49" s="58" t="s">
        <v>3137</v>
      </c>
      <c r="V49" s="58" t="s">
        <v>4495</v>
      </c>
      <c r="W49" s="58" t="s">
        <v>4497</v>
      </c>
      <c r="Z49" s="58" t="s">
        <v>4502</v>
      </c>
      <c r="AA49" s="58" t="s">
        <v>4717</v>
      </c>
      <c r="AB49" s="58" t="s">
        <v>3792</v>
      </c>
      <c r="AC49" s="58" t="s">
        <v>2645</v>
      </c>
      <c r="AE49" s="58" t="s">
        <v>1608</v>
      </c>
      <c r="AG49" s="58" t="s">
        <v>2131</v>
      </c>
      <c r="AH49" s="58" t="s">
        <v>3676</v>
      </c>
    </row>
    <row r="50" spans="1:34" x14ac:dyDescent="0.25">
      <c r="A50" s="58" t="s">
        <v>1832</v>
      </c>
      <c r="C50" s="58" t="s">
        <v>3207</v>
      </c>
      <c r="D50" s="58" t="s">
        <v>4782</v>
      </c>
      <c r="F50" s="58" t="s">
        <v>3721</v>
      </c>
      <c r="H50" s="58" t="s">
        <v>315</v>
      </c>
      <c r="I50" s="58" t="s">
        <v>4532</v>
      </c>
      <c r="J50" s="58" t="s">
        <v>4752</v>
      </c>
      <c r="K50" s="58" t="s">
        <v>4748</v>
      </c>
      <c r="N50" s="58" t="s">
        <v>2152</v>
      </c>
      <c r="P50" s="58" t="s">
        <v>4558</v>
      </c>
      <c r="Q50" s="58" t="s">
        <v>1921</v>
      </c>
      <c r="R50" s="58" t="s">
        <v>4480</v>
      </c>
      <c r="S50" s="58" t="s">
        <v>4673</v>
      </c>
      <c r="T50" s="58" t="s">
        <v>3988</v>
      </c>
      <c r="U50" s="58" t="s">
        <v>3138</v>
      </c>
      <c r="V50" s="58" t="s">
        <v>4578</v>
      </c>
      <c r="W50" s="58" t="s">
        <v>4498</v>
      </c>
      <c r="Z50" s="58" t="s">
        <v>4503</v>
      </c>
      <c r="AB50" s="58" t="s">
        <v>4012</v>
      </c>
      <c r="AC50" s="58" t="s">
        <v>2646</v>
      </c>
      <c r="AE50" s="58" t="s">
        <v>1609</v>
      </c>
      <c r="AG50" s="58" t="s">
        <v>2132</v>
      </c>
      <c r="AH50" s="58" t="s">
        <v>3677</v>
      </c>
    </row>
    <row r="51" spans="1:34" x14ac:dyDescent="0.25">
      <c r="A51" s="58" t="s">
        <v>1964</v>
      </c>
      <c r="C51" s="58" t="s">
        <v>3208</v>
      </c>
      <c r="D51" s="58" t="s">
        <v>4783</v>
      </c>
      <c r="F51" s="58" t="s">
        <v>3829</v>
      </c>
      <c r="H51" s="58" t="s">
        <v>316</v>
      </c>
      <c r="I51" s="58" t="s">
        <v>4623</v>
      </c>
      <c r="J51" s="58" t="s">
        <v>4753</v>
      </c>
      <c r="K51" s="58" t="s">
        <v>4749</v>
      </c>
      <c r="N51" s="58" t="s">
        <v>2153</v>
      </c>
      <c r="P51" s="58" t="s">
        <v>4559</v>
      </c>
      <c r="Q51" s="58" t="s">
        <v>1922</v>
      </c>
      <c r="R51" s="58" t="s">
        <v>4481</v>
      </c>
      <c r="S51" s="58" t="s">
        <v>4674</v>
      </c>
      <c r="T51" s="58" t="s">
        <v>3989</v>
      </c>
      <c r="U51" s="58" t="s">
        <v>3139</v>
      </c>
      <c r="V51" s="58" t="s">
        <v>4579</v>
      </c>
      <c r="W51" s="58" t="s">
        <v>4499</v>
      </c>
      <c r="Z51" s="58" t="s">
        <v>4596</v>
      </c>
      <c r="AB51" s="58" t="s">
        <v>4013</v>
      </c>
      <c r="AC51" s="58" t="s">
        <v>2647</v>
      </c>
      <c r="AE51" s="58" t="s">
        <v>1610</v>
      </c>
      <c r="AG51" s="58" t="s">
        <v>2133</v>
      </c>
      <c r="AH51" s="58" t="s">
        <v>3796</v>
      </c>
    </row>
    <row r="52" spans="1:34" x14ac:dyDescent="0.25">
      <c r="A52" s="58" t="s">
        <v>2182</v>
      </c>
      <c r="C52" s="58" t="s">
        <v>3209</v>
      </c>
      <c r="D52" s="58" t="s">
        <v>4784</v>
      </c>
      <c r="F52" s="58" t="s">
        <v>3830</v>
      </c>
      <c r="H52" s="58" t="s">
        <v>317</v>
      </c>
      <c r="I52" s="58" t="s">
        <v>4624</v>
      </c>
      <c r="J52" s="58" t="s">
        <v>4754</v>
      </c>
      <c r="N52" s="58" t="s">
        <v>2154</v>
      </c>
      <c r="P52" s="58" t="s">
        <v>4560</v>
      </c>
      <c r="Q52" s="58" t="s">
        <v>1923</v>
      </c>
      <c r="R52" s="58" t="s">
        <v>4482</v>
      </c>
      <c r="S52" s="58" t="s">
        <v>4675</v>
      </c>
      <c r="T52" s="58" t="s">
        <v>3990</v>
      </c>
      <c r="U52" s="58" t="s">
        <v>3635</v>
      </c>
      <c r="V52" s="58" t="s">
        <v>4580</v>
      </c>
      <c r="W52" s="58" t="s">
        <v>4583</v>
      </c>
      <c r="Z52" s="58" t="s">
        <v>4597</v>
      </c>
      <c r="AB52" s="58" t="s">
        <v>4507</v>
      </c>
      <c r="AC52" s="58" t="s">
        <v>2648</v>
      </c>
      <c r="AE52" s="58" t="s">
        <v>1611</v>
      </c>
      <c r="AG52" s="58" t="s">
        <v>2134</v>
      </c>
      <c r="AH52" s="58" t="s">
        <v>4016</v>
      </c>
    </row>
    <row r="53" spans="1:34" x14ac:dyDescent="0.25">
      <c r="A53" s="58" t="s">
        <v>2183</v>
      </c>
      <c r="C53" s="58" t="s">
        <v>3210</v>
      </c>
      <c r="F53" s="58" t="s">
        <v>3831</v>
      </c>
      <c r="H53" s="58" t="s">
        <v>318</v>
      </c>
      <c r="I53" s="58" t="s">
        <v>4757</v>
      </c>
      <c r="J53" s="58" t="s">
        <v>4755</v>
      </c>
      <c r="N53" s="58" t="s">
        <v>2342</v>
      </c>
      <c r="P53" s="58" t="s">
        <v>4561</v>
      </c>
      <c r="Q53" s="58" t="s">
        <v>1924</v>
      </c>
      <c r="R53" s="58" t="s">
        <v>4483</v>
      </c>
      <c r="T53" s="58" t="s">
        <v>3991</v>
      </c>
      <c r="U53" s="58" t="s">
        <v>3636</v>
      </c>
      <c r="V53" s="58" t="s">
        <v>4581</v>
      </c>
      <c r="W53" s="58" t="s">
        <v>4584</v>
      </c>
      <c r="Z53" s="58" t="s">
        <v>4598</v>
      </c>
      <c r="AB53" s="58" t="s">
        <v>4508</v>
      </c>
      <c r="AC53" s="58" t="s">
        <v>2649</v>
      </c>
      <c r="AE53" s="58" t="s">
        <v>1612</v>
      </c>
      <c r="AG53" s="58" t="s">
        <v>2135</v>
      </c>
      <c r="AH53" s="58" t="s">
        <v>4017</v>
      </c>
    </row>
    <row r="54" spans="1:34" x14ac:dyDescent="0.25">
      <c r="A54" s="58" t="s">
        <v>2184</v>
      </c>
      <c r="C54" s="58" t="s">
        <v>3211</v>
      </c>
      <c r="F54" s="58" t="s">
        <v>3832</v>
      </c>
      <c r="H54" s="58" t="s">
        <v>319</v>
      </c>
      <c r="I54" s="58" t="s">
        <v>4758</v>
      </c>
      <c r="J54" s="58" t="s">
        <v>4756</v>
      </c>
      <c r="N54" s="58" t="s">
        <v>2468</v>
      </c>
      <c r="P54" s="58" t="s">
        <v>4562</v>
      </c>
      <c r="Q54" s="58" t="s">
        <v>1925</v>
      </c>
      <c r="R54" s="58" t="s">
        <v>4563</v>
      </c>
      <c r="T54" s="58" t="s">
        <v>3992</v>
      </c>
      <c r="U54" s="58" t="s">
        <v>3637</v>
      </c>
      <c r="V54" s="58" t="s">
        <v>4582</v>
      </c>
      <c r="W54" s="58" t="s">
        <v>4585</v>
      </c>
      <c r="Z54" s="58" t="s">
        <v>4599</v>
      </c>
      <c r="AB54" s="58" t="s">
        <v>4509</v>
      </c>
      <c r="AC54" s="58" t="s">
        <v>2650</v>
      </c>
      <c r="AE54" s="58" t="s">
        <v>1613</v>
      </c>
      <c r="AG54" s="58" t="s">
        <v>2136</v>
      </c>
      <c r="AH54" s="58" t="s">
        <v>4018</v>
      </c>
    </row>
    <row r="55" spans="1:34" x14ac:dyDescent="0.25">
      <c r="A55" s="58" t="s">
        <v>2185</v>
      </c>
      <c r="C55" s="58" t="s">
        <v>3212</v>
      </c>
      <c r="F55" s="58" t="s">
        <v>4635</v>
      </c>
      <c r="H55" s="58" t="s">
        <v>320</v>
      </c>
      <c r="I55" s="58" t="s">
        <v>4759</v>
      </c>
      <c r="N55" s="58" t="s">
        <v>2469</v>
      </c>
      <c r="P55" s="58" t="s">
        <v>4657</v>
      </c>
      <c r="Q55" s="58" t="s">
        <v>1926</v>
      </c>
      <c r="R55" s="58" t="s">
        <v>4564</v>
      </c>
      <c r="T55" s="58" t="s">
        <v>4484</v>
      </c>
      <c r="U55" s="58" t="s">
        <v>3638</v>
      </c>
      <c r="V55" s="58" t="s">
        <v>4685</v>
      </c>
      <c r="W55" s="58" t="s">
        <v>4586</v>
      </c>
      <c r="Z55" s="58" t="s">
        <v>4706</v>
      </c>
      <c r="AB55" s="58" t="s">
        <v>4600</v>
      </c>
      <c r="AC55" s="58" t="s">
        <v>2651</v>
      </c>
      <c r="AE55" s="58" t="s">
        <v>1614</v>
      </c>
      <c r="AG55" s="58" t="s">
        <v>2137</v>
      </c>
      <c r="AH55" s="58" t="s">
        <v>4512</v>
      </c>
    </row>
    <row r="56" spans="1:34" x14ac:dyDescent="0.25">
      <c r="A56" s="58" t="s">
        <v>2186</v>
      </c>
      <c r="C56" s="58" t="s">
        <v>3213</v>
      </c>
      <c r="F56" s="58" t="s">
        <v>4636</v>
      </c>
      <c r="H56" s="58" t="s">
        <v>1762</v>
      </c>
      <c r="I56" s="58" t="s">
        <v>4760</v>
      </c>
      <c r="N56" s="58" t="s">
        <v>2470</v>
      </c>
      <c r="P56" s="58" t="s">
        <v>4658</v>
      </c>
      <c r="Q56" s="58" t="s">
        <v>1927</v>
      </c>
      <c r="R56" s="58" t="s">
        <v>4662</v>
      </c>
      <c r="T56" s="58" t="s">
        <v>4485</v>
      </c>
      <c r="U56" s="58" t="s">
        <v>3639</v>
      </c>
      <c r="V56" s="58" t="s">
        <v>4686</v>
      </c>
      <c r="W56" s="58" t="s">
        <v>4690</v>
      </c>
      <c r="Z56" s="58" t="s">
        <v>4707</v>
      </c>
      <c r="AB56" s="58" t="s">
        <v>4601</v>
      </c>
      <c r="AC56" s="58" t="s">
        <v>2652</v>
      </c>
      <c r="AE56" s="58" t="s">
        <v>1615</v>
      </c>
      <c r="AG56" s="58" t="s">
        <v>2138</v>
      </c>
      <c r="AH56" s="58" t="s">
        <v>4513</v>
      </c>
    </row>
    <row r="57" spans="1:34" x14ac:dyDescent="0.25">
      <c r="A57" s="58" t="s">
        <v>2187</v>
      </c>
      <c r="C57" s="58" t="s">
        <v>3214</v>
      </c>
      <c r="F57" s="58" t="s">
        <v>4795</v>
      </c>
      <c r="H57" s="58" t="s">
        <v>1763</v>
      </c>
      <c r="I57" s="58" t="s">
        <v>4761</v>
      </c>
      <c r="N57" s="58" t="s">
        <v>2471</v>
      </c>
      <c r="P57" s="58" t="s">
        <v>4659</v>
      </c>
      <c r="Q57" s="58" t="s">
        <v>1928</v>
      </c>
      <c r="R57" s="58" t="s">
        <v>4663</v>
      </c>
      <c r="T57" s="58" t="s">
        <v>4486</v>
      </c>
      <c r="U57" s="58" t="s">
        <v>3769</v>
      </c>
      <c r="V57" s="58" t="s">
        <v>4687</v>
      </c>
      <c r="W57" s="58" t="s">
        <v>4691</v>
      </c>
      <c r="Z57" s="58" t="s">
        <v>4708</v>
      </c>
      <c r="AB57" s="58" t="s">
        <v>4602</v>
      </c>
      <c r="AC57" s="58" t="s">
        <v>2653</v>
      </c>
      <c r="AE57" s="58" t="s">
        <v>1616</v>
      </c>
      <c r="AG57" s="58" t="s">
        <v>2139</v>
      </c>
      <c r="AH57" s="58" t="s">
        <v>4514</v>
      </c>
    </row>
    <row r="58" spans="1:34" x14ac:dyDescent="0.25">
      <c r="A58" s="58" t="s">
        <v>2188</v>
      </c>
      <c r="C58" s="58" t="s">
        <v>3215</v>
      </c>
      <c r="F58" s="58" t="s">
        <v>4796</v>
      </c>
      <c r="H58" s="58" t="s">
        <v>1764</v>
      </c>
      <c r="I58" s="58" t="s">
        <v>4762</v>
      </c>
      <c r="N58" s="58" t="s">
        <v>2472</v>
      </c>
      <c r="P58" s="58" t="s">
        <v>4660</v>
      </c>
      <c r="Q58" s="58" t="s">
        <v>1929</v>
      </c>
      <c r="R58" s="58" t="s">
        <v>4664</v>
      </c>
      <c r="T58" s="58" t="s">
        <v>4487</v>
      </c>
      <c r="U58" s="58" t="s">
        <v>3770</v>
      </c>
      <c r="V58" s="58" t="s">
        <v>4688</v>
      </c>
      <c r="W58" s="58" t="s">
        <v>4692</v>
      </c>
      <c r="Z58" s="58" t="s">
        <v>4709</v>
      </c>
      <c r="AB58" s="58" t="s">
        <v>4603</v>
      </c>
      <c r="AC58" s="58" t="s">
        <v>3154</v>
      </c>
      <c r="AE58" s="58" t="s">
        <v>1617</v>
      </c>
      <c r="AG58" s="58" t="s">
        <v>2140</v>
      </c>
      <c r="AH58" s="58" t="s">
        <v>4609</v>
      </c>
    </row>
    <row r="59" spans="1:34" x14ac:dyDescent="0.25">
      <c r="A59" s="58" t="s">
        <v>2344</v>
      </c>
      <c r="C59" s="58" t="s">
        <v>3216</v>
      </c>
      <c r="F59" s="58" t="s">
        <v>4797</v>
      </c>
      <c r="H59" s="58" t="s">
        <v>1765</v>
      </c>
      <c r="N59" s="58" t="s">
        <v>2473</v>
      </c>
      <c r="P59" s="58" t="s">
        <v>4661</v>
      </c>
      <c r="Q59" s="58" t="s">
        <v>1930</v>
      </c>
      <c r="R59" s="58" t="s">
        <v>4665</v>
      </c>
      <c r="T59" s="58" t="s">
        <v>4488</v>
      </c>
      <c r="U59" s="58" t="s">
        <v>3771</v>
      </c>
      <c r="V59" s="58" t="s">
        <v>4689</v>
      </c>
      <c r="W59" s="58" t="s">
        <v>4693</v>
      </c>
      <c r="Z59" s="58" t="s">
        <v>4710</v>
      </c>
      <c r="AB59" s="58" t="s">
        <v>4604</v>
      </c>
      <c r="AC59" s="58" t="s">
        <v>3155</v>
      </c>
      <c r="AE59" s="58" t="s">
        <v>2106</v>
      </c>
      <c r="AG59" s="58" t="s">
        <v>2141</v>
      </c>
      <c r="AH59" s="58" t="s">
        <v>4610</v>
      </c>
    </row>
    <row r="60" spans="1:34" x14ac:dyDescent="0.25">
      <c r="A60" s="58" t="s">
        <v>2345</v>
      </c>
      <c r="C60" s="58" t="s">
        <v>3708</v>
      </c>
      <c r="F60" s="58" t="s">
        <v>4798</v>
      </c>
      <c r="H60" s="58" t="s">
        <v>1766</v>
      </c>
      <c r="N60" s="58" t="s">
        <v>2474</v>
      </c>
      <c r="Q60" s="58" t="s">
        <v>1931</v>
      </c>
      <c r="R60" s="58" t="s">
        <v>4666</v>
      </c>
      <c r="T60" s="58" t="s">
        <v>4489</v>
      </c>
      <c r="U60" s="58" t="s">
        <v>3772</v>
      </c>
      <c r="W60" s="58" t="s">
        <v>4694</v>
      </c>
      <c r="Z60" s="58" t="s">
        <v>4711</v>
      </c>
      <c r="AB60" s="58" t="s">
        <v>4605</v>
      </c>
      <c r="AC60" s="58" t="s">
        <v>3156</v>
      </c>
      <c r="AE60" s="58" t="s">
        <v>2107</v>
      </c>
      <c r="AG60" s="58" t="s">
        <v>2142</v>
      </c>
      <c r="AH60" s="58" t="s">
        <v>4611</v>
      </c>
    </row>
    <row r="61" spans="1:34" x14ac:dyDescent="0.25">
      <c r="A61" s="58" t="s">
        <v>2487</v>
      </c>
      <c r="C61" s="58" t="s">
        <v>3709</v>
      </c>
      <c r="F61" s="58" t="s">
        <v>4799</v>
      </c>
      <c r="H61" s="58" t="s">
        <v>1767</v>
      </c>
      <c r="N61" s="58" t="s">
        <v>2475</v>
      </c>
      <c r="Q61" s="58" t="s">
        <v>1932</v>
      </c>
      <c r="R61" s="58" t="s">
        <v>4667</v>
      </c>
      <c r="T61" s="58" t="s">
        <v>4490</v>
      </c>
      <c r="U61" s="58" t="s">
        <v>3773</v>
      </c>
      <c r="W61" s="58" t="s">
        <v>4695</v>
      </c>
      <c r="Z61" s="58" t="s">
        <v>4712</v>
      </c>
      <c r="AB61" s="58" t="s">
        <v>4606</v>
      </c>
      <c r="AC61" s="58" t="s">
        <v>3157</v>
      </c>
      <c r="AE61" s="58" t="s">
        <v>2108</v>
      </c>
      <c r="AG61" s="58" t="s">
        <v>2143</v>
      </c>
      <c r="AH61" s="58" t="s">
        <v>4612</v>
      </c>
    </row>
    <row r="62" spans="1:34" x14ac:dyDescent="0.25">
      <c r="A62" s="58" t="s">
        <v>2488</v>
      </c>
      <c r="C62" s="58" t="s">
        <v>3710</v>
      </c>
      <c r="H62" s="58" t="s">
        <v>1768</v>
      </c>
      <c r="N62" s="58" t="s">
        <v>2476</v>
      </c>
      <c r="Q62" s="58" t="s">
        <v>1933</v>
      </c>
      <c r="T62" s="58" t="s">
        <v>4568</v>
      </c>
      <c r="U62" s="58" t="s">
        <v>3774</v>
      </c>
      <c r="W62" s="58" t="s">
        <v>4696</v>
      </c>
      <c r="AB62" s="58" t="s">
        <v>4718</v>
      </c>
      <c r="AC62" s="58" t="s">
        <v>3670</v>
      </c>
      <c r="AE62" s="58" t="s">
        <v>2109</v>
      </c>
      <c r="AH62" s="58" t="s">
        <v>4613</v>
      </c>
    </row>
    <row r="63" spans="1:34" x14ac:dyDescent="0.25">
      <c r="A63" s="58" t="s">
        <v>2699</v>
      </c>
      <c r="C63" s="58" t="s">
        <v>3711</v>
      </c>
      <c r="H63" s="58" t="s">
        <v>1769</v>
      </c>
      <c r="N63" s="58" t="s">
        <v>2477</v>
      </c>
      <c r="Q63" s="58" t="s">
        <v>1934</v>
      </c>
      <c r="T63" s="58" t="s">
        <v>4569</v>
      </c>
      <c r="U63" s="58" t="s">
        <v>4491</v>
      </c>
      <c r="AB63" s="58" t="s">
        <v>4719</v>
      </c>
      <c r="AC63" s="58" t="s">
        <v>3671</v>
      </c>
      <c r="AE63" s="58" t="s">
        <v>2110</v>
      </c>
      <c r="AH63" s="58" t="s">
        <v>4727</v>
      </c>
    </row>
    <row r="64" spans="1:34" x14ac:dyDescent="0.25">
      <c r="A64" s="58" t="s">
        <v>2700</v>
      </c>
      <c r="C64" s="58" t="s">
        <v>3712</v>
      </c>
      <c r="H64" s="58" t="s">
        <v>1770</v>
      </c>
      <c r="N64" s="58" t="s">
        <v>2660</v>
      </c>
      <c r="Q64" s="58" t="s">
        <v>1935</v>
      </c>
      <c r="T64" s="58" t="s">
        <v>4570</v>
      </c>
      <c r="U64" s="58" t="s">
        <v>4492</v>
      </c>
      <c r="AB64" s="58" t="s">
        <v>4720</v>
      </c>
      <c r="AC64" s="58" t="s">
        <v>3672</v>
      </c>
      <c r="AE64" s="58" t="s">
        <v>2111</v>
      </c>
      <c r="AH64" s="58" t="s">
        <v>4728</v>
      </c>
    </row>
    <row r="65" spans="1:34" x14ac:dyDescent="0.25">
      <c r="A65" s="58" t="s">
        <v>2701</v>
      </c>
      <c r="C65" s="58" t="s">
        <v>3713</v>
      </c>
      <c r="H65" s="58" t="s">
        <v>1771</v>
      </c>
      <c r="N65" s="58" t="s">
        <v>2661</v>
      </c>
      <c r="Q65" s="58" t="s">
        <v>1936</v>
      </c>
      <c r="T65" s="58" t="s">
        <v>4676</v>
      </c>
      <c r="U65" s="58" t="s">
        <v>4493</v>
      </c>
      <c r="AB65" s="58" t="s">
        <v>4721</v>
      </c>
      <c r="AC65" s="58" t="s">
        <v>3793</v>
      </c>
      <c r="AE65" s="58" t="s">
        <v>2112</v>
      </c>
      <c r="AH65" s="58" t="s">
        <v>4729</v>
      </c>
    </row>
    <row r="66" spans="1:34" x14ac:dyDescent="0.25">
      <c r="A66" s="58" t="s">
        <v>2702</v>
      </c>
      <c r="C66" s="58" t="s">
        <v>3714</v>
      </c>
      <c r="H66" s="58" t="s">
        <v>1772</v>
      </c>
      <c r="N66" s="58" t="s">
        <v>2662</v>
      </c>
      <c r="Q66" s="58" t="s">
        <v>1937</v>
      </c>
      <c r="T66" s="58" t="s">
        <v>4677</v>
      </c>
      <c r="U66" s="58" t="s">
        <v>4571</v>
      </c>
      <c r="AB66" s="58" t="s">
        <v>4722</v>
      </c>
      <c r="AC66" s="58" t="s">
        <v>3794</v>
      </c>
      <c r="AE66" s="58" t="s">
        <v>2113</v>
      </c>
      <c r="AH66" s="58" t="s">
        <v>4730</v>
      </c>
    </row>
    <row r="67" spans="1:34" x14ac:dyDescent="0.25">
      <c r="A67" s="58" t="s">
        <v>2703</v>
      </c>
      <c r="C67" s="58" t="s">
        <v>3715</v>
      </c>
      <c r="H67" s="58" t="s">
        <v>1773</v>
      </c>
      <c r="N67" s="58" t="s">
        <v>2663</v>
      </c>
      <c r="Q67" s="58" t="s">
        <v>1938</v>
      </c>
      <c r="T67" s="58" t="s">
        <v>4678</v>
      </c>
      <c r="U67" s="58" t="s">
        <v>4572</v>
      </c>
      <c r="AB67" s="58" t="s">
        <v>4723</v>
      </c>
      <c r="AC67" s="58" t="s">
        <v>3795</v>
      </c>
      <c r="AE67" s="58" t="s">
        <v>2114</v>
      </c>
      <c r="AH67" s="58" t="s">
        <v>4731</v>
      </c>
    </row>
    <row r="68" spans="1:34" x14ac:dyDescent="0.25">
      <c r="A68" s="58" t="s">
        <v>2704</v>
      </c>
      <c r="C68" s="58" t="s">
        <v>3716</v>
      </c>
      <c r="H68" s="58" t="s">
        <v>1774</v>
      </c>
      <c r="N68" s="58" t="s">
        <v>2664</v>
      </c>
      <c r="Q68" s="58" t="s">
        <v>1939</v>
      </c>
      <c r="T68" s="58" t="s">
        <v>4679</v>
      </c>
      <c r="U68" s="58" t="s">
        <v>4573</v>
      </c>
      <c r="AC68" s="58" t="s">
        <v>4014</v>
      </c>
      <c r="AE68" s="58" t="s">
        <v>2115</v>
      </c>
      <c r="AH68" s="58" t="s">
        <v>4732</v>
      </c>
    </row>
    <row r="69" spans="1:34" x14ac:dyDescent="0.25">
      <c r="A69" s="58" t="s">
        <v>2705</v>
      </c>
      <c r="C69" s="58" t="s">
        <v>3823</v>
      </c>
      <c r="H69" s="58" t="s">
        <v>1775</v>
      </c>
      <c r="N69" s="58" t="s">
        <v>2665</v>
      </c>
      <c r="Q69" s="58" t="s">
        <v>1940</v>
      </c>
      <c r="U69" s="58" t="s">
        <v>4574</v>
      </c>
      <c r="AC69" s="58" t="s">
        <v>4015</v>
      </c>
      <c r="AE69" s="58" t="s">
        <v>2116</v>
      </c>
      <c r="AH69" s="58" t="s">
        <v>4733</v>
      </c>
    </row>
    <row r="70" spans="1:34" x14ac:dyDescent="0.25">
      <c r="A70" s="58" t="s">
        <v>2706</v>
      </c>
      <c r="C70" s="58" t="s">
        <v>3824</v>
      </c>
      <c r="H70" s="58" t="s">
        <v>1776</v>
      </c>
      <c r="N70" s="58" t="s">
        <v>2666</v>
      </c>
      <c r="Q70" s="58" t="s">
        <v>1941</v>
      </c>
      <c r="U70" s="58" t="s">
        <v>4575</v>
      </c>
      <c r="AC70" s="58" t="s">
        <v>4510</v>
      </c>
      <c r="AE70" s="58" t="s">
        <v>2117</v>
      </c>
      <c r="AH70" s="58" t="s">
        <v>4734</v>
      </c>
    </row>
    <row r="71" spans="1:34" x14ac:dyDescent="0.25">
      <c r="A71" s="58" t="s">
        <v>2707</v>
      </c>
      <c r="C71" s="58" t="s">
        <v>3825</v>
      </c>
      <c r="H71" s="58" t="s">
        <v>1777</v>
      </c>
      <c r="N71" s="58" t="s">
        <v>2667</v>
      </c>
      <c r="Q71" s="58" t="s">
        <v>1942</v>
      </c>
      <c r="U71" s="58" t="s">
        <v>4576</v>
      </c>
      <c r="AC71" s="58" t="s">
        <v>4511</v>
      </c>
      <c r="AE71" s="58" t="s">
        <v>2118</v>
      </c>
      <c r="AH71" s="58" t="s">
        <v>4735</v>
      </c>
    </row>
    <row r="72" spans="1:34" x14ac:dyDescent="0.25">
      <c r="A72" s="58" t="s">
        <v>2708</v>
      </c>
      <c r="C72" s="58" t="s">
        <v>3826</v>
      </c>
      <c r="H72" s="58" t="s">
        <v>1778</v>
      </c>
      <c r="N72" s="58" t="s">
        <v>2668</v>
      </c>
      <c r="Q72" s="58" t="s">
        <v>1943</v>
      </c>
      <c r="U72" s="58" t="s">
        <v>4577</v>
      </c>
      <c r="AC72" s="58" t="s">
        <v>4607</v>
      </c>
      <c r="AE72" s="58" t="s">
        <v>2119</v>
      </c>
    </row>
    <row r="73" spans="1:34" x14ac:dyDescent="0.25">
      <c r="A73" s="58" t="s">
        <v>2709</v>
      </c>
      <c r="C73" s="58" t="s">
        <v>4058</v>
      </c>
      <c r="H73" s="58" t="s">
        <v>1779</v>
      </c>
      <c r="N73" s="58" t="s">
        <v>2669</v>
      </c>
      <c r="Q73" s="58" t="s">
        <v>1944</v>
      </c>
      <c r="U73" s="58" t="s">
        <v>4680</v>
      </c>
      <c r="AC73" s="58" t="s">
        <v>4608</v>
      </c>
      <c r="AE73" s="58" t="s">
        <v>2120</v>
      </c>
    </row>
    <row r="74" spans="1:34" x14ac:dyDescent="0.25">
      <c r="A74" s="58" t="s">
        <v>2710</v>
      </c>
      <c r="C74" s="58" t="s">
        <v>4059</v>
      </c>
      <c r="H74" s="58" t="s">
        <v>1780</v>
      </c>
      <c r="N74" s="58" t="s">
        <v>2670</v>
      </c>
      <c r="Q74" s="58" t="s">
        <v>1945</v>
      </c>
      <c r="U74" s="58" t="s">
        <v>4681</v>
      </c>
      <c r="AC74" s="58" t="s">
        <v>4724</v>
      </c>
    </row>
    <row r="75" spans="1:34" x14ac:dyDescent="0.25">
      <c r="A75" s="58" t="s">
        <v>2711</v>
      </c>
      <c r="C75" s="58" t="s">
        <v>4060</v>
      </c>
      <c r="H75" s="58" t="s">
        <v>1781</v>
      </c>
      <c r="N75" s="58" t="s">
        <v>2671</v>
      </c>
      <c r="Q75" s="58" t="s">
        <v>1946</v>
      </c>
      <c r="U75" s="58" t="s">
        <v>4682</v>
      </c>
      <c r="AC75" s="58" t="s">
        <v>4725</v>
      </c>
    </row>
    <row r="76" spans="1:34" x14ac:dyDescent="0.25">
      <c r="A76" s="58" t="s">
        <v>2712</v>
      </c>
      <c r="C76" s="58" t="s">
        <v>4061</v>
      </c>
      <c r="H76" s="58" t="s">
        <v>1782</v>
      </c>
      <c r="N76" s="58" t="s">
        <v>2672</v>
      </c>
      <c r="Q76" s="58" t="s">
        <v>1947</v>
      </c>
      <c r="U76" s="58" t="s">
        <v>4683</v>
      </c>
      <c r="AC76" s="58" t="s">
        <v>4726</v>
      </c>
    </row>
    <row r="77" spans="1:34" x14ac:dyDescent="0.25">
      <c r="A77" s="58" t="s">
        <v>2713</v>
      </c>
      <c r="C77" s="58" t="s">
        <v>4062</v>
      </c>
      <c r="H77" s="58" t="s">
        <v>1783</v>
      </c>
      <c r="N77" s="58" t="s">
        <v>2673</v>
      </c>
      <c r="Q77" s="58" t="s">
        <v>1948</v>
      </c>
      <c r="U77" s="58" t="s">
        <v>4684</v>
      </c>
    </row>
    <row r="78" spans="1:34" x14ac:dyDescent="0.25">
      <c r="A78" s="58" t="s">
        <v>2714</v>
      </c>
      <c r="C78" s="58" t="s">
        <v>4543</v>
      </c>
      <c r="H78" s="58" t="s">
        <v>1784</v>
      </c>
      <c r="N78" s="58" t="s">
        <v>2674</v>
      </c>
      <c r="Q78" s="58" t="s">
        <v>1949</v>
      </c>
    </row>
    <row r="79" spans="1:34" x14ac:dyDescent="0.25">
      <c r="A79" s="58" t="s">
        <v>2715</v>
      </c>
      <c r="C79" s="58" t="s">
        <v>4544</v>
      </c>
      <c r="H79" s="58" t="s">
        <v>1785</v>
      </c>
      <c r="N79" s="58" t="s">
        <v>2675</v>
      </c>
      <c r="Q79" s="58" t="s">
        <v>1950</v>
      </c>
    </row>
    <row r="80" spans="1:34" x14ac:dyDescent="0.25">
      <c r="A80" s="58" t="s">
        <v>2716</v>
      </c>
      <c r="C80" s="58" t="s">
        <v>4545</v>
      </c>
      <c r="H80" s="58" t="s">
        <v>1786</v>
      </c>
      <c r="N80" s="58" t="s">
        <v>3162</v>
      </c>
      <c r="Q80" s="58" t="s">
        <v>1951</v>
      </c>
    </row>
    <row r="81" spans="1:17" x14ac:dyDescent="0.25">
      <c r="A81" s="58" t="s">
        <v>2717</v>
      </c>
      <c r="C81" s="58" t="s">
        <v>4546</v>
      </c>
      <c r="H81" s="58" t="s">
        <v>1787</v>
      </c>
      <c r="N81" s="58" t="s">
        <v>3163</v>
      </c>
      <c r="Q81" s="58" t="s">
        <v>1952</v>
      </c>
    </row>
    <row r="82" spans="1:17" x14ac:dyDescent="0.25">
      <c r="A82" s="58" t="s">
        <v>2718</v>
      </c>
      <c r="C82" s="58" t="s">
        <v>4547</v>
      </c>
      <c r="H82" s="58" t="s">
        <v>1788</v>
      </c>
      <c r="N82" s="58" t="s">
        <v>3164</v>
      </c>
      <c r="Q82" s="58" t="s">
        <v>1953</v>
      </c>
    </row>
    <row r="83" spans="1:17" x14ac:dyDescent="0.25">
      <c r="A83" s="58" t="s">
        <v>3192</v>
      </c>
      <c r="C83" s="58" t="s">
        <v>4548</v>
      </c>
      <c r="H83" s="58" t="s">
        <v>1789</v>
      </c>
      <c r="N83" s="58" t="s">
        <v>3165</v>
      </c>
      <c r="Q83" s="58" t="s">
        <v>2062</v>
      </c>
    </row>
    <row r="84" spans="1:17" x14ac:dyDescent="0.25">
      <c r="A84" s="58" t="s">
        <v>3193</v>
      </c>
      <c r="C84" s="58" t="s">
        <v>4630</v>
      </c>
      <c r="H84" s="58" t="s">
        <v>1790</v>
      </c>
      <c r="N84" s="58" t="s">
        <v>3678</v>
      </c>
      <c r="Q84" s="58" t="s">
        <v>2063</v>
      </c>
    </row>
    <row r="85" spans="1:17" x14ac:dyDescent="0.25">
      <c r="A85" s="58" t="s">
        <v>3194</v>
      </c>
      <c r="C85" s="58" t="s">
        <v>4631</v>
      </c>
      <c r="H85" s="58" t="s">
        <v>1791</v>
      </c>
      <c r="N85" s="58" t="s">
        <v>3679</v>
      </c>
      <c r="Q85" s="58" t="s">
        <v>2064</v>
      </c>
    </row>
    <row r="86" spans="1:17" x14ac:dyDescent="0.25">
      <c r="A86" s="58" t="s">
        <v>3195</v>
      </c>
      <c r="C86" s="58" t="s">
        <v>4632</v>
      </c>
      <c r="H86" s="58" t="s">
        <v>1792</v>
      </c>
      <c r="N86" s="58" t="s">
        <v>3680</v>
      </c>
      <c r="Q86" s="58" t="s">
        <v>2065</v>
      </c>
    </row>
    <row r="87" spans="1:17" x14ac:dyDescent="0.25">
      <c r="A87" s="58" t="s">
        <v>3196</v>
      </c>
      <c r="C87" s="58" t="s">
        <v>4633</v>
      </c>
      <c r="H87" s="58" t="s">
        <v>1793</v>
      </c>
      <c r="N87" s="58" t="s">
        <v>3681</v>
      </c>
      <c r="Q87" s="58" t="s">
        <v>2066</v>
      </c>
    </row>
    <row r="88" spans="1:17" x14ac:dyDescent="0.25">
      <c r="A88" s="58" t="s">
        <v>3197</v>
      </c>
      <c r="C88" s="58" t="s">
        <v>4773</v>
      </c>
      <c r="H88" s="58" t="s">
        <v>1794</v>
      </c>
      <c r="N88" s="58" t="s">
        <v>3682</v>
      </c>
      <c r="Q88" s="58" t="s">
        <v>2067</v>
      </c>
    </row>
    <row r="89" spans="1:17" x14ac:dyDescent="0.25">
      <c r="A89" s="58" t="s">
        <v>3198</v>
      </c>
      <c r="C89" s="58" t="s">
        <v>4774</v>
      </c>
      <c r="H89" s="58" t="s">
        <v>1795</v>
      </c>
      <c r="N89" s="58" t="s">
        <v>3683</v>
      </c>
      <c r="Q89" s="58" t="s">
        <v>2068</v>
      </c>
    </row>
    <row r="90" spans="1:17" x14ac:dyDescent="0.25">
      <c r="A90" s="58" t="s">
        <v>3199</v>
      </c>
      <c r="C90" s="58" t="s">
        <v>4775</v>
      </c>
      <c r="H90" s="58" t="s">
        <v>1796</v>
      </c>
      <c r="N90" s="58" t="s">
        <v>3797</v>
      </c>
      <c r="Q90" s="58" t="s">
        <v>2069</v>
      </c>
    </row>
    <row r="91" spans="1:17" x14ac:dyDescent="0.25">
      <c r="A91" s="58" t="s">
        <v>3200</v>
      </c>
      <c r="C91" s="58" t="s">
        <v>4776</v>
      </c>
      <c r="H91" s="58" t="s">
        <v>1797</v>
      </c>
      <c r="N91" s="58" t="s">
        <v>3798</v>
      </c>
      <c r="Q91" s="58" t="s">
        <v>2070</v>
      </c>
    </row>
    <row r="92" spans="1:17" x14ac:dyDescent="0.25">
      <c r="A92" s="58" t="s">
        <v>3201</v>
      </c>
      <c r="C92" s="58" t="s">
        <v>4777</v>
      </c>
      <c r="H92" s="58" t="s">
        <v>1798</v>
      </c>
      <c r="N92" s="58" t="s">
        <v>3799</v>
      </c>
    </row>
    <row r="93" spans="1:17" x14ac:dyDescent="0.25">
      <c r="A93" s="58" t="s">
        <v>3202</v>
      </c>
      <c r="C93" s="58" t="s">
        <v>4778</v>
      </c>
      <c r="H93" s="58" t="s">
        <v>1799</v>
      </c>
      <c r="N93" s="58" t="s">
        <v>3800</v>
      </c>
    </row>
    <row r="94" spans="1:17" x14ac:dyDescent="0.25">
      <c r="A94" s="58" t="s">
        <v>3203</v>
      </c>
      <c r="H94" s="58" t="s">
        <v>1800</v>
      </c>
      <c r="N94" s="58" t="s">
        <v>3801</v>
      </c>
    </row>
    <row r="95" spans="1:17" x14ac:dyDescent="0.25">
      <c r="A95" s="58" t="s">
        <v>3204</v>
      </c>
      <c r="H95" s="58" t="s">
        <v>1801</v>
      </c>
      <c r="N95" s="58" t="s">
        <v>3802</v>
      </c>
    </row>
    <row r="96" spans="1:17" x14ac:dyDescent="0.25">
      <c r="A96" s="58" t="s">
        <v>3205</v>
      </c>
      <c r="H96" s="58" t="s">
        <v>2171</v>
      </c>
      <c r="N96" s="58" t="s">
        <v>3803</v>
      </c>
    </row>
    <row r="97" spans="1:14" x14ac:dyDescent="0.25">
      <c r="A97" s="58" t="s">
        <v>3699</v>
      </c>
      <c r="H97" s="58" t="s">
        <v>2172</v>
      </c>
      <c r="N97" s="58" t="s">
        <v>3804</v>
      </c>
    </row>
    <row r="98" spans="1:14" x14ac:dyDescent="0.25">
      <c r="A98" s="58" t="s">
        <v>3700</v>
      </c>
      <c r="H98" s="58" t="s">
        <v>2173</v>
      </c>
      <c r="N98" s="58" t="s">
        <v>4019</v>
      </c>
    </row>
    <row r="99" spans="1:14" x14ac:dyDescent="0.25">
      <c r="A99" s="58" t="s">
        <v>3701</v>
      </c>
      <c r="H99" s="58" t="s">
        <v>2174</v>
      </c>
      <c r="N99" s="58" t="s">
        <v>4020</v>
      </c>
    </row>
    <row r="100" spans="1:14" x14ac:dyDescent="0.25">
      <c r="A100" s="58" t="s">
        <v>3702</v>
      </c>
      <c r="H100" s="58" t="s">
        <v>2175</v>
      </c>
      <c r="N100" s="58" t="s">
        <v>4021</v>
      </c>
    </row>
    <row r="101" spans="1:14" x14ac:dyDescent="0.25">
      <c r="A101" s="58" t="s">
        <v>3703</v>
      </c>
      <c r="H101" s="58" t="s">
        <v>2176</v>
      </c>
      <c r="N101" s="58" t="s">
        <v>4022</v>
      </c>
    </row>
    <row r="102" spans="1:14" x14ac:dyDescent="0.25">
      <c r="A102" s="58" t="s">
        <v>3704</v>
      </c>
      <c r="H102" s="58" t="s">
        <v>2177</v>
      </c>
      <c r="N102" s="58" t="s">
        <v>4023</v>
      </c>
    </row>
    <row r="103" spans="1:14" x14ac:dyDescent="0.25">
      <c r="A103" s="58" t="s">
        <v>3705</v>
      </c>
      <c r="H103" s="58" t="s">
        <v>2178</v>
      </c>
      <c r="N103" s="58" t="s">
        <v>4024</v>
      </c>
    </row>
    <row r="104" spans="1:14" x14ac:dyDescent="0.25">
      <c r="A104" s="58" t="s">
        <v>3706</v>
      </c>
      <c r="H104" s="58" t="s">
        <v>2179</v>
      </c>
      <c r="N104" s="58" t="s">
        <v>4515</v>
      </c>
    </row>
    <row r="105" spans="1:14" x14ac:dyDescent="0.25">
      <c r="A105" s="58" t="s">
        <v>3707</v>
      </c>
      <c r="H105" s="58" t="s">
        <v>2180</v>
      </c>
      <c r="N105" s="58" t="s">
        <v>4516</v>
      </c>
    </row>
    <row r="106" spans="1:14" x14ac:dyDescent="0.25">
      <c r="A106" s="58" t="s">
        <v>3815</v>
      </c>
      <c r="H106" s="58" t="s">
        <v>2181</v>
      </c>
      <c r="N106" s="58" t="s">
        <v>4517</v>
      </c>
    </row>
    <row r="107" spans="1:14" x14ac:dyDescent="0.25">
      <c r="A107" s="58" t="s">
        <v>3816</v>
      </c>
      <c r="H107" s="58" t="s">
        <v>2343</v>
      </c>
      <c r="N107" s="58" t="s">
        <v>4518</v>
      </c>
    </row>
    <row r="108" spans="1:14" x14ac:dyDescent="0.25">
      <c r="A108" s="58" t="s">
        <v>3817</v>
      </c>
      <c r="H108" s="58" t="s">
        <v>2481</v>
      </c>
      <c r="N108" s="58" t="s">
        <v>4614</v>
      </c>
    </row>
    <row r="109" spans="1:14" x14ac:dyDescent="0.25">
      <c r="A109" s="58" t="s">
        <v>3818</v>
      </c>
      <c r="H109" s="58" t="s">
        <v>2482</v>
      </c>
      <c r="N109" s="58" t="s">
        <v>4615</v>
      </c>
    </row>
    <row r="110" spans="1:14" x14ac:dyDescent="0.25">
      <c r="A110" s="58" t="s">
        <v>3819</v>
      </c>
      <c r="H110" s="58" t="s">
        <v>2483</v>
      </c>
      <c r="N110" s="58" t="s">
        <v>4616</v>
      </c>
    </row>
    <row r="111" spans="1:14" x14ac:dyDescent="0.25">
      <c r="A111" s="58" t="s">
        <v>3820</v>
      </c>
      <c r="H111" s="58" t="s">
        <v>2484</v>
      </c>
      <c r="N111" s="58" t="s">
        <v>4617</v>
      </c>
    </row>
    <row r="112" spans="1:14" x14ac:dyDescent="0.25">
      <c r="A112" s="58" t="s">
        <v>3821</v>
      </c>
      <c r="H112" s="58" t="s">
        <v>2485</v>
      </c>
      <c r="N112" s="58" t="s">
        <v>4736</v>
      </c>
    </row>
    <row r="113" spans="1:14" x14ac:dyDescent="0.25">
      <c r="A113" s="58" t="s">
        <v>3822</v>
      </c>
      <c r="H113" s="58" t="s">
        <v>2486</v>
      </c>
      <c r="N113" s="58" t="s">
        <v>4737</v>
      </c>
    </row>
    <row r="114" spans="1:14" x14ac:dyDescent="0.25">
      <c r="A114" s="58" t="s">
        <v>4051</v>
      </c>
      <c r="H114" s="58" t="s">
        <v>2682</v>
      </c>
      <c r="N114" s="58" t="s">
        <v>4738</v>
      </c>
    </row>
    <row r="115" spans="1:14" x14ac:dyDescent="0.25">
      <c r="A115" s="58" t="s">
        <v>4052</v>
      </c>
      <c r="H115" s="58" t="s">
        <v>2683</v>
      </c>
    </row>
    <row r="116" spans="1:14" x14ac:dyDescent="0.25">
      <c r="A116" s="58" t="s">
        <v>4053</v>
      </c>
      <c r="H116" s="58" t="s">
        <v>2684</v>
      </c>
    </row>
    <row r="117" spans="1:14" x14ac:dyDescent="0.25">
      <c r="A117" s="58" t="s">
        <v>4054</v>
      </c>
      <c r="H117" s="58" t="s">
        <v>2685</v>
      </c>
    </row>
    <row r="118" spans="1:14" x14ac:dyDescent="0.25">
      <c r="A118" s="58" t="s">
        <v>4055</v>
      </c>
      <c r="H118" s="58" t="s">
        <v>2686</v>
      </c>
    </row>
    <row r="119" spans="1:14" x14ac:dyDescent="0.25">
      <c r="A119" s="58" t="s">
        <v>4056</v>
      </c>
      <c r="H119" s="58" t="s">
        <v>2687</v>
      </c>
    </row>
    <row r="120" spans="1:14" x14ac:dyDescent="0.25">
      <c r="A120" s="58" t="s">
        <v>4057</v>
      </c>
      <c r="H120" s="58" t="s">
        <v>2688</v>
      </c>
    </row>
    <row r="121" spans="1:14" x14ac:dyDescent="0.25">
      <c r="A121" s="58" t="s">
        <v>4539</v>
      </c>
      <c r="H121" s="58" t="s">
        <v>2689</v>
      </c>
    </row>
    <row r="122" spans="1:14" x14ac:dyDescent="0.25">
      <c r="A122" s="58" t="s">
        <v>4540</v>
      </c>
      <c r="H122" s="58" t="s">
        <v>2690</v>
      </c>
    </row>
    <row r="123" spans="1:14" x14ac:dyDescent="0.25">
      <c r="A123" s="58" t="s">
        <v>4541</v>
      </c>
      <c r="H123" s="58" t="s">
        <v>2691</v>
      </c>
    </row>
    <row r="124" spans="1:14" x14ac:dyDescent="0.25">
      <c r="A124" s="58" t="s">
        <v>4542</v>
      </c>
      <c r="H124" s="58" t="s">
        <v>2692</v>
      </c>
    </row>
    <row r="125" spans="1:14" x14ac:dyDescent="0.25">
      <c r="A125" s="58" t="s">
        <v>4629</v>
      </c>
      <c r="H125" s="58" t="s">
        <v>2693</v>
      </c>
    </row>
    <row r="126" spans="1:14" x14ac:dyDescent="0.25">
      <c r="A126" s="58" t="s">
        <v>4770</v>
      </c>
      <c r="H126" s="58" t="s">
        <v>2694</v>
      </c>
    </row>
    <row r="127" spans="1:14" x14ac:dyDescent="0.25">
      <c r="A127" s="58" t="s">
        <v>4771</v>
      </c>
      <c r="H127" s="58" t="s">
        <v>2695</v>
      </c>
    </row>
    <row r="128" spans="1:14" x14ac:dyDescent="0.25">
      <c r="A128" s="58" t="s">
        <v>4772</v>
      </c>
      <c r="H128" s="58" t="s">
        <v>2696</v>
      </c>
    </row>
    <row r="129" spans="8:8" x14ac:dyDescent="0.25">
      <c r="H129" s="58" t="s">
        <v>2697</v>
      </c>
    </row>
    <row r="130" spans="8:8" x14ac:dyDescent="0.25">
      <c r="H130" s="58" t="s">
        <v>2698</v>
      </c>
    </row>
    <row r="131" spans="8:8" x14ac:dyDescent="0.25">
      <c r="H131" s="58" t="s">
        <v>3179</v>
      </c>
    </row>
    <row r="132" spans="8:8" x14ac:dyDescent="0.25">
      <c r="H132" s="58" t="s">
        <v>3180</v>
      </c>
    </row>
    <row r="133" spans="8:8" x14ac:dyDescent="0.25">
      <c r="H133" s="58" t="s">
        <v>3181</v>
      </c>
    </row>
    <row r="134" spans="8:8" x14ac:dyDescent="0.25">
      <c r="H134" s="58" t="s">
        <v>3182</v>
      </c>
    </row>
    <row r="135" spans="8:8" x14ac:dyDescent="0.25">
      <c r="H135" s="58" t="s">
        <v>3183</v>
      </c>
    </row>
    <row r="136" spans="8:8" x14ac:dyDescent="0.25">
      <c r="H136" s="58" t="s">
        <v>3184</v>
      </c>
    </row>
    <row r="137" spans="8:8" x14ac:dyDescent="0.25">
      <c r="H137" s="58" t="s">
        <v>3185</v>
      </c>
    </row>
    <row r="138" spans="8:8" x14ac:dyDescent="0.25">
      <c r="H138" s="58" t="s">
        <v>3186</v>
      </c>
    </row>
    <row r="139" spans="8:8" x14ac:dyDescent="0.25">
      <c r="H139" s="58" t="s">
        <v>3187</v>
      </c>
    </row>
    <row r="140" spans="8:8" x14ac:dyDescent="0.25">
      <c r="H140" s="58" t="s">
        <v>3188</v>
      </c>
    </row>
    <row r="141" spans="8:8" x14ac:dyDescent="0.25">
      <c r="H141" s="58" t="s">
        <v>3189</v>
      </c>
    </row>
    <row r="142" spans="8:8" x14ac:dyDescent="0.25">
      <c r="H142" s="58" t="s">
        <v>3190</v>
      </c>
    </row>
    <row r="143" spans="8:8" x14ac:dyDescent="0.25">
      <c r="H143" s="58" t="s">
        <v>3191</v>
      </c>
    </row>
    <row r="144" spans="8:8" x14ac:dyDescent="0.25">
      <c r="H144" s="58" t="s">
        <v>3691</v>
      </c>
    </row>
    <row r="145" spans="8:8" x14ac:dyDescent="0.25">
      <c r="H145" s="58" t="s">
        <v>3692</v>
      </c>
    </row>
    <row r="146" spans="8:8" x14ac:dyDescent="0.25">
      <c r="H146" s="58" t="s">
        <v>3693</v>
      </c>
    </row>
    <row r="147" spans="8:8" x14ac:dyDescent="0.25">
      <c r="H147" s="58" t="s">
        <v>3694</v>
      </c>
    </row>
    <row r="148" spans="8:8" x14ac:dyDescent="0.25">
      <c r="H148" s="58" t="s">
        <v>3695</v>
      </c>
    </row>
    <row r="149" spans="8:8" x14ac:dyDescent="0.25">
      <c r="H149" s="58" t="s">
        <v>3696</v>
      </c>
    </row>
    <row r="150" spans="8:8" x14ac:dyDescent="0.25">
      <c r="H150" s="58" t="s">
        <v>3697</v>
      </c>
    </row>
    <row r="151" spans="8:8" x14ac:dyDescent="0.25">
      <c r="H151" s="58" t="s">
        <v>3698</v>
      </c>
    </row>
    <row r="152" spans="8:8" x14ac:dyDescent="0.25">
      <c r="H152" s="58" t="s">
        <v>3807</v>
      </c>
    </row>
    <row r="153" spans="8:8" x14ac:dyDescent="0.25">
      <c r="H153" s="58" t="s">
        <v>3808</v>
      </c>
    </row>
    <row r="154" spans="8:8" x14ac:dyDescent="0.25">
      <c r="H154" s="58" t="s">
        <v>3809</v>
      </c>
    </row>
    <row r="155" spans="8:8" x14ac:dyDescent="0.25">
      <c r="H155" s="58" t="s">
        <v>3810</v>
      </c>
    </row>
    <row r="156" spans="8:8" x14ac:dyDescent="0.25">
      <c r="H156" s="58" t="s">
        <v>3811</v>
      </c>
    </row>
    <row r="157" spans="8:8" x14ac:dyDescent="0.25">
      <c r="H157" s="58" t="s">
        <v>3812</v>
      </c>
    </row>
    <row r="158" spans="8:8" x14ac:dyDescent="0.25">
      <c r="H158" s="58" t="s">
        <v>3813</v>
      </c>
    </row>
    <row r="159" spans="8:8" x14ac:dyDescent="0.25">
      <c r="H159" s="58" t="s">
        <v>3814</v>
      </c>
    </row>
    <row r="160" spans="8:8" x14ac:dyDescent="0.25">
      <c r="H160" s="58" t="s">
        <v>4038</v>
      </c>
    </row>
    <row r="161" spans="8:8" x14ac:dyDescent="0.25">
      <c r="H161" s="58" t="s">
        <v>4039</v>
      </c>
    </row>
    <row r="162" spans="8:8" x14ac:dyDescent="0.25">
      <c r="H162" s="58" t="s">
        <v>4040</v>
      </c>
    </row>
    <row r="163" spans="8:8" x14ac:dyDescent="0.25">
      <c r="H163" s="58" t="s">
        <v>4041</v>
      </c>
    </row>
    <row r="164" spans="8:8" x14ac:dyDescent="0.25">
      <c r="H164" s="58" t="s">
        <v>4042</v>
      </c>
    </row>
    <row r="165" spans="8:8" x14ac:dyDescent="0.25">
      <c r="H165" s="58" t="s">
        <v>4043</v>
      </c>
    </row>
    <row r="166" spans="8:8" x14ac:dyDescent="0.25">
      <c r="H166" s="58" t="s">
        <v>4044</v>
      </c>
    </row>
    <row r="167" spans="8:8" x14ac:dyDescent="0.25">
      <c r="H167" s="58" t="s">
        <v>4045</v>
      </c>
    </row>
    <row r="168" spans="8:8" x14ac:dyDescent="0.25">
      <c r="H168" s="58" t="s">
        <v>4046</v>
      </c>
    </row>
    <row r="169" spans="8:8" x14ac:dyDescent="0.25">
      <c r="H169" s="58" t="s">
        <v>4047</v>
      </c>
    </row>
    <row r="170" spans="8:8" x14ac:dyDescent="0.25">
      <c r="H170" s="58" t="s">
        <v>4048</v>
      </c>
    </row>
    <row r="171" spans="8:8" x14ac:dyDescent="0.25">
      <c r="H171" s="58" t="s">
        <v>4049</v>
      </c>
    </row>
    <row r="172" spans="8:8" x14ac:dyDescent="0.25">
      <c r="H172" s="58" t="s">
        <v>4050</v>
      </c>
    </row>
    <row r="173" spans="8:8" x14ac:dyDescent="0.25">
      <c r="H173" s="58" t="s">
        <v>4533</v>
      </c>
    </row>
    <row r="174" spans="8:8" x14ac:dyDescent="0.25">
      <c r="H174" s="58" t="s">
        <v>4534</v>
      </c>
    </row>
    <row r="175" spans="8:8" x14ac:dyDescent="0.25">
      <c r="H175" s="58" t="s">
        <v>4535</v>
      </c>
    </row>
    <row r="176" spans="8:8" x14ac:dyDescent="0.25">
      <c r="H176" s="58" t="s">
        <v>4536</v>
      </c>
    </row>
    <row r="177" spans="8:8" x14ac:dyDescent="0.25">
      <c r="H177" s="58" t="s">
        <v>4537</v>
      </c>
    </row>
    <row r="178" spans="8:8" x14ac:dyDescent="0.25">
      <c r="H178" s="58" t="s">
        <v>4538</v>
      </c>
    </row>
    <row r="179" spans="8:8" x14ac:dyDescent="0.25">
      <c r="H179" s="58" t="s">
        <v>4625</v>
      </c>
    </row>
    <row r="180" spans="8:8" x14ac:dyDescent="0.25">
      <c r="H180" s="58" t="s">
        <v>4626</v>
      </c>
    </row>
    <row r="181" spans="8:8" x14ac:dyDescent="0.25">
      <c r="H181" s="58" t="s">
        <v>4627</v>
      </c>
    </row>
    <row r="182" spans="8:8" x14ac:dyDescent="0.25">
      <c r="H182" s="58" t="s">
        <v>4628</v>
      </c>
    </row>
    <row r="183" spans="8:8" x14ac:dyDescent="0.25">
      <c r="H183" s="58" t="s">
        <v>4763</v>
      </c>
    </row>
    <row r="184" spans="8:8" x14ac:dyDescent="0.25">
      <c r="H184" s="58" t="s">
        <v>4764</v>
      </c>
    </row>
    <row r="185" spans="8:8" x14ac:dyDescent="0.25">
      <c r="H185" s="58" t="s">
        <v>4765</v>
      </c>
    </row>
    <row r="186" spans="8:8" x14ac:dyDescent="0.25">
      <c r="H186" s="58" t="s">
        <v>4766</v>
      </c>
    </row>
    <row r="187" spans="8:8" x14ac:dyDescent="0.25">
      <c r="H187" s="58" t="s">
        <v>4767</v>
      </c>
    </row>
    <row r="188" spans="8:8" x14ac:dyDescent="0.25">
      <c r="H188" s="58" t="s">
        <v>4768</v>
      </c>
    </row>
    <row r="189" spans="8:8" x14ac:dyDescent="0.25">
      <c r="H189" s="58" t="s">
        <v>4769</v>
      </c>
    </row>
    <row r="1082" spans="20:20" x14ac:dyDescent="0.25">
      <c r="T1082" s="58" t="s">
        <v>595</v>
      </c>
    </row>
  </sheetData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M934"/>
  <sheetViews>
    <sheetView workbookViewId="0">
      <selection activeCell="J2" sqref="J2"/>
    </sheetView>
  </sheetViews>
  <sheetFormatPr defaultRowHeight="13.2" x14ac:dyDescent="0.25"/>
  <cols>
    <col min="1" max="1" width="15.33203125" style="63" customWidth="1"/>
    <col min="2" max="2" width="73" customWidth="1"/>
    <col min="3" max="3" width="19.33203125" style="62" customWidth="1"/>
    <col min="4" max="4" width="17" style="62" customWidth="1"/>
    <col min="5" max="5" width="10.88671875" customWidth="1"/>
    <col min="6" max="6" width="13.44140625" style="62" customWidth="1"/>
    <col min="7" max="8" width="20.44140625" style="62" customWidth="1"/>
    <col min="9" max="9" width="9.109375" style="63" customWidth="1"/>
    <col min="10" max="10" width="17.88671875" customWidth="1"/>
    <col min="11" max="11" width="15.88671875" customWidth="1"/>
  </cols>
  <sheetData>
    <row r="1" spans="1:13" x14ac:dyDescent="0.25">
      <c r="A1" s="63" t="s">
        <v>172</v>
      </c>
      <c r="B1" t="s">
        <v>876</v>
      </c>
      <c r="C1" s="62" t="s">
        <v>654</v>
      </c>
      <c r="D1" s="62" t="s">
        <v>1210</v>
      </c>
      <c r="E1" t="s">
        <v>877</v>
      </c>
      <c r="F1" s="62" t="s">
        <v>878</v>
      </c>
      <c r="G1" s="62" t="s">
        <v>359</v>
      </c>
      <c r="H1" s="62" t="s">
        <v>924</v>
      </c>
      <c r="I1" s="63" t="s">
        <v>173</v>
      </c>
      <c r="J1" s="62" t="s">
        <v>1211</v>
      </c>
      <c r="K1" s="62" t="s">
        <v>1040</v>
      </c>
    </row>
    <row r="2" spans="1:13" x14ac:dyDescent="0.25">
      <c r="A2" s="63" t="s">
        <v>23</v>
      </c>
      <c r="B2" t="s">
        <v>925</v>
      </c>
      <c r="J2" s="62">
        <f>G2+H2</f>
        <v>0</v>
      </c>
      <c r="K2" s="62"/>
      <c r="M2" s="62"/>
    </row>
    <row r="3" spans="1:13" x14ac:dyDescent="0.25">
      <c r="A3" s="63" t="s">
        <v>23</v>
      </c>
      <c r="B3" t="s">
        <v>925</v>
      </c>
      <c r="J3" s="62"/>
      <c r="K3" s="62"/>
      <c r="M3" s="62"/>
    </row>
    <row r="4" spans="1:13" x14ac:dyDescent="0.25">
      <c r="A4" s="63" t="s">
        <v>23</v>
      </c>
      <c r="B4" t="s">
        <v>543</v>
      </c>
      <c r="J4" s="62"/>
      <c r="K4" s="62"/>
      <c r="M4" s="62"/>
    </row>
    <row r="5" spans="1:13" x14ac:dyDescent="0.25">
      <c r="A5" s="63" t="s">
        <v>23</v>
      </c>
      <c r="B5" t="s">
        <v>543</v>
      </c>
    </row>
    <row r="6" spans="1:13" x14ac:dyDescent="0.25">
      <c r="A6" s="63" t="s">
        <v>23</v>
      </c>
      <c r="B6" t="s">
        <v>1242</v>
      </c>
    </row>
    <row r="7" spans="1:13" x14ac:dyDescent="0.25">
      <c r="A7" s="63" t="s">
        <v>23</v>
      </c>
      <c r="B7" t="s">
        <v>544</v>
      </c>
    </row>
    <row r="8" spans="1:13" x14ac:dyDescent="0.25">
      <c r="A8" s="63" t="s">
        <v>23</v>
      </c>
      <c r="B8" t="s">
        <v>941</v>
      </c>
    </row>
    <row r="9" spans="1:13" x14ac:dyDescent="0.25">
      <c r="A9" s="63" t="s">
        <v>23</v>
      </c>
      <c r="B9" t="s">
        <v>941</v>
      </c>
    </row>
    <row r="10" spans="1:13" x14ac:dyDescent="0.25">
      <c r="A10" s="63" t="s">
        <v>23</v>
      </c>
      <c r="B10" t="s">
        <v>942</v>
      </c>
    </row>
    <row r="11" spans="1:13" x14ac:dyDescent="0.25">
      <c r="A11" s="63" t="s">
        <v>23</v>
      </c>
      <c r="B11" t="s">
        <v>942</v>
      </c>
    </row>
    <row r="12" spans="1:13" x14ac:dyDescent="0.25">
      <c r="A12" s="63" t="s">
        <v>23</v>
      </c>
      <c r="B12" t="s">
        <v>559</v>
      </c>
    </row>
    <row r="13" spans="1:13" x14ac:dyDescent="0.25">
      <c r="A13" s="63" t="s">
        <v>23</v>
      </c>
      <c r="B13" t="s">
        <v>559</v>
      </c>
    </row>
    <row r="14" spans="1:13" x14ac:dyDescent="0.25">
      <c r="A14" s="63" t="s">
        <v>23</v>
      </c>
      <c r="B14" t="s">
        <v>943</v>
      </c>
    </row>
    <row r="15" spans="1:13" x14ac:dyDescent="0.25">
      <c r="A15" s="63" t="s">
        <v>23</v>
      </c>
      <c r="B15" t="s">
        <v>943</v>
      </c>
    </row>
    <row r="16" spans="1:13" x14ac:dyDescent="0.25">
      <c r="A16" s="63" t="s">
        <v>23</v>
      </c>
      <c r="B16" t="s">
        <v>944</v>
      </c>
    </row>
    <row r="17" spans="1:9" x14ac:dyDescent="0.25">
      <c r="A17" s="63" t="s">
        <v>23</v>
      </c>
      <c r="B17" t="s">
        <v>944</v>
      </c>
    </row>
    <row r="18" spans="1:9" x14ac:dyDescent="0.25">
      <c r="A18" s="63" t="s">
        <v>23</v>
      </c>
      <c r="B18" t="s">
        <v>1243</v>
      </c>
    </row>
    <row r="19" spans="1:9" x14ac:dyDescent="0.25">
      <c r="A19" s="63" t="s">
        <v>23</v>
      </c>
      <c r="B19" t="s">
        <v>1243</v>
      </c>
    </row>
    <row r="20" spans="1:9" x14ac:dyDescent="0.25">
      <c r="A20" s="63" t="s">
        <v>23</v>
      </c>
      <c r="B20" t="s">
        <v>243</v>
      </c>
    </row>
    <row r="21" spans="1:9" x14ac:dyDescent="0.25">
      <c r="A21" s="63" t="s">
        <v>23</v>
      </c>
      <c r="B21" t="s">
        <v>945</v>
      </c>
    </row>
    <row r="22" spans="1:9" x14ac:dyDescent="0.25">
      <c r="A22" s="63" t="s">
        <v>23</v>
      </c>
      <c r="B22" t="s">
        <v>946</v>
      </c>
    </row>
    <row r="23" spans="1:9" x14ac:dyDescent="0.25">
      <c r="A23" s="63" t="s">
        <v>23</v>
      </c>
      <c r="B23" t="s">
        <v>1198</v>
      </c>
    </row>
    <row r="24" spans="1:9" x14ac:dyDescent="0.25">
      <c r="A24" s="63" t="s">
        <v>655</v>
      </c>
      <c r="I24" s="63" t="s">
        <v>655</v>
      </c>
    </row>
    <row r="25" spans="1:9" x14ac:dyDescent="0.25">
      <c r="A25" s="63" t="s">
        <v>655</v>
      </c>
      <c r="I25" s="63" t="s">
        <v>655</v>
      </c>
    </row>
    <row r="26" spans="1:9" x14ac:dyDescent="0.25">
      <c r="A26" s="63" t="s">
        <v>655</v>
      </c>
      <c r="I26" s="63" t="s">
        <v>655</v>
      </c>
    </row>
    <row r="27" spans="1:9" x14ac:dyDescent="0.25">
      <c r="A27" s="63" t="s">
        <v>655</v>
      </c>
      <c r="I27" s="63" t="s">
        <v>655</v>
      </c>
    </row>
    <row r="28" spans="1:9" x14ac:dyDescent="0.25">
      <c r="A28" s="63" t="s">
        <v>655</v>
      </c>
      <c r="I28" s="63" t="s">
        <v>655</v>
      </c>
    </row>
    <row r="29" spans="1:9" x14ac:dyDescent="0.25">
      <c r="A29" s="63" t="s">
        <v>655</v>
      </c>
      <c r="I29" s="63" t="s">
        <v>655</v>
      </c>
    </row>
    <row r="30" spans="1:9" x14ac:dyDescent="0.25">
      <c r="A30" s="63" t="s">
        <v>655</v>
      </c>
      <c r="I30" s="63" t="s">
        <v>655</v>
      </c>
    </row>
    <row r="31" spans="1:9" x14ac:dyDescent="0.25">
      <c r="A31" s="63" t="s">
        <v>655</v>
      </c>
      <c r="I31" s="63" t="s">
        <v>655</v>
      </c>
    </row>
    <row r="32" spans="1:9" x14ac:dyDescent="0.25">
      <c r="A32" s="63" t="s">
        <v>655</v>
      </c>
      <c r="I32" s="63" t="s">
        <v>655</v>
      </c>
    </row>
    <row r="33" spans="1:9" x14ac:dyDescent="0.25">
      <c r="A33" s="63" t="s">
        <v>655</v>
      </c>
      <c r="I33" s="63" t="s">
        <v>655</v>
      </c>
    </row>
    <row r="34" spans="1:9" x14ac:dyDescent="0.25">
      <c r="A34" s="63" t="s">
        <v>655</v>
      </c>
      <c r="I34" s="63" t="s">
        <v>655</v>
      </c>
    </row>
    <row r="35" spans="1:9" x14ac:dyDescent="0.25">
      <c r="A35" s="63" t="s">
        <v>655</v>
      </c>
      <c r="I35" s="63" t="s">
        <v>655</v>
      </c>
    </row>
    <row r="36" spans="1:9" x14ac:dyDescent="0.25">
      <c r="A36" s="63" t="s">
        <v>655</v>
      </c>
      <c r="I36" s="63" t="s">
        <v>655</v>
      </c>
    </row>
    <row r="37" spans="1:9" x14ac:dyDescent="0.25">
      <c r="A37" s="63" t="s">
        <v>655</v>
      </c>
      <c r="I37" s="63" t="s">
        <v>655</v>
      </c>
    </row>
    <row r="38" spans="1:9" x14ac:dyDescent="0.25">
      <c r="A38" s="63" t="s">
        <v>655</v>
      </c>
      <c r="I38" s="63" t="s">
        <v>655</v>
      </c>
    </row>
    <row r="39" spans="1:9" x14ac:dyDescent="0.25">
      <c r="A39" s="63" t="s">
        <v>655</v>
      </c>
      <c r="I39" s="63" t="s">
        <v>655</v>
      </c>
    </row>
    <row r="40" spans="1:9" x14ac:dyDescent="0.25">
      <c r="A40" s="63" t="s">
        <v>655</v>
      </c>
      <c r="I40" s="63" t="s">
        <v>655</v>
      </c>
    </row>
    <row r="41" spans="1:9" x14ac:dyDescent="0.25">
      <c r="A41" s="63" t="s">
        <v>655</v>
      </c>
      <c r="I41" s="63" t="s">
        <v>655</v>
      </c>
    </row>
    <row r="42" spans="1:9" x14ac:dyDescent="0.25">
      <c r="A42" s="63" t="s">
        <v>655</v>
      </c>
      <c r="I42" s="63" t="s">
        <v>655</v>
      </c>
    </row>
    <row r="43" spans="1:9" x14ac:dyDescent="0.25">
      <c r="A43" s="63" t="s">
        <v>655</v>
      </c>
      <c r="I43" s="63" t="s">
        <v>655</v>
      </c>
    </row>
    <row r="44" spans="1:9" x14ac:dyDescent="0.25">
      <c r="A44" s="63" t="s">
        <v>655</v>
      </c>
      <c r="I44" s="63" t="s">
        <v>655</v>
      </c>
    </row>
    <row r="45" spans="1:9" x14ac:dyDescent="0.25">
      <c r="A45" s="63" t="s">
        <v>655</v>
      </c>
      <c r="I45" s="63" t="s">
        <v>655</v>
      </c>
    </row>
    <row r="46" spans="1:9" x14ac:dyDescent="0.25">
      <c r="A46" s="63" t="s">
        <v>655</v>
      </c>
      <c r="I46" s="63" t="s">
        <v>655</v>
      </c>
    </row>
    <row r="47" spans="1:9" x14ac:dyDescent="0.25">
      <c r="A47" s="63" t="s">
        <v>655</v>
      </c>
      <c r="I47" s="63" t="s">
        <v>655</v>
      </c>
    </row>
    <row r="48" spans="1:9" x14ac:dyDescent="0.25">
      <c r="A48" s="63" t="s">
        <v>655</v>
      </c>
      <c r="I48" s="63" t="s">
        <v>655</v>
      </c>
    </row>
    <row r="49" spans="1:9" x14ac:dyDescent="0.25">
      <c r="A49" s="63" t="s">
        <v>655</v>
      </c>
      <c r="I49" s="63" t="s">
        <v>655</v>
      </c>
    </row>
    <row r="50" spans="1:9" x14ac:dyDescent="0.25">
      <c r="A50" s="63" t="s">
        <v>655</v>
      </c>
      <c r="I50" s="63" t="s">
        <v>655</v>
      </c>
    </row>
    <row r="51" spans="1:9" x14ac:dyDescent="0.25">
      <c r="A51" s="63" t="s">
        <v>655</v>
      </c>
      <c r="I51" s="63" t="s">
        <v>655</v>
      </c>
    </row>
    <row r="52" spans="1:9" x14ac:dyDescent="0.25">
      <c r="A52" s="63" t="s">
        <v>655</v>
      </c>
      <c r="I52" s="63" t="s">
        <v>655</v>
      </c>
    </row>
    <row r="53" spans="1:9" x14ac:dyDescent="0.25">
      <c r="A53" s="63" t="s">
        <v>655</v>
      </c>
      <c r="I53" s="63" t="s">
        <v>655</v>
      </c>
    </row>
    <row r="54" spans="1:9" x14ac:dyDescent="0.25">
      <c r="A54" s="63" t="s">
        <v>655</v>
      </c>
      <c r="I54" s="63" t="s">
        <v>655</v>
      </c>
    </row>
    <row r="55" spans="1:9" x14ac:dyDescent="0.25">
      <c r="A55" s="63" t="s">
        <v>655</v>
      </c>
      <c r="I55" s="63" t="s">
        <v>655</v>
      </c>
    </row>
    <row r="56" spans="1:9" x14ac:dyDescent="0.25">
      <c r="A56" s="63" t="s">
        <v>655</v>
      </c>
      <c r="I56" s="63" t="s">
        <v>655</v>
      </c>
    </row>
    <row r="57" spans="1:9" x14ac:dyDescent="0.25">
      <c r="A57" s="63" t="s">
        <v>655</v>
      </c>
      <c r="I57" s="63" t="s">
        <v>655</v>
      </c>
    </row>
    <row r="58" spans="1:9" x14ac:dyDescent="0.25">
      <c r="A58" s="63" t="s">
        <v>655</v>
      </c>
      <c r="I58" s="63" t="s">
        <v>655</v>
      </c>
    </row>
    <row r="59" spans="1:9" x14ac:dyDescent="0.25">
      <c r="A59" s="63" t="s">
        <v>655</v>
      </c>
      <c r="I59" s="63" t="s">
        <v>655</v>
      </c>
    </row>
    <row r="60" spans="1:9" x14ac:dyDescent="0.25">
      <c r="A60" s="63" t="s">
        <v>655</v>
      </c>
      <c r="I60" s="63" t="s">
        <v>655</v>
      </c>
    </row>
    <row r="61" spans="1:9" x14ac:dyDescent="0.25">
      <c r="A61" s="63" t="s">
        <v>655</v>
      </c>
      <c r="I61" s="63" t="s">
        <v>655</v>
      </c>
    </row>
    <row r="62" spans="1:9" x14ac:dyDescent="0.25">
      <c r="A62" s="63" t="s">
        <v>655</v>
      </c>
      <c r="I62" s="63" t="s">
        <v>655</v>
      </c>
    </row>
    <row r="63" spans="1:9" x14ac:dyDescent="0.25">
      <c r="A63" s="63" t="s">
        <v>655</v>
      </c>
      <c r="I63" s="63" t="s">
        <v>655</v>
      </c>
    </row>
    <row r="64" spans="1:9" x14ac:dyDescent="0.25">
      <c r="A64" s="63" t="s">
        <v>655</v>
      </c>
      <c r="I64" s="63" t="s">
        <v>655</v>
      </c>
    </row>
    <row r="65" spans="1:9" x14ac:dyDescent="0.25">
      <c r="A65" s="63" t="s">
        <v>655</v>
      </c>
      <c r="I65" s="63" t="s">
        <v>655</v>
      </c>
    </row>
    <row r="66" spans="1:9" x14ac:dyDescent="0.25">
      <c r="A66" s="63" t="s">
        <v>655</v>
      </c>
      <c r="I66" s="63" t="s">
        <v>655</v>
      </c>
    </row>
    <row r="67" spans="1:9" x14ac:dyDescent="0.25">
      <c r="A67" s="63" t="s">
        <v>655</v>
      </c>
      <c r="I67" s="63" t="s">
        <v>655</v>
      </c>
    </row>
    <row r="68" spans="1:9" x14ac:dyDescent="0.25">
      <c r="A68" s="63" t="s">
        <v>655</v>
      </c>
      <c r="I68" s="63" t="s">
        <v>655</v>
      </c>
    </row>
    <row r="69" spans="1:9" x14ac:dyDescent="0.25">
      <c r="A69" s="63" t="s">
        <v>655</v>
      </c>
      <c r="I69" s="63" t="s">
        <v>655</v>
      </c>
    </row>
    <row r="70" spans="1:9" x14ac:dyDescent="0.25">
      <c r="A70" s="63" t="s">
        <v>655</v>
      </c>
      <c r="I70" s="63" t="s">
        <v>655</v>
      </c>
    </row>
    <row r="71" spans="1:9" x14ac:dyDescent="0.25">
      <c r="A71" s="63" t="s">
        <v>655</v>
      </c>
      <c r="I71" s="63" t="s">
        <v>655</v>
      </c>
    </row>
    <row r="72" spans="1:9" x14ac:dyDescent="0.25">
      <c r="A72" s="63" t="s">
        <v>655</v>
      </c>
      <c r="I72" s="63" t="s">
        <v>655</v>
      </c>
    </row>
    <row r="73" spans="1:9" x14ac:dyDescent="0.25">
      <c r="A73" s="63" t="s">
        <v>655</v>
      </c>
      <c r="I73" s="63" t="s">
        <v>655</v>
      </c>
    </row>
    <row r="74" spans="1:9" x14ac:dyDescent="0.25">
      <c r="A74" s="63" t="s">
        <v>655</v>
      </c>
      <c r="I74" s="63" t="s">
        <v>655</v>
      </c>
    </row>
    <row r="75" spans="1:9" x14ac:dyDescent="0.25">
      <c r="A75" s="63" t="s">
        <v>655</v>
      </c>
      <c r="I75" s="63" t="s">
        <v>655</v>
      </c>
    </row>
    <row r="76" spans="1:9" x14ac:dyDescent="0.25">
      <c r="A76" s="63" t="s">
        <v>655</v>
      </c>
      <c r="I76" s="63" t="s">
        <v>655</v>
      </c>
    </row>
    <row r="77" spans="1:9" x14ac:dyDescent="0.25">
      <c r="A77" s="63" t="s">
        <v>655</v>
      </c>
      <c r="I77" s="63" t="s">
        <v>655</v>
      </c>
    </row>
    <row r="78" spans="1:9" x14ac:dyDescent="0.25">
      <c r="A78" s="63" t="s">
        <v>655</v>
      </c>
      <c r="I78" s="63" t="s">
        <v>655</v>
      </c>
    </row>
    <row r="79" spans="1:9" x14ac:dyDescent="0.25">
      <c r="A79" s="63" t="s">
        <v>655</v>
      </c>
      <c r="I79" s="63" t="s">
        <v>655</v>
      </c>
    </row>
    <row r="80" spans="1:9" x14ac:dyDescent="0.25">
      <c r="A80" s="63" t="s">
        <v>655</v>
      </c>
      <c r="I80" s="63" t="s">
        <v>655</v>
      </c>
    </row>
    <row r="81" spans="1:9" x14ac:dyDescent="0.25">
      <c r="A81" s="63" t="s">
        <v>655</v>
      </c>
      <c r="I81" s="63" t="s">
        <v>655</v>
      </c>
    </row>
    <row r="82" spans="1:9" x14ac:dyDescent="0.25">
      <c r="A82" s="63" t="s">
        <v>655</v>
      </c>
      <c r="I82" s="63" t="s">
        <v>655</v>
      </c>
    </row>
    <row r="83" spans="1:9" x14ac:dyDescent="0.25">
      <c r="A83" s="63" t="s">
        <v>655</v>
      </c>
      <c r="I83" s="63" t="s">
        <v>655</v>
      </c>
    </row>
    <row r="84" spans="1:9" x14ac:dyDescent="0.25">
      <c r="A84" s="63" t="s">
        <v>655</v>
      </c>
      <c r="I84" s="63" t="s">
        <v>655</v>
      </c>
    </row>
    <row r="85" spans="1:9" x14ac:dyDescent="0.25">
      <c r="A85" s="63" t="s">
        <v>655</v>
      </c>
      <c r="I85" s="63" t="s">
        <v>655</v>
      </c>
    </row>
    <row r="86" spans="1:9" x14ac:dyDescent="0.25">
      <c r="A86" s="63" t="s">
        <v>655</v>
      </c>
      <c r="I86" s="63" t="s">
        <v>655</v>
      </c>
    </row>
    <row r="87" spans="1:9" x14ac:dyDescent="0.25">
      <c r="A87" s="63" t="s">
        <v>655</v>
      </c>
      <c r="I87" s="63" t="s">
        <v>655</v>
      </c>
    </row>
    <row r="88" spans="1:9" x14ac:dyDescent="0.25">
      <c r="A88" s="63" t="s">
        <v>655</v>
      </c>
      <c r="I88" s="63" t="s">
        <v>655</v>
      </c>
    </row>
    <row r="89" spans="1:9" x14ac:dyDescent="0.25">
      <c r="A89" s="63" t="s">
        <v>655</v>
      </c>
      <c r="I89" s="63" t="s">
        <v>655</v>
      </c>
    </row>
    <row r="90" spans="1:9" x14ac:dyDescent="0.25">
      <c r="A90" s="63" t="s">
        <v>655</v>
      </c>
      <c r="I90" s="63" t="s">
        <v>655</v>
      </c>
    </row>
    <row r="91" spans="1:9" x14ac:dyDescent="0.25">
      <c r="A91" s="63" t="s">
        <v>655</v>
      </c>
      <c r="I91" s="63" t="s">
        <v>655</v>
      </c>
    </row>
    <row r="92" spans="1:9" x14ac:dyDescent="0.25">
      <c r="A92" s="63" t="s">
        <v>655</v>
      </c>
      <c r="I92" s="63" t="s">
        <v>655</v>
      </c>
    </row>
    <row r="93" spans="1:9" x14ac:dyDescent="0.25">
      <c r="A93" s="63" t="s">
        <v>655</v>
      </c>
      <c r="I93" s="63" t="s">
        <v>655</v>
      </c>
    </row>
    <row r="94" spans="1:9" x14ac:dyDescent="0.25">
      <c r="A94" s="63" t="s">
        <v>655</v>
      </c>
      <c r="I94" s="63" t="s">
        <v>655</v>
      </c>
    </row>
    <row r="95" spans="1:9" x14ac:dyDescent="0.25">
      <c r="A95" s="63" t="s">
        <v>655</v>
      </c>
      <c r="I95" s="63" t="s">
        <v>655</v>
      </c>
    </row>
    <row r="96" spans="1:9" x14ac:dyDescent="0.25">
      <c r="A96" s="63" t="s">
        <v>655</v>
      </c>
      <c r="I96" s="63" t="s">
        <v>655</v>
      </c>
    </row>
    <row r="97" spans="1:9" x14ac:dyDescent="0.25">
      <c r="A97" s="63" t="s">
        <v>655</v>
      </c>
      <c r="I97" s="63" t="s">
        <v>655</v>
      </c>
    </row>
    <row r="98" spans="1:9" x14ac:dyDescent="0.25">
      <c r="A98" s="63" t="s">
        <v>655</v>
      </c>
      <c r="I98" s="63" t="s">
        <v>655</v>
      </c>
    </row>
    <row r="99" spans="1:9" x14ac:dyDescent="0.25">
      <c r="A99" s="63" t="s">
        <v>655</v>
      </c>
      <c r="I99" s="63" t="s">
        <v>655</v>
      </c>
    </row>
    <row r="100" spans="1:9" x14ac:dyDescent="0.25">
      <c r="A100" s="63" t="s">
        <v>655</v>
      </c>
      <c r="I100" s="63" t="s">
        <v>655</v>
      </c>
    </row>
    <row r="101" spans="1:9" x14ac:dyDescent="0.25">
      <c r="A101" s="63" t="s">
        <v>655</v>
      </c>
      <c r="I101" s="63" t="s">
        <v>655</v>
      </c>
    </row>
    <row r="102" spans="1:9" x14ac:dyDescent="0.25">
      <c r="A102" s="63" t="s">
        <v>655</v>
      </c>
      <c r="I102" s="63" t="s">
        <v>655</v>
      </c>
    </row>
    <row r="103" spans="1:9" x14ac:dyDescent="0.25">
      <c r="A103" s="63" t="s">
        <v>655</v>
      </c>
      <c r="I103" s="63" t="s">
        <v>655</v>
      </c>
    </row>
    <row r="104" spans="1:9" x14ac:dyDescent="0.25">
      <c r="A104" s="63" t="s">
        <v>655</v>
      </c>
      <c r="I104" s="63" t="s">
        <v>655</v>
      </c>
    </row>
    <row r="105" spans="1:9" x14ac:dyDescent="0.25">
      <c r="A105" s="63" t="s">
        <v>655</v>
      </c>
      <c r="I105" s="63" t="s">
        <v>655</v>
      </c>
    </row>
    <row r="106" spans="1:9" x14ac:dyDescent="0.25">
      <c r="A106" s="63" t="s">
        <v>655</v>
      </c>
      <c r="I106" s="63" t="s">
        <v>655</v>
      </c>
    </row>
    <row r="107" spans="1:9" x14ac:dyDescent="0.25">
      <c r="A107" s="63" t="s">
        <v>655</v>
      </c>
      <c r="I107" s="63" t="s">
        <v>655</v>
      </c>
    </row>
    <row r="108" spans="1:9" x14ac:dyDescent="0.25">
      <c r="A108" s="63" t="s">
        <v>655</v>
      </c>
      <c r="I108" s="63" t="s">
        <v>655</v>
      </c>
    </row>
    <row r="109" spans="1:9" x14ac:dyDescent="0.25">
      <c r="A109" s="63" t="s">
        <v>655</v>
      </c>
      <c r="I109" s="63" t="s">
        <v>655</v>
      </c>
    </row>
    <row r="110" spans="1:9" x14ac:dyDescent="0.25">
      <c r="A110" s="63" t="s">
        <v>655</v>
      </c>
      <c r="I110" s="63" t="s">
        <v>655</v>
      </c>
    </row>
    <row r="111" spans="1:9" x14ac:dyDescent="0.25">
      <c r="A111" s="63" t="s">
        <v>655</v>
      </c>
      <c r="I111" s="63" t="s">
        <v>655</v>
      </c>
    </row>
    <row r="112" spans="1:9" x14ac:dyDescent="0.25">
      <c r="A112" s="63" t="s">
        <v>655</v>
      </c>
      <c r="I112" s="63" t="s">
        <v>655</v>
      </c>
    </row>
    <row r="113" spans="1:9" x14ac:dyDescent="0.25">
      <c r="A113" s="63" t="s">
        <v>655</v>
      </c>
      <c r="I113" s="63" t="s">
        <v>655</v>
      </c>
    </row>
    <row r="114" spans="1:9" x14ac:dyDescent="0.25">
      <c r="A114" s="63" t="s">
        <v>655</v>
      </c>
      <c r="I114" s="63" t="s">
        <v>655</v>
      </c>
    </row>
    <row r="115" spans="1:9" x14ac:dyDescent="0.25">
      <c r="A115" s="63" t="s">
        <v>655</v>
      </c>
      <c r="I115" s="63" t="s">
        <v>655</v>
      </c>
    </row>
    <row r="116" spans="1:9" x14ac:dyDescent="0.25">
      <c r="A116" s="63" t="s">
        <v>655</v>
      </c>
      <c r="I116" s="63" t="s">
        <v>655</v>
      </c>
    </row>
    <row r="117" spans="1:9" x14ac:dyDescent="0.25">
      <c r="A117" s="63" t="s">
        <v>655</v>
      </c>
      <c r="I117" s="63" t="s">
        <v>655</v>
      </c>
    </row>
    <row r="118" spans="1:9" x14ac:dyDescent="0.25">
      <c r="A118" s="63" t="s">
        <v>655</v>
      </c>
      <c r="I118" s="63" t="s">
        <v>655</v>
      </c>
    </row>
    <row r="119" spans="1:9" x14ac:dyDescent="0.25">
      <c r="A119" s="63" t="s">
        <v>655</v>
      </c>
      <c r="I119" s="63" t="s">
        <v>655</v>
      </c>
    </row>
    <row r="120" spans="1:9" x14ac:dyDescent="0.25">
      <c r="A120" s="63" t="s">
        <v>655</v>
      </c>
      <c r="I120" s="63" t="s">
        <v>655</v>
      </c>
    </row>
    <row r="121" spans="1:9" x14ac:dyDescent="0.25">
      <c r="A121" s="63" t="s">
        <v>655</v>
      </c>
      <c r="I121" s="63" t="s">
        <v>655</v>
      </c>
    </row>
    <row r="122" spans="1:9" x14ac:dyDescent="0.25">
      <c r="A122" s="63" t="s">
        <v>655</v>
      </c>
      <c r="I122" s="63" t="s">
        <v>655</v>
      </c>
    </row>
    <row r="123" spans="1:9" x14ac:dyDescent="0.25">
      <c r="A123" s="63" t="s">
        <v>655</v>
      </c>
      <c r="I123" s="63" t="s">
        <v>655</v>
      </c>
    </row>
    <row r="124" spans="1:9" x14ac:dyDescent="0.25">
      <c r="A124" s="63" t="s">
        <v>655</v>
      </c>
      <c r="I124" s="63" t="s">
        <v>655</v>
      </c>
    </row>
    <row r="125" spans="1:9" x14ac:dyDescent="0.25">
      <c r="A125" s="63" t="s">
        <v>655</v>
      </c>
      <c r="I125" s="63" t="s">
        <v>655</v>
      </c>
    </row>
    <row r="126" spans="1:9" x14ac:dyDescent="0.25">
      <c r="A126" s="63" t="s">
        <v>655</v>
      </c>
      <c r="I126" s="63" t="s">
        <v>655</v>
      </c>
    </row>
    <row r="127" spans="1:9" x14ac:dyDescent="0.25">
      <c r="A127" s="63" t="s">
        <v>655</v>
      </c>
      <c r="I127" s="63" t="s">
        <v>655</v>
      </c>
    </row>
    <row r="128" spans="1:9" x14ac:dyDescent="0.25">
      <c r="A128" s="63" t="s">
        <v>655</v>
      </c>
      <c r="I128" s="63" t="s">
        <v>655</v>
      </c>
    </row>
    <row r="129" spans="1:9" x14ac:dyDescent="0.25">
      <c r="A129" s="63" t="s">
        <v>655</v>
      </c>
      <c r="I129" s="63" t="s">
        <v>655</v>
      </c>
    </row>
    <row r="130" spans="1:9" x14ac:dyDescent="0.25">
      <c r="A130" s="63" t="s">
        <v>655</v>
      </c>
      <c r="I130" s="63" t="s">
        <v>655</v>
      </c>
    </row>
    <row r="131" spans="1:9" x14ac:dyDescent="0.25">
      <c r="A131" s="63" t="s">
        <v>655</v>
      </c>
      <c r="I131" s="63" t="s">
        <v>655</v>
      </c>
    </row>
    <row r="132" spans="1:9" x14ac:dyDescent="0.25">
      <c r="A132" s="63" t="s">
        <v>655</v>
      </c>
      <c r="I132" s="63" t="s">
        <v>655</v>
      </c>
    </row>
    <row r="133" spans="1:9" x14ac:dyDescent="0.25">
      <c r="A133" s="63" t="s">
        <v>655</v>
      </c>
      <c r="I133" s="63" t="s">
        <v>655</v>
      </c>
    </row>
    <row r="134" spans="1:9" x14ac:dyDescent="0.25">
      <c r="A134" s="63" t="s">
        <v>655</v>
      </c>
      <c r="I134" s="63" t="s">
        <v>655</v>
      </c>
    </row>
    <row r="135" spans="1:9" x14ac:dyDescent="0.25">
      <c r="A135" s="63" t="s">
        <v>655</v>
      </c>
      <c r="I135" s="63" t="s">
        <v>655</v>
      </c>
    </row>
    <row r="136" spans="1:9" x14ac:dyDescent="0.25">
      <c r="A136" s="63" t="s">
        <v>655</v>
      </c>
      <c r="I136" s="63" t="s">
        <v>655</v>
      </c>
    </row>
    <row r="137" spans="1:9" x14ac:dyDescent="0.25">
      <c r="A137" s="63" t="s">
        <v>655</v>
      </c>
      <c r="I137" s="63" t="s">
        <v>655</v>
      </c>
    </row>
    <row r="138" spans="1:9" x14ac:dyDescent="0.25">
      <c r="A138" s="63" t="s">
        <v>655</v>
      </c>
      <c r="I138" s="63" t="s">
        <v>655</v>
      </c>
    </row>
    <row r="139" spans="1:9" x14ac:dyDescent="0.25">
      <c r="A139" s="63" t="s">
        <v>655</v>
      </c>
      <c r="I139" s="63" t="s">
        <v>655</v>
      </c>
    </row>
    <row r="140" spans="1:9" x14ac:dyDescent="0.25">
      <c r="A140" s="63" t="s">
        <v>655</v>
      </c>
      <c r="I140" s="63" t="s">
        <v>655</v>
      </c>
    </row>
    <row r="141" spans="1:9" x14ac:dyDescent="0.25">
      <c r="A141" s="63" t="s">
        <v>655</v>
      </c>
      <c r="I141" s="63" t="s">
        <v>655</v>
      </c>
    </row>
    <row r="142" spans="1:9" x14ac:dyDescent="0.25">
      <c r="A142" s="63" t="s">
        <v>655</v>
      </c>
      <c r="I142" s="63" t="s">
        <v>655</v>
      </c>
    </row>
    <row r="143" spans="1:9" x14ac:dyDescent="0.25">
      <c r="A143" s="63" t="s">
        <v>655</v>
      </c>
      <c r="I143" s="63" t="s">
        <v>655</v>
      </c>
    </row>
    <row r="144" spans="1:9" x14ac:dyDescent="0.25">
      <c r="A144" s="63" t="s">
        <v>655</v>
      </c>
      <c r="I144" s="63" t="s">
        <v>655</v>
      </c>
    </row>
    <row r="145" spans="1:9" x14ac:dyDescent="0.25">
      <c r="A145" s="63" t="s">
        <v>655</v>
      </c>
      <c r="I145" s="63" t="s">
        <v>655</v>
      </c>
    </row>
    <row r="146" spans="1:9" x14ac:dyDescent="0.25">
      <c r="A146" s="63" t="s">
        <v>655</v>
      </c>
      <c r="I146" s="63" t="s">
        <v>655</v>
      </c>
    </row>
    <row r="147" spans="1:9" x14ac:dyDescent="0.25">
      <c r="A147" s="63" t="s">
        <v>655</v>
      </c>
      <c r="I147" s="63" t="s">
        <v>655</v>
      </c>
    </row>
    <row r="148" spans="1:9" x14ac:dyDescent="0.25">
      <c r="A148" s="63" t="s">
        <v>655</v>
      </c>
      <c r="I148" s="63" t="s">
        <v>655</v>
      </c>
    </row>
    <row r="149" spans="1:9" x14ac:dyDescent="0.25">
      <c r="A149" s="63" t="s">
        <v>655</v>
      </c>
      <c r="I149" s="63" t="s">
        <v>655</v>
      </c>
    </row>
    <row r="150" spans="1:9" x14ac:dyDescent="0.25">
      <c r="A150" s="63" t="s">
        <v>655</v>
      </c>
      <c r="I150" s="63" t="s">
        <v>655</v>
      </c>
    </row>
    <row r="151" spans="1:9" x14ac:dyDescent="0.25">
      <c r="A151" s="63" t="s">
        <v>655</v>
      </c>
      <c r="I151" s="63" t="s">
        <v>655</v>
      </c>
    </row>
    <row r="152" spans="1:9" x14ac:dyDescent="0.25">
      <c r="A152" s="63" t="s">
        <v>655</v>
      </c>
      <c r="I152" s="63" t="s">
        <v>655</v>
      </c>
    </row>
    <row r="153" spans="1:9" x14ac:dyDescent="0.25">
      <c r="A153" s="63" t="s">
        <v>655</v>
      </c>
      <c r="I153" s="63" t="s">
        <v>655</v>
      </c>
    </row>
    <row r="154" spans="1:9" x14ac:dyDescent="0.25">
      <c r="A154" s="63" t="s">
        <v>655</v>
      </c>
      <c r="I154" s="63" t="s">
        <v>655</v>
      </c>
    </row>
    <row r="155" spans="1:9" x14ac:dyDescent="0.25">
      <c r="A155" s="63" t="s">
        <v>655</v>
      </c>
      <c r="I155" s="63" t="s">
        <v>655</v>
      </c>
    </row>
    <row r="156" spans="1:9" x14ac:dyDescent="0.25">
      <c r="A156" s="63" t="s">
        <v>655</v>
      </c>
      <c r="I156" s="63" t="s">
        <v>655</v>
      </c>
    </row>
    <row r="157" spans="1:9" x14ac:dyDescent="0.25">
      <c r="A157" s="63" t="s">
        <v>655</v>
      </c>
      <c r="I157" s="63" t="s">
        <v>655</v>
      </c>
    </row>
    <row r="158" spans="1:9" x14ac:dyDescent="0.25">
      <c r="A158" s="63" t="s">
        <v>655</v>
      </c>
      <c r="I158" s="63" t="s">
        <v>655</v>
      </c>
    </row>
    <row r="159" spans="1:9" x14ac:dyDescent="0.25">
      <c r="A159" s="63" t="s">
        <v>655</v>
      </c>
      <c r="I159" s="63" t="s">
        <v>655</v>
      </c>
    </row>
    <row r="160" spans="1:9" x14ac:dyDescent="0.25">
      <c r="A160" s="63" t="s">
        <v>655</v>
      </c>
      <c r="I160" s="63" t="s">
        <v>655</v>
      </c>
    </row>
    <row r="161" spans="1:9" x14ac:dyDescent="0.25">
      <c r="A161" s="63" t="s">
        <v>655</v>
      </c>
      <c r="I161" s="63" t="s">
        <v>655</v>
      </c>
    </row>
    <row r="162" spans="1:9" x14ac:dyDescent="0.25">
      <c r="A162" s="63" t="s">
        <v>655</v>
      </c>
      <c r="I162" s="63" t="s">
        <v>655</v>
      </c>
    </row>
    <row r="163" spans="1:9" x14ac:dyDescent="0.25">
      <c r="A163" s="63" t="s">
        <v>655</v>
      </c>
      <c r="I163" s="63" t="s">
        <v>655</v>
      </c>
    </row>
    <row r="164" spans="1:9" x14ac:dyDescent="0.25">
      <c r="A164" s="63" t="s">
        <v>655</v>
      </c>
      <c r="I164" s="63" t="s">
        <v>655</v>
      </c>
    </row>
    <row r="165" spans="1:9" x14ac:dyDescent="0.25">
      <c r="A165" s="63" t="s">
        <v>655</v>
      </c>
      <c r="I165" s="63" t="s">
        <v>655</v>
      </c>
    </row>
    <row r="166" spans="1:9" x14ac:dyDescent="0.25">
      <c r="A166" s="63" t="s">
        <v>655</v>
      </c>
      <c r="I166" s="63" t="s">
        <v>655</v>
      </c>
    </row>
    <row r="167" spans="1:9" x14ac:dyDescent="0.25">
      <c r="A167" s="63" t="s">
        <v>655</v>
      </c>
      <c r="I167" s="63" t="s">
        <v>655</v>
      </c>
    </row>
    <row r="168" spans="1:9" x14ac:dyDescent="0.25">
      <c r="A168" s="63" t="s">
        <v>655</v>
      </c>
      <c r="I168" s="63" t="s">
        <v>655</v>
      </c>
    </row>
    <row r="169" spans="1:9" x14ac:dyDescent="0.25">
      <c r="A169" s="63" t="s">
        <v>655</v>
      </c>
      <c r="I169" s="63" t="s">
        <v>655</v>
      </c>
    </row>
    <row r="170" spans="1:9" x14ac:dyDescent="0.25">
      <c r="A170" s="63" t="s">
        <v>655</v>
      </c>
      <c r="I170" s="63" t="s">
        <v>655</v>
      </c>
    </row>
    <row r="171" spans="1:9" x14ac:dyDescent="0.25">
      <c r="A171" s="63" t="s">
        <v>655</v>
      </c>
      <c r="I171" s="63" t="s">
        <v>655</v>
      </c>
    </row>
    <row r="172" spans="1:9" x14ac:dyDescent="0.25">
      <c r="A172" s="63" t="s">
        <v>655</v>
      </c>
      <c r="I172" s="63" t="s">
        <v>655</v>
      </c>
    </row>
    <row r="173" spans="1:9" x14ac:dyDescent="0.25">
      <c r="A173" s="63" t="s">
        <v>655</v>
      </c>
      <c r="I173" s="63" t="s">
        <v>655</v>
      </c>
    </row>
    <row r="174" spans="1:9" x14ac:dyDescent="0.25">
      <c r="A174" s="63" t="s">
        <v>655</v>
      </c>
      <c r="I174" s="63" t="s">
        <v>655</v>
      </c>
    </row>
    <row r="175" spans="1:9" x14ac:dyDescent="0.25">
      <c r="A175" s="63" t="s">
        <v>655</v>
      </c>
      <c r="I175" s="63" t="s">
        <v>655</v>
      </c>
    </row>
    <row r="176" spans="1:9" x14ac:dyDescent="0.25">
      <c r="A176" s="63" t="s">
        <v>655</v>
      </c>
      <c r="I176" s="63" t="s">
        <v>655</v>
      </c>
    </row>
    <row r="177" spans="1:9" x14ac:dyDescent="0.25">
      <c r="A177" s="63" t="s">
        <v>655</v>
      </c>
      <c r="I177" s="63" t="s">
        <v>655</v>
      </c>
    </row>
    <row r="178" spans="1:9" x14ac:dyDescent="0.25">
      <c r="A178" s="63" t="s">
        <v>655</v>
      </c>
      <c r="I178" s="63" t="s">
        <v>655</v>
      </c>
    </row>
    <row r="179" spans="1:9" x14ac:dyDescent="0.25">
      <c r="A179" s="63" t="s">
        <v>655</v>
      </c>
      <c r="I179" s="63" t="s">
        <v>655</v>
      </c>
    </row>
    <row r="180" spans="1:9" x14ac:dyDescent="0.25">
      <c r="A180" s="63" t="s">
        <v>655</v>
      </c>
      <c r="I180" s="63" t="s">
        <v>655</v>
      </c>
    </row>
    <row r="181" spans="1:9" x14ac:dyDescent="0.25">
      <c r="A181" s="63" t="s">
        <v>655</v>
      </c>
      <c r="I181" s="63" t="s">
        <v>655</v>
      </c>
    </row>
    <row r="182" spans="1:9" x14ac:dyDescent="0.25">
      <c r="A182" s="63" t="s">
        <v>655</v>
      </c>
      <c r="I182" s="63" t="s">
        <v>655</v>
      </c>
    </row>
    <row r="183" spans="1:9" x14ac:dyDescent="0.25">
      <c r="A183" s="63" t="s">
        <v>655</v>
      </c>
      <c r="I183" s="63" t="s">
        <v>655</v>
      </c>
    </row>
    <row r="184" spans="1:9" x14ac:dyDescent="0.25">
      <c r="A184" s="63" t="s">
        <v>655</v>
      </c>
      <c r="I184" s="63" t="s">
        <v>655</v>
      </c>
    </row>
    <row r="185" spans="1:9" x14ac:dyDescent="0.25">
      <c r="A185" s="63" t="s">
        <v>655</v>
      </c>
      <c r="I185" s="63" t="s">
        <v>655</v>
      </c>
    </row>
    <row r="186" spans="1:9" x14ac:dyDescent="0.25">
      <c r="A186" s="63" t="s">
        <v>655</v>
      </c>
      <c r="I186" s="63" t="s">
        <v>655</v>
      </c>
    </row>
    <row r="187" spans="1:9" x14ac:dyDescent="0.25">
      <c r="A187" s="63" t="s">
        <v>655</v>
      </c>
      <c r="I187" s="63" t="s">
        <v>655</v>
      </c>
    </row>
    <row r="188" spans="1:9" x14ac:dyDescent="0.25">
      <c r="A188" s="63" t="s">
        <v>655</v>
      </c>
      <c r="I188" s="63" t="s">
        <v>655</v>
      </c>
    </row>
    <row r="189" spans="1:9" x14ac:dyDescent="0.25">
      <c r="A189" s="63" t="s">
        <v>655</v>
      </c>
      <c r="I189" s="63" t="s">
        <v>655</v>
      </c>
    </row>
    <row r="190" spans="1:9" x14ac:dyDescent="0.25">
      <c r="A190" s="63" t="s">
        <v>655</v>
      </c>
      <c r="I190" s="63" t="s">
        <v>655</v>
      </c>
    </row>
    <row r="191" spans="1:9" x14ac:dyDescent="0.25">
      <c r="A191" s="63" t="s">
        <v>655</v>
      </c>
      <c r="I191" s="63" t="s">
        <v>655</v>
      </c>
    </row>
    <row r="192" spans="1:9" x14ac:dyDescent="0.25">
      <c r="A192" s="63" t="s">
        <v>655</v>
      </c>
      <c r="I192" s="63" t="s">
        <v>655</v>
      </c>
    </row>
    <row r="193" spans="1:9" x14ac:dyDescent="0.25">
      <c r="A193" s="63" t="s">
        <v>655</v>
      </c>
      <c r="I193" s="63" t="s">
        <v>655</v>
      </c>
    </row>
    <row r="194" spans="1:9" x14ac:dyDescent="0.25">
      <c r="A194" s="63" t="s">
        <v>655</v>
      </c>
      <c r="I194" s="63" t="s">
        <v>655</v>
      </c>
    </row>
    <row r="195" spans="1:9" x14ac:dyDescent="0.25">
      <c r="A195" s="63" t="s">
        <v>655</v>
      </c>
      <c r="I195" s="63" t="s">
        <v>655</v>
      </c>
    </row>
    <row r="196" spans="1:9" x14ac:dyDescent="0.25">
      <c r="A196" s="63" t="s">
        <v>655</v>
      </c>
      <c r="I196" s="63" t="s">
        <v>655</v>
      </c>
    </row>
    <row r="197" spans="1:9" x14ac:dyDescent="0.25">
      <c r="A197" s="63" t="s">
        <v>655</v>
      </c>
      <c r="I197" s="63" t="s">
        <v>655</v>
      </c>
    </row>
    <row r="198" spans="1:9" x14ac:dyDescent="0.25">
      <c r="A198" s="63" t="s">
        <v>655</v>
      </c>
      <c r="I198" s="63" t="s">
        <v>655</v>
      </c>
    </row>
    <row r="199" spans="1:9" x14ac:dyDescent="0.25">
      <c r="A199" s="63" t="s">
        <v>655</v>
      </c>
      <c r="I199" s="63" t="s">
        <v>655</v>
      </c>
    </row>
    <row r="200" spans="1:9" x14ac:dyDescent="0.25">
      <c r="A200" s="63" t="s">
        <v>655</v>
      </c>
      <c r="I200" s="63" t="s">
        <v>655</v>
      </c>
    </row>
    <row r="201" spans="1:9" x14ac:dyDescent="0.25">
      <c r="A201" s="63" t="s">
        <v>655</v>
      </c>
      <c r="I201" s="63" t="s">
        <v>655</v>
      </c>
    </row>
    <row r="202" spans="1:9" x14ac:dyDescent="0.25">
      <c r="A202" s="63" t="s">
        <v>655</v>
      </c>
      <c r="I202" s="63" t="s">
        <v>655</v>
      </c>
    </row>
    <row r="203" spans="1:9" x14ac:dyDescent="0.25">
      <c r="A203" s="63" t="s">
        <v>655</v>
      </c>
      <c r="I203" s="63" t="s">
        <v>655</v>
      </c>
    </row>
    <row r="204" spans="1:9" x14ac:dyDescent="0.25">
      <c r="A204" s="63" t="s">
        <v>655</v>
      </c>
      <c r="I204" s="63" t="s">
        <v>655</v>
      </c>
    </row>
    <row r="205" spans="1:9" x14ac:dyDescent="0.25">
      <c r="A205" s="63" t="s">
        <v>655</v>
      </c>
      <c r="I205" s="63" t="s">
        <v>655</v>
      </c>
    </row>
    <row r="206" spans="1:9" x14ac:dyDescent="0.25">
      <c r="A206" s="63" t="s">
        <v>655</v>
      </c>
      <c r="I206" s="63" t="s">
        <v>655</v>
      </c>
    </row>
    <row r="207" spans="1:9" x14ac:dyDescent="0.25">
      <c r="A207" s="63" t="s">
        <v>655</v>
      </c>
      <c r="I207" s="63" t="s">
        <v>655</v>
      </c>
    </row>
    <row r="208" spans="1:9" x14ac:dyDescent="0.25">
      <c r="A208" s="63" t="s">
        <v>655</v>
      </c>
      <c r="I208" s="63" t="s">
        <v>655</v>
      </c>
    </row>
    <row r="209" spans="1:9" x14ac:dyDescent="0.25">
      <c r="A209" s="63" t="s">
        <v>655</v>
      </c>
      <c r="I209" s="63" t="s">
        <v>655</v>
      </c>
    </row>
    <row r="210" spans="1:9" x14ac:dyDescent="0.25">
      <c r="A210" s="63" t="s">
        <v>655</v>
      </c>
      <c r="I210" s="63" t="s">
        <v>655</v>
      </c>
    </row>
    <row r="211" spans="1:9" x14ac:dyDescent="0.25">
      <c r="A211" s="63" t="s">
        <v>655</v>
      </c>
      <c r="I211" s="63" t="s">
        <v>655</v>
      </c>
    </row>
    <row r="212" spans="1:9" x14ac:dyDescent="0.25">
      <c r="A212" s="63" t="s">
        <v>655</v>
      </c>
      <c r="I212" s="63" t="s">
        <v>655</v>
      </c>
    </row>
    <row r="213" spans="1:9" x14ac:dyDescent="0.25">
      <c r="A213" s="63" t="s">
        <v>655</v>
      </c>
      <c r="I213" s="63" t="s">
        <v>655</v>
      </c>
    </row>
    <row r="214" spans="1:9" x14ac:dyDescent="0.25">
      <c r="A214" s="63" t="s">
        <v>655</v>
      </c>
      <c r="I214" s="63" t="s">
        <v>655</v>
      </c>
    </row>
    <row r="215" spans="1:9" x14ac:dyDescent="0.25">
      <c r="A215" s="63" t="s">
        <v>655</v>
      </c>
      <c r="I215" s="63" t="s">
        <v>655</v>
      </c>
    </row>
    <row r="216" spans="1:9" x14ac:dyDescent="0.25">
      <c r="A216" s="63" t="s">
        <v>655</v>
      </c>
      <c r="I216" s="63" t="s">
        <v>655</v>
      </c>
    </row>
    <row r="217" spans="1:9" x14ac:dyDescent="0.25">
      <c r="A217" s="63" t="s">
        <v>655</v>
      </c>
      <c r="I217" s="63" t="s">
        <v>655</v>
      </c>
    </row>
    <row r="218" spans="1:9" x14ac:dyDescent="0.25">
      <c r="A218" s="63" t="s">
        <v>655</v>
      </c>
      <c r="I218" s="63" t="s">
        <v>655</v>
      </c>
    </row>
    <row r="219" spans="1:9" x14ac:dyDescent="0.25">
      <c r="A219" s="63" t="s">
        <v>655</v>
      </c>
      <c r="I219" s="63" t="s">
        <v>655</v>
      </c>
    </row>
    <row r="220" spans="1:9" x14ac:dyDescent="0.25">
      <c r="A220" s="63" t="s">
        <v>655</v>
      </c>
      <c r="I220" s="63" t="s">
        <v>655</v>
      </c>
    </row>
    <row r="221" spans="1:9" x14ac:dyDescent="0.25">
      <c r="A221" s="63" t="s">
        <v>655</v>
      </c>
      <c r="I221" s="63" t="s">
        <v>655</v>
      </c>
    </row>
    <row r="222" spans="1:9" x14ac:dyDescent="0.25">
      <c r="A222" s="63" t="s">
        <v>655</v>
      </c>
      <c r="I222" s="63" t="s">
        <v>655</v>
      </c>
    </row>
    <row r="223" spans="1:9" x14ac:dyDescent="0.25">
      <c r="A223" s="63" t="s">
        <v>655</v>
      </c>
      <c r="I223" s="63" t="s">
        <v>655</v>
      </c>
    </row>
    <row r="224" spans="1:9" x14ac:dyDescent="0.25">
      <c r="A224" s="63" t="s">
        <v>655</v>
      </c>
      <c r="I224" s="63" t="s">
        <v>655</v>
      </c>
    </row>
    <row r="225" spans="1:9" x14ac:dyDescent="0.25">
      <c r="A225" s="63" t="s">
        <v>655</v>
      </c>
      <c r="I225" s="63" t="s">
        <v>655</v>
      </c>
    </row>
    <row r="226" spans="1:9" x14ac:dyDescent="0.25">
      <c r="A226" s="63" t="s">
        <v>655</v>
      </c>
      <c r="I226" s="63" t="s">
        <v>655</v>
      </c>
    </row>
    <row r="227" spans="1:9" x14ac:dyDescent="0.25">
      <c r="A227" s="63" t="s">
        <v>655</v>
      </c>
      <c r="I227" s="63" t="s">
        <v>655</v>
      </c>
    </row>
    <row r="228" spans="1:9" x14ac:dyDescent="0.25">
      <c r="A228" s="63" t="s">
        <v>655</v>
      </c>
      <c r="I228" s="63" t="s">
        <v>655</v>
      </c>
    </row>
    <row r="229" spans="1:9" x14ac:dyDescent="0.25">
      <c r="A229" s="63" t="s">
        <v>655</v>
      </c>
      <c r="I229" s="63" t="s">
        <v>655</v>
      </c>
    </row>
    <row r="230" spans="1:9" x14ac:dyDescent="0.25">
      <c r="A230" s="63" t="s">
        <v>655</v>
      </c>
      <c r="I230" s="63" t="s">
        <v>655</v>
      </c>
    </row>
    <row r="231" spans="1:9" x14ac:dyDescent="0.25">
      <c r="A231" s="63" t="s">
        <v>655</v>
      </c>
      <c r="I231" s="63" t="s">
        <v>655</v>
      </c>
    </row>
    <row r="232" spans="1:9" x14ac:dyDescent="0.25">
      <c r="A232" s="63" t="s">
        <v>655</v>
      </c>
      <c r="I232" s="63" t="s">
        <v>655</v>
      </c>
    </row>
    <row r="233" spans="1:9" x14ac:dyDescent="0.25">
      <c r="A233" s="63" t="s">
        <v>655</v>
      </c>
      <c r="I233" s="63" t="s">
        <v>655</v>
      </c>
    </row>
    <row r="234" spans="1:9" x14ac:dyDescent="0.25">
      <c r="A234" s="63" t="s">
        <v>655</v>
      </c>
      <c r="I234" s="63" t="s">
        <v>655</v>
      </c>
    </row>
    <row r="235" spans="1:9" x14ac:dyDescent="0.25">
      <c r="A235" s="63" t="s">
        <v>655</v>
      </c>
      <c r="I235" s="63" t="s">
        <v>655</v>
      </c>
    </row>
    <row r="236" spans="1:9" x14ac:dyDescent="0.25">
      <c r="A236" s="63" t="s">
        <v>655</v>
      </c>
      <c r="I236" s="63" t="s">
        <v>655</v>
      </c>
    </row>
    <row r="237" spans="1:9" x14ac:dyDescent="0.25">
      <c r="A237" s="63" t="s">
        <v>655</v>
      </c>
      <c r="I237" s="63" t="s">
        <v>655</v>
      </c>
    </row>
    <row r="238" spans="1:9" x14ac:dyDescent="0.25">
      <c r="A238" s="63" t="s">
        <v>655</v>
      </c>
      <c r="I238" s="63" t="s">
        <v>655</v>
      </c>
    </row>
    <row r="239" spans="1:9" x14ac:dyDescent="0.25">
      <c r="A239" s="63" t="s">
        <v>655</v>
      </c>
      <c r="I239" s="63" t="s">
        <v>655</v>
      </c>
    </row>
    <row r="240" spans="1:9" x14ac:dyDescent="0.25">
      <c r="A240" s="63" t="s">
        <v>655</v>
      </c>
      <c r="I240" s="63" t="s">
        <v>655</v>
      </c>
    </row>
    <row r="241" spans="1:9" x14ac:dyDescent="0.25">
      <c r="A241" s="63" t="s">
        <v>655</v>
      </c>
      <c r="I241" s="63" t="s">
        <v>655</v>
      </c>
    </row>
    <row r="242" spans="1:9" x14ac:dyDescent="0.25">
      <c r="A242" s="63" t="s">
        <v>655</v>
      </c>
      <c r="I242" s="63" t="s">
        <v>655</v>
      </c>
    </row>
    <row r="243" spans="1:9" x14ac:dyDescent="0.25">
      <c r="A243" s="63" t="s">
        <v>655</v>
      </c>
      <c r="I243" s="63" t="s">
        <v>655</v>
      </c>
    </row>
    <row r="244" spans="1:9" x14ac:dyDescent="0.25">
      <c r="A244" s="63" t="s">
        <v>655</v>
      </c>
      <c r="I244" s="63" t="s">
        <v>655</v>
      </c>
    </row>
    <row r="245" spans="1:9" x14ac:dyDescent="0.25">
      <c r="A245" s="63" t="s">
        <v>655</v>
      </c>
      <c r="I245" s="63" t="s">
        <v>655</v>
      </c>
    </row>
    <row r="246" spans="1:9" x14ac:dyDescent="0.25">
      <c r="A246" s="63" t="s">
        <v>655</v>
      </c>
      <c r="I246" s="63" t="s">
        <v>655</v>
      </c>
    </row>
    <row r="247" spans="1:9" x14ac:dyDescent="0.25">
      <c r="A247" s="63" t="s">
        <v>655</v>
      </c>
      <c r="I247" s="63" t="s">
        <v>655</v>
      </c>
    </row>
    <row r="248" spans="1:9" x14ac:dyDescent="0.25">
      <c r="A248" s="63" t="s">
        <v>655</v>
      </c>
      <c r="I248" s="63" t="s">
        <v>655</v>
      </c>
    </row>
    <row r="249" spans="1:9" x14ac:dyDescent="0.25">
      <c r="A249" s="63" t="s">
        <v>655</v>
      </c>
      <c r="I249" s="63" t="s">
        <v>655</v>
      </c>
    </row>
    <row r="250" spans="1:9" x14ac:dyDescent="0.25">
      <c r="A250" s="63" t="s">
        <v>655</v>
      </c>
      <c r="I250" s="63" t="s">
        <v>655</v>
      </c>
    </row>
    <row r="251" spans="1:9" x14ac:dyDescent="0.25">
      <c r="A251" s="63" t="s">
        <v>655</v>
      </c>
      <c r="I251" s="63" t="s">
        <v>655</v>
      </c>
    </row>
    <row r="252" spans="1:9" x14ac:dyDescent="0.25">
      <c r="A252" s="63" t="s">
        <v>655</v>
      </c>
      <c r="I252" s="63" t="s">
        <v>655</v>
      </c>
    </row>
    <row r="253" spans="1:9" x14ac:dyDescent="0.25">
      <c r="A253" s="63" t="s">
        <v>655</v>
      </c>
      <c r="I253" s="63" t="s">
        <v>655</v>
      </c>
    </row>
    <row r="254" spans="1:9" x14ac:dyDescent="0.25">
      <c r="A254" s="63" t="s">
        <v>655</v>
      </c>
      <c r="I254" s="63" t="s">
        <v>655</v>
      </c>
    </row>
    <row r="255" spans="1:9" x14ac:dyDescent="0.25">
      <c r="A255" s="63" t="s">
        <v>655</v>
      </c>
      <c r="I255" s="63" t="s">
        <v>655</v>
      </c>
    </row>
    <row r="256" spans="1:9" x14ac:dyDescent="0.25">
      <c r="A256" s="63" t="s">
        <v>655</v>
      </c>
      <c r="I256" s="63" t="s">
        <v>655</v>
      </c>
    </row>
    <row r="257" spans="1:9" x14ac:dyDescent="0.25">
      <c r="A257" s="63" t="s">
        <v>655</v>
      </c>
      <c r="I257" s="63" t="s">
        <v>655</v>
      </c>
    </row>
    <row r="258" spans="1:9" x14ac:dyDescent="0.25">
      <c r="A258" s="63" t="s">
        <v>655</v>
      </c>
      <c r="I258" s="63" t="s">
        <v>655</v>
      </c>
    </row>
    <row r="259" spans="1:9" x14ac:dyDescent="0.25">
      <c r="A259" s="63" t="s">
        <v>655</v>
      </c>
      <c r="I259" s="63" t="s">
        <v>655</v>
      </c>
    </row>
    <row r="260" spans="1:9" x14ac:dyDescent="0.25">
      <c r="A260" s="63" t="s">
        <v>655</v>
      </c>
      <c r="I260" s="63" t="s">
        <v>655</v>
      </c>
    </row>
    <row r="261" spans="1:9" x14ac:dyDescent="0.25">
      <c r="A261" s="63" t="s">
        <v>655</v>
      </c>
      <c r="I261" s="63" t="s">
        <v>655</v>
      </c>
    </row>
    <row r="262" spans="1:9" x14ac:dyDescent="0.25">
      <c r="A262" s="63" t="s">
        <v>655</v>
      </c>
      <c r="I262" s="63" t="s">
        <v>655</v>
      </c>
    </row>
    <row r="263" spans="1:9" x14ac:dyDescent="0.25">
      <c r="A263" s="63" t="s">
        <v>655</v>
      </c>
      <c r="I263" s="63" t="s">
        <v>655</v>
      </c>
    </row>
    <row r="264" spans="1:9" x14ac:dyDescent="0.25">
      <c r="A264" s="63" t="s">
        <v>655</v>
      </c>
      <c r="I264" s="63" t="s">
        <v>655</v>
      </c>
    </row>
    <row r="265" spans="1:9" x14ac:dyDescent="0.25">
      <c r="A265" s="63" t="s">
        <v>655</v>
      </c>
      <c r="I265" s="63" t="s">
        <v>655</v>
      </c>
    </row>
    <row r="266" spans="1:9" x14ac:dyDescent="0.25">
      <c r="A266" s="63" t="s">
        <v>655</v>
      </c>
      <c r="I266" s="63" t="s">
        <v>655</v>
      </c>
    </row>
    <row r="267" spans="1:9" x14ac:dyDescent="0.25">
      <c r="A267" s="63" t="s">
        <v>655</v>
      </c>
      <c r="I267" s="63" t="s">
        <v>655</v>
      </c>
    </row>
    <row r="268" spans="1:9" x14ac:dyDescent="0.25">
      <c r="A268" s="63" t="s">
        <v>655</v>
      </c>
      <c r="I268" s="63" t="s">
        <v>655</v>
      </c>
    </row>
    <row r="269" spans="1:9" x14ac:dyDescent="0.25">
      <c r="A269" s="63" t="s">
        <v>655</v>
      </c>
      <c r="I269" s="63" t="s">
        <v>655</v>
      </c>
    </row>
    <row r="270" spans="1:9" x14ac:dyDescent="0.25">
      <c r="A270" s="63" t="s">
        <v>655</v>
      </c>
      <c r="I270" s="63" t="s">
        <v>655</v>
      </c>
    </row>
    <row r="271" spans="1:9" x14ac:dyDescent="0.25">
      <c r="A271" s="63" t="s">
        <v>655</v>
      </c>
      <c r="I271" s="63" t="s">
        <v>655</v>
      </c>
    </row>
    <row r="272" spans="1:9" x14ac:dyDescent="0.25">
      <c r="A272" s="63" t="s">
        <v>655</v>
      </c>
      <c r="I272" s="63" t="s">
        <v>655</v>
      </c>
    </row>
    <row r="273" spans="1:9" x14ac:dyDescent="0.25">
      <c r="A273" s="63" t="s">
        <v>655</v>
      </c>
      <c r="I273" s="63" t="s">
        <v>655</v>
      </c>
    </row>
    <row r="274" spans="1:9" x14ac:dyDescent="0.25">
      <c r="A274" s="63" t="s">
        <v>655</v>
      </c>
      <c r="I274" s="63" t="s">
        <v>655</v>
      </c>
    </row>
    <row r="275" spans="1:9" x14ac:dyDescent="0.25">
      <c r="A275" s="63" t="s">
        <v>655</v>
      </c>
      <c r="I275" s="63" t="s">
        <v>655</v>
      </c>
    </row>
    <row r="276" spans="1:9" x14ac:dyDescent="0.25">
      <c r="A276" s="63" t="s">
        <v>655</v>
      </c>
      <c r="I276" s="63" t="s">
        <v>655</v>
      </c>
    </row>
    <row r="277" spans="1:9" x14ac:dyDescent="0.25">
      <c r="A277" s="63" t="s">
        <v>655</v>
      </c>
      <c r="I277" s="63" t="s">
        <v>655</v>
      </c>
    </row>
    <row r="278" spans="1:9" x14ac:dyDescent="0.25">
      <c r="A278" s="63" t="s">
        <v>655</v>
      </c>
      <c r="I278" s="63" t="s">
        <v>655</v>
      </c>
    </row>
    <row r="279" spans="1:9" x14ac:dyDescent="0.25">
      <c r="A279" s="63" t="s">
        <v>655</v>
      </c>
      <c r="I279" s="63" t="s">
        <v>655</v>
      </c>
    </row>
    <row r="280" spans="1:9" x14ac:dyDescent="0.25">
      <c r="A280" s="63" t="s">
        <v>655</v>
      </c>
      <c r="I280" s="63" t="s">
        <v>655</v>
      </c>
    </row>
    <row r="281" spans="1:9" x14ac:dyDescent="0.25">
      <c r="A281" s="63" t="s">
        <v>655</v>
      </c>
      <c r="I281" s="63" t="s">
        <v>655</v>
      </c>
    </row>
    <row r="282" spans="1:9" x14ac:dyDescent="0.25">
      <c r="A282" s="63" t="s">
        <v>655</v>
      </c>
      <c r="I282" s="63" t="s">
        <v>655</v>
      </c>
    </row>
    <row r="283" spans="1:9" x14ac:dyDescent="0.25">
      <c r="A283" s="63" t="s">
        <v>655</v>
      </c>
      <c r="I283" s="63" t="s">
        <v>655</v>
      </c>
    </row>
    <row r="284" spans="1:9" x14ac:dyDescent="0.25">
      <c r="A284" s="63" t="s">
        <v>655</v>
      </c>
      <c r="I284" s="63" t="s">
        <v>655</v>
      </c>
    </row>
    <row r="285" spans="1:9" x14ac:dyDescent="0.25">
      <c r="A285" s="63" t="s">
        <v>655</v>
      </c>
      <c r="I285" s="63" t="s">
        <v>655</v>
      </c>
    </row>
    <row r="286" spans="1:9" x14ac:dyDescent="0.25">
      <c r="A286" s="63" t="s">
        <v>655</v>
      </c>
      <c r="I286" s="63" t="s">
        <v>655</v>
      </c>
    </row>
    <row r="287" spans="1:9" x14ac:dyDescent="0.25">
      <c r="A287" s="63" t="s">
        <v>655</v>
      </c>
      <c r="I287" s="63" t="s">
        <v>655</v>
      </c>
    </row>
    <row r="288" spans="1:9" x14ac:dyDescent="0.25">
      <c r="A288" s="63" t="s">
        <v>655</v>
      </c>
      <c r="I288" s="63" t="s">
        <v>655</v>
      </c>
    </row>
    <row r="289" spans="1:9" x14ac:dyDescent="0.25">
      <c r="A289" s="63" t="s">
        <v>655</v>
      </c>
      <c r="I289" s="63" t="s">
        <v>655</v>
      </c>
    </row>
    <row r="290" spans="1:9" x14ac:dyDescent="0.25">
      <c r="A290" s="63" t="s">
        <v>655</v>
      </c>
      <c r="I290" s="63" t="s">
        <v>655</v>
      </c>
    </row>
    <row r="291" spans="1:9" x14ac:dyDescent="0.25">
      <c r="A291" s="63" t="s">
        <v>655</v>
      </c>
      <c r="I291" s="63" t="s">
        <v>655</v>
      </c>
    </row>
    <row r="292" spans="1:9" x14ac:dyDescent="0.25">
      <c r="A292" s="63" t="s">
        <v>655</v>
      </c>
      <c r="I292" s="63" t="s">
        <v>655</v>
      </c>
    </row>
    <row r="293" spans="1:9" x14ac:dyDescent="0.25">
      <c r="A293" s="63" t="s">
        <v>655</v>
      </c>
      <c r="I293" s="63" t="s">
        <v>655</v>
      </c>
    </row>
    <row r="294" spans="1:9" x14ac:dyDescent="0.25">
      <c r="A294" s="63" t="s">
        <v>655</v>
      </c>
      <c r="I294" s="63" t="s">
        <v>655</v>
      </c>
    </row>
    <row r="295" spans="1:9" x14ac:dyDescent="0.25">
      <c r="A295" s="63" t="s">
        <v>655</v>
      </c>
      <c r="I295" s="63" t="s">
        <v>655</v>
      </c>
    </row>
    <row r="296" spans="1:9" x14ac:dyDescent="0.25">
      <c r="A296" s="63" t="s">
        <v>655</v>
      </c>
      <c r="I296" s="63" t="s">
        <v>655</v>
      </c>
    </row>
    <row r="297" spans="1:9" x14ac:dyDescent="0.25">
      <c r="A297" s="63" t="s">
        <v>655</v>
      </c>
      <c r="I297" s="63" t="s">
        <v>655</v>
      </c>
    </row>
    <row r="298" spans="1:9" x14ac:dyDescent="0.25">
      <c r="A298" s="63" t="s">
        <v>655</v>
      </c>
      <c r="I298" s="63" t="s">
        <v>655</v>
      </c>
    </row>
    <row r="299" spans="1:9" x14ac:dyDescent="0.25">
      <c r="A299" s="63" t="s">
        <v>655</v>
      </c>
      <c r="I299" s="63" t="s">
        <v>655</v>
      </c>
    </row>
    <row r="300" spans="1:9" x14ac:dyDescent="0.25">
      <c r="A300" s="63" t="s">
        <v>655</v>
      </c>
      <c r="I300" s="63" t="s">
        <v>655</v>
      </c>
    </row>
    <row r="301" spans="1:9" x14ac:dyDescent="0.25">
      <c r="A301" s="63" t="s">
        <v>655</v>
      </c>
      <c r="I301" s="63" t="s">
        <v>655</v>
      </c>
    </row>
    <row r="302" spans="1:9" x14ac:dyDescent="0.25">
      <c r="A302" s="63" t="s">
        <v>655</v>
      </c>
      <c r="I302" s="63" t="s">
        <v>655</v>
      </c>
    </row>
    <row r="303" spans="1:9" x14ac:dyDescent="0.25">
      <c r="A303" s="63" t="s">
        <v>655</v>
      </c>
      <c r="I303" s="63" t="s">
        <v>655</v>
      </c>
    </row>
    <row r="304" spans="1:9" x14ac:dyDescent="0.25">
      <c r="A304" s="63" t="s">
        <v>655</v>
      </c>
      <c r="I304" s="63" t="s">
        <v>655</v>
      </c>
    </row>
    <row r="305" spans="1:9" x14ac:dyDescent="0.25">
      <c r="A305" s="63" t="s">
        <v>655</v>
      </c>
      <c r="I305" s="63" t="s">
        <v>655</v>
      </c>
    </row>
    <row r="306" spans="1:9" x14ac:dyDescent="0.25">
      <c r="A306" s="63" t="s">
        <v>655</v>
      </c>
      <c r="I306" s="63" t="s">
        <v>655</v>
      </c>
    </row>
    <row r="307" spans="1:9" x14ac:dyDescent="0.25">
      <c r="A307" s="63" t="s">
        <v>655</v>
      </c>
      <c r="I307" s="63" t="s">
        <v>655</v>
      </c>
    </row>
    <row r="308" spans="1:9" x14ac:dyDescent="0.25">
      <c r="A308" s="63" t="s">
        <v>655</v>
      </c>
      <c r="I308" s="63" t="s">
        <v>655</v>
      </c>
    </row>
    <row r="309" spans="1:9" x14ac:dyDescent="0.25">
      <c r="A309" s="63" t="s">
        <v>655</v>
      </c>
      <c r="I309" s="63" t="s">
        <v>655</v>
      </c>
    </row>
    <row r="310" spans="1:9" x14ac:dyDescent="0.25">
      <c r="A310" s="63" t="s">
        <v>655</v>
      </c>
      <c r="I310" s="63" t="s">
        <v>655</v>
      </c>
    </row>
    <row r="311" spans="1:9" x14ac:dyDescent="0.25">
      <c r="A311" s="63" t="s">
        <v>655</v>
      </c>
      <c r="I311" s="63" t="s">
        <v>655</v>
      </c>
    </row>
    <row r="312" spans="1:9" x14ac:dyDescent="0.25">
      <c r="A312" s="63" t="s">
        <v>655</v>
      </c>
      <c r="I312" s="63" t="s">
        <v>655</v>
      </c>
    </row>
    <row r="313" spans="1:9" x14ac:dyDescent="0.25">
      <c r="A313" s="63" t="s">
        <v>655</v>
      </c>
      <c r="I313" s="63" t="s">
        <v>655</v>
      </c>
    </row>
    <row r="314" spans="1:9" x14ac:dyDescent="0.25">
      <c r="A314" s="63" t="s">
        <v>655</v>
      </c>
      <c r="I314" s="63" t="s">
        <v>655</v>
      </c>
    </row>
    <row r="315" spans="1:9" x14ac:dyDescent="0.25">
      <c r="A315" s="63" t="s">
        <v>655</v>
      </c>
      <c r="I315" s="63" t="s">
        <v>655</v>
      </c>
    </row>
    <row r="316" spans="1:9" x14ac:dyDescent="0.25">
      <c r="A316" s="63" t="s">
        <v>655</v>
      </c>
      <c r="I316" s="63" t="s">
        <v>655</v>
      </c>
    </row>
    <row r="317" spans="1:9" x14ac:dyDescent="0.25">
      <c r="A317" s="63" t="s">
        <v>655</v>
      </c>
      <c r="I317" s="63" t="s">
        <v>655</v>
      </c>
    </row>
    <row r="318" spans="1:9" x14ac:dyDescent="0.25">
      <c r="A318" s="63" t="s">
        <v>655</v>
      </c>
      <c r="I318" s="63" t="s">
        <v>655</v>
      </c>
    </row>
    <row r="319" spans="1:9" x14ac:dyDescent="0.25">
      <c r="A319" s="63" t="s">
        <v>655</v>
      </c>
      <c r="I319" s="63" t="s">
        <v>655</v>
      </c>
    </row>
    <row r="320" spans="1:9" x14ac:dyDescent="0.25">
      <c r="A320" s="63" t="s">
        <v>655</v>
      </c>
      <c r="I320" s="63" t="s">
        <v>655</v>
      </c>
    </row>
    <row r="321" spans="1:9" x14ac:dyDescent="0.25">
      <c r="A321" s="63" t="s">
        <v>655</v>
      </c>
      <c r="I321" s="63" t="s">
        <v>655</v>
      </c>
    </row>
    <row r="322" spans="1:9" x14ac:dyDescent="0.25">
      <c r="A322" s="63" t="s">
        <v>655</v>
      </c>
      <c r="I322" s="63" t="s">
        <v>655</v>
      </c>
    </row>
    <row r="323" spans="1:9" x14ac:dyDescent="0.25">
      <c r="A323" s="63" t="s">
        <v>655</v>
      </c>
      <c r="I323" s="63" t="s">
        <v>655</v>
      </c>
    </row>
    <row r="324" spans="1:9" x14ac:dyDescent="0.25">
      <c r="A324" s="63" t="s">
        <v>655</v>
      </c>
      <c r="I324" s="63" t="s">
        <v>655</v>
      </c>
    </row>
    <row r="325" spans="1:9" x14ac:dyDescent="0.25">
      <c r="A325" s="63" t="s">
        <v>655</v>
      </c>
      <c r="I325" s="63" t="s">
        <v>655</v>
      </c>
    </row>
    <row r="326" spans="1:9" x14ac:dyDescent="0.25">
      <c r="A326" s="63" t="s">
        <v>655</v>
      </c>
      <c r="I326" s="63" t="s">
        <v>655</v>
      </c>
    </row>
    <row r="327" spans="1:9" x14ac:dyDescent="0.25">
      <c r="A327" s="63" t="s">
        <v>655</v>
      </c>
      <c r="I327" s="63" t="s">
        <v>655</v>
      </c>
    </row>
    <row r="328" spans="1:9" x14ac:dyDescent="0.25">
      <c r="A328" s="63" t="s">
        <v>655</v>
      </c>
      <c r="I328" s="63" t="s">
        <v>655</v>
      </c>
    </row>
    <row r="329" spans="1:9" x14ac:dyDescent="0.25">
      <c r="A329" s="63" t="s">
        <v>655</v>
      </c>
      <c r="I329" s="63" t="s">
        <v>655</v>
      </c>
    </row>
    <row r="330" spans="1:9" x14ac:dyDescent="0.25">
      <c r="A330" s="63" t="s">
        <v>655</v>
      </c>
      <c r="I330" s="63" t="s">
        <v>655</v>
      </c>
    </row>
    <row r="331" spans="1:9" x14ac:dyDescent="0.25">
      <c r="A331" s="63" t="s">
        <v>655</v>
      </c>
      <c r="I331" s="63" t="s">
        <v>655</v>
      </c>
    </row>
    <row r="332" spans="1:9" x14ac:dyDescent="0.25">
      <c r="A332" s="63" t="s">
        <v>655</v>
      </c>
      <c r="I332" s="63" t="s">
        <v>655</v>
      </c>
    </row>
    <row r="333" spans="1:9" x14ac:dyDescent="0.25">
      <c r="A333" s="63" t="s">
        <v>655</v>
      </c>
      <c r="I333" s="63" t="s">
        <v>655</v>
      </c>
    </row>
    <row r="334" spans="1:9" x14ac:dyDescent="0.25">
      <c r="A334" s="63" t="s">
        <v>655</v>
      </c>
      <c r="I334" s="63" t="s">
        <v>655</v>
      </c>
    </row>
    <row r="335" spans="1:9" x14ac:dyDescent="0.25">
      <c r="A335" s="63" t="s">
        <v>655</v>
      </c>
      <c r="I335" s="63" t="s">
        <v>655</v>
      </c>
    </row>
    <row r="336" spans="1:9" x14ac:dyDescent="0.25">
      <c r="A336" s="63" t="s">
        <v>655</v>
      </c>
      <c r="I336" s="63" t="s">
        <v>655</v>
      </c>
    </row>
    <row r="337" spans="1:9" x14ac:dyDescent="0.25">
      <c r="A337" s="63" t="s">
        <v>655</v>
      </c>
      <c r="I337" s="63" t="s">
        <v>655</v>
      </c>
    </row>
    <row r="338" spans="1:9" x14ac:dyDescent="0.25">
      <c r="A338" s="63" t="s">
        <v>655</v>
      </c>
      <c r="I338" s="63" t="s">
        <v>655</v>
      </c>
    </row>
    <row r="339" spans="1:9" x14ac:dyDescent="0.25">
      <c r="A339" s="63" t="s">
        <v>655</v>
      </c>
      <c r="I339" s="63" t="s">
        <v>655</v>
      </c>
    </row>
    <row r="340" spans="1:9" x14ac:dyDescent="0.25">
      <c r="A340" s="63" t="s">
        <v>655</v>
      </c>
      <c r="I340" s="63" t="s">
        <v>655</v>
      </c>
    </row>
    <row r="341" spans="1:9" x14ac:dyDescent="0.25">
      <c r="A341" s="63" t="s">
        <v>655</v>
      </c>
      <c r="I341" s="63" t="s">
        <v>655</v>
      </c>
    </row>
    <row r="342" spans="1:9" x14ac:dyDescent="0.25">
      <c r="A342" s="63" t="s">
        <v>655</v>
      </c>
      <c r="I342" s="63" t="s">
        <v>655</v>
      </c>
    </row>
    <row r="343" spans="1:9" x14ac:dyDescent="0.25">
      <c r="A343" s="63" t="s">
        <v>655</v>
      </c>
      <c r="I343" s="63" t="s">
        <v>655</v>
      </c>
    </row>
    <row r="344" spans="1:9" x14ac:dyDescent="0.25">
      <c r="A344" s="63" t="s">
        <v>655</v>
      </c>
      <c r="I344" s="63" t="s">
        <v>655</v>
      </c>
    </row>
    <row r="345" spans="1:9" x14ac:dyDescent="0.25">
      <c r="A345" s="63" t="s">
        <v>655</v>
      </c>
      <c r="I345" s="63" t="s">
        <v>655</v>
      </c>
    </row>
    <row r="346" spans="1:9" x14ac:dyDescent="0.25">
      <c r="A346" s="63" t="s">
        <v>655</v>
      </c>
      <c r="I346" s="63" t="s">
        <v>655</v>
      </c>
    </row>
    <row r="347" spans="1:9" x14ac:dyDescent="0.25">
      <c r="A347" s="63" t="s">
        <v>655</v>
      </c>
      <c r="I347" s="63" t="s">
        <v>655</v>
      </c>
    </row>
    <row r="348" spans="1:9" x14ac:dyDescent="0.25">
      <c r="A348" s="63" t="s">
        <v>655</v>
      </c>
      <c r="I348" s="63" t="s">
        <v>655</v>
      </c>
    </row>
    <row r="349" spans="1:9" x14ac:dyDescent="0.25">
      <c r="A349" s="63" t="s">
        <v>655</v>
      </c>
      <c r="I349" s="63" t="s">
        <v>655</v>
      </c>
    </row>
    <row r="350" spans="1:9" x14ac:dyDescent="0.25">
      <c r="A350" s="63" t="s">
        <v>655</v>
      </c>
      <c r="I350" s="63" t="s">
        <v>655</v>
      </c>
    </row>
    <row r="351" spans="1:9" x14ac:dyDescent="0.25">
      <c r="A351" s="63" t="s">
        <v>655</v>
      </c>
      <c r="I351" s="63" t="s">
        <v>655</v>
      </c>
    </row>
    <row r="352" spans="1:9" x14ac:dyDescent="0.25">
      <c r="A352" s="63" t="s">
        <v>655</v>
      </c>
      <c r="I352" s="63" t="s">
        <v>655</v>
      </c>
    </row>
    <row r="353" spans="1:9" x14ac:dyDescent="0.25">
      <c r="A353" s="63" t="s">
        <v>655</v>
      </c>
      <c r="I353" s="63" t="s">
        <v>655</v>
      </c>
    </row>
    <row r="354" spans="1:9" x14ac:dyDescent="0.25">
      <c r="A354" s="63" t="s">
        <v>655</v>
      </c>
      <c r="I354" s="63" t="s">
        <v>655</v>
      </c>
    </row>
    <row r="355" spans="1:9" x14ac:dyDescent="0.25">
      <c r="A355" s="63" t="s">
        <v>655</v>
      </c>
      <c r="I355" s="63" t="s">
        <v>655</v>
      </c>
    </row>
    <row r="356" spans="1:9" x14ac:dyDescent="0.25">
      <c r="A356" s="63" t="s">
        <v>655</v>
      </c>
      <c r="I356" s="63" t="s">
        <v>655</v>
      </c>
    </row>
    <row r="357" spans="1:9" x14ac:dyDescent="0.25">
      <c r="A357" s="63" t="s">
        <v>655</v>
      </c>
      <c r="I357" s="63" t="s">
        <v>655</v>
      </c>
    </row>
    <row r="358" spans="1:9" x14ac:dyDescent="0.25">
      <c r="A358" s="63" t="s">
        <v>655</v>
      </c>
      <c r="I358" s="63" t="s">
        <v>655</v>
      </c>
    </row>
    <row r="359" spans="1:9" x14ac:dyDescent="0.25">
      <c r="A359" s="63" t="s">
        <v>655</v>
      </c>
      <c r="I359" s="63" t="s">
        <v>655</v>
      </c>
    </row>
    <row r="360" spans="1:9" x14ac:dyDescent="0.25">
      <c r="A360" s="63" t="s">
        <v>655</v>
      </c>
      <c r="I360" s="63" t="s">
        <v>655</v>
      </c>
    </row>
    <row r="361" spans="1:9" x14ac:dyDescent="0.25">
      <c r="A361" s="63" t="s">
        <v>655</v>
      </c>
      <c r="I361" s="63" t="s">
        <v>655</v>
      </c>
    </row>
    <row r="362" spans="1:9" x14ac:dyDescent="0.25">
      <c r="A362" s="63" t="s">
        <v>655</v>
      </c>
      <c r="I362" s="63" t="s">
        <v>655</v>
      </c>
    </row>
    <row r="363" spans="1:9" x14ac:dyDescent="0.25">
      <c r="A363" s="63" t="s">
        <v>655</v>
      </c>
      <c r="I363" s="63" t="s">
        <v>655</v>
      </c>
    </row>
    <row r="364" spans="1:9" x14ac:dyDescent="0.25">
      <c r="A364" s="63" t="s">
        <v>655</v>
      </c>
      <c r="I364" s="63" t="s">
        <v>655</v>
      </c>
    </row>
    <row r="365" spans="1:9" x14ac:dyDescent="0.25">
      <c r="A365" s="63" t="s">
        <v>655</v>
      </c>
      <c r="I365" s="63" t="s">
        <v>655</v>
      </c>
    </row>
    <row r="366" spans="1:9" x14ac:dyDescent="0.25">
      <c r="A366" s="63" t="s">
        <v>655</v>
      </c>
      <c r="I366" s="63" t="s">
        <v>655</v>
      </c>
    </row>
    <row r="367" spans="1:9" x14ac:dyDescent="0.25">
      <c r="A367" s="63" t="s">
        <v>655</v>
      </c>
      <c r="I367" s="63" t="s">
        <v>655</v>
      </c>
    </row>
    <row r="368" spans="1:9" x14ac:dyDescent="0.25">
      <c r="A368" s="63" t="s">
        <v>655</v>
      </c>
      <c r="I368" s="63" t="s">
        <v>655</v>
      </c>
    </row>
    <row r="369" spans="1:9" x14ac:dyDescent="0.25">
      <c r="A369" s="63" t="s">
        <v>655</v>
      </c>
      <c r="I369" s="63" t="s">
        <v>655</v>
      </c>
    </row>
    <row r="370" spans="1:9" x14ac:dyDescent="0.25">
      <c r="A370" s="63" t="s">
        <v>655</v>
      </c>
      <c r="I370" s="63" t="s">
        <v>655</v>
      </c>
    </row>
    <row r="371" spans="1:9" x14ac:dyDescent="0.25">
      <c r="A371" s="63" t="s">
        <v>655</v>
      </c>
      <c r="I371" s="63" t="s">
        <v>655</v>
      </c>
    </row>
    <row r="372" spans="1:9" x14ac:dyDescent="0.25">
      <c r="A372" s="63" t="s">
        <v>655</v>
      </c>
      <c r="I372" s="63" t="s">
        <v>655</v>
      </c>
    </row>
    <row r="373" spans="1:9" x14ac:dyDescent="0.25">
      <c r="A373" s="63" t="s">
        <v>655</v>
      </c>
      <c r="I373" s="63" t="s">
        <v>655</v>
      </c>
    </row>
    <row r="374" spans="1:9" x14ac:dyDescent="0.25">
      <c r="A374" s="63" t="s">
        <v>655</v>
      </c>
      <c r="I374" s="63" t="s">
        <v>655</v>
      </c>
    </row>
    <row r="375" spans="1:9" x14ac:dyDescent="0.25">
      <c r="A375" s="63" t="s">
        <v>655</v>
      </c>
      <c r="I375" s="63" t="s">
        <v>655</v>
      </c>
    </row>
    <row r="376" spans="1:9" x14ac:dyDescent="0.25">
      <c r="A376" s="63" t="s">
        <v>655</v>
      </c>
      <c r="I376" s="63" t="s">
        <v>655</v>
      </c>
    </row>
    <row r="377" spans="1:9" x14ac:dyDescent="0.25">
      <c r="A377" s="63" t="s">
        <v>655</v>
      </c>
      <c r="I377" s="63" t="s">
        <v>655</v>
      </c>
    </row>
    <row r="378" spans="1:9" x14ac:dyDescent="0.25">
      <c r="A378" s="63" t="s">
        <v>655</v>
      </c>
      <c r="I378" s="63" t="s">
        <v>655</v>
      </c>
    </row>
    <row r="379" spans="1:9" x14ac:dyDescent="0.25">
      <c r="A379" s="63" t="s">
        <v>655</v>
      </c>
      <c r="I379" s="63" t="s">
        <v>655</v>
      </c>
    </row>
    <row r="380" spans="1:9" x14ac:dyDescent="0.25">
      <c r="A380" s="63" t="s">
        <v>655</v>
      </c>
      <c r="I380" s="63" t="s">
        <v>655</v>
      </c>
    </row>
    <row r="381" spans="1:9" x14ac:dyDescent="0.25">
      <c r="A381" s="63" t="s">
        <v>655</v>
      </c>
      <c r="I381" s="63" t="s">
        <v>655</v>
      </c>
    </row>
    <row r="382" spans="1:9" x14ac:dyDescent="0.25">
      <c r="A382" s="63" t="s">
        <v>655</v>
      </c>
      <c r="I382" s="63" t="s">
        <v>655</v>
      </c>
    </row>
    <row r="383" spans="1:9" x14ac:dyDescent="0.25">
      <c r="A383" s="63" t="s">
        <v>655</v>
      </c>
      <c r="I383" s="63" t="s">
        <v>655</v>
      </c>
    </row>
    <row r="384" spans="1:9" x14ac:dyDescent="0.25">
      <c r="A384" s="63" t="s">
        <v>655</v>
      </c>
      <c r="I384" s="63" t="s">
        <v>655</v>
      </c>
    </row>
    <row r="385" spans="1:9" x14ac:dyDescent="0.25">
      <c r="A385" s="63" t="s">
        <v>655</v>
      </c>
      <c r="I385" s="63" t="s">
        <v>655</v>
      </c>
    </row>
    <row r="386" spans="1:9" x14ac:dyDescent="0.25">
      <c r="A386" s="63" t="s">
        <v>655</v>
      </c>
      <c r="I386" s="63" t="s">
        <v>655</v>
      </c>
    </row>
    <row r="387" spans="1:9" x14ac:dyDescent="0.25">
      <c r="A387" s="63" t="s">
        <v>655</v>
      </c>
      <c r="I387" s="63" t="s">
        <v>655</v>
      </c>
    </row>
    <row r="388" spans="1:9" x14ac:dyDescent="0.25">
      <c r="A388" s="63" t="s">
        <v>655</v>
      </c>
      <c r="I388" s="63" t="s">
        <v>655</v>
      </c>
    </row>
    <row r="389" spans="1:9" x14ac:dyDescent="0.25">
      <c r="A389" s="63" t="s">
        <v>655</v>
      </c>
      <c r="I389" s="63" t="s">
        <v>655</v>
      </c>
    </row>
    <row r="390" spans="1:9" x14ac:dyDescent="0.25">
      <c r="A390" s="63" t="s">
        <v>655</v>
      </c>
      <c r="I390" s="63" t="s">
        <v>655</v>
      </c>
    </row>
    <row r="391" spans="1:9" x14ac:dyDescent="0.25">
      <c r="A391" s="63" t="s">
        <v>655</v>
      </c>
      <c r="I391" s="63" t="s">
        <v>655</v>
      </c>
    </row>
    <row r="392" spans="1:9" x14ac:dyDescent="0.25">
      <c r="A392" s="63" t="s">
        <v>655</v>
      </c>
      <c r="I392" s="63" t="s">
        <v>655</v>
      </c>
    </row>
    <row r="393" spans="1:9" x14ac:dyDescent="0.25">
      <c r="A393" s="63" t="s">
        <v>655</v>
      </c>
      <c r="I393" s="63" t="s">
        <v>655</v>
      </c>
    </row>
    <row r="394" spans="1:9" x14ac:dyDescent="0.25">
      <c r="A394" s="63" t="s">
        <v>655</v>
      </c>
      <c r="I394" s="63" t="s">
        <v>655</v>
      </c>
    </row>
    <row r="395" spans="1:9" x14ac:dyDescent="0.25">
      <c r="A395" s="63" t="s">
        <v>655</v>
      </c>
      <c r="I395" s="63" t="s">
        <v>655</v>
      </c>
    </row>
    <row r="396" spans="1:9" x14ac:dyDescent="0.25">
      <c r="A396" s="63" t="s">
        <v>655</v>
      </c>
      <c r="I396" s="63" t="s">
        <v>655</v>
      </c>
    </row>
    <row r="397" spans="1:9" x14ac:dyDescent="0.25">
      <c r="A397" s="63" t="s">
        <v>655</v>
      </c>
      <c r="I397" s="63" t="s">
        <v>655</v>
      </c>
    </row>
    <row r="398" spans="1:9" x14ac:dyDescent="0.25">
      <c r="A398" s="63" t="s">
        <v>655</v>
      </c>
      <c r="I398" s="63" t="s">
        <v>655</v>
      </c>
    </row>
    <row r="399" spans="1:9" x14ac:dyDescent="0.25">
      <c r="A399" s="63" t="s">
        <v>655</v>
      </c>
      <c r="I399" s="63" t="s">
        <v>655</v>
      </c>
    </row>
    <row r="400" spans="1:9" x14ac:dyDescent="0.25">
      <c r="A400" s="63" t="s">
        <v>655</v>
      </c>
      <c r="I400" s="63" t="s">
        <v>655</v>
      </c>
    </row>
    <row r="401" spans="1:9" x14ac:dyDescent="0.25">
      <c r="A401" s="63" t="s">
        <v>655</v>
      </c>
      <c r="I401" s="63" t="s">
        <v>655</v>
      </c>
    </row>
    <row r="402" spans="1:9" x14ac:dyDescent="0.25">
      <c r="A402" s="63" t="s">
        <v>655</v>
      </c>
      <c r="I402" s="63" t="s">
        <v>655</v>
      </c>
    </row>
    <row r="403" spans="1:9" x14ac:dyDescent="0.25">
      <c r="A403" s="63" t="s">
        <v>655</v>
      </c>
      <c r="I403" s="63" t="s">
        <v>655</v>
      </c>
    </row>
    <row r="404" spans="1:9" x14ac:dyDescent="0.25">
      <c r="A404" s="63" t="s">
        <v>655</v>
      </c>
      <c r="I404" s="63" t="s">
        <v>655</v>
      </c>
    </row>
    <row r="405" spans="1:9" x14ac:dyDescent="0.25">
      <c r="A405" s="63" t="s">
        <v>655</v>
      </c>
      <c r="I405" s="63" t="s">
        <v>655</v>
      </c>
    </row>
    <row r="406" spans="1:9" x14ac:dyDescent="0.25">
      <c r="A406" s="63" t="s">
        <v>655</v>
      </c>
      <c r="I406" s="63" t="s">
        <v>655</v>
      </c>
    </row>
    <row r="407" spans="1:9" x14ac:dyDescent="0.25">
      <c r="A407" s="63" t="s">
        <v>655</v>
      </c>
      <c r="I407" s="63" t="s">
        <v>655</v>
      </c>
    </row>
    <row r="408" spans="1:9" x14ac:dyDescent="0.25">
      <c r="A408" s="63" t="s">
        <v>655</v>
      </c>
      <c r="I408" s="63" t="s">
        <v>655</v>
      </c>
    </row>
    <row r="409" spans="1:9" x14ac:dyDescent="0.25">
      <c r="A409" s="63" t="s">
        <v>655</v>
      </c>
      <c r="I409" s="63" t="s">
        <v>655</v>
      </c>
    </row>
    <row r="410" spans="1:9" x14ac:dyDescent="0.25">
      <c r="A410" s="63" t="s">
        <v>655</v>
      </c>
      <c r="I410" s="63" t="s">
        <v>655</v>
      </c>
    </row>
    <row r="411" spans="1:9" x14ac:dyDescent="0.25">
      <c r="A411" s="63" t="s">
        <v>655</v>
      </c>
      <c r="I411" s="63" t="s">
        <v>655</v>
      </c>
    </row>
    <row r="412" spans="1:9" x14ac:dyDescent="0.25">
      <c r="A412" s="63" t="s">
        <v>655</v>
      </c>
      <c r="I412" s="63" t="s">
        <v>655</v>
      </c>
    </row>
    <row r="413" spans="1:9" x14ac:dyDescent="0.25">
      <c r="A413" s="63" t="s">
        <v>655</v>
      </c>
      <c r="I413" s="63" t="s">
        <v>655</v>
      </c>
    </row>
    <row r="414" spans="1:9" x14ac:dyDescent="0.25">
      <c r="A414" s="63" t="s">
        <v>655</v>
      </c>
      <c r="I414" s="63" t="s">
        <v>655</v>
      </c>
    </row>
    <row r="415" spans="1:9" x14ac:dyDescent="0.25">
      <c r="A415" s="63" t="s">
        <v>655</v>
      </c>
      <c r="I415" s="63" t="s">
        <v>655</v>
      </c>
    </row>
    <row r="416" spans="1:9" x14ac:dyDescent="0.25">
      <c r="A416" s="63" t="s">
        <v>655</v>
      </c>
      <c r="I416" s="63" t="s">
        <v>655</v>
      </c>
    </row>
    <row r="417" spans="1:9" x14ac:dyDescent="0.25">
      <c r="A417" s="63" t="s">
        <v>655</v>
      </c>
      <c r="I417" s="63" t="s">
        <v>655</v>
      </c>
    </row>
    <row r="418" spans="1:9" x14ac:dyDescent="0.25">
      <c r="A418" s="63" t="s">
        <v>655</v>
      </c>
      <c r="I418" s="63" t="s">
        <v>655</v>
      </c>
    </row>
    <row r="419" spans="1:9" x14ac:dyDescent="0.25">
      <c r="A419" s="63" t="s">
        <v>655</v>
      </c>
      <c r="I419" s="63" t="s">
        <v>655</v>
      </c>
    </row>
    <row r="420" spans="1:9" x14ac:dyDescent="0.25">
      <c r="A420" s="63" t="s">
        <v>655</v>
      </c>
      <c r="I420" s="63" t="s">
        <v>655</v>
      </c>
    </row>
    <row r="421" spans="1:9" x14ac:dyDescent="0.25">
      <c r="A421" s="63" t="s">
        <v>655</v>
      </c>
      <c r="I421" s="63" t="s">
        <v>655</v>
      </c>
    </row>
    <row r="422" spans="1:9" x14ac:dyDescent="0.25">
      <c r="A422" s="63" t="s">
        <v>655</v>
      </c>
      <c r="I422" s="63" t="s">
        <v>655</v>
      </c>
    </row>
    <row r="423" spans="1:9" x14ac:dyDescent="0.25">
      <c r="A423" s="63" t="s">
        <v>655</v>
      </c>
      <c r="I423" s="63" t="s">
        <v>655</v>
      </c>
    </row>
    <row r="424" spans="1:9" x14ac:dyDescent="0.25">
      <c r="A424" s="63" t="s">
        <v>655</v>
      </c>
      <c r="I424" s="63" t="s">
        <v>655</v>
      </c>
    </row>
    <row r="425" spans="1:9" x14ac:dyDescent="0.25">
      <c r="A425" s="63" t="s">
        <v>655</v>
      </c>
      <c r="I425" s="63" t="s">
        <v>655</v>
      </c>
    </row>
    <row r="426" spans="1:9" x14ac:dyDescent="0.25">
      <c r="A426" s="63" t="s">
        <v>655</v>
      </c>
      <c r="I426" s="63" t="s">
        <v>655</v>
      </c>
    </row>
    <row r="427" spans="1:9" x14ac:dyDescent="0.25">
      <c r="A427" s="63" t="s">
        <v>655</v>
      </c>
      <c r="I427" s="63" t="s">
        <v>655</v>
      </c>
    </row>
    <row r="428" spans="1:9" x14ac:dyDescent="0.25">
      <c r="A428" s="63" t="s">
        <v>655</v>
      </c>
      <c r="I428" s="63" t="s">
        <v>655</v>
      </c>
    </row>
    <row r="429" spans="1:9" x14ac:dyDescent="0.25">
      <c r="A429" s="63" t="s">
        <v>655</v>
      </c>
      <c r="I429" s="63" t="s">
        <v>655</v>
      </c>
    </row>
    <row r="430" spans="1:9" x14ac:dyDescent="0.25">
      <c r="A430" s="63" t="s">
        <v>655</v>
      </c>
      <c r="I430" s="63" t="s">
        <v>655</v>
      </c>
    </row>
    <row r="431" spans="1:9" x14ac:dyDescent="0.25">
      <c r="A431" s="63" t="s">
        <v>655</v>
      </c>
      <c r="I431" s="63" t="s">
        <v>655</v>
      </c>
    </row>
    <row r="432" spans="1:9" x14ac:dyDescent="0.25">
      <c r="A432" s="63" t="s">
        <v>655</v>
      </c>
      <c r="I432" s="63" t="s">
        <v>655</v>
      </c>
    </row>
    <row r="433" spans="1:9" x14ac:dyDescent="0.25">
      <c r="A433" s="63" t="s">
        <v>655</v>
      </c>
      <c r="I433" s="63" t="s">
        <v>655</v>
      </c>
    </row>
    <row r="434" spans="1:9" x14ac:dyDescent="0.25">
      <c r="A434" s="63" t="s">
        <v>655</v>
      </c>
      <c r="I434" s="63" t="s">
        <v>655</v>
      </c>
    </row>
    <row r="435" spans="1:9" x14ac:dyDescent="0.25">
      <c r="A435" s="63" t="s">
        <v>655</v>
      </c>
      <c r="I435" s="63" t="s">
        <v>655</v>
      </c>
    </row>
    <row r="436" spans="1:9" x14ac:dyDescent="0.25">
      <c r="A436" s="63" t="s">
        <v>655</v>
      </c>
      <c r="I436" s="63" t="s">
        <v>655</v>
      </c>
    </row>
    <row r="437" spans="1:9" x14ac:dyDescent="0.25">
      <c r="A437" s="63" t="s">
        <v>655</v>
      </c>
      <c r="I437" s="63" t="s">
        <v>655</v>
      </c>
    </row>
    <row r="438" spans="1:9" x14ac:dyDescent="0.25">
      <c r="A438" s="63" t="s">
        <v>655</v>
      </c>
      <c r="I438" s="63" t="s">
        <v>655</v>
      </c>
    </row>
    <row r="439" spans="1:9" x14ac:dyDescent="0.25">
      <c r="A439" s="63" t="s">
        <v>655</v>
      </c>
      <c r="I439" s="63" t="s">
        <v>655</v>
      </c>
    </row>
    <row r="440" spans="1:9" x14ac:dyDescent="0.25">
      <c r="A440" s="63" t="s">
        <v>655</v>
      </c>
      <c r="I440" s="63" t="s">
        <v>655</v>
      </c>
    </row>
    <row r="441" spans="1:9" x14ac:dyDescent="0.25">
      <c r="A441" s="63" t="s">
        <v>655</v>
      </c>
      <c r="I441" s="63" t="s">
        <v>655</v>
      </c>
    </row>
    <row r="442" spans="1:9" x14ac:dyDescent="0.25">
      <c r="A442" s="63" t="s">
        <v>655</v>
      </c>
      <c r="I442" s="63" t="s">
        <v>655</v>
      </c>
    </row>
    <row r="443" spans="1:9" x14ac:dyDescent="0.25">
      <c r="A443" s="63" t="s">
        <v>655</v>
      </c>
      <c r="I443" s="63" t="s">
        <v>655</v>
      </c>
    </row>
    <row r="444" spans="1:9" x14ac:dyDescent="0.25">
      <c r="A444" s="63" t="s">
        <v>655</v>
      </c>
      <c r="I444" s="63" t="s">
        <v>655</v>
      </c>
    </row>
    <row r="445" spans="1:9" x14ac:dyDescent="0.25">
      <c r="A445" s="63" t="s">
        <v>655</v>
      </c>
      <c r="I445" s="63" t="s">
        <v>655</v>
      </c>
    </row>
    <row r="446" spans="1:9" x14ac:dyDescent="0.25">
      <c r="A446" s="63" t="s">
        <v>655</v>
      </c>
      <c r="I446" s="63" t="s">
        <v>655</v>
      </c>
    </row>
    <row r="447" spans="1:9" x14ac:dyDescent="0.25">
      <c r="A447" s="63" t="s">
        <v>655</v>
      </c>
      <c r="I447" s="63" t="s">
        <v>655</v>
      </c>
    </row>
    <row r="448" spans="1:9" x14ac:dyDescent="0.25">
      <c r="A448" s="63" t="s">
        <v>655</v>
      </c>
      <c r="I448" s="63" t="s">
        <v>655</v>
      </c>
    </row>
    <row r="449" spans="1:9" x14ac:dyDescent="0.25">
      <c r="A449" s="63" t="s">
        <v>655</v>
      </c>
      <c r="I449" s="63" t="s">
        <v>655</v>
      </c>
    </row>
    <row r="450" spans="1:9" x14ac:dyDescent="0.25">
      <c r="A450" s="63" t="s">
        <v>655</v>
      </c>
      <c r="I450" s="63" t="s">
        <v>655</v>
      </c>
    </row>
    <row r="451" spans="1:9" x14ac:dyDescent="0.25">
      <c r="A451" s="63" t="s">
        <v>655</v>
      </c>
      <c r="I451" s="63" t="s">
        <v>655</v>
      </c>
    </row>
    <row r="452" spans="1:9" x14ac:dyDescent="0.25">
      <c r="A452" s="63" t="s">
        <v>655</v>
      </c>
      <c r="I452" s="63" t="s">
        <v>655</v>
      </c>
    </row>
    <row r="453" spans="1:9" x14ac:dyDescent="0.25">
      <c r="A453" s="63" t="s">
        <v>655</v>
      </c>
      <c r="I453" s="63" t="s">
        <v>655</v>
      </c>
    </row>
    <row r="454" spans="1:9" x14ac:dyDescent="0.25">
      <c r="A454" s="63" t="s">
        <v>655</v>
      </c>
      <c r="I454" s="63" t="s">
        <v>655</v>
      </c>
    </row>
    <row r="455" spans="1:9" x14ac:dyDescent="0.25">
      <c r="A455" s="63" t="s">
        <v>655</v>
      </c>
      <c r="I455" s="63" t="s">
        <v>655</v>
      </c>
    </row>
    <row r="456" spans="1:9" x14ac:dyDescent="0.25">
      <c r="A456" s="63" t="s">
        <v>655</v>
      </c>
      <c r="I456" s="63" t="s">
        <v>655</v>
      </c>
    </row>
    <row r="457" spans="1:9" x14ac:dyDescent="0.25">
      <c r="A457" s="63" t="s">
        <v>655</v>
      </c>
      <c r="I457" s="63" t="s">
        <v>655</v>
      </c>
    </row>
    <row r="458" spans="1:9" x14ac:dyDescent="0.25">
      <c r="A458" s="63" t="s">
        <v>655</v>
      </c>
      <c r="I458" s="63" t="s">
        <v>655</v>
      </c>
    </row>
    <row r="459" spans="1:9" x14ac:dyDescent="0.25">
      <c r="A459" s="63" t="s">
        <v>655</v>
      </c>
      <c r="I459" s="63" t="s">
        <v>655</v>
      </c>
    </row>
    <row r="460" spans="1:9" x14ac:dyDescent="0.25">
      <c r="A460" s="63" t="s">
        <v>655</v>
      </c>
      <c r="I460" s="63" t="s">
        <v>655</v>
      </c>
    </row>
    <row r="461" spans="1:9" x14ac:dyDescent="0.25">
      <c r="A461" s="63" t="s">
        <v>655</v>
      </c>
      <c r="I461" s="63" t="s">
        <v>655</v>
      </c>
    </row>
    <row r="462" spans="1:9" x14ac:dyDescent="0.25">
      <c r="A462" s="63" t="s">
        <v>655</v>
      </c>
      <c r="I462" s="63" t="s">
        <v>655</v>
      </c>
    </row>
    <row r="463" spans="1:9" x14ac:dyDescent="0.25">
      <c r="A463" s="63" t="s">
        <v>655</v>
      </c>
      <c r="I463" s="63" t="s">
        <v>655</v>
      </c>
    </row>
    <row r="464" spans="1:9" x14ac:dyDescent="0.25">
      <c r="A464" s="63" t="s">
        <v>655</v>
      </c>
      <c r="I464" s="63" t="s">
        <v>655</v>
      </c>
    </row>
    <row r="465" spans="1:9" x14ac:dyDescent="0.25">
      <c r="A465" s="63" t="s">
        <v>655</v>
      </c>
      <c r="I465" s="63" t="s">
        <v>655</v>
      </c>
    </row>
    <row r="466" spans="1:9" x14ac:dyDescent="0.25">
      <c r="A466" s="63" t="s">
        <v>655</v>
      </c>
      <c r="I466" s="63" t="s">
        <v>655</v>
      </c>
    </row>
    <row r="467" spans="1:9" x14ac:dyDescent="0.25">
      <c r="A467" s="63" t="s">
        <v>655</v>
      </c>
      <c r="I467" s="63" t="s">
        <v>655</v>
      </c>
    </row>
    <row r="468" spans="1:9" x14ac:dyDescent="0.25">
      <c r="A468" s="63" t="s">
        <v>655</v>
      </c>
      <c r="I468" s="63" t="s">
        <v>655</v>
      </c>
    </row>
    <row r="469" spans="1:9" x14ac:dyDescent="0.25">
      <c r="A469" s="63" t="s">
        <v>655</v>
      </c>
      <c r="I469" s="63" t="s">
        <v>655</v>
      </c>
    </row>
    <row r="470" spans="1:9" x14ac:dyDescent="0.25">
      <c r="A470" s="63" t="s">
        <v>655</v>
      </c>
      <c r="I470" s="63" t="s">
        <v>655</v>
      </c>
    </row>
    <row r="471" spans="1:9" x14ac:dyDescent="0.25">
      <c r="A471" s="63" t="s">
        <v>655</v>
      </c>
      <c r="I471" s="63" t="s">
        <v>655</v>
      </c>
    </row>
    <row r="472" spans="1:9" x14ac:dyDescent="0.25">
      <c r="A472" s="63" t="s">
        <v>655</v>
      </c>
      <c r="I472" s="63" t="s">
        <v>655</v>
      </c>
    </row>
    <row r="473" spans="1:9" x14ac:dyDescent="0.25">
      <c r="A473" s="63" t="s">
        <v>655</v>
      </c>
      <c r="I473" s="63" t="s">
        <v>655</v>
      </c>
    </row>
    <row r="474" spans="1:9" x14ac:dyDescent="0.25">
      <c r="A474" s="63" t="s">
        <v>655</v>
      </c>
      <c r="I474" s="63" t="s">
        <v>655</v>
      </c>
    </row>
    <row r="475" spans="1:9" x14ac:dyDescent="0.25">
      <c r="A475" s="63" t="s">
        <v>655</v>
      </c>
      <c r="I475" s="63" t="s">
        <v>655</v>
      </c>
    </row>
    <row r="476" spans="1:9" x14ac:dyDescent="0.25">
      <c r="A476" s="63" t="s">
        <v>655</v>
      </c>
      <c r="I476" s="63" t="s">
        <v>655</v>
      </c>
    </row>
    <row r="477" spans="1:9" x14ac:dyDescent="0.25">
      <c r="A477" s="63" t="s">
        <v>655</v>
      </c>
      <c r="I477" s="63" t="s">
        <v>655</v>
      </c>
    </row>
    <row r="478" spans="1:9" x14ac:dyDescent="0.25">
      <c r="A478" s="63" t="s">
        <v>655</v>
      </c>
      <c r="I478" s="63" t="s">
        <v>655</v>
      </c>
    </row>
    <row r="479" spans="1:9" x14ac:dyDescent="0.25">
      <c r="A479" s="63" t="s">
        <v>655</v>
      </c>
      <c r="I479" s="63" t="s">
        <v>655</v>
      </c>
    </row>
    <row r="480" spans="1:9" x14ac:dyDescent="0.25">
      <c r="A480" s="63" t="s">
        <v>655</v>
      </c>
      <c r="I480" s="63" t="s">
        <v>655</v>
      </c>
    </row>
    <row r="481" spans="1:9" x14ac:dyDescent="0.25">
      <c r="A481" s="63" t="s">
        <v>655</v>
      </c>
      <c r="I481" s="63" t="s">
        <v>655</v>
      </c>
    </row>
    <row r="482" spans="1:9" x14ac:dyDescent="0.25">
      <c r="A482" s="63" t="s">
        <v>655</v>
      </c>
      <c r="I482" s="63" t="s">
        <v>655</v>
      </c>
    </row>
    <row r="483" spans="1:9" x14ac:dyDescent="0.25">
      <c r="A483" s="63" t="s">
        <v>655</v>
      </c>
      <c r="I483" s="63" t="s">
        <v>655</v>
      </c>
    </row>
    <row r="484" spans="1:9" x14ac:dyDescent="0.25">
      <c r="A484" s="63" t="s">
        <v>655</v>
      </c>
      <c r="I484" s="63" t="s">
        <v>655</v>
      </c>
    </row>
    <row r="485" spans="1:9" x14ac:dyDescent="0.25">
      <c r="A485" s="63" t="s">
        <v>655</v>
      </c>
      <c r="I485" s="63" t="s">
        <v>655</v>
      </c>
    </row>
    <row r="486" spans="1:9" x14ac:dyDescent="0.25">
      <c r="A486" s="63" t="s">
        <v>655</v>
      </c>
      <c r="I486" s="63" t="s">
        <v>655</v>
      </c>
    </row>
    <row r="487" spans="1:9" x14ac:dyDescent="0.25">
      <c r="A487" s="63" t="s">
        <v>655</v>
      </c>
      <c r="I487" s="63" t="s">
        <v>655</v>
      </c>
    </row>
    <row r="488" spans="1:9" x14ac:dyDescent="0.25">
      <c r="A488" s="63" t="s">
        <v>655</v>
      </c>
      <c r="I488" s="63" t="s">
        <v>655</v>
      </c>
    </row>
    <row r="489" spans="1:9" x14ac:dyDescent="0.25">
      <c r="A489" s="63" t="s">
        <v>655</v>
      </c>
      <c r="I489" s="63" t="s">
        <v>655</v>
      </c>
    </row>
    <row r="490" spans="1:9" x14ac:dyDescent="0.25">
      <c r="A490" s="63" t="s">
        <v>655</v>
      </c>
      <c r="I490" s="63" t="s">
        <v>655</v>
      </c>
    </row>
    <row r="491" spans="1:9" x14ac:dyDescent="0.25">
      <c r="A491" s="63" t="s">
        <v>655</v>
      </c>
      <c r="I491" s="63" t="s">
        <v>655</v>
      </c>
    </row>
    <row r="492" spans="1:9" x14ac:dyDescent="0.25">
      <c r="A492" s="63" t="s">
        <v>655</v>
      </c>
      <c r="I492" s="63" t="s">
        <v>655</v>
      </c>
    </row>
    <row r="493" spans="1:9" x14ac:dyDescent="0.25">
      <c r="A493" s="63" t="s">
        <v>655</v>
      </c>
      <c r="I493" s="63" t="s">
        <v>655</v>
      </c>
    </row>
    <row r="494" spans="1:9" x14ac:dyDescent="0.25">
      <c r="A494" s="63" t="s">
        <v>655</v>
      </c>
      <c r="I494" s="63" t="s">
        <v>655</v>
      </c>
    </row>
    <row r="495" spans="1:9" x14ac:dyDescent="0.25">
      <c r="A495" s="63" t="s">
        <v>655</v>
      </c>
      <c r="I495" s="63" t="s">
        <v>655</v>
      </c>
    </row>
    <row r="496" spans="1:9" x14ac:dyDescent="0.25">
      <c r="A496" s="63" t="s">
        <v>655</v>
      </c>
      <c r="I496" s="63" t="s">
        <v>655</v>
      </c>
    </row>
    <row r="497" spans="1:9" x14ac:dyDescent="0.25">
      <c r="A497" s="63" t="s">
        <v>655</v>
      </c>
      <c r="I497" s="63" t="s">
        <v>655</v>
      </c>
    </row>
    <row r="498" spans="1:9" x14ac:dyDescent="0.25">
      <c r="A498" s="63" t="s">
        <v>655</v>
      </c>
      <c r="I498" s="63" t="s">
        <v>655</v>
      </c>
    </row>
    <row r="499" spans="1:9" x14ac:dyDescent="0.25">
      <c r="A499" s="63" t="s">
        <v>655</v>
      </c>
      <c r="I499" s="63" t="s">
        <v>655</v>
      </c>
    </row>
    <row r="500" spans="1:9" x14ac:dyDescent="0.25">
      <c r="A500" s="63" t="s">
        <v>655</v>
      </c>
      <c r="I500" s="63" t="s">
        <v>655</v>
      </c>
    </row>
    <row r="501" spans="1:9" x14ac:dyDescent="0.25">
      <c r="A501" s="63" t="s">
        <v>655</v>
      </c>
      <c r="I501" s="63" t="s">
        <v>655</v>
      </c>
    </row>
    <row r="502" spans="1:9" x14ac:dyDescent="0.25">
      <c r="A502" s="63" t="s">
        <v>655</v>
      </c>
      <c r="I502" s="63" t="s">
        <v>655</v>
      </c>
    </row>
    <row r="503" spans="1:9" x14ac:dyDescent="0.25">
      <c r="A503" s="63" t="s">
        <v>655</v>
      </c>
      <c r="I503" s="63" t="s">
        <v>655</v>
      </c>
    </row>
    <row r="504" spans="1:9" x14ac:dyDescent="0.25">
      <c r="A504" s="63" t="s">
        <v>655</v>
      </c>
      <c r="I504" s="63" t="s">
        <v>655</v>
      </c>
    </row>
    <row r="505" spans="1:9" x14ac:dyDescent="0.25">
      <c r="A505" s="63" t="s">
        <v>655</v>
      </c>
      <c r="I505" s="63" t="s">
        <v>655</v>
      </c>
    </row>
    <row r="506" spans="1:9" x14ac:dyDescent="0.25">
      <c r="A506" s="63" t="s">
        <v>655</v>
      </c>
      <c r="I506" s="63" t="s">
        <v>655</v>
      </c>
    </row>
    <row r="507" spans="1:9" x14ac:dyDescent="0.25">
      <c r="A507" s="63" t="s">
        <v>655</v>
      </c>
      <c r="I507" s="63" t="s">
        <v>655</v>
      </c>
    </row>
    <row r="508" spans="1:9" x14ac:dyDescent="0.25">
      <c r="A508" s="63" t="s">
        <v>655</v>
      </c>
      <c r="I508" s="63" t="s">
        <v>655</v>
      </c>
    </row>
    <row r="509" spans="1:9" x14ac:dyDescent="0.25">
      <c r="A509" s="63" t="s">
        <v>655</v>
      </c>
      <c r="I509" s="63" t="s">
        <v>655</v>
      </c>
    </row>
    <row r="510" spans="1:9" x14ac:dyDescent="0.25">
      <c r="A510" s="63" t="s">
        <v>655</v>
      </c>
      <c r="I510" s="63" t="s">
        <v>655</v>
      </c>
    </row>
    <row r="511" spans="1:9" x14ac:dyDescent="0.25">
      <c r="A511" s="63" t="s">
        <v>655</v>
      </c>
      <c r="I511" s="63" t="s">
        <v>655</v>
      </c>
    </row>
    <row r="512" spans="1:9" x14ac:dyDescent="0.25">
      <c r="A512" s="63" t="s">
        <v>655</v>
      </c>
      <c r="I512" s="63" t="s">
        <v>655</v>
      </c>
    </row>
    <row r="513" spans="1:9" x14ac:dyDescent="0.25">
      <c r="A513" s="63" t="s">
        <v>655</v>
      </c>
      <c r="I513" s="63" t="s">
        <v>655</v>
      </c>
    </row>
    <row r="514" spans="1:9" x14ac:dyDescent="0.25">
      <c r="A514" s="63" t="s">
        <v>655</v>
      </c>
      <c r="I514" s="63" t="s">
        <v>655</v>
      </c>
    </row>
    <row r="515" spans="1:9" x14ac:dyDescent="0.25">
      <c r="A515" s="63" t="s">
        <v>655</v>
      </c>
      <c r="I515" s="63" t="s">
        <v>655</v>
      </c>
    </row>
    <row r="516" spans="1:9" x14ac:dyDescent="0.25">
      <c r="A516" s="63" t="s">
        <v>655</v>
      </c>
      <c r="I516" s="63" t="s">
        <v>655</v>
      </c>
    </row>
    <row r="517" spans="1:9" x14ac:dyDescent="0.25">
      <c r="A517" s="63" t="s">
        <v>655</v>
      </c>
      <c r="I517" s="63" t="s">
        <v>655</v>
      </c>
    </row>
    <row r="518" spans="1:9" x14ac:dyDescent="0.25">
      <c r="A518" s="63" t="s">
        <v>655</v>
      </c>
      <c r="I518" s="63" t="s">
        <v>655</v>
      </c>
    </row>
    <row r="519" spans="1:9" x14ac:dyDescent="0.25">
      <c r="A519" s="63" t="s">
        <v>655</v>
      </c>
      <c r="I519" s="63" t="s">
        <v>655</v>
      </c>
    </row>
    <row r="520" spans="1:9" x14ac:dyDescent="0.25">
      <c r="A520" s="63" t="s">
        <v>655</v>
      </c>
      <c r="I520" s="63" t="s">
        <v>655</v>
      </c>
    </row>
    <row r="521" spans="1:9" x14ac:dyDescent="0.25">
      <c r="A521" s="63" t="s">
        <v>655</v>
      </c>
      <c r="I521" s="63" t="s">
        <v>655</v>
      </c>
    </row>
    <row r="522" spans="1:9" x14ac:dyDescent="0.25">
      <c r="A522" s="63" t="s">
        <v>655</v>
      </c>
      <c r="I522" s="63" t="s">
        <v>655</v>
      </c>
    </row>
    <row r="523" spans="1:9" x14ac:dyDescent="0.25">
      <c r="A523" s="63" t="s">
        <v>655</v>
      </c>
      <c r="I523" s="63" t="s">
        <v>655</v>
      </c>
    </row>
    <row r="524" spans="1:9" x14ac:dyDescent="0.25">
      <c r="A524" s="63" t="s">
        <v>655</v>
      </c>
      <c r="I524" s="63" t="s">
        <v>655</v>
      </c>
    </row>
    <row r="525" spans="1:9" x14ac:dyDescent="0.25">
      <c r="A525" s="63" t="s">
        <v>655</v>
      </c>
      <c r="I525" s="63" t="s">
        <v>655</v>
      </c>
    </row>
    <row r="526" spans="1:9" x14ac:dyDescent="0.25">
      <c r="A526" s="63" t="s">
        <v>655</v>
      </c>
      <c r="I526" s="63" t="s">
        <v>655</v>
      </c>
    </row>
    <row r="527" spans="1:9" x14ac:dyDescent="0.25">
      <c r="A527" s="63" t="s">
        <v>655</v>
      </c>
      <c r="I527" s="63" t="s">
        <v>655</v>
      </c>
    </row>
    <row r="528" spans="1:9" x14ac:dyDescent="0.25">
      <c r="A528" s="63" t="s">
        <v>655</v>
      </c>
      <c r="I528" s="63" t="s">
        <v>655</v>
      </c>
    </row>
    <row r="529" spans="1:9" x14ac:dyDescent="0.25">
      <c r="A529" s="63" t="s">
        <v>655</v>
      </c>
      <c r="I529" s="63" t="s">
        <v>655</v>
      </c>
    </row>
    <row r="530" spans="1:9" x14ac:dyDescent="0.25">
      <c r="A530" s="63" t="s">
        <v>655</v>
      </c>
      <c r="I530" s="63" t="s">
        <v>655</v>
      </c>
    </row>
    <row r="531" spans="1:9" x14ac:dyDescent="0.25">
      <c r="A531" s="63" t="s">
        <v>655</v>
      </c>
      <c r="I531" s="63" t="s">
        <v>655</v>
      </c>
    </row>
    <row r="532" spans="1:9" x14ac:dyDescent="0.25">
      <c r="A532" s="63" t="s">
        <v>655</v>
      </c>
      <c r="I532" s="63" t="s">
        <v>655</v>
      </c>
    </row>
    <row r="533" spans="1:9" x14ac:dyDescent="0.25">
      <c r="A533" s="63" t="s">
        <v>655</v>
      </c>
      <c r="I533" s="63" t="s">
        <v>655</v>
      </c>
    </row>
    <row r="534" spans="1:9" x14ac:dyDescent="0.25">
      <c r="A534" s="63" t="s">
        <v>655</v>
      </c>
      <c r="I534" s="63" t="s">
        <v>655</v>
      </c>
    </row>
    <row r="535" spans="1:9" x14ac:dyDescent="0.25">
      <c r="A535" s="63" t="s">
        <v>655</v>
      </c>
      <c r="I535" s="63" t="s">
        <v>655</v>
      </c>
    </row>
    <row r="536" spans="1:9" x14ac:dyDescent="0.25">
      <c r="A536" s="63" t="s">
        <v>655</v>
      </c>
      <c r="I536" s="63" t="s">
        <v>655</v>
      </c>
    </row>
    <row r="537" spans="1:9" x14ac:dyDescent="0.25">
      <c r="A537" s="63" t="s">
        <v>655</v>
      </c>
      <c r="I537" s="63" t="s">
        <v>655</v>
      </c>
    </row>
    <row r="538" spans="1:9" x14ac:dyDescent="0.25">
      <c r="A538" s="63" t="s">
        <v>655</v>
      </c>
      <c r="I538" s="63" t="s">
        <v>655</v>
      </c>
    </row>
    <row r="539" spans="1:9" x14ac:dyDescent="0.25">
      <c r="A539" s="63" t="s">
        <v>655</v>
      </c>
      <c r="I539" s="63" t="s">
        <v>655</v>
      </c>
    </row>
    <row r="540" spans="1:9" x14ac:dyDescent="0.25">
      <c r="A540" s="63" t="s">
        <v>655</v>
      </c>
      <c r="I540" s="63" t="s">
        <v>655</v>
      </c>
    </row>
    <row r="541" spans="1:9" x14ac:dyDescent="0.25">
      <c r="A541" s="63" t="s">
        <v>655</v>
      </c>
      <c r="I541" s="63" t="s">
        <v>655</v>
      </c>
    </row>
    <row r="542" spans="1:9" x14ac:dyDescent="0.25">
      <c r="A542" s="63" t="s">
        <v>655</v>
      </c>
      <c r="I542" s="63" t="s">
        <v>655</v>
      </c>
    </row>
    <row r="543" spans="1:9" x14ac:dyDescent="0.25">
      <c r="A543" s="63" t="s">
        <v>655</v>
      </c>
      <c r="I543" s="63" t="s">
        <v>655</v>
      </c>
    </row>
    <row r="544" spans="1:9" x14ac:dyDescent="0.25">
      <c r="A544" s="63" t="s">
        <v>655</v>
      </c>
      <c r="I544" s="63" t="s">
        <v>655</v>
      </c>
    </row>
    <row r="545" spans="1:9" x14ac:dyDescent="0.25">
      <c r="A545" s="63" t="s">
        <v>655</v>
      </c>
      <c r="I545" s="63" t="s">
        <v>655</v>
      </c>
    </row>
    <row r="546" spans="1:9" x14ac:dyDescent="0.25">
      <c r="A546" s="63" t="s">
        <v>655</v>
      </c>
      <c r="I546" s="63" t="s">
        <v>655</v>
      </c>
    </row>
    <row r="547" spans="1:9" x14ac:dyDescent="0.25">
      <c r="A547" s="63" t="s">
        <v>655</v>
      </c>
      <c r="I547" s="63" t="s">
        <v>655</v>
      </c>
    </row>
    <row r="548" spans="1:9" x14ac:dyDescent="0.25">
      <c r="A548" s="63" t="s">
        <v>655</v>
      </c>
      <c r="I548" s="63" t="s">
        <v>655</v>
      </c>
    </row>
    <row r="549" spans="1:9" x14ac:dyDescent="0.25">
      <c r="A549" s="63" t="s">
        <v>655</v>
      </c>
      <c r="I549" s="63" t="s">
        <v>655</v>
      </c>
    </row>
    <row r="550" spans="1:9" x14ac:dyDescent="0.25">
      <c r="A550" s="63" t="s">
        <v>655</v>
      </c>
      <c r="I550" s="63" t="s">
        <v>655</v>
      </c>
    </row>
    <row r="551" spans="1:9" x14ac:dyDescent="0.25">
      <c r="A551" s="63" t="s">
        <v>655</v>
      </c>
      <c r="I551" s="63" t="s">
        <v>655</v>
      </c>
    </row>
    <row r="552" spans="1:9" x14ac:dyDescent="0.25">
      <c r="A552" s="63" t="s">
        <v>655</v>
      </c>
      <c r="I552" s="63" t="s">
        <v>655</v>
      </c>
    </row>
    <row r="553" spans="1:9" x14ac:dyDescent="0.25">
      <c r="A553" s="63" t="s">
        <v>655</v>
      </c>
      <c r="I553" s="63" t="s">
        <v>655</v>
      </c>
    </row>
    <row r="554" spans="1:9" x14ac:dyDescent="0.25">
      <c r="A554" s="63" t="s">
        <v>655</v>
      </c>
      <c r="I554" s="63" t="s">
        <v>655</v>
      </c>
    </row>
    <row r="555" spans="1:9" x14ac:dyDescent="0.25">
      <c r="A555" s="63" t="s">
        <v>655</v>
      </c>
      <c r="I555" s="63" t="s">
        <v>655</v>
      </c>
    </row>
    <row r="556" spans="1:9" x14ac:dyDescent="0.25">
      <c r="A556" s="63" t="s">
        <v>655</v>
      </c>
      <c r="I556" s="63" t="s">
        <v>655</v>
      </c>
    </row>
    <row r="557" spans="1:9" x14ac:dyDescent="0.25">
      <c r="A557" s="63" t="s">
        <v>655</v>
      </c>
      <c r="I557" s="63" t="s">
        <v>655</v>
      </c>
    </row>
    <row r="558" spans="1:9" x14ac:dyDescent="0.25">
      <c r="A558" s="63" t="s">
        <v>655</v>
      </c>
      <c r="I558" s="63" t="s">
        <v>655</v>
      </c>
    </row>
    <row r="559" spans="1:9" x14ac:dyDescent="0.25">
      <c r="A559" s="63" t="s">
        <v>655</v>
      </c>
      <c r="I559" s="63" t="s">
        <v>655</v>
      </c>
    </row>
    <row r="560" spans="1:9" x14ac:dyDescent="0.25">
      <c r="A560" s="63" t="s">
        <v>655</v>
      </c>
      <c r="I560" s="63" t="s">
        <v>655</v>
      </c>
    </row>
    <row r="561" spans="1:9" x14ac:dyDescent="0.25">
      <c r="A561" s="63" t="s">
        <v>655</v>
      </c>
      <c r="I561" s="63" t="s">
        <v>655</v>
      </c>
    </row>
    <row r="562" spans="1:9" x14ac:dyDescent="0.25">
      <c r="A562" s="63" t="s">
        <v>655</v>
      </c>
      <c r="I562" s="63" t="s">
        <v>655</v>
      </c>
    </row>
    <row r="563" spans="1:9" x14ac:dyDescent="0.25">
      <c r="A563" s="63" t="s">
        <v>655</v>
      </c>
      <c r="I563" s="63" t="s">
        <v>655</v>
      </c>
    </row>
    <row r="564" spans="1:9" x14ac:dyDescent="0.25">
      <c r="A564" s="63" t="s">
        <v>655</v>
      </c>
      <c r="I564" s="63" t="s">
        <v>655</v>
      </c>
    </row>
    <row r="565" spans="1:9" x14ac:dyDescent="0.25">
      <c r="A565" s="63" t="s">
        <v>655</v>
      </c>
      <c r="I565" s="63" t="s">
        <v>655</v>
      </c>
    </row>
    <row r="566" spans="1:9" x14ac:dyDescent="0.25">
      <c r="A566" s="63" t="s">
        <v>655</v>
      </c>
      <c r="I566" s="63" t="s">
        <v>655</v>
      </c>
    </row>
    <row r="567" spans="1:9" x14ac:dyDescent="0.25">
      <c r="A567" s="63" t="s">
        <v>655</v>
      </c>
      <c r="I567" s="63" t="s">
        <v>655</v>
      </c>
    </row>
    <row r="568" spans="1:9" x14ac:dyDescent="0.25">
      <c r="A568" s="63" t="s">
        <v>655</v>
      </c>
      <c r="I568" s="63" t="s">
        <v>655</v>
      </c>
    </row>
    <row r="569" spans="1:9" x14ac:dyDescent="0.25">
      <c r="A569" s="63" t="s">
        <v>655</v>
      </c>
      <c r="I569" s="63" t="s">
        <v>655</v>
      </c>
    </row>
    <row r="570" spans="1:9" x14ac:dyDescent="0.25">
      <c r="A570" s="63" t="s">
        <v>655</v>
      </c>
      <c r="I570" s="63" t="s">
        <v>655</v>
      </c>
    </row>
    <row r="571" spans="1:9" x14ac:dyDescent="0.25">
      <c r="A571" s="63" t="s">
        <v>655</v>
      </c>
      <c r="I571" s="63" t="s">
        <v>655</v>
      </c>
    </row>
    <row r="572" spans="1:9" x14ac:dyDescent="0.25">
      <c r="A572" s="63" t="s">
        <v>655</v>
      </c>
      <c r="I572" s="63" t="s">
        <v>655</v>
      </c>
    </row>
    <row r="573" spans="1:9" x14ac:dyDescent="0.25">
      <c r="A573" s="63" t="s">
        <v>655</v>
      </c>
      <c r="I573" s="63" t="s">
        <v>655</v>
      </c>
    </row>
    <row r="574" spans="1:9" x14ac:dyDescent="0.25">
      <c r="A574" s="63" t="s">
        <v>655</v>
      </c>
      <c r="I574" s="63" t="s">
        <v>655</v>
      </c>
    </row>
    <row r="575" spans="1:9" x14ac:dyDescent="0.25">
      <c r="A575" s="63" t="s">
        <v>655</v>
      </c>
      <c r="I575" s="63" t="s">
        <v>655</v>
      </c>
    </row>
    <row r="576" spans="1:9" x14ac:dyDescent="0.25">
      <c r="A576" s="63" t="s">
        <v>655</v>
      </c>
      <c r="I576" s="63" t="s">
        <v>655</v>
      </c>
    </row>
    <row r="577" spans="1:9" x14ac:dyDescent="0.25">
      <c r="A577" s="63" t="s">
        <v>655</v>
      </c>
      <c r="I577" s="63" t="s">
        <v>655</v>
      </c>
    </row>
    <row r="578" spans="1:9" x14ac:dyDescent="0.25">
      <c r="A578" s="63" t="s">
        <v>655</v>
      </c>
      <c r="I578" s="63" t="s">
        <v>655</v>
      </c>
    </row>
    <row r="579" spans="1:9" x14ac:dyDescent="0.25">
      <c r="A579" s="63" t="s">
        <v>655</v>
      </c>
      <c r="I579" s="63" t="s">
        <v>655</v>
      </c>
    </row>
    <row r="580" spans="1:9" x14ac:dyDescent="0.25">
      <c r="A580" s="63" t="s">
        <v>655</v>
      </c>
      <c r="I580" s="63" t="s">
        <v>655</v>
      </c>
    </row>
    <row r="581" spans="1:9" x14ac:dyDescent="0.25">
      <c r="A581" s="63" t="s">
        <v>655</v>
      </c>
      <c r="I581" s="63" t="s">
        <v>655</v>
      </c>
    </row>
    <row r="582" spans="1:9" x14ac:dyDescent="0.25">
      <c r="A582" s="63" t="s">
        <v>655</v>
      </c>
      <c r="I582" s="63" t="s">
        <v>655</v>
      </c>
    </row>
    <row r="583" spans="1:9" x14ac:dyDescent="0.25">
      <c r="A583" s="63" t="s">
        <v>655</v>
      </c>
      <c r="I583" s="63" t="s">
        <v>655</v>
      </c>
    </row>
    <row r="584" spans="1:9" x14ac:dyDescent="0.25">
      <c r="A584" s="63" t="s">
        <v>655</v>
      </c>
      <c r="I584" s="63" t="s">
        <v>655</v>
      </c>
    </row>
    <row r="585" spans="1:9" x14ac:dyDescent="0.25">
      <c r="A585" s="63" t="s">
        <v>655</v>
      </c>
      <c r="I585" s="63" t="s">
        <v>655</v>
      </c>
    </row>
    <row r="586" spans="1:9" x14ac:dyDescent="0.25">
      <c r="A586" s="63" t="s">
        <v>655</v>
      </c>
      <c r="I586" s="63" t="s">
        <v>655</v>
      </c>
    </row>
    <row r="587" spans="1:9" x14ac:dyDescent="0.25">
      <c r="A587" s="63" t="s">
        <v>655</v>
      </c>
      <c r="I587" s="63" t="s">
        <v>655</v>
      </c>
    </row>
    <row r="588" spans="1:9" x14ac:dyDescent="0.25">
      <c r="A588" s="63" t="s">
        <v>655</v>
      </c>
      <c r="I588" s="63" t="s">
        <v>655</v>
      </c>
    </row>
    <row r="589" spans="1:9" x14ac:dyDescent="0.25">
      <c r="A589" s="63" t="s">
        <v>655</v>
      </c>
      <c r="I589" s="63" t="s">
        <v>655</v>
      </c>
    </row>
    <row r="590" spans="1:9" x14ac:dyDescent="0.25">
      <c r="A590" s="63" t="s">
        <v>655</v>
      </c>
      <c r="I590" s="63" t="s">
        <v>655</v>
      </c>
    </row>
    <row r="591" spans="1:9" x14ac:dyDescent="0.25">
      <c r="A591" s="63" t="s">
        <v>655</v>
      </c>
      <c r="I591" s="63" t="s">
        <v>655</v>
      </c>
    </row>
    <row r="592" spans="1:9" x14ac:dyDescent="0.25">
      <c r="A592" s="63" t="s">
        <v>655</v>
      </c>
      <c r="I592" s="63" t="s">
        <v>655</v>
      </c>
    </row>
    <row r="593" spans="1:9" x14ac:dyDescent="0.25">
      <c r="A593" s="63" t="s">
        <v>655</v>
      </c>
      <c r="I593" s="63" t="s">
        <v>655</v>
      </c>
    </row>
    <row r="594" spans="1:9" x14ac:dyDescent="0.25">
      <c r="A594" s="63" t="s">
        <v>655</v>
      </c>
      <c r="I594" s="63" t="s">
        <v>655</v>
      </c>
    </row>
    <row r="595" spans="1:9" x14ac:dyDescent="0.25">
      <c r="A595" s="63" t="s">
        <v>655</v>
      </c>
      <c r="I595" s="63" t="s">
        <v>655</v>
      </c>
    </row>
    <row r="596" spans="1:9" x14ac:dyDescent="0.25">
      <c r="A596" s="63" t="s">
        <v>655</v>
      </c>
      <c r="I596" s="63" t="s">
        <v>655</v>
      </c>
    </row>
    <row r="597" spans="1:9" x14ac:dyDescent="0.25">
      <c r="A597" s="63" t="s">
        <v>655</v>
      </c>
      <c r="I597" s="63" t="s">
        <v>655</v>
      </c>
    </row>
    <row r="598" spans="1:9" x14ac:dyDescent="0.25">
      <c r="A598" s="63" t="s">
        <v>655</v>
      </c>
      <c r="I598" s="63" t="s">
        <v>655</v>
      </c>
    </row>
    <row r="599" spans="1:9" x14ac:dyDescent="0.25">
      <c r="A599" s="63" t="s">
        <v>655</v>
      </c>
      <c r="I599" s="63" t="s">
        <v>655</v>
      </c>
    </row>
    <row r="600" spans="1:9" x14ac:dyDescent="0.25">
      <c r="A600" s="63" t="s">
        <v>655</v>
      </c>
      <c r="I600" s="63" t="s">
        <v>655</v>
      </c>
    </row>
    <row r="601" spans="1:9" x14ac:dyDescent="0.25">
      <c r="A601" s="63" t="s">
        <v>655</v>
      </c>
      <c r="I601" s="63" t="s">
        <v>655</v>
      </c>
    </row>
    <row r="602" spans="1:9" x14ac:dyDescent="0.25">
      <c r="A602" s="63" t="s">
        <v>655</v>
      </c>
      <c r="I602" s="63" t="s">
        <v>655</v>
      </c>
    </row>
    <row r="603" spans="1:9" x14ac:dyDescent="0.25">
      <c r="A603" s="63" t="s">
        <v>655</v>
      </c>
      <c r="I603" s="63" t="s">
        <v>655</v>
      </c>
    </row>
    <row r="604" spans="1:9" x14ac:dyDescent="0.25">
      <c r="A604" s="63" t="s">
        <v>655</v>
      </c>
      <c r="I604" s="63" t="s">
        <v>655</v>
      </c>
    </row>
    <row r="605" spans="1:9" x14ac:dyDescent="0.25">
      <c r="A605" s="63" t="s">
        <v>655</v>
      </c>
      <c r="I605" s="63" t="s">
        <v>655</v>
      </c>
    </row>
    <row r="606" spans="1:9" x14ac:dyDescent="0.25">
      <c r="A606" s="63" t="s">
        <v>655</v>
      </c>
      <c r="I606" s="63" t="s">
        <v>655</v>
      </c>
    </row>
    <row r="607" spans="1:9" x14ac:dyDescent="0.25">
      <c r="A607" s="63" t="s">
        <v>655</v>
      </c>
      <c r="I607" s="63" t="s">
        <v>655</v>
      </c>
    </row>
    <row r="608" spans="1:9" x14ac:dyDescent="0.25">
      <c r="A608" s="63" t="s">
        <v>655</v>
      </c>
      <c r="I608" s="63" t="s">
        <v>655</v>
      </c>
    </row>
    <row r="609" spans="1:9" x14ac:dyDescent="0.25">
      <c r="A609" s="63" t="s">
        <v>655</v>
      </c>
      <c r="I609" s="63" t="s">
        <v>655</v>
      </c>
    </row>
    <row r="610" spans="1:9" x14ac:dyDescent="0.25">
      <c r="A610" s="63" t="s">
        <v>655</v>
      </c>
      <c r="I610" s="63" t="s">
        <v>655</v>
      </c>
    </row>
    <row r="611" spans="1:9" x14ac:dyDescent="0.25">
      <c r="A611" s="63" t="s">
        <v>655</v>
      </c>
      <c r="I611" s="63" t="s">
        <v>655</v>
      </c>
    </row>
    <row r="612" spans="1:9" x14ac:dyDescent="0.25">
      <c r="A612" s="63" t="s">
        <v>655</v>
      </c>
      <c r="I612" s="63" t="s">
        <v>655</v>
      </c>
    </row>
    <row r="613" spans="1:9" x14ac:dyDescent="0.25">
      <c r="A613" s="63" t="s">
        <v>655</v>
      </c>
      <c r="I613" s="63" t="s">
        <v>655</v>
      </c>
    </row>
    <row r="614" spans="1:9" x14ac:dyDescent="0.25">
      <c r="A614" s="63" t="s">
        <v>655</v>
      </c>
      <c r="I614" s="63" t="s">
        <v>655</v>
      </c>
    </row>
    <row r="615" spans="1:9" x14ac:dyDescent="0.25">
      <c r="A615" s="63" t="s">
        <v>655</v>
      </c>
      <c r="I615" s="63" t="s">
        <v>655</v>
      </c>
    </row>
    <row r="616" spans="1:9" x14ac:dyDescent="0.25">
      <c r="A616" s="63" t="s">
        <v>655</v>
      </c>
      <c r="I616" s="63" t="s">
        <v>655</v>
      </c>
    </row>
    <row r="617" spans="1:9" x14ac:dyDescent="0.25">
      <c r="A617" s="63" t="s">
        <v>655</v>
      </c>
      <c r="I617" s="63" t="s">
        <v>655</v>
      </c>
    </row>
    <row r="618" spans="1:9" x14ac:dyDescent="0.25">
      <c r="A618" s="63" t="s">
        <v>655</v>
      </c>
      <c r="I618" s="63" t="s">
        <v>655</v>
      </c>
    </row>
    <row r="619" spans="1:9" x14ac:dyDescent="0.25">
      <c r="A619" s="63" t="s">
        <v>655</v>
      </c>
      <c r="I619" s="63" t="s">
        <v>655</v>
      </c>
    </row>
    <row r="620" spans="1:9" x14ac:dyDescent="0.25">
      <c r="A620" s="63" t="s">
        <v>655</v>
      </c>
      <c r="I620" s="63" t="s">
        <v>655</v>
      </c>
    </row>
    <row r="621" spans="1:9" x14ac:dyDescent="0.25">
      <c r="A621" s="63" t="s">
        <v>655</v>
      </c>
      <c r="I621" s="63" t="s">
        <v>655</v>
      </c>
    </row>
    <row r="622" spans="1:9" x14ac:dyDescent="0.25">
      <c r="A622" s="63" t="s">
        <v>655</v>
      </c>
      <c r="I622" s="63" t="s">
        <v>655</v>
      </c>
    </row>
    <row r="623" spans="1:9" x14ac:dyDescent="0.25">
      <c r="A623" s="63" t="s">
        <v>655</v>
      </c>
      <c r="I623" s="63" t="s">
        <v>655</v>
      </c>
    </row>
    <row r="624" spans="1:9" x14ac:dyDescent="0.25">
      <c r="A624" s="63" t="s">
        <v>655</v>
      </c>
      <c r="I624" s="63" t="s">
        <v>655</v>
      </c>
    </row>
    <row r="625" spans="1:9" x14ac:dyDescent="0.25">
      <c r="A625" s="63" t="s">
        <v>655</v>
      </c>
      <c r="I625" s="63" t="s">
        <v>655</v>
      </c>
    </row>
    <row r="626" spans="1:9" x14ac:dyDescent="0.25">
      <c r="A626" s="63" t="s">
        <v>655</v>
      </c>
      <c r="I626" s="63" t="s">
        <v>655</v>
      </c>
    </row>
    <row r="627" spans="1:9" x14ac:dyDescent="0.25">
      <c r="A627" s="63" t="s">
        <v>655</v>
      </c>
      <c r="I627" s="63" t="s">
        <v>655</v>
      </c>
    </row>
    <row r="628" spans="1:9" x14ac:dyDescent="0.25">
      <c r="A628" s="63" t="s">
        <v>655</v>
      </c>
      <c r="I628" s="63" t="s">
        <v>655</v>
      </c>
    </row>
    <row r="629" spans="1:9" x14ac:dyDescent="0.25">
      <c r="A629" s="63" t="s">
        <v>655</v>
      </c>
      <c r="I629" s="63" t="s">
        <v>655</v>
      </c>
    </row>
    <row r="630" spans="1:9" x14ac:dyDescent="0.25">
      <c r="A630" s="63" t="s">
        <v>655</v>
      </c>
      <c r="I630" s="63" t="s">
        <v>655</v>
      </c>
    </row>
    <row r="631" spans="1:9" x14ac:dyDescent="0.25">
      <c r="A631" s="63" t="s">
        <v>655</v>
      </c>
      <c r="I631" s="63" t="s">
        <v>655</v>
      </c>
    </row>
    <row r="632" spans="1:9" x14ac:dyDescent="0.25">
      <c r="A632" s="63" t="s">
        <v>655</v>
      </c>
      <c r="I632" s="63" t="s">
        <v>655</v>
      </c>
    </row>
    <row r="633" spans="1:9" x14ac:dyDescent="0.25">
      <c r="A633" s="63" t="s">
        <v>655</v>
      </c>
      <c r="I633" s="63" t="s">
        <v>655</v>
      </c>
    </row>
    <row r="634" spans="1:9" x14ac:dyDescent="0.25">
      <c r="A634" s="63" t="s">
        <v>655</v>
      </c>
      <c r="I634" s="63" t="s">
        <v>655</v>
      </c>
    </row>
    <row r="635" spans="1:9" x14ac:dyDescent="0.25">
      <c r="A635" s="63" t="s">
        <v>655</v>
      </c>
      <c r="I635" s="63" t="s">
        <v>655</v>
      </c>
    </row>
    <row r="636" spans="1:9" x14ac:dyDescent="0.25">
      <c r="A636" s="63" t="s">
        <v>655</v>
      </c>
      <c r="I636" s="63" t="s">
        <v>655</v>
      </c>
    </row>
    <row r="637" spans="1:9" x14ac:dyDescent="0.25">
      <c r="A637" s="63" t="s">
        <v>655</v>
      </c>
      <c r="I637" s="63" t="s">
        <v>655</v>
      </c>
    </row>
    <row r="638" spans="1:9" x14ac:dyDescent="0.25">
      <c r="A638" s="63" t="s">
        <v>655</v>
      </c>
      <c r="I638" s="63" t="s">
        <v>655</v>
      </c>
    </row>
    <row r="639" spans="1:9" x14ac:dyDescent="0.25">
      <c r="A639" s="63" t="s">
        <v>655</v>
      </c>
      <c r="I639" s="63" t="s">
        <v>655</v>
      </c>
    </row>
    <row r="640" spans="1:9" x14ac:dyDescent="0.25">
      <c r="A640" s="63" t="s">
        <v>655</v>
      </c>
      <c r="I640" s="63" t="s">
        <v>655</v>
      </c>
    </row>
    <row r="641" spans="1:9" x14ac:dyDescent="0.25">
      <c r="A641" s="63" t="s">
        <v>655</v>
      </c>
      <c r="I641" s="63" t="s">
        <v>655</v>
      </c>
    </row>
    <row r="642" spans="1:9" x14ac:dyDescent="0.25">
      <c r="A642" s="63" t="s">
        <v>655</v>
      </c>
      <c r="I642" s="63" t="s">
        <v>655</v>
      </c>
    </row>
    <row r="643" spans="1:9" x14ac:dyDescent="0.25">
      <c r="A643" s="63" t="s">
        <v>655</v>
      </c>
      <c r="I643" s="63" t="s">
        <v>655</v>
      </c>
    </row>
    <row r="644" spans="1:9" x14ac:dyDescent="0.25">
      <c r="A644" s="63" t="s">
        <v>655</v>
      </c>
      <c r="I644" s="63" t="s">
        <v>655</v>
      </c>
    </row>
    <row r="645" spans="1:9" x14ac:dyDescent="0.25">
      <c r="A645" s="63" t="s">
        <v>655</v>
      </c>
      <c r="I645" s="63" t="s">
        <v>655</v>
      </c>
    </row>
    <row r="646" spans="1:9" x14ac:dyDescent="0.25">
      <c r="A646" s="63" t="s">
        <v>655</v>
      </c>
      <c r="I646" s="63" t="s">
        <v>655</v>
      </c>
    </row>
    <row r="647" spans="1:9" x14ac:dyDescent="0.25">
      <c r="A647" s="63" t="s">
        <v>655</v>
      </c>
      <c r="I647" s="63" t="s">
        <v>655</v>
      </c>
    </row>
    <row r="648" spans="1:9" x14ac:dyDescent="0.25">
      <c r="A648" s="63" t="s">
        <v>655</v>
      </c>
      <c r="I648" s="63" t="s">
        <v>655</v>
      </c>
    </row>
    <row r="649" spans="1:9" x14ac:dyDescent="0.25">
      <c r="A649" s="63" t="s">
        <v>655</v>
      </c>
      <c r="I649" s="63" t="s">
        <v>655</v>
      </c>
    </row>
    <row r="650" spans="1:9" x14ac:dyDescent="0.25">
      <c r="A650" s="63" t="s">
        <v>655</v>
      </c>
      <c r="I650" s="63" t="s">
        <v>655</v>
      </c>
    </row>
    <row r="651" spans="1:9" x14ac:dyDescent="0.25">
      <c r="A651" s="63" t="s">
        <v>655</v>
      </c>
      <c r="I651" s="63" t="s">
        <v>655</v>
      </c>
    </row>
    <row r="652" spans="1:9" x14ac:dyDescent="0.25">
      <c r="A652" s="63" t="s">
        <v>655</v>
      </c>
      <c r="I652" s="63" t="s">
        <v>655</v>
      </c>
    </row>
    <row r="653" spans="1:9" x14ac:dyDescent="0.25">
      <c r="A653" s="63" t="s">
        <v>655</v>
      </c>
      <c r="I653" s="63" t="s">
        <v>655</v>
      </c>
    </row>
    <row r="654" spans="1:9" x14ac:dyDescent="0.25">
      <c r="A654" s="63" t="s">
        <v>655</v>
      </c>
      <c r="I654" s="63" t="s">
        <v>655</v>
      </c>
    </row>
    <row r="655" spans="1:9" x14ac:dyDescent="0.25">
      <c r="A655" s="63" t="s">
        <v>655</v>
      </c>
      <c r="I655" s="63" t="s">
        <v>655</v>
      </c>
    </row>
    <row r="656" spans="1:9" x14ac:dyDescent="0.25">
      <c r="A656" s="63" t="s">
        <v>655</v>
      </c>
      <c r="I656" s="63" t="s">
        <v>655</v>
      </c>
    </row>
    <row r="657" spans="1:9" x14ac:dyDescent="0.25">
      <c r="A657" s="63" t="s">
        <v>655</v>
      </c>
      <c r="I657" s="63" t="s">
        <v>655</v>
      </c>
    </row>
    <row r="658" spans="1:9" x14ac:dyDescent="0.25">
      <c r="A658" s="63" t="s">
        <v>655</v>
      </c>
      <c r="I658" s="63" t="s">
        <v>655</v>
      </c>
    </row>
    <row r="659" spans="1:9" x14ac:dyDescent="0.25">
      <c r="A659" s="63" t="s">
        <v>655</v>
      </c>
      <c r="I659" s="63" t="s">
        <v>655</v>
      </c>
    </row>
    <row r="660" spans="1:9" x14ac:dyDescent="0.25">
      <c r="A660" s="63" t="s">
        <v>655</v>
      </c>
      <c r="I660" s="63" t="s">
        <v>655</v>
      </c>
    </row>
    <row r="661" spans="1:9" x14ac:dyDescent="0.25">
      <c r="A661" s="63" t="s">
        <v>655</v>
      </c>
      <c r="I661" s="63" t="s">
        <v>655</v>
      </c>
    </row>
    <row r="662" spans="1:9" x14ac:dyDescent="0.25">
      <c r="A662" s="63" t="s">
        <v>655</v>
      </c>
      <c r="I662" s="63" t="s">
        <v>655</v>
      </c>
    </row>
    <row r="663" spans="1:9" x14ac:dyDescent="0.25">
      <c r="A663" s="63" t="s">
        <v>655</v>
      </c>
      <c r="I663" s="63" t="s">
        <v>655</v>
      </c>
    </row>
    <row r="664" spans="1:9" x14ac:dyDescent="0.25">
      <c r="A664" s="63" t="s">
        <v>655</v>
      </c>
      <c r="I664" s="63" t="s">
        <v>655</v>
      </c>
    </row>
    <row r="665" spans="1:9" x14ac:dyDescent="0.25">
      <c r="A665" s="63" t="s">
        <v>655</v>
      </c>
      <c r="I665" s="63" t="s">
        <v>655</v>
      </c>
    </row>
    <row r="666" spans="1:9" x14ac:dyDescent="0.25">
      <c r="A666" s="63" t="s">
        <v>655</v>
      </c>
      <c r="I666" s="63" t="s">
        <v>655</v>
      </c>
    </row>
    <row r="667" spans="1:9" x14ac:dyDescent="0.25">
      <c r="A667" s="63" t="s">
        <v>655</v>
      </c>
      <c r="I667" s="63" t="s">
        <v>655</v>
      </c>
    </row>
    <row r="668" spans="1:9" x14ac:dyDescent="0.25">
      <c r="A668" s="63" t="s">
        <v>655</v>
      </c>
      <c r="I668" s="63" t="s">
        <v>655</v>
      </c>
    </row>
    <row r="669" spans="1:9" x14ac:dyDescent="0.25">
      <c r="A669" s="63" t="s">
        <v>655</v>
      </c>
      <c r="I669" s="63" t="s">
        <v>655</v>
      </c>
    </row>
    <row r="670" spans="1:9" x14ac:dyDescent="0.25">
      <c r="A670" s="63" t="s">
        <v>655</v>
      </c>
      <c r="I670" s="63" t="s">
        <v>655</v>
      </c>
    </row>
    <row r="671" spans="1:9" x14ac:dyDescent="0.25">
      <c r="A671" s="63" t="s">
        <v>655</v>
      </c>
      <c r="I671" s="63" t="s">
        <v>655</v>
      </c>
    </row>
    <row r="672" spans="1:9" x14ac:dyDescent="0.25">
      <c r="A672" s="63" t="s">
        <v>655</v>
      </c>
      <c r="I672" s="63" t="s">
        <v>655</v>
      </c>
    </row>
    <row r="673" spans="1:9" x14ac:dyDescent="0.25">
      <c r="A673" s="63" t="s">
        <v>655</v>
      </c>
      <c r="I673" s="63" t="s">
        <v>655</v>
      </c>
    </row>
    <row r="674" spans="1:9" x14ac:dyDescent="0.25">
      <c r="A674" s="63" t="s">
        <v>655</v>
      </c>
      <c r="I674" s="63" t="s">
        <v>655</v>
      </c>
    </row>
    <row r="675" spans="1:9" x14ac:dyDescent="0.25">
      <c r="A675" s="63" t="s">
        <v>655</v>
      </c>
      <c r="I675" s="63" t="s">
        <v>655</v>
      </c>
    </row>
    <row r="676" spans="1:9" x14ac:dyDescent="0.25">
      <c r="A676" s="63" t="s">
        <v>655</v>
      </c>
      <c r="I676" s="63" t="s">
        <v>655</v>
      </c>
    </row>
    <row r="677" spans="1:9" x14ac:dyDescent="0.25">
      <c r="A677" s="63" t="s">
        <v>655</v>
      </c>
      <c r="I677" s="63" t="s">
        <v>655</v>
      </c>
    </row>
    <row r="678" spans="1:9" x14ac:dyDescent="0.25">
      <c r="A678" s="63" t="s">
        <v>655</v>
      </c>
      <c r="I678" s="63" t="s">
        <v>655</v>
      </c>
    </row>
    <row r="679" spans="1:9" x14ac:dyDescent="0.25">
      <c r="A679" s="63" t="s">
        <v>655</v>
      </c>
      <c r="I679" s="63" t="s">
        <v>655</v>
      </c>
    </row>
    <row r="680" spans="1:9" x14ac:dyDescent="0.25">
      <c r="A680" s="63" t="s">
        <v>655</v>
      </c>
      <c r="I680" s="63" t="s">
        <v>655</v>
      </c>
    </row>
    <row r="681" spans="1:9" x14ac:dyDescent="0.25">
      <c r="A681" s="63" t="s">
        <v>655</v>
      </c>
      <c r="I681" s="63" t="s">
        <v>655</v>
      </c>
    </row>
    <row r="682" spans="1:9" x14ac:dyDescent="0.25">
      <c r="A682" s="63" t="s">
        <v>655</v>
      </c>
      <c r="I682" s="63" t="s">
        <v>655</v>
      </c>
    </row>
    <row r="683" spans="1:9" x14ac:dyDescent="0.25">
      <c r="A683" s="63" t="s">
        <v>655</v>
      </c>
      <c r="I683" s="63" t="s">
        <v>655</v>
      </c>
    </row>
    <row r="684" spans="1:9" x14ac:dyDescent="0.25">
      <c r="A684" s="63" t="s">
        <v>655</v>
      </c>
      <c r="I684" s="63" t="s">
        <v>655</v>
      </c>
    </row>
    <row r="685" spans="1:9" x14ac:dyDescent="0.25">
      <c r="A685" s="63" t="s">
        <v>655</v>
      </c>
      <c r="I685" s="63" t="s">
        <v>655</v>
      </c>
    </row>
    <row r="686" spans="1:9" x14ac:dyDescent="0.25">
      <c r="A686" s="63" t="s">
        <v>655</v>
      </c>
      <c r="I686" s="63" t="s">
        <v>655</v>
      </c>
    </row>
    <row r="687" spans="1:9" x14ac:dyDescent="0.25">
      <c r="A687" s="63" t="s">
        <v>655</v>
      </c>
      <c r="I687" s="63" t="s">
        <v>655</v>
      </c>
    </row>
    <row r="688" spans="1:9" x14ac:dyDescent="0.25">
      <c r="A688" s="63" t="s">
        <v>655</v>
      </c>
      <c r="I688" s="63" t="s">
        <v>655</v>
      </c>
    </row>
    <row r="689" spans="1:9" x14ac:dyDescent="0.25">
      <c r="A689" s="63" t="s">
        <v>655</v>
      </c>
      <c r="I689" s="63" t="s">
        <v>655</v>
      </c>
    </row>
    <row r="690" spans="1:9" x14ac:dyDescent="0.25">
      <c r="A690" s="63" t="s">
        <v>655</v>
      </c>
      <c r="I690" s="63" t="s">
        <v>655</v>
      </c>
    </row>
    <row r="691" spans="1:9" x14ac:dyDescent="0.25">
      <c r="A691" s="63" t="s">
        <v>655</v>
      </c>
      <c r="I691" s="63" t="s">
        <v>655</v>
      </c>
    </row>
    <row r="692" spans="1:9" x14ac:dyDescent="0.25">
      <c r="A692" s="63" t="s">
        <v>655</v>
      </c>
      <c r="I692" s="63" t="s">
        <v>655</v>
      </c>
    </row>
    <row r="693" spans="1:9" x14ac:dyDescent="0.25">
      <c r="A693" s="63" t="s">
        <v>655</v>
      </c>
      <c r="I693" s="63" t="s">
        <v>655</v>
      </c>
    </row>
    <row r="694" spans="1:9" x14ac:dyDescent="0.25">
      <c r="A694" s="63" t="s">
        <v>655</v>
      </c>
      <c r="I694" s="63" t="s">
        <v>655</v>
      </c>
    </row>
    <row r="695" spans="1:9" x14ac:dyDescent="0.25">
      <c r="A695" s="63" t="s">
        <v>655</v>
      </c>
      <c r="I695" s="63" t="s">
        <v>655</v>
      </c>
    </row>
    <row r="696" spans="1:9" x14ac:dyDescent="0.25">
      <c r="A696" s="63" t="s">
        <v>655</v>
      </c>
      <c r="I696" s="63" t="s">
        <v>655</v>
      </c>
    </row>
    <row r="697" spans="1:9" x14ac:dyDescent="0.25">
      <c r="A697" s="63" t="s">
        <v>655</v>
      </c>
      <c r="I697" s="63" t="s">
        <v>655</v>
      </c>
    </row>
    <row r="698" spans="1:9" x14ac:dyDescent="0.25">
      <c r="A698" s="63" t="s">
        <v>655</v>
      </c>
      <c r="I698" s="63" t="s">
        <v>655</v>
      </c>
    </row>
    <row r="699" spans="1:9" x14ac:dyDescent="0.25">
      <c r="A699" s="63" t="s">
        <v>655</v>
      </c>
      <c r="I699" s="63" t="s">
        <v>655</v>
      </c>
    </row>
    <row r="700" spans="1:9" x14ac:dyDescent="0.25">
      <c r="A700" s="63" t="s">
        <v>655</v>
      </c>
      <c r="I700" s="63" t="s">
        <v>655</v>
      </c>
    </row>
    <row r="701" spans="1:9" x14ac:dyDescent="0.25">
      <c r="A701" s="63" t="s">
        <v>655</v>
      </c>
      <c r="I701" s="63" t="s">
        <v>655</v>
      </c>
    </row>
    <row r="702" spans="1:9" x14ac:dyDescent="0.25">
      <c r="A702" s="63" t="s">
        <v>655</v>
      </c>
      <c r="I702" s="63" t="s">
        <v>655</v>
      </c>
    </row>
    <row r="703" spans="1:9" x14ac:dyDescent="0.25">
      <c r="A703" s="63" t="s">
        <v>655</v>
      </c>
      <c r="I703" s="63" t="s">
        <v>655</v>
      </c>
    </row>
    <row r="704" spans="1:9" x14ac:dyDescent="0.25">
      <c r="A704" s="63" t="s">
        <v>655</v>
      </c>
      <c r="I704" s="63" t="s">
        <v>655</v>
      </c>
    </row>
    <row r="705" spans="1:9" x14ac:dyDescent="0.25">
      <c r="A705" s="63" t="s">
        <v>655</v>
      </c>
      <c r="I705" s="63" t="s">
        <v>655</v>
      </c>
    </row>
    <row r="706" spans="1:9" x14ac:dyDescent="0.25">
      <c r="A706" s="63" t="s">
        <v>655</v>
      </c>
      <c r="I706" s="63" t="s">
        <v>655</v>
      </c>
    </row>
    <row r="707" spans="1:9" x14ac:dyDescent="0.25">
      <c r="A707" s="63" t="s">
        <v>655</v>
      </c>
      <c r="I707" s="63" t="s">
        <v>655</v>
      </c>
    </row>
    <row r="708" spans="1:9" x14ac:dyDescent="0.25">
      <c r="A708" s="63" t="s">
        <v>655</v>
      </c>
      <c r="I708" s="63" t="s">
        <v>655</v>
      </c>
    </row>
    <row r="709" spans="1:9" x14ac:dyDescent="0.25">
      <c r="A709" s="63" t="s">
        <v>655</v>
      </c>
      <c r="I709" s="63" t="s">
        <v>655</v>
      </c>
    </row>
    <row r="710" spans="1:9" x14ac:dyDescent="0.25">
      <c r="A710" s="63" t="s">
        <v>655</v>
      </c>
      <c r="I710" s="63" t="s">
        <v>655</v>
      </c>
    </row>
    <row r="711" spans="1:9" x14ac:dyDescent="0.25">
      <c r="A711" s="63" t="s">
        <v>655</v>
      </c>
      <c r="I711" s="63" t="s">
        <v>655</v>
      </c>
    </row>
    <row r="712" spans="1:9" x14ac:dyDescent="0.25">
      <c r="A712" s="63" t="s">
        <v>655</v>
      </c>
      <c r="I712" s="63" t="s">
        <v>655</v>
      </c>
    </row>
    <row r="713" spans="1:9" x14ac:dyDescent="0.25">
      <c r="A713" s="63" t="s">
        <v>655</v>
      </c>
      <c r="I713" s="63" t="s">
        <v>655</v>
      </c>
    </row>
    <row r="714" spans="1:9" x14ac:dyDescent="0.25">
      <c r="A714" s="63" t="s">
        <v>655</v>
      </c>
      <c r="I714" s="63" t="s">
        <v>655</v>
      </c>
    </row>
    <row r="715" spans="1:9" x14ac:dyDescent="0.25">
      <c r="A715" s="63" t="s">
        <v>655</v>
      </c>
      <c r="I715" s="63" t="s">
        <v>655</v>
      </c>
    </row>
    <row r="716" spans="1:9" x14ac:dyDescent="0.25">
      <c r="A716" s="63" t="s">
        <v>655</v>
      </c>
      <c r="I716" s="63" t="s">
        <v>655</v>
      </c>
    </row>
    <row r="717" spans="1:9" x14ac:dyDescent="0.25">
      <c r="A717" s="63" t="s">
        <v>655</v>
      </c>
      <c r="I717" s="63" t="s">
        <v>655</v>
      </c>
    </row>
    <row r="718" spans="1:9" x14ac:dyDescent="0.25">
      <c r="A718" s="63" t="s">
        <v>655</v>
      </c>
      <c r="I718" s="63" t="s">
        <v>655</v>
      </c>
    </row>
    <row r="719" spans="1:9" x14ac:dyDescent="0.25">
      <c r="A719" s="63" t="s">
        <v>655</v>
      </c>
      <c r="I719" s="63" t="s">
        <v>655</v>
      </c>
    </row>
    <row r="720" spans="1:9" x14ac:dyDescent="0.25">
      <c r="A720" s="63" t="s">
        <v>655</v>
      </c>
      <c r="I720" s="63" t="s">
        <v>655</v>
      </c>
    </row>
    <row r="721" spans="1:9" x14ac:dyDescent="0.25">
      <c r="A721" s="63" t="s">
        <v>655</v>
      </c>
      <c r="I721" s="63" t="s">
        <v>655</v>
      </c>
    </row>
    <row r="722" spans="1:9" x14ac:dyDescent="0.25">
      <c r="A722" s="63" t="s">
        <v>655</v>
      </c>
      <c r="I722" s="63" t="s">
        <v>655</v>
      </c>
    </row>
    <row r="723" spans="1:9" x14ac:dyDescent="0.25">
      <c r="A723" s="63" t="s">
        <v>655</v>
      </c>
      <c r="I723" s="63" t="s">
        <v>655</v>
      </c>
    </row>
    <row r="724" spans="1:9" x14ac:dyDescent="0.25">
      <c r="A724" s="63" t="s">
        <v>655</v>
      </c>
      <c r="I724" s="63" t="s">
        <v>655</v>
      </c>
    </row>
    <row r="725" spans="1:9" x14ac:dyDescent="0.25">
      <c r="A725" s="63" t="s">
        <v>655</v>
      </c>
      <c r="I725" s="63" t="s">
        <v>655</v>
      </c>
    </row>
    <row r="726" spans="1:9" x14ac:dyDescent="0.25">
      <c r="A726" s="63" t="s">
        <v>655</v>
      </c>
      <c r="I726" s="63" t="s">
        <v>655</v>
      </c>
    </row>
    <row r="727" spans="1:9" x14ac:dyDescent="0.25">
      <c r="A727" s="63" t="s">
        <v>655</v>
      </c>
      <c r="I727" s="63" t="s">
        <v>655</v>
      </c>
    </row>
    <row r="728" spans="1:9" x14ac:dyDescent="0.25">
      <c r="A728" s="63" t="s">
        <v>655</v>
      </c>
      <c r="I728" s="63" t="s">
        <v>655</v>
      </c>
    </row>
    <row r="729" spans="1:9" x14ac:dyDescent="0.25">
      <c r="A729" s="63" t="s">
        <v>655</v>
      </c>
      <c r="I729" s="63" t="s">
        <v>655</v>
      </c>
    </row>
    <row r="730" spans="1:9" x14ac:dyDescent="0.25">
      <c r="A730" s="63" t="s">
        <v>655</v>
      </c>
      <c r="I730" s="63" t="s">
        <v>655</v>
      </c>
    </row>
    <row r="731" spans="1:9" x14ac:dyDescent="0.25">
      <c r="A731" s="63" t="s">
        <v>655</v>
      </c>
      <c r="I731" s="63" t="s">
        <v>655</v>
      </c>
    </row>
    <row r="732" spans="1:9" x14ac:dyDescent="0.25">
      <c r="A732" s="63" t="s">
        <v>655</v>
      </c>
      <c r="I732" s="63" t="s">
        <v>655</v>
      </c>
    </row>
    <row r="733" spans="1:9" x14ac:dyDescent="0.25">
      <c r="A733" s="63" t="s">
        <v>655</v>
      </c>
      <c r="I733" s="63" t="s">
        <v>655</v>
      </c>
    </row>
    <row r="734" spans="1:9" x14ac:dyDescent="0.25">
      <c r="A734" s="63" t="s">
        <v>655</v>
      </c>
      <c r="I734" s="63" t="s">
        <v>655</v>
      </c>
    </row>
    <row r="735" spans="1:9" x14ac:dyDescent="0.25">
      <c r="A735" s="63" t="s">
        <v>655</v>
      </c>
      <c r="I735" s="63" t="s">
        <v>655</v>
      </c>
    </row>
    <row r="736" spans="1:9" x14ac:dyDescent="0.25">
      <c r="A736" s="63" t="s">
        <v>655</v>
      </c>
      <c r="I736" s="63" t="s">
        <v>655</v>
      </c>
    </row>
    <row r="737" spans="1:9" x14ac:dyDescent="0.25">
      <c r="A737" s="63" t="s">
        <v>655</v>
      </c>
      <c r="I737" s="63" t="s">
        <v>655</v>
      </c>
    </row>
    <row r="738" spans="1:9" x14ac:dyDescent="0.25">
      <c r="A738" s="63" t="s">
        <v>655</v>
      </c>
      <c r="I738" s="63" t="s">
        <v>655</v>
      </c>
    </row>
    <row r="739" spans="1:9" x14ac:dyDescent="0.25">
      <c r="A739" s="63" t="s">
        <v>655</v>
      </c>
      <c r="I739" s="63" t="s">
        <v>655</v>
      </c>
    </row>
    <row r="740" spans="1:9" x14ac:dyDescent="0.25">
      <c r="A740" s="63" t="s">
        <v>655</v>
      </c>
      <c r="I740" s="63" t="s">
        <v>655</v>
      </c>
    </row>
    <row r="741" spans="1:9" x14ac:dyDescent="0.25">
      <c r="A741" s="63" t="s">
        <v>655</v>
      </c>
      <c r="I741" s="63" t="s">
        <v>655</v>
      </c>
    </row>
    <row r="742" spans="1:9" x14ac:dyDescent="0.25">
      <c r="A742" s="63" t="s">
        <v>655</v>
      </c>
      <c r="I742" s="63" t="s">
        <v>655</v>
      </c>
    </row>
    <row r="743" spans="1:9" x14ac:dyDescent="0.25">
      <c r="A743" s="63" t="s">
        <v>655</v>
      </c>
      <c r="I743" s="63" t="s">
        <v>655</v>
      </c>
    </row>
    <row r="744" spans="1:9" x14ac:dyDescent="0.25">
      <c r="A744" s="63" t="s">
        <v>655</v>
      </c>
      <c r="I744" s="63" t="s">
        <v>655</v>
      </c>
    </row>
    <row r="745" spans="1:9" x14ac:dyDescent="0.25">
      <c r="A745" s="63" t="s">
        <v>655</v>
      </c>
      <c r="I745" s="63" t="s">
        <v>655</v>
      </c>
    </row>
    <row r="746" spans="1:9" x14ac:dyDescent="0.25">
      <c r="A746" s="63" t="s">
        <v>655</v>
      </c>
      <c r="I746" s="63" t="s">
        <v>655</v>
      </c>
    </row>
    <row r="747" spans="1:9" x14ac:dyDescent="0.25">
      <c r="A747" s="63" t="s">
        <v>655</v>
      </c>
      <c r="I747" s="63" t="s">
        <v>655</v>
      </c>
    </row>
    <row r="748" spans="1:9" x14ac:dyDescent="0.25">
      <c r="A748" s="63" t="s">
        <v>655</v>
      </c>
      <c r="I748" s="63" t="s">
        <v>655</v>
      </c>
    </row>
    <row r="749" spans="1:9" x14ac:dyDescent="0.25">
      <c r="A749" s="63" t="s">
        <v>655</v>
      </c>
      <c r="I749" s="63" t="s">
        <v>655</v>
      </c>
    </row>
    <row r="750" spans="1:9" x14ac:dyDescent="0.25">
      <c r="A750" s="63" t="s">
        <v>655</v>
      </c>
      <c r="I750" s="63" t="s">
        <v>655</v>
      </c>
    </row>
    <row r="751" spans="1:9" x14ac:dyDescent="0.25">
      <c r="A751" s="63" t="s">
        <v>655</v>
      </c>
      <c r="I751" s="63" t="s">
        <v>655</v>
      </c>
    </row>
    <row r="752" spans="1:9" x14ac:dyDescent="0.25">
      <c r="A752" s="63" t="s">
        <v>655</v>
      </c>
      <c r="I752" s="63" t="s">
        <v>655</v>
      </c>
    </row>
    <row r="753" spans="1:9" x14ac:dyDescent="0.25">
      <c r="A753" s="63" t="s">
        <v>655</v>
      </c>
      <c r="I753" s="63" t="s">
        <v>655</v>
      </c>
    </row>
    <row r="754" spans="1:9" x14ac:dyDescent="0.25">
      <c r="A754" s="63" t="s">
        <v>655</v>
      </c>
      <c r="I754" s="63" t="s">
        <v>655</v>
      </c>
    </row>
    <row r="755" spans="1:9" x14ac:dyDescent="0.25">
      <c r="A755" s="63" t="s">
        <v>655</v>
      </c>
      <c r="I755" s="63" t="s">
        <v>655</v>
      </c>
    </row>
    <row r="756" spans="1:9" x14ac:dyDescent="0.25">
      <c r="A756" s="63" t="s">
        <v>655</v>
      </c>
      <c r="I756" s="63" t="s">
        <v>655</v>
      </c>
    </row>
    <row r="757" spans="1:9" x14ac:dyDescent="0.25">
      <c r="A757" s="63" t="s">
        <v>655</v>
      </c>
      <c r="I757" s="63" t="s">
        <v>655</v>
      </c>
    </row>
    <row r="758" spans="1:9" x14ac:dyDescent="0.25">
      <c r="A758" s="63" t="s">
        <v>655</v>
      </c>
      <c r="I758" s="63" t="s">
        <v>655</v>
      </c>
    </row>
    <row r="759" spans="1:9" x14ac:dyDescent="0.25">
      <c r="A759" s="63" t="s">
        <v>655</v>
      </c>
      <c r="I759" s="63" t="s">
        <v>655</v>
      </c>
    </row>
    <row r="760" spans="1:9" x14ac:dyDescent="0.25">
      <c r="A760" s="63" t="s">
        <v>655</v>
      </c>
      <c r="I760" s="63" t="s">
        <v>655</v>
      </c>
    </row>
    <row r="761" spans="1:9" x14ac:dyDescent="0.25">
      <c r="A761" s="63" t="s">
        <v>655</v>
      </c>
      <c r="I761" s="63" t="s">
        <v>655</v>
      </c>
    </row>
    <row r="762" spans="1:9" x14ac:dyDescent="0.25">
      <c r="A762" s="63" t="s">
        <v>655</v>
      </c>
      <c r="I762" s="63" t="s">
        <v>655</v>
      </c>
    </row>
    <row r="763" spans="1:9" x14ac:dyDescent="0.25">
      <c r="A763" s="63" t="s">
        <v>655</v>
      </c>
      <c r="I763" s="63" t="s">
        <v>655</v>
      </c>
    </row>
    <row r="764" spans="1:9" x14ac:dyDescent="0.25">
      <c r="A764" s="63" t="s">
        <v>655</v>
      </c>
      <c r="I764" s="63" t="s">
        <v>655</v>
      </c>
    </row>
    <row r="765" spans="1:9" x14ac:dyDescent="0.25">
      <c r="A765" s="63" t="s">
        <v>655</v>
      </c>
      <c r="I765" s="63" t="s">
        <v>655</v>
      </c>
    </row>
    <row r="766" spans="1:9" x14ac:dyDescent="0.25">
      <c r="A766" s="63" t="s">
        <v>655</v>
      </c>
      <c r="I766" s="63" t="s">
        <v>655</v>
      </c>
    </row>
    <row r="767" spans="1:9" x14ac:dyDescent="0.25">
      <c r="A767" s="63" t="s">
        <v>655</v>
      </c>
      <c r="I767" s="63" t="s">
        <v>655</v>
      </c>
    </row>
    <row r="768" spans="1:9" x14ac:dyDescent="0.25">
      <c r="A768" s="63" t="s">
        <v>655</v>
      </c>
      <c r="I768" s="63" t="s">
        <v>655</v>
      </c>
    </row>
    <row r="769" spans="1:9" x14ac:dyDescent="0.25">
      <c r="A769" s="63" t="s">
        <v>655</v>
      </c>
      <c r="I769" s="63" t="s">
        <v>655</v>
      </c>
    </row>
    <row r="770" spans="1:9" x14ac:dyDescent="0.25">
      <c r="A770" s="63" t="s">
        <v>655</v>
      </c>
      <c r="I770" s="63" t="s">
        <v>655</v>
      </c>
    </row>
    <row r="771" spans="1:9" x14ac:dyDescent="0.25">
      <c r="A771" s="63" t="s">
        <v>655</v>
      </c>
      <c r="I771" s="63" t="s">
        <v>655</v>
      </c>
    </row>
    <row r="772" spans="1:9" x14ac:dyDescent="0.25">
      <c r="A772" s="63" t="s">
        <v>655</v>
      </c>
      <c r="I772" s="63" t="s">
        <v>655</v>
      </c>
    </row>
    <row r="773" spans="1:9" x14ac:dyDescent="0.25">
      <c r="A773" s="63" t="s">
        <v>655</v>
      </c>
      <c r="I773" s="63" t="s">
        <v>655</v>
      </c>
    </row>
    <row r="774" spans="1:9" x14ac:dyDescent="0.25">
      <c r="A774" s="63" t="s">
        <v>655</v>
      </c>
      <c r="I774" s="63" t="s">
        <v>655</v>
      </c>
    </row>
    <row r="775" spans="1:9" x14ac:dyDescent="0.25">
      <c r="A775" s="63" t="s">
        <v>655</v>
      </c>
      <c r="I775" s="63" t="s">
        <v>655</v>
      </c>
    </row>
    <row r="776" spans="1:9" x14ac:dyDescent="0.25">
      <c r="A776" s="63" t="s">
        <v>655</v>
      </c>
      <c r="I776" s="63" t="s">
        <v>655</v>
      </c>
    </row>
    <row r="777" spans="1:9" x14ac:dyDescent="0.25">
      <c r="A777" s="63" t="s">
        <v>655</v>
      </c>
      <c r="I777" s="63" t="s">
        <v>655</v>
      </c>
    </row>
    <row r="778" spans="1:9" x14ac:dyDescent="0.25">
      <c r="A778" s="63" t="s">
        <v>655</v>
      </c>
      <c r="I778" s="63" t="s">
        <v>655</v>
      </c>
    </row>
    <row r="779" spans="1:9" x14ac:dyDescent="0.25">
      <c r="A779" s="63" t="s">
        <v>655</v>
      </c>
      <c r="I779" s="63" t="s">
        <v>655</v>
      </c>
    </row>
    <row r="780" spans="1:9" x14ac:dyDescent="0.25">
      <c r="A780" s="63" t="s">
        <v>655</v>
      </c>
      <c r="I780" s="63" t="s">
        <v>655</v>
      </c>
    </row>
    <row r="781" spans="1:9" x14ac:dyDescent="0.25">
      <c r="A781" s="63" t="s">
        <v>655</v>
      </c>
      <c r="I781" s="63" t="s">
        <v>655</v>
      </c>
    </row>
    <row r="782" spans="1:9" x14ac:dyDescent="0.25">
      <c r="A782" s="63" t="s">
        <v>655</v>
      </c>
      <c r="I782" s="63" t="s">
        <v>655</v>
      </c>
    </row>
    <row r="783" spans="1:9" x14ac:dyDescent="0.25">
      <c r="A783" s="63" t="s">
        <v>655</v>
      </c>
      <c r="I783" s="63" t="s">
        <v>655</v>
      </c>
    </row>
    <row r="784" spans="1:9" x14ac:dyDescent="0.25">
      <c r="A784" s="63" t="s">
        <v>655</v>
      </c>
      <c r="I784" s="63" t="s">
        <v>655</v>
      </c>
    </row>
    <row r="785" spans="1:9" x14ac:dyDescent="0.25">
      <c r="A785" s="63" t="s">
        <v>655</v>
      </c>
      <c r="I785" s="63" t="s">
        <v>655</v>
      </c>
    </row>
    <row r="786" spans="1:9" x14ac:dyDescent="0.25">
      <c r="A786" s="63" t="s">
        <v>655</v>
      </c>
      <c r="I786" s="63" t="s">
        <v>655</v>
      </c>
    </row>
    <row r="787" spans="1:9" x14ac:dyDescent="0.25">
      <c r="A787" s="63" t="s">
        <v>655</v>
      </c>
      <c r="I787" s="63" t="s">
        <v>655</v>
      </c>
    </row>
    <row r="788" spans="1:9" x14ac:dyDescent="0.25">
      <c r="A788" s="63" t="s">
        <v>655</v>
      </c>
      <c r="I788" s="63" t="s">
        <v>655</v>
      </c>
    </row>
    <row r="789" spans="1:9" x14ac:dyDescent="0.25">
      <c r="A789" s="63" t="s">
        <v>655</v>
      </c>
      <c r="I789" s="63" t="s">
        <v>655</v>
      </c>
    </row>
    <row r="790" spans="1:9" x14ac:dyDescent="0.25">
      <c r="A790" s="63" t="s">
        <v>655</v>
      </c>
      <c r="I790" s="63" t="s">
        <v>655</v>
      </c>
    </row>
    <row r="791" spans="1:9" x14ac:dyDescent="0.25">
      <c r="A791" s="63" t="s">
        <v>655</v>
      </c>
      <c r="I791" s="63" t="s">
        <v>655</v>
      </c>
    </row>
    <row r="792" spans="1:9" x14ac:dyDescent="0.25">
      <c r="A792" s="63" t="s">
        <v>655</v>
      </c>
      <c r="I792" s="63" t="s">
        <v>655</v>
      </c>
    </row>
    <row r="793" spans="1:9" x14ac:dyDescent="0.25">
      <c r="A793" s="63" t="s">
        <v>655</v>
      </c>
      <c r="I793" s="63" t="s">
        <v>655</v>
      </c>
    </row>
    <row r="794" spans="1:9" x14ac:dyDescent="0.25">
      <c r="A794" s="63" t="s">
        <v>655</v>
      </c>
      <c r="I794" s="63" t="s">
        <v>655</v>
      </c>
    </row>
    <row r="795" spans="1:9" x14ac:dyDescent="0.25">
      <c r="A795" s="63" t="s">
        <v>655</v>
      </c>
      <c r="I795" s="63" t="s">
        <v>655</v>
      </c>
    </row>
    <row r="796" spans="1:9" x14ac:dyDescent="0.25">
      <c r="A796" s="63" t="s">
        <v>655</v>
      </c>
      <c r="I796" s="63" t="s">
        <v>655</v>
      </c>
    </row>
    <row r="797" spans="1:9" x14ac:dyDescent="0.25">
      <c r="A797" s="63" t="s">
        <v>655</v>
      </c>
      <c r="I797" s="63" t="s">
        <v>655</v>
      </c>
    </row>
    <row r="798" spans="1:9" x14ac:dyDescent="0.25">
      <c r="A798" s="63" t="s">
        <v>655</v>
      </c>
      <c r="I798" s="63" t="s">
        <v>655</v>
      </c>
    </row>
    <row r="799" spans="1:9" x14ac:dyDescent="0.25">
      <c r="A799" s="63" t="s">
        <v>655</v>
      </c>
      <c r="I799" s="63" t="s">
        <v>655</v>
      </c>
    </row>
    <row r="800" spans="1:9" x14ac:dyDescent="0.25">
      <c r="A800" s="63" t="s">
        <v>655</v>
      </c>
      <c r="I800" s="63" t="s">
        <v>655</v>
      </c>
    </row>
    <row r="801" spans="1:9" x14ac:dyDescent="0.25">
      <c r="A801" s="63" t="s">
        <v>655</v>
      </c>
      <c r="I801" s="63" t="s">
        <v>655</v>
      </c>
    </row>
    <row r="802" spans="1:9" x14ac:dyDescent="0.25">
      <c r="A802" s="63" t="s">
        <v>655</v>
      </c>
      <c r="I802" s="63" t="s">
        <v>655</v>
      </c>
    </row>
    <row r="803" spans="1:9" x14ac:dyDescent="0.25">
      <c r="A803" s="63" t="s">
        <v>655</v>
      </c>
      <c r="I803" s="63" t="s">
        <v>655</v>
      </c>
    </row>
    <row r="804" spans="1:9" x14ac:dyDescent="0.25">
      <c r="A804" s="63" t="s">
        <v>655</v>
      </c>
      <c r="I804" s="63" t="s">
        <v>655</v>
      </c>
    </row>
    <row r="805" spans="1:9" x14ac:dyDescent="0.25">
      <c r="A805" s="63" t="s">
        <v>655</v>
      </c>
      <c r="I805" s="63" t="s">
        <v>655</v>
      </c>
    </row>
    <row r="806" spans="1:9" x14ac:dyDescent="0.25">
      <c r="A806" s="63" t="s">
        <v>655</v>
      </c>
      <c r="I806" s="63" t="s">
        <v>655</v>
      </c>
    </row>
    <row r="807" spans="1:9" x14ac:dyDescent="0.25">
      <c r="A807" s="63" t="s">
        <v>655</v>
      </c>
      <c r="I807" s="63" t="s">
        <v>655</v>
      </c>
    </row>
    <row r="808" spans="1:9" x14ac:dyDescent="0.25">
      <c r="A808" s="63" t="s">
        <v>655</v>
      </c>
      <c r="I808" s="63" t="s">
        <v>655</v>
      </c>
    </row>
    <row r="809" spans="1:9" x14ac:dyDescent="0.25">
      <c r="A809" s="63" t="s">
        <v>655</v>
      </c>
      <c r="I809" s="63" t="s">
        <v>655</v>
      </c>
    </row>
    <row r="810" spans="1:9" x14ac:dyDescent="0.25">
      <c r="A810" s="63" t="s">
        <v>655</v>
      </c>
      <c r="I810" s="63" t="s">
        <v>655</v>
      </c>
    </row>
    <row r="811" spans="1:9" x14ac:dyDescent="0.25">
      <c r="A811" s="63" t="s">
        <v>655</v>
      </c>
      <c r="I811" s="63" t="s">
        <v>655</v>
      </c>
    </row>
    <row r="812" spans="1:9" x14ac:dyDescent="0.25">
      <c r="A812" s="63" t="s">
        <v>655</v>
      </c>
      <c r="I812" s="63" t="s">
        <v>655</v>
      </c>
    </row>
    <row r="813" spans="1:9" x14ac:dyDescent="0.25">
      <c r="A813" s="63" t="s">
        <v>655</v>
      </c>
      <c r="I813" s="63" t="s">
        <v>655</v>
      </c>
    </row>
    <row r="814" spans="1:9" x14ac:dyDescent="0.25">
      <c r="A814" s="63" t="s">
        <v>655</v>
      </c>
      <c r="I814" s="63" t="s">
        <v>655</v>
      </c>
    </row>
    <row r="815" spans="1:9" x14ac:dyDescent="0.25">
      <c r="A815" s="63" t="s">
        <v>655</v>
      </c>
      <c r="I815" s="63" t="s">
        <v>655</v>
      </c>
    </row>
    <row r="816" spans="1:9" x14ac:dyDescent="0.25">
      <c r="A816" s="63" t="s">
        <v>655</v>
      </c>
      <c r="I816" s="63" t="s">
        <v>655</v>
      </c>
    </row>
    <row r="817" spans="1:9" x14ac:dyDescent="0.25">
      <c r="A817" s="63" t="s">
        <v>655</v>
      </c>
      <c r="I817" s="63" t="s">
        <v>655</v>
      </c>
    </row>
    <row r="818" spans="1:9" x14ac:dyDescent="0.25">
      <c r="A818" s="63" t="s">
        <v>655</v>
      </c>
      <c r="I818" s="63" t="s">
        <v>655</v>
      </c>
    </row>
    <row r="819" spans="1:9" x14ac:dyDescent="0.25">
      <c r="A819" s="63" t="s">
        <v>655</v>
      </c>
      <c r="I819" s="63" t="s">
        <v>655</v>
      </c>
    </row>
    <row r="820" spans="1:9" x14ac:dyDescent="0.25">
      <c r="A820" s="63" t="s">
        <v>655</v>
      </c>
      <c r="I820" s="63" t="s">
        <v>655</v>
      </c>
    </row>
    <row r="821" spans="1:9" x14ac:dyDescent="0.25">
      <c r="A821" s="63" t="s">
        <v>655</v>
      </c>
      <c r="I821" s="63" t="s">
        <v>655</v>
      </c>
    </row>
    <row r="822" spans="1:9" x14ac:dyDescent="0.25">
      <c r="A822" s="63" t="s">
        <v>655</v>
      </c>
      <c r="I822" s="63" t="s">
        <v>655</v>
      </c>
    </row>
    <row r="823" spans="1:9" x14ac:dyDescent="0.25">
      <c r="A823" s="63" t="s">
        <v>655</v>
      </c>
      <c r="I823" s="63" t="s">
        <v>655</v>
      </c>
    </row>
    <row r="824" spans="1:9" x14ac:dyDescent="0.25">
      <c r="A824" s="63" t="s">
        <v>655</v>
      </c>
      <c r="I824" s="63" t="s">
        <v>655</v>
      </c>
    </row>
    <row r="825" spans="1:9" x14ac:dyDescent="0.25">
      <c r="A825" s="63" t="s">
        <v>655</v>
      </c>
      <c r="I825" s="63" t="s">
        <v>655</v>
      </c>
    </row>
    <row r="826" spans="1:9" x14ac:dyDescent="0.25">
      <c r="A826" s="63" t="s">
        <v>655</v>
      </c>
      <c r="I826" s="63" t="s">
        <v>655</v>
      </c>
    </row>
    <row r="827" spans="1:9" x14ac:dyDescent="0.25">
      <c r="A827" s="63" t="s">
        <v>655</v>
      </c>
      <c r="I827" s="63" t="s">
        <v>655</v>
      </c>
    </row>
    <row r="828" spans="1:9" x14ac:dyDescent="0.25">
      <c r="A828" s="63" t="s">
        <v>655</v>
      </c>
      <c r="I828" s="63" t="s">
        <v>655</v>
      </c>
    </row>
    <row r="829" spans="1:9" x14ac:dyDescent="0.25">
      <c r="A829" s="63" t="s">
        <v>655</v>
      </c>
      <c r="I829" s="63" t="s">
        <v>655</v>
      </c>
    </row>
    <row r="830" spans="1:9" x14ac:dyDescent="0.25">
      <c r="A830" s="63" t="s">
        <v>655</v>
      </c>
      <c r="I830" s="63" t="s">
        <v>655</v>
      </c>
    </row>
    <row r="831" spans="1:9" x14ac:dyDescent="0.25">
      <c r="A831" s="63" t="s">
        <v>655</v>
      </c>
      <c r="I831" s="63" t="s">
        <v>655</v>
      </c>
    </row>
    <row r="832" spans="1:9" x14ac:dyDescent="0.25">
      <c r="A832" s="63" t="s">
        <v>655</v>
      </c>
      <c r="I832" s="63" t="s">
        <v>655</v>
      </c>
    </row>
    <row r="833" spans="1:9" x14ac:dyDescent="0.25">
      <c r="A833" s="63" t="s">
        <v>655</v>
      </c>
      <c r="I833" s="63" t="s">
        <v>655</v>
      </c>
    </row>
    <row r="834" spans="1:9" x14ac:dyDescent="0.25">
      <c r="A834" s="63" t="s">
        <v>655</v>
      </c>
      <c r="I834" s="63" t="s">
        <v>655</v>
      </c>
    </row>
    <row r="835" spans="1:9" x14ac:dyDescent="0.25">
      <c r="A835" s="63" t="s">
        <v>655</v>
      </c>
      <c r="I835" s="63" t="s">
        <v>655</v>
      </c>
    </row>
    <row r="836" spans="1:9" x14ac:dyDescent="0.25">
      <c r="A836" s="63" t="s">
        <v>655</v>
      </c>
      <c r="I836" s="63" t="s">
        <v>655</v>
      </c>
    </row>
    <row r="837" spans="1:9" x14ac:dyDescent="0.25">
      <c r="A837" s="63" t="s">
        <v>655</v>
      </c>
      <c r="I837" s="63" t="s">
        <v>655</v>
      </c>
    </row>
    <row r="838" spans="1:9" x14ac:dyDescent="0.25">
      <c r="A838" s="63" t="s">
        <v>655</v>
      </c>
      <c r="I838" s="63" t="s">
        <v>655</v>
      </c>
    </row>
    <row r="839" spans="1:9" x14ac:dyDescent="0.25">
      <c r="A839" s="63" t="s">
        <v>655</v>
      </c>
      <c r="I839" s="63" t="s">
        <v>655</v>
      </c>
    </row>
    <row r="840" spans="1:9" x14ac:dyDescent="0.25">
      <c r="A840" s="63" t="s">
        <v>655</v>
      </c>
      <c r="I840" s="63" t="s">
        <v>655</v>
      </c>
    </row>
    <row r="841" spans="1:9" x14ac:dyDescent="0.25">
      <c r="A841" s="63" t="s">
        <v>655</v>
      </c>
      <c r="I841" s="63" t="s">
        <v>655</v>
      </c>
    </row>
    <row r="842" spans="1:9" x14ac:dyDescent="0.25">
      <c r="A842" s="63" t="s">
        <v>655</v>
      </c>
      <c r="I842" s="63" t="s">
        <v>655</v>
      </c>
    </row>
    <row r="843" spans="1:9" x14ac:dyDescent="0.25">
      <c r="A843" s="63" t="s">
        <v>655</v>
      </c>
      <c r="I843" s="63" t="s">
        <v>655</v>
      </c>
    </row>
    <row r="844" spans="1:9" x14ac:dyDescent="0.25">
      <c r="A844" s="63" t="s">
        <v>655</v>
      </c>
      <c r="I844" s="63" t="s">
        <v>655</v>
      </c>
    </row>
    <row r="845" spans="1:9" x14ac:dyDescent="0.25">
      <c r="A845" s="63" t="s">
        <v>655</v>
      </c>
      <c r="I845" s="63" t="s">
        <v>655</v>
      </c>
    </row>
    <row r="846" spans="1:9" x14ac:dyDescent="0.25">
      <c r="A846" s="63" t="s">
        <v>655</v>
      </c>
      <c r="I846" s="63" t="s">
        <v>655</v>
      </c>
    </row>
    <row r="847" spans="1:9" x14ac:dyDescent="0.25">
      <c r="A847" s="63" t="s">
        <v>655</v>
      </c>
      <c r="I847" s="63" t="s">
        <v>655</v>
      </c>
    </row>
    <row r="848" spans="1:9" x14ac:dyDescent="0.25">
      <c r="A848" s="63" t="s">
        <v>655</v>
      </c>
      <c r="I848" s="63" t="s">
        <v>655</v>
      </c>
    </row>
    <row r="849" spans="1:9" x14ac:dyDescent="0.25">
      <c r="A849" s="63" t="s">
        <v>655</v>
      </c>
      <c r="I849" s="63" t="s">
        <v>655</v>
      </c>
    </row>
    <row r="850" spans="1:9" x14ac:dyDescent="0.25">
      <c r="A850" s="63" t="s">
        <v>655</v>
      </c>
      <c r="I850" s="63" t="s">
        <v>655</v>
      </c>
    </row>
    <row r="851" spans="1:9" x14ac:dyDescent="0.25">
      <c r="A851" s="63" t="s">
        <v>655</v>
      </c>
      <c r="I851" s="63" t="s">
        <v>655</v>
      </c>
    </row>
    <row r="852" spans="1:9" x14ac:dyDescent="0.25">
      <c r="A852" s="63" t="s">
        <v>655</v>
      </c>
      <c r="I852" s="63" t="s">
        <v>655</v>
      </c>
    </row>
    <row r="853" spans="1:9" x14ac:dyDescent="0.25">
      <c r="A853" s="63" t="s">
        <v>655</v>
      </c>
      <c r="I853" s="63" t="s">
        <v>655</v>
      </c>
    </row>
    <row r="854" spans="1:9" x14ac:dyDescent="0.25">
      <c r="A854" s="63" t="s">
        <v>655</v>
      </c>
      <c r="I854" s="63" t="s">
        <v>655</v>
      </c>
    </row>
    <row r="855" spans="1:9" x14ac:dyDescent="0.25">
      <c r="A855" s="63" t="s">
        <v>655</v>
      </c>
      <c r="I855" s="63" t="s">
        <v>655</v>
      </c>
    </row>
    <row r="856" spans="1:9" x14ac:dyDescent="0.25">
      <c r="A856" s="63" t="s">
        <v>655</v>
      </c>
      <c r="I856" s="63" t="s">
        <v>655</v>
      </c>
    </row>
    <row r="857" spans="1:9" x14ac:dyDescent="0.25">
      <c r="A857" s="63" t="s">
        <v>655</v>
      </c>
      <c r="I857" s="63" t="s">
        <v>655</v>
      </c>
    </row>
    <row r="858" spans="1:9" x14ac:dyDescent="0.25">
      <c r="A858" s="63" t="s">
        <v>655</v>
      </c>
      <c r="I858" s="63" t="s">
        <v>655</v>
      </c>
    </row>
    <row r="859" spans="1:9" x14ac:dyDescent="0.25">
      <c r="A859" s="63" t="s">
        <v>655</v>
      </c>
      <c r="I859" s="63" t="s">
        <v>655</v>
      </c>
    </row>
    <row r="860" spans="1:9" x14ac:dyDescent="0.25">
      <c r="A860" s="63" t="s">
        <v>655</v>
      </c>
      <c r="I860" s="63" t="s">
        <v>655</v>
      </c>
    </row>
    <row r="861" spans="1:9" x14ac:dyDescent="0.25">
      <c r="A861" s="63" t="s">
        <v>655</v>
      </c>
      <c r="I861" s="63" t="s">
        <v>655</v>
      </c>
    </row>
    <row r="862" spans="1:9" x14ac:dyDescent="0.25">
      <c r="A862" s="63" t="s">
        <v>655</v>
      </c>
      <c r="I862" s="63" t="s">
        <v>655</v>
      </c>
    </row>
    <row r="863" spans="1:9" x14ac:dyDescent="0.25">
      <c r="A863" s="63" t="s">
        <v>655</v>
      </c>
      <c r="I863" s="63" t="s">
        <v>655</v>
      </c>
    </row>
    <row r="864" spans="1:9" x14ac:dyDescent="0.25">
      <c r="A864" s="63" t="s">
        <v>655</v>
      </c>
      <c r="I864" s="63" t="s">
        <v>655</v>
      </c>
    </row>
    <row r="865" spans="1:9" x14ac:dyDescent="0.25">
      <c r="A865" s="63" t="s">
        <v>655</v>
      </c>
      <c r="I865" s="63" t="s">
        <v>655</v>
      </c>
    </row>
    <row r="866" spans="1:9" x14ac:dyDescent="0.25">
      <c r="A866" s="63" t="s">
        <v>655</v>
      </c>
      <c r="I866" s="63" t="s">
        <v>655</v>
      </c>
    </row>
    <row r="867" spans="1:9" x14ac:dyDescent="0.25">
      <c r="A867" s="63" t="s">
        <v>655</v>
      </c>
      <c r="I867" s="63" t="s">
        <v>655</v>
      </c>
    </row>
    <row r="868" spans="1:9" x14ac:dyDescent="0.25">
      <c r="A868" s="63" t="s">
        <v>655</v>
      </c>
      <c r="I868" s="63" t="s">
        <v>655</v>
      </c>
    </row>
    <row r="869" spans="1:9" x14ac:dyDescent="0.25">
      <c r="A869" s="63" t="s">
        <v>655</v>
      </c>
      <c r="I869" s="63" t="s">
        <v>655</v>
      </c>
    </row>
    <row r="870" spans="1:9" x14ac:dyDescent="0.25">
      <c r="A870" s="63" t="s">
        <v>655</v>
      </c>
      <c r="I870" s="63" t="s">
        <v>655</v>
      </c>
    </row>
    <row r="871" spans="1:9" x14ac:dyDescent="0.25">
      <c r="A871" s="63" t="s">
        <v>655</v>
      </c>
      <c r="I871" s="63" t="s">
        <v>655</v>
      </c>
    </row>
    <row r="872" spans="1:9" x14ac:dyDescent="0.25">
      <c r="A872" s="63" t="s">
        <v>655</v>
      </c>
      <c r="I872" s="63" t="s">
        <v>655</v>
      </c>
    </row>
    <row r="873" spans="1:9" x14ac:dyDescent="0.25">
      <c r="A873" s="63" t="s">
        <v>655</v>
      </c>
      <c r="I873" s="63" t="s">
        <v>655</v>
      </c>
    </row>
    <row r="874" spans="1:9" x14ac:dyDescent="0.25">
      <c r="A874" s="63" t="s">
        <v>655</v>
      </c>
      <c r="I874" s="63" t="s">
        <v>655</v>
      </c>
    </row>
    <row r="875" spans="1:9" x14ac:dyDescent="0.25">
      <c r="A875" s="63" t="s">
        <v>655</v>
      </c>
      <c r="I875" s="63" t="s">
        <v>655</v>
      </c>
    </row>
    <row r="876" spans="1:9" x14ac:dyDescent="0.25">
      <c r="A876" s="63" t="s">
        <v>655</v>
      </c>
      <c r="I876" s="63" t="s">
        <v>655</v>
      </c>
    </row>
    <row r="877" spans="1:9" x14ac:dyDescent="0.25">
      <c r="A877" s="63" t="s">
        <v>655</v>
      </c>
      <c r="I877" s="63" t="s">
        <v>655</v>
      </c>
    </row>
    <row r="878" spans="1:9" x14ac:dyDescent="0.25">
      <c r="A878" s="63" t="s">
        <v>655</v>
      </c>
      <c r="I878" s="63" t="s">
        <v>655</v>
      </c>
    </row>
    <row r="879" spans="1:9" x14ac:dyDescent="0.25">
      <c r="A879" s="63" t="s">
        <v>655</v>
      </c>
      <c r="I879" s="63" t="s">
        <v>655</v>
      </c>
    </row>
    <row r="880" spans="1:9" x14ac:dyDescent="0.25">
      <c r="A880" s="63" t="s">
        <v>655</v>
      </c>
      <c r="I880" s="63" t="s">
        <v>655</v>
      </c>
    </row>
    <row r="881" spans="1:9" x14ac:dyDescent="0.25">
      <c r="A881" s="63" t="s">
        <v>655</v>
      </c>
      <c r="I881" s="63" t="s">
        <v>655</v>
      </c>
    </row>
    <row r="882" spans="1:9" x14ac:dyDescent="0.25">
      <c r="A882" s="63" t="s">
        <v>655</v>
      </c>
      <c r="I882" s="63" t="s">
        <v>655</v>
      </c>
    </row>
    <row r="883" spans="1:9" x14ac:dyDescent="0.25">
      <c r="A883" s="63" t="s">
        <v>655</v>
      </c>
      <c r="I883" s="63" t="s">
        <v>655</v>
      </c>
    </row>
    <row r="884" spans="1:9" x14ac:dyDescent="0.25">
      <c r="A884" s="63" t="s">
        <v>655</v>
      </c>
      <c r="I884" s="63" t="s">
        <v>655</v>
      </c>
    </row>
    <row r="885" spans="1:9" x14ac:dyDescent="0.25">
      <c r="A885" s="63" t="s">
        <v>655</v>
      </c>
      <c r="I885" s="63" t="s">
        <v>655</v>
      </c>
    </row>
    <row r="886" spans="1:9" x14ac:dyDescent="0.25">
      <c r="A886" s="63" t="s">
        <v>655</v>
      </c>
      <c r="I886" s="63" t="s">
        <v>655</v>
      </c>
    </row>
    <row r="887" spans="1:9" x14ac:dyDescent="0.25">
      <c r="A887" s="63" t="s">
        <v>655</v>
      </c>
      <c r="I887" s="63" t="s">
        <v>655</v>
      </c>
    </row>
    <row r="888" spans="1:9" x14ac:dyDescent="0.25">
      <c r="A888" s="63" t="s">
        <v>655</v>
      </c>
      <c r="I888" s="63" t="s">
        <v>655</v>
      </c>
    </row>
    <row r="889" spans="1:9" x14ac:dyDescent="0.25">
      <c r="A889" s="63" t="s">
        <v>655</v>
      </c>
      <c r="I889" s="63" t="s">
        <v>655</v>
      </c>
    </row>
    <row r="890" spans="1:9" x14ac:dyDescent="0.25">
      <c r="A890" s="63" t="s">
        <v>655</v>
      </c>
      <c r="I890" s="63" t="s">
        <v>655</v>
      </c>
    </row>
    <row r="891" spans="1:9" x14ac:dyDescent="0.25">
      <c r="A891" s="63" t="s">
        <v>655</v>
      </c>
      <c r="I891" s="63" t="s">
        <v>655</v>
      </c>
    </row>
    <row r="892" spans="1:9" x14ac:dyDescent="0.25">
      <c r="A892" s="63" t="s">
        <v>655</v>
      </c>
      <c r="I892" s="63" t="s">
        <v>655</v>
      </c>
    </row>
    <row r="893" spans="1:9" x14ac:dyDescent="0.25">
      <c r="A893" s="63" t="s">
        <v>655</v>
      </c>
      <c r="I893" s="63" t="s">
        <v>655</v>
      </c>
    </row>
    <row r="894" spans="1:9" x14ac:dyDescent="0.25">
      <c r="A894" s="63" t="s">
        <v>655</v>
      </c>
      <c r="I894" s="63" t="s">
        <v>655</v>
      </c>
    </row>
    <row r="895" spans="1:9" x14ac:dyDescent="0.25">
      <c r="A895" s="63" t="s">
        <v>655</v>
      </c>
      <c r="I895" s="63" t="s">
        <v>655</v>
      </c>
    </row>
    <row r="896" spans="1:9" x14ac:dyDescent="0.25">
      <c r="A896" s="63" t="s">
        <v>655</v>
      </c>
      <c r="I896" s="63" t="s">
        <v>655</v>
      </c>
    </row>
    <row r="897" spans="1:9" x14ac:dyDescent="0.25">
      <c r="A897" s="63" t="s">
        <v>655</v>
      </c>
      <c r="I897" s="63" t="s">
        <v>655</v>
      </c>
    </row>
    <row r="898" spans="1:9" x14ac:dyDescent="0.25">
      <c r="A898" s="63" t="s">
        <v>655</v>
      </c>
      <c r="I898" s="63" t="s">
        <v>655</v>
      </c>
    </row>
    <row r="899" spans="1:9" x14ac:dyDescent="0.25">
      <c r="A899" s="63" t="s">
        <v>655</v>
      </c>
      <c r="I899" s="63" t="s">
        <v>655</v>
      </c>
    </row>
    <row r="900" spans="1:9" x14ac:dyDescent="0.25">
      <c r="A900" s="63" t="s">
        <v>655</v>
      </c>
      <c r="I900" s="63" t="s">
        <v>655</v>
      </c>
    </row>
    <row r="901" spans="1:9" x14ac:dyDescent="0.25">
      <c r="A901" s="63" t="s">
        <v>655</v>
      </c>
      <c r="I901" s="63" t="s">
        <v>655</v>
      </c>
    </row>
    <row r="902" spans="1:9" x14ac:dyDescent="0.25">
      <c r="A902" s="63" t="s">
        <v>655</v>
      </c>
      <c r="I902" s="63" t="s">
        <v>655</v>
      </c>
    </row>
    <row r="903" spans="1:9" x14ac:dyDescent="0.25">
      <c r="A903" s="63" t="s">
        <v>655</v>
      </c>
      <c r="I903" s="63" t="s">
        <v>655</v>
      </c>
    </row>
    <row r="904" spans="1:9" x14ac:dyDescent="0.25">
      <c r="A904" s="63" t="s">
        <v>655</v>
      </c>
      <c r="I904" s="63" t="s">
        <v>655</v>
      </c>
    </row>
    <row r="905" spans="1:9" x14ac:dyDescent="0.25">
      <c r="A905" s="63" t="s">
        <v>655</v>
      </c>
      <c r="I905" s="63" t="s">
        <v>655</v>
      </c>
    </row>
    <row r="906" spans="1:9" x14ac:dyDescent="0.25">
      <c r="A906" s="63" t="s">
        <v>655</v>
      </c>
      <c r="I906" s="63" t="s">
        <v>655</v>
      </c>
    </row>
    <row r="907" spans="1:9" x14ac:dyDescent="0.25">
      <c r="A907" s="63" t="s">
        <v>655</v>
      </c>
      <c r="I907" s="63" t="s">
        <v>655</v>
      </c>
    </row>
    <row r="908" spans="1:9" x14ac:dyDescent="0.25">
      <c r="A908" s="63" t="s">
        <v>655</v>
      </c>
      <c r="I908" s="63" t="s">
        <v>655</v>
      </c>
    </row>
    <row r="909" spans="1:9" x14ac:dyDescent="0.25">
      <c r="A909" s="63" t="s">
        <v>655</v>
      </c>
      <c r="I909" s="63" t="s">
        <v>655</v>
      </c>
    </row>
    <row r="910" spans="1:9" x14ac:dyDescent="0.25">
      <c r="A910" s="63" t="s">
        <v>655</v>
      </c>
      <c r="I910" s="63" t="s">
        <v>655</v>
      </c>
    </row>
    <row r="911" spans="1:9" x14ac:dyDescent="0.25">
      <c r="A911" s="63" t="s">
        <v>655</v>
      </c>
      <c r="I911" s="63" t="s">
        <v>655</v>
      </c>
    </row>
    <row r="912" spans="1:9" x14ac:dyDescent="0.25">
      <c r="A912" s="63" t="s">
        <v>655</v>
      </c>
      <c r="I912" s="63" t="s">
        <v>655</v>
      </c>
    </row>
    <row r="913" spans="1:9" x14ac:dyDescent="0.25">
      <c r="A913" s="63" t="s">
        <v>655</v>
      </c>
      <c r="I913" s="63" t="s">
        <v>655</v>
      </c>
    </row>
    <row r="914" spans="1:9" x14ac:dyDescent="0.25">
      <c r="A914" s="63" t="s">
        <v>655</v>
      </c>
      <c r="I914" s="63" t="s">
        <v>655</v>
      </c>
    </row>
    <row r="915" spans="1:9" x14ac:dyDescent="0.25">
      <c r="A915" s="63" t="s">
        <v>655</v>
      </c>
      <c r="I915" s="63" t="s">
        <v>655</v>
      </c>
    </row>
    <row r="916" spans="1:9" x14ac:dyDescent="0.25">
      <c r="A916" s="63" t="s">
        <v>655</v>
      </c>
      <c r="I916" s="63" t="s">
        <v>655</v>
      </c>
    </row>
    <row r="917" spans="1:9" x14ac:dyDescent="0.25">
      <c r="A917" s="63" t="s">
        <v>655</v>
      </c>
      <c r="I917" s="63" t="s">
        <v>655</v>
      </c>
    </row>
    <row r="918" spans="1:9" x14ac:dyDescent="0.25">
      <c r="A918" s="63" t="s">
        <v>655</v>
      </c>
      <c r="I918" s="63" t="s">
        <v>655</v>
      </c>
    </row>
    <row r="919" spans="1:9" x14ac:dyDescent="0.25">
      <c r="A919" s="63" t="s">
        <v>655</v>
      </c>
      <c r="I919" s="63" t="s">
        <v>655</v>
      </c>
    </row>
    <row r="920" spans="1:9" x14ac:dyDescent="0.25">
      <c r="A920" s="63" t="s">
        <v>655</v>
      </c>
      <c r="I920" s="63" t="s">
        <v>655</v>
      </c>
    </row>
    <row r="921" spans="1:9" x14ac:dyDescent="0.25">
      <c r="A921" s="63" t="s">
        <v>655</v>
      </c>
      <c r="I921" s="63" t="s">
        <v>655</v>
      </c>
    </row>
    <row r="922" spans="1:9" x14ac:dyDescent="0.25">
      <c r="A922" s="63" t="s">
        <v>655</v>
      </c>
      <c r="I922" s="63" t="s">
        <v>655</v>
      </c>
    </row>
    <row r="923" spans="1:9" x14ac:dyDescent="0.25">
      <c r="A923" s="63" t="s">
        <v>655</v>
      </c>
      <c r="I923" s="63" t="s">
        <v>655</v>
      </c>
    </row>
    <row r="924" spans="1:9" x14ac:dyDescent="0.25">
      <c r="A924" s="63" t="s">
        <v>655</v>
      </c>
      <c r="I924" s="63" t="s">
        <v>655</v>
      </c>
    </row>
    <row r="925" spans="1:9" x14ac:dyDescent="0.25">
      <c r="A925" s="63" t="s">
        <v>655</v>
      </c>
      <c r="I925" s="63" t="s">
        <v>655</v>
      </c>
    </row>
    <row r="926" spans="1:9" x14ac:dyDescent="0.25">
      <c r="A926" s="63" t="s">
        <v>655</v>
      </c>
      <c r="I926" s="63" t="s">
        <v>655</v>
      </c>
    </row>
    <row r="927" spans="1:9" x14ac:dyDescent="0.25">
      <c r="A927" s="63" t="s">
        <v>655</v>
      </c>
      <c r="I927" s="63" t="s">
        <v>655</v>
      </c>
    </row>
    <row r="928" spans="1:9" x14ac:dyDescent="0.25">
      <c r="A928" s="63" t="s">
        <v>655</v>
      </c>
      <c r="I928" s="63" t="s">
        <v>655</v>
      </c>
    </row>
    <row r="929" spans="1:9" x14ac:dyDescent="0.25">
      <c r="A929" s="63" t="s">
        <v>655</v>
      </c>
      <c r="I929" s="63" t="s">
        <v>655</v>
      </c>
    </row>
    <row r="930" spans="1:9" x14ac:dyDescent="0.25">
      <c r="A930" s="63" t="s">
        <v>655</v>
      </c>
      <c r="I930" s="63" t="s">
        <v>655</v>
      </c>
    </row>
    <row r="931" spans="1:9" x14ac:dyDescent="0.25">
      <c r="A931" s="63" t="s">
        <v>655</v>
      </c>
      <c r="I931" s="63" t="s">
        <v>655</v>
      </c>
    </row>
    <row r="932" spans="1:9" x14ac:dyDescent="0.25">
      <c r="A932" s="63" t="s">
        <v>655</v>
      </c>
      <c r="I932" s="63" t="s">
        <v>655</v>
      </c>
    </row>
    <row r="933" spans="1:9" x14ac:dyDescent="0.25">
      <c r="A933" s="63" t="s">
        <v>655</v>
      </c>
      <c r="I933" s="63" t="s">
        <v>655</v>
      </c>
    </row>
    <row r="934" spans="1:9" x14ac:dyDescent="0.25">
      <c r="A934" s="63" t="s">
        <v>655</v>
      </c>
      <c r="I934" s="63" t="s">
        <v>655</v>
      </c>
    </row>
  </sheetData>
  <autoFilter ref="A1:I934"/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BO113"/>
  <sheetViews>
    <sheetView zoomScale="85" zoomScaleNormal="85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C60" sqref="C60"/>
    </sheetView>
  </sheetViews>
  <sheetFormatPr defaultColWidth="9.109375" defaultRowHeight="13.2" x14ac:dyDescent="0.25"/>
  <cols>
    <col min="1" max="1" width="10.33203125" style="29" customWidth="1"/>
    <col min="2" max="3" width="9.6640625" style="4" customWidth="1"/>
    <col min="4" max="4" width="14.5546875" style="4" customWidth="1"/>
    <col min="5" max="5" width="21.88671875" style="4" customWidth="1"/>
    <col min="6" max="6" width="9.33203125" style="4" customWidth="1"/>
    <col min="7" max="7" width="17.33203125" style="4" customWidth="1"/>
    <col min="8" max="8" width="17.5546875" style="4" customWidth="1"/>
    <col min="9" max="9" width="17.88671875" style="4" customWidth="1"/>
    <col min="10" max="10" width="17.6640625" style="4" customWidth="1"/>
    <col min="11" max="11" width="19.88671875" style="4" customWidth="1"/>
    <col min="12" max="12" width="16.6640625" style="4" customWidth="1"/>
    <col min="13" max="13" width="15.33203125" style="4" customWidth="1"/>
    <col min="14" max="14" width="17.5546875" style="4" customWidth="1"/>
    <col min="15" max="15" width="12.88671875" style="4" customWidth="1"/>
    <col min="16" max="16" width="17.44140625" style="26" customWidth="1"/>
    <col min="17" max="17" width="17.109375" style="4" customWidth="1"/>
    <col min="18" max="18" width="14.88671875" style="4" customWidth="1"/>
    <col min="19" max="19" width="13.6640625" style="4" customWidth="1"/>
    <col min="20" max="20" width="12.44140625" style="4" customWidth="1"/>
    <col min="21" max="21" width="16.5546875" style="4" customWidth="1"/>
    <col min="22" max="22" width="15.88671875" style="4" customWidth="1"/>
    <col min="23" max="23" width="16.109375" style="4" customWidth="1"/>
    <col min="24" max="24" width="15.5546875" style="4" customWidth="1"/>
    <col min="25" max="25" width="14.5546875" style="4" customWidth="1"/>
    <col min="26" max="26" width="14.33203125" style="4" customWidth="1"/>
    <col min="27" max="27" width="18.33203125" style="4" customWidth="1"/>
    <col min="28" max="28" width="13.44140625" style="4" customWidth="1"/>
    <col min="29" max="29" width="20" style="4" customWidth="1"/>
    <col min="30" max="30" width="18.33203125" style="4" customWidth="1"/>
    <col min="31" max="31" width="16.44140625" style="4" customWidth="1"/>
    <col min="32" max="32" width="17.109375" style="4" customWidth="1"/>
    <col min="33" max="33" width="12.5546875" style="4" customWidth="1"/>
    <col min="34" max="34" width="17.6640625" style="4" customWidth="1"/>
    <col min="35" max="35" width="15.6640625" style="4" customWidth="1"/>
    <col min="36" max="36" width="18.88671875" style="4" customWidth="1"/>
    <col min="37" max="37" width="19.109375" style="4" customWidth="1"/>
    <col min="38" max="38" width="16.5546875" style="4" customWidth="1"/>
    <col min="39" max="39" width="15" style="4" customWidth="1"/>
    <col min="40" max="40" width="16.44140625" style="4" customWidth="1"/>
    <col min="41" max="41" width="19" style="26" customWidth="1"/>
    <col min="42" max="42" width="18" style="4" customWidth="1"/>
    <col min="43" max="44" width="17.6640625" style="4" customWidth="1"/>
    <col min="45" max="45" width="18.33203125" style="4" customWidth="1"/>
    <col min="46" max="46" width="19" style="4" customWidth="1"/>
    <col min="47" max="48" width="17" style="4" customWidth="1"/>
    <col min="49" max="49" width="17.5546875" style="4" customWidth="1"/>
    <col min="50" max="50" width="15.33203125" style="4" customWidth="1"/>
    <col min="51" max="51" width="17.109375" style="4" customWidth="1"/>
    <col min="52" max="52" width="16.44140625" style="4" customWidth="1"/>
    <col min="53" max="53" width="19.88671875" style="4" customWidth="1"/>
    <col min="54" max="54" width="16" style="4" customWidth="1"/>
    <col min="55" max="55" width="17.109375" style="4" customWidth="1"/>
    <col min="56" max="56" width="16.88671875" style="4" customWidth="1"/>
    <col min="57" max="57" width="16.6640625" style="4" customWidth="1"/>
    <col min="58" max="58" width="15.44140625" style="4" customWidth="1"/>
    <col min="59" max="59" width="13.6640625" style="4" customWidth="1"/>
    <col min="60" max="60" width="17.109375" style="4" customWidth="1"/>
    <col min="61" max="61" width="16.33203125" style="4" customWidth="1"/>
    <col min="62" max="62" width="16.6640625" style="4" customWidth="1"/>
    <col min="63" max="63" width="15.109375" style="4" customWidth="1"/>
    <col min="64" max="64" width="14.33203125" style="4" customWidth="1"/>
    <col min="65" max="65" width="11.6640625" style="4" customWidth="1"/>
    <col min="66" max="66" width="16.88671875" style="4" customWidth="1"/>
    <col min="67" max="68" width="9.109375" style="4"/>
    <col min="69" max="69" width="10.109375" style="4" bestFit="1" customWidth="1"/>
    <col min="70" max="70" width="9.109375" style="4"/>
    <col min="71" max="71" width="14" style="4" customWidth="1"/>
    <col min="72" max="72" width="9.109375" style="4"/>
    <col min="73" max="73" width="10.109375" style="4" bestFit="1" customWidth="1"/>
    <col min="74" max="16384" width="9.109375" style="4"/>
  </cols>
  <sheetData>
    <row r="1" spans="1:67" x14ac:dyDescent="0.25">
      <c r="A1" s="17"/>
      <c r="B1" s="18"/>
      <c r="C1" s="19" t="s">
        <v>779</v>
      </c>
      <c r="D1" s="20" t="s">
        <v>780</v>
      </c>
      <c r="E1" s="21" t="s">
        <v>781</v>
      </c>
      <c r="F1" s="22" t="s">
        <v>782</v>
      </c>
      <c r="G1" s="23" t="s">
        <v>783</v>
      </c>
      <c r="H1" s="23" t="s">
        <v>782</v>
      </c>
      <c r="I1" s="23"/>
      <c r="P1" s="344" t="s">
        <v>3124</v>
      </c>
      <c r="Q1" s="345" t="s">
        <v>3125</v>
      </c>
      <c r="R1" s="25"/>
      <c r="S1" s="25" t="s">
        <v>1183</v>
      </c>
      <c r="T1" s="25" t="s">
        <v>1184</v>
      </c>
      <c r="U1" s="4" t="s">
        <v>228</v>
      </c>
      <c r="V1" s="4" t="s">
        <v>229</v>
      </c>
      <c r="W1" s="4" t="s">
        <v>230</v>
      </c>
      <c r="X1" s="4" t="s">
        <v>231</v>
      </c>
      <c r="AB1" s="4" t="s">
        <v>232</v>
      </c>
      <c r="AC1" s="4" t="s">
        <v>233</v>
      </c>
      <c r="AD1" s="4" t="s">
        <v>234</v>
      </c>
      <c r="AE1" s="4" t="s">
        <v>235</v>
      </c>
      <c r="AF1" s="4" t="s">
        <v>236</v>
      </c>
      <c r="AG1" s="4" t="s">
        <v>237</v>
      </c>
      <c r="AH1" s="4" t="s">
        <v>238</v>
      </c>
      <c r="AI1" s="4" t="s">
        <v>1311</v>
      </c>
      <c r="AM1" s="26"/>
      <c r="AN1" s="26"/>
      <c r="AO1" s="4"/>
    </row>
    <row r="2" spans="1:67" x14ac:dyDescent="0.25">
      <c r="A2" s="19"/>
      <c r="B2" s="18"/>
      <c r="C2" s="19" t="s">
        <v>791</v>
      </c>
      <c r="D2" s="20" t="s">
        <v>783</v>
      </c>
      <c r="F2" s="27" t="s">
        <v>780</v>
      </c>
      <c r="G2" s="23" t="s">
        <v>792</v>
      </c>
      <c r="H2" s="23" t="s">
        <v>780</v>
      </c>
      <c r="I2" s="23" t="s">
        <v>793</v>
      </c>
      <c r="P2" s="346">
        <v>41091</v>
      </c>
      <c r="Q2" s="347">
        <v>41121</v>
      </c>
      <c r="R2" s="290">
        <v>40544</v>
      </c>
      <c r="S2" s="67">
        <v>31.0565</v>
      </c>
      <c r="T2" s="67">
        <v>40.2057</v>
      </c>
      <c r="U2" s="4">
        <v>541</v>
      </c>
      <c r="V2" s="4">
        <v>660</v>
      </c>
      <c r="W2" s="4">
        <v>677</v>
      </c>
      <c r="X2" s="4">
        <v>683</v>
      </c>
      <c r="Y2" s="4" t="s">
        <v>794</v>
      </c>
      <c r="Z2" s="4" t="s">
        <v>795</v>
      </c>
      <c r="AA2" s="4" t="s">
        <v>796</v>
      </c>
      <c r="AB2" s="4">
        <v>33</v>
      </c>
      <c r="AC2" s="4">
        <v>547</v>
      </c>
      <c r="AD2" s="4">
        <v>668</v>
      </c>
      <c r="AE2" s="4">
        <v>683</v>
      </c>
      <c r="AF2" s="4">
        <v>2</v>
      </c>
      <c r="AG2" s="4">
        <v>8618</v>
      </c>
      <c r="AH2" s="294" t="s">
        <v>386</v>
      </c>
      <c r="AI2" s="5" t="s">
        <v>4656</v>
      </c>
      <c r="AM2" s="80"/>
      <c r="AN2" s="80"/>
      <c r="AO2" s="4"/>
      <c r="BJ2" s="4" t="s">
        <v>1046</v>
      </c>
    </row>
    <row r="3" spans="1:67" x14ac:dyDescent="0.25">
      <c r="O3" s="26">
        <f>N12-O12</f>
        <v>0</v>
      </c>
      <c r="S3" s="4">
        <v>28.0685</v>
      </c>
      <c r="T3" s="4">
        <v>40.059399999999997</v>
      </c>
      <c r="U3" s="293"/>
      <c r="AM3" s="80"/>
      <c r="AN3" s="80"/>
      <c r="AO3" s="4"/>
      <c r="BC3" s="26">
        <f>14750+BA10</f>
        <v>14750</v>
      </c>
      <c r="BJ3" s="4" t="s">
        <v>1370</v>
      </c>
    </row>
    <row r="4" spans="1:67" ht="59.25" customHeight="1" thickBot="1" x14ac:dyDescent="0.3">
      <c r="T4" s="4">
        <f>T2/S2</f>
        <v>1.294598554247903</v>
      </c>
      <c r="AJ4" s="26">
        <f>AM7-AG7</f>
        <v>0</v>
      </c>
      <c r="AM4" s="80"/>
      <c r="AN4" s="80"/>
      <c r="AO4" s="4"/>
      <c r="AX4" s="64"/>
      <c r="AY4" s="64"/>
      <c r="AZ4" s="64"/>
      <c r="BA4" s="64"/>
      <c r="BB4" s="64"/>
      <c r="BC4" s="1"/>
    </row>
    <row r="5" spans="1:67" ht="13.5" customHeight="1" x14ac:dyDescent="0.25">
      <c r="A5" s="396"/>
      <c r="B5" s="396" t="s">
        <v>468</v>
      </c>
      <c r="C5" s="396" t="s">
        <v>469</v>
      </c>
      <c r="D5" s="397" t="s">
        <v>470</v>
      </c>
      <c r="E5" s="397" t="s">
        <v>277</v>
      </c>
      <c r="F5" s="31"/>
      <c r="G5" s="398" t="s">
        <v>1319</v>
      </c>
      <c r="H5" s="380" t="s">
        <v>278</v>
      </c>
      <c r="I5" s="388" t="s">
        <v>771</v>
      </c>
      <c r="J5" s="411" t="s">
        <v>1320</v>
      </c>
      <c r="K5" s="388" t="s">
        <v>1321</v>
      </c>
      <c r="L5" s="413" t="s">
        <v>1322</v>
      </c>
      <c r="M5" s="380" t="s">
        <v>1325</v>
      </c>
      <c r="N5" s="380" t="s">
        <v>112</v>
      </c>
      <c r="O5" s="380" t="s">
        <v>175</v>
      </c>
      <c r="P5" s="415" t="s">
        <v>113</v>
      </c>
      <c r="Q5" s="380" t="s">
        <v>1323</v>
      </c>
      <c r="R5" s="380" t="s">
        <v>114</v>
      </c>
      <c r="S5" s="380" t="s">
        <v>1316</v>
      </c>
      <c r="T5" s="380" t="s">
        <v>1324</v>
      </c>
      <c r="U5" s="380" t="s">
        <v>1318</v>
      </c>
      <c r="V5" s="380" t="s">
        <v>1315</v>
      </c>
      <c r="W5" s="380" t="s">
        <v>1317</v>
      </c>
      <c r="X5" s="380" t="s">
        <v>1081</v>
      </c>
      <c r="Y5" s="380" t="s">
        <v>1082</v>
      </c>
      <c r="Z5" s="394"/>
      <c r="AA5" s="394" t="s">
        <v>691</v>
      </c>
      <c r="AB5" s="380" t="s">
        <v>692</v>
      </c>
      <c r="AC5" s="394"/>
      <c r="AD5" s="382" t="s">
        <v>116</v>
      </c>
      <c r="AE5" s="382"/>
      <c r="AF5" s="382"/>
      <c r="AG5" s="382"/>
      <c r="AH5" s="405"/>
      <c r="AI5" s="405"/>
      <c r="AJ5" s="408" t="s">
        <v>117</v>
      </c>
      <c r="AK5" s="382"/>
      <c r="AL5" s="382"/>
      <c r="AM5" s="382"/>
      <c r="AN5" s="405"/>
      <c r="AO5" s="409"/>
      <c r="AP5" s="391" t="s">
        <v>28</v>
      </c>
      <c r="AQ5" s="392"/>
      <c r="AR5" s="392"/>
      <c r="AS5" s="392"/>
      <c r="AT5" s="393"/>
      <c r="AU5" s="406" t="s">
        <v>349</v>
      </c>
      <c r="AV5" s="386" t="s">
        <v>350</v>
      </c>
      <c r="AW5" s="402" t="s">
        <v>8</v>
      </c>
      <c r="AX5" s="404" t="s">
        <v>1226</v>
      </c>
      <c r="AY5" s="410" t="s">
        <v>1071</v>
      </c>
      <c r="AZ5" s="383" t="s">
        <v>1072</v>
      </c>
      <c r="BA5" s="384"/>
      <c r="BB5" s="384"/>
      <c r="BC5" s="385"/>
      <c r="BD5" s="380" t="s">
        <v>186</v>
      </c>
      <c r="BE5" s="380" t="s">
        <v>187</v>
      </c>
      <c r="BF5" s="382" t="s">
        <v>188</v>
      </c>
      <c r="BG5" s="382" t="s">
        <v>1041</v>
      </c>
      <c r="BH5" s="382" t="s">
        <v>1042</v>
      </c>
      <c r="BI5" s="382" t="s">
        <v>1043</v>
      </c>
      <c r="BJ5" s="400" t="s">
        <v>321</v>
      </c>
      <c r="BK5" s="401"/>
      <c r="BL5" s="401"/>
      <c r="BM5" s="401"/>
      <c r="BN5" s="401"/>
      <c r="BO5" s="4" t="s">
        <v>538</v>
      </c>
    </row>
    <row r="6" spans="1:67" x14ac:dyDescent="0.25">
      <c r="A6" s="396"/>
      <c r="B6" s="396"/>
      <c r="C6" s="396"/>
      <c r="D6" s="397"/>
      <c r="E6" s="397"/>
      <c r="F6" s="31"/>
      <c r="G6" s="399"/>
      <c r="H6" s="381"/>
      <c r="I6" s="389"/>
      <c r="J6" s="412"/>
      <c r="K6" s="389"/>
      <c r="L6" s="414"/>
      <c r="M6" s="381"/>
      <c r="N6" s="381"/>
      <c r="O6" s="381"/>
      <c r="P6" s="416"/>
      <c r="Q6" s="381"/>
      <c r="R6" s="381"/>
      <c r="S6" s="381"/>
      <c r="T6" s="381"/>
      <c r="U6" s="381"/>
      <c r="V6" s="381"/>
      <c r="W6" s="381"/>
      <c r="X6" s="381"/>
      <c r="Y6" s="381"/>
      <c r="Z6" s="395"/>
      <c r="AA6" s="395"/>
      <c r="AB6" s="381"/>
      <c r="AC6" s="395"/>
      <c r="AD6" s="99" t="s">
        <v>115</v>
      </c>
      <c r="AE6" s="99" t="s">
        <v>174</v>
      </c>
      <c r="AF6" s="99" t="s">
        <v>25</v>
      </c>
      <c r="AG6" s="99" t="s">
        <v>26</v>
      </c>
      <c r="AH6" s="100" t="s">
        <v>27</v>
      </c>
      <c r="AI6" s="100" t="s">
        <v>118</v>
      </c>
      <c r="AJ6" s="101" t="s">
        <v>115</v>
      </c>
      <c r="AK6" s="99" t="s">
        <v>174</v>
      </c>
      <c r="AL6" s="99" t="s">
        <v>25</v>
      </c>
      <c r="AM6" s="99" t="s">
        <v>26</v>
      </c>
      <c r="AN6" s="99" t="s">
        <v>27</v>
      </c>
      <c r="AO6" s="103" t="s">
        <v>118</v>
      </c>
      <c r="AP6" s="84" t="s">
        <v>115</v>
      </c>
      <c r="AQ6" s="81" t="s">
        <v>174</v>
      </c>
      <c r="AR6" s="81" t="s">
        <v>25</v>
      </c>
      <c r="AS6" s="81" t="s">
        <v>26</v>
      </c>
      <c r="AT6" s="85" t="s">
        <v>27</v>
      </c>
      <c r="AU6" s="407"/>
      <c r="AV6" s="387"/>
      <c r="AW6" s="403"/>
      <c r="AX6" s="404"/>
      <c r="AY6" s="410"/>
      <c r="AZ6" s="185" t="s">
        <v>420</v>
      </c>
      <c r="BA6" s="184" t="s">
        <v>421</v>
      </c>
      <c r="BB6" s="184" t="s">
        <v>1210</v>
      </c>
      <c r="BC6" s="186" t="s">
        <v>422</v>
      </c>
      <c r="BD6" s="381"/>
      <c r="BE6" s="381"/>
      <c r="BF6" s="382"/>
      <c r="BG6" s="382"/>
      <c r="BH6" s="382"/>
      <c r="BI6" s="382"/>
      <c r="BJ6" s="84" t="s">
        <v>115</v>
      </c>
      <c r="BK6" s="81" t="s">
        <v>174</v>
      </c>
      <c r="BL6" s="81" t="s">
        <v>25</v>
      </c>
      <c r="BM6" s="81" t="s">
        <v>26</v>
      </c>
      <c r="BN6" s="85" t="s">
        <v>27</v>
      </c>
      <c r="BO6" s="265" t="s">
        <v>539</v>
      </c>
    </row>
    <row r="7" spans="1:67" s="342" customFormat="1" ht="15.6" x14ac:dyDescent="0.3">
      <c r="A7" s="329"/>
      <c r="B7" s="330" t="s">
        <v>53</v>
      </c>
      <c r="C7" s="331" t="s">
        <v>377</v>
      </c>
      <c r="D7" s="330" t="s">
        <v>378</v>
      </c>
      <c r="E7" s="332" t="s">
        <v>379</v>
      </c>
      <c r="F7" s="333" t="s">
        <v>380</v>
      </c>
      <c r="G7" s="334"/>
      <c r="H7" s="334"/>
      <c r="I7" s="334"/>
      <c r="J7" s="334"/>
      <c r="K7" s="334"/>
      <c r="L7" s="334"/>
      <c r="M7" s="334"/>
      <c r="N7" s="334"/>
      <c r="O7" s="335"/>
      <c r="P7" s="335"/>
      <c r="Q7" s="334"/>
      <c r="R7" s="334"/>
      <c r="S7" s="335"/>
      <c r="T7" s="334"/>
      <c r="U7" s="334"/>
      <c r="V7" s="334"/>
      <c r="W7" s="335"/>
      <c r="X7" s="334"/>
      <c r="Y7" s="334"/>
      <c r="Z7" s="334"/>
      <c r="AA7" s="334"/>
      <c r="AB7" s="334"/>
      <c r="AC7" s="334"/>
      <c r="AD7" s="334"/>
      <c r="AE7" s="334"/>
      <c r="AF7" s="334"/>
      <c r="AG7" s="334"/>
      <c r="AH7" s="334"/>
      <c r="AI7" s="334"/>
      <c r="AJ7" s="336"/>
      <c r="AK7" s="334"/>
      <c r="AL7" s="334"/>
      <c r="AM7" s="334"/>
      <c r="AN7" s="337"/>
      <c r="AO7" s="338"/>
      <c r="AP7" s="339"/>
      <c r="AQ7" s="334"/>
      <c r="AR7" s="334"/>
      <c r="AS7" s="334"/>
      <c r="AT7" s="338"/>
      <c r="AU7" s="339"/>
      <c r="AV7" s="334"/>
      <c r="AW7" s="338"/>
      <c r="AX7" s="340"/>
      <c r="AY7" s="337"/>
      <c r="AZ7" s="339"/>
      <c r="BA7" s="334"/>
      <c r="BB7" s="334"/>
      <c r="BC7" s="338"/>
      <c r="BD7" s="334"/>
      <c r="BE7" s="337"/>
      <c r="BF7" s="334"/>
      <c r="BG7" s="334"/>
      <c r="BH7" s="334"/>
      <c r="BI7" s="334"/>
      <c r="BJ7" s="341"/>
      <c r="BK7" s="341"/>
      <c r="BL7" s="341"/>
      <c r="BM7" s="341"/>
      <c r="BN7" s="341"/>
    </row>
    <row r="8" spans="1:67" ht="15.6" x14ac:dyDescent="0.3">
      <c r="A8" s="188" t="s">
        <v>793</v>
      </c>
      <c r="B8" s="34" t="s">
        <v>400</v>
      </c>
      <c r="C8" s="33" t="s">
        <v>454</v>
      </c>
      <c r="D8" s="34" t="s">
        <v>797</v>
      </c>
      <c r="E8" s="35" t="s">
        <v>381</v>
      </c>
      <c r="F8" s="36" t="s">
        <v>380</v>
      </c>
      <c r="G8" s="66"/>
      <c r="H8" s="66"/>
      <c r="I8" s="65"/>
      <c r="J8" s="65"/>
      <c r="K8" s="65"/>
      <c r="L8" s="65"/>
      <c r="M8" s="65"/>
      <c r="N8" s="65"/>
      <c r="O8" s="38"/>
      <c r="P8" s="38"/>
      <c r="Q8" s="65"/>
      <c r="R8" s="65"/>
      <c r="S8" s="38"/>
      <c r="T8" s="65"/>
      <c r="U8" s="65"/>
      <c r="V8" s="65"/>
      <c r="W8" s="38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102"/>
      <c r="AK8" s="65"/>
      <c r="AL8" s="65"/>
      <c r="AM8" s="65"/>
      <c r="AN8" s="83"/>
      <c r="AO8" s="87"/>
      <c r="AP8" s="86"/>
      <c r="AQ8" s="65"/>
      <c r="AR8" s="65"/>
      <c r="AS8" s="65"/>
      <c r="AT8" s="87"/>
      <c r="AU8" s="86"/>
      <c r="AV8" s="65"/>
      <c r="AW8" s="87"/>
      <c r="AX8" s="109"/>
      <c r="AY8" s="83"/>
      <c r="AZ8" s="86"/>
      <c r="BA8" s="65"/>
      <c r="BB8" s="65"/>
      <c r="BC8" s="87"/>
      <c r="BD8" s="65"/>
      <c r="BE8" s="83"/>
      <c r="BF8" s="65"/>
      <c r="BG8" s="65"/>
      <c r="BH8" s="65"/>
      <c r="BI8" s="66"/>
      <c r="BJ8" s="26"/>
      <c r="BK8" s="26"/>
      <c r="BL8" s="26"/>
      <c r="BM8" s="26"/>
      <c r="BN8" s="26"/>
    </row>
    <row r="9" spans="1:67" s="342" customFormat="1" ht="15.6" x14ac:dyDescent="0.3">
      <c r="A9" s="329"/>
      <c r="B9" s="330" t="s">
        <v>1224</v>
      </c>
      <c r="C9" s="331" t="s">
        <v>382</v>
      </c>
      <c r="D9" s="330" t="s">
        <v>383</v>
      </c>
      <c r="E9" s="332" t="s">
        <v>384</v>
      </c>
      <c r="F9" s="333" t="s">
        <v>380</v>
      </c>
      <c r="G9" s="334"/>
      <c r="H9" s="334"/>
      <c r="I9" s="334"/>
      <c r="J9" s="334"/>
      <c r="K9" s="334"/>
      <c r="L9" s="334"/>
      <c r="M9" s="334"/>
      <c r="N9" s="334"/>
      <c r="O9" s="335"/>
      <c r="P9" s="335"/>
      <c r="Q9" s="334"/>
      <c r="R9" s="334"/>
      <c r="S9" s="335"/>
      <c r="T9" s="334"/>
      <c r="U9" s="334"/>
      <c r="V9" s="334"/>
      <c r="W9" s="335"/>
      <c r="X9" s="334"/>
      <c r="Y9" s="334"/>
      <c r="Z9" s="334"/>
      <c r="AA9" s="334"/>
      <c r="AB9" s="334"/>
      <c r="AC9" s="334"/>
      <c r="AD9" s="334"/>
      <c r="AE9" s="334"/>
      <c r="AF9" s="334"/>
      <c r="AG9" s="334"/>
      <c r="AH9" s="334"/>
      <c r="AI9" s="334"/>
      <c r="AJ9" s="336"/>
      <c r="AK9" s="334"/>
      <c r="AL9" s="334"/>
      <c r="AM9" s="334"/>
      <c r="AN9" s="337"/>
      <c r="AO9" s="338"/>
      <c r="AP9" s="339"/>
      <c r="AQ9" s="334"/>
      <c r="AR9" s="334"/>
      <c r="AS9" s="334"/>
      <c r="AT9" s="338"/>
      <c r="AU9" s="339"/>
      <c r="AV9" s="334"/>
      <c r="AW9" s="338"/>
      <c r="AX9" s="340"/>
      <c r="AY9" s="337"/>
      <c r="AZ9" s="339"/>
      <c r="BA9" s="334"/>
      <c r="BB9" s="334"/>
      <c r="BC9" s="338"/>
      <c r="BD9" s="334"/>
      <c r="BE9" s="337"/>
      <c r="BF9" s="334"/>
      <c r="BG9" s="334"/>
      <c r="BH9" s="334"/>
      <c r="BI9" s="334"/>
      <c r="BJ9" s="341"/>
      <c r="BK9" s="341"/>
      <c r="BL9" s="341"/>
      <c r="BM9" s="341"/>
      <c r="BN9" s="341"/>
    </row>
    <row r="10" spans="1:67" ht="15.6" x14ac:dyDescent="0.3">
      <c r="A10" s="188" t="s">
        <v>793</v>
      </c>
      <c r="B10" s="34" t="s">
        <v>385</v>
      </c>
      <c r="C10" s="33" t="s">
        <v>455</v>
      </c>
      <c r="D10" s="34" t="s">
        <v>386</v>
      </c>
      <c r="E10" s="35" t="s">
        <v>387</v>
      </c>
      <c r="F10" s="36" t="s">
        <v>380</v>
      </c>
      <c r="G10" s="66"/>
      <c r="H10" s="66"/>
      <c r="I10" s="65"/>
      <c r="J10" s="65"/>
      <c r="K10" s="65"/>
      <c r="L10" s="65"/>
      <c r="M10" s="65"/>
      <c r="N10" s="65"/>
      <c r="O10" s="38"/>
      <c r="P10" s="38"/>
      <c r="Q10" s="65"/>
      <c r="R10" s="65"/>
      <c r="S10" s="38"/>
      <c r="T10" s="65"/>
      <c r="U10" s="65"/>
      <c r="V10" s="65"/>
      <c r="W10" s="38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102"/>
      <c r="AK10" s="65"/>
      <c r="AL10" s="65"/>
      <c r="AM10" s="65"/>
      <c r="AN10" s="83"/>
      <c r="AO10" s="87"/>
      <c r="AP10" s="86"/>
      <c r="AQ10" s="65"/>
      <c r="AR10" s="65"/>
      <c r="AS10" s="65"/>
      <c r="AT10" s="87"/>
      <c r="AU10" s="86"/>
      <c r="AV10" s="65"/>
      <c r="AW10" s="87"/>
      <c r="AX10" s="109"/>
      <c r="AY10" s="83"/>
      <c r="AZ10" s="86"/>
      <c r="BA10" s="65"/>
      <c r="BB10" s="65"/>
      <c r="BC10" s="87"/>
      <c r="BD10" s="65"/>
      <c r="BE10" s="83"/>
      <c r="BF10" s="65"/>
      <c r="BG10" s="65"/>
      <c r="BH10" s="65"/>
      <c r="BI10" s="66"/>
      <c r="BJ10" s="26"/>
      <c r="BK10" s="26"/>
      <c r="BL10" s="26"/>
      <c r="BM10" s="26"/>
      <c r="BN10" s="26"/>
    </row>
    <row r="11" spans="1:67" ht="15.6" x14ac:dyDescent="0.3">
      <c r="A11" s="188" t="s">
        <v>793</v>
      </c>
      <c r="B11" s="34" t="s">
        <v>1199</v>
      </c>
      <c r="C11" s="33" t="s">
        <v>948</v>
      </c>
      <c r="D11" s="34" t="s">
        <v>388</v>
      </c>
      <c r="E11" s="35" t="s">
        <v>389</v>
      </c>
      <c r="F11" s="36" t="s">
        <v>380</v>
      </c>
      <c r="G11" s="66"/>
      <c r="H11" s="66"/>
      <c r="I11" s="65"/>
      <c r="J11" s="65"/>
      <c r="K11" s="65"/>
      <c r="L11" s="65"/>
      <c r="M11" s="65"/>
      <c r="N11" s="65"/>
      <c r="O11" s="38"/>
      <c r="P11" s="38"/>
      <c r="Q11" s="65"/>
      <c r="R11" s="65"/>
      <c r="S11" s="38"/>
      <c r="T11" s="65"/>
      <c r="U11" s="65"/>
      <c r="V11" s="65"/>
      <c r="W11" s="38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102"/>
      <c r="AK11" s="65"/>
      <c r="AL11" s="65"/>
      <c r="AM11" s="65"/>
      <c r="AN11" s="83"/>
      <c r="AO11" s="87"/>
      <c r="AP11" s="86"/>
      <c r="AQ11" s="65"/>
      <c r="AR11" s="65"/>
      <c r="AS11" s="65"/>
      <c r="AT11" s="87"/>
      <c r="AU11" s="86"/>
      <c r="AV11" s="65"/>
      <c r="AW11" s="87"/>
      <c r="AX11" s="109"/>
      <c r="AY11" s="83"/>
      <c r="AZ11" s="86"/>
      <c r="BA11" s="65"/>
      <c r="BB11" s="65"/>
      <c r="BC11" s="87"/>
      <c r="BD11" s="65"/>
      <c r="BE11" s="83"/>
      <c r="BF11" s="65"/>
      <c r="BG11" s="65"/>
      <c r="BH11" s="65"/>
      <c r="BI11" s="66"/>
      <c r="BJ11" s="26"/>
      <c r="BK11" s="26"/>
      <c r="BL11" s="26"/>
      <c r="BM11" s="26"/>
      <c r="BN11" s="26"/>
    </row>
    <row r="12" spans="1:67" ht="15.6" x14ac:dyDescent="0.3">
      <c r="A12" s="188" t="s">
        <v>793</v>
      </c>
      <c r="B12" s="34" t="s">
        <v>166</v>
      </c>
      <c r="C12" s="33" t="s">
        <v>456</v>
      </c>
      <c r="D12" s="34" t="s">
        <v>390</v>
      </c>
      <c r="E12" s="35" t="s">
        <v>391</v>
      </c>
      <c r="F12" s="36" t="s">
        <v>380</v>
      </c>
      <c r="G12" s="66"/>
      <c r="H12" s="66"/>
      <c r="I12" s="65"/>
      <c r="J12" s="65"/>
      <c r="K12" s="65"/>
      <c r="L12" s="65"/>
      <c r="M12" s="65"/>
      <c r="N12" s="65"/>
      <c r="O12" s="38"/>
      <c r="P12" s="38"/>
      <c r="Q12" s="65"/>
      <c r="R12" s="65"/>
      <c r="S12" s="38"/>
      <c r="T12" s="65"/>
      <c r="U12" s="65"/>
      <c r="V12" s="65"/>
      <c r="W12" s="38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102"/>
      <c r="AK12" s="65"/>
      <c r="AL12" s="65"/>
      <c r="AM12" s="65"/>
      <c r="AN12" s="83"/>
      <c r="AO12" s="87"/>
      <c r="AP12" s="86"/>
      <c r="AQ12" s="65"/>
      <c r="AR12" s="65"/>
      <c r="AS12" s="65"/>
      <c r="AT12" s="87"/>
      <c r="AU12" s="86"/>
      <c r="AV12" s="65"/>
      <c r="AW12" s="87"/>
      <c r="AX12" s="109"/>
      <c r="AY12" s="83"/>
      <c r="AZ12" s="86"/>
      <c r="BA12" s="65"/>
      <c r="BB12" s="65"/>
      <c r="BC12" s="87"/>
      <c r="BD12" s="65"/>
      <c r="BE12" s="83"/>
      <c r="BF12" s="65"/>
      <c r="BG12" s="65"/>
      <c r="BH12" s="65"/>
      <c r="BI12" s="66"/>
      <c r="BJ12" s="26"/>
      <c r="BK12" s="26"/>
      <c r="BL12" s="26"/>
      <c r="BM12" s="26"/>
      <c r="BN12" s="26"/>
    </row>
    <row r="13" spans="1:67" ht="15.6" x14ac:dyDescent="0.3">
      <c r="A13" s="188" t="s">
        <v>793</v>
      </c>
      <c r="B13" s="34" t="s">
        <v>1075</v>
      </c>
      <c r="C13" s="33" t="s">
        <v>457</v>
      </c>
      <c r="D13" s="34" t="s">
        <v>392</v>
      </c>
      <c r="E13" s="35" t="s">
        <v>393</v>
      </c>
      <c r="F13" s="36" t="s">
        <v>380</v>
      </c>
      <c r="G13" s="66"/>
      <c r="H13" s="66"/>
      <c r="I13" s="65"/>
      <c r="J13" s="65"/>
      <c r="K13" s="65"/>
      <c r="L13" s="65"/>
      <c r="M13" s="65"/>
      <c r="N13" s="65"/>
      <c r="O13" s="38"/>
      <c r="P13" s="38"/>
      <c r="Q13" s="65"/>
      <c r="R13" s="65"/>
      <c r="S13" s="38"/>
      <c r="T13" s="65"/>
      <c r="U13" s="65"/>
      <c r="V13" s="65"/>
      <c r="W13" s="38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102"/>
      <c r="AK13" s="65"/>
      <c r="AL13" s="65"/>
      <c r="AM13" s="65"/>
      <c r="AN13" s="83"/>
      <c r="AO13" s="87"/>
      <c r="AP13" s="86"/>
      <c r="AQ13" s="65"/>
      <c r="AR13" s="65"/>
      <c r="AS13" s="65"/>
      <c r="AT13" s="87"/>
      <c r="AU13" s="86"/>
      <c r="AV13" s="65"/>
      <c r="AW13" s="87"/>
      <c r="AX13" s="109"/>
      <c r="AY13" s="83"/>
      <c r="AZ13" s="86"/>
      <c r="BA13" s="65"/>
      <c r="BB13" s="65"/>
      <c r="BC13" s="87"/>
      <c r="BD13" s="65"/>
      <c r="BE13" s="83"/>
      <c r="BF13" s="65"/>
      <c r="BG13" s="65"/>
      <c r="BH13" s="65"/>
      <c r="BI13" s="66"/>
      <c r="BJ13" s="26"/>
      <c r="BK13" s="26"/>
      <c r="BL13" s="26"/>
      <c r="BM13" s="26"/>
      <c r="BN13" s="26"/>
    </row>
    <row r="14" spans="1:67" ht="15.6" x14ac:dyDescent="0.3">
      <c r="A14" s="188" t="s">
        <v>793</v>
      </c>
      <c r="B14" s="34" t="s">
        <v>1100</v>
      </c>
      <c r="C14" s="33" t="s">
        <v>458</v>
      </c>
      <c r="D14" s="34" t="s">
        <v>394</v>
      </c>
      <c r="E14" s="35" t="s">
        <v>395</v>
      </c>
      <c r="F14" s="36" t="s">
        <v>380</v>
      </c>
      <c r="G14" s="66"/>
      <c r="H14" s="66"/>
      <c r="I14" s="65"/>
      <c r="J14" s="65"/>
      <c r="K14" s="65"/>
      <c r="L14" s="65"/>
      <c r="M14" s="65"/>
      <c r="N14" s="65"/>
      <c r="O14" s="38"/>
      <c r="P14" s="38"/>
      <c r="Q14" s="65"/>
      <c r="R14" s="65"/>
      <c r="S14" s="38"/>
      <c r="T14" s="65"/>
      <c r="U14" s="65"/>
      <c r="V14" s="65"/>
      <c r="W14" s="38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102"/>
      <c r="AK14" s="65"/>
      <c r="AL14" s="65"/>
      <c r="AM14" s="65"/>
      <c r="AN14" s="83"/>
      <c r="AO14" s="87"/>
      <c r="AP14" s="86"/>
      <c r="AQ14" s="65"/>
      <c r="AR14" s="65"/>
      <c r="AS14" s="65"/>
      <c r="AT14" s="87"/>
      <c r="AU14" s="86"/>
      <c r="AV14" s="65"/>
      <c r="AW14" s="87"/>
      <c r="AX14" s="109"/>
      <c r="AY14" s="83"/>
      <c r="AZ14" s="86"/>
      <c r="BA14" s="65"/>
      <c r="BB14" s="65"/>
      <c r="BC14" s="87"/>
      <c r="BD14" s="65"/>
      <c r="BE14" s="83"/>
      <c r="BF14" s="65"/>
      <c r="BG14" s="65"/>
      <c r="BH14" s="65"/>
      <c r="BI14" s="66"/>
      <c r="BJ14" s="26"/>
      <c r="BK14" s="26"/>
      <c r="BL14" s="26"/>
      <c r="BM14" s="26"/>
      <c r="BN14" s="26"/>
    </row>
    <row r="15" spans="1:67" ht="15.6" x14ac:dyDescent="0.3">
      <c r="A15" s="188" t="s">
        <v>793</v>
      </c>
      <c r="B15" s="34" t="s">
        <v>390</v>
      </c>
      <c r="C15" s="33" t="s">
        <v>459</v>
      </c>
      <c r="D15" s="34" t="s">
        <v>396</v>
      </c>
      <c r="E15" s="35" t="s">
        <v>397</v>
      </c>
      <c r="F15" s="36" t="s">
        <v>380</v>
      </c>
      <c r="G15" s="66"/>
      <c r="H15" s="66"/>
      <c r="I15" s="65"/>
      <c r="J15" s="65"/>
      <c r="K15" s="65"/>
      <c r="L15" s="65"/>
      <c r="M15" s="65"/>
      <c r="N15" s="65"/>
      <c r="O15" s="38"/>
      <c r="P15" s="38"/>
      <c r="Q15" s="65"/>
      <c r="R15" s="65"/>
      <c r="S15" s="38"/>
      <c r="T15" s="65"/>
      <c r="U15" s="65"/>
      <c r="V15" s="65"/>
      <c r="W15" s="38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102"/>
      <c r="AK15" s="65"/>
      <c r="AL15" s="65"/>
      <c r="AM15" s="65"/>
      <c r="AN15" s="83"/>
      <c r="AO15" s="87"/>
      <c r="AP15" s="86"/>
      <c r="AQ15" s="65"/>
      <c r="AR15" s="65"/>
      <c r="AS15" s="65"/>
      <c r="AT15" s="87"/>
      <c r="AU15" s="86"/>
      <c r="AV15" s="65"/>
      <c r="AW15" s="87"/>
      <c r="AX15" s="109"/>
      <c r="AY15" s="83"/>
      <c r="AZ15" s="86"/>
      <c r="BA15" s="65"/>
      <c r="BB15" s="65"/>
      <c r="BC15" s="87"/>
      <c r="BD15" s="65"/>
      <c r="BE15" s="83"/>
      <c r="BF15" s="65"/>
      <c r="BG15" s="65"/>
      <c r="BH15" s="65"/>
      <c r="BI15" s="66"/>
      <c r="BJ15" s="26"/>
      <c r="BK15" s="26"/>
      <c r="BL15" s="26"/>
      <c r="BM15" s="26"/>
      <c r="BN15" s="26"/>
    </row>
    <row r="16" spans="1:67" ht="15.6" x14ac:dyDescent="0.3">
      <c r="A16" s="188" t="s">
        <v>793</v>
      </c>
      <c r="B16" s="34" t="s">
        <v>1076</v>
      </c>
      <c r="C16" s="33" t="s">
        <v>120</v>
      </c>
      <c r="D16" s="34" t="s">
        <v>398</v>
      </c>
      <c r="E16" s="35" t="s">
        <v>399</v>
      </c>
      <c r="F16" s="36" t="s">
        <v>380</v>
      </c>
      <c r="G16" s="66"/>
      <c r="H16" s="66"/>
      <c r="I16" s="65"/>
      <c r="J16" s="65"/>
      <c r="K16" s="65"/>
      <c r="L16" s="65"/>
      <c r="M16" s="65"/>
      <c r="N16" s="65"/>
      <c r="O16" s="38"/>
      <c r="P16" s="38"/>
      <c r="Q16" s="65"/>
      <c r="R16" s="65"/>
      <c r="S16" s="38"/>
      <c r="T16" s="65"/>
      <c r="U16" s="65"/>
      <c r="V16" s="65"/>
      <c r="W16" s="38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102"/>
      <c r="AK16" s="65"/>
      <c r="AL16" s="65"/>
      <c r="AM16" s="65"/>
      <c r="AN16" s="83"/>
      <c r="AO16" s="87"/>
      <c r="AP16" s="86"/>
      <c r="AQ16" s="65"/>
      <c r="AR16" s="65"/>
      <c r="AS16" s="65"/>
      <c r="AT16" s="87"/>
      <c r="AU16" s="86"/>
      <c r="AV16" s="65"/>
      <c r="AW16" s="87"/>
      <c r="AX16" s="109"/>
      <c r="AY16" s="83"/>
      <c r="AZ16" s="86"/>
      <c r="BA16" s="65"/>
      <c r="BB16" s="65"/>
      <c r="BC16" s="87"/>
      <c r="BD16" s="65"/>
      <c r="BE16" s="83"/>
      <c r="BF16" s="65"/>
      <c r="BG16" s="65"/>
      <c r="BH16" s="65"/>
      <c r="BI16" s="66"/>
      <c r="BJ16" s="26"/>
      <c r="BK16" s="26"/>
      <c r="BL16" s="26"/>
      <c r="BM16" s="26"/>
      <c r="BN16" s="26"/>
    </row>
    <row r="17" spans="1:66" ht="15.6" x14ac:dyDescent="0.3">
      <c r="A17" s="188" t="s">
        <v>793</v>
      </c>
      <c r="B17" s="34" t="s">
        <v>50</v>
      </c>
      <c r="C17" s="33" t="s">
        <v>121</v>
      </c>
      <c r="D17" s="34" t="s">
        <v>400</v>
      </c>
      <c r="E17" s="35" t="s">
        <v>401</v>
      </c>
      <c r="F17" s="36" t="s">
        <v>380</v>
      </c>
      <c r="G17" s="66"/>
      <c r="H17" s="66"/>
      <c r="I17" s="65"/>
      <c r="J17" s="65"/>
      <c r="K17" s="65"/>
      <c r="L17" s="65"/>
      <c r="M17" s="65"/>
      <c r="N17" s="66"/>
      <c r="O17" s="38"/>
      <c r="P17" s="38"/>
      <c r="Q17" s="65"/>
      <c r="R17" s="65"/>
      <c r="S17" s="38"/>
      <c r="T17" s="65"/>
      <c r="U17" s="65"/>
      <c r="V17" s="65"/>
      <c r="W17" s="38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102"/>
      <c r="AK17" s="65"/>
      <c r="AL17" s="65"/>
      <c r="AM17" s="65"/>
      <c r="AN17" s="83"/>
      <c r="AO17" s="87"/>
      <c r="AP17" s="86"/>
      <c r="AQ17" s="65"/>
      <c r="AR17" s="65"/>
      <c r="AS17" s="65"/>
      <c r="AT17" s="87"/>
      <c r="AU17" s="86"/>
      <c r="AV17" s="65"/>
      <c r="AW17" s="87"/>
      <c r="AX17" s="109"/>
      <c r="AY17" s="83"/>
      <c r="AZ17" s="86"/>
      <c r="BA17" s="65"/>
      <c r="BB17" s="65"/>
      <c r="BC17" s="87"/>
      <c r="BD17" s="65"/>
      <c r="BE17" s="83"/>
      <c r="BF17" s="65"/>
      <c r="BG17" s="65"/>
      <c r="BH17" s="65"/>
      <c r="BI17" s="66"/>
      <c r="BJ17" s="26"/>
      <c r="BK17" s="26"/>
      <c r="BL17" s="26"/>
      <c r="BM17" s="26"/>
      <c r="BN17" s="26"/>
    </row>
    <row r="18" spans="1:66" ht="15.6" x14ac:dyDescent="0.3">
      <c r="A18" s="188" t="s">
        <v>793</v>
      </c>
      <c r="B18" s="34" t="s">
        <v>402</v>
      </c>
      <c r="C18" s="33" t="s">
        <v>122</v>
      </c>
      <c r="D18" s="34" t="s">
        <v>403</v>
      </c>
      <c r="E18" s="35" t="s">
        <v>404</v>
      </c>
      <c r="F18" s="36" t="s">
        <v>380</v>
      </c>
      <c r="G18" s="66"/>
      <c r="H18" s="66"/>
      <c r="I18" s="65"/>
      <c r="J18" s="65"/>
      <c r="K18" s="65"/>
      <c r="L18" s="65"/>
      <c r="M18" s="65"/>
      <c r="N18" s="66"/>
      <c r="O18" s="38"/>
      <c r="P18" s="38"/>
      <c r="Q18" s="65"/>
      <c r="R18" s="65"/>
      <c r="S18" s="38"/>
      <c r="T18" s="65"/>
      <c r="U18" s="65"/>
      <c r="V18" s="65"/>
      <c r="W18" s="38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102"/>
      <c r="AK18" s="65"/>
      <c r="AL18" s="65"/>
      <c r="AM18" s="65"/>
      <c r="AN18" s="83"/>
      <c r="AO18" s="87"/>
      <c r="AP18" s="86"/>
      <c r="AQ18" s="65"/>
      <c r="AR18" s="65"/>
      <c r="AS18" s="65"/>
      <c r="AT18" s="87"/>
      <c r="AU18" s="86"/>
      <c r="AV18" s="65"/>
      <c r="AW18" s="87"/>
      <c r="AX18" s="109"/>
      <c r="AY18" s="83"/>
      <c r="AZ18" s="86"/>
      <c r="BA18" s="65"/>
      <c r="BB18" s="65"/>
      <c r="BC18" s="87"/>
      <c r="BD18" s="65"/>
      <c r="BE18" s="83"/>
      <c r="BF18" s="65"/>
      <c r="BG18" s="65"/>
      <c r="BH18" s="65"/>
      <c r="BI18" s="66"/>
      <c r="BJ18" s="26"/>
      <c r="BK18" s="26"/>
      <c r="BL18" s="26"/>
      <c r="BM18" s="26"/>
      <c r="BN18" s="26"/>
    </row>
    <row r="19" spans="1:66" ht="15.6" x14ac:dyDescent="0.3">
      <c r="A19" s="188" t="s">
        <v>793</v>
      </c>
      <c r="B19" s="34" t="s">
        <v>388</v>
      </c>
      <c r="C19" s="33" t="s">
        <v>1302</v>
      </c>
      <c r="D19" s="34" t="s">
        <v>405</v>
      </c>
      <c r="E19" s="35" t="s">
        <v>406</v>
      </c>
      <c r="F19" s="36" t="s">
        <v>380</v>
      </c>
      <c r="G19" s="66"/>
      <c r="H19" s="66"/>
      <c r="I19" s="65"/>
      <c r="J19" s="65"/>
      <c r="K19" s="65"/>
      <c r="L19" s="65"/>
      <c r="M19" s="65"/>
      <c r="N19" s="66"/>
      <c r="O19" s="38"/>
      <c r="P19" s="38"/>
      <c r="Q19" s="65"/>
      <c r="R19" s="65"/>
      <c r="S19" s="38"/>
      <c r="T19" s="65"/>
      <c r="U19" s="65"/>
      <c r="V19" s="65"/>
      <c r="W19" s="38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102"/>
      <c r="AK19" s="65"/>
      <c r="AL19" s="65"/>
      <c r="AM19" s="65"/>
      <c r="AN19" s="83"/>
      <c r="AO19" s="87"/>
      <c r="AP19" s="86"/>
      <c r="AQ19" s="65"/>
      <c r="AR19" s="65"/>
      <c r="AS19" s="65"/>
      <c r="AT19" s="87"/>
      <c r="AU19" s="86"/>
      <c r="AV19" s="65"/>
      <c r="AW19" s="87"/>
      <c r="AX19" s="109"/>
      <c r="AY19" s="83"/>
      <c r="AZ19" s="86"/>
      <c r="BA19" s="65"/>
      <c r="BB19" s="65"/>
      <c r="BC19" s="87"/>
      <c r="BD19" s="65"/>
      <c r="BE19" s="83"/>
      <c r="BF19" s="65"/>
      <c r="BG19" s="65"/>
      <c r="BH19" s="65"/>
      <c r="BI19" s="66"/>
      <c r="BJ19" s="26"/>
      <c r="BK19" s="26"/>
      <c r="BL19" s="26"/>
      <c r="BM19" s="26"/>
      <c r="BN19" s="26"/>
    </row>
    <row r="20" spans="1:66" ht="15.6" x14ac:dyDescent="0.3">
      <c r="A20" s="188" t="s">
        <v>793</v>
      </c>
      <c r="B20" s="34" t="s">
        <v>1109</v>
      </c>
      <c r="C20" s="33" t="s">
        <v>1303</v>
      </c>
      <c r="D20" s="34" t="s">
        <v>407</v>
      </c>
      <c r="E20" s="35" t="s">
        <v>408</v>
      </c>
      <c r="F20" s="36" t="s">
        <v>380</v>
      </c>
      <c r="G20" s="66"/>
      <c r="H20" s="66"/>
      <c r="I20" s="65"/>
      <c r="J20" s="65"/>
      <c r="K20" s="65"/>
      <c r="L20" s="65"/>
      <c r="M20" s="65"/>
      <c r="N20" s="66"/>
      <c r="O20" s="38"/>
      <c r="P20" s="38"/>
      <c r="Q20" s="65"/>
      <c r="R20" s="65"/>
      <c r="S20" s="38"/>
      <c r="T20" s="65"/>
      <c r="U20" s="65"/>
      <c r="V20" s="65"/>
      <c r="W20" s="38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102"/>
      <c r="AK20" s="65"/>
      <c r="AL20" s="65"/>
      <c r="AM20" s="65"/>
      <c r="AN20" s="83"/>
      <c r="AO20" s="87"/>
      <c r="AP20" s="86"/>
      <c r="AQ20" s="65"/>
      <c r="AR20" s="65"/>
      <c r="AS20" s="65"/>
      <c r="AT20" s="87"/>
      <c r="AU20" s="86"/>
      <c r="AV20" s="65"/>
      <c r="AW20" s="87"/>
      <c r="AX20" s="109"/>
      <c r="AY20" s="83"/>
      <c r="AZ20" s="86"/>
      <c r="BA20" s="65"/>
      <c r="BB20" s="65"/>
      <c r="BC20" s="87"/>
      <c r="BD20" s="65"/>
      <c r="BE20" s="83"/>
      <c r="BF20" s="65"/>
      <c r="BG20" s="65"/>
      <c r="BH20" s="65"/>
      <c r="BI20" s="66"/>
      <c r="BJ20" s="26"/>
      <c r="BK20" s="26"/>
      <c r="BL20" s="26"/>
      <c r="BM20" s="26"/>
      <c r="BN20" s="26"/>
    </row>
    <row r="21" spans="1:66" ht="15.6" x14ac:dyDescent="0.3">
      <c r="A21" s="188" t="s">
        <v>793</v>
      </c>
      <c r="B21" s="34" t="s">
        <v>1077</v>
      </c>
      <c r="C21" s="33" t="s">
        <v>1304</v>
      </c>
      <c r="D21" s="34" t="s">
        <v>409</v>
      </c>
      <c r="E21" s="35" t="s">
        <v>410</v>
      </c>
      <c r="F21" s="36" t="s">
        <v>380</v>
      </c>
      <c r="G21" s="66"/>
      <c r="H21" s="66"/>
      <c r="I21" s="65"/>
      <c r="J21" s="65"/>
      <c r="K21" s="65"/>
      <c r="L21" s="65"/>
      <c r="M21" s="65"/>
      <c r="N21" s="66"/>
      <c r="O21" s="38"/>
      <c r="P21" s="38"/>
      <c r="Q21" s="65"/>
      <c r="R21" s="65"/>
      <c r="S21" s="38"/>
      <c r="T21" s="65"/>
      <c r="U21" s="65"/>
      <c r="V21" s="65"/>
      <c r="W21" s="38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102"/>
      <c r="AK21" s="65"/>
      <c r="AL21" s="65"/>
      <c r="AM21" s="65"/>
      <c r="AN21" s="83"/>
      <c r="AO21" s="87"/>
      <c r="AP21" s="86"/>
      <c r="AQ21" s="65"/>
      <c r="AR21" s="65"/>
      <c r="AS21" s="65"/>
      <c r="AT21" s="87"/>
      <c r="AU21" s="86"/>
      <c r="AV21" s="65"/>
      <c r="AW21" s="87"/>
      <c r="AX21" s="109"/>
      <c r="AY21" s="83"/>
      <c r="AZ21" s="86"/>
      <c r="BA21" s="65"/>
      <c r="BB21" s="65"/>
      <c r="BC21" s="87"/>
      <c r="BD21" s="65"/>
      <c r="BE21" s="83"/>
      <c r="BF21" s="65"/>
      <c r="BG21" s="65"/>
      <c r="BH21" s="65"/>
      <c r="BI21" s="66"/>
      <c r="BJ21" s="26"/>
      <c r="BK21" s="26"/>
      <c r="BL21" s="26"/>
      <c r="BM21" s="26"/>
      <c r="BN21" s="26"/>
    </row>
    <row r="22" spans="1:66" ht="15.6" x14ac:dyDescent="0.3">
      <c r="A22" s="188" t="s">
        <v>793</v>
      </c>
      <c r="B22" s="34" t="s">
        <v>405</v>
      </c>
      <c r="C22" s="33" t="s">
        <v>1305</v>
      </c>
      <c r="D22" s="34" t="s">
        <v>411</v>
      </c>
      <c r="E22" s="35" t="s">
        <v>2330</v>
      </c>
      <c r="F22" s="36" t="s">
        <v>380</v>
      </c>
      <c r="G22" s="66"/>
      <c r="H22" s="66"/>
      <c r="I22" s="65"/>
      <c r="J22" s="65"/>
      <c r="K22" s="65"/>
      <c r="L22" s="65"/>
      <c r="M22" s="65"/>
      <c r="N22" s="66"/>
      <c r="O22" s="38"/>
      <c r="P22" s="38"/>
      <c r="Q22" s="65"/>
      <c r="R22" s="65"/>
      <c r="S22" s="38"/>
      <c r="T22" s="65"/>
      <c r="U22" s="65"/>
      <c r="V22" s="65"/>
      <c r="W22" s="38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02"/>
      <c r="AK22" s="65"/>
      <c r="AL22" s="65"/>
      <c r="AM22" s="65"/>
      <c r="AN22" s="83"/>
      <c r="AO22" s="87"/>
      <c r="AP22" s="86"/>
      <c r="AQ22" s="65"/>
      <c r="AR22" s="65"/>
      <c r="AS22" s="65"/>
      <c r="AT22" s="87"/>
      <c r="AU22" s="86"/>
      <c r="AV22" s="65"/>
      <c r="AW22" s="87"/>
      <c r="AX22" s="109"/>
      <c r="AY22" s="83"/>
      <c r="AZ22" s="86"/>
      <c r="BA22" s="65"/>
      <c r="BB22" s="65"/>
      <c r="BC22" s="87"/>
      <c r="BD22" s="65"/>
      <c r="BE22" s="83"/>
      <c r="BF22" s="65"/>
      <c r="BG22" s="65"/>
      <c r="BH22" s="65"/>
      <c r="BI22" s="66"/>
      <c r="BJ22" s="26"/>
      <c r="BK22" s="26"/>
      <c r="BL22" s="26"/>
      <c r="BM22" s="26"/>
      <c r="BN22" s="26"/>
    </row>
    <row r="23" spans="1:66" s="342" customFormat="1" ht="15.6" x14ac:dyDescent="0.3">
      <c r="A23" s="329"/>
      <c r="B23" s="330" t="s">
        <v>628</v>
      </c>
      <c r="C23" s="331" t="s">
        <v>1306</v>
      </c>
      <c r="D23" s="330" t="s">
        <v>413</v>
      </c>
      <c r="E23" s="332" t="s">
        <v>414</v>
      </c>
      <c r="F23" s="333" t="s">
        <v>380</v>
      </c>
      <c r="G23" s="334"/>
      <c r="H23" s="334"/>
      <c r="I23" s="334"/>
      <c r="J23" s="334"/>
      <c r="K23" s="334"/>
      <c r="L23" s="334"/>
      <c r="M23" s="334"/>
      <c r="N23" s="334"/>
      <c r="O23" s="335"/>
      <c r="P23" s="335"/>
      <c r="Q23" s="334"/>
      <c r="R23" s="334"/>
      <c r="S23" s="335"/>
      <c r="T23" s="334"/>
      <c r="U23" s="334"/>
      <c r="V23" s="334"/>
      <c r="W23" s="335"/>
      <c r="X23" s="334"/>
      <c r="Y23" s="334"/>
      <c r="Z23" s="334"/>
      <c r="AA23" s="334"/>
      <c r="AB23" s="334"/>
      <c r="AC23" s="334"/>
      <c r="AD23" s="334"/>
      <c r="AE23" s="334"/>
      <c r="AF23" s="334"/>
      <c r="AG23" s="334"/>
      <c r="AH23" s="334"/>
      <c r="AI23" s="334"/>
      <c r="AJ23" s="336"/>
      <c r="AK23" s="334"/>
      <c r="AL23" s="334"/>
      <c r="AM23" s="334"/>
      <c r="AN23" s="337"/>
      <c r="AO23" s="338"/>
      <c r="AP23" s="339"/>
      <c r="AQ23" s="334"/>
      <c r="AR23" s="334"/>
      <c r="AS23" s="334"/>
      <c r="AT23" s="338"/>
      <c r="AU23" s="339"/>
      <c r="AV23" s="334"/>
      <c r="AW23" s="338"/>
      <c r="AX23" s="340"/>
      <c r="AY23" s="337"/>
      <c r="AZ23" s="339"/>
      <c r="BA23" s="334"/>
      <c r="BB23" s="334"/>
      <c r="BC23" s="338"/>
      <c r="BD23" s="334"/>
      <c r="BE23" s="337"/>
      <c r="BF23" s="334"/>
      <c r="BG23" s="334"/>
      <c r="BH23" s="334"/>
      <c r="BI23" s="334"/>
      <c r="BJ23" s="341"/>
      <c r="BK23" s="341"/>
      <c r="BL23" s="341"/>
      <c r="BM23" s="341"/>
      <c r="BN23" s="341"/>
    </row>
    <row r="24" spans="1:66" s="342" customFormat="1" ht="15" customHeight="1" x14ac:dyDescent="0.3">
      <c r="A24" s="329"/>
      <c r="B24" s="330" t="s">
        <v>1079</v>
      </c>
      <c r="C24" s="331" t="s">
        <v>1307</v>
      </c>
      <c r="D24" s="330" t="s">
        <v>415</v>
      </c>
      <c r="E24" s="332" t="s">
        <v>620</v>
      </c>
      <c r="F24" s="333" t="s">
        <v>380</v>
      </c>
      <c r="G24" s="334"/>
      <c r="H24" s="334"/>
      <c r="I24" s="334"/>
      <c r="J24" s="334"/>
      <c r="K24" s="334"/>
      <c r="L24" s="334"/>
      <c r="M24" s="334"/>
      <c r="N24" s="334"/>
      <c r="O24" s="335"/>
      <c r="P24" s="335"/>
      <c r="Q24" s="334"/>
      <c r="R24" s="334"/>
      <c r="S24" s="335"/>
      <c r="T24" s="334"/>
      <c r="U24" s="334"/>
      <c r="V24" s="334"/>
      <c r="W24" s="335"/>
      <c r="X24" s="334"/>
      <c r="Y24" s="334"/>
      <c r="Z24" s="334"/>
      <c r="AA24" s="334"/>
      <c r="AB24" s="334"/>
      <c r="AC24" s="334"/>
      <c r="AD24" s="334"/>
      <c r="AE24" s="334"/>
      <c r="AF24" s="334"/>
      <c r="AG24" s="334"/>
      <c r="AH24" s="334"/>
      <c r="AI24" s="334"/>
      <c r="AJ24" s="336"/>
      <c r="AK24" s="334"/>
      <c r="AL24" s="334"/>
      <c r="AM24" s="334"/>
      <c r="AN24" s="337"/>
      <c r="AO24" s="338"/>
      <c r="AP24" s="339"/>
      <c r="AQ24" s="334"/>
      <c r="AR24" s="334"/>
      <c r="AS24" s="334"/>
      <c r="AT24" s="338"/>
      <c r="AU24" s="339"/>
      <c r="AV24" s="334"/>
      <c r="AW24" s="338"/>
      <c r="AX24" s="340"/>
      <c r="AY24" s="337"/>
      <c r="AZ24" s="339"/>
      <c r="BA24" s="334"/>
      <c r="BB24" s="334"/>
      <c r="BC24" s="338"/>
      <c r="BD24" s="334"/>
      <c r="BE24" s="337"/>
      <c r="BF24" s="334"/>
      <c r="BG24" s="334"/>
      <c r="BH24" s="334"/>
      <c r="BI24" s="334"/>
      <c r="BJ24" s="341"/>
      <c r="BK24" s="341"/>
      <c r="BL24" s="341"/>
      <c r="BM24" s="341"/>
      <c r="BN24" s="341"/>
    </row>
    <row r="25" spans="1:66" s="342" customFormat="1" ht="15.6" x14ac:dyDescent="0.3">
      <c r="A25" s="329"/>
      <c r="B25" s="330" t="s">
        <v>392</v>
      </c>
      <c r="C25" s="331" t="s">
        <v>1308</v>
      </c>
      <c r="D25" s="330" t="s">
        <v>621</v>
      </c>
      <c r="E25" s="332" t="s">
        <v>622</v>
      </c>
      <c r="F25" s="333" t="s">
        <v>380</v>
      </c>
      <c r="G25" s="334"/>
      <c r="H25" s="334"/>
      <c r="I25" s="334"/>
      <c r="J25" s="334"/>
      <c r="K25" s="334"/>
      <c r="L25" s="334"/>
      <c r="M25" s="334"/>
      <c r="N25" s="334"/>
      <c r="O25" s="335"/>
      <c r="P25" s="335"/>
      <c r="Q25" s="334"/>
      <c r="R25" s="334"/>
      <c r="S25" s="335"/>
      <c r="T25" s="334"/>
      <c r="U25" s="334"/>
      <c r="V25" s="334"/>
      <c r="W25" s="335"/>
      <c r="X25" s="334"/>
      <c r="Y25" s="334"/>
      <c r="Z25" s="334"/>
      <c r="AA25" s="334"/>
      <c r="AB25" s="334"/>
      <c r="AC25" s="334"/>
      <c r="AD25" s="334"/>
      <c r="AE25" s="334"/>
      <c r="AF25" s="334"/>
      <c r="AG25" s="334"/>
      <c r="AH25" s="334"/>
      <c r="AI25" s="334"/>
      <c r="AJ25" s="336"/>
      <c r="AK25" s="334"/>
      <c r="AL25" s="334"/>
      <c r="AM25" s="334"/>
      <c r="AN25" s="337"/>
      <c r="AO25" s="338"/>
      <c r="AP25" s="339"/>
      <c r="AQ25" s="334"/>
      <c r="AR25" s="334"/>
      <c r="AS25" s="334"/>
      <c r="AT25" s="338"/>
      <c r="AU25" s="339"/>
      <c r="AV25" s="334"/>
      <c r="AW25" s="338"/>
      <c r="AX25" s="340"/>
      <c r="AY25" s="337"/>
      <c r="AZ25" s="339"/>
      <c r="BA25" s="334"/>
      <c r="BB25" s="334"/>
      <c r="BC25" s="338"/>
      <c r="BD25" s="334"/>
      <c r="BE25" s="337"/>
      <c r="BF25" s="334"/>
      <c r="BG25" s="334"/>
      <c r="BH25" s="334"/>
      <c r="BI25" s="334"/>
      <c r="BJ25" s="341"/>
      <c r="BK25" s="341"/>
      <c r="BL25" s="341"/>
      <c r="BM25" s="341"/>
      <c r="BN25" s="341"/>
    </row>
    <row r="26" spans="1:66" ht="15.6" x14ac:dyDescent="0.3">
      <c r="A26" s="188" t="s">
        <v>793</v>
      </c>
      <c r="B26" s="34" t="s">
        <v>165</v>
      </c>
      <c r="C26" s="33" t="s">
        <v>1309</v>
      </c>
      <c r="D26" s="34" t="s">
        <v>623</v>
      </c>
      <c r="E26" s="35" t="s">
        <v>624</v>
      </c>
      <c r="F26" s="36" t="s">
        <v>380</v>
      </c>
      <c r="G26" s="66"/>
      <c r="H26" s="66"/>
      <c r="I26" s="65"/>
      <c r="J26" s="65"/>
      <c r="K26" s="65"/>
      <c r="L26" s="65"/>
      <c r="M26" s="65"/>
      <c r="N26" s="66"/>
      <c r="O26" s="38"/>
      <c r="P26" s="38"/>
      <c r="Q26" s="65"/>
      <c r="R26" s="65"/>
      <c r="S26" s="38"/>
      <c r="T26" s="65"/>
      <c r="U26" s="65"/>
      <c r="V26" s="65"/>
      <c r="W26" s="38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02"/>
      <c r="AK26" s="65"/>
      <c r="AL26" s="65"/>
      <c r="AM26" s="65"/>
      <c r="AN26" s="83"/>
      <c r="AO26" s="87"/>
      <c r="AP26" s="86"/>
      <c r="AQ26" s="65"/>
      <c r="AR26" s="65"/>
      <c r="AS26" s="65"/>
      <c r="AT26" s="87"/>
      <c r="AU26" s="86"/>
      <c r="AV26" s="65"/>
      <c r="AW26" s="87"/>
      <c r="AX26" s="109"/>
      <c r="AY26" s="83"/>
      <c r="AZ26" s="86"/>
      <c r="BA26" s="65"/>
      <c r="BB26" s="65"/>
      <c r="BC26" s="87"/>
      <c r="BD26" s="65"/>
      <c r="BE26" s="83"/>
      <c r="BF26" s="65"/>
      <c r="BG26" s="65"/>
      <c r="BH26" s="65"/>
      <c r="BI26" s="66"/>
      <c r="BJ26" s="26"/>
      <c r="BK26" s="26"/>
      <c r="BL26" s="26"/>
      <c r="BM26" s="26"/>
      <c r="BN26" s="26"/>
    </row>
    <row r="27" spans="1:66" ht="15.6" x14ac:dyDescent="0.3">
      <c r="A27" s="188" t="s">
        <v>793</v>
      </c>
      <c r="B27" s="42" t="s">
        <v>413</v>
      </c>
      <c r="C27" s="41" t="s">
        <v>29</v>
      </c>
      <c r="D27" s="42" t="s">
        <v>625</v>
      </c>
      <c r="E27" s="43" t="s">
        <v>626</v>
      </c>
      <c r="F27" s="44" t="s">
        <v>627</v>
      </c>
      <c r="G27" s="66"/>
      <c r="H27" s="66"/>
      <c r="I27" s="65"/>
      <c r="J27" s="65"/>
      <c r="K27" s="65"/>
      <c r="L27" s="65"/>
      <c r="M27" s="65"/>
      <c r="N27" s="65"/>
      <c r="O27" s="38"/>
      <c r="P27" s="38"/>
      <c r="Q27" s="65"/>
      <c r="R27" s="65"/>
      <c r="S27" s="38"/>
      <c r="T27" s="65"/>
      <c r="U27" s="65"/>
      <c r="V27" s="65"/>
      <c r="W27" s="38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102"/>
      <c r="AK27" s="65"/>
      <c r="AL27" s="65"/>
      <c r="AM27" s="65"/>
      <c r="AN27" s="83"/>
      <c r="AO27" s="87"/>
      <c r="AP27" s="86"/>
      <c r="AQ27" s="65"/>
      <c r="AR27" s="65"/>
      <c r="AS27" s="65"/>
      <c r="AT27" s="87"/>
      <c r="AU27" s="86"/>
      <c r="AV27" s="65"/>
      <c r="AW27" s="87"/>
      <c r="AX27" s="109"/>
      <c r="AY27" s="83"/>
      <c r="AZ27" s="86"/>
      <c r="BA27" s="65"/>
      <c r="BB27" s="65"/>
      <c r="BC27" s="87"/>
      <c r="BD27" s="65"/>
      <c r="BE27" s="83"/>
      <c r="BF27" s="65"/>
      <c r="BG27" s="65"/>
      <c r="BH27" s="65"/>
      <c r="BI27" s="66"/>
      <c r="BJ27" s="26"/>
      <c r="BK27" s="26"/>
      <c r="BL27" s="26"/>
      <c r="BM27" s="26"/>
      <c r="BN27" s="26"/>
    </row>
    <row r="28" spans="1:66" ht="15.6" x14ac:dyDescent="0.3">
      <c r="A28" s="188" t="s">
        <v>793</v>
      </c>
      <c r="B28" s="42" t="s">
        <v>409</v>
      </c>
      <c r="C28" s="41" t="s">
        <v>24</v>
      </c>
      <c r="D28" s="42" t="s">
        <v>628</v>
      </c>
      <c r="E28" s="43" t="s">
        <v>629</v>
      </c>
      <c r="F28" s="44" t="s">
        <v>627</v>
      </c>
      <c r="G28" s="66"/>
      <c r="H28" s="66"/>
      <c r="I28" s="65"/>
      <c r="J28" s="65"/>
      <c r="K28" s="65"/>
      <c r="L28" s="65"/>
      <c r="M28" s="65"/>
      <c r="N28" s="65"/>
      <c r="O28" s="38"/>
      <c r="P28" s="38"/>
      <c r="Q28" s="65"/>
      <c r="R28" s="65"/>
      <c r="S28" s="38"/>
      <c r="T28" s="65"/>
      <c r="U28" s="65"/>
      <c r="V28" s="65"/>
      <c r="W28" s="38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102"/>
      <c r="AK28" s="65"/>
      <c r="AL28" s="65"/>
      <c r="AM28" s="65"/>
      <c r="AN28" s="83"/>
      <c r="AO28" s="87"/>
      <c r="AP28" s="86"/>
      <c r="AQ28" s="65"/>
      <c r="AR28" s="65"/>
      <c r="AS28" s="65"/>
      <c r="AT28" s="87"/>
      <c r="AU28" s="86"/>
      <c r="AV28" s="65"/>
      <c r="AW28" s="87"/>
      <c r="AX28" s="109"/>
      <c r="AY28" s="83"/>
      <c r="AZ28" s="86"/>
      <c r="BA28" s="65"/>
      <c r="BB28" s="65"/>
      <c r="BC28" s="87"/>
      <c r="BD28" s="65"/>
      <c r="BE28" s="83"/>
      <c r="BF28" s="65"/>
      <c r="BG28" s="65"/>
      <c r="BH28" s="65"/>
      <c r="BI28" s="66"/>
      <c r="BJ28" s="26"/>
      <c r="BK28" s="26"/>
      <c r="BL28" s="26"/>
      <c r="BM28" s="26"/>
      <c r="BN28" s="26"/>
    </row>
    <row r="29" spans="1:66" ht="15.6" x14ac:dyDescent="0.3">
      <c r="A29" s="188" t="s">
        <v>793</v>
      </c>
      <c r="B29" s="42" t="s">
        <v>415</v>
      </c>
      <c r="C29" s="41" t="s">
        <v>23</v>
      </c>
      <c r="D29" s="42" t="s">
        <v>630</v>
      </c>
      <c r="E29" s="43" t="s">
        <v>631</v>
      </c>
      <c r="F29" s="44" t="s">
        <v>627</v>
      </c>
      <c r="G29" s="66"/>
      <c r="H29" s="66"/>
      <c r="I29" s="65"/>
      <c r="J29" s="65"/>
      <c r="K29" s="65"/>
      <c r="L29" s="65"/>
      <c r="M29" s="65"/>
      <c r="N29" s="65"/>
      <c r="O29" s="38"/>
      <c r="P29" s="38"/>
      <c r="Q29" s="65"/>
      <c r="R29" s="65"/>
      <c r="S29" s="38"/>
      <c r="T29" s="65"/>
      <c r="U29" s="65"/>
      <c r="V29" s="65"/>
      <c r="W29" s="38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102"/>
      <c r="AK29" s="65"/>
      <c r="AL29" s="65"/>
      <c r="AM29" s="65"/>
      <c r="AN29" s="83"/>
      <c r="AO29" s="87"/>
      <c r="AP29" s="86"/>
      <c r="AQ29" s="65"/>
      <c r="AR29" s="65"/>
      <c r="AS29" s="65"/>
      <c r="AT29" s="87"/>
      <c r="AU29" s="86"/>
      <c r="AV29" s="65"/>
      <c r="AW29" s="87"/>
      <c r="AX29" s="109"/>
      <c r="AY29" s="83"/>
      <c r="AZ29" s="86"/>
      <c r="BA29" s="65"/>
      <c r="BB29" s="65"/>
      <c r="BC29" s="87"/>
      <c r="BD29" s="65"/>
      <c r="BE29" s="83"/>
      <c r="BF29" s="65"/>
      <c r="BG29" s="65"/>
      <c r="BH29" s="65"/>
      <c r="BI29" s="66"/>
      <c r="BJ29" s="26"/>
      <c r="BK29" s="26"/>
      <c r="BL29" s="26"/>
      <c r="BM29" s="26"/>
      <c r="BN29" s="26"/>
    </row>
    <row r="30" spans="1:66" ht="15.6" x14ac:dyDescent="0.3">
      <c r="A30" s="188" t="s">
        <v>793</v>
      </c>
      <c r="B30" s="42" t="s">
        <v>111</v>
      </c>
      <c r="C30" s="41" t="s">
        <v>1249</v>
      </c>
      <c r="D30" s="42" t="s">
        <v>632</v>
      </c>
      <c r="E30" s="43" t="s">
        <v>633</v>
      </c>
      <c r="F30" s="44" t="s">
        <v>627</v>
      </c>
      <c r="G30" s="66"/>
      <c r="H30" s="66"/>
      <c r="I30" s="65"/>
      <c r="J30" s="65"/>
      <c r="K30" s="65"/>
      <c r="L30" s="65"/>
      <c r="M30" s="65"/>
      <c r="N30" s="65"/>
      <c r="O30" s="38"/>
      <c r="P30" s="38"/>
      <c r="Q30" s="65"/>
      <c r="R30" s="65"/>
      <c r="S30" s="38"/>
      <c r="T30" s="65"/>
      <c r="U30" s="65"/>
      <c r="V30" s="65"/>
      <c r="W30" s="38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02"/>
      <c r="AK30" s="65"/>
      <c r="AL30" s="65"/>
      <c r="AM30" s="65"/>
      <c r="AN30" s="83"/>
      <c r="AO30" s="87"/>
      <c r="AP30" s="86"/>
      <c r="AQ30" s="65"/>
      <c r="AR30" s="65"/>
      <c r="AS30" s="65"/>
      <c r="AT30" s="87"/>
      <c r="AU30" s="86"/>
      <c r="AV30" s="65"/>
      <c r="AW30" s="87"/>
      <c r="AX30" s="109"/>
      <c r="AY30" s="83"/>
      <c r="AZ30" s="86"/>
      <c r="BA30" s="65"/>
      <c r="BB30" s="65"/>
      <c r="BC30" s="87"/>
      <c r="BD30" s="65"/>
      <c r="BE30" s="83"/>
      <c r="BF30" s="65"/>
      <c r="BG30" s="65"/>
      <c r="BH30" s="65"/>
      <c r="BI30" s="66"/>
      <c r="BJ30" s="26"/>
      <c r="BK30" s="26"/>
      <c r="BL30" s="26"/>
      <c r="BM30" s="26"/>
      <c r="BN30" s="26"/>
    </row>
    <row r="31" spans="1:66" ht="15.6" x14ac:dyDescent="0.3">
      <c r="A31" s="188" t="s">
        <v>793</v>
      </c>
      <c r="B31" s="42" t="s">
        <v>621</v>
      </c>
      <c r="C31" s="41" t="s">
        <v>1248</v>
      </c>
      <c r="D31" s="42" t="s">
        <v>634</v>
      </c>
      <c r="E31" s="43" t="s">
        <v>263</v>
      </c>
      <c r="F31" s="44" t="s">
        <v>627</v>
      </c>
      <c r="G31" s="66"/>
      <c r="H31" s="66"/>
      <c r="I31" s="65"/>
      <c r="J31" s="65"/>
      <c r="K31" s="65"/>
      <c r="L31" s="65"/>
      <c r="M31" s="65"/>
      <c r="N31" s="65"/>
      <c r="O31" s="38"/>
      <c r="P31" s="38"/>
      <c r="Q31" s="65"/>
      <c r="R31" s="65"/>
      <c r="S31" s="38"/>
      <c r="T31" s="65"/>
      <c r="U31" s="65"/>
      <c r="V31" s="65"/>
      <c r="W31" s="38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102"/>
      <c r="AK31" s="65"/>
      <c r="AL31" s="65"/>
      <c r="AM31" s="65"/>
      <c r="AN31" s="83"/>
      <c r="AO31" s="87"/>
      <c r="AP31" s="86"/>
      <c r="AQ31" s="65"/>
      <c r="AR31" s="65"/>
      <c r="AS31" s="65"/>
      <c r="AT31" s="87"/>
      <c r="AU31" s="86"/>
      <c r="AV31" s="65"/>
      <c r="AW31" s="87"/>
      <c r="AX31" s="109"/>
      <c r="AY31" s="83"/>
      <c r="AZ31" s="86"/>
      <c r="BA31" s="65"/>
      <c r="BB31" s="65"/>
      <c r="BC31" s="87"/>
      <c r="BD31" s="65"/>
      <c r="BE31" s="83"/>
      <c r="BF31" s="65"/>
      <c r="BG31" s="65"/>
      <c r="BH31" s="65"/>
      <c r="BI31" s="66"/>
      <c r="BJ31" s="26"/>
      <c r="BK31" s="26"/>
      <c r="BL31" s="26"/>
      <c r="BM31" s="26"/>
      <c r="BN31" s="26"/>
    </row>
    <row r="32" spans="1:66" ht="15.6" x14ac:dyDescent="0.3">
      <c r="A32" s="188" t="s">
        <v>793</v>
      </c>
      <c r="B32" s="42" t="s">
        <v>623</v>
      </c>
      <c r="C32" s="41" t="s">
        <v>171</v>
      </c>
      <c r="D32" s="42" t="s">
        <v>264</v>
      </c>
      <c r="E32" s="43" t="s">
        <v>265</v>
      </c>
      <c r="F32" s="44" t="s">
        <v>627</v>
      </c>
      <c r="G32" s="66"/>
      <c r="H32" s="66"/>
      <c r="I32" s="65"/>
      <c r="J32" s="65"/>
      <c r="K32" s="65"/>
      <c r="L32" s="65"/>
      <c r="M32" s="65"/>
      <c r="N32" s="65"/>
      <c r="O32" s="38"/>
      <c r="P32" s="38"/>
      <c r="Q32" s="65"/>
      <c r="R32" s="65"/>
      <c r="S32" s="38"/>
      <c r="T32" s="65"/>
      <c r="U32" s="65"/>
      <c r="V32" s="65"/>
      <c r="W32" s="38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02"/>
      <c r="AK32" s="65"/>
      <c r="AL32" s="65"/>
      <c r="AM32" s="65"/>
      <c r="AN32" s="83"/>
      <c r="AO32" s="87"/>
      <c r="AP32" s="86"/>
      <c r="AQ32" s="65"/>
      <c r="AR32" s="65"/>
      <c r="AS32" s="65"/>
      <c r="AT32" s="87"/>
      <c r="AU32" s="86"/>
      <c r="AV32" s="65"/>
      <c r="AW32" s="87"/>
      <c r="AX32" s="109"/>
      <c r="AY32" s="83"/>
      <c r="AZ32" s="86"/>
      <c r="BA32" s="65"/>
      <c r="BB32" s="65"/>
      <c r="BC32" s="87"/>
      <c r="BD32" s="65"/>
      <c r="BE32" s="83"/>
      <c r="BF32" s="65"/>
      <c r="BG32" s="65"/>
      <c r="BH32" s="65"/>
      <c r="BI32" s="66"/>
      <c r="BJ32" s="26"/>
      <c r="BK32" s="26"/>
      <c r="BL32" s="26"/>
      <c r="BM32" s="26"/>
      <c r="BN32" s="26"/>
    </row>
    <row r="33" spans="1:66" ht="15.6" x14ac:dyDescent="0.3">
      <c r="A33" s="188" t="s">
        <v>793</v>
      </c>
      <c r="B33" s="41" t="s">
        <v>630</v>
      </c>
      <c r="C33" s="41" t="s">
        <v>170</v>
      </c>
      <c r="D33" s="42" t="s">
        <v>266</v>
      </c>
      <c r="E33" s="43" t="s">
        <v>267</v>
      </c>
      <c r="F33" s="44" t="s">
        <v>627</v>
      </c>
      <c r="G33" s="66"/>
      <c r="H33" s="66"/>
      <c r="I33" s="65"/>
      <c r="J33" s="65"/>
      <c r="K33" s="65"/>
      <c r="L33" s="65"/>
      <c r="M33" s="65"/>
      <c r="N33" s="65"/>
      <c r="O33" s="38"/>
      <c r="P33" s="38"/>
      <c r="Q33" s="65"/>
      <c r="R33" s="65"/>
      <c r="S33" s="38"/>
      <c r="T33" s="65"/>
      <c r="U33" s="65"/>
      <c r="V33" s="65"/>
      <c r="W33" s="38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02"/>
      <c r="AK33" s="65"/>
      <c r="AL33" s="65"/>
      <c r="AM33" s="65"/>
      <c r="AN33" s="83"/>
      <c r="AO33" s="87"/>
      <c r="AP33" s="86"/>
      <c r="AQ33" s="65"/>
      <c r="AR33" s="65"/>
      <c r="AS33" s="65"/>
      <c r="AT33" s="87"/>
      <c r="AU33" s="86"/>
      <c r="AV33" s="65"/>
      <c r="AW33" s="87"/>
      <c r="AX33" s="109"/>
      <c r="AY33" s="83"/>
      <c r="AZ33" s="86"/>
      <c r="BA33" s="65"/>
      <c r="BB33" s="65"/>
      <c r="BC33" s="87"/>
      <c r="BD33" s="65"/>
      <c r="BE33" s="83"/>
      <c r="BF33" s="65"/>
      <c r="BG33" s="65"/>
      <c r="BH33" s="65"/>
      <c r="BI33" s="66"/>
      <c r="BJ33" s="26"/>
      <c r="BK33" s="26"/>
      <c r="BL33" s="26"/>
      <c r="BM33" s="26"/>
      <c r="BN33" s="26"/>
    </row>
    <row r="34" spans="1:66" ht="15.6" x14ac:dyDescent="0.3">
      <c r="A34" s="188" t="s">
        <v>793</v>
      </c>
      <c r="B34" s="47" t="s">
        <v>266</v>
      </c>
      <c r="C34" s="47" t="s">
        <v>1310</v>
      </c>
      <c r="D34" s="48" t="s">
        <v>268</v>
      </c>
      <c r="E34" s="49" t="s">
        <v>1034</v>
      </c>
      <c r="F34" s="50" t="s">
        <v>1035</v>
      </c>
      <c r="G34" s="66"/>
      <c r="H34" s="66"/>
      <c r="I34" s="65"/>
      <c r="J34" s="65"/>
      <c r="K34" s="65"/>
      <c r="L34" s="65"/>
      <c r="M34" s="65"/>
      <c r="N34" s="65"/>
      <c r="O34" s="38"/>
      <c r="P34" s="38"/>
      <c r="Q34" s="65"/>
      <c r="R34" s="65"/>
      <c r="S34" s="38"/>
      <c r="T34" s="65"/>
      <c r="U34" s="65"/>
      <c r="V34" s="65"/>
      <c r="W34" s="38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02"/>
      <c r="AK34" s="65"/>
      <c r="AL34" s="65"/>
      <c r="AM34" s="65"/>
      <c r="AN34" s="83"/>
      <c r="AO34" s="87"/>
      <c r="AP34" s="86"/>
      <c r="AQ34" s="65"/>
      <c r="AR34" s="65"/>
      <c r="AS34" s="65"/>
      <c r="AT34" s="87"/>
      <c r="AU34" s="86"/>
      <c r="AV34" s="65"/>
      <c r="AW34" s="87"/>
      <c r="AX34" s="109"/>
      <c r="AY34" s="83"/>
      <c r="AZ34" s="86"/>
      <c r="BA34" s="65"/>
      <c r="BB34" s="65"/>
      <c r="BC34" s="87"/>
      <c r="BD34" s="65"/>
      <c r="BE34" s="83"/>
      <c r="BF34" s="65"/>
      <c r="BG34" s="65"/>
      <c r="BH34" s="65"/>
      <c r="BI34" s="66"/>
      <c r="BJ34" s="26"/>
      <c r="BK34" s="26"/>
      <c r="BL34" s="26"/>
      <c r="BM34" s="26"/>
      <c r="BN34" s="26"/>
    </row>
    <row r="35" spans="1:66" s="342" customFormat="1" ht="15.6" x14ac:dyDescent="0.3">
      <c r="A35" s="329"/>
      <c r="B35" s="330" t="s">
        <v>1078</v>
      </c>
      <c r="C35" s="331" t="s">
        <v>1339</v>
      </c>
      <c r="D35" s="330" t="s">
        <v>1036</v>
      </c>
      <c r="E35" s="332" t="s">
        <v>1326</v>
      </c>
      <c r="F35" s="333" t="s">
        <v>1035</v>
      </c>
      <c r="G35" s="334"/>
      <c r="H35" s="334">
        <v>0</v>
      </c>
      <c r="I35" s="334">
        <f t="shared" ref="I8:I40" si="0">H35-G35</f>
        <v>0</v>
      </c>
      <c r="J35" s="334">
        <v>0</v>
      </c>
      <c r="K35" s="334">
        <v>0</v>
      </c>
      <c r="L35" s="334">
        <f t="shared" ref="L8:L40" si="1">K35-J35</f>
        <v>0</v>
      </c>
      <c r="M35" s="334"/>
      <c r="N35" s="334">
        <v>0</v>
      </c>
      <c r="O35" s="335">
        <v>0</v>
      </c>
      <c r="P35" s="335">
        <f t="shared" ref="P7:P40" si="2">N35-M35-O35</f>
        <v>0</v>
      </c>
      <c r="Q35" s="334"/>
      <c r="R35" s="334">
        <v>0</v>
      </c>
      <c r="S35" s="335">
        <f t="shared" ref="S8:S40" si="3">Q35-R35</f>
        <v>0</v>
      </c>
      <c r="T35" s="334"/>
      <c r="U35" s="334"/>
      <c r="V35" s="334"/>
      <c r="W35" s="335">
        <f t="shared" ref="W7:W39" si="4">V35-U35-T35</f>
        <v>0</v>
      </c>
      <c r="X35" s="334">
        <v>0</v>
      </c>
      <c r="Y35" s="334">
        <v>0</v>
      </c>
      <c r="Z35" s="334">
        <f t="shared" ref="Z7:Z40" si="5">Y35-X35</f>
        <v>0</v>
      </c>
      <c r="AA35" s="334"/>
      <c r="AB35" s="334"/>
      <c r="AC35" s="334">
        <f t="shared" ref="AC7:AC40" si="6">AB35-AA35</f>
        <v>0</v>
      </c>
      <c r="AD35" s="334"/>
      <c r="AE35" s="334"/>
      <c r="AF35" s="334"/>
      <c r="AG35" s="334"/>
      <c r="AH35" s="334"/>
      <c r="AI35" s="334">
        <v>0</v>
      </c>
      <c r="AJ35" s="336"/>
      <c r="AK35" s="334"/>
      <c r="AL35" s="334"/>
      <c r="AM35" s="334"/>
      <c r="AN35" s="337"/>
      <c r="AO35" s="338"/>
      <c r="AP35" s="339"/>
      <c r="AQ35" s="334"/>
      <c r="AR35" s="334"/>
      <c r="AS35" s="334"/>
      <c r="AT35" s="338"/>
      <c r="AU35" s="339"/>
      <c r="AV35" s="334">
        <v>0</v>
      </c>
      <c r="AW35" s="338">
        <f t="shared" ref="AW8:AW40" si="7">AV35-AU35</f>
        <v>0</v>
      </c>
      <c r="AX35" s="340">
        <v>0</v>
      </c>
      <c r="AY35" s="337">
        <f t="shared" ref="AY7:AY39" si="8">H35+K35</f>
        <v>0</v>
      </c>
      <c r="AZ35" s="339"/>
      <c r="BA35" s="334">
        <f t="shared" ref="BA8:BA40" si="9">AZ35-AY35</f>
        <v>0</v>
      </c>
      <c r="BB35" s="334"/>
      <c r="BC35" s="338">
        <f t="shared" ref="BC8:BC40" si="10">BB35-K35</f>
        <v>0</v>
      </c>
      <c r="BD35" s="334"/>
      <c r="BE35" s="337"/>
      <c r="BF35" s="334">
        <f t="shared" ref="BF7:BF40" si="11">BD35-BE35</f>
        <v>0</v>
      </c>
      <c r="BG35" s="334"/>
      <c r="BH35" s="334"/>
      <c r="BI35" s="334">
        <f t="shared" ref="BI7:BI40" si="12">BG35-BH35</f>
        <v>0</v>
      </c>
      <c r="BJ35" s="341"/>
      <c r="BK35" s="341"/>
      <c r="BL35" s="341"/>
      <c r="BM35" s="341">
        <v>0</v>
      </c>
      <c r="BN35" s="341"/>
    </row>
    <row r="36" spans="1:66" ht="15.6" x14ac:dyDescent="0.3">
      <c r="A36" s="188" t="s">
        <v>793</v>
      </c>
      <c r="B36" s="48" t="s">
        <v>57</v>
      </c>
      <c r="C36" s="47" t="s">
        <v>1340</v>
      </c>
      <c r="D36" s="48" t="s">
        <v>1327</v>
      </c>
      <c r="E36" s="49" t="s">
        <v>1328</v>
      </c>
      <c r="F36" s="50" t="s">
        <v>1035</v>
      </c>
      <c r="G36" s="66"/>
      <c r="H36" s="66"/>
      <c r="I36" s="65"/>
      <c r="J36" s="65"/>
      <c r="K36" s="65"/>
      <c r="L36" s="65"/>
      <c r="M36" s="65"/>
      <c r="N36" s="65"/>
      <c r="O36" s="38"/>
      <c r="P36" s="38">
        <f t="shared" si="2"/>
        <v>0</v>
      </c>
      <c r="Q36" s="65"/>
      <c r="R36" s="65"/>
      <c r="S36" s="38">
        <f t="shared" si="3"/>
        <v>0</v>
      </c>
      <c r="T36" s="65"/>
      <c r="U36" s="65"/>
      <c r="V36" s="65">
        <v>0</v>
      </c>
      <c r="W36" s="38">
        <f t="shared" si="4"/>
        <v>0</v>
      </c>
      <c r="X36" s="65"/>
      <c r="Y36" s="65"/>
      <c r="Z36" s="65">
        <f t="shared" si="5"/>
        <v>0</v>
      </c>
      <c r="AA36" s="65"/>
      <c r="AB36" s="65"/>
      <c r="AC36" s="65"/>
      <c r="AD36" s="65"/>
      <c r="AE36" s="65"/>
      <c r="AF36" s="65"/>
      <c r="AG36" s="65"/>
      <c r="AH36" s="65"/>
      <c r="AI36" s="65"/>
      <c r="AJ36" s="102"/>
      <c r="AK36" s="65"/>
      <c r="AL36" s="65"/>
      <c r="AM36" s="65"/>
      <c r="AN36" s="83"/>
      <c r="AO36" s="87"/>
      <c r="AP36" s="86"/>
      <c r="AQ36" s="65"/>
      <c r="AR36" s="65"/>
      <c r="AS36" s="65"/>
      <c r="AT36" s="87"/>
      <c r="AU36" s="86"/>
      <c r="AV36" s="65"/>
      <c r="AW36" s="87"/>
      <c r="AX36" s="109"/>
      <c r="AY36" s="83"/>
      <c r="AZ36" s="86"/>
      <c r="BA36" s="65"/>
      <c r="BB36" s="65"/>
      <c r="BC36" s="87"/>
      <c r="BD36" s="65"/>
      <c r="BE36" s="83"/>
      <c r="BF36" s="65"/>
      <c r="BG36" s="65"/>
      <c r="BH36" s="65"/>
      <c r="BI36" s="66"/>
      <c r="BJ36" s="26"/>
      <c r="BK36" s="26"/>
      <c r="BL36" s="26"/>
      <c r="BM36" s="26"/>
      <c r="BN36" s="26"/>
    </row>
    <row r="37" spans="1:66" ht="15.6" x14ac:dyDescent="0.3">
      <c r="A37" s="188" t="s">
        <v>793</v>
      </c>
      <c r="B37" s="48" t="s">
        <v>268</v>
      </c>
      <c r="C37" s="47" t="s">
        <v>167</v>
      </c>
      <c r="D37" s="48" t="s">
        <v>1329</v>
      </c>
      <c r="E37" s="49" t="s">
        <v>1330</v>
      </c>
      <c r="F37" s="50" t="s">
        <v>1035</v>
      </c>
      <c r="G37" s="66"/>
      <c r="H37" s="66"/>
      <c r="I37" s="65"/>
      <c r="J37" s="65"/>
      <c r="K37" s="65"/>
      <c r="L37" s="65"/>
      <c r="M37" s="65"/>
      <c r="N37" s="65"/>
      <c r="O37" s="38"/>
      <c r="P37" s="38">
        <f t="shared" si="2"/>
        <v>0</v>
      </c>
      <c r="Q37" s="65"/>
      <c r="R37" s="65"/>
      <c r="S37" s="38">
        <f t="shared" si="3"/>
        <v>0</v>
      </c>
      <c r="T37" s="65"/>
      <c r="U37" s="65"/>
      <c r="V37" s="65">
        <v>0</v>
      </c>
      <c r="W37" s="38">
        <f t="shared" si="4"/>
        <v>0</v>
      </c>
      <c r="X37" s="65"/>
      <c r="Y37" s="65"/>
      <c r="Z37" s="65">
        <f t="shared" si="5"/>
        <v>0</v>
      </c>
      <c r="AA37" s="65"/>
      <c r="AB37" s="65"/>
      <c r="AC37" s="65"/>
      <c r="AD37" s="65"/>
      <c r="AE37" s="65"/>
      <c r="AF37" s="65"/>
      <c r="AG37" s="65"/>
      <c r="AH37" s="65"/>
      <c r="AI37" s="65"/>
      <c r="AJ37" s="102"/>
      <c r="AK37" s="65"/>
      <c r="AL37" s="65"/>
      <c r="AM37" s="65"/>
      <c r="AN37" s="83"/>
      <c r="AO37" s="87"/>
      <c r="AP37" s="86"/>
      <c r="AQ37" s="65"/>
      <c r="AR37" s="65"/>
      <c r="AS37" s="65"/>
      <c r="AT37" s="87"/>
      <c r="AU37" s="86"/>
      <c r="AV37" s="65"/>
      <c r="AW37" s="87"/>
      <c r="AX37" s="109"/>
      <c r="AY37" s="83"/>
      <c r="AZ37" s="86"/>
      <c r="BA37" s="65"/>
      <c r="BB37" s="65"/>
      <c r="BC37" s="87"/>
      <c r="BD37" s="65"/>
      <c r="BE37" s="83"/>
      <c r="BF37" s="65"/>
      <c r="BG37" s="65"/>
      <c r="BH37" s="65"/>
      <c r="BI37" s="66"/>
      <c r="BJ37" s="26"/>
      <c r="BK37" s="26"/>
      <c r="BL37" s="26"/>
      <c r="BM37" s="26"/>
      <c r="BN37" s="26"/>
    </row>
    <row r="38" spans="1:66" ht="15.6" x14ac:dyDescent="0.3">
      <c r="A38" s="188" t="s">
        <v>793</v>
      </c>
      <c r="B38" s="48" t="s">
        <v>1327</v>
      </c>
      <c r="C38" s="47" t="s">
        <v>168</v>
      </c>
      <c r="D38" s="48" t="s">
        <v>1331</v>
      </c>
      <c r="E38" s="49" t="s">
        <v>1332</v>
      </c>
      <c r="F38" s="50" t="s">
        <v>1035</v>
      </c>
      <c r="G38" s="66"/>
      <c r="H38" s="66"/>
      <c r="I38" s="65"/>
      <c r="J38" s="65"/>
      <c r="K38" s="65"/>
      <c r="L38" s="65"/>
      <c r="M38" s="65"/>
      <c r="N38" s="65"/>
      <c r="O38" s="38"/>
      <c r="P38" s="38">
        <f t="shared" si="2"/>
        <v>0</v>
      </c>
      <c r="Q38" s="65"/>
      <c r="R38" s="65"/>
      <c r="S38" s="38">
        <f t="shared" si="3"/>
        <v>0</v>
      </c>
      <c r="T38" s="65"/>
      <c r="U38" s="65"/>
      <c r="V38" s="65">
        <v>0</v>
      </c>
      <c r="W38" s="38">
        <f t="shared" si="4"/>
        <v>0</v>
      </c>
      <c r="X38" s="65"/>
      <c r="Y38" s="65"/>
      <c r="Z38" s="65">
        <f t="shared" si="5"/>
        <v>0</v>
      </c>
      <c r="AA38" s="65"/>
      <c r="AB38" s="65"/>
      <c r="AC38" s="65"/>
      <c r="AD38" s="65"/>
      <c r="AE38" s="65"/>
      <c r="AF38" s="65"/>
      <c r="AG38" s="65"/>
      <c r="AH38" s="65"/>
      <c r="AI38" s="65"/>
      <c r="AJ38" s="102"/>
      <c r="AK38" s="65"/>
      <c r="AL38" s="65"/>
      <c r="AM38" s="65"/>
      <c r="AN38" s="83"/>
      <c r="AO38" s="87"/>
      <c r="AP38" s="86"/>
      <c r="AQ38" s="65"/>
      <c r="AR38" s="65"/>
      <c r="AS38" s="65"/>
      <c r="AT38" s="87"/>
      <c r="AU38" s="86"/>
      <c r="AV38" s="65"/>
      <c r="AW38" s="87"/>
      <c r="AX38" s="109"/>
      <c r="AY38" s="83"/>
      <c r="AZ38" s="86"/>
      <c r="BA38" s="65"/>
      <c r="BB38" s="65"/>
      <c r="BC38" s="87"/>
      <c r="BD38" s="65"/>
      <c r="BE38" s="83"/>
      <c r="BF38" s="65"/>
      <c r="BG38" s="65"/>
      <c r="BH38" s="65"/>
      <c r="BI38" s="66"/>
      <c r="BJ38" s="26"/>
      <c r="BK38" s="26"/>
      <c r="BL38" s="26"/>
      <c r="BM38" s="26"/>
      <c r="BN38" s="26"/>
    </row>
    <row r="39" spans="1:66" ht="15.6" x14ac:dyDescent="0.3">
      <c r="A39" s="188" t="s">
        <v>793</v>
      </c>
      <c r="B39" s="48" t="s">
        <v>49</v>
      </c>
      <c r="C39" s="47" t="s">
        <v>1333</v>
      </c>
      <c r="D39" s="48" t="s">
        <v>1334</v>
      </c>
      <c r="E39" s="49" t="s">
        <v>1335</v>
      </c>
      <c r="F39" s="50" t="s">
        <v>1035</v>
      </c>
      <c r="G39" s="66"/>
      <c r="H39" s="66"/>
      <c r="I39" s="65"/>
      <c r="J39" s="65"/>
      <c r="K39" s="65"/>
      <c r="L39" s="65"/>
      <c r="M39" s="65"/>
      <c r="N39" s="65"/>
      <c r="O39" s="38"/>
      <c r="P39" s="38">
        <f t="shared" si="2"/>
        <v>0</v>
      </c>
      <c r="Q39" s="65"/>
      <c r="R39" s="65"/>
      <c r="S39" s="38">
        <f t="shared" si="3"/>
        <v>0</v>
      </c>
      <c r="T39" s="65"/>
      <c r="U39" s="65"/>
      <c r="V39" s="65">
        <v>0</v>
      </c>
      <c r="W39" s="38">
        <f t="shared" si="4"/>
        <v>0</v>
      </c>
      <c r="X39" s="65"/>
      <c r="Y39" s="65"/>
      <c r="Z39" s="65">
        <f t="shared" si="5"/>
        <v>0</v>
      </c>
      <c r="AA39" s="65"/>
      <c r="AB39" s="65"/>
      <c r="AC39" s="65"/>
      <c r="AD39" s="65"/>
      <c r="AE39" s="65"/>
      <c r="AF39" s="65"/>
      <c r="AG39" s="65"/>
      <c r="AH39" s="65"/>
      <c r="AI39" s="65"/>
      <c r="AJ39" s="102"/>
      <c r="AK39" s="65"/>
      <c r="AL39" s="65"/>
      <c r="AM39" s="65"/>
      <c r="AN39" s="83"/>
      <c r="AO39" s="87"/>
      <c r="AP39" s="86"/>
      <c r="AQ39" s="65"/>
      <c r="AR39" s="65"/>
      <c r="AS39" s="65"/>
      <c r="AT39" s="87"/>
      <c r="AU39" s="86"/>
      <c r="AV39" s="65"/>
      <c r="AW39" s="87"/>
      <c r="AX39" s="109"/>
      <c r="AY39" s="83"/>
      <c r="AZ39" s="86"/>
      <c r="BA39" s="65"/>
      <c r="BB39" s="65"/>
      <c r="BC39" s="87"/>
      <c r="BD39" s="83"/>
      <c r="BE39" s="83"/>
      <c r="BF39" s="65"/>
      <c r="BG39" s="65"/>
      <c r="BH39" s="65"/>
      <c r="BI39" s="66"/>
      <c r="BJ39" s="26"/>
      <c r="BK39" s="26"/>
      <c r="BL39" s="26"/>
      <c r="BM39" s="26"/>
      <c r="BN39" s="26"/>
    </row>
    <row r="40" spans="1:66" ht="16.2" thickBot="1" x14ac:dyDescent="0.35">
      <c r="A40" s="188" t="s">
        <v>793</v>
      </c>
      <c r="B40" s="48" t="s">
        <v>44</v>
      </c>
      <c r="C40" s="47" t="s">
        <v>169</v>
      </c>
      <c r="D40" s="48" t="s">
        <v>1336</v>
      </c>
      <c r="E40" s="49" t="s">
        <v>1337</v>
      </c>
      <c r="F40" s="50" t="s">
        <v>1035</v>
      </c>
      <c r="G40" s="66"/>
      <c r="H40" s="66"/>
      <c r="I40" s="65"/>
      <c r="J40" s="65"/>
      <c r="K40" s="65"/>
      <c r="L40" s="65"/>
      <c r="M40" s="65"/>
      <c r="N40" s="65"/>
      <c r="O40" s="38"/>
      <c r="P40" s="38">
        <f t="shared" si="2"/>
        <v>0</v>
      </c>
      <c r="Q40" s="65"/>
      <c r="R40" s="65"/>
      <c r="S40" s="38">
        <f t="shared" si="3"/>
        <v>0</v>
      </c>
      <c r="T40" s="65"/>
      <c r="U40" s="65"/>
      <c r="V40" s="65">
        <v>0</v>
      </c>
      <c r="W40" s="38">
        <f>V40-U40-T40</f>
        <v>0</v>
      </c>
      <c r="X40" s="65"/>
      <c r="Y40" s="65"/>
      <c r="Z40" s="65">
        <f t="shared" si="5"/>
        <v>0</v>
      </c>
      <c r="AA40" s="65"/>
      <c r="AB40" s="65"/>
      <c r="AC40" s="65"/>
      <c r="AD40" s="65"/>
      <c r="AE40" s="65"/>
      <c r="AF40" s="65"/>
      <c r="AG40" s="65"/>
      <c r="AH40" s="65"/>
      <c r="AI40" s="65"/>
      <c r="AJ40" s="102"/>
      <c r="AK40" s="65"/>
      <c r="AL40" s="65"/>
      <c r="AM40" s="65"/>
      <c r="AN40" s="83"/>
      <c r="AO40" s="87"/>
      <c r="AP40" s="86"/>
      <c r="AQ40" s="65"/>
      <c r="AR40" s="65"/>
      <c r="AS40" s="65"/>
      <c r="AT40" s="87"/>
      <c r="AU40" s="161"/>
      <c r="AV40" s="162"/>
      <c r="AW40" s="163"/>
      <c r="AX40" s="109"/>
      <c r="AY40" s="83"/>
      <c r="AZ40" s="161"/>
      <c r="BA40" s="162"/>
      <c r="BB40" s="162"/>
      <c r="BC40" s="163"/>
      <c r="BD40" s="65"/>
      <c r="BE40" s="83"/>
      <c r="BF40" s="65"/>
      <c r="BG40" s="65"/>
      <c r="BH40" s="65"/>
      <c r="BI40" s="66"/>
      <c r="BJ40" s="26"/>
      <c r="BK40" s="26"/>
      <c r="BL40" s="26"/>
      <c r="BM40" s="26"/>
      <c r="BN40" s="26"/>
    </row>
    <row r="41" spans="1:66" ht="15.6" x14ac:dyDescent="0.3">
      <c r="A41" s="188"/>
      <c r="C41" s="47" t="s">
        <v>4651</v>
      </c>
      <c r="D41" s="274"/>
      <c r="E41" s="68" t="s">
        <v>423</v>
      </c>
      <c r="F41" s="274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>
        <v>0</v>
      </c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83"/>
      <c r="AI41" s="83"/>
      <c r="AJ41" s="102"/>
      <c r="AK41" s="65"/>
      <c r="AL41" s="65"/>
      <c r="AM41" s="65"/>
      <c r="AN41" s="83"/>
      <c r="AO41" s="87"/>
      <c r="AP41" s="86"/>
      <c r="AQ41" s="65"/>
      <c r="AR41" s="65"/>
      <c r="AS41" s="65"/>
      <c r="AT41" s="87"/>
      <c r="AU41" s="187"/>
      <c r="AV41" s="72">
        <v>0</v>
      </c>
      <c r="AW41" s="72"/>
      <c r="AX41" s="26">
        <f>SUM(AX7:AX40)</f>
        <v>0</v>
      </c>
      <c r="AY41" s="26">
        <v>41599666.990000002</v>
      </c>
      <c r="AZ41" s="26"/>
      <c r="BA41" s="26"/>
      <c r="BC41" s="4">
        <v>29350321.68</v>
      </c>
      <c r="BD41" s="65">
        <f>SUM(BD7:BD40)</f>
        <v>0</v>
      </c>
      <c r="BE41" s="83">
        <f>SUM(BE7:BE40)</f>
        <v>0</v>
      </c>
      <c r="BF41" s="65"/>
      <c r="BG41" s="65">
        <f>SUM(BG7:BG40)</f>
        <v>0</v>
      </c>
      <c r="BH41" s="65">
        <f>SUM(BH7:BH40)</f>
        <v>0</v>
      </c>
      <c r="BI41" s="65">
        <f>BG41-BH41</f>
        <v>0</v>
      </c>
      <c r="BJ41" s="26"/>
      <c r="BK41" s="26"/>
      <c r="BL41" s="26"/>
      <c r="BM41" s="26"/>
      <c r="BN41" s="26"/>
    </row>
    <row r="42" spans="1:66" ht="15.6" x14ac:dyDescent="0.3">
      <c r="A42" s="188"/>
      <c r="C42" s="47" t="s">
        <v>1387</v>
      </c>
      <c r="G42" s="55">
        <f>G34+G36+G37+G38+G39+G40</f>
        <v>0</v>
      </c>
      <c r="H42" s="55">
        <f>H34+H36+H37+H38+H39+H40</f>
        <v>0</v>
      </c>
      <c r="J42" s="55">
        <f>J34+J36+J37+J38+J39+J40</f>
        <v>0</v>
      </c>
      <c r="K42" s="55">
        <f>K34+K36+K37+K38+K39+K40</f>
        <v>0</v>
      </c>
      <c r="M42" s="55">
        <v>104642.81000000003</v>
      </c>
      <c r="N42" s="55">
        <v>0</v>
      </c>
      <c r="O42" s="55">
        <v>0</v>
      </c>
      <c r="P42" s="55">
        <f>N42-O42</f>
        <v>0</v>
      </c>
      <c r="Q42" s="55">
        <v>102454.90000000002</v>
      </c>
      <c r="R42" s="55">
        <v>0</v>
      </c>
      <c r="T42" s="55">
        <v>1119.0999999999999</v>
      </c>
      <c r="U42" s="55">
        <v>5170.6000000000004</v>
      </c>
      <c r="V42" s="55">
        <v>0</v>
      </c>
      <c r="X42" s="55">
        <v>29322.400000000001</v>
      </c>
      <c r="Y42" s="55">
        <f>SUM(Y34:Y40)</f>
        <v>0</v>
      </c>
      <c r="AA42" s="55">
        <v>357761.44</v>
      </c>
      <c r="AD42" s="55">
        <v>0</v>
      </c>
      <c r="AE42" s="55">
        <v>74290.210000000006</v>
      </c>
      <c r="AF42" s="55">
        <v>0</v>
      </c>
      <c r="AG42" s="55">
        <v>48819162.119999968</v>
      </c>
      <c r="AH42" s="55">
        <v>6000</v>
      </c>
      <c r="AI42" s="55">
        <v>0</v>
      </c>
      <c r="AJ42" s="55">
        <f t="shared" ref="AJ42:AO42" si="13">SUM(AJ34:AJ40)</f>
        <v>0</v>
      </c>
      <c r="AK42" s="55">
        <f t="shared" si="13"/>
        <v>0</v>
      </c>
      <c r="AL42" s="55">
        <f t="shared" si="13"/>
        <v>0</v>
      </c>
      <c r="AM42" s="55">
        <f t="shared" si="13"/>
        <v>0</v>
      </c>
      <c r="AN42" s="55">
        <f t="shared" si="13"/>
        <v>0</v>
      </c>
      <c r="AO42" s="55">
        <f t="shared" si="13"/>
        <v>0</v>
      </c>
      <c r="AP42" s="88">
        <v>0</v>
      </c>
      <c r="AQ42" s="89">
        <v>0</v>
      </c>
      <c r="AR42" s="89">
        <v>0</v>
      </c>
      <c r="AS42" s="89">
        <v>3692699.4900000012</v>
      </c>
      <c r="AT42" s="90">
        <v>6000</v>
      </c>
      <c r="AU42" s="110">
        <v>11760674.42967299</v>
      </c>
      <c r="AV42" s="105">
        <v>0</v>
      </c>
      <c r="AW42" s="105">
        <f>SUM(AW34:AW40)</f>
        <v>0</v>
      </c>
      <c r="AX42" s="105">
        <v>3223677.14</v>
      </c>
      <c r="AY42" s="26">
        <f>AX41+AY41</f>
        <v>41599666.990000002</v>
      </c>
      <c r="AZ42" s="26"/>
      <c r="BA42" s="26">
        <v>-2117440</v>
      </c>
      <c r="BB42" s="26"/>
      <c r="BC42" s="26"/>
      <c r="BD42" s="105">
        <f>SUM(BD34:BD40)</f>
        <v>0</v>
      </c>
      <c r="BE42" s="105">
        <v>0</v>
      </c>
      <c r="BG42" s="105">
        <v>6036028.5199999893</v>
      </c>
      <c r="BH42" s="105">
        <v>0</v>
      </c>
      <c r="BJ42" s="105">
        <f>SUM(BJ34:BJ40)</f>
        <v>0</v>
      </c>
      <c r="BK42" s="105">
        <f>SUM(BK34:BK40)</f>
        <v>0</v>
      </c>
      <c r="BL42" s="105">
        <f>SUM(BL34:BL40)</f>
        <v>0</v>
      </c>
      <c r="BM42" s="105">
        <f>SUM(BM34:BM40)</f>
        <v>0</v>
      </c>
      <c r="BN42" s="105">
        <f>SUM(BN34:BN40)</f>
        <v>0</v>
      </c>
    </row>
    <row r="43" spans="1:66" x14ac:dyDescent="0.25">
      <c r="P43" s="4"/>
      <c r="AJ43" s="26"/>
      <c r="AK43" s="26"/>
      <c r="AL43" s="26"/>
      <c r="AM43" s="26"/>
      <c r="AN43" s="26"/>
      <c r="AP43" s="37"/>
      <c r="AQ43" s="38"/>
      <c r="AR43" s="38"/>
      <c r="AS43" s="38"/>
      <c r="AT43" s="39"/>
      <c r="AU43" s="109"/>
      <c r="AV43" s="65"/>
      <c r="AW43" s="65"/>
      <c r="AX43" s="65"/>
      <c r="AZ43" s="26"/>
      <c r="BA43" s="26"/>
      <c r="BB43" s="26"/>
      <c r="BC43" s="26"/>
      <c r="BE43" s="65"/>
      <c r="BG43" s="65"/>
      <c r="BH43" s="65"/>
      <c r="BJ43" s="65"/>
      <c r="BK43" s="65"/>
      <c r="BL43" s="65"/>
      <c r="BM43" s="65"/>
      <c r="BN43" s="65"/>
    </row>
    <row r="44" spans="1:66" ht="12.75" customHeight="1" x14ac:dyDescent="0.25">
      <c r="A44" s="390" t="s">
        <v>183</v>
      </c>
      <c r="B44" s="390"/>
      <c r="C44" s="390"/>
      <c r="G44" s="56">
        <f>SUM(G27:G33)</f>
        <v>0</v>
      </c>
      <c r="H44" s="56">
        <f>SUM(H27:H33)</f>
        <v>0</v>
      </c>
      <c r="I44" s="26"/>
      <c r="J44" s="56">
        <f>SUM(J27:J33)</f>
        <v>0</v>
      </c>
      <c r="K44" s="56">
        <f>SUM(K27:K33)</f>
        <v>0</v>
      </c>
      <c r="M44" s="56">
        <f>SUM(M27:M33)</f>
        <v>0</v>
      </c>
      <c r="N44" s="56">
        <f>SUM(N27:N33)</f>
        <v>0</v>
      </c>
      <c r="O44" s="56">
        <f>SUM(O27:O33)</f>
        <v>0</v>
      </c>
      <c r="P44" s="56">
        <f>N44-O44</f>
        <v>0</v>
      </c>
      <c r="Q44" s="56">
        <f>SUM(Q27:Q33)</f>
        <v>0</v>
      </c>
      <c r="R44" s="56">
        <f>SUM(R27:R33)</f>
        <v>0</v>
      </c>
      <c r="T44" s="56">
        <f>SUM(T27:T33)</f>
        <v>0</v>
      </c>
      <c r="U44" s="56">
        <f>SUM(U27:U33)</f>
        <v>0</v>
      </c>
      <c r="V44" s="56">
        <f>SUM(V27:V33)</f>
        <v>0</v>
      </c>
      <c r="X44" s="56">
        <f>SUM(X27:X33)</f>
        <v>0</v>
      </c>
      <c r="Y44" s="56">
        <f>SUM(Y27:Y33)</f>
        <v>0</v>
      </c>
      <c r="AA44" s="56">
        <f>SUM(AA27:AA33)</f>
        <v>0</v>
      </c>
      <c r="AD44" s="56">
        <f t="shared" ref="AD44:AT44" si="14">SUM(AD27:AD33)</f>
        <v>0</v>
      </c>
      <c r="AE44" s="56">
        <f t="shared" si="14"/>
        <v>0</v>
      </c>
      <c r="AF44" s="56">
        <f t="shared" si="14"/>
        <v>0</v>
      </c>
      <c r="AG44" s="56">
        <f t="shared" si="14"/>
        <v>0</v>
      </c>
      <c r="AH44" s="56">
        <f t="shared" si="14"/>
        <v>0</v>
      </c>
      <c r="AI44" s="56">
        <f t="shared" si="14"/>
        <v>0</v>
      </c>
      <c r="AJ44" s="56">
        <f t="shared" si="14"/>
        <v>0</v>
      </c>
      <c r="AK44" s="56">
        <f t="shared" si="14"/>
        <v>0</v>
      </c>
      <c r="AL44" s="56">
        <f t="shared" si="14"/>
        <v>0</v>
      </c>
      <c r="AM44" s="56">
        <f t="shared" si="14"/>
        <v>0</v>
      </c>
      <c r="AN44" s="56">
        <f t="shared" si="14"/>
        <v>0</v>
      </c>
      <c r="AO44" s="56">
        <f t="shared" si="14"/>
        <v>0</v>
      </c>
      <c r="AP44" s="91">
        <f t="shared" si="14"/>
        <v>0</v>
      </c>
      <c r="AQ44" s="92">
        <f t="shared" si="14"/>
        <v>0</v>
      </c>
      <c r="AR44" s="92">
        <f t="shared" si="14"/>
        <v>0</v>
      </c>
      <c r="AS44" s="92">
        <f t="shared" si="14"/>
        <v>0</v>
      </c>
      <c r="AT44" s="93">
        <f t="shared" si="14"/>
        <v>0</v>
      </c>
      <c r="AU44" s="111">
        <f>SUM(AU27:AU33)</f>
        <v>0</v>
      </c>
      <c r="AV44" s="106">
        <f>SUM(AV27:AV33)</f>
        <v>0</v>
      </c>
      <c r="AW44" s="106">
        <f>SUM(AW27:AW33)</f>
        <v>0</v>
      </c>
      <c r="AX44" s="106">
        <f>SUM(AX27:AX33)</f>
        <v>0</v>
      </c>
      <c r="AZ44" s="26"/>
      <c r="BA44" s="26"/>
      <c r="BB44" s="26"/>
      <c r="BC44" s="26"/>
      <c r="BD44" s="106">
        <f>SUM(BD27:BD33)</f>
        <v>0</v>
      </c>
      <c r="BE44" s="106">
        <f>SUM(BE27:BE33)</f>
        <v>0</v>
      </c>
      <c r="BG44" s="106">
        <f>SUM(BG27:BG33)</f>
        <v>0</v>
      </c>
      <c r="BH44" s="106">
        <f>SUM(BH27:BH33)</f>
        <v>0</v>
      </c>
      <c r="BJ44" s="106">
        <f>SUM(BJ27:BJ33)</f>
        <v>0</v>
      </c>
      <c r="BK44" s="106">
        <f>SUM(BK27:BK33)</f>
        <v>0</v>
      </c>
      <c r="BL44" s="106">
        <f>SUM(BL27:BL33)</f>
        <v>0</v>
      </c>
      <c r="BM44" s="106">
        <f>SUM(BM27:BM33)</f>
        <v>0</v>
      </c>
      <c r="BN44" s="106">
        <f>SUM(BN27:BN33)</f>
        <v>0</v>
      </c>
    </row>
    <row r="45" spans="1:66" x14ac:dyDescent="0.25">
      <c r="A45" s="390"/>
      <c r="B45" s="390"/>
      <c r="C45" s="390"/>
      <c r="P45" s="4"/>
      <c r="AJ45" s="26"/>
      <c r="AK45" s="26"/>
      <c r="AL45" s="26"/>
      <c r="AM45" s="26"/>
      <c r="AN45" s="26"/>
      <c r="AP45" s="37"/>
      <c r="AQ45" s="38"/>
      <c r="AR45" s="38"/>
      <c r="AS45" s="38"/>
      <c r="AT45" s="39"/>
      <c r="AU45" s="109"/>
      <c r="AV45" s="65"/>
      <c r="AW45" s="65"/>
      <c r="AX45" s="65"/>
      <c r="AZ45" s="26"/>
      <c r="BA45" s="26">
        <f>-604472231.150002+929326.420001984</f>
        <v>-603542904.73000002</v>
      </c>
      <c r="BB45" s="26">
        <v>-4660476.0100000054</v>
      </c>
      <c r="BC45" s="26"/>
      <c r="BE45" s="65"/>
      <c r="BG45" s="65"/>
      <c r="BH45" s="65"/>
      <c r="BJ45" s="65"/>
      <c r="BK45" s="65"/>
      <c r="BL45" s="65"/>
      <c r="BM45" s="65"/>
      <c r="BN45" s="65"/>
    </row>
    <row r="46" spans="1:66" x14ac:dyDescent="0.25">
      <c r="A46" s="123"/>
      <c r="G46" s="28">
        <f>SUM(G7:G26)</f>
        <v>0</v>
      </c>
      <c r="H46" s="28">
        <f>SUM(H7:H26)</f>
        <v>0</v>
      </c>
      <c r="J46" s="28">
        <f>SUM(J7:J26)</f>
        <v>0</v>
      </c>
      <c r="K46" s="28">
        <f>SUM(K7:K26)</f>
        <v>0</v>
      </c>
      <c r="M46" s="28">
        <f>SUM(M7:M26)</f>
        <v>0</v>
      </c>
      <c r="N46" s="28">
        <f>SUM(N7:N26)</f>
        <v>0</v>
      </c>
      <c r="O46" s="28">
        <f>SUM(O7:O26)</f>
        <v>0</v>
      </c>
      <c r="P46" s="28">
        <f>N46-O46</f>
        <v>0</v>
      </c>
      <c r="Q46" s="28">
        <f>SUM(Q7:Q26)</f>
        <v>0</v>
      </c>
      <c r="R46" s="28">
        <f>SUM(R7:R26)</f>
        <v>0</v>
      </c>
      <c r="T46" s="28">
        <f>SUM(T7:T26)</f>
        <v>0</v>
      </c>
      <c r="U46" s="28">
        <f>SUM(U7:U26)</f>
        <v>0</v>
      </c>
      <c r="V46" s="28">
        <f>SUM(V7:V26)</f>
        <v>0</v>
      </c>
      <c r="X46" s="28">
        <f>SUM(X7:X26)</f>
        <v>0</v>
      </c>
      <c r="Y46" s="28">
        <f>SUM(Y7:Y26)</f>
        <v>0</v>
      </c>
      <c r="AA46" s="28">
        <f>SUM(AA7:AA26)</f>
        <v>0</v>
      </c>
      <c r="AD46" s="28">
        <f t="shared" ref="AD46:AT46" si="15">SUM(AD7:AD26)</f>
        <v>0</v>
      </c>
      <c r="AE46" s="28">
        <f t="shared" si="15"/>
        <v>0</v>
      </c>
      <c r="AF46" s="28">
        <f t="shared" si="15"/>
        <v>0</v>
      </c>
      <c r="AG46" s="28">
        <f t="shared" si="15"/>
        <v>0</v>
      </c>
      <c r="AH46" s="28">
        <f t="shared" si="15"/>
        <v>0</v>
      </c>
      <c r="AI46" s="28">
        <f t="shared" si="15"/>
        <v>0</v>
      </c>
      <c r="AJ46" s="28">
        <f t="shared" si="15"/>
        <v>0</v>
      </c>
      <c r="AK46" s="28">
        <f t="shared" si="15"/>
        <v>0</v>
      </c>
      <c r="AL46" s="28">
        <f t="shared" si="15"/>
        <v>0</v>
      </c>
      <c r="AM46" s="28">
        <f t="shared" si="15"/>
        <v>0</v>
      </c>
      <c r="AN46" s="28">
        <f t="shared" si="15"/>
        <v>0</v>
      </c>
      <c r="AO46" s="28">
        <f t="shared" si="15"/>
        <v>0</v>
      </c>
      <c r="AP46" s="94">
        <f t="shared" si="15"/>
        <v>0</v>
      </c>
      <c r="AQ46" s="70">
        <f t="shared" si="15"/>
        <v>0</v>
      </c>
      <c r="AR46" s="70">
        <f t="shared" si="15"/>
        <v>0</v>
      </c>
      <c r="AS46" s="70">
        <f t="shared" si="15"/>
        <v>0</v>
      </c>
      <c r="AT46" s="95">
        <f t="shared" si="15"/>
        <v>0</v>
      </c>
      <c r="AU46" s="112">
        <f>SUM(AU7:AU26)</f>
        <v>0</v>
      </c>
      <c r="AV46" s="107">
        <f>SUM(AV7:AV26)</f>
        <v>0</v>
      </c>
      <c r="AW46" s="107">
        <f>SUM(AW7:AW26)</f>
        <v>0</v>
      </c>
      <c r="AX46" s="107">
        <f>SUM(AX7:AX26)</f>
        <v>0</v>
      </c>
      <c r="AZ46" s="26"/>
      <c r="BA46" s="26">
        <v>692412779.02000022</v>
      </c>
      <c r="BB46" s="26">
        <v>3270417.08</v>
      </c>
      <c r="BC46" s="26"/>
      <c r="BD46" s="107">
        <f>SUM(BD7:BD26)</f>
        <v>0</v>
      </c>
      <c r="BE46" s="107">
        <f>SUM(BE7:BE26)</f>
        <v>0</v>
      </c>
      <c r="BG46" s="107">
        <f>SUM(BG7:BG26)</f>
        <v>0</v>
      </c>
      <c r="BH46" s="107">
        <f>SUM(BH7:BH26)</f>
        <v>0</v>
      </c>
      <c r="BJ46" s="107">
        <f>SUM(BJ7:BJ26)</f>
        <v>0</v>
      </c>
      <c r="BK46" s="107">
        <f>SUM(BK7:BK26)</f>
        <v>0</v>
      </c>
      <c r="BL46" s="107">
        <f>SUM(BL7:BL26)</f>
        <v>0</v>
      </c>
      <c r="BM46" s="107">
        <f>SUM(BM7:BM26)</f>
        <v>0</v>
      </c>
      <c r="BN46" s="107">
        <f>SUM(BN7:BN26)</f>
        <v>0</v>
      </c>
    </row>
    <row r="47" spans="1:66" x14ac:dyDescent="0.25">
      <c r="A47" s="123"/>
      <c r="B47" s="4" t="s">
        <v>915</v>
      </c>
      <c r="D47" s="274"/>
      <c r="F47" s="274"/>
      <c r="G47" s="26"/>
      <c r="H47" s="274"/>
      <c r="J47" s="274"/>
      <c r="L47" s="274"/>
      <c r="N47" s="274">
        <v>0</v>
      </c>
      <c r="P47" s="4"/>
      <c r="AJ47" s="26"/>
      <c r="AK47" s="26"/>
      <c r="AL47" s="26"/>
      <c r="AM47" s="26"/>
      <c r="AN47" s="26"/>
      <c r="AP47" s="37"/>
      <c r="AQ47" s="38"/>
      <c r="AR47" s="38"/>
      <c r="AS47" s="38"/>
      <c r="AT47" s="39"/>
      <c r="AU47" s="109"/>
      <c r="AV47" s="65"/>
      <c r="AW47" s="65"/>
      <c r="AX47" s="65"/>
      <c r="AZ47" s="26"/>
      <c r="BA47" s="26">
        <v>-88869874.289999723</v>
      </c>
      <c r="BB47" s="26">
        <v>-890698.01000000164</v>
      </c>
      <c r="BC47" s="26">
        <f>BC34-BC36</f>
        <v>0</v>
      </c>
      <c r="BE47" s="65"/>
      <c r="BG47" s="65"/>
      <c r="BH47" s="65"/>
      <c r="BJ47" s="65"/>
      <c r="BK47" s="65"/>
      <c r="BL47" s="65"/>
      <c r="BM47" s="65"/>
      <c r="BN47" s="65"/>
    </row>
    <row r="48" spans="1:66" ht="13.8" thickBot="1" x14ac:dyDescent="0.3">
      <c r="A48" s="123"/>
      <c r="B48" s="4" t="s">
        <v>702</v>
      </c>
      <c r="D48" s="274"/>
      <c r="F48" s="274"/>
      <c r="G48" s="82">
        <f>SUM(G42:G46)</f>
        <v>0</v>
      </c>
      <c r="H48" s="82">
        <f>SUM(H42:H46)</f>
        <v>0</v>
      </c>
      <c r="J48" s="82">
        <f>SUM(J42:J46)</f>
        <v>0</v>
      </c>
      <c r="K48" s="82">
        <f>SUM(K42:K47)</f>
        <v>0</v>
      </c>
      <c r="L48" s="274"/>
      <c r="M48" s="82">
        <f>SUM(M42:M47)</f>
        <v>104642.81000000003</v>
      </c>
      <c r="N48" s="82">
        <v>40325569.649999999</v>
      </c>
      <c r="O48" s="82">
        <f>SUM(O42:O47)</f>
        <v>0</v>
      </c>
      <c r="P48" s="82">
        <v>23905706.510000002</v>
      </c>
      <c r="Q48" s="82">
        <f>SUM(Q42:Q47)</f>
        <v>102454.90000000002</v>
      </c>
      <c r="R48" s="82">
        <v>25852335.25</v>
      </c>
      <c r="S48" s="274">
        <v>0</v>
      </c>
      <c r="T48" s="82">
        <v>22508585.010000002</v>
      </c>
      <c r="U48" s="82">
        <v>29818099.899999999</v>
      </c>
      <c r="V48" s="82">
        <v>482700796.05000001</v>
      </c>
      <c r="X48" s="82">
        <v>313130952</v>
      </c>
      <c r="Y48" s="82">
        <v>374187244.74000001</v>
      </c>
      <c r="Z48" s="274">
        <v>0</v>
      </c>
      <c r="AA48" s="82">
        <v>250702229.06999999</v>
      </c>
      <c r="AB48" s="274">
        <v>0</v>
      </c>
      <c r="AD48" s="82">
        <v>25817935230.32</v>
      </c>
      <c r="AE48" s="82">
        <v>3252943538.2399998</v>
      </c>
      <c r="AF48" s="82">
        <v>12809972516.16</v>
      </c>
      <c r="AG48" s="82">
        <v>49764919.170000002</v>
      </c>
      <c r="AH48" s="82">
        <v>30680996999.360001</v>
      </c>
      <c r="AI48" s="82">
        <f t="shared" ref="AI48:AX48" si="16">SUM(AI42:AI47)</f>
        <v>0</v>
      </c>
      <c r="AJ48" s="82">
        <v>23708260602.720001</v>
      </c>
      <c r="AK48" s="82">
        <v>3301254826.8299999</v>
      </c>
      <c r="AL48" s="82">
        <v>12573556029.450001</v>
      </c>
      <c r="AM48" s="82">
        <v>52988703.719999999</v>
      </c>
      <c r="AN48" s="82">
        <f t="shared" si="16"/>
        <v>0</v>
      </c>
      <c r="AO48" s="82">
        <f t="shared" si="16"/>
        <v>0</v>
      </c>
      <c r="AP48" s="96">
        <f t="shared" si="16"/>
        <v>0</v>
      </c>
      <c r="AQ48" s="97">
        <f t="shared" si="16"/>
        <v>0</v>
      </c>
      <c r="AR48" s="97">
        <f t="shared" si="16"/>
        <v>0</v>
      </c>
      <c r="AS48" s="97">
        <f t="shared" si="16"/>
        <v>3692699.4900000012</v>
      </c>
      <c r="AT48" s="98">
        <f t="shared" si="16"/>
        <v>6000</v>
      </c>
      <c r="AU48" s="113">
        <f t="shared" si="16"/>
        <v>11760674.42967299</v>
      </c>
      <c r="AV48" s="108">
        <f t="shared" si="16"/>
        <v>0</v>
      </c>
      <c r="AW48" s="108">
        <f t="shared" si="16"/>
        <v>0</v>
      </c>
      <c r="AX48" s="108">
        <f t="shared" si="16"/>
        <v>3223677.14</v>
      </c>
      <c r="AZ48" s="26"/>
      <c r="BA48" s="26">
        <v>-929326.42000198399</v>
      </c>
      <c r="BB48" s="26">
        <v>-2280756.94</v>
      </c>
      <c r="BC48" s="26"/>
      <c r="BD48" s="108">
        <f>SUM(BD42:BD47)</f>
        <v>0</v>
      </c>
      <c r="BE48" s="108">
        <f>SUM(BE42:BE47)</f>
        <v>0</v>
      </c>
      <c r="BG48" s="108">
        <f>SUM(BG42:BG47)</f>
        <v>6036028.5199999893</v>
      </c>
      <c r="BH48" s="108">
        <f>SUM(BH42:BH47)</f>
        <v>0</v>
      </c>
      <c r="BJ48" s="108">
        <f>SUM(BJ42:BJ47)</f>
        <v>0</v>
      </c>
      <c r="BK48" s="108">
        <f>SUM(BK42:BK47)</f>
        <v>0</v>
      </c>
      <c r="BL48" s="108">
        <f>SUM(BL42:BL47)</f>
        <v>0</v>
      </c>
      <c r="BM48" s="108">
        <f>SUM(BM42:BM47)</f>
        <v>0</v>
      </c>
      <c r="BN48" s="108">
        <f>SUM(BN42:BN47)</f>
        <v>0</v>
      </c>
    </row>
    <row r="49" spans="1:53" s="26" customFormat="1" x14ac:dyDescent="0.25">
      <c r="A49" s="77"/>
      <c r="N49" s="26">
        <v>0</v>
      </c>
      <c r="BA49" s="26">
        <f>BA46+AZ35</f>
        <v>692412779.02000022</v>
      </c>
    </row>
    <row r="50" spans="1:53" s="26" customFormat="1" x14ac:dyDescent="0.25">
      <c r="A50" s="77"/>
      <c r="H50" s="26">
        <f>SUM(H8:H41)+SUM(K8:K41)</f>
        <v>0</v>
      </c>
      <c r="I50" s="302">
        <v>3471420000</v>
      </c>
      <c r="J50" s="26">
        <f>H50+I50</f>
        <v>3471420000</v>
      </c>
      <c r="AP50" s="26">
        <v>210526100.75</v>
      </c>
      <c r="AQ50" s="26">
        <v>45191304.109999999</v>
      </c>
      <c r="AR50" s="26">
        <v>93536578.419999972</v>
      </c>
      <c r="AS50" s="26">
        <v>4583453.72</v>
      </c>
      <c r="AT50" s="26">
        <v>312188384.95999998</v>
      </c>
      <c r="AX50" s="26">
        <v>15212094.9</v>
      </c>
    </row>
    <row r="51" spans="1:53" s="26" customFormat="1" x14ac:dyDescent="0.25">
      <c r="A51" s="77"/>
      <c r="G51" s="26" t="s">
        <v>17</v>
      </c>
      <c r="H51" s="292">
        <v>77652221</v>
      </c>
      <c r="I51" s="291">
        <v>127069</v>
      </c>
      <c r="J51" s="26" t="s">
        <v>16</v>
      </c>
      <c r="N51" s="26">
        <f>N48+N41</f>
        <v>40325569.649999999</v>
      </c>
      <c r="BA51" s="26">
        <v>1977978871.8099999</v>
      </c>
    </row>
    <row r="52" spans="1:53" s="26" customFormat="1" x14ac:dyDescent="0.25">
      <c r="A52" s="77"/>
      <c r="AP52" s="26">
        <f>AP50-AP48</f>
        <v>210526100.75</v>
      </c>
      <c r="AQ52" s="26">
        <f>AQ50-AQ48</f>
        <v>45191304.109999999</v>
      </c>
      <c r="AR52" s="26">
        <f>AR50-AR48</f>
        <v>93536578.419999972</v>
      </c>
      <c r="AS52" s="26">
        <f>AS50-AS48</f>
        <v>890754.22999999858</v>
      </c>
      <c r="AT52" s="26">
        <f>AT50-AT48</f>
        <v>312182384.95999998</v>
      </c>
      <c r="AX52" s="26">
        <f>SUM(AX48:AX51)</f>
        <v>18435772.039999999</v>
      </c>
      <c r="BA52" s="26">
        <v>9592199.7899999991</v>
      </c>
    </row>
    <row r="53" spans="1:53" s="26" customFormat="1" x14ac:dyDescent="0.25">
      <c r="A53" s="77"/>
    </row>
    <row r="54" spans="1:53" s="26" customFormat="1" x14ac:dyDescent="0.25">
      <c r="A54" s="77"/>
      <c r="AX54" s="26">
        <v>996937</v>
      </c>
      <c r="BA54" s="26">
        <v>16708.299999676601</v>
      </c>
    </row>
    <row r="55" spans="1:53" s="26" customFormat="1" x14ac:dyDescent="0.25">
      <c r="A55" s="77"/>
      <c r="AT55" s="26">
        <v>265193425.69000149</v>
      </c>
    </row>
    <row r="56" spans="1:53" s="26" customFormat="1" x14ac:dyDescent="0.25">
      <c r="A56" s="77"/>
      <c r="AX56" s="26">
        <f>AX48/1000-AX54</f>
        <v>-993713.32285999996</v>
      </c>
    </row>
    <row r="57" spans="1:53" s="26" customFormat="1" x14ac:dyDescent="0.25">
      <c r="A57" s="77"/>
      <c r="AT57" s="26">
        <f>AT48-AT55</f>
        <v>-265187425.69000149</v>
      </c>
    </row>
    <row r="58" spans="1:53" s="26" customFormat="1" x14ac:dyDescent="0.25">
      <c r="A58" s="77"/>
    </row>
    <row r="59" spans="1:53" s="26" customFormat="1" x14ac:dyDescent="0.25">
      <c r="A59" s="77"/>
    </row>
    <row r="60" spans="1:53" s="26" customFormat="1" x14ac:dyDescent="0.25">
      <c r="A60" s="77"/>
    </row>
    <row r="61" spans="1:53" s="26" customFormat="1" x14ac:dyDescent="0.25">
      <c r="A61" s="77"/>
    </row>
    <row r="62" spans="1:53" s="26" customFormat="1" x14ac:dyDescent="0.25">
      <c r="A62" s="77"/>
    </row>
    <row r="63" spans="1:53" s="26" customFormat="1" x14ac:dyDescent="0.25">
      <c r="A63" s="77"/>
      <c r="N63" s="269"/>
      <c r="AW63" s="4"/>
    </row>
    <row r="64" spans="1:53" s="26" customFormat="1" x14ac:dyDescent="0.25">
      <c r="A64" s="77"/>
      <c r="AW64" s="4"/>
    </row>
    <row r="65" spans="1:49" s="26" customFormat="1" x14ac:dyDescent="0.25">
      <c r="A65" s="77"/>
      <c r="AW65" s="4"/>
    </row>
    <row r="66" spans="1:49" s="26" customFormat="1" x14ac:dyDescent="0.25">
      <c r="A66" s="77"/>
      <c r="AW66" s="4"/>
    </row>
    <row r="67" spans="1:49" s="26" customFormat="1" x14ac:dyDescent="0.25">
      <c r="A67" s="77"/>
      <c r="AW67" s="4"/>
    </row>
    <row r="68" spans="1:49" s="26" customFormat="1" x14ac:dyDescent="0.25">
      <c r="A68" s="77"/>
      <c r="AW68" s="4"/>
    </row>
    <row r="69" spans="1:49" s="26" customFormat="1" x14ac:dyDescent="0.25">
      <c r="A69" s="77"/>
      <c r="AW69" s="4"/>
    </row>
    <row r="70" spans="1:49" s="26" customFormat="1" x14ac:dyDescent="0.25">
      <c r="A70" s="77"/>
      <c r="AW70" s="4"/>
    </row>
    <row r="71" spans="1:49" s="26" customFormat="1" x14ac:dyDescent="0.25">
      <c r="A71" s="77"/>
      <c r="AW71" s="4"/>
    </row>
    <row r="72" spans="1:49" s="26" customFormat="1" x14ac:dyDescent="0.25">
      <c r="A72" s="77"/>
      <c r="AW72" s="4"/>
    </row>
    <row r="73" spans="1:49" s="26" customFormat="1" x14ac:dyDescent="0.25">
      <c r="A73" s="77"/>
      <c r="AW73" s="4"/>
    </row>
    <row r="74" spans="1:49" s="26" customFormat="1" x14ac:dyDescent="0.25">
      <c r="A74" s="77"/>
      <c r="AW74" s="4"/>
    </row>
    <row r="75" spans="1:49" s="26" customFormat="1" x14ac:dyDescent="0.25">
      <c r="A75" s="77"/>
      <c r="AW75" s="4"/>
    </row>
    <row r="76" spans="1:49" s="26" customFormat="1" x14ac:dyDescent="0.25">
      <c r="A76" s="77"/>
      <c r="AW76" s="4"/>
    </row>
    <row r="77" spans="1:49" s="26" customFormat="1" x14ac:dyDescent="0.25">
      <c r="A77" s="77"/>
      <c r="AW77" s="4"/>
    </row>
    <row r="78" spans="1:49" x14ac:dyDescent="0.25">
      <c r="H78" s="26"/>
      <c r="R78" s="274"/>
      <c r="S78" s="274"/>
      <c r="T78" s="274"/>
      <c r="U78" s="274"/>
      <c r="V78" s="274"/>
      <c r="X78" s="274"/>
      <c r="Y78" s="274"/>
      <c r="Z78" s="274"/>
      <c r="AA78" s="274"/>
      <c r="AB78" s="274"/>
      <c r="AD78" s="274"/>
      <c r="AE78" s="274"/>
      <c r="AF78" s="274"/>
      <c r="AG78" s="274"/>
      <c r="AH78" s="274"/>
      <c r="AJ78" s="274"/>
      <c r="AK78" s="274"/>
      <c r="AL78" s="274"/>
      <c r="AM78" s="274"/>
    </row>
    <row r="79" spans="1:49" x14ac:dyDescent="0.25">
      <c r="H79" s="26"/>
      <c r="R79" s="274"/>
      <c r="S79" s="274"/>
      <c r="T79" s="274"/>
      <c r="U79" s="274"/>
      <c r="V79" s="274"/>
      <c r="X79" s="274"/>
      <c r="Y79" s="274"/>
      <c r="Z79" s="274"/>
      <c r="AA79" s="274"/>
      <c r="AB79" s="274"/>
      <c r="AD79" s="274"/>
      <c r="AE79" s="274"/>
      <c r="AF79" s="274"/>
      <c r="AG79" s="274"/>
      <c r="AH79" s="274"/>
      <c r="AJ79" s="274"/>
      <c r="AK79" s="274"/>
      <c r="AL79" s="274"/>
      <c r="AM79" s="274"/>
    </row>
    <row r="80" spans="1:49" x14ac:dyDescent="0.25">
      <c r="H80" s="26"/>
      <c r="R80" s="274"/>
      <c r="S80" s="274"/>
      <c r="T80" s="274"/>
      <c r="U80" s="274"/>
      <c r="V80" s="274"/>
      <c r="X80" s="274"/>
      <c r="Y80" s="274"/>
      <c r="Z80" s="274"/>
      <c r="AA80" s="274"/>
      <c r="AB80" s="274"/>
      <c r="AD80" s="274"/>
      <c r="AE80" s="274"/>
      <c r="AF80" s="274"/>
      <c r="AG80" s="274"/>
      <c r="AH80" s="274"/>
      <c r="AJ80" s="274"/>
      <c r="AK80" s="274"/>
      <c r="AL80" s="274"/>
      <c r="AM80" s="274"/>
    </row>
    <row r="81" spans="8:39" x14ac:dyDescent="0.25">
      <c r="H81" s="26"/>
      <c r="R81" s="274"/>
      <c r="S81" s="274"/>
      <c r="T81" s="274"/>
      <c r="U81" s="274"/>
      <c r="V81" s="274"/>
      <c r="X81" s="274"/>
      <c r="Y81" s="274"/>
      <c r="Z81" s="274"/>
      <c r="AA81" s="274"/>
      <c r="AB81" s="274"/>
      <c r="AD81" s="274"/>
      <c r="AE81" s="274"/>
      <c r="AF81" s="274"/>
      <c r="AG81" s="274"/>
      <c r="AH81" s="274"/>
      <c r="AJ81" s="274"/>
      <c r="AK81" s="274"/>
      <c r="AL81" s="274"/>
      <c r="AM81" s="274"/>
    </row>
    <row r="82" spans="8:39" x14ac:dyDescent="0.25">
      <c r="R82" s="274"/>
      <c r="S82" s="274"/>
      <c r="T82" s="274"/>
      <c r="U82" s="274"/>
      <c r="V82" s="274"/>
      <c r="X82" s="274"/>
      <c r="Y82" s="274"/>
      <c r="Z82" s="274"/>
      <c r="AA82" s="274"/>
      <c r="AB82" s="274"/>
      <c r="AD82" s="274"/>
      <c r="AE82" s="274"/>
      <c r="AF82" s="274"/>
      <c r="AG82" s="274"/>
      <c r="AH82" s="274"/>
      <c r="AJ82" s="274"/>
      <c r="AK82" s="274"/>
      <c r="AL82" s="274"/>
      <c r="AM82" s="274"/>
    </row>
    <row r="83" spans="8:39" x14ac:dyDescent="0.25">
      <c r="R83" s="274"/>
      <c r="S83" s="274"/>
      <c r="T83" s="274"/>
      <c r="U83" s="274"/>
      <c r="V83" s="274"/>
      <c r="X83" s="274"/>
      <c r="Y83" s="274"/>
      <c r="Z83" s="274"/>
      <c r="AA83" s="274"/>
      <c r="AB83" s="274"/>
      <c r="AD83" s="274"/>
      <c r="AE83" s="274"/>
      <c r="AF83" s="274"/>
      <c r="AG83" s="274"/>
      <c r="AH83" s="274"/>
      <c r="AJ83" s="274"/>
      <c r="AK83" s="274"/>
      <c r="AL83" s="274"/>
      <c r="AM83" s="274"/>
    </row>
    <row r="84" spans="8:39" x14ac:dyDescent="0.25">
      <c r="R84" s="274"/>
      <c r="S84" s="274"/>
      <c r="T84" s="274"/>
      <c r="U84" s="274"/>
      <c r="V84" s="274"/>
      <c r="X84" s="274"/>
      <c r="Y84" s="274"/>
      <c r="Z84" s="274"/>
      <c r="AA84" s="274"/>
      <c r="AB84" s="274"/>
      <c r="AD84" s="274"/>
      <c r="AE84" s="274"/>
      <c r="AF84" s="274"/>
      <c r="AG84" s="274"/>
      <c r="AH84" s="274"/>
      <c r="AJ84" s="274"/>
      <c r="AK84" s="274"/>
      <c r="AL84" s="274"/>
      <c r="AM84" s="274"/>
    </row>
    <row r="85" spans="8:39" x14ac:dyDescent="0.25">
      <c r="R85" s="274"/>
      <c r="S85" s="274"/>
      <c r="T85" s="274"/>
      <c r="U85" s="274"/>
      <c r="V85" s="274"/>
      <c r="X85" s="274"/>
      <c r="Y85" s="274"/>
      <c r="Z85" s="274"/>
      <c r="AA85" s="274"/>
      <c r="AB85" s="274"/>
      <c r="AD85" s="274"/>
      <c r="AE85" s="274"/>
      <c r="AF85" s="274"/>
      <c r="AG85" s="274"/>
      <c r="AH85" s="274"/>
      <c r="AJ85" s="274"/>
      <c r="AK85" s="274"/>
      <c r="AL85" s="274"/>
      <c r="AM85" s="274"/>
    </row>
    <row r="86" spans="8:39" x14ac:dyDescent="0.25">
      <c r="R86" s="274"/>
      <c r="S86" s="274"/>
      <c r="T86" s="274"/>
      <c r="U86" s="274"/>
      <c r="V86" s="274"/>
      <c r="X86" s="274"/>
      <c r="Y86" s="274"/>
      <c r="Z86" s="274"/>
      <c r="AA86" s="274"/>
      <c r="AB86" s="274"/>
      <c r="AD86" s="274"/>
      <c r="AE86" s="274"/>
      <c r="AF86" s="274"/>
      <c r="AG86" s="274"/>
      <c r="AH86" s="274"/>
      <c r="AJ86" s="274"/>
      <c r="AK86" s="274"/>
      <c r="AL86" s="274"/>
      <c r="AM86" s="274"/>
    </row>
    <row r="87" spans="8:39" x14ac:dyDescent="0.25">
      <c r="R87" s="274"/>
      <c r="S87" s="274"/>
      <c r="T87" s="274"/>
      <c r="U87" s="274"/>
      <c r="V87" s="274"/>
      <c r="X87" s="274"/>
      <c r="Y87" s="274"/>
      <c r="Z87" s="274"/>
      <c r="AA87" s="274"/>
      <c r="AB87" s="274"/>
      <c r="AD87" s="274"/>
      <c r="AE87" s="274"/>
      <c r="AF87" s="274"/>
      <c r="AG87" s="274"/>
      <c r="AH87" s="274"/>
      <c r="AJ87" s="274"/>
      <c r="AK87" s="274"/>
      <c r="AL87" s="274"/>
      <c r="AM87" s="274"/>
    </row>
    <row r="88" spans="8:39" x14ac:dyDescent="0.25">
      <c r="R88" s="274"/>
      <c r="S88" s="274"/>
      <c r="T88" s="274"/>
      <c r="U88" s="274"/>
      <c r="V88" s="274"/>
      <c r="X88" s="274"/>
      <c r="Y88" s="274"/>
      <c r="Z88" s="274"/>
      <c r="AA88" s="274"/>
      <c r="AB88" s="274"/>
      <c r="AD88" s="274"/>
      <c r="AE88" s="274"/>
      <c r="AF88" s="274"/>
      <c r="AG88" s="274"/>
      <c r="AH88" s="274"/>
      <c r="AJ88" s="274"/>
      <c r="AK88" s="274"/>
      <c r="AL88" s="274"/>
      <c r="AM88" s="274"/>
    </row>
    <row r="89" spans="8:39" x14ac:dyDescent="0.25">
      <c r="R89" s="274"/>
      <c r="S89" s="274"/>
      <c r="T89" s="274"/>
      <c r="U89" s="274"/>
      <c r="V89" s="274"/>
      <c r="X89" s="274"/>
      <c r="Y89" s="274"/>
      <c r="Z89" s="274"/>
      <c r="AA89" s="274"/>
      <c r="AB89" s="274"/>
      <c r="AD89" s="274"/>
      <c r="AE89" s="274"/>
      <c r="AF89" s="274"/>
      <c r="AG89" s="274"/>
      <c r="AH89" s="274"/>
      <c r="AJ89" s="274"/>
      <c r="AK89" s="274"/>
      <c r="AL89" s="274"/>
      <c r="AM89" s="274"/>
    </row>
    <row r="90" spans="8:39" x14ac:dyDescent="0.25">
      <c r="R90" s="274"/>
      <c r="S90" s="274"/>
      <c r="T90" s="274"/>
      <c r="U90" s="274"/>
      <c r="V90" s="274"/>
      <c r="X90" s="274"/>
      <c r="Y90" s="274"/>
      <c r="Z90" s="274"/>
      <c r="AA90" s="274"/>
      <c r="AB90" s="274"/>
      <c r="AD90" s="274"/>
      <c r="AE90" s="274"/>
      <c r="AF90" s="274"/>
      <c r="AG90" s="274"/>
      <c r="AH90" s="274"/>
      <c r="AJ90" s="274"/>
      <c r="AK90" s="274"/>
      <c r="AL90" s="274"/>
      <c r="AM90" s="274"/>
    </row>
    <row r="91" spans="8:39" x14ac:dyDescent="0.25">
      <c r="R91" s="274"/>
      <c r="S91" s="274"/>
      <c r="T91" s="274"/>
      <c r="U91" s="274"/>
      <c r="V91" s="274"/>
      <c r="X91" s="274"/>
      <c r="Y91" s="274"/>
      <c r="Z91" s="274"/>
      <c r="AA91" s="274"/>
      <c r="AB91" s="274"/>
      <c r="AD91" s="274"/>
      <c r="AE91" s="274"/>
      <c r="AF91" s="274"/>
      <c r="AG91" s="274"/>
      <c r="AH91" s="274"/>
      <c r="AJ91" s="274"/>
      <c r="AK91" s="274"/>
      <c r="AL91" s="274"/>
      <c r="AM91" s="274"/>
    </row>
    <row r="92" spans="8:39" x14ac:dyDescent="0.25">
      <c r="R92" s="274"/>
      <c r="S92" s="274"/>
      <c r="T92" s="274"/>
      <c r="U92" s="274"/>
      <c r="V92" s="274"/>
      <c r="X92" s="274"/>
      <c r="Y92" s="274"/>
      <c r="Z92" s="274"/>
      <c r="AA92" s="274"/>
      <c r="AB92" s="274"/>
      <c r="AD92" s="274"/>
      <c r="AE92" s="274"/>
      <c r="AF92" s="274"/>
      <c r="AG92" s="274"/>
      <c r="AH92" s="274"/>
      <c r="AJ92" s="274"/>
      <c r="AK92" s="274"/>
      <c r="AL92" s="274"/>
      <c r="AM92" s="274"/>
    </row>
    <row r="93" spans="8:39" x14ac:dyDescent="0.25">
      <c r="R93" s="274"/>
      <c r="S93" s="274"/>
      <c r="T93" s="274"/>
      <c r="U93" s="274"/>
      <c r="V93" s="274"/>
      <c r="X93" s="274"/>
      <c r="Y93" s="274"/>
      <c r="Z93" s="274"/>
      <c r="AA93" s="274"/>
      <c r="AB93" s="274"/>
      <c r="AD93" s="274"/>
      <c r="AE93" s="274"/>
      <c r="AF93" s="274"/>
      <c r="AG93" s="274"/>
      <c r="AH93" s="274"/>
      <c r="AJ93" s="274"/>
      <c r="AK93" s="274"/>
      <c r="AL93" s="274"/>
      <c r="AM93" s="274"/>
    </row>
    <row r="94" spans="8:39" x14ac:dyDescent="0.25">
      <c r="R94" s="274"/>
      <c r="S94" s="274"/>
      <c r="T94" s="274"/>
      <c r="U94" s="274"/>
      <c r="V94" s="274"/>
      <c r="X94" s="274"/>
      <c r="Y94" s="274"/>
      <c r="Z94" s="274"/>
      <c r="AA94" s="274"/>
      <c r="AB94" s="274"/>
      <c r="AD94" s="274"/>
      <c r="AE94" s="274"/>
      <c r="AF94" s="274"/>
      <c r="AG94" s="274"/>
      <c r="AH94" s="274"/>
      <c r="AJ94" s="274"/>
      <c r="AK94" s="274"/>
      <c r="AL94" s="274"/>
      <c r="AM94" s="274"/>
    </row>
    <row r="95" spans="8:39" x14ac:dyDescent="0.25">
      <c r="R95" s="274"/>
      <c r="S95" s="274"/>
      <c r="T95" s="274"/>
      <c r="U95" s="274"/>
      <c r="V95" s="274"/>
      <c r="X95" s="274"/>
      <c r="Y95" s="274"/>
      <c r="Z95" s="274"/>
      <c r="AA95" s="274"/>
      <c r="AB95" s="274"/>
      <c r="AD95" s="274"/>
      <c r="AE95" s="274"/>
      <c r="AF95" s="274"/>
      <c r="AG95" s="274"/>
      <c r="AH95" s="274"/>
      <c r="AJ95" s="274"/>
      <c r="AK95" s="274"/>
      <c r="AL95" s="274"/>
      <c r="AM95" s="274"/>
    </row>
    <row r="96" spans="8:39" x14ac:dyDescent="0.25">
      <c r="R96" s="274"/>
      <c r="S96" s="274"/>
      <c r="T96" s="274"/>
      <c r="U96" s="274"/>
      <c r="V96" s="274"/>
      <c r="X96" s="274"/>
      <c r="Y96" s="274"/>
      <c r="Z96" s="274"/>
      <c r="AA96" s="274"/>
      <c r="AB96" s="274"/>
      <c r="AD96" s="274"/>
      <c r="AE96" s="274"/>
      <c r="AF96" s="274"/>
      <c r="AG96" s="274"/>
      <c r="AH96" s="274"/>
      <c r="AJ96" s="274"/>
      <c r="AK96" s="274"/>
      <c r="AL96" s="274"/>
      <c r="AM96" s="274"/>
    </row>
    <row r="97" spans="18:39" x14ac:dyDescent="0.25">
      <c r="R97" s="274"/>
      <c r="S97" s="274"/>
      <c r="T97" s="274"/>
      <c r="U97" s="274"/>
      <c r="V97" s="274"/>
      <c r="X97" s="274"/>
      <c r="Y97" s="274"/>
      <c r="Z97" s="274"/>
      <c r="AA97" s="274"/>
      <c r="AB97" s="274"/>
      <c r="AD97" s="274"/>
      <c r="AE97" s="274"/>
      <c r="AF97" s="274"/>
      <c r="AG97" s="274"/>
      <c r="AH97" s="274"/>
      <c r="AJ97" s="274"/>
      <c r="AK97" s="274"/>
      <c r="AL97" s="274"/>
      <c r="AM97" s="274"/>
    </row>
    <row r="98" spans="18:39" x14ac:dyDescent="0.25">
      <c r="R98" s="274"/>
      <c r="S98" s="274"/>
      <c r="T98" s="274"/>
      <c r="U98" s="274"/>
      <c r="V98" s="274"/>
      <c r="X98" s="274"/>
      <c r="Y98" s="274"/>
      <c r="Z98" s="274"/>
      <c r="AA98" s="274"/>
      <c r="AB98" s="274"/>
      <c r="AD98" s="274"/>
      <c r="AE98" s="274"/>
      <c r="AF98" s="274"/>
      <c r="AG98" s="274"/>
      <c r="AH98" s="274"/>
      <c r="AJ98" s="274"/>
      <c r="AK98" s="274"/>
      <c r="AL98" s="274"/>
      <c r="AM98" s="274"/>
    </row>
    <row r="99" spans="18:39" x14ac:dyDescent="0.25">
      <c r="R99" s="274"/>
      <c r="S99" s="274"/>
      <c r="T99" s="274"/>
      <c r="U99" s="274"/>
      <c r="V99" s="274"/>
      <c r="X99" s="274"/>
      <c r="Y99" s="274"/>
      <c r="Z99" s="274"/>
      <c r="AA99" s="274"/>
      <c r="AB99" s="274"/>
      <c r="AD99" s="274"/>
      <c r="AE99" s="274"/>
      <c r="AF99" s="274"/>
      <c r="AG99" s="274"/>
      <c r="AH99" s="274"/>
      <c r="AJ99" s="274"/>
      <c r="AK99" s="274"/>
      <c r="AL99" s="274"/>
      <c r="AM99" s="274"/>
    </row>
    <row r="100" spans="18:39" x14ac:dyDescent="0.25">
      <c r="R100" s="274"/>
      <c r="S100" s="274"/>
      <c r="T100" s="274"/>
      <c r="U100" s="274"/>
      <c r="V100" s="274"/>
      <c r="X100" s="274"/>
      <c r="Y100" s="274"/>
      <c r="Z100" s="274"/>
      <c r="AA100" s="274"/>
      <c r="AB100" s="274"/>
      <c r="AD100" s="274"/>
      <c r="AE100" s="274"/>
      <c r="AF100" s="274"/>
      <c r="AG100" s="274"/>
      <c r="AH100" s="274"/>
      <c r="AJ100" s="274"/>
      <c r="AK100" s="274"/>
      <c r="AL100" s="274"/>
      <c r="AM100" s="274"/>
    </row>
    <row r="101" spans="18:39" x14ac:dyDescent="0.25">
      <c r="R101" s="274"/>
      <c r="S101" s="274"/>
      <c r="T101" s="274"/>
      <c r="U101" s="274"/>
      <c r="V101" s="274"/>
      <c r="X101" s="274"/>
      <c r="Y101" s="274"/>
      <c r="Z101" s="274"/>
      <c r="AA101" s="274"/>
      <c r="AB101" s="274"/>
      <c r="AD101" s="274"/>
      <c r="AE101" s="274"/>
      <c r="AF101" s="274"/>
      <c r="AG101" s="274"/>
      <c r="AH101" s="274"/>
      <c r="AJ101" s="274"/>
      <c r="AK101" s="274"/>
      <c r="AL101" s="274"/>
      <c r="AM101" s="274"/>
    </row>
    <row r="102" spans="18:39" x14ac:dyDescent="0.25">
      <c r="R102" s="274"/>
      <c r="S102" s="274"/>
      <c r="T102" s="274"/>
      <c r="U102" s="274"/>
      <c r="V102" s="274"/>
      <c r="X102" s="274"/>
      <c r="Y102" s="274"/>
      <c r="Z102" s="274"/>
      <c r="AA102" s="274"/>
      <c r="AB102" s="274"/>
      <c r="AD102" s="274"/>
      <c r="AE102" s="274"/>
      <c r="AF102" s="274"/>
      <c r="AG102" s="274"/>
      <c r="AH102" s="274"/>
      <c r="AJ102" s="274"/>
      <c r="AK102" s="274"/>
      <c r="AL102" s="274"/>
      <c r="AM102" s="274"/>
    </row>
    <row r="103" spans="18:39" x14ac:dyDescent="0.25">
      <c r="R103" s="274"/>
      <c r="S103" s="274"/>
      <c r="T103" s="274"/>
      <c r="U103" s="274"/>
      <c r="V103" s="274"/>
      <c r="X103" s="274"/>
      <c r="Y103" s="274"/>
      <c r="Z103" s="274"/>
      <c r="AA103" s="274"/>
      <c r="AB103" s="274"/>
      <c r="AD103" s="274"/>
      <c r="AE103" s="274"/>
      <c r="AF103" s="274"/>
      <c r="AG103" s="274"/>
      <c r="AH103" s="274"/>
      <c r="AJ103" s="274"/>
      <c r="AK103" s="274"/>
      <c r="AL103" s="274"/>
      <c r="AM103" s="274"/>
    </row>
    <row r="104" spans="18:39" x14ac:dyDescent="0.25">
      <c r="R104" s="274"/>
      <c r="S104" s="274"/>
      <c r="T104" s="274"/>
      <c r="U104" s="274"/>
      <c r="V104" s="274"/>
      <c r="X104" s="274"/>
      <c r="Y104" s="274"/>
      <c r="Z104" s="274"/>
      <c r="AA104" s="274"/>
      <c r="AB104" s="274"/>
      <c r="AD104" s="274"/>
      <c r="AE104" s="274"/>
      <c r="AF104" s="274"/>
      <c r="AG104" s="274"/>
      <c r="AH104" s="274"/>
      <c r="AJ104" s="274"/>
      <c r="AK104" s="274"/>
      <c r="AL104" s="274"/>
      <c r="AM104" s="274"/>
    </row>
    <row r="105" spans="18:39" x14ac:dyDescent="0.25">
      <c r="R105" s="274"/>
      <c r="S105" s="274"/>
      <c r="T105" s="274"/>
      <c r="U105" s="274"/>
      <c r="V105" s="274"/>
      <c r="X105" s="274"/>
      <c r="Y105" s="274"/>
      <c r="Z105" s="274"/>
      <c r="AA105" s="274"/>
      <c r="AB105" s="274"/>
      <c r="AD105" s="274"/>
      <c r="AE105" s="274"/>
      <c r="AF105" s="274"/>
      <c r="AG105" s="274"/>
      <c r="AH105" s="274"/>
      <c r="AJ105" s="274"/>
      <c r="AK105" s="274"/>
      <c r="AL105" s="274"/>
      <c r="AM105" s="274"/>
    </row>
    <row r="106" spans="18:39" x14ac:dyDescent="0.25">
      <c r="R106" s="274"/>
      <c r="S106" s="274"/>
      <c r="T106" s="274"/>
      <c r="U106" s="274"/>
      <c r="V106" s="274"/>
      <c r="X106" s="274"/>
      <c r="Y106" s="274"/>
      <c r="Z106" s="274"/>
      <c r="AA106" s="274"/>
      <c r="AB106" s="274"/>
      <c r="AD106" s="274"/>
      <c r="AE106" s="274"/>
      <c r="AF106" s="274"/>
      <c r="AG106" s="274"/>
      <c r="AH106" s="274"/>
      <c r="AJ106" s="274"/>
      <c r="AK106" s="274"/>
      <c r="AL106" s="274"/>
      <c r="AM106" s="274"/>
    </row>
    <row r="107" spans="18:39" x14ac:dyDescent="0.25">
      <c r="R107" s="274"/>
      <c r="S107" s="274"/>
      <c r="T107" s="274"/>
      <c r="U107" s="274"/>
      <c r="V107" s="274"/>
      <c r="X107" s="274"/>
      <c r="Y107" s="274"/>
      <c r="Z107" s="274"/>
      <c r="AA107" s="274"/>
      <c r="AB107" s="274"/>
      <c r="AD107" s="274"/>
      <c r="AE107" s="274"/>
      <c r="AF107" s="274"/>
      <c r="AG107" s="274"/>
      <c r="AH107" s="274"/>
      <c r="AJ107" s="274"/>
      <c r="AK107" s="274"/>
      <c r="AL107" s="274"/>
      <c r="AM107" s="274"/>
    </row>
    <row r="108" spans="18:39" x14ac:dyDescent="0.25">
      <c r="R108" s="274"/>
      <c r="S108" s="274"/>
      <c r="T108" s="274"/>
      <c r="U108" s="274"/>
      <c r="V108" s="274"/>
      <c r="X108" s="274"/>
      <c r="Y108" s="274"/>
      <c r="Z108" s="274"/>
      <c r="AA108" s="274"/>
      <c r="AB108" s="274"/>
      <c r="AD108" s="274"/>
      <c r="AE108" s="274"/>
      <c r="AF108" s="274"/>
      <c r="AG108" s="274"/>
      <c r="AH108" s="274"/>
      <c r="AJ108" s="274"/>
      <c r="AK108" s="274"/>
      <c r="AL108" s="274"/>
      <c r="AM108" s="274"/>
    </row>
    <row r="109" spans="18:39" x14ac:dyDescent="0.25">
      <c r="R109" s="274"/>
      <c r="S109" s="274"/>
      <c r="T109" s="274"/>
      <c r="U109" s="274"/>
      <c r="V109" s="274"/>
      <c r="X109" s="274"/>
      <c r="Y109" s="274"/>
      <c r="Z109" s="274"/>
      <c r="AA109" s="274"/>
      <c r="AB109" s="274"/>
      <c r="AD109" s="274"/>
      <c r="AE109" s="274"/>
      <c r="AF109" s="274"/>
      <c r="AG109" s="274"/>
      <c r="AH109" s="274"/>
      <c r="AJ109" s="274"/>
      <c r="AK109" s="274"/>
      <c r="AL109" s="274"/>
      <c r="AM109" s="274"/>
    </row>
    <row r="110" spans="18:39" x14ac:dyDescent="0.25">
      <c r="R110" s="274"/>
      <c r="S110" s="274"/>
      <c r="T110" s="274"/>
      <c r="U110" s="274"/>
      <c r="V110" s="274"/>
      <c r="X110" s="274"/>
      <c r="Y110" s="274"/>
      <c r="Z110" s="274"/>
      <c r="AA110" s="274"/>
      <c r="AB110" s="274"/>
      <c r="AD110" s="274"/>
      <c r="AE110" s="274"/>
      <c r="AF110" s="274"/>
      <c r="AG110" s="274"/>
      <c r="AH110" s="274"/>
      <c r="AJ110" s="274"/>
      <c r="AK110" s="274"/>
      <c r="AL110" s="274"/>
      <c r="AM110" s="274"/>
    </row>
    <row r="111" spans="18:39" x14ac:dyDescent="0.25">
      <c r="R111" s="274"/>
      <c r="S111" s="274"/>
      <c r="T111" s="274"/>
      <c r="U111" s="274"/>
      <c r="V111" s="274"/>
      <c r="X111" s="274"/>
      <c r="Y111" s="274"/>
      <c r="Z111" s="274"/>
      <c r="AA111" s="274"/>
      <c r="AB111" s="274"/>
      <c r="AD111" s="274"/>
      <c r="AE111" s="274"/>
      <c r="AF111" s="274"/>
      <c r="AG111" s="274"/>
      <c r="AH111" s="274"/>
      <c r="AJ111" s="274"/>
      <c r="AK111" s="274"/>
      <c r="AL111" s="274"/>
      <c r="AM111" s="274"/>
    </row>
    <row r="112" spans="18:39" x14ac:dyDescent="0.25">
      <c r="R112" s="274"/>
      <c r="S112" s="274"/>
      <c r="T112" s="274"/>
      <c r="U112" s="274"/>
      <c r="V112" s="274"/>
      <c r="X112" s="274"/>
      <c r="Y112" s="274"/>
      <c r="Z112" s="274"/>
      <c r="AA112" s="274"/>
      <c r="AB112" s="274"/>
      <c r="AD112" s="274"/>
      <c r="AE112" s="274"/>
      <c r="AF112" s="274"/>
      <c r="AG112" s="274"/>
      <c r="AH112" s="274"/>
      <c r="AJ112" s="274"/>
      <c r="AK112" s="274"/>
      <c r="AL112" s="274"/>
      <c r="AM112" s="274"/>
    </row>
    <row r="113" spans="18:39" x14ac:dyDescent="0.25">
      <c r="R113" s="274"/>
      <c r="S113" s="274"/>
      <c r="T113" s="274"/>
      <c r="U113" s="274"/>
      <c r="V113" s="274"/>
      <c r="X113" s="274"/>
      <c r="Y113" s="274"/>
      <c r="Z113" s="274"/>
      <c r="AA113" s="274"/>
      <c r="AB113" s="274"/>
      <c r="AD113" s="274"/>
      <c r="AE113" s="274"/>
      <c r="AF113" s="274"/>
      <c r="AG113" s="274"/>
      <c r="AH113" s="274"/>
      <c r="AJ113" s="274"/>
      <c r="AK113" s="274"/>
      <c r="AL113" s="274"/>
      <c r="AM113" s="274"/>
    </row>
  </sheetData>
  <mergeCells count="45">
    <mergeCell ref="U5:U6"/>
    <mergeCell ref="J5:J6"/>
    <mergeCell ref="K5:K6"/>
    <mergeCell ref="T5:T6"/>
    <mergeCell ref="L5:L6"/>
    <mergeCell ref="M5:M6"/>
    <mergeCell ref="R5:R6"/>
    <mergeCell ref="S5:S6"/>
    <mergeCell ref="N5:N6"/>
    <mergeCell ref="P5:P6"/>
    <mergeCell ref="BJ5:BN5"/>
    <mergeCell ref="AB5:AB6"/>
    <mergeCell ref="AC5:AC6"/>
    <mergeCell ref="AW5:AW6"/>
    <mergeCell ref="AX5:AX6"/>
    <mergeCell ref="AD5:AI5"/>
    <mergeCell ref="AU5:AU6"/>
    <mergeCell ref="AJ5:AO5"/>
    <mergeCell ref="AY5:AY6"/>
    <mergeCell ref="BH5:BH6"/>
    <mergeCell ref="A5:A6"/>
    <mergeCell ref="B5:B6"/>
    <mergeCell ref="C5:C6"/>
    <mergeCell ref="D5:D6"/>
    <mergeCell ref="E5:E6"/>
    <mergeCell ref="G5:G6"/>
    <mergeCell ref="H5:H6"/>
    <mergeCell ref="Q5:Q6"/>
    <mergeCell ref="O5:O6"/>
    <mergeCell ref="I5:I6"/>
    <mergeCell ref="A44:C45"/>
    <mergeCell ref="AP5:AT5"/>
    <mergeCell ref="AA5:AA6"/>
    <mergeCell ref="X5:X6"/>
    <mergeCell ref="Y5:Y6"/>
    <mergeCell ref="Z5:Z6"/>
    <mergeCell ref="V5:V6"/>
    <mergeCell ref="W5:W6"/>
    <mergeCell ref="BI5:BI6"/>
    <mergeCell ref="BD5:BD6"/>
    <mergeCell ref="BE5:BE6"/>
    <mergeCell ref="BF5:BF6"/>
    <mergeCell ref="BG5:BG6"/>
    <mergeCell ref="AZ5:BC5"/>
    <mergeCell ref="AV5:AV6"/>
  </mergeCells>
  <phoneticPr fontId="3" type="noConversion"/>
  <conditionalFormatting sqref="AD7:AI40">
    <cfRule type="expression" dxfId="26" priority="1" stopIfTrue="1">
      <formula>ABS(AD7-AJ7)&gt;0.01</formula>
    </cfRule>
  </conditionalFormatting>
  <conditionalFormatting sqref="S8:S40 Z7:Z40 AC7:AC40 BF7:BF40">
    <cfRule type="expression" dxfId="25" priority="2" stopIfTrue="1">
      <formula>ABS(Q7-R7)&gt;0.01</formula>
    </cfRule>
  </conditionalFormatting>
  <conditionalFormatting sqref="I8:I40 BA8:BA40 AW8:AW40 L8:L40">
    <cfRule type="expression" dxfId="24" priority="3" stopIfTrue="1">
      <formula>ABS(H8-G8)&gt;0.01</formula>
    </cfRule>
  </conditionalFormatting>
  <conditionalFormatting sqref="I7 L7 S7 AW7 BA7">
    <cfRule type="expression" dxfId="23" priority="4" stopIfTrue="1">
      <formula>ABS(H7-G7-H41)&gt;0.01</formula>
    </cfRule>
  </conditionalFormatting>
  <conditionalFormatting sqref="P8:P40">
    <cfRule type="expression" dxfId="22" priority="5" stopIfTrue="1">
      <formula>ABS(N8-M8-O8)&gt;0.01</formula>
    </cfRule>
  </conditionalFormatting>
  <conditionalFormatting sqref="P7">
    <cfRule type="expression" dxfId="21" priority="6" stopIfTrue="1">
      <formula>ABS(N7-M7-O7-N41)&gt;0.01</formula>
    </cfRule>
  </conditionalFormatting>
  <conditionalFormatting sqref="W7:W40">
    <cfRule type="expression" dxfId="20" priority="7" stopIfTrue="1">
      <formula>ABS(V7-U7-T7)&gt;0.02</formula>
    </cfRule>
  </conditionalFormatting>
  <conditionalFormatting sqref="BI7:BI40">
    <cfRule type="expression" dxfId="19" priority="8" stopIfTrue="1">
      <formula>ABS(BG7-BH7)&gt;0.02</formula>
    </cfRule>
  </conditionalFormatting>
  <conditionalFormatting sqref="BC7:BC40">
    <cfRule type="expression" dxfId="18" priority="9" stopIfTrue="1">
      <formula>ABS(BB7-K7)&gt;0.01</formula>
    </cfRule>
  </conditionalFormatting>
  <conditionalFormatting sqref="BD7:BE40 M7:O40 Q7:R40 AJ7:AN40 AA7:AB40 AP7:AS40 T7:V40 X7:Y40 BG7:BH40 G7:H40 J7:K40">
    <cfRule type="cellIs" dxfId="17" priority="11" stopIfTrue="1" operator="equal">
      <formula>"Err"</formula>
    </cfRule>
  </conditionalFormatting>
  <dataValidations count="3">
    <dataValidation type="list" allowBlank="1" showInputMessage="1" showErrorMessage="1" sqref="A7:A42 A46:A48">
      <formula1>$I$1:$I$2</formula1>
    </dataValidation>
    <dataValidation type="list" allowBlank="1" showInputMessage="1" showErrorMessage="1" sqref="D2">
      <formula1>$G$1:$G$2</formula1>
    </dataValidation>
    <dataValidation type="list" allowBlank="1" showInputMessage="1" showErrorMessage="1" sqref="F1 D1">
      <formula1>$H$1:$H$2</formula1>
    </dataValidation>
  </dataValidations>
  <pageMargins left="0.75" right="0.75" top="1" bottom="1" header="0.5" footer="0.5"/>
  <pageSetup paperSize="25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Otmet">
                <anchor moveWithCells="1" sizeWithCells="1">
                  <from>
                    <xdr:col>0</xdr:col>
                    <xdr:colOff>45720</xdr:colOff>
                    <xdr:row>3</xdr:row>
                    <xdr:rowOff>220980</xdr:rowOff>
                  </from>
                  <to>
                    <xdr:col>1</xdr:col>
                    <xdr:colOff>419100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SnytMet">
                <anchor moveWithCells="1" sizeWithCells="1">
                  <from>
                    <xdr:col>1</xdr:col>
                    <xdr:colOff>464820</xdr:colOff>
                    <xdr:row>3</xdr:row>
                    <xdr:rowOff>205740</xdr:rowOff>
                  </from>
                  <to>
                    <xdr:col>3</xdr:col>
                    <xdr:colOff>144780</xdr:colOff>
                    <xdr:row>3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F_001">
                <anchor moveWithCells="1" sizeWithCells="1">
                  <from>
                    <xdr:col>0</xdr:col>
                    <xdr:colOff>30480</xdr:colOff>
                    <xdr:row>3</xdr:row>
                    <xdr:rowOff>495300</xdr:rowOff>
                  </from>
                  <to>
                    <xdr:col>0</xdr:col>
                    <xdr:colOff>617220</xdr:colOff>
                    <xdr:row>3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F_617">
                <anchor moveWithCells="1" sizeWithCells="1">
                  <from>
                    <xdr:col>1</xdr:col>
                    <xdr:colOff>30480</xdr:colOff>
                    <xdr:row>3</xdr:row>
                    <xdr:rowOff>487680</xdr:rowOff>
                  </from>
                  <to>
                    <xdr:col>1</xdr:col>
                    <xdr:colOff>617220</xdr:colOff>
                    <xdr:row>3</xdr:row>
                    <xdr:rowOff>655320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F_618">
                <anchor moveWithCells="1" sizeWithCells="1">
                  <from>
                    <xdr:col>2</xdr:col>
                    <xdr:colOff>30480</xdr:colOff>
                    <xdr:row>3</xdr:row>
                    <xdr:rowOff>472440</xdr:rowOff>
                  </from>
                  <to>
                    <xdr:col>2</xdr:col>
                    <xdr:colOff>617220</xdr:colOff>
                    <xdr:row>3</xdr:row>
                    <xdr:rowOff>655320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9" name="Button 38">
              <controlPr defaultSize="0" print="0" autoFill="0" autoPict="0" macro="[0]!Load_Ost_KRPU">
                <anchor moveWithCells="1">
                  <from>
                    <xdr:col>3</xdr:col>
                    <xdr:colOff>403860</xdr:colOff>
                    <xdr:row>3</xdr:row>
                    <xdr:rowOff>381000</xdr:rowOff>
                  </from>
                  <to>
                    <xdr:col>4</xdr:col>
                    <xdr:colOff>647700</xdr:colOff>
                    <xdr:row>3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10" name="Button 39">
              <controlPr defaultSize="0" print="0" autoFill="0" autoPict="0" macro="[0]!Load_Balans_NEW">
                <anchor moveWithCells="1">
                  <from>
                    <xdr:col>4</xdr:col>
                    <xdr:colOff>830580</xdr:colOff>
                    <xdr:row>3</xdr:row>
                    <xdr:rowOff>38100</xdr:rowOff>
                  </from>
                  <to>
                    <xdr:col>5</xdr:col>
                    <xdr:colOff>579120</xdr:colOff>
                    <xdr:row>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11" name="Button 40">
              <controlPr defaultSize="0" print="0" autoFill="0" autoPict="0" macro="[0]!Ost_RVPS_12a">
                <anchor moveWithCells="1">
                  <from>
                    <xdr:col>6</xdr:col>
                    <xdr:colOff>998220</xdr:colOff>
                    <xdr:row>3</xdr:row>
                    <xdr:rowOff>381000</xdr:rowOff>
                  </from>
                  <to>
                    <xdr:col>8</xdr:col>
                    <xdr:colOff>685800</xdr:colOff>
                    <xdr:row>3</xdr:row>
                    <xdr:rowOff>594360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12" name="Button 42">
              <controlPr defaultSize="0" print="0" autoFill="0" autoPict="0" macro="[0]!Debug_KRPU">
                <anchor moveWithCells="1">
                  <from>
                    <xdr:col>3</xdr:col>
                    <xdr:colOff>403860</xdr:colOff>
                    <xdr:row>3</xdr:row>
                    <xdr:rowOff>45720</xdr:rowOff>
                  </from>
                  <to>
                    <xdr:col>4</xdr:col>
                    <xdr:colOff>647700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13" name="Button 44">
              <controlPr defaultSize="0" print="0" autoFill="0" autoPict="0" macro="[0]!Load_Ost_Portf_E_D_RVPS">
                <anchor moveWithCells="1">
                  <from>
                    <xdr:col>6</xdr:col>
                    <xdr:colOff>990600</xdr:colOff>
                    <xdr:row>3</xdr:row>
                    <xdr:rowOff>83820</xdr:rowOff>
                  </from>
                  <to>
                    <xdr:col>8</xdr:col>
                    <xdr:colOff>701040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14" name="Button 56">
              <controlPr defaultSize="0" print="0" autoFill="0" autoPict="0" macro="[0]!F_7_11O.F_7_11O">
                <anchor moveWithCells="1">
                  <from>
                    <xdr:col>8</xdr:col>
                    <xdr:colOff>922020</xdr:colOff>
                    <xdr:row>3</xdr:row>
                    <xdr:rowOff>76200</xdr:rowOff>
                  </from>
                  <to>
                    <xdr:col>9</xdr:col>
                    <xdr:colOff>937260</xdr:colOff>
                    <xdr:row>3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5" name="Button 63">
              <controlPr defaultSize="0" print="0" autoFill="0" autoPict="0" macro="[0]!F_7_11M.F_7_11M">
                <anchor moveWithCells="1">
                  <from>
                    <xdr:col>8</xdr:col>
                    <xdr:colOff>922020</xdr:colOff>
                    <xdr:row>3</xdr:row>
                    <xdr:rowOff>358140</xdr:rowOff>
                  </from>
                  <to>
                    <xdr:col>9</xdr:col>
                    <xdr:colOff>937260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16" name="Button 68">
              <controlPr defaultSize="0" print="0" autoFill="0" autoPict="0" macro="[0]!Load_Ost_INFL">
                <anchor moveWithCells="1">
                  <from>
                    <xdr:col>52</xdr:col>
                    <xdr:colOff>68580</xdr:colOff>
                    <xdr:row>1</xdr:row>
                    <xdr:rowOff>121920</xdr:rowOff>
                  </from>
                  <to>
                    <xdr:col>52</xdr:col>
                    <xdr:colOff>1318260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17" name="Button 87">
              <controlPr defaultSize="0" print="0" autoFill="0" autoPict="0" macro="[0]!F7_105">
                <anchor moveWithCells="1">
                  <from>
                    <xdr:col>9</xdr:col>
                    <xdr:colOff>1043940</xdr:colOff>
                    <xdr:row>3</xdr:row>
                    <xdr:rowOff>53340</xdr:rowOff>
                  </from>
                  <to>
                    <xdr:col>10</xdr:col>
                    <xdr:colOff>1082040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18" name="Button 90">
              <controlPr defaultSize="0" print="0" autoFill="0" autoPict="0" macro="[0]!KRRI">
                <anchor moveWithCells="1">
                  <from>
                    <xdr:col>9</xdr:col>
                    <xdr:colOff>1104900</xdr:colOff>
                    <xdr:row>3</xdr:row>
                    <xdr:rowOff>373380</xdr:rowOff>
                  </from>
                  <to>
                    <xdr:col>10</xdr:col>
                    <xdr:colOff>1135380</xdr:colOff>
                    <xdr:row>3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9" name="Button 133">
              <controlPr defaultSize="0" print="0" autoFill="0" autoPict="0" macro="[0]!Write_Template_711M">
                <anchor moveWithCells="1">
                  <from>
                    <xdr:col>0</xdr:col>
                    <xdr:colOff>30480</xdr:colOff>
                    <xdr:row>48</xdr:row>
                    <xdr:rowOff>91440</xdr:rowOff>
                  </from>
                  <to>
                    <xdr:col>2</xdr:col>
                    <xdr:colOff>594360</xdr:colOff>
                    <xdr:row>49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20" name="Button 147">
              <controlPr defaultSize="0" print="0" autoFill="0" autoPict="0" macro="[0]!Ost_Portf_RSP">
                <anchor moveWithCells="1">
                  <from>
                    <xdr:col>11</xdr:col>
                    <xdr:colOff>243840</xdr:colOff>
                    <xdr:row>3</xdr:row>
                    <xdr:rowOff>342900</xdr:rowOff>
                  </from>
                  <to>
                    <xdr:col>12</xdr:col>
                    <xdr:colOff>342900</xdr:colOff>
                    <xdr:row>3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21" name="Button 165">
              <controlPr defaultSize="0" print="0" autoFill="0" autoPict="0" macro="[0]!Group_Oper">
                <anchor moveWithCells="1">
                  <from>
                    <xdr:col>0</xdr:col>
                    <xdr:colOff>121920</xdr:colOff>
                    <xdr:row>2</xdr:row>
                    <xdr:rowOff>60960</xdr:rowOff>
                  </from>
                  <to>
                    <xdr:col>3</xdr:col>
                    <xdr:colOff>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22" name="Button 180">
              <controlPr defaultSize="0" print="0" autoFill="0" autoPict="0" macro="[0]!KRVS.KRVS">
                <anchor moveWithCells="1">
                  <from>
                    <xdr:col>4</xdr:col>
                    <xdr:colOff>792480</xdr:colOff>
                    <xdr:row>3</xdr:row>
                    <xdr:rowOff>396240</xdr:rowOff>
                  </from>
                  <to>
                    <xdr:col>5</xdr:col>
                    <xdr:colOff>541020</xdr:colOff>
                    <xdr:row>3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23" name="Button 227">
              <controlPr defaultSize="0" print="0" autoFill="0" autoPict="0" macro="[0]!Change_doxod">
                <anchor moveWithCells="1">
                  <from>
                    <xdr:col>9</xdr:col>
                    <xdr:colOff>304800</xdr:colOff>
                    <xdr:row>0</xdr:row>
                    <xdr:rowOff>99060</xdr:rowOff>
                  </from>
                  <to>
                    <xdr:col>10</xdr:col>
                    <xdr:colOff>335280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24" name="Button 257">
              <controlPr defaultSize="0" print="0" autoFill="0" autoPict="0" macro="[0]!MSFO_23">
                <anchor moveWithCells="1">
                  <from>
                    <xdr:col>11</xdr:col>
                    <xdr:colOff>243840</xdr:colOff>
                    <xdr:row>3</xdr:row>
                    <xdr:rowOff>45720</xdr:rowOff>
                  </from>
                  <to>
                    <xdr:col>12</xdr:col>
                    <xdr:colOff>342900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25" name="Button 259">
              <controlPr defaultSize="0" print="0" autoFill="0" autoPict="0" macro="[0]!F_6_7_B">
                <anchor moveWithCells="1">
                  <from>
                    <xdr:col>10</xdr:col>
                    <xdr:colOff>586740</xdr:colOff>
                    <xdr:row>0</xdr:row>
                    <xdr:rowOff>129540</xdr:rowOff>
                  </from>
                  <to>
                    <xdr:col>11</xdr:col>
                    <xdr:colOff>472440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26" name="Button 264">
              <controlPr defaultSize="0" print="0" autoFill="0" autoPict="0" macro="[0]!F_6_20">
                <anchor moveWithCells="1">
                  <from>
                    <xdr:col>11</xdr:col>
                    <xdr:colOff>967740</xdr:colOff>
                    <xdr:row>0</xdr:row>
                    <xdr:rowOff>121920</xdr:rowOff>
                  </from>
                  <to>
                    <xdr:col>13</xdr:col>
                    <xdr:colOff>22860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27" name="Button 281">
              <controlPr defaultSize="0" print="0" autoFill="0" autoPict="0" macro="[0]!F710_From_KRPU">
                <anchor moveWithCells="1">
                  <from>
                    <xdr:col>6</xdr:col>
                    <xdr:colOff>1028700</xdr:colOff>
                    <xdr:row>2</xdr:row>
                    <xdr:rowOff>0</xdr:rowOff>
                  </from>
                  <to>
                    <xdr:col>7</xdr:col>
                    <xdr:colOff>1089660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28" name="Button 283">
              <controlPr defaultSize="0" print="0" autoFill="0" autoPict="0" macro="[0]!F_6_22">
                <anchor moveWithCells="1">
                  <from>
                    <xdr:col>13</xdr:col>
                    <xdr:colOff>304800</xdr:colOff>
                    <xdr:row>0</xdr:row>
                    <xdr:rowOff>91440</xdr:rowOff>
                  </from>
                  <to>
                    <xdr:col>14</xdr:col>
                    <xdr:colOff>342900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29" name="Button 302">
              <controlPr defaultSize="0" print="0" autoFill="0" autoPict="0" macro="[0]!WR_Kat_Cl">
                <anchor moveWithCells="1">
                  <from>
                    <xdr:col>4</xdr:col>
                    <xdr:colOff>480060</xdr:colOff>
                    <xdr:row>1</xdr:row>
                    <xdr:rowOff>45720</xdr:rowOff>
                  </from>
                  <to>
                    <xdr:col>5</xdr:col>
                    <xdr:colOff>228600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DF123"/>
  <sheetViews>
    <sheetView workbookViewId="0">
      <selection activeCell="AU87" sqref="AU87:AV120"/>
    </sheetView>
  </sheetViews>
  <sheetFormatPr defaultColWidth="9.109375" defaultRowHeight="13.2" x14ac:dyDescent="0.25"/>
  <cols>
    <col min="1" max="1" width="10.33203125" style="29" customWidth="1"/>
    <col min="2" max="3" width="9.6640625" style="4" customWidth="1"/>
    <col min="4" max="4" width="14.5546875" style="4" customWidth="1"/>
    <col min="5" max="5" width="21.88671875" style="4" customWidth="1"/>
    <col min="6" max="6" width="24.5546875" style="4" customWidth="1"/>
    <col min="7" max="7" width="17.6640625" style="4" customWidth="1"/>
    <col min="8" max="8" width="15.33203125" style="4" customWidth="1"/>
    <col min="9" max="9" width="18.44140625" style="4" customWidth="1"/>
    <col min="10" max="10" width="20.109375" style="4" customWidth="1"/>
    <col min="11" max="11" width="20" style="4" customWidth="1"/>
    <col min="12" max="12" width="16.6640625" style="4" customWidth="1"/>
    <col min="13" max="13" width="15" style="4" customWidth="1"/>
    <col min="14" max="14" width="17.44140625" style="4" customWidth="1"/>
    <col min="15" max="15" width="12.88671875" style="4" customWidth="1"/>
    <col min="16" max="16" width="17.5546875" style="26" customWidth="1"/>
    <col min="17" max="17" width="16.109375" style="4" customWidth="1"/>
    <col min="18" max="18" width="15.33203125" style="4" customWidth="1"/>
    <col min="19" max="19" width="17.44140625" style="4" customWidth="1"/>
    <col min="20" max="20" width="16.88671875" style="4" customWidth="1"/>
    <col min="21" max="21" width="16.44140625" style="4" customWidth="1"/>
    <col min="22" max="22" width="17" style="4" customWidth="1"/>
    <col min="23" max="23" width="19.5546875" style="4" customWidth="1"/>
    <col min="24" max="24" width="17.88671875" style="4" customWidth="1"/>
    <col min="25" max="25" width="19" style="4" customWidth="1"/>
    <col min="26" max="26" width="19.109375" style="4" customWidth="1"/>
    <col min="27" max="27" width="14.33203125" style="4" customWidth="1"/>
    <col min="28" max="28" width="17" style="4" customWidth="1"/>
    <col min="29" max="29" width="18" style="4" customWidth="1"/>
    <col min="30" max="30" width="14" style="4" customWidth="1"/>
    <col min="31" max="31" width="16.6640625" style="4" customWidth="1"/>
    <col min="32" max="32" width="16.33203125" style="4" customWidth="1"/>
    <col min="33" max="33" width="18.44140625" style="4" customWidth="1"/>
    <col min="34" max="34" width="17.44140625" style="4" customWidth="1"/>
    <col min="35" max="35" width="15.33203125" style="4" customWidth="1"/>
    <col min="36" max="36" width="15.109375" style="4" customWidth="1"/>
    <col min="37" max="37" width="15.5546875" style="4" customWidth="1"/>
    <col min="38" max="38" width="17.44140625" style="4" customWidth="1"/>
    <col min="39" max="39" width="16" style="4" customWidth="1"/>
    <col min="40" max="40" width="16.109375" style="4" customWidth="1"/>
    <col min="41" max="41" width="14.6640625" style="4" customWidth="1"/>
    <col min="42" max="42" width="16.44140625" style="4" customWidth="1"/>
    <col min="43" max="43" width="15.88671875" style="4" customWidth="1"/>
    <col min="44" max="44" width="18.5546875" style="4" customWidth="1"/>
    <col min="45" max="45" width="16.33203125" style="4" customWidth="1"/>
    <col min="46" max="46" width="17.109375" style="4" customWidth="1"/>
    <col min="47" max="47" width="13.5546875" style="4" customWidth="1"/>
    <col min="48" max="48" width="16" style="4" customWidth="1"/>
    <col min="49" max="49" width="15" style="4" customWidth="1"/>
    <col min="50" max="50" width="14.88671875" style="4" customWidth="1"/>
    <col min="51" max="51" width="16" style="4" customWidth="1"/>
    <col min="52" max="52" width="13.88671875" style="4" customWidth="1"/>
    <col min="53" max="53" width="14.33203125" style="4" customWidth="1"/>
    <col min="54" max="54" width="17" style="4" customWidth="1"/>
    <col min="55" max="55" width="15.109375" style="4" customWidth="1"/>
    <col min="56" max="56" width="13.33203125" style="4" customWidth="1"/>
    <col min="57" max="57" width="13.44140625" style="4" customWidth="1"/>
    <col min="58" max="58" width="15.5546875" style="4" customWidth="1"/>
    <col min="59" max="59" width="16.5546875" style="4" customWidth="1"/>
    <col min="60" max="60" width="13.6640625" style="4" customWidth="1"/>
    <col min="61" max="61" width="13.5546875" style="4" customWidth="1"/>
    <col min="62" max="62" width="13.44140625" style="4" customWidth="1"/>
    <col min="63" max="63" width="14.6640625" style="4" customWidth="1"/>
    <col min="64" max="64" width="12.5546875" style="4" customWidth="1"/>
    <col min="65" max="65" width="15" style="4" customWidth="1"/>
    <col min="66" max="66" width="12.109375" style="4" customWidth="1"/>
    <col min="67" max="67" width="11.6640625" style="4" bestFit="1" customWidth="1"/>
    <col min="68" max="68" width="12.88671875" style="4" customWidth="1"/>
    <col min="69" max="69" width="11.6640625" style="4" customWidth="1"/>
    <col min="70" max="70" width="11.109375" style="4" customWidth="1"/>
    <col min="71" max="71" width="9.33203125" style="4" bestFit="1" customWidth="1"/>
    <col min="72" max="74" width="9.109375" style="4"/>
    <col min="75" max="75" width="9.33203125" style="4" bestFit="1" customWidth="1"/>
    <col min="76" max="78" width="9.109375" style="4"/>
    <col min="79" max="79" width="9.33203125" style="4" bestFit="1" customWidth="1"/>
    <col min="80" max="82" width="9.109375" style="4"/>
    <col min="83" max="83" width="13.6640625" style="4" customWidth="1"/>
    <col min="84" max="84" width="9.109375" style="4"/>
    <col min="85" max="85" width="13.33203125" style="4" customWidth="1"/>
    <col min="86" max="86" width="14.109375" style="4" customWidth="1"/>
    <col min="87" max="87" width="17.44140625" style="4" customWidth="1"/>
    <col min="88" max="88" width="15.44140625" style="4" customWidth="1"/>
    <col min="89" max="89" width="15.88671875" style="4" customWidth="1"/>
    <col min="90" max="90" width="18" style="4" customWidth="1"/>
    <col min="91" max="91" width="14.5546875" style="4" customWidth="1"/>
    <col min="92" max="92" width="13.5546875" style="4" customWidth="1"/>
    <col min="93" max="93" width="13" style="4" customWidth="1"/>
    <col min="94" max="94" width="14.6640625" style="4" customWidth="1"/>
    <col min="95" max="95" width="15.88671875" style="4" customWidth="1"/>
    <col min="96" max="96" width="13.33203125" style="4" customWidth="1"/>
    <col min="97" max="97" width="15.33203125" style="4" customWidth="1"/>
    <col min="98" max="98" width="12.6640625" style="4" customWidth="1"/>
    <col min="99" max="99" width="14.44140625" style="4" customWidth="1"/>
    <col min="100" max="100" width="11.88671875" style="4" customWidth="1"/>
    <col min="101" max="101" width="12.44140625" style="4" customWidth="1"/>
    <col min="102" max="102" width="11" style="4" customWidth="1"/>
    <col min="103" max="103" width="13.5546875" style="4" customWidth="1"/>
    <col min="104" max="104" width="12.5546875" style="4" customWidth="1"/>
    <col min="105" max="105" width="15.5546875" style="4" customWidth="1"/>
    <col min="106" max="106" width="14" style="4" customWidth="1"/>
    <col min="107" max="107" width="12" style="4" customWidth="1"/>
    <col min="108" max="108" width="12.33203125" style="4" customWidth="1"/>
    <col min="109" max="109" width="9.109375" style="4"/>
    <col min="110" max="110" width="14" style="4" customWidth="1"/>
    <col min="111" max="16384" width="9.109375" style="4"/>
  </cols>
  <sheetData>
    <row r="1" spans="1:79" x14ac:dyDescent="0.25">
      <c r="A1" s="17"/>
      <c r="B1" s="18"/>
      <c r="C1" s="19" t="s">
        <v>779</v>
      </c>
      <c r="D1" s="20" t="s">
        <v>780</v>
      </c>
      <c r="E1" s="21" t="s">
        <v>781</v>
      </c>
      <c r="F1" s="22" t="s">
        <v>782</v>
      </c>
      <c r="G1" s="23" t="s">
        <v>783</v>
      </c>
      <c r="H1" s="23" t="s">
        <v>782</v>
      </c>
      <c r="I1" s="23"/>
      <c r="Q1" s="24"/>
      <c r="R1" s="25"/>
      <c r="S1" s="25" t="s">
        <v>1183</v>
      </c>
      <c r="T1" s="25" t="s">
        <v>1184</v>
      </c>
      <c r="U1" s="4" t="s">
        <v>228</v>
      </c>
      <c r="V1" s="4" t="s">
        <v>229</v>
      </c>
      <c r="W1" s="4" t="s">
        <v>230</v>
      </c>
      <c r="X1" s="4" t="s">
        <v>231</v>
      </c>
      <c r="AB1" s="4" t="s">
        <v>232</v>
      </c>
      <c r="AC1" s="4" t="s">
        <v>233</v>
      </c>
      <c r="AD1" s="4" t="s">
        <v>234</v>
      </c>
      <c r="AE1" s="4" t="s">
        <v>235</v>
      </c>
      <c r="AF1" s="4" t="s">
        <v>236</v>
      </c>
      <c r="AG1" s="4" t="s">
        <v>237</v>
      </c>
      <c r="AH1" s="4" t="s">
        <v>238</v>
      </c>
      <c r="AL1" s="26" t="s">
        <v>239</v>
      </c>
    </row>
    <row r="2" spans="1:79" x14ac:dyDescent="0.25">
      <c r="A2" s="19"/>
      <c r="B2" s="18"/>
      <c r="C2" s="19" t="s">
        <v>791</v>
      </c>
      <c r="D2" s="20" t="s">
        <v>792</v>
      </c>
      <c r="F2" s="27" t="s">
        <v>780</v>
      </c>
      <c r="G2" s="23" t="s">
        <v>792</v>
      </c>
      <c r="H2" s="23" t="s">
        <v>780</v>
      </c>
      <c r="I2" s="23" t="s">
        <v>793</v>
      </c>
      <c r="Q2" s="24"/>
      <c r="R2" s="25"/>
      <c r="S2" s="67"/>
      <c r="T2" s="67"/>
      <c r="U2" s="4">
        <v>541</v>
      </c>
      <c r="V2" s="4">
        <v>660</v>
      </c>
      <c r="W2" s="4">
        <v>677</v>
      </c>
      <c r="X2" s="4">
        <v>683</v>
      </c>
      <c r="Y2" s="4" t="s">
        <v>794</v>
      </c>
      <c r="Z2" s="4" t="s">
        <v>795</v>
      </c>
      <c r="AA2" s="4" t="s">
        <v>796</v>
      </c>
      <c r="AB2" s="4">
        <v>33</v>
      </c>
      <c r="AC2" s="4">
        <v>547</v>
      </c>
      <c r="AD2" s="4">
        <v>668</v>
      </c>
      <c r="AE2" s="4">
        <v>683</v>
      </c>
      <c r="AF2" s="4">
        <v>2</v>
      </c>
      <c r="AG2" s="4">
        <v>8618</v>
      </c>
      <c r="AH2" s="294" t="s">
        <v>402</v>
      </c>
      <c r="AI2" s="5" t="s">
        <v>3757</v>
      </c>
      <c r="AL2" s="28" t="s">
        <v>798</v>
      </c>
    </row>
    <row r="3" spans="1:79" x14ac:dyDescent="0.25">
      <c r="AL3" s="28" t="s">
        <v>467</v>
      </c>
    </row>
    <row r="4" spans="1:79" ht="59.25" customHeight="1" thickBot="1" x14ac:dyDescent="0.3">
      <c r="G4" s="69"/>
      <c r="H4" s="69"/>
      <c r="I4" s="69"/>
      <c r="J4" s="69"/>
      <c r="K4" s="69"/>
      <c r="L4" s="69"/>
      <c r="M4" s="69"/>
      <c r="N4" s="69"/>
      <c r="O4" s="69"/>
      <c r="P4" s="38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70" t="s">
        <v>798</v>
      </c>
      <c r="AM4" s="69"/>
    </row>
    <row r="5" spans="1:79" ht="12.75" customHeight="1" thickBot="1" x14ac:dyDescent="0.3">
      <c r="A5" s="396"/>
      <c r="B5" s="396" t="s">
        <v>468</v>
      </c>
      <c r="C5" s="396" t="s">
        <v>469</v>
      </c>
      <c r="D5" s="397" t="s">
        <v>470</v>
      </c>
      <c r="E5" s="397" t="s">
        <v>277</v>
      </c>
      <c r="F5" s="73"/>
      <c r="G5" s="405" t="s">
        <v>643</v>
      </c>
      <c r="H5" s="442"/>
      <c r="I5" s="442"/>
      <c r="J5" s="442"/>
      <c r="K5" s="442"/>
      <c r="L5" s="442"/>
      <c r="M5" s="380"/>
      <c r="N5" s="380"/>
      <c r="O5" s="380"/>
      <c r="P5" s="380"/>
      <c r="Q5" s="380"/>
      <c r="R5" s="443"/>
      <c r="S5" s="398" t="s">
        <v>644</v>
      </c>
      <c r="T5" s="380"/>
      <c r="U5" s="380"/>
      <c r="V5" s="380"/>
      <c r="W5" s="380"/>
      <c r="X5" s="380"/>
      <c r="Y5" s="380"/>
      <c r="Z5" s="380"/>
      <c r="AA5" s="380"/>
      <c r="AB5" s="380"/>
      <c r="AC5" s="380"/>
      <c r="AD5" s="443"/>
      <c r="AE5" s="444" t="s">
        <v>279</v>
      </c>
      <c r="AF5" s="435" t="s">
        <v>280</v>
      </c>
      <c r="AG5" s="435" t="s">
        <v>281</v>
      </c>
      <c r="AH5" s="440" t="s">
        <v>282</v>
      </c>
      <c r="AI5" s="435" t="s">
        <v>283</v>
      </c>
      <c r="AJ5" s="445" t="s">
        <v>284</v>
      </c>
      <c r="AK5" s="444" t="s">
        <v>285</v>
      </c>
      <c r="AL5" s="435" t="s">
        <v>785</v>
      </c>
      <c r="AM5" s="435" t="s">
        <v>338</v>
      </c>
      <c r="AN5" s="440" t="s">
        <v>339</v>
      </c>
      <c r="AO5" s="435" t="s">
        <v>1343</v>
      </c>
      <c r="AP5" s="435" t="s">
        <v>376</v>
      </c>
      <c r="AQ5" s="448" t="s">
        <v>651</v>
      </c>
      <c r="AR5" s="449"/>
      <c r="AS5" s="449"/>
      <c r="AT5" s="450"/>
      <c r="AU5" s="448" t="s">
        <v>462</v>
      </c>
      <c r="AV5" s="449"/>
      <c r="AW5" s="449"/>
      <c r="AX5" s="450"/>
      <c r="AY5" s="437" t="s">
        <v>813</v>
      </c>
      <c r="AZ5" s="438"/>
      <c r="BA5" s="438"/>
      <c r="BB5" s="437" t="s">
        <v>1232</v>
      </c>
      <c r="BC5" s="438"/>
      <c r="BD5" s="438"/>
      <c r="BE5" s="438"/>
      <c r="BF5" s="438"/>
      <c r="BG5" s="439"/>
      <c r="BH5" s="437" t="s">
        <v>1232</v>
      </c>
      <c r="BI5" s="438"/>
      <c r="BJ5" s="438"/>
      <c r="BK5" s="438"/>
      <c r="BL5" s="438"/>
      <c r="BM5" s="439"/>
    </row>
    <row r="6" spans="1:79" ht="39.75" customHeight="1" thickBot="1" x14ac:dyDescent="0.3">
      <c r="A6" s="396"/>
      <c r="B6" s="396"/>
      <c r="C6" s="396"/>
      <c r="D6" s="397"/>
      <c r="E6" s="397"/>
      <c r="F6" s="73"/>
      <c r="G6" s="74" t="s">
        <v>108</v>
      </c>
      <c r="H6" s="75" t="s">
        <v>109</v>
      </c>
      <c r="I6" s="74"/>
      <c r="J6" s="76" t="s">
        <v>680</v>
      </c>
      <c r="K6" s="74" t="s">
        <v>110</v>
      </c>
      <c r="L6" s="153"/>
      <c r="M6" s="155" t="s">
        <v>681</v>
      </c>
      <c r="N6" s="156" t="s">
        <v>163</v>
      </c>
      <c r="O6" s="156"/>
      <c r="P6" s="157" t="s">
        <v>642</v>
      </c>
      <c r="Q6" s="156" t="s">
        <v>219</v>
      </c>
      <c r="R6" s="158"/>
      <c r="S6" s="164" t="s">
        <v>1274</v>
      </c>
      <c r="T6" s="165" t="s">
        <v>957</v>
      </c>
      <c r="U6" s="166"/>
      <c r="V6" s="167" t="s">
        <v>1084</v>
      </c>
      <c r="W6" s="166" t="s">
        <v>1271</v>
      </c>
      <c r="X6" s="168"/>
      <c r="Y6" s="155" t="s">
        <v>1085</v>
      </c>
      <c r="Z6" s="171" t="s">
        <v>1272</v>
      </c>
      <c r="AA6" s="156"/>
      <c r="AB6" s="157" t="s">
        <v>1086</v>
      </c>
      <c r="AC6" s="156" t="s">
        <v>1273</v>
      </c>
      <c r="AD6" s="172"/>
      <c r="AE6" s="441"/>
      <c r="AF6" s="436"/>
      <c r="AG6" s="436"/>
      <c r="AH6" s="441"/>
      <c r="AI6" s="436"/>
      <c r="AJ6" s="446"/>
      <c r="AK6" s="447"/>
      <c r="AL6" s="436"/>
      <c r="AM6" s="436"/>
      <c r="AN6" s="441"/>
      <c r="AO6" s="436"/>
      <c r="AP6" s="436"/>
      <c r="AQ6" s="176" t="s">
        <v>652</v>
      </c>
      <c r="AR6" s="175" t="s">
        <v>653</v>
      </c>
      <c r="AS6" s="175" t="s">
        <v>460</v>
      </c>
      <c r="AT6" s="177" t="s">
        <v>461</v>
      </c>
      <c r="AU6" s="176" t="s">
        <v>652</v>
      </c>
      <c r="AV6" s="175" t="s">
        <v>653</v>
      </c>
      <c r="AW6" s="175" t="s">
        <v>460</v>
      </c>
      <c r="AX6" s="177" t="s">
        <v>461</v>
      </c>
      <c r="AY6" s="253" t="s">
        <v>652</v>
      </c>
      <c r="AZ6" s="254" t="s">
        <v>653</v>
      </c>
      <c r="BA6" s="256" t="s">
        <v>460</v>
      </c>
      <c r="BB6" s="259" t="s">
        <v>814</v>
      </c>
      <c r="BC6" s="81" t="s">
        <v>815</v>
      </c>
      <c r="BD6" s="81" t="s">
        <v>1228</v>
      </c>
      <c r="BE6" s="258" t="s">
        <v>1229</v>
      </c>
      <c r="BF6" s="81" t="s">
        <v>1230</v>
      </c>
      <c r="BG6" s="85" t="s">
        <v>1231</v>
      </c>
      <c r="BH6" s="259" t="s">
        <v>1233</v>
      </c>
      <c r="BI6" s="81" t="s">
        <v>1234</v>
      </c>
      <c r="BJ6" s="81" t="s">
        <v>355</v>
      </c>
      <c r="BK6" s="258" t="s">
        <v>356</v>
      </c>
      <c r="BL6" s="81" t="s">
        <v>357</v>
      </c>
      <c r="BM6" s="85" t="s">
        <v>358</v>
      </c>
      <c r="BN6" s="255"/>
      <c r="BO6" s="255"/>
      <c r="BP6" s="255"/>
      <c r="BQ6" s="255"/>
      <c r="BR6" s="255"/>
      <c r="BS6" s="255"/>
      <c r="BT6" s="255"/>
      <c r="BU6" s="255"/>
      <c r="BV6" s="255"/>
      <c r="BW6" s="255"/>
      <c r="BX6" s="255"/>
      <c r="BY6" s="255"/>
      <c r="BZ6" s="255"/>
      <c r="CA6" s="255"/>
    </row>
    <row r="7" spans="1:79" s="326" customFormat="1" ht="15.6" x14ac:dyDescent="0.3">
      <c r="A7" s="307"/>
      <c r="B7" s="308">
        <v>38</v>
      </c>
      <c r="C7" s="309" t="s">
        <v>377</v>
      </c>
      <c r="D7" s="310" t="s">
        <v>378</v>
      </c>
      <c r="E7" s="311" t="s">
        <v>379</v>
      </c>
      <c r="F7" s="312" t="s">
        <v>380</v>
      </c>
      <c r="G7" s="313"/>
      <c r="H7" s="313"/>
      <c r="I7" s="313"/>
      <c r="J7" s="313"/>
      <c r="K7" s="313"/>
      <c r="L7" s="314"/>
      <c r="M7" s="315"/>
      <c r="N7" s="313"/>
      <c r="O7" s="313"/>
      <c r="P7" s="316"/>
      <c r="Q7" s="313"/>
      <c r="R7" s="317"/>
      <c r="S7" s="318"/>
      <c r="T7" s="313"/>
      <c r="U7" s="313"/>
      <c r="V7" s="313"/>
      <c r="W7" s="316"/>
      <c r="X7" s="317"/>
      <c r="Y7" s="315"/>
      <c r="Z7" s="313"/>
      <c r="AA7" s="313"/>
      <c r="AB7" s="313"/>
      <c r="AC7" s="313"/>
      <c r="AD7" s="317"/>
      <c r="AE7" s="319"/>
      <c r="AF7" s="319"/>
      <c r="AG7" s="319"/>
      <c r="AH7" s="319"/>
      <c r="AI7" s="319"/>
      <c r="AJ7" s="320"/>
      <c r="AK7" s="321"/>
      <c r="AL7" s="319"/>
      <c r="AM7" s="319"/>
      <c r="AN7" s="319"/>
      <c r="AO7" s="319"/>
      <c r="AP7" s="319"/>
      <c r="AQ7" s="321"/>
      <c r="AR7" s="319"/>
      <c r="AS7" s="319"/>
      <c r="AT7" s="320"/>
      <c r="AU7" s="321"/>
      <c r="AV7" s="319"/>
      <c r="AW7" s="319"/>
      <c r="AX7" s="319"/>
      <c r="AY7" s="322"/>
      <c r="AZ7" s="323"/>
      <c r="BA7" s="324"/>
      <c r="BB7" s="315"/>
      <c r="BC7" s="313"/>
      <c r="BD7" s="313"/>
      <c r="BE7" s="313"/>
      <c r="BF7" s="313"/>
      <c r="BG7" s="317"/>
      <c r="BH7" s="315"/>
      <c r="BI7" s="313"/>
      <c r="BJ7" s="313"/>
      <c r="BK7" s="313"/>
      <c r="BL7" s="313"/>
      <c r="BM7" s="317"/>
      <c r="BN7" s="325"/>
      <c r="BP7" s="325"/>
    </row>
    <row r="8" spans="1:79" ht="15.6" x14ac:dyDescent="0.3">
      <c r="A8" s="188" t="s">
        <v>793</v>
      </c>
      <c r="B8" s="32">
        <v>24</v>
      </c>
      <c r="C8" s="33" t="s">
        <v>454</v>
      </c>
      <c r="D8" s="34" t="s">
        <v>797</v>
      </c>
      <c r="E8" s="35" t="s">
        <v>381</v>
      </c>
      <c r="F8" s="71" t="s">
        <v>380</v>
      </c>
      <c r="G8" s="135"/>
      <c r="H8" s="135"/>
      <c r="I8" s="135"/>
      <c r="J8" s="135"/>
      <c r="K8" s="135"/>
      <c r="L8" s="154"/>
      <c r="M8" s="159"/>
      <c r="N8" s="135"/>
      <c r="O8" s="135"/>
      <c r="P8" s="151"/>
      <c r="Q8" s="135"/>
      <c r="R8" s="148"/>
      <c r="S8" s="169"/>
      <c r="T8" s="107"/>
      <c r="U8" s="107"/>
      <c r="V8" s="107"/>
      <c r="W8" s="149"/>
      <c r="X8" s="145"/>
      <c r="Y8" s="173"/>
      <c r="Z8" s="107"/>
      <c r="AA8" s="107"/>
      <c r="AB8" s="107"/>
      <c r="AC8" s="107"/>
      <c r="AD8" s="145"/>
      <c r="AE8" s="38"/>
      <c r="AF8" s="38"/>
      <c r="AG8" s="38"/>
      <c r="AH8" s="38"/>
      <c r="AI8" s="38"/>
      <c r="AJ8" s="39"/>
      <c r="AK8" s="37"/>
      <c r="AL8" s="38"/>
      <c r="AM8" s="38"/>
      <c r="AN8" s="38"/>
      <c r="AO8" s="38"/>
      <c r="AP8" s="38"/>
      <c r="AQ8" s="37"/>
      <c r="AR8" s="38"/>
      <c r="AS8" s="38"/>
      <c r="AT8" s="39"/>
      <c r="AU8" s="37"/>
      <c r="AV8" s="38"/>
      <c r="AW8" s="38"/>
      <c r="AX8" s="38"/>
      <c r="AY8" s="86"/>
      <c r="AZ8" s="65"/>
      <c r="BA8" s="83"/>
      <c r="BB8" s="86"/>
      <c r="BC8" s="65"/>
      <c r="BD8" s="65"/>
      <c r="BE8" s="65"/>
      <c r="BF8" s="65"/>
      <c r="BG8" s="87"/>
      <c r="BH8" s="86"/>
      <c r="BI8" s="65"/>
      <c r="BJ8" s="65"/>
      <c r="BK8" s="65"/>
      <c r="BL8" s="65"/>
      <c r="BM8" s="87"/>
      <c r="BN8" s="26"/>
      <c r="BP8" s="26"/>
    </row>
    <row r="9" spans="1:79" s="326" customFormat="1" ht="15.6" x14ac:dyDescent="0.3">
      <c r="A9" s="307"/>
      <c r="B9" s="308">
        <v>35</v>
      </c>
      <c r="C9" s="309" t="s">
        <v>382</v>
      </c>
      <c r="D9" s="310" t="s">
        <v>383</v>
      </c>
      <c r="E9" s="311" t="s">
        <v>384</v>
      </c>
      <c r="F9" s="312" t="s">
        <v>380</v>
      </c>
      <c r="G9" s="313"/>
      <c r="H9" s="313"/>
      <c r="I9" s="313"/>
      <c r="J9" s="313"/>
      <c r="K9" s="313"/>
      <c r="L9" s="314"/>
      <c r="M9" s="315"/>
      <c r="N9" s="313"/>
      <c r="O9" s="313"/>
      <c r="P9" s="316"/>
      <c r="Q9" s="313"/>
      <c r="R9" s="317"/>
      <c r="S9" s="318"/>
      <c r="T9" s="313"/>
      <c r="U9" s="313"/>
      <c r="V9" s="313"/>
      <c r="W9" s="316"/>
      <c r="X9" s="317"/>
      <c r="Y9" s="315"/>
      <c r="Z9" s="313"/>
      <c r="AA9" s="313"/>
      <c r="AB9" s="313"/>
      <c r="AC9" s="313"/>
      <c r="AD9" s="317"/>
      <c r="AE9" s="319"/>
      <c r="AF9" s="319"/>
      <c r="AG9" s="319"/>
      <c r="AH9" s="319"/>
      <c r="AI9" s="319"/>
      <c r="AJ9" s="320"/>
      <c r="AK9" s="321"/>
      <c r="AL9" s="319"/>
      <c r="AM9" s="319"/>
      <c r="AN9" s="319"/>
      <c r="AO9" s="319"/>
      <c r="AP9" s="319"/>
      <c r="AQ9" s="321"/>
      <c r="AR9" s="319"/>
      <c r="AS9" s="319"/>
      <c r="AT9" s="320"/>
      <c r="AU9" s="321"/>
      <c r="AV9" s="319"/>
      <c r="AW9" s="319"/>
      <c r="AX9" s="319"/>
      <c r="AY9" s="315"/>
      <c r="AZ9" s="313"/>
      <c r="BA9" s="314"/>
      <c r="BB9" s="315"/>
      <c r="BC9" s="313"/>
      <c r="BD9" s="313"/>
      <c r="BE9" s="313"/>
      <c r="BF9" s="313"/>
      <c r="BG9" s="317"/>
      <c r="BH9" s="315"/>
      <c r="BI9" s="313"/>
      <c r="BJ9" s="313"/>
      <c r="BK9" s="313"/>
      <c r="BL9" s="313"/>
      <c r="BM9" s="317"/>
      <c r="BN9" s="325"/>
      <c r="BP9" s="325"/>
    </row>
    <row r="10" spans="1:79" ht="15.6" x14ac:dyDescent="0.3">
      <c r="A10" s="188" t="s">
        <v>793</v>
      </c>
      <c r="B10" s="34" t="s">
        <v>385</v>
      </c>
      <c r="C10" s="33" t="s">
        <v>455</v>
      </c>
      <c r="D10" s="34" t="s">
        <v>386</v>
      </c>
      <c r="E10" s="35" t="s">
        <v>387</v>
      </c>
      <c r="F10" s="71" t="s">
        <v>380</v>
      </c>
      <c r="G10" s="135"/>
      <c r="H10" s="135"/>
      <c r="I10" s="135"/>
      <c r="J10" s="135"/>
      <c r="K10" s="135"/>
      <c r="L10" s="154"/>
      <c r="M10" s="159"/>
      <c r="N10" s="135"/>
      <c r="O10" s="135"/>
      <c r="P10" s="151"/>
      <c r="Q10" s="135"/>
      <c r="R10" s="148"/>
      <c r="S10" s="169"/>
      <c r="T10" s="107"/>
      <c r="U10" s="107"/>
      <c r="V10" s="107"/>
      <c r="W10" s="149"/>
      <c r="X10" s="145"/>
      <c r="Y10" s="173"/>
      <c r="Z10" s="107"/>
      <c r="AA10" s="107"/>
      <c r="AB10" s="107"/>
      <c r="AC10" s="107"/>
      <c r="AD10" s="145"/>
      <c r="AE10" s="38"/>
      <c r="AF10" s="38"/>
      <c r="AG10" s="38"/>
      <c r="AH10" s="38"/>
      <c r="AI10" s="38"/>
      <c r="AJ10" s="39"/>
      <c r="AK10" s="37"/>
      <c r="AL10" s="38"/>
      <c r="AM10" s="38"/>
      <c r="AN10" s="38"/>
      <c r="AO10" s="38"/>
      <c r="AP10" s="38"/>
      <c r="AQ10" s="37"/>
      <c r="AR10" s="38"/>
      <c r="AS10" s="38"/>
      <c r="AT10" s="39"/>
      <c r="AU10" s="37"/>
      <c r="AV10" s="38"/>
      <c r="AW10" s="38"/>
      <c r="AX10" s="38"/>
      <c r="AY10" s="86"/>
      <c r="AZ10" s="65"/>
      <c r="BA10" s="83"/>
      <c r="BB10" s="86"/>
      <c r="BC10" s="65"/>
      <c r="BD10" s="65"/>
      <c r="BE10" s="65"/>
      <c r="BF10" s="65"/>
      <c r="BG10" s="87"/>
      <c r="BH10" s="86"/>
      <c r="BI10" s="65"/>
      <c r="BJ10" s="65"/>
      <c r="BK10" s="65"/>
      <c r="BL10" s="65"/>
      <c r="BM10" s="87"/>
      <c r="BN10" s="26"/>
      <c r="BP10" s="26"/>
    </row>
    <row r="11" spans="1:79" ht="15.6" x14ac:dyDescent="0.3">
      <c r="A11" s="188" t="s">
        <v>793</v>
      </c>
      <c r="B11" s="32">
        <v>34</v>
      </c>
      <c r="C11" s="33" t="s">
        <v>948</v>
      </c>
      <c r="D11" s="34" t="s">
        <v>388</v>
      </c>
      <c r="E11" s="35" t="s">
        <v>389</v>
      </c>
      <c r="F11" s="36" t="s">
        <v>380</v>
      </c>
      <c r="G11" s="152"/>
      <c r="H11" s="152"/>
      <c r="I11" s="135"/>
      <c r="J11" s="152"/>
      <c r="K11" s="152"/>
      <c r="L11" s="154"/>
      <c r="M11" s="160"/>
      <c r="N11" s="152"/>
      <c r="O11" s="135"/>
      <c r="P11" s="151"/>
      <c r="Q11" s="135"/>
      <c r="R11" s="148"/>
      <c r="S11" s="189"/>
      <c r="T11" s="107"/>
      <c r="U11" s="107"/>
      <c r="V11" s="150"/>
      <c r="W11" s="149"/>
      <c r="X11" s="145"/>
      <c r="Y11" s="174"/>
      <c r="Z11" s="150"/>
      <c r="AA11" s="107"/>
      <c r="AB11" s="150"/>
      <c r="AC11" s="107"/>
      <c r="AD11" s="145"/>
      <c r="AE11" s="38"/>
      <c r="AF11" s="38"/>
      <c r="AG11" s="38"/>
      <c r="AH11" s="38"/>
      <c r="AI11" s="38"/>
      <c r="AJ11" s="39"/>
      <c r="AK11" s="37"/>
      <c r="AL11" s="38"/>
      <c r="AM11" s="38"/>
      <c r="AN11" s="38"/>
      <c r="AO11" s="38"/>
      <c r="AP11" s="38"/>
      <c r="AQ11" s="37"/>
      <c r="AR11" s="38"/>
      <c r="AS11" s="38"/>
      <c r="AT11" s="39"/>
      <c r="AU11" s="37"/>
      <c r="AV11" s="38"/>
      <c r="AW11" s="38"/>
      <c r="AX11" s="38"/>
      <c r="AY11" s="86"/>
      <c r="AZ11" s="65"/>
      <c r="BA11" s="83"/>
      <c r="BB11" s="86"/>
      <c r="BC11" s="65"/>
      <c r="BD11" s="65"/>
      <c r="BE11" s="65"/>
      <c r="BF11" s="65"/>
      <c r="BG11" s="87"/>
      <c r="BH11" s="86"/>
      <c r="BI11" s="65"/>
      <c r="BJ11" s="65"/>
      <c r="BK11" s="65"/>
      <c r="BL11" s="65"/>
      <c r="BM11" s="87"/>
      <c r="BN11" s="26"/>
      <c r="BP11" s="26"/>
    </row>
    <row r="12" spans="1:79" ht="15.6" x14ac:dyDescent="0.3">
      <c r="A12" s="188" t="s">
        <v>793</v>
      </c>
      <c r="B12" s="32">
        <v>33</v>
      </c>
      <c r="C12" s="33" t="s">
        <v>456</v>
      </c>
      <c r="D12" s="34" t="s">
        <v>390</v>
      </c>
      <c r="E12" s="35" t="s">
        <v>391</v>
      </c>
      <c r="F12" s="36" t="s">
        <v>380</v>
      </c>
      <c r="G12" s="135"/>
      <c r="H12" s="135"/>
      <c r="I12" s="135"/>
      <c r="J12" s="135"/>
      <c r="K12" s="135"/>
      <c r="L12" s="154"/>
      <c r="M12" s="159"/>
      <c r="N12" s="135"/>
      <c r="O12" s="135"/>
      <c r="P12" s="151"/>
      <c r="Q12" s="135"/>
      <c r="R12" s="148"/>
      <c r="S12" s="189"/>
      <c r="T12" s="107"/>
      <c r="U12" s="107"/>
      <c r="V12" s="107"/>
      <c r="W12" s="149"/>
      <c r="X12" s="145"/>
      <c r="Y12" s="173"/>
      <c r="Z12" s="107"/>
      <c r="AA12" s="107"/>
      <c r="AB12" s="107"/>
      <c r="AC12" s="107"/>
      <c r="AD12" s="145"/>
      <c r="AE12" s="38"/>
      <c r="AF12" s="38"/>
      <c r="AG12" s="38"/>
      <c r="AH12" s="38"/>
      <c r="AI12" s="38"/>
      <c r="AJ12" s="39"/>
      <c r="AK12" s="37"/>
      <c r="AL12" s="38"/>
      <c r="AM12" s="38"/>
      <c r="AN12" s="38"/>
      <c r="AO12" s="38"/>
      <c r="AP12" s="38"/>
      <c r="AQ12" s="37"/>
      <c r="AR12" s="38"/>
      <c r="AS12" s="38"/>
      <c r="AT12" s="39"/>
      <c r="AU12" s="37"/>
      <c r="AV12" s="38"/>
      <c r="AW12" s="38"/>
      <c r="AX12" s="38"/>
      <c r="AY12" s="86"/>
      <c r="AZ12" s="65"/>
      <c r="BA12" s="83"/>
      <c r="BB12" s="86"/>
      <c r="BC12" s="65"/>
      <c r="BD12" s="65"/>
      <c r="BE12" s="65"/>
      <c r="BF12" s="65"/>
      <c r="BG12" s="87"/>
      <c r="BH12" s="86"/>
      <c r="BI12" s="65"/>
      <c r="BJ12" s="65"/>
      <c r="BK12" s="65"/>
      <c r="BL12" s="65"/>
      <c r="BM12" s="87"/>
      <c r="BN12" s="26"/>
      <c r="BP12" s="26"/>
    </row>
    <row r="13" spans="1:79" ht="15.6" x14ac:dyDescent="0.3">
      <c r="A13" s="188" t="s">
        <v>793</v>
      </c>
      <c r="B13" s="32">
        <v>31</v>
      </c>
      <c r="C13" s="33" t="s">
        <v>457</v>
      </c>
      <c r="D13" s="34" t="s">
        <v>392</v>
      </c>
      <c r="E13" s="35" t="s">
        <v>393</v>
      </c>
      <c r="F13" s="36" t="s">
        <v>380</v>
      </c>
      <c r="G13" s="135"/>
      <c r="H13" s="135"/>
      <c r="I13" s="135"/>
      <c r="J13" s="135"/>
      <c r="K13" s="135"/>
      <c r="L13" s="154"/>
      <c r="M13" s="159"/>
      <c r="N13" s="135"/>
      <c r="O13" s="135"/>
      <c r="P13" s="151"/>
      <c r="Q13" s="135"/>
      <c r="R13" s="148"/>
      <c r="S13" s="189"/>
      <c r="T13" s="107"/>
      <c r="U13" s="107"/>
      <c r="V13" s="107"/>
      <c r="W13" s="149"/>
      <c r="X13" s="145"/>
      <c r="Y13" s="173"/>
      <c r="Z13" s="107"/>
      <c r="AA13" s="107"/>
      <c r="AB13" s="107"/>
      <c r="AC13" s="107"/>
      <c r="AD13" s="145"/>
      <c r="AE13" s="38"/>
      <c r="AF13" s="38"/>
      <c r="AG13" s="38"/>
      <c r="AH13" s="38"/>
      <c r="AI13" s="38"/>
      <c r="AJ13" s="39"/>
      <c r="AK13" s="37"/>
      <c r="AL13" s="38"/>
      <c r="AM13" s="38"/>
      <c r="AN13" s="38"/>
      <c r="AO13" s="38"/>
      <c r="AP13" s="38"/>
      <c r="AQ13" s="37"/>
      <c r="AR13" s="38"/>
      <c r="AS13" s="38"/>
      <c r="AT13" s="39"/>
      <c r="AU13" s="37"/>
      <c r="AV13" s="38"/>
      <c r="AW13" s="38"/>
      <c r="AX13" s="38"/>
      <c r="AY13" s="86"/>
      <c r="AZ13" s="65"/>
      <c r="BA13" s="83"/>
      <c r="BB13" s="86"/>
      <c r="BC13" s="65"/>
      <c r="BD13" s="65"/>
      <c r="BE13" s="65"/>
      <c r="BF13" s="65"/>
      <c r="BG13" s="87"/>
      <c r="BH13" s="86"/>
      <c r="BI13" s="65"/>
      <c r="BJ13" s="65"/>
      <c r="BK13" s="65"/>
      <c r="BL13" s="65"/>
      <c r="BM13" s="87"/>
      <c r="BN13" s="26"/>
      <c r="BP13" s="26"/>
    </row>
    <row r="14" spans="1:79" ht="15.6" x14ac:dyDescent="0.3">
      <c r="A14" s="188" t="s">
        <v>793</v>
      </c>
      <c r="B14" s="32">
        <v>11</v>
      </c>
      <c r="C14" s="33" t="s">
        <v>458</v>
      </c>
      <c r="D14" s="34" t="s">
        <v>394</v>
      </c>
      <c r="E14" s="35" t="s">
        <v>395</v>
      </c>
      <c r="F14" s="36" t="s">
        <v>380</v>
      </c>
      <c r="G14" s="135"/>
      <c r="H14" s="135"/>
      <c r="I14" s="135"/>
      <c r="J14" s="135"/>
      <c r="K14" s="135"/>
      <c r="L14" s="154"/>
      <c r="M14" s="159"/>
      <c r="N14" s="135"/>
      <c r="O14" s="135"/>
      <c r="P14" s="151"/>
      <c r="Q14" s="135"/>
      <c r="R14" s="148"/>
      <c r="S14" s="189"/>
      <c r="T14" s="107"/>
      <c r="U14" s="107"/>
      <c r="V14" s="107"/>
      <c r="W14" s="149"/>
      <c r="X14" s="145"/>
      <c r="Y14" s="173"/>
      <c r="Z14" s="107"/>
      <c r="AA14" s="107"/>
      <c r="AB14" s="107"/>
      <c r="AC14" s="107"/>
      <c r="AD14" s="145"/>
      <c r="AE14" s="38"/>
      <c r="AF14" s="38"/>
      <c r="AG14" s="38"/>
      <c r="AH14" s="38"/>
      <c r="AI14" s="38"/>
      <c r="AJ14" s="39"/>
      <c r="AK14" s="37"/>
      <c r="AL14" s="38"/>
      <c r="AM14" s="38"/>
      <c r="AN14" s="38"/>
      <c r="AO14" s="38"/>
      <c r="AP14" s="38"/>
      <c r="AQ14" s="37"/>
      <c r="AR14" s="38"/>
      <c r="AS14" s="38"/>
      <c r="AT14" s="39"/>
      <c r="AU14" s="37"/>
      <c r="AV14" s="38"/>
      <c r="AW14" s="38"/>
      <c r="AX14" s="38"/>
      <c r="AY14" s="86"/>
      <c r="AZ14" s="65"/>
      <c r="BA14" s="83"/>
      <c r="BB14" s="86"/>
      <c r="BC14" s="65"/>
      <c r="BD14" s="65"/>
      <c r="BE14" s="65"/>
      <c r="BF14" s="65"/>
      <c r="BG14" s="87"/>
      <c r="BH14" s="86"/>
      <c r="BI14" s="65"/>
      <c r="BJ14" s="65"/>
      <c r="BK14" s="65"/>
      <c r="BL14" s="65"/>
      <c r="BM14" s="87"/>
      <c r="BN14" s="26"/>
      <c r="BP14" s="26"/>
    </row>
    <row r="15" spans="1:79" ht="15.6" x14ac:dyDescent="0.3">
      <c r="A15" s="188" t="s">
        <v>793</v>
      </c>
      <c r="B15" s="32">
        <v>15</v>
      </c>
      <c r="C15" s="33" t="s">
        <v>459</v>
      </c>
      <c r="D15" s="34" t="s">
        <v>396</v>
      </c>
      <c r="E15" s="35" t="s">
        <v>397</v>
      </c>
      <c r="F15" s="36" t="s">
        <v>380</v>
      </c>
      <c r="G15" s="135"/>
      <c r="H15" s="135"/>
      <c r="I15" s="135"/>
      <c r="J15" s="135"/>
      <c r="K15" s="135"/>
      <c r="L15" s="154"/>
      <c r="M15" s="159"/>
      <c r="N15" s="135"/>
      <c r="O15" s="135"/>
      <c r="P15" s="151"/>
      <c r="Q15" s="135"/>
      <c r="R15" s="148"/>
      <c r="S15" s="189"/>
      <c r="T15" s="107"/>
      <c r="U15" s="107"/>
      <c r="V15" s="107"/>
      <c r="W15" s="149"/>
      <c r="X15" s="145"/>
      <c r="Y15" s="173"/>
      <c r="Z15" s="107"/>
      <c r="AA15" s="107"/>
      <c r="AB15" s="107"/>
      <c r="AC15" s="107"/>
      <c r="AD15" s="145"/>
      <c r="AE15" s="38"/>
      <c r="AF15" s="38"/>
      <c r="AG15" s="38"/>
      <c r="AH15" s="38"/>
      <c r="AI15" s="38"/>
      <c r="AJ15" s="39"/>
      <c r="AK15" s="37"/>
      <c r="AL15" s="38"/>
      <c r="AM15" s="38"/>
      <c r="AN15" s="38"/>
      <c r="AO15" s="38"/>
      <c r="AP15" s="38"/>
      <c r="AQ15" s="37"/>
      <c r="AR15" s="38"/>
      <c r="AS15" s="38"/>
      <c r="AT15" s="39"/>
      <c r="AU15" s="37"/>
      <c r="AV15" s="38"/>
      <c r="AW15" s="38"/>
      <c r="AX15" s="38"/>
      <c r="AY15" s="86"/>
      <c r="AZ15" s="65"/>
      <c r="BA15" s="83"/>
      <c r="BB15" s="86"/>
      <c r="BC15" s="65"/>
      <c r="BD15" s="65"/>
      <c r="BE15" s="65"/>
      <c r="BF15" s="65"/>
      <c r="BG15" s="87"/>
      <c r="BH15" s="86"/>
      <c r="BI15" s="65"/>
      <c r="BJ15" s="65"/>
      <c r="BK15" s="65"/>
      <c r="BL15" s="65"/>
      <c r="BM15" s="87"/>
      <c r="BN15" s="26"/>
      <c r="BP15" s="26"/>
    </row>
    <row r="16" spans="1:79" ht="15.6" x14ac:dyDescent="0.3">
      <c r="A16" s="188" t="s">
        <v>793</v>
      </c>
      <c r="B16" s="32">
        <v>30</v>
      </c>
      <c r="C16" s="33" t="s">
        <v>120</v>
      </c>
      <c r="D16" s="34" t="s">
        <v>398</v>
      </c>
      <c r="E16" s="35" t="s">
        <v>399</v>
      </c>
      <c r="F16" s="36" t="s">
        <v>380</v>
      </c>
      <c r="G16" s="135"/>
      <c r="H16" s="135"/>
      <c r="I16" s="135"/>
      <c r="J16" s="135"/>
      <c r="K16" s="135"/>
      <c r="L16" s="154"/>
      <c r="M16" s="159"/>
      <c r="N16" s="135"/>
      <c r="O16" s="135"/>
      <c r="P16" s="151"/>
      <c r="Q16" s="135"/>
      <c r="R16" s="148"/>
      <c r="S16" s="189"/>
      <c r="T16" s="107"/>
      <c r="U16" s="107"/>
      <c r="V16" s="107"/>
      <c r="W16" s="149"/>
      <c r="X16" s="145"/>
      <c r="Y16" s="173"/>
      <c r="Z16" s="107"/>
      <c r="AA16" s="107"/>
      <c r="AB16" s="107"/>
      <c r="AC16" s="107"/>
      <c r="AD16" s="145"/>
      <c r="AE16" s="38"/>
      <c r="AF16" s="38"/>
      <c r="AG16" s="38"/>
      <c r="AH16" s="38"/>
      <c r="AI16" s="38"/>
      <c r="AJ16" s="39"/>
      <c r="AK16" s="37"/>
      <c r="AL16" s="38"/>
      <c r="AM16" s="38"/>
      <c r="AN16" s="38"/>
      <c r="AO16" s="38"/>
      <c r="AP16" s="38"/>
      <c r="AQ16" s="37"/>
      <c r="AR16" s="38"/>
      <c r="AS16" s="38"/>
      <c r="AT16" s="39"/>
      <c r="AU16" s="37"/>
      <c r="AV16" s="38"/>
      <c r="AW16" s="38"/>
      <c r="AX16" s="38"/>
      <c r="AY16" s="86"/>
      <c r="AZ16" s="65"/>
      <c r="BA16" s="83"/>
      <c r="BB16" s="86"/>
      <c r="BC16" s="65"/>
      <c r="BD16" s="65"/>
      <c r="BE16" s="65"/>
      <c r="BF16" s="65"/>
      <c r="BG16" s="87"/>
      <c r="BH16" s="86"/>
      <c r="BI16" s="65"/>
      <c r="BJ16" s="65"/>
      <c r="BK16" s="65"/>
      <c r="BL16" s="65"/>
      <c r="BM16" s="87"/>
      <c r="BN16" s="26"/>
      <c r="BP16" s="26"/>
    </row>
    <row r="17" spans="1:68" ht="15.6" x14ac:dyDescent="0.3">
      <c r="A17" s="188" t="s">
        <v>793</v>
      </c>
      <c r="B17" s="32">
        <v>29</v>
      </c>
      <c r="C17" s="33" t="s">
        <v>121</v>
      </c>
      <c r="D17" s="34" t="s">
        <v>400</v>
      </c>
      <c r="E17" s="35" t="s">
        <v>401</v>
      </c>
      <c r="F17" s="36" t="s">
        <v>380</v>
      </c>
      <c r="G17" s="135"/>
      <c r="H17" s="135"/>
      <c r="I17" s="135"/>
      <c r="J17" s="135"/>
      <c r="K17" s="135"/>
      <c r="L17" s="154"/>
      <c r="M17" s="159"/>
      <c r="N17" s="135"/>
      <c r="O17" s="135"/>
      <c r="P17" s="151"/>
      <c r="Q17" s="135"/>
      <c r="R17" s="148"/>
      <c r="S17" s="189"/>
      <c r="T17" s="107"/>
      <c r="U17" s="107"/>
      <c r="V17" s="107"/>
      <c r="W17" s="149"/>
      <c r="X17" s="145"/>
      <c r="Y17" s="173"/>
      <c r="Z17" s="107"/>
      <c r="AA17" s="107"/>
      <c r="AB17" s="107"/>
      <c r="AC17" s="107"/>
      <c r="AD17" s="145"/>
      <c r="AE17" s="38"/>
      <c r="AF17" s="38"/>
      <c r="AG17" s="38"/>
      <c r="AH17" s="38"/>
      <c r="AI17" s="38"/>
      <c r="AJ17" s="39"/>
      <c r="AK17" s="37"/>
      <c r="AL17" s="38"/>
      <c r="AM17" s="38"/>
      <c r="AN17" s="38"/>
      <c r="AO17" s="38"/>
      <c r="AP17" s="38"/>
      <c r="AQ17" s="37"/>
      <c r="AR17" s="38"/>
      <c r="AS17" s="38"/>
      <c r="AT17" s="39"/>
      <c r="AU17" s="37"/>
      <c r="AV17" s="38"/>
      <c r="AW17" s="38"/>
      <c r="AX17" s="38"/>
      <c r="AY17" s="86"/>
      <c r="AZ17" s="65"/>
      <c r="BA17" s="83"/>
      <c r="BB17" s="86"/>
      <c r="BC17" s="65"/>
      <c r="BD17" s="65"/>
      <c r="BE17" s="65"/>
      <c r="BF17" s="65"/>
      <c r="BG17" s="87"/>
      <c r="BH17" s="86"/>
      <c r="BI17" s="65"/>
      <c r="BJ17" s="65"/>
      <c r="BK17" s="65"/>
      <c r="BL17" s="65"/>
      <c r="BM17" s="87"/>
      <c r="BN17" s="26"/>
      <c r="BP17" s="26"/>
    </row>
    <row r="18" spans="1:68" ht="15.6" x14ac:dyDescent="0.3">
      <c r="A18" s="188" t="s">
        <v>793</v>
      </c>
      <c r="B18" s="34" t="s">
        <v>402</v>
      </c>
      <c r="C18" s="33" t="s">
        <v>122</v>
      </c>
      <c r="D18" s="34" t="s">
        <v>403</v>
      </c>
      <c r="E18" s="35" t="s">
        <v>404</v>
      </c>
      <c r="F18" s="36" t="s">
        <v>380</v>
      </c>
      <c r="G18" s="135"/>
      <c r="H18" s="135"/>
      <c r="I18" s="135"/>
      <c r="J18" s="135"/>
      <c r="K18" s="135"/>
      <c r="L18" s="154"/>
      <c r="M18" s="159"/>
      <c r="N18" s="135"/>
      <c r="O18" s="135"/>
      <c r="P18" s="151"/>
      <c r="Q18" s="135"/>
      <c r="R18" s="148"/>
      <c r="S18" s="189"/>
      <c r="T18" s="107"/>
      <c r="U18" s="107"/>
      <c r="V18" s="107"/>
      <c r="W18" s="149"/>
      <c r="X18" s="145"/>
      <c r="Y18" s="173"/>
      <c r="Z18" s="107"/>
      <c r="AA18" s="107"/>
      <c r="AB18" s="107"/>
      <c r="AC18" s="107"/>
      <c r="AD18" s="145"/>
      <c r="AE18" s="38"/>
      <c r="AF18" s="38"/>
      <c r="AG18" s="38"/>
      <c r="AH18" s="38"/>
      <c r="AI18" s="38"/>
      <c r="AJ18" s="39"/>
      <c r="AK18" s="37"/>
      <c r="AL18" s="38"/>
      <c r="AM18" s="38"/>
      <c r="AN18" s="38"/>
      <c r="AO18" s="38"/>
      <c r="AP18" s="38"/>
      <c r="AQ18" s="37"/>
      <c r="AR18" s="38"/>
      <c r="AS18" s="38"/>
      <c r="AT18" s="39"/>
      <c r="AU18" s="37"/>
      <c r="AV18" s="38"/>
      <c r="AW18" s="38"/>
      <c r="AX18" s="38"/>
      <c r="AY18" s="86"/>
      <c r="AZ18" s="65"/>
      <c r="BA18" s="83"/>
      <c r="BB18" s="86"/>
      <c r="BC18" s="65"/>
      <c r="BD18" s="65"/>
      <c r="BE18" s="65"/>
      <c r="BF18" s="65"/>
      <c r="BG18" s="87"/>
      <c r="BH18" s="86"/>
      <c r="BI18" s="65"/>
      <c r="BJ18" s="65"/>
      <c r="BK18" s="65"/>
      <c r="BL18" s="65"/>
      <c r="BM18" s="87"/>
      <c r="BN18" s="26"/>
      <c r="BP18" s="26"/>
    </row>
    <row r="19" spans="1:68" ht="15.6" x14ac:dyDescent="0.3">
      <c r="A19" s="188" t="s">
        <v>793</v>
      </c>
      <c r="B19" s="32">
        <v>14</v>
      </c>
      <c r="C19" s="33" t="s">
        <v>1302</v>
      </c>
      <c r="D19" s="34" t="s">
        <v>405</v>
      </c>
      <c r="E19" s="35" t="s">
        <v>406</v>
      </c>
      <c r="F19" s="36" t="s">
        <v>380</v>
      </c>
      <c r="G19" s="135"/>
      <c r="H19" s="135"/>
      <c r="I19" s="135"/>
      <c r="J19" s="135"/>
      <c r="K19" s="135"/>
      <c r="L19" s="154"/>
      <c r="M19" s="159"/>
      <c r="N19" s="135"/>
      <c r="O19" s="135"/>
      <c r="P19" s="151"/>
      <c r="Q19" s="135"/>
      <c r="R19" s="148"/>
      <c r="S19" s="189"/>
      <c r="T19" s="107"/>
      <c r="U19" s="107"/>
      <c r="V19" s="107"/>
      <c r="W19" s="149"/>
      <c r="X19" s="145"/>
      <c r="Y19" s="173"/>
      <c r="Z19" s="107"/>
      <c r="AA19" s="107"/>
      <c r="AB19" s="107"/>
      <c r="AC19" s="107"/>
      <c r="AD19" s="145"/>
      <c r="AE19" s="38"/>
      <c r="AF19" s="38"/>
      <c r="AG19" s="38"/>
      <c r="AH19" s="38"/>
      <c r="AI19" s="38"/>
      <c r="AJ19" s="39"/>
      <c r="AK19" s="37"/>
      <c r="AL19" s="38"/>
      <c r="AM19" s="38"/>
      <c r="AN19" s="38"/>
      <c r="AO19" s="38"/>
      <c r="AP19" s="38"/>
      <c r="AQ19" s="37"/>
      <c r="AR19" s="38"/>
      <c r="AS19" s="38"/>
      <c r="AT19" s="39"/>
      <c r="AU19" s="37"/>
      <c r="AV19" s="38"/>
      <c r="AW19" s="38"/>
      <c r="AX19" s="38"/>
      <c r="AY19" s="86"/>
      <c r="AZ19" s="65"/>
      <c r="BA19" s="83"/>
      <c r="BB19" s="86"/>
      <c r="BC19" s="65"/>
      <c r="BD19" s="65"/>
      <c r="BE19" s="65"/>
      <c r="BF19" s="65"/>
      <c r="BG19" s="87"/>
      <c r="BH19" s="86"/>
      <c r="BI19" s="65"/>
      <c r="BJ19" s="65"/>
      <c r="BK19" s="65"/>
      <c r="BL19" s="65"/>
      <c r="BM19" s="87"/>
      <c r="BN19" s="26"/>
      <c r="BP19" s="26"/>
    </row>
    <row r="20" spans="1:68" ht="15.6" x14ac:dyDescent="0.3">
      <c r="A20" s="188" t="s">
        <v>793</v>
      </c>
      <c r="B20" s="32">
        <v>22</v>
      </c>
      <c r="C20" s="33" t="s">
        <v>1303</v>
      </c>
      <c r="D20" s="34" t="s">
        <v>407</v>
      </c>
      <c r="E20" s="35" t="s">
        <v>408</v>
      </c>
      <c r="F20" s="36" t="s">
        <v>380</v>
      </c>
      <c r="G20" s="135"/>
      <c r="H20" s="135"/>
      <c r="I20" s="135"/>
      <c r="J20" s="135"/>
      <c r="K20" s="135"/>
      <c r="L20" s="154"/>
      <c r="M20" s="159"/>
      <c r="N20" s="135"/>
      <c r="O20" s="135"/>
      <c r="P20" s="151"/>
      <c r="Q20" s="135"/>
      <c r="R20" s="148"/>
      <c r="S20" s="189"/>
      <c r="T20" s="107"/>
      <c r="U20" s="107"/>
      <c r="V20" s="107"/>
      <c r="W20" s="149"/>
      <c r="X20" s="145"/>
      <c r="Y20" s="173"/>
      <c r="Z20" s="107"/>
      <c r="AA20" s="107"/>
      <c r="AB20" s="107"/>
      <c r="AC20" s="107"/>
      <c r="AD20" s="145"/>
      <c r="AE20" s="38"/>
      <c r="AF20" s="38"/>
      <c r="AG20" s="38"/>
      <c r="AH20" s="38"/>
      <c r="AI20" s="38"/>
      <c r="AJ20" s="39"/>
      <c r="AK20" s="37"/>
      <c r="AL20" s="38"/>
      <c r="AM20" s="38"/>
      <c r="AN20" s="38"/>
      <c r="AO20" s="38"/>
      <c r="AP20" s="38"/>
      <c r="AQ20" s="37"/>
      <c r="AR20" s="38"/>
      <c r="AS20" s="38"/>
      <c r="AT20" s="39"/>
      <c r="AU20" s="37"/>
      <c r="AV20" s="38"/>
      <c r="AW20" s="38"/>
      <c r="AX20" s="38"/>
      <c r="AY20" s="86"/>
      <c r="AZ20" s="65"/>
      <c r="BA20" s="83"/>
      <c r="BB20" s="86"/>
      <c r="BC20" s="65"/>
      <c r="BD20" s="65"/>
      <c r="BE20" s="65"/>
      <c r="BF20" s="65"/>
      <c r="BG20" s="87"/>
      <c r="BH20" s="86"/>
      <c r="BI20" s="65"/>
      <c r="BJ20" s="65"/>
      <c r="BK20" s="65"/>
      <c r="BL20" s="65"/>
      <c r="BM20" s="87"/>
      <c r="BN20" s="26"/>
      <c r="BP20" s="26"/>
    </row>
    <row r="21" spans="1:68" ht="15.6" x14ac:dyDescent="0.3">
      <c r="A21" s="188" t="s">
        <v>793</v>
      </c>
      <c r="B21" s="32">
        <v>32</v>
      </c>
      <c r="C21" s="33" t="s">
        <v>1304</v>
      </c>
      <c r="D21" s="34" t="s">
        <v>409</v>
      </c>
      <c r="E21" s="35" t="s">
        <v>410</v>
      </c>
      <c r="F21" s="36" t="s">
        <v>380</v>
      </c>
      <c r="G21" s="135"/>
      <c r="H21" s="135"/>
      <c r="I21" s="135"/>
      <c r="J21" s="135"/>
      <c r="K21" s="135"/>
      <c r="L21" s="154"/>
      <c r="M21" s="159"/>
      <c r="N21" s="135"/>
      <c r="O21" s="135"/>
      <c r="P21" s="151"/>
      <c r="Q21" s="135"/>
      <c r="R21" s="148"/>
      <c r="S21" s="189"/>
      <c r="T21" s="107"/>
      <c r="U21" s="107"/>
      <c r="V21" s="107"/>
      <c r="W21" s="149"/>
      <c r="X21" s="145"/>
      <c r="Y21" s="173"/>
      <c r="Z21" s="107"/>
      <c r="AA21" s="107"/>
      <c r="AB21" s="107"/>
      <c r="AC21" s="107"/>
      <c r="AD21" s="145"/>
      <c r="AE21" s="38"/>
      <c r="AF21" s="38"/>
      <c r="AG21" s="38"/>
      <c r="AH21" s="38"/>
      <c r="AI21" s="38"/>
      <c r="AJ21" s="39"/>
      <c r="AK21" s="37"/>
      <c r="AL21" s="38"/>
      <c r="AM21" s="38"/>
      <c r="AN21" s="38"/>
      <c r="AO21" s="38"/>
      <c r="AP21" s="38"/>
      <c r="AQ21" s="37"/>
      <c r="AR21" s="38"/>
      <c r="AS21" s="38"/>
      <c r="AT21" s="39"/>
      <c r="AU21" s="37"/>
      <c r="AV21" s="38"/>
      <c r="AW21" s="38"/>
      <c r="AX21" s="38"/>
      <c r="AY21" s="86"/>
      <c r="AZ21" s="65"/>
      <c r="BA21" s="83"/>
      <c r="BB21" s="86"/>
      <c r="BC21" s="65"/>
      <c r="BD21" s="65"/>
      <c r="BE21" s="65"/>
      <c r="BF21" s="65"/>
      <c r="BG21" s="87"/>
      <c r="BH21" s="86"/>
      <c r="BI21" s="65"/>
      <c r="BJ21" s="65"/>
      <c r="BK21" s="65"/>
      <c r="BL21" s="65"/>
      <c r="BM21" s="87"/>
      <c r="BN21" s="26"/>
      <c r="BP21" s="26"/>
    </row>
    <row r="22" spans="1:68" ht="16.5" customHeight="1" x14ac:dyDescent="0.3">
      <c r="A22" s="188" t="s">
        <v>793</v>
      </c>
      <c r="B22" s="32">
        <v>37</v>
      </c>
      <c r="C22" s="33" t="s">
        <v>1305</v>
      </c>
      <c r="D22" s="34" t="s">
        <v>411</v>
      </c>
      <c r="E22" s="35" t="s">
        <v>412</v>
      </c>
      <c r="F22" s="36" t="s">
        <v>380</v>
      </c>
      <c r="G22" s="135"/>
      <c r="H22" s="135"/>
      <c r="I22" s="135"/>
      <c r="J22" s="135"/>
      <c r="K22" s="135"/>
      <c r="L22" s="154"/>
      <c r="M22" s="159"/>
      <c r="N22" s="135"/>
      <c r="O22" s="135"/>
      <c r="P22" s="151"/>
      <c r="Q22" s="135"/>
      <c r="R22" s="148"/>
      <c r="S22" s="189"/>
      <c r="T22" s="107"/>
      <c r="U22" s="107"/>
      <c r="V22" s="107"/>
      <c r="W22" s="149"/>
      <c r="X22" s="145"/>
      <c r="Y22" s="173"/>
      <c r="Z22" s="107"/>
      <c r="AA22" s="107"/>
      <c r="AB22" s="107"/>
      <c r="AC22" s="107"/>
      <c r="AD22" s="145"/>
      <c r="AE22" s="38"/>
      <c r="AF22" s="38"/>
      <c r="AG22" s="38"/>
      <c r="AH22" s="38"/>
      <c r="AI22" s="38"/>
      <c r="AJ22" s="39"/>
      <c r="AK22" s="37"/>
      <c r="AL22" s="38"/>
      <c r="AM22" s="38"/>
      <c r="AN22" s="38"/>
      <c r="AO22" s="38"/>
      <c r="AP22" s="38"/>
      <c r="AQ22" s="37"/>
      <c r="AR22" s="38"/>
      <c r="AS22" s="38"/>
      <c r="AT22" s="39"/>
      <c r="AU22" s="37"/>
      <c r="AV22" s="38"/>
      <c r="AW22" s="38"/>
      <c r="AX22" s="38"/>
      <c r="AY22" s="86"/>
      <c r="AZ22" s="65"/>
      <c r="BA22" s="83"/>
      <c r="BB22" s="86"/>
      <c r="BC22" s="65"/>
      <c r="BD22" s="65"/>
      <c r="BE22" s="65"/>
      <c r="BF22" s="65"/>
      <c r="BG22" s="87"/>
      <c r="BH22" s="86"/>
      <c r="BI22" s="65"/>
      <c r="BJ22" s="65"/>
      <c r="BK22" s="65"/>
      <c r="BL22" s="65"/>
      <c r="BM22" s="87"/>
      <c r="BN22" s="26"/>
      <c r="BP22" s="26"/>
    </row>
    <row r="23" spans="1:68" s="326" customFormat="1" ht="15.6" x14ac:dyDescent="0.3">
      <c r="A23" s="307"/>
      <c r="B23" s="308">
        <v>36</v>
      </c>
      <c r="C23" s="309" t="s">
        <v>1306</v>
      </c>
      <c r="D23" s="310" t="s">
        <v>413</v>
      </c>
      <c r="E23" s="311" t="s">
        <v>414</v>
      </c>
      <c r="F23" s="327" t="s">
        <v>380</v>
      </c>
      <c r="G23" s="313"/>
      <c r="H23" s="313"/>
      <c r="I23" s="313"/>
      <c r="J23" s="313"/>
      <c r="K23" s="313"/>
      <c r="L23" s="314"/>
      <c r="M23" s="315"/>
      <c r="N23" s="313"/>
      <c r="O23" s="313"/>
      <c r="P23" s="316"/>
      <c r="Q23" s="313"/>
      <c r="R23" s="317"/>
      <c r="S23" s="328"/>
      <c r="T23" s="313"/>
      <c r="U23" s="313"/>
      <c r="V23" s="313"/>
      <c r="W23" s="316"/>
      <c r="X23" s="317"/>
      <c r="Y23" s="315"/>
      <c r="Z23" s="313"/>
      <c r="AA23" s="313"/>
      <c r="AB23" s="313"/>
      <c r="AC23" s="313"/>
      <c r="AD23" s="317"/>
      <c r="AE23" s="319"/>
      <c r="AF23" s="319"/>
      <c r="AG23" s="319"/>
      <c r="AH23" s="319"/>
      <c r="AI23" s="319"/>
      <c r="AJ23" s="320"/>
      <c r="AK23" s="321"/>
      <c r="AL23" s="319"/>
      <c r="AM23" s="319"/>
      <c r="AN23" s="319"/>
      <c r="AO23" s="319"/>
      <c r="AP23" s="319"/>
      <c r="AQ23" s="321"/>
      <c r="AR23" s="319"/>
      <c r="AS23" s="319"/>
      <c r="AT23" s="320"/>
      <c r="AU23" s="321"/>
      <c r="AV23" s="319"/>
      <c r="AW23" s="319"/>
      <c r="AX23" s="319"/>
      <c r="AY23" s="315"/>
      <c r="AZ23" s="313"/>
      <c r="BA23" s="314"/>
      <c r="BB23" s="315"/>
      <c r="BC23" s="313"/>
      <c r="BD23" s="313"/>
      <c r="BE23" s="313"/>
      <c r="BF23" s="313"/>
      <c r="BG23" s="317"/>
      <c r="BH23" s="315"/>
      <c r="BI23" s="313"/>
      <c r="BJ23" s="313"/>
      <c r="BK23" s="313"/>
      <c r="BL23" s="313"/>
      <c r="BM23" s="317"/>
      <c r="BN23" s="325"/>
      <c r="BP23" s="325"/>
    </row>
    <row r="24" spans="1:68" s="326" customFormat="1" ht="15.6" x14ac:dyDescent="0.3">
      <c r="A24" s="307"/>
      <c r="B24" s="308">
        <v>28</v>
      </c>
      <c r="C24" s="309" t="s">
        <v>1307</v>
      </c>
      <c r="D24" s="310" t="s">
        <v>415</v>
      </c>
      <c r="E24" s="311" t="s">
        <v>620</v>
      </c>
      <c r="F24" s="327" t="s">
        <v>380</v>
      </c>
      <c r="G24" s="313"/>
      <c r="H24" s="313"/>
      <c r="I24" s="313"/>
      <c r="J24" s="313"/>
      <c r="K24" s="313"/>
      <c r="L24" s="314"/>
      <c r="M24" s="315"/>
      <c r="N24" s="313"/>
      <c r="O24" s="313"/>
      <c r="P24" s="316"/>
      <c r="Q24" s="313"/>
      <c r="R24" s="317"/>
      <c r="S24" s="328"/>
      <c r="T24" s="313"/>
      <c r="U24" s="313"/>
      <c r="V24" s="313"/>
      <c r="W24" s="316"/>
      <c r="X24" s="317"/>
      <c r="Y24" s="315"/>
      <c r="Z24" s="313"/>
      <c r="AA24" s="313"/>
      <c r="AB24" s="313"/>
      <c r="AC24" s="313"/>
      <c r="AD24" s="317"/>
      <c r="AE24" s="319"/>
      <c r="AF24" s="319"/>
      <c r="AG24" s="319"/>
      <c r="AH24" s="319"/>
      <c r="AI24" s="319"/>
      <c r="AJ24" s="320"/>
      <c r="AK24" s="321"/>
      <c r="AL24" s="319"/>
      <c r="AM24" s="319"/>
      <c r="AN24" s="319"/>
      <c r="AO24" s="319"/>
      <c r="AP24" s="319"/>
      <c r="AQ24" s="321"/>
      <c r="AR24" s="319"/>
      <c r="AS24" s="319"/>
      <c r="AT24" s="320"/>
      <c r="AU24" s="321"/>
      <c r="AV24" s="319"/>
      <c r="AW24" s="319"/>
      <c r="AX24" s="319"/>
      <c r="AY24" s="315"/>
      <c r="AZ24" s="313"/>
      <c r="BA24" s="314"/>
      <c r="BB24" s="315"/>
      <c r="BC24" s="313"/>
      <c r="BD24" s="313"/>
      <c r="BE24" s="313"/>
      <c r="BF24" s="313"/>
      <c r="BG24" s="317"/>
      <c r="BH24" s="315"/>
      <c r="BI24" s="313"/>
      <c r="BJ24" s="313"/>
      <c r="BK24" s="313"/>
      <c r="BL24" s="313"/>
      <c r="BM24" s="317"/>
      <c r="BN24" s="325"/>
      <c r="BP24" s="325"/>
    </row>
    <row r="25" spans="1:68" s="326" customFormat="1" ht="15.6" x14ac:dyDescent="0.3">
      <c r="A25" s="307"/>
      <c r="B25" s="308">
        <v>16</v>
      </c>
      <c r="C25" s="309" t="s">
        <v>1308</v>
      </c>
      <c r="D25" s="310" t="s">
        <v>621</v>
      </c>
      <c r="E25" s="311" t="s">
        <v>622</v>
      </c>
      <c r="F25" s="327" t="s">
        <v>380</v>
      </c>
      <c r="G25" s="313"/>
      <c r="H25" s="313"/>
      <c r="I25" s="313"/>
      <c r="J25" s="313"/>
      <c r="K25" s="313"/>
      <c r="L25" s="314"/>
      <c r="M25" s="315"/>
      <c r="N25" s="313"/>
      <c r="O25" s="313"/>
      <c r="P25" s="316"/>
      <c r="Q25" s="313"/>
      <c r="R25" s="317"/>
      <c r="S25" s="328"/>
      <c r="T25" s="313"/>
      <c r="U25" s="313"/>
      <c r="V25" s="313"/>
      <c r="W25" s="316"/>
      <c r="X25" s="317"/>
      <c r="Y25" s="315"/>
      <c r="Z25" s="313"/>
      <c r="AA25" s="313"/>
      <c r="AB25" s="313"/>
      <c r="AC25" s="313"/>
      <c r="AD25" s="317"/>
      <c r="AE25" s="319"/>
      <c r="AF25" s="319"/>
      <c r="AG25" s="319"/>
      <c r="AH25" s="319"/>
      <c r="AI25" s="319"/>
      <c r="AJ25" s="320"/>
      <c r="AK25" s="321"/>
      <c r="AL25" s="319"/>
      <c r="AM25" s="319"/>
      <c r="AN25" s="319"/>
      <c r="AO25" s="319"/>
      <c r="AP25" s="319"/>
      <c r="AQ25" s="321"/>
      <c r="AR25" s="319"/>
      <c r="AS25" s="319"/>
      <c r="AT25" s="320"/>
      <c r="AU25" s="321"/>
      <c r="AV25" s="319"/>
      <c r="AW25" s="319"/>
      <c r="AX25" s="319"/>
      <c r="AY25" s="315"/>
      <c r="AZ25" s="313"/>
      <c r="BA25" s="314"/>
      <c r="BB25" s="315"/>
      <c r="BC25" s="313"/>
      <c r="BD25" s="313"/>
      <c r="BE25" s="313"/>
      <c r="BF25" s="313"/>
      <c r="BG25" s="317"/>
      <c r="BH25" s="315"/>
      <c r="BI25" s="313"/>
      <c r="BJ25" s="313"/>
      <c r="BK25" s="313"/>
      <c r="BL25" s="313"/>
      <c r="BM25" s="317"/>
      <c r="BN25" s="325"/>
      <c r="BP25" s="325"/>
    </row>
    <row r="26" spans="1:68" ht="15.6" x14ac:dyDescent="0.3">
      <c r="A26" s="188" t="s">
        <v>793</v>
      </c>
      <c r="B26" s="32">
        <v>26</v>
      </c>
      <c r="C26" s="33" t="s">
        <v>1309</v>
      </c>
      <c r="D26" s="34" t="s">
        <v>623</v>
      </c>
      <c r="E26" s="35" t="s">
        <v>624</v>
      </c>
      <c r="F26" s="36" t="s">
        <v>380</v>
      </c>
      <c r="G26" s="135"/>
      <c r="H26" s="135"/>
      <c r="I26" s="135"/>
      <c r="J26" s="135"/>
      <c r="K26" s="135"/>
      <c r="L26" s="154"/>
      <c r="M26" s="159"/>
      <c r="N26" s="135"/>
      <c r="O26" s="135"/>
      <c r="P26" s="151"/>
      <c r="Q26" s="135"/>
      <c r="R26" s="148"/>
      <c r="S26" s="189"/>
      <c r="T26" s="107"/>
      <c r="U26" s="107"/>
      <c r="V26" s="107"/>
      <c r="W26" s="149"/>
      <c r="X26" s="145"/>
      <c r="Y26" s="173"/>
      <c r="Z26" s="107"/>
      <c r="AA26" s="107"/>
      <c r="AB26" s="107"/>
      <c r="AC26" s="107"/>
      <c r="AD26" s="145"/>
      <c r="AE26" s="38"/>
      <c r="AF26" s="38"/>
      <c r="AG26" s="38"/>
      <c r="AH26" s="38"/>
      <c r="AI26" s="38"/>
      <c r="AJ26" s="39"/>
      <c r="AK26" s="37"/>
      <c r="AL26" s="38"/>
      <c r="AM26" s="38"/>
      <c r="AN26" s="38"/>
      <c r="AO26" s="38"/>
      <c r="AP26" s="38"/>
      <c r="AQ26" s="37"/>
      <c r="AR26" s="38"/>
      <c r="AS26" s="38"/>
      <c r="AT26" s="39"/>
      <c r="AU26" s="37"/>
      <c r="AV26" s="38"/>
      <c r="AW26" s="38"/>
      <c r="AX26" s="38"/>
      <c r="AY26" s="86"/>
      <c r="AZ26" s="65"/>
      <c r="BA26" s="83"/>
      <c r="BB26" s="86"/>
      <c r="BC26" s="65"/>
      <c r="BD26" s="65"/>
      <c r="BE26" s="65"/>
      <c r="BF26" s="65"/>
      <c r="BG26" s="87"/>
      <c r="BH26" s="86"/>
      <c r="BI26" s="65"/>
      <c r="BJ26" s="65"/>
      <c r="BK26" s="65"/>
      <c r="BL26" s="65"/>
      <c r="BM26" s="87"/>
      <c r="BN26" s="26"/>
      <c r="BP26" s="26"/>
    </row>
    <row r="27" spans="1:68" ht="15.6" x14ac:dyDescent="0.3">
      <c r="A27" s="188" t="s">
        <v>793</v>
      </c>
      <c r="B27" s="40">
        <v>50</v>
      </c>
      <c r="C27" s="41" t="s">
        <v>29</v>
      </c>
      <c r="D27" s="42" t="s">
        <v>625</v>
      </c>
      <c r="E27" s="43" t="s">
        <v>626</v>
      </c>
      <c r="F27" s="44" t="s">
        <v>627</v>
      </c>
      <c r="G27" s="135"/>
      <c r="H27" s="135"/>
      <c r="I27" s="135"/>
      <c r="J27" s="135"/>
      <c r="K27" s="135"/>
      <c r="L27" s="154"/>
      <c r="M27" s="159"/>
      <c r="N27" s="135"/>
      <c r="O27" s="135"/>
      <c r="P27" s="151"/>
      <c r="Q27" s="135"/>
      <c r="R27" s="148"/>
      <c r="S27" s="189"/>
      <c r="T27" s="107"/>
      <c r="U27" s="107"/>
      <c r="V27" s="107"/>
      <c r="W27" s="149"/>
      <c r="X27" s="145"/>
      <c r="Y27" s="173"/>
      <c r="Z27" s="107"/>
      <c r="AA27" s="107"/>
      <c r="AB27" s="107"/>
      <c r="AC27" s="107"/>
      <c r="AD27" s="145"/>
      <c r="AE27" s="38"/>
      <c r="AF27" s="38"/>
      <c r="AG27" s="38"/>
      <c r="AH27" s="38"/>
      <c r="AI27" s="38"/>
      <c r="AJ27" s="39"/>
      <c r="AK27" s="37"/>
      <c r="AL27" s="38"/>
      <c r="AM27" s="38"/>
      <c r="AN27" s="38"/>
      <c r="AO27" s="38"/>
      <c r="AP27" s="38"/>
      <c r="AQ27" s="37"/>
      <c r="AR27" s="38"/>
      <c r="AS27" s="38"/>
      <c r="AT27" s="39"/>
      <c r="AU27" s="37"/>
      <c r="AV27" s="38"/>
      <c r="AW27" s="38"/>
      <c r="AX27" s="38"/>
      <c r="AY27" s="86"/>
      <c r="AZ27" s="65"/>
      <c r="BA27" s="83"/>
      <c r="BB27" s="86"/>
      <c r="BC27" s="65"/>
      <c r="BD27" s="65"/>
      <c r="BE27" s="65"/>
      <c r="BF27" s="65"/>
      <c r="BG27" s="87"/>
      <c r="BH27" s="86"/>
      <c r="BI27" s="65"/>
      <c r="BJ27" s="65"/>
      <c r="BK27" s="65"/>
      <c r="BL27" s="65"/>
      <c r="BM27" s="87"/>
      <c r="BN27" s="26"/>
      <c r="BP27" s="26"/>
    </row>
    <row r="28" spans="1:68" ht="15.6" x14ac:dyDescent="0.3">
      <c r="A28" s="188" t="s">
        <v>793</v>
      </c>
      <c r="B28" s="40">
        <v>47</v>
      </c>
      <c r="C28" s="41" t="s">
        <v>24</v>
      </c>
      <c r="D28" s="42" t="s">
        <v>628</v>
      </c>
      <c r="E28" s="43" t="s">
        <v>629</v>
      </c>
      <c r="F28" s="44" t="s">
        <v>627</v>
      </c>
      <c r="G28" s="135"/>
      <c r="H28" s="135"/>
      <c r="I28" s="135"/>
      <c r="J28" s="135"/>
      <c r="K28" s="135"/>
      <c r="L28" s="154"/>
      <c r="M28" s="159"/>
      <c r="N28" s="135"/>
      <c r="O28" s="135"/>
      <c r="P28" s="151"/>
      <c r="Q28" s="135"/>
      <c r="R28" s="148"/>
      <c r="S28" s="189"/>
      <c r="T28" s="107"/>
      <c r="U28" s="107"/>
      <c r="V28" s="107"/>
      <c r="W28" s="149"/>
      <c r="X28" s="145"/>
      <c r="Y28" s="173"/>
      <c r="Z28" s="107"/>
      <c r="AA28" s="107"/>
      <c r="AB28" s="107"/>
      <c r="AC28" s="107"/>
      <c r="AD28" s="145"/>
      <c r="AE28" s="38"/>
      <c r="AF28" s="38"/>
      <c r="AG28" s="38"/>
      <c r="AH28" s="38"/>
      <c r="AI28" s="38"/>
      <c r="AJ28" s="39"/>
      <c r="AK28" s="37"/>
      <c r="AL28" s="38"/>
      <c r="AM28" s="38"/>
      <c r="AN28" s="38"/>
      <c r="AO28" s="38"/>
      <c r="AP28" s="38"/>
      <c r="AQ28" s="37"/>
      <c r="AR28" s="38"/>
      <c r="AS28" s="38"/>
      <c r="AT28" s="39"/>
      <c r="AU28" s="37"/>
      <c r="AV28" s="38"/>
      <c r="AW28" s="38"/>
      <c r="AX28" s="38"/>
      <c r="AY28" s="86"/>
      <c r="AZ28" s="65"/>
      <c r="BA28" s="83"/>
      <c r="BB28" s="86"/>
      <c r="BC28" s="65"/>
      <c r="BD28" s="65"/>
      <c r="BE28" s="65"/>
      <c r="BF28" s="65"/>
      <c r="BG28" s="87"/>
      <c r="BH28" s="86"/>
      <c r="BI28" s="65"/>
      <c r="BJ28" s="65"/>
      <c r="BK28" s="65"/>
      <c r="BL28" s="65"/>
      <c r="BM28" s="87"/>
      <c r="BN28" s="26"/>
      <c r="BP28" s="26"/>
    </row>
    <row r="29" spans="1:68" ht="15.6" x14ac:dyDescent="0.3">
      <c r="A29" s="188" t="s">
        <v>793</v>
      </c>
      <c r="B29" s="40">
        <v>51</v>
      </c>
      <c r="C29" s="41" t="s">
        <v>23</v>
      </c>
      <c r="D29" s="42" t="s">
        <v>630</v>
      </c>
      <c r="E29" s="43" t="s">
        <v>631</v>
      </c>
      <c r="F29" s="44" t="s">
        <v>627</v>
      </c>
      <c r="G29" s="135"/>
      <c r="H29" s="135"/>
      <c r="I29" s="135"/>
      <c r="J29" s="135"/>
      <c r="K29" s="135"/>
      <c r="L29" s="154"/>
      <c r="M29" s="159"/>
      <c r="N29" s="135"/>
      <c r="O29" s="135"/>
      <c r="P29" s="151"/>
      <c r="Q29" s="135"/>
      <c r="R29" s="148"/>
      <c r="S29" s="189"/>
      <c r="T29" s="107"/>
      <c r="U29" s="107"/>
      <c r="V29" s="107"/>
      <c r="W29" s="149"/>
      <c r="X29" s="145"/>
      <c r="Y29" s="173"/>
      <c r="Z29" s="107"/>
      <c r="AA29" s="107"/>
      <c r="AB29" s="107"/>
      <c r="AC29" s="107"/>
      <c r="AD29" s="145"/>
      <c r="AE29" s="38"/>
      <c r="AF29" s="38"/>
      <c r="AG29" s="38"/>
      <c r="AH29" s="38"/>
      <c r="AI29" s="38"/>
      <c r="AJ29" s="39"/>
      <c r="AK29" s="37"/>
      <c r="AL29" s="38"/>
      <c r="AM29" s="38"/>
      <c r="AN29" s="38"/>
      <c r="AO29" s="38"/>
      <c r="AP29" s="38"/>
      <c r="AQ29" s="37"/>
      <c r="AR29" s="38"/>
      <c r="AS29" s="38"/>
      <c r="AT29" s="39"/>
      <c r="AU29" s="37"/>
      <c r="AV29" s="38"/>
      <c r="AW29" s="38"/>
      <c r="AX29" s="38"/>
      <c r="AY29" s="86"/>
      <c r="AZ29" s="65"/>
      <c r="BA29" s="83"/>
      <c r="BB29" s="86"/>
      <c r="BC29" s="65"/>
      <c r="BD29" s="65"/>
      <c r="BE29" s="65"/>
      <c r="BF29" s="65"/>
      <c r="BG29" s="87"/>
      <c r="BH29" s="86"/>
      <c r="BI29" s="65"/>
      <c r="BJ29" s="65"/>
      <c r="BK29" s="65"/>
      <c r="BL29" s="65"/>
      <c r="BM29" s="87"/>
      <c r="BN29" s="26"/>
      <c r="BP29" s="26"/>
    </row>
    <row r="30" spans="1:68" ht="15.6" x14ac:dyDescent="0.3">
      <c r="A30" s="188" t="s">
        <v>793</v>
      </c>
      <c r="B30" s="40">
        <v>55</v>
      </c>
      <c r="C30" s="41" t="s">
        <v>1249</v>
      </c>
      <c r="D30" s="42" t="s">
        <v>632</v>
      </c>
      <c r="E30" s="43" t="s">
        <v>633</v>
      </c>
      <c r="F30" s="44" t="s">
        <v>627</v>
      </c>
      <c r="G30" s="135"/>
      <c r="H30" s="135"/>
      <c r="I30" s="135"/>
      <c r="J30" s="135"/>
      <c r="K30" s="135"/>
      <c r="L30" s="154"/>
      <c r="M30" s="159"/>
      <c r="N30" s="135"/>
      <c r="O30" s="135"/>
      <c r="P30" s="151"/>
      <c r="Q30" s="135"/>
      <c r="R30" s="148"/>
      <c r="S30" s="189"/>
      <c r="T30" s="107"/>
      <c r="U30" s="107"/>
      <c r="V30" s="107"/>
      <c r="W30" s="149"/>
      <c r="X30" s="145"/>
      <c r="Y30" s="173"/>
      <c r="Z30" s="107"/>
      <c r="AA30" s="107"/>
      <c r="AB30" s="107"/>
      <c r="AC30" s="107"/>
      <c r="AD30" s="145"/>
      <c r="AE30" s="38"/>
      <c r="AF30" s="38"/>
      <c r="AG30" s="38"/>
      <c r="AH30" s="38"/>
      <c r="AI30" s="38"/>
      <c r="AJ30" s="39"/>
      <c r="AK30" s="37"/>
      <c r="AL30" s="38"/>
      <c r="AM30" s="38"/>
      <c r="AN30" s="38"/>
      <c r="AO30" s="38"/>
      <c r="AP30" s="38"/>
      <c r="AQ30" s="37"/>
      <c r="AR30" s="38"/>
      <c r="AS30" s="38"/>
      <c r="AT30" s="39"/>
      <c r="AU30" s="37"/>
      <c r="AV30" s="38"/>
      <c r="AW30" s="38"/>
      <c r="AX30" s="38"/>
      <c r="AY30" s="86"/>
      <c r="AZ30" s="65"/>
      <c r="BA30" s="83"/>
      <c r="BB30" s="86"/>
      <c r="BC30" s="65"/>
      <c r="BD30" s="65"/>
      <c r="BE30" s="65"/>
      <c r="BF30" s="65"/>
      <c r="BG30" s="87"/>
      <c r="BH30" s="86"/>
      <c r="BI30" s="65"/>
      <c r="BJ30" s="65"/>
      <c r="BK30" s="65"/>
      <c r="BL30" s="65"/>
      <c r="BM30" s="87"/>
      <c r="BN30" s="26"/>
      <c r="BP30" s="26"/>
    </row>
    <row r="31" spans="1:68" ht="15.6" x14ac:dyDescent="0.3">
      <c r="A31" s="188" t="s">
        <v>793</v>
      </c>
      <c r="B31" s="40">
        <v>52</v>
      </c>
      <c r="C31" s="41" t="s">
        <v>1248</v>
      </c>
      <c r="D31" s="42" t="s">
        <v>634</v>
      </c>
      <c r="E31" s="43" t="s">
        <v>263</v>
      </c>
      <c r="F31" s="44" t="s">
        <v>627</v>
      </c>
      <c r="G31" s="135"/>
      <c r="H31" s="135"/>
      <c r="I31" s="135"/>
      <c r="J31" s="135"/>
      <c r="K31" s="135"/>
      <c r="L31" s="154"/>
      <c r="M31" s="159"/>
      <c r="N31" s="135"/>
      <c r="O31" s="135"/>
      <c r="P31" s="151"/>
      <c r="Q31" s="135"/>
      <c r="R31" s="148"/>
      <c r="S31" s="189"/>
      <c r="T31" s="107"/>
      <c r="U31" s="107"/>
      <c r="V31" s="107"/>
      <c r="W31" s="149"/>
      <c r="X31" s="145"/>
      <c r="Y31" s="173"/>
      <c r="Z31" s="107"/>
      <c r="AA31" s="107"/>
      <c r="AB31" s="107"/>
      <c r="AC31" s="107"/>
      <c r="AD31" s="145"/>
      <c r="AE31" s="38"/>
      <c r="AF31" s="38"/>
      <c r="AG31" s="38"/>
      <c r="AH31" s="38"/>
      <c r="AI31" s="38"/>
      <c r="AJ31" s="39"/>
      <c r="AK31" s="37"/>
      <c r="AL31" s="38"/>
      <c r="AM31" s="38"/>
      <c r="AN31" s="38"/>
      <c r="AO31" s="38"/>
      <c r="AP31" s="38"/>
      <c r="AQ31" s="37"/>
      <c r="AR31" s="38"/>
      <c r="AS31" s="38"/>
      <c r="AT31" s="39"/>
      <c r="AU31" s="37"/>
      <c r="AV31" s="38"/>
      <c r="AW31" s="38"/>
      <c r="AX31" s="38"/>
      <c r="AY31" s="86"/>
      <c r="AZ31" s="65"/>
      <c r="BA31" s="83"/>
      <c r="BB31" s="86"/>
      <c r="BC31" s="65"/>
      <c r="BD31" s="65"/>
      <c r="BE31" s="65"/>
      <c r="BF31" s="65"/>
      <c r="BG31" s="87"/>
      <c r="BH31" s="86"/>
      <c r="BI31" s="65"/>
      <c r="BJ31" s="65"/>
      <c r="BK31" s="65"/>
      <c r="BL31" s="65"/>
      <c r="BM31" s="87"/>
      <c r="BN31" s="26"/>
      <c r="BP31" s="26"/>
    </row>
    <row r="32" spans="1:68" ht="15.6" x14ac:dyDescent="0.3">
      <c r="A32" s="188" t="s">
        <v>793</v>
      </c>
      <c r="B32" s="40">
        <v>54</v>
      </c>
      <c r="C32" s="41" t="s">
        <v>171</v>
      </c>
      <c r="D32" s="42" t="s">
        <v>264</v>
      </c>
      <c r="E32" s="43" t="s">
        <v>265</v>
      </c>
      <c r="F32" s="44" t="s">
        <v>627</v>
      </c>
      <c r="G32" s="135"/>
      <c r="H32" s="135"/>
      <c r="I32" s="135"/>
      <c r="J32" s="135"/>
      <c r="K32" s="135"/>
      <c r="L32" s="154"/>
      <c r="M32" s="159"/>
      <c r="N32" s="135"/>
      <c r="O32" s="135"/>
      <c r="P32" s="151"/>
      <c r="Q32" s="135"/>
      <c r="R32" s="148"/>
      <c r="S32" s="189"/>
      <c r="T32" s="107"/>
      <c r="U32" s="107"/>
      <c r="V32" s="107"/>
      <c r="W32" s="149"/>
      <c r="X32" s="145"/>
      <c r="Y32" s="173"/>
      <c r="Z32" s="107"/>
      <c r="AA32" s="107"/>
      <c r="AB32" s="107"/>
      <c r="AC32" s="107"/>
      <c r="AD32" s="145"/>
      <c r="AE32" s="38"/>
      <c r="AF32" s="38"/>
      <c r="AG32" s="38"/>
      <c r="AH32" s="38"/>
      <c r="AI32" s="38"/>
      <c r="AJ32" s="39"/>
      <c r="AK32" s="37"/>
      <c r="AL32" s="38"/>
      <c r="AM32" s="38"/>
      <c r="AN32" s="38"/>
      <c r="AO32" s="38"/>
      <c r="AP32" s="38"/>
      <c r="AQ32" s="37"/>
      <c r="AR32" s="38"/>
      <c r="AS32" s="38"/>
      <c r="AT32" s="39"/>
      <c r="AU32" s="37"/>
      <c r="AV32" s="38"/>
      <c r="AW32" s="38"/>
      <c r="AX32" s="38"/>
      <c r="AY32" s="86"/>
      <c r="AZ32" s="65"/>
      <c r="BA32" s="83"/>
      <c r="BB32" s="86"/>
      <c r="BC32" s="65"/>
      <c r="BD32" s="65"/>
      <c r="BE32" s="65"/>
      <c r="BF32" s="65"/>
      <c r="BG32" s="87"/>
      <c r="BH32" s="86"/>
      <c r="BI32" s="65"/>
      <c r="BJ32" s="65"/>
      <c r="BK32" s="65"/>
      <c r="BL32" s="65"/>
      <c r="BM32" s="87"/>
      <c r="BN32" s="26"/>
      <c r="BP32" s="26"/>
    </row>
    <row r="33" spans="1:110" ht="15.6" x14ac:dyDescent="0.3">
      <c r="A33" s="188" t="s">
        <v>793</v>
      </c>
      <c r="B33" s="45">
        <v>40</v>
      </c>
      <c r="C33" s="41" t="s">
        <v>170</v>
      </c>
      <c r="D33" s="42" t="s">
        <v>266</v>
      </c>
      <c r="E33" s="43" t="s">
        <v>267</v>
      </c>
      <c r="F33" s="44" t="s">
        <v>627</v>
      </c>
      <c r="G33" s="135"/>
      <c r="H33" s="135"/>
      <c r="I33" s="135"/>
      <c r="J33" s="135"/>
      <c r="K33" s="135"/>
      <c r="L33" s="154"/>
      <c r="M33" s="159"/>
      <c r="N33" s="135"/>
      <c r="O33" s="135"/>
      <c r="P33" s="151"/>
      <c r="Q33" s="135"/>
      <c r="R33" s="148"/>
      <c r="S33" s="189"/>
      <c r="T33" s="107"/>
      <c r="U33" s="107"/>
      <c r="V33" s="107"/>
      <c r="W33" s="149"/>
      <c r="X33" s="145"/>
      <c r="Y33" s="173"/>
      <c r="Z33" s="107"/>
      <c r="AA33" s="107"/>
      <c r="AB33" s="107"/>
      <c r="AC33" s="107"/>
      <c r="AD33" s="145"/>
      <c r="AE33" s="38"/>
      <c r="AF33" s="38"/>
      <c r="AG33" s="38"/>
      <c r="AH33" s="38"/>
      <c r="AI33" s="38"/>
      <c r="AJ33" s="39"/>
      <c r="AK33" s="37"/>
      <c r="AL33" s="38"/>
      <c r="AM33" s="38"/>
      <c r="AN33" s="38"/>
      <c r="AO33" s="38"/>
      <c r="AP33" s="38"/>
      <c r="AQ33" s="37"/>
      <c r="AR33" s="38"/>
      <c r="AS33" s="38"/>
      <c r="AT33" s="39"/>
      <c r="AU33" s="37"/>
      <c r="AV33" s="38"/>
      <c r="AW33" s="38"/>
      <c r="AX33" s="38"/>
      <c r="AY33" s="86"/>
      <c r="AZ33" s="65"/>
      <c r="BA33" s="83"/>
      <c r="BB33" s="86"/>
      <c r="BC33" s="65"/>
      <c r="BD33" s="65"/>
      <c r="BE33" s="65"/>
      <c r="BF33" s="65"/>
      <c r="BG33" s="87"/>
      <c r="BH33" s="86"/>
      <c r="BI33" s="65"/>
      <c r="BJ33" s="65"/>
      <c r="BK33" s="65"/>
      <c r="BL33" s="65"/>
      <c r="BM33" s="87"/>
      <c r="BN33" s="26"/>
      <c r="BP33" s="26"/>
    </row>
    <row r="34" spans="1:110" ht="15.6" x14ac:dyDescent="0.3">
      <c r="A34" s="188" t="s">
        <v>793</v>
      </c>
      <c r="B34" s="46">
        <v>60</v>
      </c>
      <c r="C34" s="47" t="s">
        <v>1310</v>
      </c>
      <c r="D34" s="48" t="s">
        <v>268</v>
      </c>
      <c r="E34" s="49" t="s">
        <v>1034</v>
      </c>
      <c r="F34" s="50" t="s">
        <v>1035</v>
      </c>
      <c r="G34" s="135"/>
      <c r="H34" s="135"/>
      <c r="I34" s="135"/>
      <c r="J34" s="135"/>
      <c r="K34" s="135"/>
      <c r="L34" s="154"/>
      <c r="M34" s="159"/>
      <c r="N34" s="135"/>
      <c r="O34" s="135"/>
      <c r="P34" s="151"/>
      <c r="Q34" s="135"/>
      <c r="R34" s="148"/>
      <c r="S34" s="189"/>
      <c r="T34" s="107"/>
      <c r="U34" s="107"/>
      <c r="V34" s="107"/>
      <c r="W34" s="149"/>
      <c r="X34" s="145"/>
      <c r="Y34" s="173"/>
      <c r="Z34" s="107"/>
      <c r="AA34" s="107"/>
      <c r="AB34" s="107"/>
      <c r="AC34" s="107"/>
      <c r="AD34" s="145"/>
      <c r="AE34" s="38"/>
      <c r="AF34" s="38"/>
      <c r="AG34" s="38"/>
      <c r="AH34" s="38"/>
      <c r="AI34" s="38"/>
      <c r="AJ34" s="39"/>
      <c r="AK34" s="37"/>
      <c r="AL34" s="38"/>
      <c r="AM34" s="38"/>
      <c r="AN34" s="38"/>
      <c r="AO34" s="38"/>
      <c r="AP34" s="38"/>
      <c r="AQ34" s="37"/>
      <c r="AR34" s="38"/>
      <c r="AS34" s="38"/>
      <c r="AT34" s="39"/>
      <c r="AU34" s="37"/>
      <c r="AV34" s="38"/>
      <c r="AW34" s="38"/>
      <c r="AX34" s="38"/>
      <c r="AY34" s="86"/>
      <c r="AZ34" s="65"/>
      <c r="BA34" s="83"/>
      <c r="BB34" s="86"/>
      <c r="BC34" s="65"/>
      <c r="BD34" s="65"/>
      <c r="BE34" s="65"/>
      <c r="BF34" s="65"/>
      <c r="BG34" s="87"/>
      <c r="BH34" s="86"/>
      <c r="BI34" s="65"/>
      <c r="BJ34" s="65"/>
      <c r="BK34" s="65"/>
      <c r="BL34" s="65"/>
      <c r="BM34" s="87"/>
      <c r="BN34" s="26"/>
      <c r="BP34" s="26"/>
    </row>
    <row r="35" spans="1:110" ht="15.6" x14ac:dyDescent="0.3">
      <c r="A35" s="188"/>
      <c r="B35" s="51">
        <v>73</v>
      </c>
      <c r="C35" s="47" t="s">
        <v>1339</v>
      </c>
      <c r="D35" s="48" t="s">
        <v>1036</v>
      </c>
      <c r="E35" s="49" t="s">
        <v>1326</v>
      </c>
      <c r="F35" s="50" t="s">
        <v>1035</v>
      </c>
      <c r="G35" s="135"/>
      <c r="H35" s="135"/>
      <c r="I35" s="135"/>
      <c r="J35" s="135"/>
      <c r="K35" s="135"/>
      <c r="L35" s="154"/>
      <c r="M35" s="159"/>
      <c r="N35" s="135"/>
      <c r="O35" s="135"/>
      <c r="P35" s="151"/>
      <c r="Q35" s="135"/>
      <c r="R35" s="148"/>
      <c r="S35" s="189"/>
      <c r="T35" s="107"/>
      <c r="U35" s="107"/>
      <c r="V35" s="107"/>
      <c r="W35" s="149"/>
      <c r="X35" s="145"/>
      <c r="Y35" s="173"/>
      <c r="Z35" s="107"/>
      <c r="AA35" s="107"/>
      <c r="AB35" s="107"/>
      <c r="AC35" s="107"/>
      <c r="AD35" s="145"/>
      <c r="AE35" s="38"/>
      <c r="AF35" s="38"/>
      <c r="AG35" s="38"/>
      <c r="AH35" s="38"/>
      <c r="AI35" s="38"/>
      <c r="AJ35" s="39"/>
      <c r="AK35" s="37"/>
      <c r="AL35" s="38"/>
      <c r="AM35" s="38"/>
      <c r="AN35" s="38"/>
      <c r="AO35" s="38"/>
      <c r="AP35" s="38"/>
      <c r="AQ35" s="37"/>
      <c r="AR35" s="38"/>
      <c r="AS35" s="38"/>
      <c r="AT35" s="39"/>
      <c r="AU35" s="37"/>
      <c r="AV35" s="38"/>
      <c r="AW35" s="38"/>
      <c r="AX35" s="38"/>
      <c r="AY35" s="86"/>
      <c r="AZ35" s="65"/>
      <c r="BA35" s="83"/>
      <c r="BB35" s="86"/>
      <c r="BC35" s="65"/>
      <c r="BD35" s="65"/>
      <c r="BE35" s="65"/>
      <c r="BF35" s="65"/>
      <c r="BG35" s="87"/>
      <c r="BH35" s="86"/>
      <c r="BI35" s="65"/>
      <c r="BJ35" s="65"/>
      <c r="BK35" s="65"/>
      <c r="BL35" s="65"/>
      <c r="BM35" s="87"/>
      <c r="BN35" s="26"/>
      <c r="BP35" s="26"/>
    </row>
    <row r="36" spans="1:110" ht="15.6" x14ac:dyDescent="0.3">
      <c r="A36" s="188" t="s">
        <v>793</v>
      </c>
      <c r="B36" s="51">
        <v>63</v>
      </c>
      <c r="C36" s="47" t="s">
        <v>1340</v>
      </c>
      <c r="D36" s="48" t="s">
        <v>1327</v>
      </c>
      <c r="E36" s="49" t="s">
        <v>1328</v>
      </c>
      <c r="F36" s="50" t="s">
        <v>1035</v>
      </c>
      <c r="G36" s="135"/>
      <c r="H36" s="135"/>
      <c r="I36" s="135"/>
      <c r="J36" s="135"/>
      <c r="K36" s="135"/>
      <c r="L36" s="154"/>
      <c r="M36" s="159"/>
      <c r="N36" s="135"/>
      <c r="O36" s="135"/>
      <c r="P36" s="151"/>
      <c r="Q36" s="135"/>
      <c r="R36" s="148"/>
      <c r="S36" s="189"/>
      <c r="T36" s="107"/>
      <c r="U36" s="107"/>
      <c r="V36" s="107"/>
      <c r="W36" s="149"/>
      <c r="X36" s="145"/>
      <c r="Y36" s="173"/>
      <c r="Z36" s="107"/>
      <c r="AA36" s="107"/>
      <c r="AB36" s="107"/>
      <c r="AC36" s="107"/>
      <c r="AD36" s="145"/>
      <c r="AE36" s="38"/>
      <c r="AF36" s="38"/>
      <c r="AG36" s="38"/>
      <c r="AH36" s="38"/>
      <c r="AI36" s="38"/>
      <c r="AJ36" s="39"/>
      <c r="AK36" s="37"/>
      <c r="AL36" s="38"/>
      <c r="AM36" s="38"/>
      <c r="AN36" s="38"/>
      <c r="AO36" s="38"/>
      <c r="AP36" s="38"/>
      <c r="AQ36" s="37"/>
      <c r="AR36" s="38"/>
      <c r="AS36" s="38"/>
      <c r="AT36" s="39"/>
      <c r="AU36" s="37"/>
      <c r="AV36" s="38"/>
      <c r="AW36" s="38"/>
      <c r="AX36" s="38"/>
      <c r="AY36" s="86"/>
      <c r="AZ36" s="65"/>
      <c r="BA36" s="83"/>
      <c r="BB36" s="86"/>
      <c r="BC36" s="65"/>
      <c r="BD36" s="65"/>
      <c r="BE36" s="65"/>
      <c r="BF36" s="65"/>
      <c r="BG36" s="87"/>
      <c r="BH36" s="86"/>
      <c r="BI36" s="65"/>
      <c r="BJ36" s="65"/>
      <c r="BK36" s="65"/>
      <c r="BL36" s="65"/>
      <c r="BM36" s="87"/>
      <c r="BN36" s="26"/>
      <c r="BP36" s="26"/>
    </row>
    <row r="37" spans="1:110" ht="15.6" x14ac:dyDescent="0.3">
      <c r="A37" s="188" t="s">
        <v>793</v>
      </c>
      <c r="B37" s="48">
        <v>61</v>
      </c>
      <c r="C37" s="47" t="s">
        <v>167</v>
      </c>
      <c r="D37" s="48" t="s">
        <v>1329</v>
      </c>
      <c r="E37" s="49" t="s">
        <v>1330</v>
      </c>
      <c r="F37" s="50" t="s">
        <v>1035</v>
      </c>
      <c r="G37" s="135"/>
      <c r="H37" s="135"/>
      <c r="I37" s="135"/>
      <c r="J37" s="135"/>
      <c r="K37" s="135"/>
      <c r="L37" s="154"/>
      <c r="M37" s="159"/>
      <c r="N37" s="135"/>
      <c r="O37" s="135"/>
      <c r="P37" s="151"/>
      <c r="Q37" s="135"/>
      <c r="R37" s="148"/>
      <c r="S37" s="189"/>
      <c r="T37" s="107"/>
      <c r="U37" s="107"/>
      <c r="V37" s="107"/>
      <c r="W37" s="149"/>
      <c r="X37" s="145"/>
      <c r="Y37" s="173"/>
      <c r="Z37" s="107"/>
      <c r="AA37" s="107"/>
      <c r="AB37" s="107"/>
      <c r="AC37" s="107"/>
      <c r="AD37" s="145"/>
      <c r="AE37" s="38"/>
      <c r="AF37" s="38"/>
      <c r="AG37" s="38"/>
      <c r="AH37" s="38"/>
      <c r="AI37" s="38"/>
      <c r="AJ37" s="39"/>
      <c r="AK37" s="37"/>
      <c r="AL37" s="38"/>
      <c r="AM37" s="38"/>
      <c r="AN37" s="38"/>
      <c r="AO37" s="38"/>
      <c r="AP37" s="38"/>
      <c r="AQ37" s="37"/>
      <c r="AR37" s="38"/>
      <c r="AS37" s="38"/>
      <c r="AT37" s="39"/>
      <c r="AU37" s="37"/>
      <c r="AV37" s="38"/>
      <c r="AW37" s="38"/>
      <c r="AX37" s="38"/>
      <c r="AY37" s="86"/>
      <c r="AZ37" s="65"/>
      <c r="BA37" s="83"/>
      <c r="BB37" s="86"/>
      <c r="BC37" s="65"/>
      <c r="BD37" s="65"/>
      <c r="BE37" s="65"/>
      <c r="BF37" s="65"/>
      <c r="BG37" s="87"/>
      <c r="BH37" s="86"/>
      <c r="BI37" s="65"/>
      <c r="BJ37" s="65"/>
      <c r="BK37" s="65"/>
      <c r="BL37" s="65"/>
      <c r="BM37" s="87"/>
      <c r="BN37" s="26"/>
      <c r="BP37" s="26"/>
    </row>
    <row r="38" spans="1:110" ht="15.6" x14ac:dyDescent="0.3">
      <c r="A38" s="188" t="s">
        <v>793</v>
      </c>
      <c r="B38" s="51">
        <v>69</v>
      </c>
      <c r="C38" s="47" t="s">
        <v>168</v>
      </c>
      <c r="D38" s="48" t="s">
        <v>1331</v>
      </c>
      <c r="E38" s="49" t="s">
        <v>1332</v>
      </c>
      <c r="F38" s="50" t="s">
        <v>1035</v>
      </c>
      <c r="G38" s="135"/>
      <c r="H38" s="135"/>
      <c r="I38" s="135"/>
      <c r="J38" s="135"/>
      <c r="K38" s="135"/>
      <c r="L38" s="154"/>
      <c r="M38" s="159"/>
      <c r="N38" s="135"/>
      <c r="O38" s="135"/>
      <c r="P38" s="151"/>
      <c r="Q38" s="135"/>
      <c r="R38" s="148"/>
      <c r="S38" s="189"/>
      <c r="T38" s="107"/>
      <c r="U38" s="107"/>
      <c r="V38" s="107"/>
      <c r="W38" s="149"/>
      <c r="X38" s="145"/>
      <c r="Y38" s="173"/>
      <c r="Z38" s="107"/>
      <c r="AA38" s="107"/>
      <c r="AB38" s="107"/>
      <c r="AC38" s="107"/>
      <c r="AD38" s="145"/>
      <c r="AE38" s="38"/>
      <c r="AF38" s="38"/>
      <c r="AG38" s="38"/>
      <c r="AH38" s="38"/>
      <c r="AI38" s="38"/>
      <c r="AJ38" s="39"/>
      <c r="AK38" s="37"/>
      <c r="AL38" s="38"/>
      <c r="AM38" s="38"/>
      <c r="AN38" s="38"/>
      <c r="AO38" s="38"/>
      <c r="AP38" s="38"/>
      <c r="AQ38" s="37"/>
      <c r="AR38" s="38"/>
      <c r="AS38" s="38"/>
      <c r="AT38" s="39"/>
      <c r="AU38" s="37"/>
      <c r="AV38" s="38"/>
      <c r="AW38" s="38"/>
      <c r="AX38" s="38"/>
      <c r="AY38" s="86"/>
      <c r="AZ38" s="65"/>
      <c r="BA38" s="83"/>
      <c r="BB38" s="86"/>
      <c r="BC38" s="65"/>
      <c r="BD38" s="65"/>
      <c r="BE38" s="65"/>
      <c r="BF38" s="65"/>
      <c r="BG38" s="87"/>
      <c r="BH38" s="86"/>
      <c r="BI38" s="65"/>
      <c r="BJ38" s="65"/>
      <c r="BK38" s="65"/>
      <c r="BL38" s="65"/>
      <c r="BM38" s="87"/>
      <c r="BN38" s="26"/>
      <c r="BP38" s="26"/>
    </row>
    <row r="39" spans="1:110" ht="15.6" x14ac:dyDescent="0.3">
      <c r="A39" s="188" t="s">
        <v>793</v>
      </c>
      <c r="B39" s="51">
        <v>75</v>
      </c>
      <c r="C39" s="47" t="s">
        <v>1333</v>
      </c>
      <c r="D39" s="48" t="s">
        <v>1334</v>
      </c>
      <c r="E39" s="49" t="s">
        <v>1335</v>
      </c>
      <c r="F39" s="50" t="s">
        <v>1035</v>
      </c>
      <c r="G39" s="135"/>
      <c r="H39" s="135"/>
      <c r="I39" s="135"/>
      <c r="J39" s="135"/>
      <c r="K39" s="135"/>
      <c r="L39" s="154"/>
      <c r="M39" s="159"/>
      <c r="N39" s="135"/>
      <c r="O39" s="135"/>
      <c r="P39" s="151"/>
      <c r="Q39" s="135"/>
      <c r="R39" s="148"/>
      <c r="S39" s="189"/>
      <c r="T39" s="107"/>
      <c r="U39" s="107"/>
      <c r="V39" s="107"/>
      <c r="W39" s="149"/>
      <c r="X39" s="145"/>
      <c r="Y39" s="173"/>
      <c r="Z39" s="107"/>
      <c r="AA39" s="107"/>
      <c r="AB39" s="107"/>
      <c r="AC39" s="107"/>
      <c r="AD39" s="145"/>
      <c r="AE39" s="38"/>
      <c r="AF39" s="38"/>
      <c r="AG39" s="38"/>
      <c r="AH39" s="38"/>
      <c r="AI39" s="38"/>
      <c r="AJ39" s="39"/>
      <c r="AK39" s="37"/>
      <c r="AL39" s="38"/>
      <c r="AM39" s="38"/>
      <c r="AN39" s="38"/>
      <c r="AO39" s="38"/>
      <c r="AP39" s="38"/>
      <c r="AQ39" s="37"/>
      <c r="AR39" s="38"/>
      <c r="AS39" s="38"/>
      <c r="AT39" s="39"/>
      <c r="AU39" s="37"/>
      <c r="AV39" s="38"/>
      <c r="AW39" s="38"/>
      <c r="AX39" s="38"/>
      <c r="AY39" s="86"/>
      <c r="AZ39" s="65"/>
      <c r="BA39" s="83"/>
      <c r="BB39" s="86"/>
      <c r="BC39" s="65"/>
      <c r="BD39" s="65"/>
      <c r="BE39" s="65"/>
      <c r="BF39" s="65"/>
      <c r="BG39" s="87"/>
      <c r="BH39" s="86"/>
      <c r="BI39" s="65"/>
      <c r="BJ39" s="65"/>
      <c r="BK39" s="65"/>
      <c r="BL39" s="65"/>
      <c r="BM39" s="87"/>
      <c r="BN39" s="26"/>
      <c r="BP39" s="26"/>
    </row>
    <row r="40" spans="1:110" ht="16.2" thickBot="1" x14ac:dyDescent="0.35">
      <c r="A40" s="188" t="s">
        <v>793</v>
      </c>
      <c r="B40" s="51">
        <v>71</v>
      </c>
      <c r="C40" s="47" t="s">
        <v>169</v>
      </c>
      <c r="D40" s="48" t="s">
        <v>1336</v>
      </c>
      <c r="E40" s="49" t="s">
        <v>1337</v>
      </c>
      <c r="F40" s="50" t="s">
        <v>1035</v>
      </c>
      <c r="G40" s="135"/>
      <c r="H40" s="135"/>
      <c r="I40" s="135"/>
      <c r="J40" s="135"/>
      <c r="K40" s="135"/>
      <c r="L40" s="154"/>
      <c r="M40" s="159"/>
      <c r="N40" s="135"/>
      <c r="O40" s="135"/>
      <c r="P40" s="151"/>
      <c r="Q40" s="135"/>
      <c r="R40" s="148"/>
      <c r="S40" s="189"/>
      <c r="T40" s="107"/>
      <c r="U40" s="107"/>
      <c r="V40" s="107"/>
      <c r="W40" s="149"/>
      <c r="X40" s="145"/>
      <c r="Y40" s="173"/>
      <c r="Z40" s="107"/>
      <c r="AA40" s="107"/>
      <c r="AB40" s="107"/>
      <c r="AC40" s="107"/>
      <c r="AD40" s="145"/>
      <c r="AE40" s="53"/>
      <c r="AF40" s="53"/>
      <c r="AG40" s="38"/>
      <c r="AH40" s="53"/>
      <c r="AI40" s="53"/>
      <c r="AJ40" s="39"/>
      <c r="AK40" s="52"/>
      <c r="AL40" s="53"/>
      <c r="AM40" s="38"/>
      <c r="AN40" s="53"/>
      <c r="AO40" s="53"/>
      <c r="AP40" s="38"/>
      <c r="AQ40" s="52"/>
      <c r="AR40" s="53"/>
      <c r="AS40" s="53"/>
      <c r="AT40" s="54"/>
      <c r="AU40" s="52"/>
      <c r="AV40" s="53"/>
      <c r="AW40" s="53"/>
      <c r="AX40" s="53"/>
      <c r="AY40" s="161"/>
      <c r="AZ40" s="162"/>
      <c r="BA40" s="257"/>
      <c r="BB40" s="161"/>
      <c r="BC40" s="162"/>
      <c r="BD40" s="162"/>
      <c r="BE40" s="162"/>
      <c r="BF40" s="162"/>
      <c r="BG40" s="163"/>
      <c r="BH40" s="161"/>
      <c r="BI40" s="162"/>
      <c r="BJ40" s="162"/>
      <c r="BK40" s="162"/>
      <c r="BL40" s="162"/>
      <c r="BM40" s="163"/>
      <c r="BN40" s="26"/>
      <c r="BP40" s="26"/>
    </row>
    <row r="41" spans="1:110" ht="16.2" thickBot="1" x14ac:dyDescent="0.35">
      <c r="E41" s="79" t="s">
        <v>423</v>
      </c>
      <c r="F41" s="58" t="s">
        <v>380</v>
      </c>
      <c r="G41" s="65"/>
      <c r="H41" s="65"/>
      <c r="I41" s="65"/>
      <c r="J41" s="65"/>
      <c r="K41" s="65"/>
      <c r="L41" s="83"/>
      <c r="M41" s="161"/>
      <c r="N41" s="162"/>
      <c r="O41" s="162"/>
      <c r="P41" s="162"/>
      <c r="Q41" s="162"/>
      <c r="R41" s="163"/>
      <c r="S41" s="161"/>
      <c r="T41" s="162"/>
      <c r="U41" s="162"/>
      <c r="V41" s="162"/>
      <c r="W41" s="170"/>
      <c r="X41" s="163"/>
      <c r="Y41" s="161"/>
      <c r="Z41" s="162"/>
      <c r="AA41" s="162"/>
      <c r="AB41" s="162"/>
      <c r="AC41" s="162"/>
      <c r="AD41" s="163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358"/>
      <c r="BB41" s="26"/>
      <c r="BE41" s="26"/>
      <c r="BI41" s="26"/>
      <c r="BL41" s="26"/>
    </row>
    <row r="42" spans="1:110" x14ac:dyDescent="0.25">
      <c r="S42" s="55"/>
      <c r="Y42" s="55"/>
      <c r="AE42" s="55"/>
      <c r="AF42" s="55"/>
      <c r="AG42" s="55"/>
      <c r="AH42" s="55"/>
      <c r="AI42" s="55"/>
      <c r="AK42" s="55"/>
      <c r="AL42" s="55"/>
      <c r="AM42" s="55"/>
      <c r="AO42" s="55"/>
      <c r="AQ42" s="55"/>
      <c r="AR42" s="55"/>
      <c r="AS42" s="55"/>
      <c r="AT42" s="26"/>
      <c r="BC42" s="26"/>
      <c r="BG42" s="272"/>
      <c r="BI42" s="26"/>
      <c r="BL42" s="26"/>
    </row>
    <row r="43" spans="1:110" ht="13.8" thickBot="1" x14ac:dyDescent="0.3">
      <c r="AO43" s="26"/>
      <c r="AQ43" s="26"/>
      <c r="AR43" s="26"/>
      <c r="AS43" s="26"/>
      <c r="AT43" s="26"/>
      <c r="BI43" s="26"/>
      <c r="BL43" s="26"/>
    </row>
    <row r="44" spans="1:110" ht="13.5" customHeight="1" thickBot="1" x14ac:dyDescent="0.3">
      <c r="A44" s="396"/>
      <c r="B44" s="396" t="s">
        <v>468</v>
      </c>
      <c r="C44" s="396" t="s">
        <v>469</v>
      </c>
      <c r="D44" s="397" t="s">
        <v>470</v>
      </c>
      <c r="E44" s="397" t="s">
        <v>277</v>
      </c>
      <c r="F44" s="73"/>
      <c r="G44" s="434"/>
      <c r="H44" s="434"/>
      <c r="I44" s="434"/>
      <c r="J44" s="434"/>
      <c r="K44" s="434"/>
      <c r="L44" s="434"/>
      <c r="M44" s="434"/>
      <c r="N44" s="434"/>
      <c r="O44" s="434"/>
      <c r="P44" s="434"/>
      <c r="Q44" s="434"/>
      <c r="R44" s="434"/>
      <c r="S44" s="434"/>
      <c r="T44" s="434"/>
      <c r="U44" s="434"/>
      <c r="V44" s="434"/>
      <c r="W44" s="434"/>
      <c r="X44" s="434"/>
      <c r="Y44" s="434"/>
      <c r="Z44" s="434"/>
      <c r="AA44" s="432"/>
      <c r="AB44" s="432"/>
      <c r="AC44" s="432"/>
      <c r="AD44" s="432"/>
      <c r="AE44" s="432"/>
      <c r="AF44" s="432"/>
      <c r="AG44" s="432"/>
      <c r="AH44" s="432"/>
      <c r="AI44" s="432"/>
      <c r="AJ44" s="432"/>
      <c r="AK44" s="432"/>
      <c r="AL44" s="432"/>
      <c r="AM44" s="432"/>
      <c r="AN44" s="432"/>
      <c r="AO44" s="432"/>
      <c r="AP44" s="432"/>
      <c r="AQ44" s="432"/>
      <c r="AR44" s="432"/>
      <c r="AS44" s="432"/>
      <c r="AT44" s="432"/>
      <c r="AU44" s="433"/>
      <c r="AV44" s="433"/>
      <c r="AW44" s="433"/>
      <c r="AX44" s="433"/>
      <c r="AY44" s="433"/>
      <c r="AZ44" s="433"/>
      <c r="BA44" s="433"/>
      <c r="BB44" s="433"/>
      <c r="BC44" s="433"/>
      <c r="BD44" s="433"/>
      <c r="BE44" s="433"/>
      <c r="BF44" s="433"/>
      <c r="BG44" s="433"/>
      <c r="BH44" s="433"/>
      <c r="BI44" s="433"/>
      <c r="BJ44" s="433"/>
      <c r="BK44" s="433"/>
      <c r="BL44" s="433"/>
      <c r="BM44" s="433"/>
      <c r="BN44" s="433"/>
      <c r="BO44" s="418"/>
      <c r="BP44" s="418"/>
      <c r="BQ44" s="418"/>
      <c r="BR44" s="418"/>
      <c r="BS44" s="418"/>
      <c r="BT44" s="418"/>
      <c r="BU44" s="418"/>
      <c r="BV44" s="418"/>
      <c r="BW44" s="418"/>
      <c r="BX44" s="418"/>
      <c r="BY44" s="418"/>
      <c r="BZ44" s="418"/>
      <c r="CA44" s="418"/>
      <c r="CB44" s="418"/>
      <c r="CC44" s="418"/>
      <c r="CD44" s="418"/>
      <c r="CE44" s="418"/>
      <c r="CF44" s="418"/>
      <c r="CG44" s="418"/>
      <c r="CH44" s="418"/>
      <c r="CI44" s="423" t="s">
        <v>682</v>
      </c>
      <c r="CJ44" s="423"/>
      <c r="CK44" s="423"/>
      <c r="CL44" s="423"/>
      <c r="CM44" s="423"/>
      <c r="CN44" s="423"/>
      <c r="CO44" s="423"/>
      <c r="CP44" s="423"/>
      <c r="CQ44" s="423"/>
      <c r="CR44" s="423"/>
      <c r="CS44" s="423"/>
      <c r="CT44" s="423"/>
      <c r="CU44" s="423"/>
      <c r="CV44" s="423"/>
      <c r="CW44" s="423"/>
      <c r="CX44" s="423"/>
      <c r="CY44" s="423"/>
      <c r="CZ44" s="423"/>
      <c r="DA44" s="423"/>
      <c r="DB44" s="424"/>
      <c r="DC44" s="128" t="s">
        <v>298</v>
      </c>
      <c r="DD44" s="129"/>
      <c r="DE44" s="129"/>
      <c r="DF44" s="130"/>
    </row>
    <row r="45" spans="1:110" ht="36" customHeight="1" x14ac:dyDescent="0.25">
      <c r="A45" s="396"/>
      <c r="B45" s="396"/>
      <c r="C45" s="396"/>
      <c r="D45" s="397"/>
      <c r="E45" s="397"/>
      <c r="F45" s="73"/>
      <c r="G45" s="427"/>
      <c r="H45" s="428"/>
      <c r="I45" s="428"/>
      <c r="J45" s="429"/>
      <c r="K45" s="427"/>
      <c r="L45" s="428"/>
      <c r="M45" s="428"/>
      <c r="N45" s="429"/>
      <c r="O45" s="427"/>
      <c r="P45" s="428"/>
      <c r="Q45" s="428"/>
      <c r="R45" s="429"/>
      <c r="S45" s="427"/>
      <c r="T45" s="428"/>
      <c r="U45" s="428"/>
      <c r="V45" s="429"/>
      <c r="W45" s="427"/>
      <c r="X45" s="428"/>
      <c r="Y45" s="428"/>
      <c r="Z45" s="429"/>
      <c r="AA45" s="431"/>
      <c r="AB45" s="426"/>
      <c r="AC45" s="426"/>
      <c r="AD45" s="426"/>
      <c r="AE45" s="426"/>
      <c r="AF45" s="426"/>
      <c r="AG45" s="426"/>
      <c r="AH45" s="426"/>
      <c r="AI45" s="426"/>
      <c r="AJ45" s="426"/>
      <c r="AK45" s="426"/>
      <c r="AL45" s="426"/>
      <c r="AM45" s="426"/>
      <c r="AN45" s="426"/>
      <c r="AO45" s="426"/>
      <c r="AP45" s="426"/>
      <c r="AQ45" s="426"/>
      <c r="AR45" s="426"/>
      <c r="AS45" s="426"/>
      <c r="AT45" s="426"/>
      <c r="AU45" s="425"/>
      <c r="AV45" s="425"/>
      <c r="AW45" s="425"/>
      <c r="AX45" s="425"/>
      <c r="AY45" s="425"/>
      <c r="AZ45" s="425"/>
      <c r="BA45" s="425"/>
      <c r="BB45" s="425"/>
      <c r="BC45" s="425"/>
      <c r="BD45" s="425"/>
      <c r="BE45" s="425"/>
      <c r="BF45" s="425"/>
      <c r="BG45" s="425"/>
      <c r="BH45" s="425"/>
      <c r="BI45" s="425"/>
      <c r="BJ45" s="425"/>
      <c r="BK45" s="425"/>
      <c r="BL45" s="425"/>
      <c r="BM45" s="425"/>
      <c r="BN45" s="425"/>
      <c r="BO45" s="417"/>
      <c r="BP45" s="417"/>
      <c r="BQ45" s="417"/>
      <c r="BR45" s="417"/>
      <c r="BS45" s="417"/>
      <c r="BT45" s="417"/>
      <c r="BU45" s="417"/>
      <c r="BV45" s="417"/>
      <c r="BW45" s="417"/>
      <c r="BX45" s="417"/>
      <c r="BY45" s="417"/>
      <c r="BZ45" s="417"/>
      <c r="CA45" s="417"/>
      <c r="CB45" s="417"/>
      <c r="CC45" s="417"/>
      <c r="CD45" s="417"/>
      <c r="CE45" s="417"/>
      <c r="CF45" s="417"/>
      <c r="CG45" s="417"/>
      <c r="CH45" s="417"/>
      <c r="CI45" s="422">
        <v>0</v>
      </c>
      <c r="CJ45" s="422"/>
      <c r="CK45" s="422"/>
      <c r="CL45" s="422"/>
      <c r="CM45" s="422" t="s">
        <v>220</v>
      </c>
      <c r="CN45" s="422"/>
      <c r="CO45" s="422"/>
      <c r="CP45" s="422"/>
      <c r="CQ45" s="422" t="s">
        <v>221</v>
      </c>
      <c r="CR45" s="422"/>
      <c r="CS45" s="422"/>
      <c r="CT45" s="422"/>
      <c r="CU45" s="422" t="s">
        <v>222</v>
      </c>
      <c r="CV45" s="422"/>
      <c r="CW45" s="422"/>
      <c r="CX45" s="422"/>
      <c r="CY45" s="422" t="s">
        <v>223</v>
      </c>
      <c r="CZ45" s="422"/>
      <c r="DA45" s="422"/>
      <c r="DB45" s="430"/>
      <c r="DC45" s="419">
        <v>0</v>
      </c>
      <c r="DD45" s="420"/>
      <c r="DE45" s="420"/>
      <c r="DF45" s="421"/>
    </row>
    <row r="46" spans="1:110" ht="12.75" customHeight="1" x14ac:dyDescent="0.25">
      <c r="A46" s="30"/>
      <c r="B46" s="30"/>
      <c r="C46" s="30"/>
      <c r="D46" s="31"/>
      <c r="E46" s="31"/>
      <c r="F46" s="73"/>
      <c r="G46" s="117"/>
      <c r="H46" s="116"/>
      <c r="I46" s="116"/>
      <c r="J46" s="118"/>
      <c r="K46" s="117"/>
      <c r="L46" s="116"/>
      <c r="M46" s="116"/>
      <c r="N46" s="118"/>
      <c r="O46" s="117"/>
      <c r="P46" s="116"/>
      <c r="Q46" s="116"/>
      <c r="R46" s="118"/>
      <c r="S46" s="117"/>
      <c r="T46" s="116"/>
      <c r="U46" s="116"/>
      <c r="V46" s="118"/>
      <c r="W46" s="117"/>
      <c r="X46" s="116"/>
      <c r="Y46" s="116"/>
      <c r="Z46" s="118"/>
      <c r="AA46" s="120"/>
      <c r="AB46" s="119"/>
      <c r="AC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2"/>
      <c r="BP46" s="122"/>
      <c r="BQ46" s="122"/>
      <c r="BR46" s="122"/>
      <c r="BS46" s="122"/>
      <c r="BT46" s="122"/>
      <c r="BU46" s="122"/>
      <c r="BV46" s="122"/>
      <c r="BW46" s="122"/>
      <c r="BX46" s="122"/>
      <c r="BY46" s="122"/>
      <c r="BZ46" s="122"/>
      <c r="CA46" s="122"/>
      <c r="CB46" s="122"/>
      <c r="CC46" s="122"/>
      <c r="CD46" s="122"/>
      <c r="CE46" s="122"/>
      <c r="CF46" s="122"/>
      <c r="CG46" s="122"/>
      <c r="CH46" s="122"/>
      <c r="CI46" s="123" t="s">
        <v>225</v>
      </c>
      <c r="CJ46" s="123" t="s">
        <v>226</v>
      </c>
      <c r="CK46" s="123" t="s">
        <v>227</v>
      </c>
      <c r="CL46" s="123" t="s">
        <v>656</v>
      </c>
      <c r="CM46" s="123" t="s">
        <v>225</v>
      </c>
      <c r="CN46" s="123" t="s">
        <v>226</v>
      </c>
      <c r="CO46" s="123" t="s">
        <v>227</v>
      </c>
      <c r="CP46" s="123" t="s">
        <v>656</v>
      </c>
      <c r="CQ46" s="123" t="s">
        <v>225</v>
      </c>
      <c r="CR46" s="123" t="s">
        <v>226</v>
      </c>
      <c r="CS46" s="123" t="s">
        <v>227</v>
      </c>
      <c r="CT46" s="123" t="s">
        <v>656</v>
      </c>
      <c r="CU46" s="123" t="s">
        <v>225</v>
      </c>
      <c r="CV46" s="123" t="s">
        <v>226</v>
      </c>
      <c r="CW46" s="123" t="s">
        <v>227</v>
      </c>
      <c r="CX46" s="123" t="s">
        <v>656</v>
      </c>
      <c r="CY46" s="123" t="s">
        <v>225</v>
      </c>
      <c r="CZ46" s="123" t="s">
        <v>226</v>
      </c>
      <c r="DA46" s="123" t="s">
        <v>227</v>
      </c>
      <c r="DB46" s="124" t="s">
        <v>656</v>
      </c>
      <c r="DC46" s="125" t="s">
        <v>225</v>
      </c>
      <c r="DD46" s="126" t="s">
        <v>226</v>
      </c>
      <c r="DE46" s="126" t="s">
        <v>227</v>
      </c>
      <c r="DF46" s="127" t="s">
        <v>656</v>
      </c>
    </row>
    <row r="47" spans="1:110" ht="15.6" x14ac:dyDescent="0.3">
      <c r="A47" s="30"/>
      <c r="B47" s="32">
        <v>38</v>
      </c>
      <c r="C47" s="33" t="s">
        <v>377</v>
      </c>
      <c r="D47" s="34" t="s">
        <v>378</v>
      </c>
      <c r="E47" s="35" t="s">
        <v>379</v>
      </c>
      <c r="F47" s="71" t="s">
        <v>380</v>
      </c>
      <c r="G47" s="131"/>
      <c r="H47" s="132"/>
      <c r="I47" s="132"/>
      <c r="J47" s="133"/>
      <c r="K47" s="131"/>
      <c r="L47" s="132"/>
      <c r="M47" s="132"/>
      <c r="N47" s="133"/>
      <c r="O47" s="131"/>
      <c r="P47" s="132"/>
      <c r="Q47" s="132"/>
      <c r="R47" s="133"/>
      <c r="S47" s="131"/>
      <c r="T47" s="132"/>
      <c r="U47" s="132"/>
      <c r="V47" s="133"/>
      <c r="W47" s="131"/>
      <c r="X47" s="132"/>
      <c r="Y47" s="132"/>
      <c r="Z47" s="133"/>
      <c r="AA47" s="134"/>
      <c r="AB47" s="135"/>
      <c r="AC47" s="135"/>
      <c r="AD47" s="148"/>
      <c r="AE47" s="135"/>
      <c r="AF47" s="135"/>
      <c r="AG47" s="135"/>
      <c r="AH47" s="148"/>
      <c r="AI47" s="135"/>
      <c r="AJ47" s="135"/>
      <c r="AK47" s="135"/>
      <c r="AL47" s="148"/>
      <c r="AM47" s="135"/>
      <c r="AN47" s="135"/>
      <c r="AO47" s="135"/>
      <c r="AP47" s="148"/>
      <c r="AQ47" s="135"/>
      <c r="AR47" s="135"/>
      <c r="AS47" s="135"/>
      <c r="AT47" s="148"/>
      <c r="AU47" s="136"/>
      <c r="AV47" s="136"/>
      <c r="AW47" s="136"/>
      <c r="AX47" s="147"/>
      <c r="AY47" s="136"/>
      <c r="AZ47" s="136"/>
      <c r="BA47" s="136"/>
      <c r="BB47" s="147"/>
      <c r="BC47" s="136"/>
      <c r="BD47" s="136"/>
      <c r="BE47" s="136"/>
      <c r="BF47" s="147"/>
      <c r="BG47" s="136"/>
      <c r="BH47" s="136"/>
      <c r="BI47" s="136"/>
      <c r="BJ47" s="147"/>
      <c r="BK47" s="136"/>
      <c r="BL47" s="136"/>
      <c r="BM47" s="136"/>
      <c r="BN47" s="147"/>
      <c r="BO47" s="106"/>
      <c r="BP47" s="106"/>
      <c r="BQ47" s="106"/>
      <c r="BR47" s="146"/>
      <c r="BS47" s="106"/>
      <c r="BT47" s="106"/>
      <c r="BU47" s="106"/>
      <c r="BV47" s="146"/>
      <c r="BW47" s="106"/>
      <c r="BX47" s="106"/>
      <c r="BY47" s="106"/>
      <c r="BZ47" s="146"/>
      <c r="CA47" s="106"/>
      <c r="CB47" s="106"/>
      <c r="CC47" s="106"/>
      <c r="CD47" s="146"/>
      <c r="CE47" s="106"/>
      <c r="CF47" s="106"/>
      <c r="CG47" s="106"/>
      <c r="CH47" s="146"/>
      <c r="CI47" s="107">
        <v>292318605.27999985</v>
      </c>
      <c r="CJ47" s="107">
        <v>283058424.36000001</v>
      </c>
      <c r="CK47" s="107"/>
      <c r="CL47" s="145">
        <f>IF(ABS(CJ47-CI47)&gt;0.01,CJ47-CI47,IF(ABS(CJ47-CK47)&gt;0.01,CJ47-CK47,0))</f>
        <v>-9260180.9199998379</v>
      </c>
      <c r="CM47" s="107">
        <v>963503.88</v>
      </c>
      <c r="CN47" s="107">
        <v>225750.19</v>
      </c>
      <c r="CO47" s="107">
        <v>319726.84999999998</v>
      </c>
      <c r="CP47" s="145">
        <f>IF(ABS(CN47-CM47)&gt;0.01,CN47-CM47,IF(ABS(CN47-CO47)&gt;0.01,CN47-CO47,0))</f>
        <v>-737753.69</v>
      </c>
      <c r="CQ47" s="107">
        <v>0</v>
      </c>
      <c r="CR47" s="107">
        <v>124522.44</v>
      </c>
      <c r="CS47" s="107"/>
      <c r="CT47" s="145">
        <f>IF(ABS(CR47-CQ47)&gt;0.01,CR47-CQ47,IF(ABS(CR47-CS47)&gt;0.01,CR47-CS47,0))</f>
        <v>124522.44</v>
      </c>
      <c r="CU47" s="107">
        <v>0</v>
      </c>
      <c r="CV47" s="107">
        <v>44146.27</v>
      </c>
      <c r="CW47" s="107"/>
      <c r="CX47" s="145">
        <f>IF(ABS(CV47-CU47)&gt;0.01,CV47-CU47,IF(ABS(CV47-CW47)&gt;0.01,CV47-CW47,0))</f>
        <v>44146.27</v>
      </c>
      <c r="CY47" s="107">
        <v>470712.65</v>
      </c>
      <c r="CZ47" s="107">
        <v>432111.4</v>
      </c>
      <c r="DA47" s="107"/>
      <c r="DB47" s="145">
        <f>IF(ABS(CZ47-CY47)&gt;0.01,CZ47-CY47,IF(ABS(CZ47-DA47)&gt;0.01,CZ47-DA47,0))</f>
        <v>-38601.25</v>
      </c>
      <c r="DC47" s="137">
        <v>0</v>
      </c>
      <c r="DD47" s="138">
        <v>0</v>
      </c>
      <c r="DE47" s="138">
        <v>0</v>
      </c>
      <c r="DF47" s="139">
        <f>IF(ABS(DD47-DC47)&gt;0.01,DD47-DC47,IF(ABS(DD47-DE47)&gt;0.01,DD47-DE47,0))</f>
        <v>0</v>
      </c>
    </row>
    <row r="48" spans="1:110" ht="15.6" x14ac:dyDescent="0.3">
      <c r="A48" s="30"/>
      <c r="B48" s="32">
        <v>24</v>
      </c>
      <c r="C48" s="33">
        <v>8405</v>
      </c>
      <c r="D48" s="34" t="s">
        <v>797</v>
      </c>
      <c r="E48" s="35" t="s">
        <v>381</v>
      </c>
      <c r="F48" s="71" t="s">
        <v>380</v>
      </c>
      <c r="G48" s="131"/>
      <c r="H48" s="132"/>
      <c r="I48" s="132"/>
      <c r="J48" s="133"/>
      <c r="K48" s="131"/>
      <c r="L48" s="132"/>
      <c r="M48" s="132"/>
      <c r="N48" s="133"/>
      <c r="O48" s="131"/>
      <c r="P48" s="132"/>
      <c r="Q48" s="132"/>
      <c r="R48" s="133"/>
      <c r="S48" s="131"/>
      <c r="T48" s="132"/>
      <c r="U48" s="132"/>
      <c r="V48" s="133"/>
      <c r="W48" s="131"/>
      <c r="X48" s="132"/>
      <c r="Y48" s="132"/>
      <c r="Z48" s="133"/>
      <c r="AA48" s="134"/>
      <c r="AB48" s="135"/>
      <c r="AC48" s="135"/>
      <c r="AD48" s="148"/>
      <c r="AE48" s="135"/>
      <c r="AF48" s="135"/>
      <c r="AG48" s="135"/>
      <c r="AH48" s="148"/>
      <c r="AI48" s="135"/>
      <c r="AJ48" s="135"/>
      <c r="AK48" s="135"/>
      <c r="AL48" s="148"/>
      <c r="AM48" s="135"/>
      <c r="AN48" s="135"/>
      <c r="AO48" s="135"/>
      <c r="AP48" s="148"/>
      <c r="AQ48" s="135"/>
      <c r="AR48" s="135"/>
      <c r="AS48" s="135"/>
      <c r="AT48" s="148"/>
      <c r="AU48" s="136"/>
      <c r="AV48" s="136"/>
      <c r="AW48" s="136"/>
      <c r="AX48" s="147"/>
      <c r="AY48" s="136"/>
      <c r="AZ48" s="136"/>
      <c r="BA48" s="136"/>
      <c r="BB48" s="147"/>
      <c r="BC48" s="136"/>
      <c r="BD48" s="136"/>
      <c r="BE48" s="136"/>
      <c r="BF48" s="147"/>
      <c r="BG48" s="136"/>
      <c r="BH48" s="136"/>
      <c r="BI48" s="136"/>
      <c r="BJ48" s="147"/>
      <c r="BK48" s="136"/>
      <c r="BL48" s="136"/>
      <c r="BM48" s="136"/>
      <c r="BN48" s="147"/>
      <c r="BO48" s="106"/>
      <c r="BP48" s="106"/>
      <c r="BQ48" s="106"/>
      <c r="BR48" s="146"/>
      <c r="BS48" s="106"/>
      <c r="BT48" s="106"/>
      <c r="BU48" s="106"/>
      <c r="BV48" s="146"/>
      <c r="BW48" s="106"/>
      <c r="BX48" s="106"/>
      <c r="BY48" s="106"/>
      <c r="BZ48" s="146"/>
      <c r="CA48" s="106"/>
      <c r="CB48" s="106"/>
      <c r="CC48" s="106"/>
      <c r="CD48" s="146"/>
      <c r="CE48" s="106"/>
      <c r="CF48" s="106"/>
      <c r="CG48" s="106"/>
      <c r="CH48" s="146"/>
      <c r="CI48" s="107">
        <v>1867180803.1300037</v>
      </c>
      <c r="CJ48" s="107">
        <v>913492211.04999995</v>
      </c>
      <c r="CK48" s="107">
        <v>221033.87</v>
      </c>
      <c r="CL48" s="145">
        <f t="shared" ref="CL48:CL81" si="0">IF(ABS(CJ48-CI48)&gt;0.01,CJ48-CI48,IF(ABS(CJ48-CK48)&gt;0.01,CJ48-CK48,0))</f>
        <v>-953688592.08000374</v>
      </c>
      <c r="CM48" s="107">
        <v>9025522.8299999982</v>
      </c>
      <c r="CN48" s="107">
        <v>1293628.73</v>
      </c>
      <c r="CO48" s="107"/>
      <c r="CP48" s="145">
        <f t="shared" ref="CP48:CP81" si="1">IF(ABS(CN48-CM48)&gt;0.01,CN48-CM48,IF(ABS(CN48-CO48)&gt;0.01,CN48-CO48,0))</f>
        <v>-7731894.0999999978</v>
      </c>
      <c r="CQ48" s="107">
        <v>3791786.4400000004</v>
      </c>
      <c r="CR48" s="107">
        <v>407447.25</v>
      </c>
      <c r="CS48" s="107">
        <v>331559.34999999998</v>
      </c>
      <c r="CT48" s="145">
        <f t="shared" ref="CT48:CT81" si="2">IF(ABS(CR48-CQ48)&gt;0.01,CR48-CQ48,IF(ABS(CR48-CS48)&gt;0.01,CR48-CS48,0))</f>
        <v>-3384339.1900000004</v>
      </c>
      <c r="CU48" s="107">
        <v>5239556.2100000009</v>
      </c>
      <c r="CV48" s="107">
        <v>290627.53000000003</v>
      </c>
      <c r="CW48" s="107"/>
      <c r="CX48" s="145">
        <f t="shared" ref="CX48:CX81" si="3">IF(ABS(CV48-CU48)&gt;0.01,CV48-CU48,IF(ABS(CV48-CW48)&gt;0.01,CV48-CW48,0))</f>
        <v>-4948928.6800000006</v>
      </c>
      <c r="CY48" s="107">
        <v>9164594.8499999996</v>
      </c>
      <c r="CZ48" s="107">
        <v>5919424.2999999998</v>
      </c>
      <c r="DA48" s="107">
        <v>686598.87</v>
      </c>
      <c r="DB48" s="145">
        <f t="shared" ref="DB48:DB81" si="4">IF(ABS(CZ48-CY48)&gt;0.01,CZ48-CY48,IF(ABS(CZ48-DA48)&gt;0.01,CZ48-DA48,0))</f>
        <v>-3245170.55</v>
      </c>
      <c r="DC48" s="137">
        <v>0</v>
      </c>
      <c r="DD48" s="138">
        <v>0</v>
      </c>
      <c r="DE48" s="138">
        <v>0</v>
      </c>
      <c r="DF48" s="139">
        <f t="shared" ref="DF48:DF81" si="5">IF(ABS(DD48-DC48)&gt;0.01,DD48-DC48,IF(ABS(DD48-DE48)&gt;0.01,DD48-DE48,0))</f>
        <v>0</v>
      </c>
    </row>
    <row r="49" spans="1:110" ht="15.6" x14ac:dyDescent="0.3">
      <c r="A49" s="30"/>
      <c r="B49" s="32">
        <v>35</v>
      </c>
      <c r="C49" s="33" t="s">
        <v>382</v>
      </c>
      <c r="D49" s="34" t="s">
        <v>383</v>
      </c>
      <c r="E49" s="35" t="s">
        <v>384</v>
      </c>
      <c r="F49" s="71" t="s">
        <v>380</v>
      </c>
      <c r="G49" s="131"/>
      <c r="H49" s="132"/>
      <c r="I49" s="132"/>
      <c r="J49" s="133"/>
      <c r="K49" s="131"/>
      <c r="L49" s="132"/>
      <c r="M49" s="132"/>
      <c r="N49" s="133"/>
      <c r="O49" s="131"/>
      <c r="P49" s="132"/>
      <c r="Q49" s="132"/>
      <c r="R49" s="133"/>
      <c r="S49" s="131"/>
      <c r="T49" s="132"/>
      <c r="U49" s="132"/>
      <c r="V49" s="133"/>
      <c r="W49" s="131"/>
      <c r="X49" s="132"/>
      <c r="Y49" s="132"/>
      <c r="Z49" s="133"/>
      <c r="AA49" s="134"/>
      <c r="AB49" s="135"/>
      <c r="AC49" s="135"/>
      <c r="AD49" s="148"/>
      <c r="AE49" s="135"/>
      <c r="AF49" s="135"/>
      <c r="AG49" s="135"/>
      <c r="AH49" s="148"/>
      <c r="AI49" s="135"/>
      <c r="AJ49" s="135"/>
      <c r="AK49" s="135"/>
      <c r="AL49" s="148"/>
      <c r="AM49" s="135"/>
      <c r="AN49" s="135"/>
      <c r="AO49" s="135"/>
      <c r="AP49" s="148"/>
      <c r="AQ49" s="135"/>
      <c r="AR49" s="135"/>
      <c r="AS49" s="135"/>
      <c r="AT49" s="148"/>
      <c r="AU49" s="136"/>
      <c r="AV49" s="136"/>
      <c r="AW49" s="136"/>
      <c r="AX49" s="147"/>
      <c r="AY49" s="136"/>
      <c r="AZ49" s="136"/>
      <c r="BA49" s="136"/>
      <c r="BB49" s="147"/>
      <c r="BC49" s="136"/>
      <c r="BD49" s="136"/>
      <c r="BE49" s="136"/>
      <c r="BF49" s="147"/>
      <c r="BG49" s="136"/>
      <c r="BH49" s="136"/>
      <c r="BI49" s="136"/>
      <c r="BJ49" s="147"/>
      <c r="BK49" s="136"/>
      <c r="BL49" s="136"/>
      <c r="BM49" s="136"/>
      <c r="BN49" s="147"/>
      <c r="BO49" s="106"/>
      <c r="BP49" s="106"/>
      <c r="BQ49" s="106"/>
      <c r="BR49" s="146"/>
      <c r="BS49" s="106"/>
      <c r="BT49" s="106"/>
      <c r="BU49" s="106"/>
      <c r="BV49" s="146"/>
      <c r="BW49" s="106"/>
      <c r="BX49" s="106"/>
      <c r="BY49" s="106"/>
      <c r="BZ49" s="146"/>
      <c r="CA49" s="106"/>
      <c r="CB49" s="106"/>
      <c r="CC49" s="106"/>
      <c r="CD49" s="146"/>
      <c r="CE49" s="106"/>
      <c r="CF49" s="106"/>
      <c r="CG49" s="106"/>
      <c r="CH49" s="146"/>
      <c r="CI49" s="107">
        <v>2104845751.6400046</v>
      </c>
      <c r="CJ49" s="107">
        <v>1366213009.3200002</v>
      </c>
      <c r="CK49" s="107">
        <v>7641364.4900000002</v>
      </c>
      <c r="CL49" s="145">
        <f t="shared" si="0"/>
        <v>-738632742.32000446</v>
      </c>
      <c r="CM49" s="107">
        <v>6397152.8400000017</v>
      </c>
      <c r="CN49" s="107">
        <v>4616345.3</v>
      </c>
      <c r="CO49" s="107">
        <v>362821.57</v>
      </c>
      <c r="CP49" s="145">
        <f t="shared" si="1"/>
        <v>-1780807.5400000019</v>
      </c>
      <c r="CQ49" s="107">
        <v>1674961.87</v>
      </c>
      <c r="CR49" s="107">
        <v>1237178.6200000001</v>
      </c>
      <c r="CS49" s="107">
        <v>430819.04</v>
      </c>
      <c r="CT49" s="145">
        <f t="shared" si="2"/>
        <v>-437783.25</v>
      </c>
      <c r="CU49" s="107">
        <v>4852595.9499999993</v>
      </c>
      <c r="CV49" s="107">
        <v>3864017.64</v>
      </c>
      <c r="CW49" s="107"/>
      <c r="CX49" s="145">
        <f t="shared" si="3"/>
        <v>-988578.30999999912</v>
      </c>
      <c r="CY49" s="107">
        <v>25273463.43999999</v>
      </c>
      <c r="CZ49" s="107">
        <v>32192511.850000001</v>
      </c>
      <c r="DA49" s="107"/>
      <c r="DB49" s="145">
        <f t="shared" si="4"/>
        <v>6919048.4100000113</v>
      </c>
      <c r="DC49" s="137">
        <v>0</v>
      </c>
      <c r="DD49" s="138">
        <v>0</v>
      </c>
      <c r="DE49" s="138">
        <v>0</v>
      </c>
      <c r="DF49" s="139">
        <f t="shared" si="5"/>
        <v>0</v>
      </c>
    </row>
    <row r="50" spans="1:110" ht="15.6" x14ac:dyDescent="0.3">
      <c r="A50" s="30"/>
      <c r="B50" s="34" t="s">
        <v>385</v>
      </c>
      <c r="C50" s="33">
        <v>1623</v>
      </c>
      <c r="D50" s="34" t="s">
        <v>386</v>
      </c>
      <c r="E50" s="35" t="s">
        <v>387</v>
      </c>
      <c r="F50" s="71" t="s">
        <v>380</v>
      </c>
      <c r="G50" s="131"/>
      <c r="H50" s="132"/>
      <c r="I50" s="132"/>
      <c r="J50" s="133"/>
      <c r="K50" s="131"/>
      <c r="L50" s="132"/>
      <c r="M50" s="132"/>
      <c r="N50" s="133"/>
      <c r="O50" s="131"/>
      <c r="P50" s="132"/>
      <c r="Q50" s="132"/>
      <c r="R50" s="133"/>
      <c r="S50" s="131"/>
      <c r="T50" s="132"/>
      <c r="U50" s="132"/>
      <c r="V50" s="133"/>
      <c r="W50" s="131"/>
      <c r="X50" s="132"/>
      <c r="Y50" s="132"/>
      <c r="Z50" s="133"/>
      <c r="AA50" s="134"/>
      <c r="AB50" s="135"/>
      <c r="AC50" s="135"/>
      <c r="AD50" s="148"/>
      <c r="AE50" s="135"/>
      <c r="AF50" s="135"/>
      <c r="AG50" s="135"/>
      <c r="AH50" s="148"/>
      <c r="AI50" s="135"/>
      <c r="AJ50" s="135"/>
      <c r="AK50" s="135"/>
      <c r="AL50" s="148"/>
      <c r="AM50" s="135"/>
      <c r="AN50" s="135"/>
      <c r="AO50" s="135"/>
      <c r="AP50" s="148"/>
      <c r="AQ50" s="135"/>
      <c r="AR50" s="135"/>
      <c r="AS50" s="135"/>
      <c r="AT50" s="148"/>
      <c r="AU50" s="136"/>
      <c r="AV50" s="136"/>
      <c r="AW50" s="136"/>
      <c r="AX50" s="147"/>
      <c r="AY50" s="136"/>
      <c r="AZ50" s="136"/>
      <c r="BA50" s="136"/>
      <c r="BB50" s="147"/>
      <c r="BC50" s="136"/>
      <c r="BD50" s="136"/>
      <c r="BE50" s="136"/>
      <c r="BF50" s="147"/>
      <c r="BG50" s="136"/>
      <c r="BH50" s="136"/>
      <c r="BI50" s="136"/>
      <c r="BJ50" s="147"/>
      <c r="BK50" s="136"/>
      <c r="BL50" s="136"/>
      <c r="BM50" s="136"/>
      <c r="BN50" s="147"/>
      <c r="BO50" s="106"/>
      <c r="BP50" s="106"/>
      <c r="BQ50" s="106"/>
      <c r="BR50" s="146"/>
      <c r="BS50" s="106"/>
      <c r="BT50" s="106"/>
      <c r="BU50" s="106"/>
      <c r="BV50" s="146"/>
      <c r="BW50" s="106"/>
      <c r="BX50" s="106"/>
      <c r="BY50" s="106"/>
      <c r="BZ50" s="146"/>
      <c r="CA50" s="106"/>
      <c r="CB50" s="106"/>
      <c r="CC50" s="106"/>
      <c r="CD50" s="146"/>
      <c r="CE50" s="106"/>
      <c r="CF50" s="106"/>
      <c r="CG50" s="106"/>
      <c r="CH50" s="146"/>
      <c r="CI50" s="107">
        <v>740754995.48999822</v>
      </c>
      <c r="CJ50" s="107">
        <v>480416111.44999999</v>
      </c>
      <c r="CK50" s="107"/>
      <c r="CL50" s="145">
        <f t="shared" si="0"/>
        <v>-260338884.03999823</v>
      </c>
      <c r="CM50" s="107">
        <v>1816234.44</v>
      </c>
      <c r="CN50" s="107">
        <v>107839.05</v>
      </c>
      <c r="CO50" s="107">
        <v>7553318.7300000004</v>
      </c>
      <c r="CP50" s="145">
        <f t="shared" si="1"/>
        <v>-1708395.39</v>
      </c>
      <c r="CQ50" s="107">
        <v>1236048.8499999999</v>
      </c>
      <c r="CR50" s="107">
        <v>402381.34</v>
      </c>
      <c r="CS50" s="107">
        <v>7717527.6699999999</v>
      </c>
      <c r="CT50" s="145">
        <f t="shared" si="2"/>
        <v>-833667.50999999978</v>
      </c>
      <c r="CU50" s="107">
        <v>1771628.3900000001</v>
      </c>
      <c r="CV50" s="107">
        <v>1515911.62</v>
      </c>
      <c r="CW50" s="107"/>
      <c r="CX50" s="145">
        <f t="shared" si="3"/>
        <v>-255716.77000000002</v>
      </c>
      <c r="CY50" s="107">
        <v>9829264.6599999983</v>
      </c>
      <c r="CZ50" s="107">
        <v>6275658.7199999997</v>
      </c>
      <c r="DA50" s="107"/>
      <c r="DB50" s="145">
        <f t="shared" si="4"/>
        <v>-3553605.9399999985</v>
      </c>
      <c r="DC50" s="137">
        <v>0</v>
      </c>
      <c r="DD50" s="138">
        <v>0</v>
      </c>
      <c r="DE50" s="138">
        <v>0</v>
      </c>
      <c r="DF50" s="139">
        <f t="shared" si="5"/>
        <v>0</v>
      </c>
    </row>
    <row r="51" spans="1:110" ht="15.6" x14ac:dyDescent="0.3">
      <c r="A51" s="30"/>
      <c r="B51" s="32">
        <v>34</v>
      </c>
      <c r="C51" s="33">
        <v>729</v>
      </c>
      <c r="D51" s="34" t="s">
        <v>388</v>
      </c>
      <c r="E51" s="35" t="s">
        <v>389</v>
      </c>
      <c r="F51" s="71" t="s">
        <v>380</v>
      </c>
      <c r="G51" s="131"/>
      <c r="H51" s="132"/>
      <c r="I51" s="132"/>
      <c r="J51" s="133"/>
      <c r="K51" s="131"/>
      <c r="L51" s="132"/>
      <c r="M51" s="132"/>
      <c r="N51" s="133"/>
      <c r="O51" s="131"/>
      <c r="P51" s="132"/>
      <c r="Q51" s="132"/>
      <c r="R51" s="133"/>
      <c r="S51" s="131"/>
      <c r="T51" s="132"/>
      <c r="U51" s="132"/>
      <c r="V51" s="133"/>
      <c r="W51" s="131"/>
      <c r="X51" s="132"/>
      <c r="Y51" s="132"/>
      <c r="Z51" s="133"/>
      <c r="AA51" s="134"/>
      <c r="AB51" s="135"/>
      <c r="AC51" s="135"/>
      <c r="AD51" s="148"/>
      <c r="AE51" s="135"/>
      <c r="AF51" s="135"/>
      <c r="AG51" s="135"/>
      <c r="AH51" s="148"/>
      <c r="AI51" s="135"/>
      <c r="AJ51" s="135"/>
      <c r="AK51" s="135"/>
      <c r="AL51" s="148"/>
      <c r="AM51" s="135"/>
      <c r="AN51" s="135"/>
      <c r="AO51" s="135"/>
      <c r="AP51" s="148"/>
      <c r="AQ51" s="135"/>
      <c r="AR51" s="135"/>
      <c r="AS51" s="135"/>
      <c r="AT51" s="148"/>
      <c r="AU51" s="136"/>
      <c r="AV51" s="136"/>
      <c r="AW51" s="136"/>
      <c r="AX51" s="147"/>
      <c r="AY51" s="136"/>
      <c r="AZ51" s="136"/>
      <c r="BA51" s="136"/>
      <c r="BB51" s="147"/>
      <c r="BC51" s="136"/>
      <c r="BD51" s="136"/>
      <c r="BE51" s="136"/>
      <c r="BF51" s="147"/>
      <c r="BG51" s="136"/>
      <c r="BH51" s="136"/>
      <c r="BI51" s="136"/>
      <c r="BJ51" s="147"/>
      <c r="BK51" s="136"/>
      <c r="BL51" s="136"/>
      <c r="BM51" s="136"/>
      <c r="BN51" s="147"/>
      <c r="BO51" s="106"/>
      <c r="BP51" s="106"/>
      <c r="BQ51" s="106"/>
      <c r="BR51" s="146"/>
      <c r="BS51" s="106"/>
      <c r="BT51" s="106"/>
      <c r="BU51" s="106"/>
      <c r="BV51" s="146"/>
      <c r="BW51" s="106"/>
      <c r="BX51" s="106"/>
      <c r="BY51" s="106"/>
      <c r="BZ51" s="146"/>
      <c r="CA51" s="106"/>
      <c r="CB51" s="106"/>
      <c r="CC51" s="106"/>
      <c r="CD51" s="146"/>
      <c r="CE51" s="106"/>
      <c r="CF51" s="106"/>
      <c r="CG51" s="106"/>
      <c r="CH51" s="146"/>
      <c r="CI51" s="107">
        <v>1246670018.3999999</v>
      </c>
      <c r="CJ51" s="107">
        <v>634553575.23000002</v>
      </c>
      <c r="CK51" s="107">
        <v>233687.37</v>
      </c>
      <c r="CL51" s="145">
        <f t="shared" si="0"/>
        <v>-612116443.16999984</v>
      </c>
      <c r="CM51" s="107">
        <v>3891711.7499999991</v>
      </c>
      <c r="CN51" s="107">
        <v>491018.22</v>
      </c>
      <c r="CO51" s="107"/>
      <c r="CP51" s="145">
        <f t="shared" si="1"/>
        <v>-3400693.5299999993</v>
      </c>
      <c r="CQ51" s="107">
        <v>2241511.5199999996</v>
      </c>
      <c r="CR51" s="107">
        <v>326860.24</v>
      </c>
      <c r="CS51" s="107"/>
      <c r="CT51" s="145">
        <f t="shared" si="2"/>
        <v>-1914651.2799999996</v>
      </c>
      <c r="CU51" s="107">
        <v>1146482.2699999998</v>
      </c>
      <c r="CV51" s="107">
        <v>960385.9</v>
      </c>
      <c r="CW51" s="107"/>
      <c r="CX51" s="145">
        <f t="shared" si="3"/>
        <v>-186096.36999999976</v>
      </c>
      <c r="CY51" s="107">
        <v>6282937.370000002</v>
      </c>
      <c r="CZ51" s="107">
        <v>5938061.54</v>
      </c>
      <c r="DA51" s="107"/>
      <c r="DB51" s="145">
        <f t="shared" si="4"/>
        <v>-344875.83000000194</v>
      </c>
      <c r="DC51" s="137">
        <v>0</v>
      </c>
      <c r="DD51" s="138">
        <v>0</v>
      </c>
      <c r="DE51" s="138">
        <v>0</v>
      </c>
      <c r="DF51" s="139">
        <f t="shared" si="5"/>
        <v>0</v>
      </c>
    </row>
    <row r="52" spans="1:110" ht="15.6" x14ac:dyDescent="0.3">
      <c r="A52" s="30"/>
      <c r="B52" s="32">
        <v>33</v>
      </c>
      <c r="C52" s="33">
        <v>1629</v>
      </c>
      <c r="D52" s="34" t="s">
        <v>390</v>
      </c>
      <c r="E52" s="35" t="s">
        <v>391</v>
      </c>
      <c r="F52" s="71" t="s">
        <v>380</v>
      </c>
      <c r="G52" s="131"/>
      <c r="H52" s="132"/>
      <c r="I52" s="132"/>
      <c r="J52" s="133"/>
      <c r="K52" s="131"/>
      <c r="L52" s="132"/>
      <c r="M52" s="132"/>
      <c r="N52" s="133"/>
      <c r="O52" s="131"/>
      <c r="P52" s="132"/>
      <c r="Q52" s="132"/>
      <c r="R52" s="133"/>
      <c r="S52" s="131"/>
      <c r="T52" s="132"/>
      <c r="U52" s="132"/>
      <c r="V52" s="133"/>
      <c r="W52" s="131"/>
      <c r="X52" s="132"/>
      <c r="Y52" s="132"/>
      <c r="Z52" s="133"/>
      <c r="AA52" s="134"/>
      <c r="AB52" s="135"/>
      <c r="AC52" s="135"/>
      <c r="AD52" s="148"/>
      <c r="AE52" s="135"/>
      <c r="AF52" s="135"/>
      <c r="AG52" s="135"/>
      <c r="AH52" s="148"/>
      <c r="AI52" s="135"/>
      <c r="AJ52" s="135"/>
      <c r="AK52" s="135"/>
      <c r="AL52" s="148"/>
      <c r="AM52" s="135"/>
      <c r="AN52" s="135"/>
      <c r="AO52" s="135"/>
      <c r="AP52" s="148"/>
      <c r="AQ52" s="135"/>
      <c r="AR52" s="135"/>
      <c r="AS52" s="135"/>
      <c r="AT52" s="148"/>
      <c r="AU52" s="136"/>
      <c r="AV52" s="136"/>
      <c r="AW52" s="136"/>
      <c r="AX52" s="147"/>
      <c r="AY52" s="136"/>
      <c r="AZ52" s="136"/>
      <c r="BA52" s="136"/>
      <c r="BB52" s="147"/>
      <c r="BC52" s="136"/>
      <c r="BD52" s="136"/>
      <c r="BE52" s="136"/>
      <c r="BF52" s="147"/>
      <c r="BG52" s="136"/>
      <c r="BH52" s="136"/>
      <c r="BI52" s="136"/>
      <c r="BJ52" s="147"/>
      <c r="BK52" s="136"/>
      <c r="BL52" s="136"/>
      <c r="BM52" s="136"/>
      <c r="BN52" s="147"/>
      <c r="BO52" s="106"/>
      <c r="BP52" s="106"/>
      <c r="BQ52" s="106"/>
      <c r="BR52" s="146"/>
      <c r="BS52" s="106"/>
      <c r="BT52" s="106"/>
      <c r="BU52" s="106"/>
      <c r="BV52" s="146"/>
      <c r="BW52" s="106"/>
      <c r="BX52" s="106"/>
      <c r="BY52" s="106"/>
      <c r="BZ52" s="146"/>
      <c r="CA52" s="106"/>
      <c r="CB52" s="106"/>
      <c r="CC52" s="106"/>
      <c r="CD52" s="146"/>
      <c r="CE52" s="106"/>
      <c r="CF52" s="106"/>
      <c r="CG52" s="106"/>
      <c r="CH52" s="146"/>
      <c r="CI52" s="107">
        <v>946039397.69000018</v>
      </c>
      <c r="CJ52" s="107">
        <v>570913050.89999998</v>
      </c>
      <c r="CK52" s="107"/>
      <c r="CL52" s="145">
        <f t="shared" si="0"/>
        <v>-375126346.7900002</v>
      </c>
      <c r="CM52" s="107">
        <v>4820722.2700000042</v>
      </c>
      <c r="CN52" s="107">
        <v>898804.79</v>
      </c>
      <c r="CO52" s="107">
        <v>11792024.18</v>
      </c>
      <c r="CP52" s="145">
        <f t="shared" si="1"/>
        <v>-3921917.4800000042</v>
      </c>
      <c r="CQ52" s="107">
        <v>1843684.6500000006</v>
      </c>
      <c r="CR52" s="107">
        <v>691126.42</v>
      </c>
      <c r="CS52" s="107">
        <v>604070926.40999997</v>
      </c>
      <c r="CT52" s="145">
        <f t="shared" si="2"/>
        <v>-1152558.2300000004</v>
      </c>
      <c r="CU52" s="107">
        <v>2539434</v>
      </c>
      <c r="CV52" s="107">
        <v>1062176.1200000001</v>
      </c>
      <c r="CW52" s="107"/>
      <c r="CX52" s="145">
        <f t="shared" si="3"/>
        <v>-1477257.88</v>
      </c>
      <c r="CY52" s="107">
        <v>6262583.7599999998</v>
      </c>
      <c r="CZ52" s="107">
        <v>12003138.039999999</v>
      </c>
      <c r="DA52" s="107"/>
      <c r="DB52" s="145">
        <f t="shared" si="4"/>
        <v>5740554.2799999993</v>
      </c>
      <c r="DC52" s="137">
        <v>0</v>
      </c>
      <c r="DD52" s="138">
        <v>0</v>
      </c>
      <c r="DE52" s="138">
        <v>0</v>
      </c>
      <c r="DF52" s="139">
        <f t="shared" si="5"/>
        <v>0</v>
      </c>
    </row>
    <row r="53" spans="1:110" ht="15.6" x14ac:dyDescent="0.3">
      <c r="A53" s="30"/>
      <c r="B53" s="32">
        <v>31</v>
      </c>
      <c r="C53" s="33">
        <v>4929</v>
      </c>
      <c r="D53" s="34" t="s">
        <v>392</v>
      </c>
      <c r="E53" s="35" t="s">
        <v>393</v>
      </c>
      <c r="F53" s="71" t="s">
        <v>380</v>
      </c>
      <c r="G53" s="131"/>
      <c r="H53" s="132"/>
      <c r="I53" s="132"/>
      <c r="J53" s="133"/>
      <c r="K53" s="131"/>
      <c r="L53" s="132"/>
      <c r="M53" s="132"/>
      <c r="N53" s="133"/>
      <c r="O53" s="131"/>
      <c r="P53" s="132"/>
      <c r="Q53" s="132"/>
      <c r="R53" s="133"/>
      <c r="S53" s="131"/>
      <c r="T53" s="132"/>
      <c r="U53" s="132"/>
      <c r="V53" s="133"/>
      <c r="W53" s="131"/>
      <c r="X53" s="132"/>
      <c r="Y53" s="132"/>
      <c r="Z53" s="133"/>
      <c r="AA53" s="134"/>
      <c r="AB53" s="135"/>
      <c r="AC53" s="135"/>
      <c r="AD53" s="148"/>
      <c r="AE53" s="135"/>
      <c r="AF53" s="135"/>
      <c r="AG53" s="135"/>
      <c r="AH53" s="148"/>
      <c r="AI53" s="135"/>
      <c r="AJ53" s="135"/>
      <c r="AK53" s="135"/>
      <c r="AL53" s="148"/>
      <c r="AM53" s="135"/>
      <c r="AN53" s="135"/>
      <c r="AO53" s="135"/>
      <c r="AP53" s="148"/>
      <c r="AQ53" s="135"/>
      <c r="AR53" s="135"/>
      <c r="AS53" s="135"/>
      <c r="AT53" s="148"/>
      <c r="AU53" s="136"/>
      <c r="AV53" s="136"/>
      <c r="AW53" s="136"/>
      <c r="AX53" s="147"/>
      <c r="AY53" s="136"/>
      <c r="AZ53" s="136"/>
      <c r="BA53" s="136"/>
      <c r="BB53" s="147"/>
      <c r="BC53" s="136"/>
      <c r="BD53" s="136"/>
      <c r="BE53" s="136"/>
      <c r="BF53" s="147"/>
      <c r="BG53" s="136"/>
      <c r="BH53" s="136"/>
      <c r="BI53" s="136"/>
      <c r="BJ53" s="147"/>
      <c r="BK53" s="136"/>
      <c r="BL53" s="136"/>
      <c r="BM53" s="136"/>
      <c r="BN53" s="147"/>
      <c r="BO53" s="106"/>
      <c r="BP53" s="106"/>
      <c r="BQ53" s="106"/>
      <c r="BR53" s="146"/>
      <c r="BS53" s="106"/>
      <c r="BT53" s="106"/>
      <c r="BU53" s="106"/>
      <c r="BV53" s="146"/>
      <c r="BW53" s="106"/>
      <c r="BX53" s="106"/>
      <c r="BY53" s="106"/>
      <c r="BZ53" s="146"/>
      <c r="CA53" s="106"/>
      <c r="CB53" s="106"/>
      <c r="CC53" s="106"/>
      <c r="CD53" s="146"/>
      <c r="CE53" s="106"/>
      <c r="CF53" s="106"/>
      <c r="CG53" s="106"/>
      <c r="CH53" s="146"/>
      <c r="CI53" s="107">
        <v>1691666235.04</v>
      </c>
      <c r="CJ53" s="107">
        <v>950120249.00999999</v>
      </c>
      <c r="CK53" s="107">
        <v>475082.14</v>
      </c>
      <c r="CL53" s="145">
        <f t="shared" si="0"/>
        <v>-741545986.02999997</v>
      </c>
      <c r="CM53" s="107">
        <v>6982850.6400000015</v>
      </c>
      <c r="CN53" s="107">
        <v>396638.45</v>
      </c>
      <c r="CO53" s="107">
        <v>52319.93</v>
      </c>
      <c r="CP53" s="145">
        <f t="shared" si="1"/>
        <v>-6586212.1900000013</v>
      </c>
      <c r="CQ53" s="107">
        <v>4430384.1900000004</v>
      </c>
      <c r="CR53" s="107">
        <v>619344.61</v>
      </c>
      <c r="CS53" s="107"/>
      <c r="CT53" s="145">
        <f t="shared" si="2"/>
        <v>-3811039.5800000005</v>
      </c>
      <c r="CU53" s="107">
        <v>6788353.3300000019</v>
      </c>
      <c r="CV53" s="107">
        <v>2281756.6800000002</v>
      </c>
      <c r="CW53" s="107">
        <v>989844.4</v>
      </c>
      <c r="CX53" s="145">
        <f t="shared" si="3"/>
        <v>-4506596.6500000022</v>
      </c>
      <c r="CY53" s="107">
        <v>9093376.7500000019</v>
      </c>
      <c r="CZ53" s="107">
        <v>9791005.7599999998</v>
      </c>
      <c r="DA53" s="107"/>
      <c r="DB53" s="145">
        <f t="shared" si="4"/>
        <v>697629.00999999791</v>
      </c>
      <c r="DC53" s="137">
        <v>0</v>
      </c>
      <c r="DD53" s="138">
        <v>0</v>
      </c>
      <c r="DE53" s="138">
        <v>0</v>
      </c>
      <c r="DF53" s="139">
        <f t="shared" si="5"/>
        <v>0</v>
      </c>
    </row>
    <row r="54" spans="1:110" ht="15.6" x14ac:dyDescent="0.3">
      <c r="A54" s="30"/>
      <c r="B54" s="32">
        <v>11</v>
      </c>
      <c r="C54" s="33">
        <v>1631</v>
      </c>
      <c r="D54" s="34" t="s">
        <v>394</v>
      </c>
      <c r="E54" s="35" t="s">
        <v>395</v>
      </c>
      <c r="F54" s="71" t="s">
        <v>380</v>
      </c>
      <c r="G54" s="131"/>
      <c r="H54" s="132"/>
      <c r="I54" s="132"/>
      <c r="J54" s="133"/>
      <c r="K54" s="131"/>
      <c r="L54" s="132"/>
      <c r="M54" s="132"/>
      <c r="N54" s="133"/>
      <c r="O54" s="131"/>
      <c r="P54" s="132"/>
      <c r="Q54" s="140"/>
      <c r="R54" s="133"/>
      <c r="S54" s="131"/>
      <c r="T54" s="132"/>
      <c r="U54" s="132"/>
      <c r="V54" s="133"/>
      <c r="W54" s="131"/>
      <c r="X54" s="132"/>
      <c r="Y54" s="132"/>
      <c r="Z54" s="133"/>
      <c r="AA54" s="134"/>
      <c r="AB54" s="135"/>
      <c r="AC54" s="135"/>
      <c r="AD54" s="148"/>
      <c r="AE54" s="135"/>
      <c r="AF54" s="135"/>
      <c r="AG54" s="135"/>
      <c r="AH54" s="148"/>
      <c r="AI54" s="135"/>
      <c r="AJ54" s="135"/>
      <c r="AK54" s="135"/>
      <c r="AL54" s="148"/>
      <c r="AM54" s="135"/>
      <c r="AN54" s="135"/>
      <c r="AO54" s="135"/>
      <c r="AP54" s="148"/>
      <c r="AQ54" s="135"/>
      <c r="AR54" s="135"/>
      <c r="AS54" s="135"/>
      <c r="AT54" s="148"/>
      <c r="AU54" s="136"/>
      <c r="AV54" s="136"/>
      <c r="AW54" s="136"/>
      <c r="AX54" s="147"/>
      <c r="AY54" s="136"/>
      <c r="AZ54" s="136"/>
      <c r="BA54" s="136"/>
      <c r="BB54" s="147"/>
      <c r="BC54" s="136"/>
      <c r="BD54" s="136"/>
      <c r="BE54" s="136"/>
      <c r="BF54" s="147"/>
      <c r="BG54" s="136"/>
      <c r="BH54" s="136"/>
      <c r="BI54" s="136"/>
      <c r="BJ54" s="147"/>
      <c r="BK54" s="136"/>
      <c r="BL54" s="136"/>
      <c r="BM54" s="136"/>
      <c r="BN54" s="147"/>
      <c r="BO54" s="106"/>
      <c r="BP54" s="106"/>
      <c r="BQ54" s="106"/>
      <c r="BR54" s="146"/>
      <c r="BS54" s="106"/>
      <c r="BT54" s="106"/>
      <c r="BU54" s="106"/>
      <c r="BV54" s="146"/>
      <c r="BW54" s="106"/>
      <c r="BX54" s="106"/>
      <c r="BY54" s="106"/>
      <c r="BZ54" s="146"/>
      <c r="CA54" s="106"/>
      <c r="CB54" s="106"/>
      <c r="CC54" s="106"/>
      <c r="CD54" s="146"/>
      <c r="CE54" s="106"/>
      <c r="CF54" s="106"/>
      <c r="CG54" s="106"/>
      <c r="CH54" s="146"/>
      <c r="CI54" s="107">
        <v>662178766.63000131</v>
      </c>
      <c r="CJ54" s="107">
        <v>433865416.30000001</v>
      </c>
      <c r="CK54" s="107"/>
      <c r="CL54" s="145">
        <f t="shared" si="0"/>
        <v>-228313350.33000129</v>
      </c>
      <c r="CM54" s="107">
        <v>1907996.3299999998</v>
      </c>
      <c r="CN54" s="107">
        <v>1003307.49</v>
      </c>
      <c r="CO54" s="107"/>
      <c r="CP54" s="145">
        <f t="shared" si="1"/>
        <v>-904688.83999999985</v>
      </c>
      <c r="CQ54" s="107">
        <v>1130613.81</v>
      </c>
      <c r="CR54" s="107">
        <v>645125.31999999995</v>
      </c>
      <c r="CS54" s="107"/>
      <c r="CT54" s="145">
        <f t="shared" si="2"/>
        <v>-485488.49000000011</v>
      </c>
      <c r="CU54" s="107">
        <v>2724110.6500000004</v>
      </c>
      <c r="CV54" s="107">
        <v>1355367.59</v>
      </c>
      <c r="CW54" s="107">
        <v>3307.2</v>
      </c>
      <c r="CX54" s="145">
        <f t="shared" si="3"/>
        <v>-1368743.0600000003</v>
      </c>
      <c r="CY54" s="107">
        <v>5707886.5100000016</v>
      </c>
      <c r="CZ54" s="107">
        <v>8741670.5</v>
      </c>
      <c r="DA54" s="107">
        <v>67823.14</v>
      </c>
      <c r="DB54" s="145">
        <f t="shared" si="4"/>
        <v>3033783.9899999984</v>
      </c>
      <c r="DC54" s="137">
        <v>0</v>
      </c>
      <c r="DD54" s="138">
        <v>0</v>
      </c>
      <c r="DE54" s="138">
        <v>0</v>
      </c>
      <c r="DF54" s="139">
        <f t="shared" si="5"/>
        <v>0</v>
      </c>
    </row>
    <row r="55" spans="1:110" ht="15.6" x14ac:dyDescent="0.3">
      <c r="A55" s="30"/>
      <c r="B55" s="32">
        <v>15</v>
      </c>
      <c r="C55" s="33">
        <v>6131</v>
      </c>
      <c r="D55" s="34" t="s">
        <v>396</v>
      </c>
      <c r="E55" s="35" t="s">
        <v>397</v>
      </c>
      <c r="F55" s="71" t="s">
        <v>380</v>
      </c>
      <c r="G55" s="131"/>
      <c r="H55" s="132"/>
      <c r="I55" s="132"/>
      <c r="J55" s="133"/>
      <c r="K55" s="131"/>
      <c r="L55" s="132"/>
      <c r="M55" s="132"/>
      <c r="N55" s="133"/>
      <c r="O55" s="131"/>
      <c r="P55" s="132"/>
      <c r="Q55" s="132"/>
      <c r="R55" s="133"/>
      <c r="S55" s="131"/>
      <c r="T55" s="132"/>
      <c r="U55" s="132"/>
      <c r="V55" s="133"/>
      <c r="W55" s="131"/>
      <c r="X55" s="132"/>
      <c r="Y55" s="132"/>
      <c r="Z55" s="133"/>
      <c r="AA55" s="134"/>
      <c r="AB55" s="135"/>
      <c r="AC55" s="135"/>
      <c r="AD55" s="148"/>
      <c r="AE55" s="135"/>
      <c r="AF55" s="135"/>
      <c r="AG55" s="135"/>
      <c r="AH55" s="148"/>
      <c r="AI55" s="135"/>
      <c r="AJ55" s="135"/>
      <c r="AK55" s="135"/>
      <c r="AL55" s="148"/>
      <c r="AM55" s="135"/>
      <c r="AN55" s="135"/>
      <c r="AO55" s="135"/>
      <c r="AP55" s="148"/>
      <c r="AQ55" s="135"/>
      <c r="AR55" s="135"/>
      <c r="AS55" s="135"/>
      <c r="AT55" s="148"/>
      <c r="AU55" s="136"/>
      <c r="AV55" s="136"/>
      <c r="AW55" s="136"/>
      <c r="AX55" s="147"/>
      <c r="AY55" s="136"/>
      <c r="AZ55" s="136"/>
      <c r="BA55" s="136"/>
      <c r="BB55" s="147"/>
      <c r="BC55" s="136"/>
      <c r="BD55" s="136"/>
      <c r="BE55" s="136"/>
      <c r="BF55" s="147"/>
      <c r="BG55" s="136"/>
      <c r="BH55" s="136"/>
      <c r="BI55" s="136"/>
      <c r="BJ55" s="147"/>
      <c r="BK55" s="136"/>
      <c r="BL55" s="136"/>
      <c r="BM55" s="136"/>
      <c r="BN55" s="147"/>
      <c r="BO55" s="106"/>
      <c r="BP55" s="106"/>
      <c r="BQ55" s="106"/>
      <c r="BR55" s="146"/>
      <c r="BS55" s="106"/>
      <c r="BT55" s="106"/>
      <c r="BU55" s="106"/>
      <c r="BV55" s="146"/>
      <c r="BW55" s="106"/>
      <c r="BX55" s="106"/>
      <c r="BY55" s="106"/>
      <c r="BZ55" s="146"/>
      <c r="CA55" s="106"/>
      <c r="CB55" s="106"/>
      <c r="CC55" s="106"/>
      <c r="CD55" s="146"/>
      <c r="CE55" s="106"/>
      <c r="CF55" s="106"/>
      <c r="CG55" s="106"/>
      <c r="CH55" s="146"/>
      <c r="CI55" s="107">
        <v>645284392.48000133</v>
      </c>
      <c r="CJ55" s="107">
        <v>383954149.59999996</v>
      </c>
      <c r="CK55" s="107">
        <v>110311.75</v>
      </c>
      <c r="CL55" s="145">
        <f t="shared" si="0"/>
        <v>-261330242.88000137</v>
      </c>
      <c r="CM55" s="107">
        <v>3007661.8799999994</v>
      </c>
      <c r="CN55" s="107">
        <v>267297.44</v>
      </c>
      <c r="CO55" s="107"/>
      <c r="CP55" s="145">
        <f t="shared" si="1"/>
        <v>-2740364.4399999995</v>
      </c>
      <c r="CQ55" s="107">
        <v>1067712.5699999998</v>
      </c>
      <c r="CR55" s="107">
        <v>242138.68</v>
      </c>
      <c r="CS55" s="107"/>
      <c r="CT55" s="145">
        <f t="shared" si="2"/>
        <v>-825573.8899999999</v>
      </c>
      <c r="CU55" s="107">
        <v>1435586.8399999999</v>
      </c>
      <c r="CV55" s="107">
        <v>144884.56</v>
      </c>
      <c r="CW55" s="107"/>
      <c r="CX55" s="145">
        <f t="shared" si="3"/>
        <v>-1290702.2799999998</v>
      </c>
      <c r="CY55" s="107">
        <v>1736281.6600000004</v>
      </c>
      <c r="CZ55" s="107">
        <v>1015042.16</v>
      </c>
      <c r="DA55" s="107"/>
      <c r="DB55" s="145">
        <f t="shared" si="4"/>
        <v>-721239.50000000035</v>
      </c>
      <c r="DC55" s="137">
        <v>0</v>
      </c>
      <c r="DD55" s="138">
        <v>0</v>
      </c>
      <c r="DE55" s="138">
        <v>0</v>
      </c>
      <c r="DF55" s="139">
        <f t="shared" si="5"/>
        <v>0</v>
      </c>
    </row>
    <row r="56" spans="1:110" ht="15.6" x14ac:dyDescent="0.3">
      <c r="A56" s="30"/>
      <c r="B56" s="32">
        <v>30</v>
      </c>
      <c r="C56" s="33">
        <v>1637</v>
      </c>
      <c r="D56" s="34" t="s">
        <v>398</v>
      </c>
      <c r="E56" s="35" t="s">
        <v>399</v>
      </c>
      <c r="F56" s="71" t="s">
        <v>380</v>
      </c>
      <c r="G56" s="131"/>
      <c r="H56" s="132"/>
      <c r="I56" s="132"/>
      <c r="J56" s="133"/>
      <c r="K56" s="131"/>
      <c r="L56" s="132"/>
      <c r="M56" s="132"/>
      <c r="N56" s="133"/>
      <c r="O56" s="131"/>
      <c r="P56" s="132"/>
      <c r="Q56" s="132"/>
      <c r="R56" s="133"/>
      <c r="S56" s="131"/>
      <c r="T56" s="132"/>
      <c r="U56" s="132"/>
      <c r="V56" s="133"/>
      <c r="W56" s="131"/>
      <c r="X56" s="132"/>
      <c r="Y56" s="132"/>
      <c r="Z56" s="133"/>
      <c r="AA56" s="134"/>
      <c r="AB56" s="135"/>
      <c r="AC56" s="135"/>
      <c r="AD56" s="148"/>
      <c r="AE56" s="135"/>
      <c r="AF56" s="135"/>
      <c r="AG56" s="135"/>
      <c r="AH56" s="148"/>
      <c r="AI56" s="135"/>
      <c r="AJ56" s="135"/>
      <c r="AK56" s="135"/>
      <c r="AL56" s="148"/>
      <c r="AM56" s="135"/>
      <c r="AN56" s="135"/>
      <c r="AO56" s="135"/>
      <c r="AP56" s="148"/>
      <c r="AQ56" s="135"/>
      <c r="AR56" s="135"/>
      <c r="AS56" s="135"/>
      <c r="AT56" s="148"/>
      <c r="AU56" s="136"/>
      <c r="AV56" s="136"/>
      <c r="AW56" s="136"/>
      <c r="AX56" s="147"/>
      <c r="AY56" s="136"/>
      <c r="AZ56" s="136"/>
      <c r="BA56" s="136"/>
      <c r="BB56" s="147"/>
      <c r="BC56" s="136"/>
      <c r="BD56" s="136"/>
      <c r="BE56" s="136"/>
      <c r="BF56" s="147"/>
      <c r="BG56" s="136"/>
      <c r="BH56" s="136"/>
      <c r="BI56" s="136"/>
      <c r="BJ56" s="147"/>
      <c r="BK56" s="136"/>
      <c r="BL56" s="136"/>
      <c r="BM56" s="136"/>
      <c r="BN56" s="147"/>
      <c r="BO56" s="106"/>
      <c r="BP56" s="106"/>
      <c r="BQ56" s="106"/>
      <c r="BR56" s="146"/>
      <c r="BS56" s="106"/>
      <c r="BT56" s="106"/>
      <c r="BU56" s="106"/>
      <c r="BV56" s="146"/>
      <c r="BW56" s="106"/>
      <c r="BX56" s="106"/>
      <c r="BY56" s="106"/>
      <c r="BZ56" s="146"/>
      <c r="CA56" s="106"/>
      <c r="CB56" s="106"/>
      <c r="CC56" s="106"/>
      <c r="CD56" s="146"/>
      <c r="CE56" s="106"/>
      <c r="CF56" s="106"/>
      <c r="CG56" s="106"/>
      <c r="CH56" s="146"/>
      <c r="CI56" s="107">
        <v>757097608.30999851</v>
      </c>
      <c r="CJ56" s="107">
        <v>452346942.01999998</v>
      </c>
      <c r="CK56" s="107"/>
      <c r="CL56" s="145">
        <f t="shared" si="0"/>
        <v>-304750666.28999853</v>
      </c>
      <c r="CM56" s="107">
        <v>2291808.88</v>
      </c>
      <c r="CN56" s="107">
        <v>944817.99</v>
      </c>
      <c r="CO56" s="107"/>
      <c r="CP56" s="145">
        <f t="shared" si="1"/>
        <v>-1346990.89</v>
      </c>
      <c r="CQ56" s="107">
        <v>835201.62000000011</v>
      </c>
      <c r="CR56" s="107">
        <v>1442161.53</v>
      </c>
      <c r="CS56" s="107"/>
      <c r="CT56" s="145">
        <f t="shared" si="2"/>
        <v>606959.90999999992</v>
      </c>
      <c r="CU56" s="107">
        <v>1866666.2000000004</v>
      </c>
      <c r="CV56" s="107">
        <v>1149844.97</v>
      </c>
      <c r="CW56" s="107"/>
      <c r="CX56" s="145">
        <f t="shared" si="3"/>
        <v>-716821.23000000045</v>
      </c>
      <c r="CY56" s="107">
        <v>5196799.0700000012</v>
      </c>
      <c r="CZ56" s="107">
        <v>10292631.83</v>
      </c>
      <c r="DA56" s="107"/>
      <c r="DB56" s="145">
        <f t="shared" si="4"/>
        <v>5095832.7599999988</v>
      </c>
      <c r="DC56" s="137">
        <v>0</v>
      </c>
      <c r="DD56" s="138">
        <v>0</v>
      </c>
      <c r="DE56" s="138">
        <v>0</v>
      </c>
      <c r="DF56" s="139">
        <f t="shared" si="5"/>
        <v>0</v>
      </c>
    </row>
    <row r="57" spans="1:110" ht="15.6" x14ac:dyDescent="0.3">
      <c r="A57" s="30"/>
      <c r="B57" s="32">
        <v>29</v>
      </c>
      <c r="C57" s="33">
        <v>1638</v>
      </c>
      <c r="D57" s="34" t="s">
        <v>400</v>
      </c>
      <c r="E57" s="35" t="s">
        <v>401</v>
      </c>
      <c r="F57" s="71" t="s">
        <v>380</v>
      </c>
      <c r="G57" s="131"/>
      <c r="H57" s="132"/>
      <c r="I57" s="132"/>
      <c r="J57" s="133"/>
      <c r="K57" s="131"/>
      <c r="L57" s="132"/>
      <c r="M57" s="132"/>
      <c r="N57" s="133"/>
      <c r="O57" s="131"/>
      <c r="P57" s="132"/>
      <c r="Q57" s="132"/>
      <c r="R57" s="133"/>
      <c r="S57" s="131"/>
      <c r="T57" s="132"/>
      <c r="U57" s="132"/>
      <c r="V57" s="133"/>
      <c r="W57" s="131"/>
      <c r="X57" s="132"/>
      <c r="Y57" s="132"/>
      <c r="Z57" s="133"/>
      <c r="AA57" s="134"/>
      <c r="AB57" s="135"/>
      <c r="AC57" s="135"/>
      <c r="AD57" s="148"/>
      <c r="AE57" s="135"/>
      <c r="AF57" s="135"/>
      <c r="AG57" s="135"/>
      <c r="AH57" s="148"/>
      <c r="AI57" s="135"/>
      <c r="AJ57" s="135"/>
      <c r="AK57" s="135"/>
      <c r="AL57" s="148"/>
      <c r="AM57" s="135"/>
      <c r="AN57" s="135"/>
      <c r="AO57" s="135"/>
      <c r="AP57" s="148"/>
      <c r="AQ57" s="135"/>
      <c r="AR57" s="135"/>
      <c r="AS57" s="135"/>
      <c r="AT57" s="148"/>
      <c r="AU57" s="136"/>
      <c r="AV57" s="136"/>
      <c r="AW57" s="136"/>
      <c r="AX57" s="147"/>
      <c r="AY57" s="136"/>
      <c r="AZ57" s="136"/>
      <c r="BA57" s="136"/>
      <c r="BB57" s="147"/>
      <c r="BC57" s="136"/>
      <c r="BD57" s="136"/>
      <c r="BE57" s="136"/>
      <c r="BF57" s="147"/>
      <c r="BG57" s="136"/>
      <c r="BH57" s="136"/>
      <c r="BI57" s="136"/>
      <c r="BJ57" s="147"/>
      <c r="BK57" s="136"/>
      <c r="BL57" s="136"/>
      <c r="BM57" s="136"/>
      <c r="BN57" s="147"/>
      <c r="BO57" s="106"/>
      <c r="BP57" s="106"/>
      <c r="BQ57" s="106"/>
      <c r="BR57" s="146"/>
      <c r="BS57" s="106"/>
      <c r="BT57" s="106"/>
      <c r="BU57" s="106"/>
      <c r="BV57" s="146"/>
      <c r="BW57" s="106"/>
      <c r="BX57" s="106"/>
      <c r="BY57" s="106"/>
      <c r="BZ57" s="146"/>
      <c r="CA57" s="106"/>
      <c r="CB57" s="106"/>
      <c r="CC57" s="106"/>
      <c r="CD57" s="146"/>
      <c r="CE57" s="106"/>
      <c r="CF57" s="106"/>
      <c r="CG57" s="106"/>
      <c r="CH57" s="146"/>
      <c r="CI57" s="107">
        <v>1538426468.9499869</v>
      </c>
      <c r="CJ57" s="107">
        <v>900529126.21999991</v>
      </c>
      <c r="CK57" s="107"/>
      <c r="CL57" s="145">
        <f t="shared" si="0"/>
        <v>-637897342.72998703</v>
      </c>
      <c r="CM57" s="107">
        <v>4952492.2700000014</v>
      </c>
      <c r="CN57" s="107">
        <v>1280987.32</v>
      </c>
      <c r="CO57" s="107"/>
      <c r="CP57" s="145">
        <f t="shared" si="1"/>
        <v>-3671504.9500000011</v>
      </c>
      <c r="CQ57" s="107">
        <v>3317541.1999999993</v>
      </c>
      <c r="CR57" s="107">
        <v>1330590.56</v>
      </c>
      <c r="CS57" s="107">
        <v>539258.86</v>
      </c>
      <c r="CT57" s="145">
        <f t="shared" si="2"/>
        <v>-1986950.6399999992</v>
      </c>
      <c r="CU57" s="107">
        <v>4171810.7099999986</v>
      </c>
      <c r="CV57" s="107">
        <v>1340505.1599999999</v>
      </c>
      <c r="CW57" s="107"/>
      <c r="CX57" s="145">
        <f t="shared" si="3"/>
        <v>-2831305.5499999989</v>
      </c>
      <c r="CY57" s="107">
        <v>6701848.6599999974</v>
      </c>
      <c r="CZ57" s="107">
        <v>3591737.28</v>
      </c>
      <c r="DA57" s="107">
        <v>264291.88</v>
      </c>
      <c r="DB57" s="145">
        <f t="shared" si="4"/>
        <v>-3110111.3799999976</v>
      </c>
      <c r="DC57" s="137">
        <v>0</v>
      </c>
      <c r="DD57" s="138">
        <v>0</v>
      </c>
      <c r="DE57" s="138">
        <v>0</v>
      </c>
      <c r="DF57" s="139">
        <f t="shared" si="5"/>
        <v>0</v>
      </c>
    </row>
    <row r="58" spans="1:110" ht="15.6" x14ac:dyDescent="0.3">
      <c r="A58" s="30"/>
      <c r="B58" s="34" t="s">
        <v>402</v>
      </c>
      <c r="C58" s="33">
        <v>1640</v>
      </c>
      <c r="D58" s="34" t="s">
        <v>403</v>
      </c>
      <c r="E58" s="35" t="s">
        <v>404</v>
      </c>
      <c r="F58" s="71" t="s">
        <v>380</v>
      </c>
      <c r="G58" s="131"/>
      <c r="H58" s="132"/>
      <c r="I58" s="132"/>
      <c r="J58" s="133"/>
      <c r="K58" s="131"/>
      <c r="L58" s="132"/>
      <c r="M58" s="132"/>
      <c r="N58" s="133"/>
      <c r="O58" s="131"/>
      <c r="P58" s="132"/>
      <c r="Q58" s="132"/>
      <c r="R58" s="133"/>
      <c r="S58" s="131"/>
      <c r="T58" s="132"/>
      <c r="U58" s="132"/>
      <c r="V58" s="133"/>
      <c r="W58" s="131"/>
      <c r="X58" s="132"/>
      <c r="Y58" s="132"/>
      <c r="Z58" s="133"/>
      <c r="AA58" s="134"/>
      <c r="AB58" s="135"/>
      <c r="AC58" s="135"/>
      <c r="AD58" s="148"/>
      <c r="AE58" s="135"/>
      <c r="AF58" s="135"/>
      <c r="AG58" s="135"/>
      <c r="AH58" s="148"/>
      <c r="AI58" s="135"/>
      <c r="AJ58" s="135"/>
      <c r="AK58" s="135"/>
      <c r="AL58" s="148"/>
      <c r="AM58" s="135"/>
      <c r="AN58" s="135"/>
      <c r="AO58" s="135"/>
      <c r="AP58" s="148"/>
      <c r="AQ58" s="135"/>
      <c r="AR58" s="135"/>
      <c r="AS58" s="135"/>
      <c r="AT58" s="148"/>
      <c r="AU58" s="136"/>
      <c r="AV58" s="136"/>
      <c r="AW58" s="136"/>
      <c r="AX58" s="147"/>
      <c r="AY58" s="136"/>
      <c r="AZ58" s="136"/>
      <c r="BA58" s="136"/>
      <c r="BB58" s="147"/>
      <c r="BC58" s="136"/>
      <c r="BD58" s="136"/>
      <c r="BE58" s="136"/>
      <c r="BF58" s="147"/>
      <c r="BG58" s="136"/>
      <c r="BH58" s="136"/>
      <c r="BI58" s="136"/>
      <c r="BJ58" s="147"/>
      <c r="BK58" s="136"/>
      <c r="BL58" s="136"/>
      <c r="BM58" s="136"/>
      <c r="BN58" s="147"/>
      <c r="BO58" s="106"/>
      <c r="BP58" s="106"/>
      <c r="BQ58" s="106"/>
      <c r="BR58" s="146"/>
      <c r="BS58" s="106"/>
      <c r="BT58" s="106"/>
      <c r="BU58" s="106"/>
      <c r="BV58" s="146"/>
      <c r="BW58" s="106"/>
      <c r="BX58" s="106"/>
      <c r="BY58" s="106"/>
      <c r="BZ58" s="146"/>
      <c r="CA58" s="106"/>
      <c r="CB58" s="106"/>
      <c r="CC58" s="106"/>
      <c r="CD58" s="146"/>
      <c r="CE58" s="106"/>
      <c r="CF58" s="106"/>
      <c r="CG58" s="106"/>
      <c r="CH58" s="146"/>
      <c r="CI58" s="107">
        <v>535634534.87000221</v>
      </c>
      <c r="CJ58" s="107">
        <v>334874394.86000001</v>
      </c>
      <c r="CK58" s="107"/>
      <c r="CL58" s="145">
        <f t="shared" si="0"/>
        <v>-200760140.0100022</v>
      </c>
      <c r="CM58" s="107">
        <v>1327902.52</v>
      </c>
      <c r="CN58" s="107">
        <v>706286.96</v>
      </c>
      <c r="CO58" s="107">
        <v>373262.66</v>
      </c>
      <c r="CP58" s="145">
        <f t="shared" si="1"/>
        <v>-621615.56000000006</v>
      </c>
      <c r="CQ58" s="107">
        <v>2177167.5700000003</v>
      </c>
      <c r="CR58" s="107">
        <v>0</v>
      </c>
      <c r="CS58" s="107">
        <v>52046.02</v>
      </c>
      <c r="CT58" s="145">
        <f t="shared" si="2"/>
        <v>-2177167.5700000003</v>
      </c>
      <c r="CU58" s="107">
        <v>1967293.7299999997</v>
      </c>
      <c r="CV58" s="107">
        <v>416631.16</v>
      </c>
      <c r="CW58" s="107"/>
      <c r="CX58" s="145">
        <f t="shared" si="3"/>
        <v>-1550662.5699999998</v>
      </c>
      <c r="CY58" s="107">
        <v>10217176.499999998</v>
      </c>
      <c r="CZ58" s="107">
        <v>15386830.119999999</v>
      </c>
      <c r="DA58" s="107">
        <v>1087508.71</v>
      </c>
      <c r="DB58" s="145">
        <f t="shared" si="4"/>
        <v>5169653.620000001</v>
      </c>
      <c r="DC58" s="137">
        <v>0</v>
      </c>
      <c r="DD58" s="138">
        <v>0</v>
      </c>
      <c r="DE58" s="138">
        <v>0</v>
      </c>
      <c r="DF58" s="139">
        <f t="shared" si="5"/>
        <v>0</v>
      </c>
    </row>
    <row r="59" spans="1:110" ht="15.6" x14ac:dyDescent="0.3">
      <c r="A59" s="30"/>
      <c r="B59" s="32">
        <v>14</v>
      </c>
      <c r="C59" s="33">
        <v>1664</v>
      </c>
      <c r="D59" s="34" t="s">
        <v>405</v>
      </c>
      <c r="E59" s="35" t="s">
        <v>406</v>
      </c>
      <c r="F59" s="71" t="s">
        <v>380</v>
      </c>
      <c r="G59" s="131"/>
      <c r="H59" s="132"/>
      <c r="I59" s="132"/>
      <c r="J59" s="133"/>
      <c r="K59" s="131"/>
      <c r="L59" s="132"/>
      <c r="M59" s="132"/>
      <c r="N59" s="133"/>
      <c r="O59" s="131"/>
      <c r="P59" s="132"/>
      <c r="Q59" s="132"/>
      <c r="R59" s="133"/>
      <c r="S59" s="131"/>
      <c r="T59" s="132"/>
      <c r="U59" s="132"/>
      <c r="V59" s="133"/>
      <c r="W59" s="131"/>
      <c r="X59" s="132"/>
      <c r="Y59" s="132"/>
      <c r="Z59" s="133"/>
      <c r="AA59" s="134"/>
      <c r="AB59" s="135"/>
      <c r="AC59" s="135"/>
      <c r="AD59" s="148"/>
      <c r="AE59" s="135"/>
      <c r="AF59" s="135"/>
      <c r="AG59" s="135"/>
      <c r="AH59" s="148"/>
      <c r="AI59" s="135"/>
      <c r="AJ59" s="135"/>
      <c r="AK59" s="135"/>
      <c r="AL59" s="148"/>
      <c r="AM59" s="135"/>
      <c r="AN59" s="135"/>
      <c r="AO59" s="135"/>
      <c r="AP59" s="148"/>
      <c r="AQ59" s="135"/>
      <c r="AR59" s="135"/>
      <c r="AS59" s="135"/>
      <c r="AT59" s="148"/>
      <c r="AU59" s="136"/>
      <c r="AV59" s="136"/>
      <c r="AW59" s="136"/>
      <c r="AX59" s="147"/>
      <c r="AY59" s="136"/>
      <c r="AZ59" s="136"/>
      <c r="BA59" s="136"/>
      <c r="BB59" s="147"/>
      <c r="BC59" s="136"/>
      <c r="BD59" s="136"/>
      <c r="BE59" s="136"/>
      <c r="BF59" s="147"/>
      <c r="BG59" s="136"/>
      <c r="BH59" s="136"/>
      <c r="BI59" s="136"/>
      <c r="BJ59" s="147"/>
      <c r="BK59" s="136"/>
      <c r="BL59" s="136"/>
      <c r="BM59" s="136"/>
      <c r="BN59" s="147"/>
      <c r="BO59" s="106"/>
      <c r="BP59" s="106"/>
      <c r="BQ59" s="106"/>
      <c r="BR59" s="146"/>
      <c r="BS59" s="106"/>
      <c r="BT59" s="106"/>
      <c r="BU59" s="106"/>
      <c r="BV59" s="146"/>
      <c r="BW59" s="106"/>
      <c r="BX59" s="106"/>
      <c r="BY59" s="106"/>
      <c r="BZ59" s="146"/>
      <c r="CA59" s="106"/>
      <c r="CB59" s="106"/>
      <c r="CC59" s="106"/>
      <c r="CD59" s="146"/>
      <c r="CE59" s="106"/>
      <c r="CF59" s="106"/>
      <c r="CG59" s="106"/>
      <c r="CH59" s="146"/>
      <c r="CI59" s="107">
        <v>907315741.81999946</v>
      </c>
      <c r="CJ59" s="107">
        <v>459957246.37</v>
      </c>
      <c r="CK59" s="107"/>
      <c r="CL59" s="145">
        <f t="shared" si="0"/>
        <v>-447358495.44999945</v>
      </c>
      <c r="CM59" s="107">
        <v>5228357.41</v>
      </c>
      <c r="CN59" s="107">
        <v>471488.99</v>
      </c>
      <c r="CO59" s="107">
        <v>85833.279999999999</v>
      </c>
      <c r="CP59" s="145">
        <f t="shared" si="1"/>
        <v>-4756868.42</v>
      </c>
      <c r="CQ59" s="107">
        <v>630615.00999999989</v>
      </c>
      <c r="CR59" s="107">
        <v>744093.13</v>
      </c>
      <c r="CS59" s="107"/>
      <c r="CT59" s="145">
        <f t="shared" si="2"/>
        <v>113478.12000000011</v>
      </c>
      <c r="CU59" s="107">
        <v>2163905.5499999998</v>
      </c>
      <c r="CV59" s="107">
        <v>877412.99</v>
      </c>
      <c r="CW59" s="107">
        <v>876654.73</v>
      </c>
      <c r="CX59" s="145">
        <f t="shared" si="3"/>
        <v>-1286492.5599999998</v>
      </c>
      <c r="CY59" s="107">
        <v>5184889.6800000006</v>
      </c>
      <c r="CZ59" s="107">
        <v>3117684.62</v>
      </c>
      <c r="DA59" s="107">
        <v>881549.82</v>
      </c>
      <c r="DB59" s="145">
        <f t="shared" si="4"/>
        <v>-2067205.0600000005</v>
      </c>
      <c r="DC59" s="137">
        <v>0</v>
      </c>
      <c r="DD59" s="138">
        <v>0</v>
      </c>
      <c r="DE59" s="138">
        <v>0</v>
      </c>
      <c r="DF59" s="139">
        <f t="shared" si="5"/>
        <v>0</v>
      </c>
    </row>
    <row r="60" spans="1:110" ht="15.6" x14ac:dyDescent="0.3">
      <c r="A60" s="30"/>
      <c r="B60" s="32">
        <v>22</v>
      </c>
      <c r="C60" s="33">
        <v>1668</v>
      </c>
      <c r="D60" s="34" t="s">
        <v>407</v>
      </c>
      <c r="E60" s="35" t="s">
        <v>408</v>
      </c>
      <c r="F60" s="71" t="s">
        <v>380</v>
      </c>
      <c r="G60" s="131"/>
      <c r="H60" s="132"/>
      <c r="I60" s="132"/>
      <c r="J60" s="133"/>
      <c r="K60" s="131"/>
      <c r="L60" s="132"/>
      <c r="M60" s="132"/>
      <c r="N60" s="133"/>
      <c r="O60" s="131"/>
      <c r="P60" s="132"/>
      <c r="Q60" s="132"/>
      <c r="R60" s="133"/>
      <c r="S60" s="131"/>
      <c r="T60" s="132"/>
      <c r="U60" s="132"/>
      <c r="V60" s="133"/>
      <c r="W60" s="131"/>
      <c r="X60" s="132"/>
      <c r="Y60" s="132"/>
      <c r="Z60" s="133"/>
      <c r="AA60" s="134"/>
      <c r="AB60" s="135"/>
      <c r="AC60" s="135"/>
      <c r="AD60" s="148"/>
      <c r="AE60" s="135"/>
      <c r="AF60" s="135"/>
      <c r="AG60" s="135"/>
      <c r="AH60" s="148"/>
      <c r="AI60" s="135"/>
      <c r="AJ60" s="135"/>
      <c r="AK60" s="135"/>
      <c r="AL60" s="148"/>
      <c r="AM60" s="135"/>
      <c r="AN60" s="135"/>
      <c r="AO60" s="135"/>
      <c r="AP60" s="148"/>
      <c r="AQ60" s="135"/>
      <c r="AR60" s="135"/>
      <c r="AS60" s="135"/>
      <c r="AT60" s="148"/>
      <c r="AU60" s="136"/>
      <c r="AV60" s="136"/>
      <c r="AW60" s="136"/>
      <c r="AX60" s="147"/>
      <c r="AY60" s="136"/>
      <c r="AZ60" s="136"/>
      <c r="BA60" s="136"/>
      <c r="BB60" s="147"/>
      <c r="BC60" s="136"/>
      <c r="BD60" s="136"/>
      <c r="BE60" s="136"/>
      <c r="BF60" s="147"/>
      <c r="BG60" s="136"/>
      <c r="BH60" s="136"/>
      <c r="BI60" s="136"/>
      <c r="BJ60" s="147"/>
      <c r="BK60" s="136"/>
      <c r="BL60" s="136"/>
      <c r="BM60" s="136"/>
      <c r="BN60" s="147"/>
      <c r="BO60" s="106"/>
      <c r="BP60" s="106"/>
      <c r="BQ60" s="106"/>
      <c r="BR60" s="146"/>
      <c r="BS60" s="106"/>
      <c r="BT60" s="106"/>
      <c r="BU60" s="106"/>
      <c r="BV60" s="146"/>
      <c r="BW60" s="106"/>
      <c r="BX60" s="106"/>
      <c r="BY60" s="106"/>
      <c r="BZ60" s="146"/>
      <c r="CA60" s="106"/>
      <c r="CB60" s="106"/>
      <c r="CC60" s="106"/>
      <c r="CD60" s="146"/>
      <c r="CE60" s="106"/>
      <c r="CF60" s="106"/>
      <c r="CG60" s="106"/>
      <c r="CH60" s="146"/>
      <c r="CI60" s="107">
        <v>1252313205.589998</v>
      </c>
      <c r="CJ60" s="107">
        <v>789285214.01999998</v>
      </c>
      <c r="CK60" s="107"/>
      <c r="CL60" s="145">
        <f t="shared" si="0"/>
        <v>-463027991.56999803</v>
      </c>
      <c r="CM60" s="107">
        <v>5720714.8100000015</v>
      </c>
      <c r="CN60" s="107">
        <v>491982.27</v>
      </c>
      <c r="CO60" s="107">
        <v>1570987.28</v>
      </c>
      <c r="CP60" s="145">
        <f t="shared" si="1"/>
        <v>-5228732.540000001</v>
      </c>
      <c r="CQ60" s="107">
        <v>2551657.83</v>
      </c>
      <c r="CR60" s="107">
        <v>1863987.38</v>
      </c>
      <c r="CS60" s="107"/>
      <c r="CT60" s="145">
        <f t="shared" si="2"/>
        <v>-687670.45000000019</v>
      </c>
      <c r="CU60" s="107">
        <v>4239044.120000002</v>
      </c>
      <c r="CV60" s="107">
        <v>1221292.99</v>
      </c>
      <c r="CW60" s="107">
        <v>22222.240000000002</v>
      </c>
      <c r="CX60" s="145">
        <f t="shared" si="3"/>
        <v>-3017751.1300000018</v>
      </c>
      <c r="CY60" s="107">
        <v>5539052.9300000016</v>
      </c>
      <c r="CZ60" s="107">
        <v>2760047.38</v>
      </c>
      <c r="DA60" s="107"/>
      <c r="DB60" s="145">
        <f t="shared" si="4"/>
        <v>-2779005.5500000017</v>
      </c>
      <c r="DC60" s="137">
        <v>0</v>
      </c>
      <c r="DD60" s="138">
        <v>0</v>
      </c>
      <c r="DE60" s="138">
        <v>0</v>
      </c>
      <c r="DF60" s="139">
        <f t="shared" si="5"/>
        <v>0</v>
      </c>
    </row>
    <row r="61" spans="1:110" ht="15.6" x14ac:dyDescent="0.3">
      <c r="A61" s="30"/>
      <c r="B61" s="32">
        <v>32</v>
      </c>
      <c r="C61" s="33">
        <v>1675</v>
      </c>
      <c r="D61" s="34" t="s">
        <v>409</v>
      </c>
      <c r="E61" s="35" t="s">
        <v>410</v>
      </c>
      <c r="F61" s="71" t="s">
        <v>380</v>
      </c>
      <c r="G61" s="131"/>
      <c r="H61" s="132"/>
      <c r="I61" s="132"/>
      <c r="J61" s="133"/>
      <c r="K61" s="131"/>
      <c r="L61" s="132"/>
      <c r="M61" s="132"/>
      <c r="N61" s="133"/>
      <c r="O61" s="131"/>
      <c r="P61" s="132"/>
      <c r="Q61" s="132"/>
      <c r="R61" s="133"/>
      <c r="S61" s="131"/>
      <c r="T61" s="132"/>
      <c r="U61" s="132"/>
      <c r="V61" s="133"/>
      <c r="W61" s="131"/>
      <c r="X61" s="132"/>
      <c r="Y61" s="132"/>
      <c r="Z61" s="133"/>
      <c r="AA61" s="134"/>
      <c r="AB61" s="135"/>
      <c r="AC61" s="135"/>
      <c r="AD61" s="148"/>
      <c r="AE61" s="135"/>
      <c r="AF61" s="135"/>
      <c r="AG61" s="135"/>
      <c r="AH61" s="148"/>
      <c r="AI61" s="135"/>
      <c r="AJ61" s="135"/>
      <c r="AK61" s="135"/>
      <c r="AL61" s="148"/>
      <c r="AM61" s="135"/>
      <c r="AN61" s="135"/>
      <c r="AO61" s="135"/>
      <c r="AP61" s="148"/>
      <c r="AQ61" s="135"/>
      <c r="AR61" s="135"/>
      <c r="AS61" s="135"/>
      <c r="AT61" s="148"/>
      <c r="AU61" s="136"/>
      <c r="AV61" s="136"/>
      <c r="AW61" s="136"/>
      <c r="AX61" s="147"/>
      <c r="AY61" s="136"/>
      <c r="AZ61" s="136"/>
      <c r="BA61" s="136"/>
      <c r="BB61" s="147"/>
      <c r="BC61" s="136"/>
      <c r="BD61" s="136"/>
      <c r="BE61" s="136"/>
      <c r="BF61" s="147"/>
      <c r="BG61" s="136"/>
      <c r="BH61" s="136"/>
      <c r="BI61" s="136"/>
      <c r="BJ61" s="147"/>
      <c r="BK61" s="136"/>
      <c r="BL61" s="136"/>
      <c r="BM61" s="136"/>
      <c r="BN61" s="147"/>
      <c r="BO61" s="106"/>
      <c r="BP61" s="106"/>
      <c r="BQ61" s="106"/>
      <c r="BR61" s="146"/>
      <c r="BS61" s="106"/>
      <c r="BT61" s="106"/>
      <c r="BU61" s="106"/>
      <c r="BV61" s="146"/>
      <c r="BW61" s="106"/>
      <c r="BX61" s="106"/>
      <c r="BY61" s="106"/>
      <c r="BZ61" s="146"/>
      <c r="CA61" s="106"/>
      <c r="CB61" s="106"/>
      <c r="CC61" s="106"/>
      <c r="CD61" s="146"/>
      <c r="CE61" s="106"/>
      <c r="CF61" s="106"/>
      <c r="CG61" s="106"/>
      <c r="CH61" s="146"/>
      <c r="CI61" s="107">
        <v>1001822495.8899964</v>
      </c>
      <c r="CJ61" s="107">
        <v>623071409.03999996</v>
      </c>
      <c r="CK61" s="107">
        <v>3165777.59</v>
      </c>
      <c r="CL61" s="145">
        <f t="shared" si="0"/>
        <v>-378751086.84999645</v>
      </c>
      <c r="CM61" s="107">
        <v>2760720.5299999993</v>
      </c>
      <c r="CN61" s="107">
        <v>544109.61</v>
      </c>
      <c r="CO61" s="107"/>
      <c r="CP61" s="145">
        <f t="shared" si="1"/>
        <v>-2216610.9199999995</v>
      </c>
      <c r="CQ61" s="107">
        <v>703013.24999999988</v>
      </c>
      <c r="CR61" s="107">
        <v>839223.1</v>
      </c>
      <c r="CS61" s="107">
        <v>3315967.38</v>
      </c>
      <c r="CT61" s="145">
        <f t="shared" si="2"/>
        <v>136209.85000000009</v>
      </c>
      <c r="CU61" s="107">
        <v>2099771.3099999996</v>
      </c>
      <c r="CV61" s="107">
        <v>2256841.84</v>
      </c>
      <c r="CW61" s="107"/>
      <c r="CX61" s="145">
        <f t="shared" si="3"/>
        <v>157070.53000000026</v>
      </c>
      <c r="CY61" s="107">
        <v>19380354.949999999</v>
      </c>
      <c r="CZ61" s="107">
        <v>28812310.32</v>
      </c>
      <c r="DA61" s="107">
        <v>2628278.7400000002</v>
      </c>
      <c r="DB61" s="145">
        <f t="shared" si="4"/>
        <v>9431955.370000001</v>
      </c>
      <c r="DC61" s="137">
        <v>0</v>
      </c>
      <c r="DD61" s="138">
        <v>0</v>
      </c>
      <c r="DE61" s="138">
        <v>0</v>
      </c>
      <c r="DF61" s="139">
        <f t="shared" si="5"/>
        <v>0</v>
      </c>
    </row>
    <row r="62" spans="1:110" ht="15.6" x14ac:dyDescent="0.3">
      <c r="A62" s="30"/>
      <c r="B62" s="32">
        <v>37</v>
      </c>
      <c r="C62" s="33">
        <v>6984</v>
      </c>
      <c r="D62" s="34" t="s">
        <v>411</v>
      </c>
      <c r="E62" s="35" t="s">
        <v>412</v>
      </c>
      <c r="F62" s="71" t="s">
        <v>380</v>
      </c>
      <c r="G62" s="131"/>
      <c r="H62" s="132"/>
      <c r="I62" s="132"/>
      <c r="J62" s="133"/>
      <c r="K62" s="131"/>
      <c r="L62" s="132"/>
      <c r="M62" s="132"/>
      <c r="N62" s="133"/>
      <c r="O62" s="131"/>
      <c r="P62" s="132"/>
      <c r="Q62" s="132"/>
      <c r="R62" s="133"/>
      <c r="S62" s="131"/>
      <c r="T62" s="132"/>
      <c r="U62" s="132"/>
      <c r="V62" s="133"/>
      <c r="W62" s="131"/>
      <c r="X62" s="132"/>
      <c r="Y62" s="132"/>
      <c r="Z62" s="133"/>
      <c r="AA62" s="134"/>
      <c r="AB62" s="135"/>
      <c r="AC62" s="135"/>
      <c r="AD62" s="148"/>
      <c r="AE62" s="135"/>
      <c r="AF62" s="135"/>
      <c r="AG62" s="135"/>
      <c r="AH62" s="148"/>
      <c r="AI62" s="135"/>
      <c r="AJ62" s="135"/>
      <c r="AK62" s="135"/>
      <c r="AL62" s="148"/>
      <c r="AM62" s="135"/>
      <c r="AN62" s="135"/>
      <c r="AO62" s="135"/>
      <c r="AP62" s="148"/>
      <c r="AQ62" s="135"/>
      <c r="AR62" s="135"/>
      <c r="AS62" s="135"/>
      <c r="AT62" s="148"/>
      <c r="AU62" s="136"/>
      <c r="AV62" s="136"/>
      <c r="AW62" s="136"/>
      <c r="AX62" s="147"/>
      <c r="AY62" s="136"/>
      <c r="AZ62" s="136"/>
      <c r="BA62" s="136"/>
      <c r="BB62" s="147"/>
      <c r="BC62" s="136"/>
      <c r="BD62" s="136"/>
      <c r="BE62" s="136"/>
      <c r="BF62" s="147"/>
      <c r="BG62" s="136"/>
      <c r="BH62" s="136"/>
      <c r="BI62" s="136"/>
      <c r="BJ62" s="147"/>
      <c r="BK62" s="136"/>
      <c r="BL62" s="136"/>
      <c r="BM62" s="136"/>
      <c r="BN62" s="147"/>
      <c r="BO62" s="106"/>
      <c r="BP62" s="106"/>
      <c r="BQ62" s="106"/>
      <c r="BR62" s="146"/>
      <c r="BS62" s="106"/>
      <c r="BT62" s="106"/>
      <c r="BU62" s="106"/>
      <c r="BV62" s="146"/>
      <c r="BW62" s="106"/>
      <c r="BX62" s="106"/>
      <c r="BY62" s="106"/>
      <c r="BZ62" s="146"/>
      <c r="CA62" s="106"/>
      <c r="CB62" s="106"/>
      <c r="CC62" s="106"/>
      <c r="CD62" s="146"/>
      <c r="CE62" s="106"/>
      <c r="CF62" s="106"/>
      <c r="CG62" s="106"/>
      <c r="CH62" s="146"/>
      <c r="CI62" s="107">
        <v>12037777255.700094</v>
      </c>
      <c r="CJ62" s="107">
        <v>1365556629.6600001</v>
      </c>
      <c r="CK62" s="107">
        <v>314426.65000000002</v>
      </c>
      <c r="CL62" s="145">
        <f t="shared" si="0"/>
        <v>-10672220626.040094</v>
      </c>
      <c r="CM62" s="107">
        <v>56438185.779999971</v>
      </c>
      <c r="CN62" s="107">
        <v>2752334.26</v>
      </c>
      <c r="CO62" s="107"/>
      <c r="CP62" s="145">
        <f t="shared" si="1"/>
        <v>-53685851.519999973</v>
      </c>
      <c r="CQ62" s="107">
        <v>30116167.630000006</v>
      </c>
      <c r="CR62" s="107">
        <v>2162821.88</v>
      </c>
      <c r="CS62" s="107">
        <v>1133209.07</v>
      </c>
      <c r="CT62" s="145">
        <f t="shared" si="2"/>
        <v>-27953345.750000007</v>
      </c>
      <c r="CU62" s="107">
        <v>46366942.210000053</v>
      </c>
      <c r="CV62" s="107">
        <v>3048157.44</v>
      </c>
      <c r="CW62" s="107">
        <v>1133209.07</v>
      </c>
      <c r="CX62" s="145">
        <f t="shared" si="3"/>
        <v>-43318784.770000055</v>
      </c>
      <c r="CY62" s="107">
        <v>110326319.64999995</v>
      </c>
      <c r="CZ62" s="107">
        <v>15999375.310000001</v>
      </c>
      <c r="DA62" s="107">
        <v>0</v>
      </c>
      <c r="DB62" s="145">
        <f t="shared" si="4"/>
        <v>-94326944.339999944</v>
      </c>
      <c r="DC62" s="137">
        <v>2658.86</v>
      </c>
      <c r="DD62" s="138">
        <v>0</v>
      </c>
      <c r="DE62" s="138">
        <v>0</v>
      </c>
      <c r="DF62" s="139">
        <f t="shared" si="5"/>
        <v>-2658.86</v>
      </c>
    </row>
    <row r="63" spans="1:110" ht="15.6" x14ac:dyDescent="0.3">
      <c r="A63" s="30"/>
      <c r="B63" s="32">
        <v>36</v>
      </c>
      <c r="C63" s="33">
        <v>1793</v>
      </c>
      <c r="D63" s="34" t="s">
        <v>413</v>
      </c>
      <c r="E63" s="35" t="s">
        <v>414</v>
      </c>
      <c r="F63" s="71" t="s">
        <v>380</v>
      </c>
      <c r="G63" s="131"/>
      <c r="H63" s="132"/>
      <c r="I63" s="132"/>
      <c r="J63" s="133"/>
      <c r="K63" s="131"/>
      <c r="L63" s="132"/>
      <c r="M63" s="132"/>
      <c r="N63" s="133"/>
      <c r="O63" s="131"/>
      <c r="P63" s="132"/>
      <c r="Q63" s="132"/>
      <c r="R63" s="133"/>
      <c r="S63" s="131"/>
      <c r="T63" s="132"/>
      <c r="U63" s="132"/>
      <c r="V63" s="133"/>
      <c r="W63" s="131"/>
      <c r="X63" s="132"/>
      <c r="Y63" s="132"/>
      <c r="Z63" s="133"/>
      <c r="AA63" s="134"/>
      <c r="AB63" s="135"/>
      <c r="AC63" s="135"/>
      <c r="AD63" s="148"/>
      <c r="AE63" s="135"/>
      <c r="AF63" s="135"/>
      <c r="AG63" s="135"/>
      <c r="AH63" s="148"/>
      <c r="AI63" s="135"/>
      <c r="AJ63" s="135"/>
      <c r="AK63" s="135"/>
      <c r="AL63" s="148"/>
      <c r="AM63" s="135"/>
      <c r="AN63" s="135"/>
      <c r="AO63" s="135"/>
      <c r="AP63" s="148"/>
      <c r="AQ63" s="135"/>
      <c r="AR63" s="135"/>
      <c r="AS63" s="135"/>
      <c r="AT63" s="148"/>
      <c r="AU63" s="136"/>
      <c r="AV63" s="136"/>
      <c r="AW63" s="136"/>
      <c r="AX63" s="147"/>
      <c r="AY63" s="136"/>
      <c r="AZ63" s="136"/>
      <c r="BA63" s="136"/>
      <c r="BB63" s="147"/>
      <c r="BC63" s="136"/>
      <c r="BD63" s="136"/>
      <c r="BE63" s="136"/>
      <c r="BF63" s="147"/>
      <c r="BG63" s="136"/>
      <c r="BH63" s="136"/>
      <c r="BI63" s="136"/>
      <c r="BJ63" s="147"/>
      <c r="BK63" s="136"/>
      <c r="BL63" s="136"/>
      <c r="BM63" s="136"/>
      <c r="BN63" s="147"/>
      <c r="BO63" s="106"/>
      <c r="BP63" s="106"/>
      <c r="BQ63" s="106"/>
      <c r="BR63" s="146"/>
      <c r="BS63" s="106"/>
      <c r="BT63" s="106"/>
      <c r="BU63" s="106"/>
      <c r="BV63" s="146"/>
      <c r="BW63" s="106"/>
      <c r="BX63" s="106"/>
      <c r="BY63" s="106"/>
      <c r="BZ63" s="146"/>
      <c r="CA63" s="106"/>
      <c r="CB63" s="106"/>
      <c r="CC63" s="106"/>
      <c r="CD63" s="146"/>
      <c r="CE63" s="106"/>
      <c r="CF63" s="106"/>
      <c r="CG63" s="106"/>
      <c r="CH63" s="146"/>
      <c r="CI63" s="107">
        <v>1827450311.9200082</v>
      </c>
      <c r="CJ63" s="107">
        <v>1157477144.8700001</v>
      </c>
      <c r="CK63" s="107">
        <v>541809.52</v>
      </c>
      <c r="CL63" s="145">
        <f t="shared" si="0"/>
        <v>-669973167.05000806</v>
      </c>
      <c r="CM63" s="107">
        <v>4615169.3699999992</v>
      </c>
      <c r="CN63" s="107">
        <v>1503447.24</v>
      </c>
      <c r="CO63" s="107"/>
      <c r="CP63" s="145">
        <f t="shared" si="1"/>
        <v>-3111722.129999999</v>
      </c>
      <c r="CQ63" s="107">
        <v>1759064.2300000002</v>
      </c>
      <c r="CR63" s="107">
        <v>2543041.4500000002</v>
      </c>
      <c r="CS63" s="107">
        <v>2613984.7799999998</v>
      </c>
      <c r="CT63" s="145">
        <f t="shared" si="2"/>
        <v>783977.22</v>
      </c>
      <c r="CU63" s="107">
        <v>2487393.1000000006</v>
      </c>
      <c r="CV63" s="107">
        <v>1334654.9099999999</v>
      </c>
      <c r="CW63" s="107"/>
      <c r="CX63" s="145">
        <f t="shared" si="3"/>
        <v>-1152738.1900000006</v>
      </c>
      <c r="CY63" s="107">
        <v>6850716.5899999999</v>
      </c>
      <c r="CZ63" s="107">
        <v>8674479.370000001</v>
      </c>
      <c r="DA63" s="107">
        <v>66502.539999999994</v>
      </c>
      <c r="DB63" s="145">
        <f t="shared" si="4"/>
        <v>1823762.7800000012</v>
      </c>
      <c r="DC63" s="137">
        <v>0</v>
      </c>
      <c r="DD63" s="138">
        <v>0</v>
      </c>
      <c r="DE63" s="138">
        <v>0</v>
      </c>
      <c r="DF63" s="139">
        <f t="shared" si="5"/>
        <v>0</v>
      </c>
    </row>
    <row r="64" spans="1:110" ht="15.6" x14ac:dyDescent="0.3">
      <c r="A64" s="30"/>
      <c r="B64" s="32">
        <v>28</v>
      </c>
      <c r="C64" s="33">
        <v>5293</v>
      </c>
      <c r="D64" s="34" t="s">
        <v>415</v>
      </c>
      <c r="E64" s="35" t="s">
        <v>620</v>
      </c>
      <c r="F64" s="71" t="s">
        <v>380</v>
      </c>
      <c r="G64" s="131"/>
      <c r="H64" s="132"/>
      <c r="I64" s="132"/>
      <c r="J64" s="133"/>
      <c r="K64" s="131"/>
      <c r="L64" s="132"/>
      <c r="M64" s="132"/>
      <c r="N64" s="133"/>
      <c r="O64" s="131"/>
      <c r="P64" s="132"/>
      <c r="Q64" s="132"/>
      <c r="R64" s="133"/>
      <c r="S64" s="131"/>
      <c r="T64" s="132"/>
      <c r="U64" s="132"/>
      <c r="V64" s="133"/>
      <c r="W64" s="131"/>
      <c r="X64" s="132"/>
      <c r="Y64" s="132"/>
      <c r="Z64" s="133"/>
      <c r="AA64" s="134"/>
      <c r="AB64" s="135"/>
      <c r="AC64" s="135"/>
      <c r="AD64" s="148"/>
      <c r="AE64" s="135"/>
      <c r="AF64" s="135"/>
      <c r="AG64" s="135"/>
      <c r="AH64" s="148"/>
      <c r="AI64" s="135"/>
      <c r="AJ64" s="135"/>
      <c r="AK64" s="135"/>
      <c r="AL64" s="148"/>
      <c r="AM64" s="135"/>
      <c r="AN64" s="135"/>
      <c r="AO64" s="135"/>
      <c r="AP64" s="148"/>
      <c r="AQ64" s="135"/>
      <c r="AR64" s="135"/>
      <c r="AS64" s="135"/>
      <c r="AT64" s="148"/>
      <c r="AU64" s="136"/>
      <c r="AV64" s="136"/>
      <c r="AW64" s="136"/>
      <c r="AX64" s="147"/>
      <c r="AY64" s="136"/>
      <c r="AZ64" s="136"/>
      <c r="BA64" s="136"/>
      <c r="BB64" s="147"/>
      <c r="BC64" s="136"/>
      <c r="BD64" s="136"/>
      <c r="BE64" s="136"/>
      <c r="BF64" s="147"/>
      <c r="BG64" s="136"/>
      <c r="BH64" s="136"/>
      <c r="BI64" s="136"/>
      <c r="BJ64" s="147"/>
      <c r="BK64" s="136"/>
      <c r="BL64" s="136"/>
      <c r="BM64" s="136"/>
      <c r="BN64" s="147"/>
      <c r="BO64" s="106"/>
      <c r="BP64" s="106"/>
      <c r="BQ64" s="106"/>
      <c r="BR64" s="146"/>
      <c r="BS64" s="106"/>
      <c r="BT64" s="106"/>
      <c r="BU64" s="106"/>
      <c r="BV64" s="146"/>
      <c r="BW64" s="106"/>
      <c r="BX64" s="106"/>
      <c r="BY64" s="106"/>
      <c r="BZ64" s="146"/>
      <c r="CA64" s="106"/>
      <c r="CB64" s="106"/>
      <c r="CC64" s="106"/>
      <c r="CD64" s="146"/>
      <c r="CE64" s="106"/>
      <c r="CF64" s="106"/>
      <c r="CG64" s="106"/>
      <c r="CH64" s="146"/>
      <c r="CI64" s="107">
        <v>599071200.97000039</v>
      </c>
      <c r="CJ64" s="107">
        <v>478035508.80000001</v>
      </c>
      <c r="CK64" s="107"/>
      <c r="CL64" s="145">
        <f t="shared" si="0"/>
        <v>-121035692.17000037</v>
      </c>
      <c r="CM64" s="107">
        <v>1161255.6099999999</v>
      </c>
      <c r="CN64" s="107">
        <v>1593907.13</v>
      </c>
      <c r="CO64" s="107">
        <v>106218.31</v>
      </c>
      <c r="CP64" s="145">
        <f t="shared" si="1"/>
        <v>432651.52000000002</v>
      </c>
      <c r="CQ64" s="107">
        <v>1173970.3899999999</v>
      </c>
      <c r="CR64" s="107">
        <v>185108.74</v>
      </c>
      <c r="CS64" s="107">
        <v>1737225.5</v>
      </c>
      <c r="CT64" s="145">
        <f t="shared" si="2"/>
        <v>-988861.64999999991</v>
      </c>
      <c r="CU64" s="107">
        <v>543014.92999999993</v>
      </c>
      <c r="CV64" s="107">
        <v>379124.21</v>
      </c>
      <c r="CW64" s="107"/>
      <c r="CX64" s="145">
        <f t="shared" si="3"/>
        <v>-163890.71999999991</v>
      </c>
      <c r="CY64" s="107">
        <v>6322778.0400000028</v>
      </c>
      <c r="CZ64" s="107">
        <v>9958718.3900000006</v>
      </c>
      <c r="DA64" s="107">
        <v>48055.4</v>
      </c>
      <c r="DB64" s="145">
        <f t="shared" si="4"/>
        <v>3635940.3499999978</v>
      </c>
      <c r="DC64" s="137">
        <v>0</v>
      </c>
      <c r="DD64" s="138">
        <v>0</v>
      </c>
      <c r="DE64" s="138">
        <v>0</v>
      </c>
      <c r="DF64" s="139">
        <f t="shared" si="5"/>
        <v>0</v>
      </c>
    </row>
    <row r="65" spans="1:110" ht="15.6" x14ac:dyDescent="0.3">
      <c r="A65" s="30"/>
      <c r="B65" s="32">
        <v>16</v>
      </c>
      <c r="C65" s="33">
        <v>5294</v>
      </c>
      <c r="D65" s="34" t="s">
        <v>621</v>
      </c>
      <c r="E65" s="35" t="s">
        <v>622</v>
      </c>
      <c r="F65" s="71" t="s">
        <v>380</v>
      </c>
      <c r="G65" s="131"/>
      <c r="H65" s="132"/>
      <c r="I65" s="132"/>
      <c r="J65" s="133"/>
      <c r="K65" s="131"/>
      <c r="L65" s="132"/>
      <c r="M65" s="132"/>
      <c r="N65" s="133"/>
      <c r="O65" s="131"/>
      <c r="P65" s="132"/>
      <c r="Q65" s="132"/>
      <c r="R65" s="133"/>
      <c r="S65" s="131"/>
      <c r="T65" s="132"/>
      <c r="U65" s="132"/>
      <c r="V65" s="133"/>
      <c r="W65" s="131"/>
      <c r="X65" s="132"/>
      <c r="Y65" s="132"/>
      <c r="Z65" s="133"/>
      <c r="AA65" s="134"/>
      <c r="AB65" s="135"/>
      <c r="AC65" s="135"/>
      <c r="AD65" s="148"/>
      <c r="AE65" s="135"/>
      <c r="AF65" s="135"/>
      <c r="AG65" s="135"/>
      <c r="AH65" s="148"/>
      <c r="AI65" s="135"/>
      <c r="AJ65" s="135"/>
      <c r="AK65" s="135"/>
      <c r="AL65" s="148"/>
      <c r="AM65" s="135"/>
      <c r="AN65" s="135"/>
      <c r="AO65" s="135"/>
      <c r="AP65" s="148"/>
      <c r="AQ65" s="135"/>
      <c r="AR65" s="135"/>
      <c r="AS65" s="135"/>
      <c r="AT65" s="148"/>
      <c r="AU65" s="136"/>
      <c r="AV65" s="136"/>
      <c r="AW65" s="136"/>
      <c r="AX65" s="147"/>
      <c r="AY65" s="136"/>
      <c r="AZ65" s="136"/>
      <c r="BA65" s="136"/>
      <c r="BB65" s="147"/>
      <c r="BC65" s="136"/>
      <c r="BD65" s="136"/>
      <c r="BE65" s="136"/>
      <c r="BF65" s="147"/>
      <c r="BG65" s="136"/>
      <c r="BH65" s="136"/>
      <c r="BI65" s="136"/>
      <c r="BJ65" s="147"/>
      <c r="BK65" s="136"/>
      <c r="BL65" s="136"/>
      <c r="BM65" s="136"/>
      <c r="BN65" s="147"/>
      <c r="BO65" s="106"/>
      <c r="BP65" s="106"/>
      <c r="BQ65" s="106"/>
      <c r="BR65" s="146"/>
      <c r="BS65" s="106"/>
      <c r="BT65" s="106"/>
      <c r="BU65" s="106"/>
      <c r="BV65" s="146"/>
      <c r="BW65" s="106"/>
      <c r="BX65" s="106"/>
      <c r="BY65" s="106"/>
      <c r="BZ65" s="146"/>
      <c r="CA65" s="106"/>
      <c r="CB65" s="106"/>
      <c r="CC65" s="106"/>
      <c r="CD65" s="146"/>
      <c r="CE65" s="106"/>
      <c r="CF65" s="106"/>
      <c r="CG65" s="106"/>
      <c r="CH65" s="146"/>
      <c r="CI65" s="107">
        <v>815972877.40999985</v>
      </c>
      <c r="CJ65" s="107">
        <v>624097867.4799999</v>
      </c>
      <c r="CK65" s="107">
        <v>787365.51</v>
      </c>
      <c r="CL65" s="145">
        <f t="shared" si="0"/>
        <v>-191875009.92999995</v>
      </c>
      <c r="CM65" s="107">
        <v>2749422.9800000004</v>
      </c>
      <c r="CN65" s="107">
        <v>3414920.86</v>
      </c>
      <c r="CO65" s="107">
        <v>540916.67000000004</v>
      </c>
      <c r="CP65" s="145">
        <f t="shared" si="1"/>
        <v>665497.87999999942</v>
      </c>
      <c r="CQ65" s="107">
        <v>1200604.28</v>
      </c>
      <c r="CR65" s="107">
        <v>1572586.83</v>
      </c>
      <c r="CS65" s="107">
        <v>649805.55000000005</v>
      </c>
      <c r="CT65" s="145">
        <f t="shared" si="2"/>
        <v>371982.55000000005</v>
      </c>
      <c r="CU65" s="107">
        <v>1071938.7699999998</v>
      </c>
      <c r="CV65" s="107">
        <v>1698702.8</v>
      </c>
      <c r="CW65" s="107">
        <v>459377.23</v>
      </c>
      <c r="CX65" s="145">
        <f t="shared" si="3"/>
        <v>626764.03000000026</v>
      </c>
      <c r="CY65" s="107">
        <v>14471190.449999999</v>
      </c>
      <c r="CZ65" s="107">
        <v>16435049.48</v>
      </c>
      <c r="DA65" s="107"/>
      <c r="DB65" s="145">
        <f t="shared" si="4"/>
        <v>1963859.0300000012</v>
      </c>
      <c r="DC65" s="137">
        <v>0</v>
      </c>
      <c r="DD65" s="138">
        <v>0</v>
      </c>
      <c r="DE65" s="138">
        <v>0</v>
      </c>
      <c r="DF65" s="139">
        <f t="shared" si="5"/>
        <v>0</v>
      </c>
    </row>
    <row r="66" spans="1:110" ht="15.6" x14ac:dyDescent="0.3">
      <c r="A66" s="30"/>
      <c r="B66" s="32">
        <v>26</v>
      </c>
      <c r="C66" s="33">
        <v>6897</v>
      </c>
      <c r="D66" s="34" t="s">
        <v>623</v>
      </c>
      <c r="E66" s="35" t="s">
        <v>624</v>
      </c>
      <c r="F66" s="71" t="s">
        <v>380</v>
      </c>
      <c r="G66" s="131"/>
      <c r="H66" s="132"/>
      <c r="I66" s="132"/>
      <c r="J66" s="133"/>
      <c r="K66" s="131"/>
      <c r="L66" s="132"/>
      <c r="M66" s="132"/>
      <c r="N66" s="133"/>
      <c r="O66" s="131"/>
      <c r="P66" s="132"/>
      <c r="Q66" s="132"/>
      <c r="R66" s="133"/>
      <c r="S66" s="131"/>
      <c r="T66" s="132"/>
      <c r="U66" s="132"/>
      <c r="V66" s="133"/>
      <c r="W66" s="131"/>
      <c r="X66" s="132"/>
      <c r="Y66" s="132"/>
      <c r="Z66" s="133"/>
      <c r="AA66" s="134"/>
      <c r="AB66" s="135"/>
      <c r="AC66" s="135"/>
      <c r="AD66" s="148"/>
      <c r="AE66" s="135"/>
      <c r="AF66" s="135"/>
      <c r="AG66" s="135"/>
      <c r="AH66" s="148"/>
      <c r="AI66" s="135"/>
      <c r="AJ66" s="135"/>
      <c r="AK66" s="135"/>
      <c r="AL66" s="148"/>
      <c r="AM66" s="135"/>
      <c r="AN66" s="135"/>
      <c r="AO66" s="135"/>
      <c r="AP66" s="148"/>
      <c r="AQ66" s="135"/>
      <c r="AR66" s="135"/>
      <c r="AS66" s="135"/>
      <c r="AT66" s="148"/>
      <c r="AU66" s="136"/>
      <c r="AV66" s="136"/>
      <c r="AW66" s="136"/>
      <c r="AX66" s="147"/>
      <c r="AY66" s="136"/>
      <c r="AZ66" s="136"/>
      <c r="BA66" s="136"/>
      <c r="BB66" s="147"/>
      <c r="BC66" s="136"/>
      <c r="BD66" s="136"/>
      <c r="BE66" s="136"/>
      <c r="BF66" s="147"/>
      <c r="BG66" s="136"/>
      <c r="BH66" s="136"/>
      <c r="BI66" s="136"/>
      <c r="BJ66" s="147"/>
      <c r="BK66" s="136"/>
      <c r="BL66" s="136"/>
      <c r="BM66" s="136"/>
      <c r="BN66" s="147"/>
      <c r="BO66" s="106"/>
      <c r="BP66" s="106"/>
      <c r="BQ66" s="106"/>
      <c r="BR66" s="146"/>
      <c r="BS66" s="106"/>
      <c r="BT66" s="106"/>
      <c r="BU66" s="106"/>
      <c r="BV66" s="146"/>
      <c r="BW66" s="106"/>
      <c r="BX66" s="106"/>
      <c r="BY66" s="106"/>
      <c r="BZ66" s="146"/>
      <c r="CA66" s="106"/>
      <c r="CB66" s="106"/>
      <c r="CC66" s="106"/>
      <c r="CD66" s="146"/>
      <c r="CE66" s="106"/>
      <c r="CF66" s="106"/>
      <c r="CG66" s="106"/>
      <c r="CH66" s="146"/>
      <c r="CI66" s="107">
        <v>1070428974.6200045</v>
      </c>
      <c r="CJ66" s="107">
        <v>662437791.38</v>
      </c>
      <c r="CK66" s="107"/>
      <c r="CL66" s="145">
        <f t="shared" si="0"/>
        <v>-407991183.24000454</v>
      </c>
      <c r="CM66" s="107">
        <v>3129331.83</v>
      </c>
      <c r="CN66" s="107">
        <v>546145.18999999994</v>
      </c>
      <c r="CO66" s="107"/>
      <c r="CP66" s="145">
        <f t="shared" si="1"/>
        <v>-2583186.64</v>
      </c>
      <c r="CQ66" s="107">
        <v>1399774.0800000003</v>
      </c>
      <c r="CR66" s="107">
        <v>421623.64</v>
      </c>
      <c r="CS66" s="107"/>
      <c r="CT66" s="145">
        <f t="shared" si="2"/>
        <v>-978150.44000000029</v>
      </c>
      <c r="CU66" s="107">
        <v>4167271.8499999973</v>
      </c>
      <c r="CV66" s="107">
        <v>550460.39</v>
      </c>
      <c r="CW66" s="107">
        <v>455699.5</v>
      </c>
      <c r="CX66" s="145">
        <f t="shared" si="3"/>
        <v>-3616811.4599999972</v>
      </c>
      <c r="CY66" s="107">
        <v>6791999.6300000018</v>
      </c>
      <c r="CZ66" s="107">
        <v>2531711.87</v>
      </c>
      <c r="DA66" s="107"/>
      <c r="DB66" s="145">
        <f t="shared" si="4"/>
        <v>-4260287.7600000016</v>
      </c>
      <c r="DC66" s="137">
        <v>0</v>
      </c>
      <c r="DD66" s="138">
        <v>0</v>
      </c>
      <c r="DE66" s="138">
        <v>0</v>
      </c>
      <c r="DF66" s="139">
        <f t="shared" si="5"/>
        <v>0</v>
      </c>
    </row>
    <row r="67" spans="1:110" ht="15.6" x14ac:dyDescent="0.3">
      <c r="A67" s="30"/>
      <c r="B67" s="40">
        <v>50</v>
      </c>
      <c r="C67" s="41">
        <v>6269</v>
      </c>
      <c r="D67" s="42" t="s">
        <v>625</v>
      </c>
      <c r="E67" s="43" t="s">
        <v>626</v>
      </c>
      <c r="F67" s="114" t="s">
        <v>627</v>
      </c>
      <c r="G67" s="131"/>
      <c r="H67" s="132"/>
      <c r="I67" s="132"/>
      <c r="J67" s="133"/>
      <c r="K67" s="131"/>
      <c r="L67" s="132"/>
      <c r="M67" s="132"/>
      <c r="N67" s="133"/>
      <c r="O67" s="131"/>
      <c r="P67" s="132"/>
      <c r="Q67" s="132"/>
      <c r="R67" s="133"/>
      <c r="S67" s="131"/>
      <c r="T67" s="132"/>
      <c r="U67" s="132"/>
      <c r="V67" s="133"/>
      <c r="W67" s="131"/>
      <c r="X67" s="132"/>
      <c r="Y67" s="132"/>
      <c r="Z67" s="133"/>
      <c r="AA67" s="134"/>
      <c r="AB67" s="135"/>
      <c r="AC67" s="135"/>
      <c r="AD67" s="148"/>
      <c r="AE67" s="135"/>
      <c r="AF67" s="135"/>
      <c r="AG67" s="135"/>
      <c r="AH67" s="148"/>
      <c r="AI67" s="135"/>
      <c r="AJ67" s="135"/>
      <c r="AK67" s="135"/>
      <c r="AL67" s="148"/>
      <c r="AM67" s="135"/>
      <c r="AN67" s="135"/>
      <c r="AO67" s="135"/>
      <c r="AP67" s="148"/>
      <c r="AQ67" s="135"/>
      <c r="AR67" s="135"/>
      <c r="AS67" s="135"/>
      <c r="AT67" s="148"/>
      <c r="AU67" s="136"/>
      <c r="AV67" s="136"/>
      <c r="AW67" s="136"/>
      <c r="AX67" s="147"/>
      <c r="AY67" s="136"/>
      <c r="AZ67" s="136"/>
      <c r="BA67" s="136"/>
      <c r="BB67" s="147"/>
      <c r="BC67" s="136"/>
      <c r="BD67" s="136"/>
      <c r="BE67" s="136"/>
      <c r="BF67" s="147"/>
      <c r="BG67" s="136"/>
      <c r="BH67" s="136"/>
      <c r="BI67" s="136"/>
      <c r="BJ67" s="147"/>
      <c r="BK67" s="136"/>
      <c r="BL67" s="136"/>
      <c r="BM67" s="136"/>
      <c r="BN67" s="147"/>
      <c r="BO67" s="106"/>
      <c r="BP67" s="106"/>
      <c r="BQ67" s="106"/>
      <c r="BR67" s="146"/>
      <c r="BS67" s="106"/>
      <c r="BT67" s="106"/>
      <c r="BU67" s="106"/>
      <c r="BV67" s="146"/>
      <c r="BW67" s="106"/>
      <c r="BX67" s="106"/>
      <c r="BY67" s="106"/>
      <c r="BZ67" s="146"/>
      <c r="CA67" s="106"/>
      <c r="CB67" s="106"/>
      <c r="CC67" s="106"/>
      <c r="CD67" s="146"/>
      <c r="CE67" s="106"/>
      <c r="CF67" s="106"/>
      <c r="CG67" s="106"/>
      <c r="CH67" s="146"/>
      <c r="CI67" s="107">
        <v>2972834513.3300023</v>
      </c>
      <c r="CJ67" s="107">
        <v>1619875425.6499999</v>
      </c>
      <c r="CK67" s="107"/>
      <c r="CL67" s="145">
        <f t="shared" si="0"/>
        <v>-1352959087.6800025</v>
      </c>
      <c r="CM67" s="107">
        <v>12274247.340000011</v>
      </c>
      <c r="CN67" s="107">
        <v>4471259.13</v>
      </c>
      <c r="CO67" s="107">
        <v>3341251.63</v>
      </c>
      <c r="CP67" s="145">
        <f t="shared" si="1"/>
        <v>-7802988.2100000111</v>
      </c>
      <c r="CQ67" s="107">
        <v>5970924.7000000011</v>
      </c>
      <c r="CR67" s="107">
        <v>2004899.74</v>
      </c>
      <c r="CS67" s="107">
        <v>30079.84</v>
      </c>
      <c r="CT67" s="145">
        <f t="shared" si="2"/>
        <v>-3966024.9600000009</v>
      </c>
      <c r="CU67" s="107">
        <v>9423525.5999999978</v>
      </c>
      <c r="CV67" s="107">
        <v>3743859.72</v>
      </c>
      <c r="CW67" s="107"/>
      <c r="CX67" s="145">
        <f t="shared" si="3"/>
        <v>-5679665.8799999971</v>
      </c>
      <c r="CY67" s="107">
        <v>38522889.449999973</v>
      </c>
      <c r="CZ67" s="107">
        <v>36579946.259999998</v>
      </c>
      <c r="DA67" s="107">
        <v>3530355.35</v>
      </c>
      <c r="DB67" s="145">
        <f t="shared" si="4"/>
        <v>-1942943.1899999753</v>
      </c>
      <c r="DC67" s="137">
        <v>0</v>
      </c>
      <c r="DD67" s="138">
        <v>67773.119999999995</v>
      </c>
      <c r="DE67" s="138">
        <v>0</v>
      </c>
      <c r="DF67" s="139">
        <f t="shared" si="5"/>
        <v>67773.119999999995</v>
      </c>
    </row>
    <row r="68" spans="1:110" ht="15.6" x14ac:dyDescent="0.3">
      <c r="A68" s="30"/>
      <c r="B68" s="40">
        <v>47</v>
      </c>
      <c r="C68" s="41">
        <v>4107</v>
      </c>
      <c r="D68" s="42" t="s">
        <v>628</v>
      </c>
      <c r="E68" s="43" t="s">
        <v>629</v>
      </c>
      <c r="F68" s="114" t="s">
        <v>627</v>
      </c>
      <c r="G68" s="131"/>
      <c r="H68" s="132"/>
      <c r="I68" s="132"/>
      <c r="J68" s="133"/>
      <c r="K68" s="131"/>
      <c r="L68" s="132"/>
      <c r="M68" s="132"/>
      <c r="N68" s="133"/>
      <c r="O68" s="131"/>
      <c r="P68" s="132"/>
      <c r="Q68" s="132"/>
      <c r="R68" s="133"/>
      <c r="S68" s="131"/>
      <c r="T68" s="132"/>
      <c r="U68" s="132"/>
      <c r="V68" s="133"/>
      <c r="W68" s="131"/>
      <c r="X68" s="132"/>
      <c r="Y68" s="132"/>
      <c r="Z68" s="133"/>
      <c r="AA68" s="134"/>
      <c r="AB68" s="135"/>
      <c r="AC68" s="135"/>
      <c r="AD68" s="148"/>
      <c r="AE68" s="135"/>
      <c r="AF68" s="135"/>
      <c r="AG68" s="135"/>
      <c r="AH68" s="148"/>
      <c r="AI68" s="135"/>
      <c r="AJ68" s="135"/>
      <c r="AK68" s="135"/>
      <c r="AL68" s="148"/>
      <c r="AM68" s="135"/>
      <c r="AN68" s="135"/>
      <c r="AO68" s="135"/>
      <c r="AP68" s="148"/>
      <c r="AQ68" s="135"/>
      <c r="AR68" s="135"/>
      <c r="AS68" s="135"/>
      <c r="AT68" s="148"/>
      <c r="AU68" s="136"/>
      <c r="AV68" s="136"/>
      <c r="AW68" s="136"/>
      <c r="AX68" s="147"/>
      <c r="AY68" s="136"/>
      <c r="AZ68" s="136"/>
      <c r="BA68" s="136"/>
      <c r="BB68" s="147"/>
      <c r="BC68" s="136"/>
      <c r="BD68" s="136"/>
      <c r="BE68" s="136"/>
      <c r="BF68" s="147"/>
      <c r="BG68" s="136"/>
      <c r="BH68" s="136"/>
      <c r="BI68" s="136"/>
      <c r="BJ68" s="147"/>
      <c r="BK68" s="136"/>
      <c r="BL68" s="136"/>
      <c r="BM68" s="136"/>
      <c r="BN68" s="147"/>
      <c r="BO68" s="106"/>
      <c r="BP68" s="106"/>
      <c r="BQ68" s="106"/>
      <c r="BR68" s="146"/>
      <c r="BS68" s="106"/>
      <c r="BT68" s="106"/>
      <c r="BU68" s="106"/>
      <c r="BV68" s="146"/>
      <c r="BW68" s="106"/>
      <c r="BX68" s="106"/>
      <c r="BY68" s="106"/>
      <c r="BZ68" s="146"/>
      <c r="CA68" s="106"/>
      <c r="CB68" s="106"/>
      <c r="CC68" s="106"/>
      <c r="CD68" s="146"/>
      <c r="CE68" s="106"/>
      <c r="CF68" s="106"/>
      <c r="CG68" s="106"/>
      <c r="CH68" s="146"/>
      <c r="CI68" s="107">
        <v>210795166.92999977</v>
      </c>
      <c r="CJ68" s="107">
        <v>148676590.46000001</v>
      </c>
      <c r="CK68" s="107"/>
      <c r="CL68" s="145">
        <f t="shared" si="0"/>
        <v>-62118576.46999976</v>
      </c>
      <c r="CM68" s="107">
        <v>357087.3</v>
      </c>
      <c r="CN68" s="107">
        <v>73557.740000000005</v>
      </c>
      <c r="CO68" s="107"/>
      <c r="CP68" s="145">
        <f t="shared" si="1"/>
        <v>-283529.56</v>
      </c>
      <c r="CQ68" s="107">
        <v>138119.60999999999</v>
      </c>
      <c r="CR68" s="107">
        <v>0</v>
      </c>
      <c r="CS68" s="107"/>
      <c r="CT68" s="145">
        <f t="shared" si="2"/>
        <v>-138119.60999999999</v>
      </c>
      <c r="CU68" s="107">
        <v>0</v>
      </c>
      <c r="CV68" s="107">
        <v>28333.27</v>
      </c>
      <c r="CW68" s="107"/>
      <c r="CX68" s="145">
        <f t="shared" si="3"/>
        <v>28333.27</v>
      </c>
      <c r="CY68" s="107">
        <v>0</v>
      </c>
      <c r="CZ68" s="107">
        <v>0</v>
      </c>
      <c r="DA68" s="107"/>
      <c r="DB68" s="145">
        <f t="shared" si="4"/>
        <v>0</v>
      </c>
      <c r="DC68" s="137">
        <v>0</v>
      </c>
      <c r="DD68" s="138">
        <v>0</v>
      </c>
      <c r="DE68" s="138">
        <v>0</v>
      </c>
      <c r="DF68" s="139">
        <f t="shared" si="5"/>
        <v>0</v>
      </c>
    </row>
    <row r="69" spans="1:110" ht="15.6" x14ac:dyDescent="0.3">
      <c r="A69" s="30"/>
      <c r="B69" s="40">
        <v>51</v>
      </c>
      <c r="C69" s="41">
        <v>6909</v>
      </c>
      <c r="D69" s="42" t="s">
        <v>630</v>
      </c>
      <c r="E69" s="43" t="s">
        <v>631</v>
      </c>
      <c r="F69" s="114" t="s">
        <v>627</v>
      </c>
      <c r="G69" s="131"/>
      <c r="H69" s="132"/>
      <c r="I69" s="132"/>
      <c r="J69" s="133"/>
      <c r="K69" s="131"/>
      <c r="L69" s="132"/>
      <c r="M69" s="132"/>
      <c r="N69" s="133"/>
      <c r="O69" s="131"/>
      <c r="P69" s="132"/>
      <c r="Q69" s="132"/>
      <c r="R69" s="133"/>
      <c r="S69" s="131"/>
      <c r="T69" s="132"/>
      <c r="U69" s="132"/>
      <c r="V69" s="133"/>
      <c r="W69" s="131"/>
      <c r="X69" s="132"/>
      <c r="Y69" s="132"/>
      <c r="Z69" s="133"/>
      <c r="AA69" s="134"/>
      <c r="AB69" s="135"/>
      <c r="AC69" s="135"/>
      <c r="AD69" s="148"/>
      <c r="AE69" s="135"/>
      <c r="AF69" s="135"/>
      <c r="AG69" s="135"/>
      <c r="AH69" s="148"/>
      <c r="AI69" s="135"/>
      <c r="AJ69" s="135"/>
      <c r="AK69" s="135"/>
      <c r="AL69" s="148"/>
      <c r="AM69" s="135"/>
      <c r="AN69" s="135"/>
      <c r="AO69" s="135"/>
      <c r="AP69" s="148"/>
      <c r="AQ69" s="135"/>
      <c r="AR69" s="135"/>
      <c r="AS69" s="135"/>
      <c r="AT69" s="148"/>
      <c r="AU69" s="136"/>
      <c r="AV69" s="136"/>
      <c r="AW69" s="136"/>
      <c r="AX69" s="147"/>
      <c r="AY69" s="136"/>
      <c r="AZ69" s="136"/>
      <c r="BA69" s="136"/>
      <c r="BB69" s="147"/>
      <c r="BC69" s="136"/>
      <c r="BD69" s="136"/>
      <c r="BE69" s="136"/>
      <c r="BF69" s="147"/>
      <c r="BG69" s="136"/>
      <c r="BH69" s="136"/>
      <c r="BI69" s="136"/>
      <c r="BJ69" s="147"/>
      <c r="BK69" s="136"/>
      <c r="BL69" s="136"/>
      <c r="BM69" s="136"/>
      <c r="BN69" s="147"/>
      <c r="BO69" s="106"/>
      <c r="BP69" s="106"/>
      <c r="BQ69" s="106"/>
      <c r="BR69" s="146"/>
      <c r="BS69" s="106"/>
      <c r="BT69" s="106"/>
      <c r="BU69" s="106"/>
      <c r="BV69" s="146"/>
      <c r="BW69" s="106"/>
      <c r="BX69" s="106"/>
      <c r="BY69" s="106"/>
      <c r="BZ69" s="146"/>
      <c r="CA69" s="106"/>
      <c r="CB69" s="106"/>
      <c r="CC69" s="106"/>
      <c r="CD69" s="146"/>
      <c r="CE69" s="106"/>
      <c r="CF69" s="106"/>
      <c r="CG69" s="106"/>
      <c r="CH69" s="146"/>
      <c r="CI69" s="107">
        <v>1201812534.9499977</v>
      </c>
      <c r="CJ69" s="107">
        <v>586417350.32000005</v>
      </c>
      <c r="CK69" s="107"/>
      <c r="CL69" s="145">
        <f t="shared" si="0"/>
        <v>-615395184.62999761</v>
      </c>
      <c r="CM69" s="107">
        <v>4143662.1999999988</v>
      </c>
      <c r="CN69" s="107">
        <v>880037.01</v>
      </c>
      <c r="CO69" s="107">
        <v>32538.639999999999</v>
      </c>
      <c r="CP69" s="145">
        <f t="shared" si="1"/>
        <v>-3263625.1899999985</v>
      </c>
      <c r="CQ69" s="107">
        <v>1874607.4199999997</v>
      </c>
      <c r="CR69" s="107">
        <v>395281.53</v>
      </c>
      <c r="CS69" s="107">
        <v>4129898.84</v>
      </c>
      <c r="CT69" s="145">
        <f t="shared" si="2"/>
        <v>-1479325.8899999997</v>
      </c>
      <c r="CU69" s="107">
        <v>2511668.58</v>
      </c>
      <c r="CV69" s="107">
        <v>795068.34</v>
      </c>
      <c r="CW69" s="107">
        <v>4129898.84</v>
      </c>
      <c r="CX69" s="145">
        <f t="shared" si="3"/>
        <v>-1716600.2400000002</v>
      </c>
      <c r="CY69" s="107">
        <v>2949091.5600000005</v>
      </c>
      <c r="CZ69" s="107">
        <v>3448530.32</v>
      </c>
      <c r="DA69" s="107"/>
      <c r="DB69" s="145">
        <f t="shared" si="4"/>
        <v>499438.75999999931</v>
      </c>
      <c r="DC69" s="137">
        <v>0</v>
      </c>
      <c r="DD69" s="138">
        <v>0</v>
      </c>
      <c r="DE69" s="138">
        <v>0</v>
      </c>
      <c r="DF69" s="139">
        <f t="shared" si="5"/>
        <v>0</v>
      </c>
    </row>
    <row r="70" spans="1:110" ht="15.6" x14ac:dyDescent="0.3">
      <c r="A70" s="30"/>
      <c r="B70" s="40">
        <v>55</v>
      </c>
      <c r="C70" s="41">
        <v>8123</v>
      </c>
      <c r="D70" s="42" t="s">
        <v>632</v>
      </c>
      <c r="E70" s="43" t="s">
        <v>633</v>
      </c>
      <c r="F70" s="114" t="s">
        <v>627</v>
      </c>
      <c r="G70" s="131"/>
      <c r="H70" s="132"/>
      <c r="I70" s="132"/>
      <c r="J70" s="133"/>
      <c r="K70" s="131"/>
      <c r="L70" s="132"/>
      <c r="M70" s="132"/>
      <c r="N70" s="133"/>
      <c r="O70" s="131"/>
      <c r="P70" s="132"/>
      <c r="Q70" s="132"/>
      <c r="R70" s="133"/>
      <c r="S70" s="131"/>
      <c r="T70" s="132"/>
      <c r="U70" s="132"/>
      <c r="V70" s="133"/>
      <c r="W70" s="131"/>
      <c r="X70" s="132"/>
      <c r="Y70" s="132"/>
      <c r="Z70" s="133"/>
      <c r="AA70" s="134"/>
      <c r="AB70" s="135"/>
      <c r="AC70" s="135"/>
      <c r="AD70" s="148"/>
      <c r="AE70" s="135"/>
      <c r="AF70" s="135"/>
      <c r="AG70" s="135"/>
      <c r="AH70" s="148"/>
      <c r="AI70" s="135"/>
      <c r="AJ70" s="135"/>
      <c r="AK70" s="135"/>
      <c r="AL70" s="148"/>
      <c r="AM70" s="135"/>
      <c r="AN70" s="135"/>
      <c r="AO70" s="135"/>
      <c r="AP70" s="148"/>
      <c r="AQ70" s="135"/>
      <c r="AR70" s="135"/>
      <c r="AS70" s="135"/>
      <c r="AT70" s="148"/>
      <c r="AU70" s="136"/>
      <c r="AV70" s="136"/>
      <c r="AW70" s="136"/>
      <c r="AX70" s="147"/>
      <c r="AY70" s="136"/>
      <c r="AZ70" s="136"/>
      <c r="BA70" s="136"/>
      <c r="BB70" s="147"/>
      <c r="BC70" s="136"/>
      <c r="BD70" s="136"/>
      <c r="BE70" s="136"/>
      <c r="BF70" s="147"/>
      <c r="BG70" s="136"/>
      <c r="BH70" s="136"/>
      <c r="BI70" s="136"/>
      <c r="BJ70" s="147"/>
      <c r="BK70" s="136"/>
      <c r="BL70" s="136"/>
      <c r="BM70" s="136"/>
      <c r="BN70" s="147"/>
      <c r="BO70" s="106"/>
      <c r="BP70" s="106"/>
      <c r="BQ70" s="106"/>
      <c r="BR70" s="146"/>
      <c r="BS70" s="106"/>
      <c r="BT70" s="106"/>
      <c r="BU70" s="106"/>
      <c r="BV70" s="146"/>
      <c r="BW70" s="106"/>
      <c r="BX70" s="106"/>
      <c r="BY70" s="106"/>
      <c r="BZ70" s="146"/>
      <c r="CA70" s="106"/>
      <c r="CB70" s="106"/>
      <c r="CC70" s="106"/>
      <c r="CD70" s="146"/>
      <c r="CE70" s="106"/>
      <c r="CF70" s="106"/>
      <c r="CG70" s="106"/>
      <c r="CH70" s="146"/>
      <c r="CI70" s="107">
        <v>981058774.90999842</v>
      </c>
      <c r="CJ70" s="107">
        <v>456438103.68000001</v>
      </c>
      <c r="CK70" s="107">
        <v>1825107.45</v>
      </c>
      <c r="CL70" s="145">
        <f t="shared" si="0"/>
        <v>-524620671.22999841</v>
      </c>
      <c r="CM70" s="107">
        <v>5482552.7100000009</v>
      </c>
      <c r="CN70" s="107">
        <v>1400427.87</v>
      </c>
      <c r="CO70" s="107"/>
      <c r="CP70" s="145">
        <f t="shared" si="1"/>
        <v>-4082124.8400000008</v>
      </c>
      <c r="CQ70" s="107">
        <v>3373109.1199999996</v>
      </c>
      <c r="CR70" s="107">
        <v>842919.51</v>
      </c>
      <c r="CS70" s="107">
        <v>2460485.54</v>
      </c>
      <c r="CT70" s="145">
        <f t="shared" si="2"/>
        <v>-2530189.6099999994</v>
      </c>
      <c r="CU70" s="107">
        <v>3913981.87</v>
      </c>
      <c r="CV70" s="107">
        <v>1095066.6399999999</v>
      </c>
      <c r="CW70" s="107">
        <v>2724238.83</v>
      </c>
      <c r="CX70" s="145">
        <f t="shared" si="3"/>
        <v>-2818915.2300000004</v>
      </c>
      <c r="CY70" s="107">
        <v>3635771.57</v>
      </c>
      <c r="CZ70" s="107">
        <v>2881158.12</v>
      </c>
      <c r="DA70" s="107">
        <v>501188864.80000001</v>
      </c>
      <c r="DB70" s="145">
        <f t="shared" si="4"/>
        <v>-754613.44999999972</v>
      </c>
      <c r="DC70" s="137">
        <v>0</v>
      </c>
      <c r="DD70" s="138">
        <v>0</v>
      </c>
      <c r="DE70" s="138">
        <v>0</v>
      </c>
      <c r="DF70" s="139">
        <f t="shared" si="5"/>
        <v>0</v>
      </c>
    </row>
    <row r="71" spans="1:110" ht="15.6" x14ac:dyDescent="0.3">
      <c r="A71" s="30"/>
      <c r="B71" s="40">
        <v>52</v>
      </c>
      <c r="C71" s="41">
        <v>7128</v>
      </c>
      <c r="D71" s="42" t="s">
        <v>634</v>
      </c>
      <c r="E71" s="43" t="s">
        <v>263</v>
      </c>
      <c r="F71" s="114" t="s">
        <v>627</v>
      </c>
      <c r="G71" s="131"/>
      <c r="H71" s="132"/>
      <c r="I71" s="132"/>
      <c r="J71" s="133"/>
      <c r="K71" s="131"/>
      <c r="L71" s="132"/>
      <c r="M71" s="132"/>
      <c r="N71" s="133"/>
      <c r="O71" s="131"/>
      <c r="P71" s="132"/>
      <c r="Q71" s="132"/>
      <c r="R71" s="133"/>
      <c r="S71" s="131"/>
      <c r="T71" s="132"/>
      <c r="U71" s="132"/>
      <c r="V71" s="133"/>
      <c r="W71" s="131"/>
      <c r="X71" s="132"/>
      <c r="Y71" s="132"/>
      <c r="Z71" s="133"/>
      <c r="AA71" s="134"/>
      <c r="AB71" s="135"/>
      <c r="AC71" s="135"/>
      <c r="AD71" s="148"/>
      <c r="AE71" s="135"/>
      <c r="AF71" s="135"/>
      <c r="AG71" s="135"/>
      <c r="AH71" s="148"/>
      <c r="AI71" s="135"/>
      <c r="AJ71" s="135"/>
      <c r="AK71" s="135"/>
      <c r="AL71" s="148"/>
      <c r="AM71" s="135"/>
      <c r="AN71" s="135"/>
      <c r="AO71" s="135"/>
      <c r="AP71" s="148"/>
      <c r="AQ71" s="135"/>
      <c r="AR71" s="135"/>
      <c r="AS71" s="135"/>
      <c r="AT71" s="148"/>
      <c r="AU71" s="136"/>
      <c r="AV71" s="136"/>
      <c r="AW71" s="136"/>
      <c r="AX71" s="147"/>
      <c r="AY71" s="136"/>
      <c r="AZ71" s="136"/>
      <c r="BA71" s="136"/>
      <c r="BB71" s="147"/>
      <c r="BC71" s="136"/>
      <c r="BD71" s="136"/>
      <c r="BE71" s="136"/>
      <c r="BF71" s="147"/>
      <c r="BG71" s="136"/>
      <c r="BH71" s="136"/>
      <c r="BI71" s="136"/>
      <c r="BJ71" s="147"/>
      <c r="BK71" s="136"/>
      <c r="BL71" s="136"/>
      <c r="BM71" s="136"/>
      <c r="BN71" s="147"/>
      <c r="BO71" s="106"/>
      <c r="BP71" s="106"/>
      <c r="BQ71" s="106"/>
      <c r="BR71" s="146"/>
      <c r="BS71" s="106"/>
      <c r="BT71" s="106"/>
      <c r="BU71" s="106"/>
      <c r="BV71" s="146"/>
      <c r="BW71" s="106"/>
      <c r="BX71" s="106"/>
      <c r="BY71" s="106"/>
      <c r="BZ71" s="146"/>
      <c r="CA71" s="106"/>
      <c r="CB71" s="106"/>
      <c r="CC71" s="106"/>
      <c r="CD71" s="146"/>
      <c r="CE71" s="106"/>
      <c r="CF71" s="106"/>
      <c r="CG71" s="106"/>
      <c r="CH71" s="146"/>
      <c r="CI71" s="107">
        <v>2075939658.0400002</v>
      </c>
      <c r="CJ71" s="107">
        <v>787259179.62</v>
      </c>
      <c r="CK71" s="107"/>
      <c r="CL71" s="145">
        <f t="shared" si="0"/>
        <v>-1288680478.4200001</v>
      </c>
      <c r="CM71" s="107">
        <v>7033739.860000005</v>
      </c>
      <c r="CN71" s="107">
        <v>2149825.58</v>
      </c>
      <c r="CO71" s="107">
        <v>12774328.390000001</v>
      </c>
      <c r="CP71" s="145">
        <f t="shared" si="1"/>
        <v>-4883914.2800000049</v>
      </c>
      <c r="CQ71" s="107">
        <v>4916778.5599999987</v>
      </c>
      <c r="CR71" s="107">
        <v>867624.06</v>
      </c>
      <c r="CS71" s="107">
        <v>14392298.189999999</v>
      </c>
      <c r="CT71" s="145">
        <f t="shared" si="2"/>
        <v>-4049154.4999999986</v>
      </c>
      <c r="CU71" s="107">
        <v>8864026.7499999963</v>
      </c>
      <c r="CV71" s="107">
        <v>2787518.98</v>
      </c>
      <c r="CW71" s="107">
        <v>694103045</v>
      </c>
      <c r="CX71" s="145">
        <f t="shared" si="3"/>
        <v>-6076507.7699999958</v>
      </c>
      <c r="CY71" s="107">
        <v>17584284.459999997</v>
      </c>
      <c r="CZ71" s="107">
        <v>11022040.43</v>
      </c>
      <c r="DA71" s="107"/>
      <c r="DB71" s="145">
        <f t="shared" si="4"/>
        <v>-6562244.0299999975</v>
      </c>
      <c r="DC71" s="137">
        <v>0</v>
      </c>
      <c r="DD71" s="138">
        <v>0</v>
      </c>
      <c r="DE71" s="138">
        <v>0</v>
      </c>
      <c r="DF71" s="139">
        <f t="shared" si="5"/>
        <v>0</v>
      </c>
    </row>
    <row r="72" spans="1:110" ht="15.6" x14ac:dyDescent="0.3">
      <c r="A72" s="30"/>
      <c r="B72" s="40">
        <v>54</v>
      </c>
      <c r="C72" s="41">
        <v>7729</v>
      </c>
      <c r="D72" s="42" t="s">
        <v>264</v>
      </c>
      <c r="E72" s="43" t="s">
        <v>265</v>
      </c>
      <c r="F72" s="114" t="s">
        <v>627</v>
      </c>
      <c r="G72" s="131"/>
      <c r="H72" s="132"/>
      <c r="I72" s="132"/>
      <c r="J72" s="133"/>
      <c r="K72" s="131"/>
      <c r="L72" s="132"/>
      <c r="M72" s="132"/>
      <c r="N72" s="133"/>
      <c r="O72" s="131"/>
      <c r="P72" s="132"/>
      <c r="Q72" s="132"/>
      <c r="R72" s="133"/>
      <c r="S72" s="131"/>
      <c r="T72" s="132"/>
      <c r="U72" s="132"/>
      <c r="V72" s="133"/>
      <c r="W72" s="131"/>
      <c r="X72" s="132"/>
      <c r="Y72" s="132"/>
      <c r="Z72" s="133"/>
      <c r="AA72" s="134"/>
      <c r="AB72" s="135"/>
      <c r="AC72" s="135"/>
      <c r="AD72" s="148"/>
      <c r="AE72" s="135"/>
      <c r="AF72" s="135"/>
      <c r="AG72" s="135"/>
      <c r="AH72" s="148"/>
      <c r="AI72" s="135"/>
      <c r="AJ72" s="135"/>
      <c r="AK72" s="135"/>
      <c r="AL72" s="148"/>
      <c r="AM72" s="135"/>
      <c r="AN72" s="135"/>
      <c r="AO72" s="135"/>
      <c r="AP72" s="148"/>
      <c r="AQ72" s="135"/>
      <c r="AR72" s="135"/>
      <c r="AS72" s="135"/>
      <c r="AT72" s="148"/>
      <c r="AU72" s="136"/>
      <c r="AV72" s="136"/>
      <c r="AW72" s="136"/>
      <c r="AX72" s="147"/>
      <c r="AY72" s="136"/>
      <c r="AZ72" s="136"/>
      <c r="BA72" s="136"/>
      <c r="BB72" s="147"/>
      <c r="BC72" s="136"/>
      <c r="BD72" s="136"/>
      <c r="BE72" s="136"/>
      <c r="BF72" s="147"/>
      <c r="BG72" s="136"/>
      <c r="BH72" s="136"/>
      <c r="BI72" s="136"/>
      <c r="BJ72" s="147"/>
      <c r="BK72" s="136"/>
      <c r="BL72" s="136"/>
      <c r="BM72" s="136"/>
      <c r="BN72" s="147"/>
      <c r="BO72" s="106"/>
      <c r="BP72" s="106"/>
      <c r="BQ72" s="106"/>
      <c r="BR72" s="146"/>
      <c r="BS72" s="106"/>
      <c r="BT72" s="106"/>
      <c r="BU72" s="106"/>
      <c r="BV72" s="146"/>
      <c r="BW72" s="106"/>
      <c r="BX72" s="106"/>
      <c r="BY72" s="106"/>
      <c r="BZ72" s="146"/>
      <c r="CA72" s="106"/>
      <c r="CB72" s="106"/>
      <c r="CC72" s="106"/>
      <c r="CD72" s="146"/>
      <c r="CE72" s="106"/>
      <c r="CF72" s="106"/>
      <c r="CG72" s="106"/>
      <c r="CH72" s="146"/>
      <c r="CI72" s="107">
        <v>811222423.2899996</v>
      </c>
      <c r="CJ72" s="107">
        <v>439820998.98000002</v>
      </c>
      <c r="CK72" s="107">
        <v>2017672.94</v>
      </c>
      <c r="CL72" s="145">
        <f t="shared" si="0"/>
        <v>-371401424.30999959</v>
      </c>
      <c r="CM72" s="107">
        <v>3055259.3500000006</v>
      </c>
      <c r="CN72" s="107">
        <v>663559.81000000006</v>
      </c>
      <c r="CO72" s="107"/>
      <c r="CP72" s="145">
        <f t="shared" si="1"/>
        <v>-2391699.5400000005</v>
      </c>
      <c r="CQ72" s="107">
        <v>1642119.15</v>
      </c>
      <c r="CR72" s="107">
        <v>1064946.32</v>
      </c>
      <c r="CS72" s="107"/>
      <c r="CT72" s="145">
        <f t="shared" si="2"/>
        <v>-577172.82999999984</v>
      </c>
      <c r="CU72" s="107">
        <v>2615445.35</v>
      </c>
      <c r="CV72" s="107">
        <v>3021138.27</v>
      </c>
      <c r="CW72" s="107"/>
      <c r="CX72" s="145">
        <f t="shared" si="3"/>
        <v>405692.91999999993</v>
      </c>
      <c r="CY72" s="107">
        <v>9347139.4199999999</v>
      </c>
      <c r="CZ72" s="107">
        <v>5141415.09</v>
      </c>
      <c r="DA72" s="107">
        <v>3064900.28</v>
      </c>
      <c r="DB72" s="145">
        <f t="shared" si="4"/>
        <v>-4205724.33</v>
      </c>
      <c r="DC72" s="137">
        <v>161563.13000000003</v>
      </c>
      <c r="DD72" s="138">
        <v>371692</v>
      </c>
      <c r="DE72" s="138">
        <v>0</v>
      </c>
      <c r="DF72" s="139">
        <f t="shared" si="5"/>
        <v>210128.86999999997</v>
      </c>
    </row>
    <row r="73" spans="1:110" ht="15.6" x14ac:dyDescent="0.3">
      <c r="A73" s="30"/>
      <c r="B73" s="45">
        <v>40</v>
      </c>
      <c r="C73" s="41">
        <v>8617</v>
      </c>
      <c r="D73" s="42" t="s">
        <v>266</v>
      </c>
      <c r="E73" s="43" t="s">
        <v>267</v>
      </c>
      <c r="F73" s="114" t="s">
        <v>627</v>
      </c>
      <c r="G73" s="131"/>
      <c r="H73" s="132"/>
      <c r="I73" s="132"/>
      <c r="J73" s="133"/>
      <c r="K73" s="131"/>
      <c r="L73" s="132"/>
      <c r="M73" s="132"/>
      <c r="N73" s="133"/>
      <c r="O73" s="131"/>
      <c r="P73" s="132"/>
      <c r="Q73" s="132"/>
      <c r="R73" s="133"/>
      <c r="S73" s="131"/>
      <c r="T73" s="132"/>
      <c r="U73" s="132"/>
      <c r="V73" s="133"/>
      <c r="W73" s="131"/>
      <c r="X73" s="132"/>
      <c r="Y73" s="132"/>
      <c r="Z73" s="133"/>
      <c r="AA73" s="134"/>
      <c r="AB73" s="135"/>
      <c r="AC73" s="135"/>
      <c r="AD73" s="148"/>
      <c r="AE73" s="135"/>
      <c r="AF73" s="135"/>
      <c r="AG73" s="135"/>
      <c r="AH73" s="148"/>
      <c r="AI73" s="135"/>
      <c r="AJ73" s="135"/>
      <c r="AK73" s="135"/>
      <c r="AL73" s="148"/>
      <c r="AM73" s="135"/>
      <c r="AN73" s="135"/>
      <c r="AO73" s="135"/>
      <c r="AP73" s="148"/>
      <c r="AQ73" s="135"/>
      <c r="AR73" s="135"/>
      <c r="AS73" s="135"/>
      <c r="AT73" s="148"/>
      <c r="AU73" s="136"/>
      <c r="AV73" s="136"/>
      <c r="AW73" s="136"/>
      <c r="AX73" s="147"/>
      <c r="AY73" s="136"/>
      <c r="AZ73" s="136"/>
      <c r="BA73" s="136"/>
      <c r="BB73" s="147"/>
      <c r="BC73" s="136"/>
      <c r="BD73" s="136"/>
      <c r="BE73" s="136"/>
      <c r="BF73" s="147"/>
      <c r="BG73" s="136"/>
      <c r="BH73" s="136"/>
      <c r="BI73" s="136"/>
      <c r="BJ73" s="147"/>
      <c r="BK73" s="136"/>
      <c r="BL73" s="136"/>
      <c r="BM73" s="136"/>
      <c r="BN73" s="147"/>
      <c r="BO73" s="106"/>
      <c r="BP73" s="106"/>
      <c r="BQ73" s="106"/>
      <c r="BR73" s="146"/>
      <c r="BS73" s="106"/>
      <c r="BT73" s="106"/>
      <c r="BU73" s="106"/>
      <c r="BV73" s="146"/>
      <c r="BW73" s="106"/>
      <c r="BX73" s="106"/>
      <c r="BY73" s="106"/>
      <c r="BZ73" s="146"/>
      <c r="CA73" s="106"/>
      <c r="CB73" s="106"/>
      <c r="CC73" s="106"/>
      <c r="CD73" s="146"/>
      <c r="CE73" s="106"/>
      <c r="CF73" s="106"/>
      <c r="CG73" s="106"/>
      <c r="CH73" s="146"/>
      <c r="CI73" s="107">
        <v>7452936574.1899805</v>
      </c>
      <c r="CJ73" s="107">
        <v>3651397256.6300001</v>
      </c>
      <c r="CK73" s="107">
        <v>7886430.2999999998</v>
      </c>
      <c r="CL73" s="145">
        <f t="shared" si="0"/>
        <v>-3801539317.5599804</v>
      </c>
      <c r="CM73" s="107">
        <v>19820892.790000003</v>
      </c>
      <c r="CN73" s="107">
        <v>3566011.33</v>
      </c>
      <c r="CO73" s="107">
        <v>463225.32</v>
      </c>
      <c r="CP73" s="145">
        <f t="shared" si="1"/>
        <v>-16254881.460000003</v>
      </c>
      <c r="CQ73" s="107">
        <v>9573183.4499999993</v>
      </c>
      <c r="CR73" s="107">
        <v>2603932.6</v>
      </c>
      <c r="CS73" s="107">
        <v>517823.82</v>
      </c>
      <c r="CT73" s="145">
        <f t="shared" si="2"/>
        <v>-6969250.8499999996</v>
      </c>
      <c r="CU73" s="107">
        <v>15178544.57</v>
      </c>
      <c r="CV73" s="107">
        <v>6102506.6199999992</v>
      </c>
      <c r="CW73" s="107"/>
      <c r="CX73" s="145">
        <f t="shared" si="3"/>
        <v>-9076037.9500000011</v>
      </c>
      <c r="CY73" s="107">
        <v>25680208.310000036</v>
      </c>
      <c r="CZ73" s="107">
        <v>35704807.289999999</v>
      </c>
      <c r="DA73" s="107"/>
      <c r="DB73" s="145">
        <f t="shared" si="4"/>
        <v>10024598.979999963</v>
      </c>
      <c r="DC73" s="137">
        <v>0</v>
      </c>
      <c r="DD73" s="138">
        <v>0</v>
      </c>
      <c r="DE73" s="138">
        <v>0</v>
      </c>
      <c r="DF73" s="139">
        <f t="shared" si="5"/>
        <v>0</v>
      </c>
    </row>
    <row r="74" spans="1:110" ht="15.6" x14ac:dyDescent="0.3">
      <c r="A74" s="30"/>
      <c r="B74" s="46">
        <v>60</v>
      </c>
      <c r="C74" s="47">
        <v>8618</v>
      </c>
      <c r="D74" s="48" t="s">
        <v>268</v>
      </c>
      <c r="E74" s="49" t="s">
        <v>1034</v>
      </c>
      <c r="F74" s="115" t="s">
        <v>1035</v>
      </c>
      <c r="G74" s="131"/>
      <c r="H74" s="132"/>
      <c r="I74" s="132"/>
      <c r="J74" s="133"/>
      <c r="K74" s="131"/>
      <c r="L74" s="132"/>
      <c r="M74" s="132"/>
      <c r="N74" s="133"/>
      <c r="O74" s="131"/>
      <c r="P74" s="132"/>
      <c r="Q74" s="132"/>
      <c r="R74" s="133"/>
      <c r="S74" s="131"/>
      <c r="T74" s="132"/>
      <c r="U74" s="132"/>
      <c r="V74" s="133"/>
      <c r="W74" s="131"/>
      <c r="X74" s="132"/>
      <c r="Y74" s="132"/>
      <c r="Z74" s="133"/>
      <c r="AA74" s="134"/>
      <c r="AB74" s="135"/>
      <c r="AC74" s="135"/>
      <c r="AD74" s="148"/>
      <c r="AE74" s="135"/>
      <c r="AF74" s="135"/>
      <c r="AG74" s="135"/>
      <c r="AH74" s="148"/>
      <c r="AI74" s="135"/>
      <c r="AJ74" s="135"/>
      <c r="AK74" s="135"/>
      <c r="AL74" s="148"/>
      <c r="AM74" s="135"/>
      <c r="AN74" s="135"/>
      <c r="AO74" s="135"/>
      <c r="AP74" s="148"/>
      <c r="AQ74" s="135"/>
      <c r="AR74" s="135"/>
      <c r="AS74" s="135"/>
      <c r="AT74" s="148"/>
      <c r="AU74" s="136"/>
      <c r="AV74" s="136"/>
      <c r="AW74" s="136"/>
      <c r="AX74" s="147"/>
      <c r="AY74" s="136"/>
      <c r="AZ74" s="136"/>
      <c r="BA74" s="136"/>
      <c r="BB74" s="147"/>
      <c r="BC74" s="136"/>
      <c r="BD74" s="136"/>
      <c r="BE74" s="136"/>
      <c r="BF74" s="147"/>
      <c r="BG74" s="136"/>
      <c r="BH74" s="136"/>
      <c r="BI74" s="136"/>
      <c r="BJ74" s="147"/>
      <c r="BK74" s="136"/>
      <c r="BL74" s="136"/>
      <c r="BM74" s="136"/>
      <c r="BN74" s="147"/>
      <c r="BO74" s="106"/>
      <c r="BP74" s="106"/>
      <c r="BQ74" s="106"/>
      <c r="BR74" s="146"/>
      <c r="BS74" s="106"/>
      <c r="BT74" s="106"/>
      <c r="BU74" s="106"/>
      <c r="BV74" s="146"/>
      <c r="BW74" s="106"/>
      <c r="BX74" s="106"/>
      <c r="BY74" s="106"/>
      <c r="BZ74" s="146"/>
      <c r="CA74" s="106"/>
      <c r="CB74" s="106"/>
      <c r="CC74" s="106"/>
      <c r="CD74" s="146"/>
      <c r="CE74" s="106"/>
      <c r="CF74" s="106"/>
      <c r="CG74" s="106"/>
      <c r="CH74" s="146"/>
      <c r="CI74" s="107">
        <v>6180236945.6700077</v>
      </c>
      <c r="CJ74" s="107">
        <v>3012976139.46</v>
      </c>
      <c r="CK74" s="107"/>
      <c r="CL74" s="145">
        <f t="shared" si="0"/>
        <v>-3167260806.2100077</v>
      </c>
      <c r="CM74" s="107">
        <v>18258652.320000015</v>
      </c>
      <c r="CN74" s="107">
        <v>4427175.55</v>
      </c>
      <c r="CO74" s="107"/>
      <c r="CP74" s="145">
        <f t="shared" si="1"/>
        <v>-13831476.770000014</v>
      </c>
      <c r="CQ74" s="107">
        <v>9713742.6200000029</v>
      </c>
      <c r="CR74" s="107">
        <v>1772610.35</v>
      </c>
      <c r="CS74" s="107">
        <v>177677.84</v>
      </c>
      <c r="CT74" s="145">
        <f t="shared" si="2"/>
        <v>-7941132.2700000033</v>
      </c>
      <c r="CU74" s="107">
        <v>15558122.300000012</v>
      </c>
      <c r="CV74" s="107">
        <v>2137963.31</v>
      </c>
      <c r="CW74" s="107">
        <v>220924.23</v>
      </c>
      <c r="CX74" s="145">
        <f t="shared" si="3"/>
        <v>-13420158.990000011</v>
      </c>
      <c r="CY74" s="107">
        <v>27918663.340000011</v>
      </c>
      <c r="CZ74" s="107">
        <v>22890918.129999999</v>
      </c>
      <c r="DA74" s="107"/>
      <c r="DB74" s="145">
        <f t="shared" si="4"/>
        <v>-5027745.2100000121</v>
      </c>
      <c r="DC74" s="137">
        <v>2274.59</v>
      </c>
      <c r="DD74" s="138">
        <v>7289.41</v>
      </c>
      <c r="DE74" s="138">
        <v>0</v>
      </c>
      <c r="DF74" s="139">
        <f t="shared" si="5"/>
        <v>5014.82</v>
      </c>
    </row>
    <row r="75" spans="1:110" ht="15.6" x14ac:dyDescent="0.3">
      <c r="A75" s="30"/>
      <c r="B75" s="51">
        <v>73</v>
      </c>
      <c r="C75" s="47">
        <v>5912</v>
      </c>
      <c r="D75" s="48" t="s">
        <v>1036</v>
      </c>
      <c r="E75" s="49" t="s">
        <v>1326</v>
      </c>
      <c r="F75" s="115" t="s">
        <v>1035</v>
      </c>
      <c r="G75" s="131"/>
      <c r="H75" s="132"/>
      <c r="I75" s="132"/>
      <c r="J75" s="133"/>
      <c r="K75" s="131"/>
      <c r="L75" s="132"/>
      <c r="M75" s="132"/>
      <c r="N75" s="133"/>
      <c r="O75" s="131"/>
      <c r="P75" s="132"/>
      <c r="Q75" s="132"/>
      <c r="R75" s="133"/>
      <c r="S75" s="131"/>
      <c r="T75" s="132"/>
      <c r="U75" s="132"/>
      <c r="V75" s="133"/>
      <c r="W75" s="131"/>
      <c r="X75" s="132"/>
      <c r="Y75" s="132"/>
      <c r="Z75" s="133"/>
      <c r="AA75" s="134"/>
      <c r="AB75" s="135"/>
      <c r="AC75" s="135"/>
      <c r="AD75" s="148"/>
      <c r="AE75" s="135"/>
      <c r="AF75" s="135"/>
      <c r="AG75" s="135"/>
      <c r="AH75" s="148"/>
      <c r="AI75" s="135"/>
      <c r="AJ75" s="135"/>
      <c r="AK75" s="135"/>
      <c r="AL75" s="148"/>
      <c r="AM75" s="135"/>
      <c r="AN75" s="135"/>
      <c r="AO75" s="135"/>
      <c r="AP75" s="148"/>
      <c r="AQ75" s="135"/>
      <c r="AR75" s="135"/>
      <c r="AS75" s="135"/>
      <c r="AT75" s="148"/>
      <c r="AU75" s="136"/>
      <c r="AV75" s="136"/>
      <c r="AW75" s="136"/>
      <c r="AX75" s="147"/>
      <c r="AY75" s="136"/>
      <c r="AZ75" s="136"/>
      <c r="BA75" s="136"/>
      <c r="BB75" s="147"/>
      <c r="BC75" s="136"/>
      <c r="BD75" s="136"/>
      <c r="BE75" s="136"/>
      <c r="BF75" s="147"/>
      <c r="BG75" s="136"/>
      <c r="BH75" s="136"/>
      <c r="BI75" s="136"/>
      <c r="BJ75" s="147"/>
      <c r="BK75" s="136"/>
      <c r="BL75" s="136"/>
      <c r="BM75" s="136"/>
      <c r="BN75" s="147"/>
      <c r="BO75" s="106"/>
      <c r="BP75" s="106"/>
      <c r="BQ75" s="106"/>
      <c r="BR75" s="146"/>
      <c r="BS75" s="106"/>
      <c r="BT75" s="106"/>
      <c r="BU75" s="106"/>
      <c r="BV75" s="146"/>
      <c r="BW75" s="106"/>
      <c r="BX75" s="106"/>
      <c r="BY75" s="106"/>
      <c r="BZ75" s="146"/>
      <c r="CA75" s="106"/>
      <c r="CB75" s="106"/>
      <c r="CC75" s="106"/>
      <c r="CD75" s="146"/>
      <c r="CE75" s="106"/>
      <c r="CF75" s="106"/>
      <c r="CG75" s="106"/>
      <c r="CH75" s="146"/>
      <c r="CI75" s="107"/>
      <c r="CJ75" s="107"/>
      <c r="CK75" s="107"/>
      <c r="CL75" s="145">
        <f t="shared" si="0"/>
        <v>0</v>
      </c>
      <c r="CM75" s="107"/>
      <c r="CN75" s="107"/>
      <c r="CO75" s="107"/>
      <c r="CP75" s="145">
        <f t="shared" si="1"/>
        <v>0</v>
      </c>
      <c r="CQ75" s="107"/>
      <c r="CR75" s="107"/>
      <c r="CS75" s="107"/>
      <c r="CT75" s="145">
        <f t="shared" si="2"/>
        <v>0</v>
      </c>
      <c r="CU75" s="107"/>
      <c r="CV75" s="107"/>
      <c r="CW75" s="107"/>
      <c r="CX75" s="145">
        <f t="shared" si="3"/>
        <v>0</v>
      </c>
      <c r="CY75" s="107"/>
      <c r="CZ75" s="107"/>
      <c r="DA75" s="107"/>
      <c r="DB75" s="145">
        <f t="shared" si="4"/>
        <v>0</v>
      </c>
      <c r="DC75" s="137">
        <v>0</v>
      </c>
      <c r="DD75" s="138">
        <v>0</v>
      </c>
      <c r="DE75" s="138">
        <v>0</v>
      </c>
      <c r="DF75" s="139">
        <f t="shared" si="5"/>
        <v>0</v>
      </c>
    </row>
    <row r="76" spans="1:110" ht="15.6" x14ac:dyDescent="0.3">
      <c r="A76" s="30"/>
      <c r="B76" s="51">
        <v>63</v>
      </c>
      <c r="C76" s="47">
        <v>4450</v>
      </c>
      <c r="D76" s="48" t="s">
        <v>1327</v>
      </c>
      <c r="E76" s="49" t="s">
        <v>1328</v>
      </c>
      <c r="F76" s="115" t="s">
        <v>1035</v>
      </c>
      <c r="G76" s="131"/>
      <c r="H76" s="132"/>
      <c r="I76" s="132"/>
      <c r="J76" s="133"/>
      <c r="K76" s="131"/>
      <c r="L76" s="132"/>
      <c r="M76" s="132"/>
      <c r="N76" s="133"/>
      <c r="O76" s="131"/>
      <c r="P76" s="132"/>
      <c r="Q76" s="132"/>
      <c r="R76" s="133"/>
      <c r="S76" s="131"/>
      <c r="T76" s="132"/>
      <c r="U76" s="132"/>
      <c r="V76" s="133"/>
      <c r="W76" s="131"/>
      <c r="X76" s="132"/>
      <c r="Y76" s="132"/>
      <c r="Z76" s="133"/>
      <c r="AA76" s="134"/>
      <c r="AB76" s="135"/>
      <c r="AC76" s="135"/>
      <c r="AD76" s="148"/>
      <c r="AE76" s="135"/>
      <c r="AF76" s="135"/>
      <c r="AG76" s="135"/>
      <c r="AH76" s="148"/>
      <c r="AI76" s="135"/>
      <c r="AJ76" s="135"/>
      <c r="AK76" s="135"/>
      <c r="AL76" s="148"/>
      <c r="AM76" s="135"/>
      <c r="AN76" s="135"/>
      <c r="AO76" s="135"/>
      <c r="AP76" s="148"/>
      <c r="AQ76" s="135"/>
      <c r="AR76" s="135"/>
      <c r="AS76" s="135"/>
      <c r="AT76" s="148"/>
      <c r="AU76" s="136"/>
      <c r="AV76" s="136"/>
      <c r="AW76" s="136"/>
      <c r="AX76" s="147"/>
      <c r="AY76" s="136"/>
      <c r="AZ76" s="136"/>
      <c r="BA76" s="136"/>
      <c r="BB76" s="147"/>
      <c r="BC76" s="136"/>
      <c r="BD76" s="136"/>
      <c r="BE76" s="136"/>
      <c r="BF76" s="147"/>
      <c r="BG76" s="136"/>
      <c r="BH76" s="136"/>
      <c r="BI76" s="136"/>
      <c r="BJ76" s="147"/>
      <c r="BK76" s="136"/>
      <c r="BL76" s="136"/>
      <c r="BM76" s="136"/>
      <c r="BN76" s="147"/>
      <c r="BO76" s="106"/>
      <c r="BP76" s="106"/>
      <c r="BQ76" s="106"/>
      <c r="BR76" s="146"/>
      <c r="BS76" s="106"/>
      <c r="BT76" s="106"/>
      <c r="BU76" s="106"/>
      <c r="BV76" s="146"/>
      <c r="BW76" s="106"/>
      <c r="BX76" s="106"/>
      <c r="BY76" s="106"/>
      <c r="BZ76" s="146"/>
      <c r="CA76" s="106"/>
      <c r="CB76" s="106"/>
      <c r="CC76" s="106"/>
      <c r="CD76" s="146"/>
      <c r="CE76" s="106"/>
      <c r="CF76" s="106"/>
      <c r="CG76" s="106"/>
      <c r="CH76" s="146"/>
      <c r="CI76" s="107">
        <v>1586452504.2299962</v>
      </c>
      <c r="CJ76" s="107">
        <v>976077751.64999998</v>
      </c>
      <c r="CK76" s="107"/>
      <c r="CL76" s="145">
        <f t="shared" si="0"/>
        <v>-610374752.57999623</v>
      </c>
      <c r="CM76" s="107">
        <v>3840160.7000000011</v>
      </c>
      <c r="CN76" s="107">
        <v>1717067.18</v>
      </c>
      <c r="CO76" s="107">
        <v>239369.14</v>
      </c>
      <c r="CP76" s="145">
        <f t="shared" si="1"/>
        <v>-2123093.5200000014</v>
      </c>
      <c r="CQ76" s="107">
        <v>2962539.1200000006</v>
      </c>
      <c r="CR76" s="107">
        <v>1257472.81</v>
      </c>
      <c r="CS76" s="107">
        <v>1419285.51</v>
      </c>
      <c r="CT76" s="145">
        <f t="shared" si="2"/>
        <v>-1705066.3100000005</v>
      </c>
      <c r="CU76" s="107">
        <v>2173346.2800000003</v>
      </c>
      <c r="CV76" s="107">
        <v>938932.43</v>
      </c>
      <c r="CW76" s="107"/>
      <c r="CX76" s="145">
        <f t="shared" si="3"/>
        <v>-1234413.8500000001</v>
      </c>
      <c r="CY76" s="107">
        <v>4529674.4899999993</v>
      </c>
      <c r="CZ76" s="107">
        <v>5217062.97</v>
      </c>
      <c r="DA76" s="107">
        <v>7777.84</v>
      </c>
      <c r="DB76" s="145">
        <f t="shared" si="4"/>
        <v>687388.48000000045</v>
      </c>
      <c r="DC76" s="137">
        <v>0</v>
      </c>
      <c r="DD76" s="138">
        <v>7298.16</v>
      </c>
      <c r="DE76" s="138">
        <v>0</v>
      </c>
      <c r="DF76" s="139">
        <f t="shared" si="5"/>
        <v>7298.16</v>
      </c>
    </row>
    <row r="77" spans="1:110" ht="15.6" x14ac:dyDescent="0.3">
      <c r="A77" s="30"/>
      <c r="B77" s="48">
        <v>61</v>
      </c>
      <c r="C77" s="47">
        <v>1663</v>
      </c>
      <c r="D77" s="48" t="s">
        <v>1329</v>
      </c>
      <c r="E77" s="49" t="s">
        <v>1330</v>
      </c>
      <c r="F77" s="115" t="s">
        <v>1035</v>
      </c>
      <c r="G77" s="131"/>
      <c r="H77" s="132"/>
      <c r="I77" s="132"/>
      <c r="J77" s="133"/>
      <c r="K77" s="131"/>
      <c r="L77" s="132"/>
      <c r="M77" s="132"/>
      <c r="N77" s="133"/>
      <c r="O77" s="131"/>
      <c r="P77" s="132"/>
      <c r="Q77" s="132"/>
      <c r="R77" s="133"/>
      <c r="S77" s="131"/>
      <c r="T77" s="132"/>
      <c r="U77" s="132"/>
      <c r="V77" s="133"/>
      <c r="W77" s="131"/>
      <c r="X77" s="132"/>
      <c r="Y77" s="132"/>
      <c r="Z77" s="133"/>
      <c r="AA77" s="134"/>
      <c r="AB77" s="135"/>
      <c r="AC77" s="135"/>
      <c r="AD77" s="148"/>
      <c r="AE77" s="135"/>
      <c r="AF77" s="135"/>
      <c r="AG77" s="135"/>
      <c r="AH77" s="148"/>
      <c r="AI77" s="135"/>
      <c r="AJ77" s="135"/>
      <c r="AK77" s="135"/>
      <c r="AL77" s="148"/>
      <c r="AM77" s="135"/>
      <c r="AN77" s="135"/>
      <c r="AO77" s="135"/>
      <c r="AP77" s="148"/>
      <c r="AQ77" s="135"/>
      <c r="AR77" s="135"/>
      <c r="AS77" s="135"/>
      <c r="AT77" s="148"/>
      <c r="AU77" s="136"/>
      <c r="AV77" s="136"/>
      <c r="AW77" s="136"/>
      <c r="AX77" s="147"/>
      <c r="AY77" s="136"/>
      <c r="AZ77" s="136"/>
      <c r="BA77" s="136"/>
      <c r="BB77" s="147"/>
      <c r="BC77" s="136"/>
      <c r="BD77" s="136"/>
      <c r="BE77" s="136"/>
      <c r="BF77" s="147"/>
      <c r="BG77" s="136"/>
      <c r="BH77" s="136"/>
      <c r="BI77" s="136"/>
      <c r="BJ77" s="147"/>
      <c r="BK77" s="136"/>
      <c r="BL77" s="136"/>
      <c r="BM77" s="136"/>
      <c r="BN77" s="147"/>
      <c r="BO77" s="106"/>
      <c r="BP77" s="106"/>
      <c r="BQ77" s="106"/>
      <c r="BR77" s="146"/>
      <c r="BS77" s="106"/>
      <c r="BT77" s="106"/>
      <c r="BU77" s="106"/>
      <c r="BV77" s="146"/>
      <c r="BW77" s="106"/>
      <c r="BX77" s="106"/>
      <c r="BY77" s="106"/>
      <c r="BZ77" s="146"/>
      <c r="CA77" s="106"/>
      <c r="CB77" s="106"/>
      <c r="CC77" s="106"/>
      <c r="CD77" s="146"/>
      <c r="CE77" s="106"/>
      <c r="CF77" s="106"/>
      <c r="CG77" s="106"/>
      <c r="CH77" s="146"/>
      <c r="CI77" s="107">
        <v>1085360897.3999958</v>
      </c>
      <c r="CJ77" s="107">
        <v>637926986.36000001</v>
      </c>
      <c r="CK77" s="107"/>
      <c r="CL77" s="145">
        <f t="shared" si="0"/>
        <v>-447433911.03999579</v>
      </c>
      <c r="CM77" s="107">
        <v>3212941.6500000004</v>
      </c>
      <c r="CN77" s="107">
        <v>987799</v>
      </c>
      <c r="CO77" s="107"/>
      <c r="CP77" s="145">
        <f t="shared" si="1"/>
        <v>-2225142.6500000004</v>
      </c>
      <c r="CQ77" s="107">
        <v>1255752.3999999999</v>
      </c>
      <c r="CR77" s="107">
        <v>353977.54</v>
      </c>
      <c r="CS77" s="107"/>
      <c r="CT77" s="145">
        <f t="shared" si="2"/>
        <v>-901774.85999999987</v>
      </c>
      <c r="CU77" s="107">
        <v>1686346.1900000002</v>
      </c>
      <c r="CV77" s="107">
        <v>400530.94</v>
      </c>
      <c r="CW77" s="107">
        <v>872898.31</v>
      </c>
      <c r="CX77" s="145">
        <f t="shared" si="3"/>
        <v>-1285815.2500000002</v>
      </c>
      <c r="CY77" s="107">
        <v>3615133.53</v>
      </c>
      <c r="CZ77" s="107">
        <v>1711675.58</v>
      </c>
      <c r="DA77" s="107"/>
      <c r="DB77" s="145">
        <f t="shared" si="4"/>
        <v>-1903457.9499999997</v>
      </c>
      <c r="DC77" s="137">
        <v>2357772.4999999995</v>
      </c>
      <c r="DD77" s="138">
        <v>3059240.88</v>
      </c>
      <c r="DE77" s="138">
        <v>0</v>
      </c>
      <c r="DF77" s="139">
        <f t="shared" si="5"/>
        <v>701468.38000000035</v>
      </c>
    </row>
    <row r="78" spans="1:110" ht="15.6" x14ac:dyDescent="0.3">
      <c r="A78" s="30"/>
      <c r="B78" s="51">
        <v>69</v>
      </c>
      <c r="C78" s="47">
        <v>4465</v>
      </c>
      <c r="D78" s="48" t="s">
        <v>1331</v>
      </c>
      <c r="E78" s="49" t="s">
        <v>1332</v>
      </c>
      <c r="F78" s="115" t="s">
        <v>1035</v>
      </c>
      <c r="G78" s="131"/>
      <c r="H78" s="132"/>
      <c r="I78" s="132"/>
      <c r="J78" s="133"/>
      <c r="K78" s="131"/>
      <c r="L78" s="132"/>
      <c r="M78" s="132"/>
      <c r="N78" s="133"/>
      <c r="O78" s="131"/>
      <c r="P78" s="132"/>
      <c r="Q78" s="132"/>
      <c r="R78" s="133"/>
      <c r="S78" s="131"/>
      <c r="T78" s="132"/>
      <c r="U78" s="132"/>
      <c r="V78" s="133"/>
      <c r="W78" s="131"/>
      <c r="X78" s="132"/>
      <c r="Y78" s="132"/>
      <c r="Z78" s="133"/>
      <c r="AA78" s="134"/>
      <c r="AB78" s="135"/>
      <c r="AC78" s="135"/>
      <c r="AD78" s="148"/>
      <c r="AE78" s="135"/>
      <c r="AF78" s="135"/>
      <c r="AG78" s="135"/>
      <c r="AH78" s="148"/>
      <c r="AI78" s="135"/>
      <c r="AJ78" s="135"/>
      <c r="AK78" s="135"/>
      <c r="AL78" s="148"/>
      <c r="AM78" s="135"/>
      <c r="AN78" s="135"/>
      <c r="AO78" s="135"/>
      <c r="AP78" s="148"/>
      <c r="AQ78" s="135"/>
      <c r="AR78" s="135"/>
      <c r="AS78" s="135"/>
      <c r="AT78" s="148"/>
      <c r="AU78" s="136"/>
      <c r="AV78" s="136"/>
      <c r="AW78" s="136"/>
      <c r="AX78" s="147"/>
      <c r="AY78" s="136"/>
      <c r="AZ78" s="136"/>
      <c r="BA78" s="136"/>
      <c r="BB78" s="147"/>
      <c r="BC78" s="136"/>
      <c r="BD78" s="136"/>
      <c r="BE78" s="136"/>
      <c r="BF78" s="147"/>
      <c r="BG78" s="136"/>
      <c r="BH78" s="136"/>
      <c r="BI78" s="136"/>
      <c r="BJ78" s="147"/>
      <c r="BK78" s="136"/>
      <c r="BL78" s="136"/>
      <c r="BM78" s="136"/>
      <c r="BN78" s="147"/>
      <c r="BO78" s="106"/>
      <c r="BP78" s="106"/>
      <c r="BQ78" s="106"/>
      <c r="BR78" s="146"/>
      <c r="BS78" s="106"/>
      <c r="BT78" s="106"/>
      <c r="BU78" s="106"/>
      <c r="BV78" s="146"/>
      <c r="BW78" s="106"/>
      <c r="BX78" s="106"/>
      <c r="BY78" s="106"/>
      <c r="BZ78" s="146"/>
      <c r="CA78" s="106"/>
      <c r="CB78" s="106"/>
      <c r="CC78" s="106"/>
      <c r="CD78" s="146"/>
      <c r="CE78" s="106"/>
      <c r="CF78" s="106"/>
      <c r="CG78" s="106"/>
      <c r="CH78" s="146"/>
      <c r="CI78" s="107">
        <v>948677494.10999763</v>
      </c>
      <c r="CJ78" s="107">
        <v>507424623.44</v>
      </c>
      <c r="CK78" s="107"/>
      <c r="CL78" s="145">
        <f t="shared" si="0"/>
        <v>-441252870.66999763</v>
      </c>
      <c r="CM78" s="107">
        <v>2027393.2</v>
      </c>
      <c r="CN78" s="107">
        <v>418207.87</v>
      </c>
      <c r="CO78" s="107">
        <v>77431.009999999995</v>
      </c>
      <c r="CP78" s="145">
        <f t="shared" si="1"/>
        <v>-1609185.33</v>
      </c>
      <c r="CQ78" s="107">
        <v>815189.38000000012</v>
      </c>
      <c r="CR78" s="107">
        <v>231613.25</v>
      </c>
      <c r="CS78" s="107"/>
      <c r="CT78" s="145">
        <f t="shared" si="2"/>
        <v>-583576.13000000012</v>
      </c>
      <c r="CU78" s="107">
        <v>1658909.9300000004</v>
      </c>
      <c r="CV78" s="107">
        <v>85044</v>
      </c>
      <c r="CW78" s="107"/>
      <c r="CX78" s="145">
        <f t="shared" si="3"/>
        <v>-1573865.9300000004</v>
      </c>
      <c r="CY78" s="107">
        <v>2018498.5199999998</v>
      </c>
      <c r="CZ78" s="107">
        <v>1505565.61</v>
      </c>
      <c r="DA78" s="107">
        <v>857456.83</v>
      </c>
      <c r="DB78" s="145">
        <f t="shared" si="4"/>
        <v>-512932.90999999968</v>
      </c>
      <c r="DC78" s="137">
        <v>0</v>
      </c>
      <c r="DD78" s="138">
        <v>0</v>
      </c>
      <c r="DE78" s="138">
        <v>0</v>
      </c>
      <c r="DF78" s="139">
        <f t="shared" si="5"/>
        <v>0</v>
      </c>
    </row>
    <row r="79" spans="1:110" ht="15.6" x14ac:dyDescent="0.3">
      <c r="A79" s="30"/>
      <c r="B79" s="51">
        <v>75</v>
      </c>
      <c r="C79" s="47" t="s">
        <v>1333</v>
      </c>
      <c r="D79" s="48" t="s">
        <v>1334</v>
      </c>
      <c r="E79" s="49" t="s">
        <v>1335</v>
      </c>
      <c r="F79" s="115" t="s">
        <v>1035</v>
      </c>
      <c r="G79" s="131"/>
      <c r="H79" s="132"/>
      <c r="I79" s="132"/>
      <c r="J79" s="133"/>
      <c r="K79" s="131"/>
      <c r="L79" s="132"/>
      <c r="M79" s="132"/>
      <c r="N79" s="133"/>
      <c r="O79" s="131"/>
      <c r="P79" s="132"/>
      <c r="Q79" s="132"/>
      <c r="R79" s="133"/>
      <c r="S79" s="131"/>
      <c r="T79" s="132"/>
      <c r="U79" s="132"/>
      <c r="V79" s="133"/>
      <c r="W79" s="131"/>
      <c r="X79" s="132"/>
      <c r="Y79" s="132"/>
      <c r="Z79" s="133"/>
      <c r="AA79" s="134"/>
      <c r="AB79" s="135"/>
      <c r="AC79" s="135"/>
      <c r="AD79" s="148"/>
      <c r="AE79" s="135"/>
      <c r="AF79" s="135"/>
      <c r="AG79" s="135"/>
      <c r="AH79" s="148"/>
      <c r="AI79" s="135"/>
      <c r="AJ79" s="135"/>
      <c r="AK79" s="135"/>
      <c r="AL79" s="148"/>
      <c r="AM79" s="135"/>
      <c r="AN79" s="135"/>
      <c r="AO79" s="135"/>
      <c r="AP79" s="148"/>
      <c r="AQ79" s="135"/>
      <c r="AR79" s="135"/>
      <c r="AS79" s="135"/>
      <c r="AT79" s="148"/>
      <c r="AU79" s="136"/>
      <c r="AV79" s="136"/>
      <c r="AW79" s="136"/>
      <c r="AX79" s="147"/>
      <c r="AY79" s="136"/>
      <c r="AZ79" s="136"/>
      <c r="BA79" s="136"/>
      <c r="BB79" s="147"/>
      <c r="BC79" s="136"/>
      <c r="BD79" s="136"/>
      <c r="BE79" s="136"/>
      <c r="BF79" s="147"/>
      <c r="BG79" s="136"/>
      <c r="BH79" s="136"/>
      <c r="BI79" s="136"/>
      <c r="BJ79" s="147"/>
      <c r="BK79" s="136"/>
      <c r="BL79" s="136"/>
      <c r="BM79" s="136"/>
      <c r="BN79" s="147"/>
      <c r="BO79" s="106"/>
      <c r="BP79" s="106"/>
      <c r="BQ79" s="106"/>
      <c r="BR79" s="146"/>
      <c r="BS79" s="106"/>
      <c r="BT79" s="106"/>
      <c r="BU79" s="106"/>
      <c r="BV79" s="146"/>
      <c r="BW79" s="106"/>
      <c r="BX79" s="106"/>
      <c r="BY79" s="106"/>
      <c r="BZ79" s="146"/>
      <c r="CA79" s="106"/>
      <c r="CB79" s="106"/>
      <c r="CC79" s="106"/>
      <c r="CD79" s="146"/>
      <c r="CE79" s="106"/>
      <c r="CF79" s="106"/>
      <c r="CG79" s="106"/>
      <c r="CH79" s="146"/>
      <c r="CI79" s="107">
        <v>1245562026.4799953</v>
      </c>
      <c r="CJ79" s="107">
        <v>741743665.27999997</v>
      </c>
      <c r="CK79" s="107"/>
      <c r="CL79" s="145">
        <f t="shared" si="0"/>
        <v>-503818361.19999528</v>
      </c>
      <c r="CM79" s="107">
        <v>5313905.8300000019</v>
      </c>
      <c r="CN79" s="107">
        <v>1355517.75</v>
      </c>
      <c r="CO79" s="107"/>
      <c r="CP79" s="145">
        <f t="shared" si="1"/>
        <v>-3958388.0800000019</v>
      </c>
      <c r="CQ79" s="107">
        <v>3151465.1999999993</v>
      </c>
      <c r="CR79" s="107">
        <v>735035.43</v>
      </c>
      <c r="CS79" s="107"/>
      <c r="CT79" s="145">
        <f t="shared" si="2"/>
        <v>-2416429.7699999991</v>
      </c>
      <c r="CU79" s="107">
        <v>3146610.8199999994</v>
      </c>
      <c r="CV79" s="107">
        <v>864321.46</v>
      </c>
      <c r="CW79" s="107"/>
      <c r="CX79" s="145">
        <f t="shared" si="3"/>
        <v>-2282289.3599999994</v>
      </c>
      <c r="CY79" s="107">
        <v>8288419.080000001</v>
      </c>
      <c r="CZ79" s="107">
        <v>10431343.380000001</v>
      </c>
      <c r="DA79" s="107"/>
      <c r="DB79" s="145">
        <f t="shared" si="4"/>
        <v>2142924.2999999998</v>
      </c>
      <c r="DC79" s="137">
        <v>0</v>
      </c>
      <c r="DD79" s="138">
        <v>0</v>
      </c>
      <c r="DE79" s="138">
        <v>0</v>
      </c>
      <c r="DF79" s="139">
        <f t="shared" si="5"/>
        <v>0</v>
      </c>
    </row>
    <row r="80" spans="1:110" ht="15.6" x14ac:dyDescent="0.3">
      <c r="A80" s="30"/>
      <c r="B80" s="51">
        <v>71</v>
      </c>
      <c r="C80" s="47">
        <v>4482</v>
      </c>
      <c r="D80" s="48" t="s">
        <v>1336</v>
      </c>
      <c r="E80" s="49" t="s">
        <v>1337</v>
      </c>
      <c r="F80" s="115" t="s">
        <v>1035</v>
      </c>
      <c r="G80" s="131"/>
      <c r="H80" s="132"/>
      <c r="I80" s="132"/>
      <c r="J80" s="133"/>
      <c r="K80" s="131"/>
      <c r="L80" s="132"/>
      <c r="M80" s="132"/>
      <c r="N80" s="133"/>
      <c r="O80" s="131"/>
      <c r="P80" s="132"/>
      <c r="Q80" s="132"/>
      <c r="R80" s="133"/>
      <c r="S80" s="131"/>
      <c r="T80" s="132"/>
      <c r="U80" s="132"/>
      <c r="V80" s="133"/>
      <c r="W80" s="131"/>
      <c r="X80" s="132"/>
      <c r="Y80" s="132"/>
      <c r="Z80" s="133"/>
      <c r="AA80" s="134"/>
      <c r="AB80" s="135"/>
      <c r="AC80" s="135"/>
      <c r="AD80" s="148"/>
      <c r="AE80" s="135"/>
      <c r="AF80" s="135"/>
      <c r="AG80" s="135"/>
      <c r="AH80" s="148"/>
      <c r="AI80" s="135"/>
      <c r="AJ80" s="135"/>
      <c r="AK80" s="135"/>
      <c r="AL80" s="148"/>
      <c r="AM80" s="135"/>
      <c r="AN80" s="135"/>
      <c r="AO80" s="135"/>
      <c r="AP80" s="148"/>
      <c r="AQ80" s="135"/>
      <c r="AR80" s="135"/>
      <c r="AS80" s="135"/>
      <c r="AT80" s="148"/>
      <c r="AU80" s="136"/>
      <c r="AV80" s="136"/>
      <c r="AW80" s="136"/>
      <c r="AX80" s="147"/>
      <c r="AY80" s="136"/>
      <c r="AZ80" s="136"/>
      <c r="BA80" s="136"/>
      <c r="BB80" s="147"/>
      <c r="BC80" s="136"/>
      <c r="BD80" s="136"/>
      <c r="BE80" s="136"/>
      <c r="BF80" s="147"/>
      <c r="BG80" s="136"/>
      <c r="BH80" s="136"/>
      <c r="BI80" s="136"/>
      <c r="BJ80" s="147"/>
      <c r="BK80" s="136"/>
      <c r="BL80" s="136"/>
      <c r="BM80" s="136"/>
      <c r="BN80" s="147"/>
      <c r="BO80" s="106"/>
      <c r="BP80" s="106"/>
      <c r="BQ80" s="106"/>
      <c r="BR80" s="146"/>
      <c r="BS80" s="106"/>
      <c r="BT80" s="106"/>
      <c r="BU80" s="106"/>
      <c r="BV80" s="146"/>
      <c r="BW80" s="106"/>
      <c r="BX80" s="106"/>
      <c r="BY80" s="106"/>
      <c r="BZ80" s="146"/>
      <c r="CA80" s="106"/>
      <c r="CB80" s="106"/>
      <c r="CC80" s="106"/>
      <c r="CD80" s="146"/>
      <c r="CE80" s="106"/>
      <c r="CF80" s="106"/>
      <c r="CG80" s="106"/>
      <c r="CH80" s="146"/>
      <c r="CI80" s="107">
        <v>755346079.13000119</v>
      </c>
      <c r="CJ80" s="107">
        <v>445363489.31999999</v>
      </c>
      <c r="CK80" s="107"/>
      <c r="CL80" s="145">
        <f t="shared" si="0"/>
        <v>-309982589.81000119</v>
      </c>
      <c r="CM80" s="107">
        <v>2205582.83</v>
      </c>
      <c r="CN80" s="107">
        <v>370294.58</v>
      </c>
      <c r="CO80" s="107"/>
      <c r="CP80" s="145">
        <f t="shared" si="1"/>
        <v>-1835288.25</v>
      </c>
      <c r="CQ80" s="107">
        <v>385987.68000000005</v>
      </c>
      <c r="CR80" s="107">
        <v>138682.57999999999</v>
      </c>
      <c r="CS80" s="107">
        <v>25802.67</v>
      </c>
      <c r="CT80" s="145">
        <f t="shared" si="2"/>
        <v>-247305.10000000006</v>
      </c>
      <c r="CU80" s="107">
        <v>111229.97</v>
      </c>
      <c r="CV80" s="107">
        <v>206811.7</v>
      </c>
      <c r="CW80" s="107">
        <v>28208.07</v>
      </c>
      <c r="CX80" s="145">
        <f t="shared" si="3"/>
        <v>95581.73000000001</v>
      </c>
      <c r="CY80" s="107">
        <v>633379.08999999985</v>
      </c>
      <c r="CZ80" s="107">
        <v>1212870.82</v>
      </c>
      <c r="DA80" s="107"/>
      <c r="DB80" s="145">
        <f t="shared" si="4"/>
        <v>579491.73000000021</v>
      </c>
      <c r="DC80" s="137">
        <v>242645.43000000002</v>
      </c>
      <c r="DD80" s="138">
        <v>0</v>
      </c>
      <c r="DE80" s="138">
        <v>0</v>
      </c>
      <c r="DF80" s="139">
        <f t="shared" si="5"/>
        <v>-242645.43000000002</v>
      </c>
    </row>
    <row r="81" spans="1:110" ht="16.2" thickBot="1" x14ac:dyDescent="0.35">
      <c r="E81" s="79" t="s">
        <v>423</v>
      </c>
      <c r="F81" s="58" t="s">
        <v>380</v>
      </c>
      <c r="G81" s="141"/>
      <c r="H81" s="142"/>
      <c r="I81" s="142"/>
      <c r="J81" s="133"/>
      <c r="K81" s="141"/>
      <c r="L81" s="142"/>
      <c r="M81" s="142"/>
      <c r="N81" s="133"/>
      <c r="O81" s="141"/>
      <c r="P81" s="142"/>
      <c r="Q81" s="142"/>
      <c r="R81" s="133"/>
      <c r="S81" s="141"/>
      <c r="T81" s="142"/>
      <c r="U81" s="142"/>
      <c r="V81" s="133"/>
      <c r="W81" s="141"/>
      <c r="X81" s="142"/>
      <c r="Y81" s="142"/>
      <c r="Z81" s="133"/>
      <c r="AA81" s="134"/>
      <c r="AB81" s="135"/>
      <c r="AC81" s="135"/>
      <c r="AD81" s="148"/>
      <c r="AE81" s="135"/>
      <c r="AF81" s="135"/>
      <c r="AG81" s="135"/>
      <c r="AH81" s="148"/>
      <c r="AI81" s="135"/>
      <c r="AJ81" s="135"/>
      <c r="AK81" s="135"/>
      <c r="AL81" s="148"/>
      <c r="AM81" s="135"/>
      <c r="AN81" s="135"/>
      <c r="AO81" s="135"/>
      <c r="AP81" s="148"/>
      <c r="AQ81" s="135"/>
      <c r="AR81" s="135"/>
      <c r="AS81" s="135"/>
      <c r="AT81" s="148"/>
      <c r="AU81" s="136"/>
      <c r="AV81" s="136"/>
      <c r="AW81" s="136"/>
      <c r="AX81" s="147"/>
      <c r="AY81" s="136"/>
      <c r="AZ81" s="136"/>
      <c r="BA81" s="136"/>
      <c r="BB81" s="147"/>
      <c r="BC81" s="136"/>
      <c r="BD81" s="136"/>
      <c r="BE81" s="136"/>
      <c r="BF81" s="147"/>
      <c r="BG81" s="136"/>
      <c r="BH81" s="136"/>
      <c r="BI81" s="136"/>
      <c r="BJ81" s="147"/>
      <c r="BK81" s="136"/>
      <c r="BL81" s="136"/>
      <c r="BM81" s="136"/>
      <c r="BN81" s="147"/>
      <c r="BO81" s="106"/>
      <c r="BP81" s="106"/>
      <c r="BQ81" s="106"/>
      <c r="BR81" s="146"/>
      <c r="BS81" s="106"/>
      <c r="BT81" s="106"/>
      <c r="BU81" s="106"/>
      <c r="BV81" s="146"/>
      <c r="BW81" s="106"/>
      <c r="BX81" s="106"/>
      <c r="BY81" s="106"/>
      <c r="BZ81" s="146"/>
      <c r="CA81" s="106"/>
      <c r="CB81" s="106"/>
      <c r="CC81" s="106"/>
      <c r="CD81" s="146"/>
      <c r="CE81" s="106"/>
      <c r="CF81" s="106"/>
      <c r="CG81" s="106"/>
      <c r="CH81" s="146"/>
      <c r="CI81" s="107"/>
      <c r="CJ81" s="107"/>
      <c r="CK81" s="107"/>
      <c r="CL81" s="145">
        <f t="shared" si="0"/>
        <v>0</v>
      </c>
      <c r="CM81" s="107"/>
      <c r="CN81" s="107"/>
      <c r="CO81" s="107"/>
      <c r="CP81" s="145">
        <f t="shared" si="1"/>
        <v>0</v>
      </c>
      <c r="CQ81" s="107"/>
      <c r="CR81" s="107"/>
      <c r="CS81" s="107"/>
      <c r="CT81" s="145">
        <f t="shared" si="2"/>
        <v>0</v>
      </c>
      <c r="CU81" s="107"/>
      <c r="CV81" s="107"/>
      <c r="CW81" s="107"/>
      <c r="CX81" s="145">
        <f t="shared" si="3"/>
        <v>0</v>
      </c>
      <c r="CY81" s="107"/>
      <c r="CZ81" s="107"/>
      <c r="DA81" s="107"/>
      <c r="DB81" s="145">
        <f t="shared" si="4"/>
        <v>0</v>
      </c>
      <c r="DC81" s="143"/>
      <c r="DD81" s="144"/>
      <c r="DE81" s="144"/>
      <c r="DF81" s="139">
        <f t="shared" si="5"/>
        <v>0</v>
      </c>
    </row>
    <row r="82" spans="1:110" x14ac:dyDescent="0.25">
      <c r="P82" s="4"/>
    </row>
    <row r="83" spans="1:110" ht="13.8" thickBot="1" x14ac:dyDescent="0.3">
      <c r="P83" s="4"/>
    </row>
    <row r="84" spans="1:110" ht="13.5" customHeight="1" thickBot="1" x14ac:dyDescent="0.3">
      <c r="A84" s="396"/>
      <c r="B84" s="396" t="s">
        <v>468</v>
      </c>
      <c r="C84" s="396" t="s">
        <v>469</v>
      </c>
      <c r="D84" s="397" t="s">
        <v>470</v>
      </c>
      <c r="E84" s="397" t="s">
        <v>277</v>
      </c>
      <c r="F84" s="73"/>
      <c r="G84" s="434" t="s">
        <v>115</v>
      </c>
      <c r="H84" s="434"/>
      <c r="I84" s="434"/>
      <c r="J84" s="434"/>
      <c r="K84" s="434"/>
      <c r="L84" s="434"/>
      <c r="M84" s="434"/>
      <c r="N84" s="434"/>
      <c r="O84" s="434"/>
      <c r="P84" s="434"/>
      <c r="Q84" s="434"/>
      <c r="R84" s="434"/>
      <c r="S84" s="434"/>
      <c r="T84" s="434"/>
      <c r="U84" s="434"/>
      <c r="V84" s="434"/>
      <c r="W84" s="434"/>
      <c r="X84" s="434"/>
      <c r="Y84" s="434"/>
      <c r="Z84" s="434"/>
      <c r="AA84" s="432" t="s">
        <v>174</v>
      </c>
      <c r="AB84" s="432"/>
      <c r="AC84" s="432"/>
      <c r="AD84" s="432"/>
      <c r="AE84" s="432"/>
      <c r="AF84" s="432"/>
      <c r="AG84" s="43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3" t="s">
        <v>224</v>
      </c>
      <c r="AV84" s="433"/>
      <c r="AW84" s="433"/>
      <c r="AX84" s="433"/>
      <c r="AY84" s="433"/>
      <c r="AZ84" s="433"/>
      <c r="BA84" s="433"/>
      <c r="BB84" s="433"/>
      <c r="BC84" s="433"/>
      <c r="BD84" s="433"/>
      <c r="BE84" s="433"/>
      <c r="BF84" s="433"/>
      <c r="BG84" s="433"/>
      <c r="BH84" s="433"/>
      <c r="BI84" s="433"/>
      <c r="BJ84" s="433"/>
      <c r="BK84" s="433"/>
      <c r="BL84" s="433"/>
      <c r="BM84" s="433"/>
      <c r="BN84" s="433"/>
      <c r="BO84" s="418" t="s">
        <v>683</v>
      </c>
      <c r="BP84" s="418"/>
      <c r="BQ84" s="418"/>
      <c r="BR84" s="418"/>
      <c r="BS84" s="418"/>
      <c r="BT84" s="418"/>
      <c r="BU84" s="418"/>
      <c r="BV84" s="418"/>
      <c r="BW84" s="418"/>
      <c r="BX84" s="418"/>
      <c r="BY84" s="418"/>
      <c r="BZ84" s="418"/>
      <c r="CA84" s="418"/>
      <c r="CB84" s="418"/>
      <c r="CC84" s="418"/>
      <c r="CD84" s="418"/>
      <c r="CE84" s="418"/>
      <c r="CF84" s="418"/>
      <c r="CG84" s="418"/>
      <c r="CH84" s="418"/>
      <c r="CI84" s="423" t="s">
        <v>682</v>
      </c>
      <c r="CJ84" s="423"/>
      <c r="CK84" s="423"/>
      <c r="CL84" s="423"/>
      <c r="CM84" s="423"/>
      <c r="CN84" s="423"/>
      <c r="CO84" s="423"/>
      <c r="CP84" s="423"/>
      <c r="CQ84" s="423"/>
      <c r="CR84" s="423"/>
      <c r="CS84" s="423"/>
      <c r="CT84" s="423"/>
      <c r="CU84" s="423"/>
      <c r="CV84" s="423"/>
      <c r="CW84" s="423"/>
      <c r="CX84" s="423"/>
      <c r="CY84" s="423"/>
      <c r="CZ84" s="423"/>
      <c r="DA84" s="423"/>
      <c r="DB84" s="424"/>
      <c r="DC84" s="128" t="s">
        <v>298</v>
      </c>
      <c r="DD84" s="129"/>
      <c r="DE84" s="129"/>
      <c r="DF84" s="130"/>
    </row>
    <row r="85" spans="1:110" ht="36" customHeight="1" x14ac:dyDescent="0.25">
      <c r="A85" s="396"/>
      <c r="B85" s="396"/>
      <c r="C85" s="396"/>
      <c r="D85" s="397"/>
      <c r="E85" s="397"/>
      <c r="F85" s="73"/>
      <c r="G85" s="427">
        <v>0</v>
      </c>
      <c r="H85" s="428"/>
      <c r="I85" s="428"/>
      <c r="J85" s="429"/>
      <c r="K85" s="427" t="s">
        <v>220</v>
      </c>
      <c r="L85" s="428"/>
      <c r="M85" s="428"/>
      <c r="N85" s="429"/>
      <c r="O85" s="427" t="s">
        <v>221</v>
      </c>
      <c r="P85" s="428"/>
      <c r="Q85" s="428"/>
      <c r="R85" s="429"/>
      <c r="S85" s="427" t="s">
        <v>222</v>
      </c>
      <c r="T85" s="428"/>
      <c r="U85" s="428"/>
      <c r="V85" s="429"/>
      <c r="W85" s="427" t="s">
        <v>223</v>
      </c>
      <c r="X85" s="428"/>
      <c r="Y85" s="428"/>
      <c r="Z85" s="429"/>
      <c r="AA85" s="431">
        <v>0</v>
      </c>
      <c r="AB85" s="426"/>
      <c r="AC85" s="426"/>
      <c r="AD85" s="426"/>
      <c r="AE85" s="426" t="s">
        <v>220</v>
      </c>
      <c r="AF85" s="426"/>
      <c r="AG85" s="426"/>
      <c r="AH85" s="426"/>
      <c r="AI85" s="426" t="s">
        <v>221</v>
      </c>
      <c r="AJ85" s="426"/>
      <c r="AK85" s="426"/>
      <c r="AL85" s="426"/>
      <c r="AM85" s="426" t="s">
        <v>222</v>
      </c>
      <c r="AN85" s="426"/>
      <c r="AO85" s="426"/>
      <c r="AP85" s="426"/>
      <c r="AQ85" s="426" t="s">
        <v>223</v>
      </c>
      <c r="AR85" s="426"/>
      <c r="AS85" s="426"/>
      <c r="AT85" s="426"/>
      <c r="AU85" s="425">
        <v>0</v>
      </c>
      <c r="AV85" s="425"/>
      <c r="AW85" s="425"/>
      <c r="AX85" s="425"/>
      <c r="AY85" s="425" t="s">
        <v>220</v>
      </c>
      <c r="AZ85" s="425"/>
      <c r="BA85" s="425"/>
      <c r="BB85" s="425"/>
      <c r="BC85" s="425" t="s">
        <v>221</v>
      </c>
      <c r="BD85" s="425"/>
      <c r="BE85" s="425"/>
      <c r="BF85" s="425"/>
      <c r="BG85" s="425" t="s">
        <v>222</v>
      </c>
      <c r="BH85" s="425"/>
      <c r="BI85" s="425"/>
      <c r="BJ85" s="425"/>
      <c r="BK85" s="425" t="s">
        <v>223</v>
      </c>
      <c r="BL85" s="425"/>
      <c r="BM85" s="425"/>
      <c r="BN85" s="425"/>
      <c r="BO85" s="417">
        <v>0</v>
      </c>
      <c r="BP85" s="417"/>
      <c r="BQ85" s="417"/>
      <c r="BR85" s="417"/>
      <c r="BS85" s="417" t="s">
        <v>220</v>
      </c>
      <c r="BT85" s="417"/>
      <c r="BU85" s="417"/>
      <c r="BV85" s="417"/>
      <c r="BW85" s="417" t="s">
        <v>221</v>
      </c>
      <c r="BX85" s="417"/>
      <c r="BY85" s="417"/>
      <c r="BZ85" s="417"/>
      <c r="CA85" s="417" t="s">
        <v>222</v>
      </c>
      <c r="CB85" s="417"/>
      <c r="CC85" s="417"/>
      <c r="CD85" s="417"/>
      <c r="CE85" s="417" t="s">
        <v>223</v>
      </c>
      <c r="CF85" s="417"/>
      <c r="CG85" s="417"/>
      <c r="CH85" s="417"/>
      <c r="CI85" s="422">
        <v>0</v>
      </c>
      <c r="CJ85" s="422"/>
      <c r="CK85" s="422"/>
      <c r="CL85" s="422"/>
      <c r="CM85" s="422" t="s">
        <v>220</v>
      </c>
      <c r="CN85" s="422"/>
      <c r="CO85" s="422"/>
      <c r="CP85" s="422"/>
      <c r="CQ85" s="422" t="s">
        <v>221</v>
      </c>
      <c r="CR85" s="422"/>
      <c r="CS85" s="422"/>
      <c r="CT85" s="422"/>
      <c r="CU85" s="422" t="s">
        <v>222</v>
      </c>
      <c r="CV85" s="422"/>
      <c r="CW85" s="422"/>
      <c r="CX85" s="422"/>
      <c r="CY85" s="422" t="s">
        <v>223</v>
      </c>
      <c r="CZ85" s="422"/>
      <c r="DA85" s="422"/>
      <c r="DB85" s="430"/>
      <c r="DC85" s="419">
        <v>0</v>
      </c>
      <c r="DD85" s="420"/>
      <c r="DE85" s="420"/>
      <c r="DF85" s="421"/>
    </row>
    <row r="86" spans="1:110" ht="12.75" customHeight="1" x14ac:dyDescent="0.25">
      <c r="A86" s="30"/>
      <c r="B86" s="30"/>
      <c r="C86" s="30"/>
      <c r="D86" s="31"/>
      <c r="E86" s="31"/>
      <c r="F86" s="73"/>
      <c r="G86" s="117" t="s">
        <v>225</v>
      </c>
      <c r="H86" s="116" t="s">
        <v>226</v>
      </c>
      <c r="I86" s="116" t="s">
        <v>227</v>
      </c>
      <c r="J86" s="118" t="s">
        <v>656</v>
      </c>
      <c r="K86" s="117" t="s">
        <v>225</v>
      </c>
      <c r="L86" s="116" t="s">
        <v>226</v>
      </c>
      <c r="M86" s="116" t="s">
        <v>227</v>
      </c>
      <c r="N86" s="118" t="s">
        <v>656</v>
      </c>
      <c r="O86" s="117" t="s">
        <v>225</v>
      </c>
      <c r="P86" s="116" t="s">
        <v>226</v>
      </c>
      <c r="Q86" s="116" t="s">
        <v>227</v>
      </c>
      <c r="R86" s="118" t="s">
        <v>656</v>
      </c>
      <c r="S86" s="117" t="s">
        <v>225</v>
      </c>
      <c r="T86" s="116" t="s">
        <v>226</v>
      </c>
      <c r="U86" s="116" t="s">
        <v>227</v>
      </c>
      <c r="V86" s="118" t="s">
        <v>656</v>
      </c>
      <c r="W86" s="117" t="s">
        <v>225</v>
      </c>
      <c r="X86" s="116" t="s">
        <v>226</v>
      </c>
      <c r="Y86" s="116" t="s">
        <v>227</v>
      </c>
      <c r="Z86" s="118" t="s">
        <v>656</v>
      </c>
      <c r="AA86" s="120" t="s">
        <v>225</v>
      </c>
      <c r="AB86" s="119" t="s">
        <v>226</v>
      </c>
      <c r="AC86" s="119" t="s">
        <v>227</v>
      </c>
      <c r="AD86" s="119" t="s">
        <v>656</v>
      </c>
      <c r="AE86" s="119" t="s">
        <v>225</v>
      </c>
      <c r="AF86" s="119" t="s">
        <v>226</v>
      </c>
      <c r="AG86" s="119" t="s">
        <v>227</v>
      </c>
      <c r="AH86" s="119" t="s">
        <v>656</v>
      </c>
      <c r="AI86" s="119" t="s">
        <v>225</v>
      </c>
      <c r="AJ86" s="119" t="s">
        <v>226</v>
      </c>
      <c r="AK86" s="119" t="s">
        <v>227</v>
      </c>
      <c r="AL86" s="119" t="s">
        <v>656</v>
      </c>
      <c r="AM86" s="119" t="s">
        <v>225</v>
      </c>
      <c r="AN86" s="119" t="s">
        <v>226</v>
      </c>
      <c r="AO86" s="119" t="s">
        <v>227</v>
      </c>
      <c r="AP86" s="119" t="s">
        <v>656</v>
      </c>
      <c r="AQ86" s="119" t="s">
        <v>225</v>
      </c>
      <c r="AR86" s="119" t="s">
        <v>226</v>
      </c>
      <c r="AS86" s="119" t="s">
        <v>227</v>
      </c>
      <c r="AT86" s="119" t="s">
        <v>656</v>
      </c>
      <c r="AU86" s="121" t="s">
        <v>225</v>
      </c>
      <c r="AV86" s="121" t="s">
        <v>226</v>
      </c>
      <c r="AW86" s="121" t="s">
        <v>227</v>
      </c>
      <c r="AX86" s="121" t="s">
        <v>656</v>
      </c>
      <c r="AY86" s="121" t="s">
        <v>225</v>
      </c>
      <c r="AZ86" s="121" t="s">
        <v>226</v>
      </c>
      <c r="BA86" s="121" t="s">
        <v>227</v>
      </c>
      <c r="BB86" s="121" t="s">
        <v>656</v>
      </c>
      <c r="BC86" s="121" t="s">
        <v>225</v>
      </c>
      <c r="BD86" s="121" t="s">
        <v>226</v>
      </c>
      <c r="BE86" s="121" t="s">
        <v>227</v>
      </c>
      <c r="BF86" s="121" t="s">
        <v>656</v>
      </c>
      <c r="BG86" s="121" t="s">
        <v>225</v>
      </c>
      <c r="BH86" s="121" t="s">
        <v>226</v>
      </c>
      <c r="BI86" s="121" t="s">
        <v>227</v>
      </c>
      <c r="BJ86" s="121" t="s">
        <v>656</v>
      </c>
      <c r="BK86" s="121" t="s">
        <v>225</v>
      </c>
      <c r="BL86" s="121" t="s">
        <v>226</v>
      </c>
      <c r="BM86" s="121" t="s">
        <v>227</v>
      </c>
      <c r="BN86" s="121" t="s">
        <v>656</v>
      </c>
      <c r="BO86" s="122" t="s">
        <v>225</v>
      </c>
      <c r="BP86" s="122" t="s">
        <v>226</v>
      </c>
      <c r="BQ86" s="122" t="s">
        <v>227</v>
      </c>
      <c r="BR86" s="122" t="s">
        <v>656</v>
      </c>
      <c r="BS86" s="122" t="s">
        <v>225</v>
      </c>
      <c r="BT86" s="122" t="s">
        <v>226</v>
      </c>
      <c r="BU86" s="122" t="s">
        <v>227</v>
      </c>
      <c r="BV86" s="122" t="s">
        <v>656</v>
      </c>
      <c r="BW86" s="122" t="s">
        <v>225</v>
      </c>
      <c r="BX86" s="122" t="s">
        <v>226</v>
      </c>
      <c r="BY86" s="122" t="s">
        <v>227</v>
      </c>
      <c r="BZ86" s="122" t="s">
        <v>656</v>
      </c>
      <c r="CA86" s="122" t="s">
        <v>225</v>
      </c>
      <c r="CB86" s="122" t="s">
        <v>226</v>
      </c>
      <c r="CC86" s="122" t="s">
        <v>227</v>
      </c>
      <c r="CD86" s="122" t="s">
        <v>656</v>
      </c>
      <c r="CE86" s="122" t="s">
        <v>225</v>
      </c>
      <c r="CF86" s="122" t="s">
        <v>226</v>
      </c>
      <c r="CG86" s="122" t="s">
        <v>227</v>
      </c>
      <c r="CH86" s="122" t="s">
        <v>656</v>
      </c>
      <c r="CI86" s="123" t="s">
        <v>225</v>
      </c>
      <c r="CJ86" s="123" t="s">
        <v>226</v>
      </c>
      <c r="CK86" s="123" t="s">
        <v>227</v>
      </c>
      <c r="CL86" s="123" t="s">
        <v>656</v>
      </c>
      <c r="CM86" s="123" t="s">
        <v>225</v>
      </c>
      <c r="CN86" s="123" t="s">
        <v>226</v>
      </c>
      <c r="CO86" s="123" t="s">
        <v>227</v>
      </c>
      <c r="CP86" s="123" t="s">
        <v>656</v>
      </c>
      <c r="CQ86" s="123" t="s">
        <v>225</v>
      </c>
      <c r="CR86" s="123" t="s">
        <v>226</v>
      </c>
      <c r="CS86" s="123" t="s">
        <v>227</v>
      </c>
      <c r="CT86" s="123" t="s">
        <v>656</v>
      </c>
      <c r="CU86" s="123" t="s">
        <v>225</v>
      </c>
      <c r="CV86" s="123" t="s">
        <v>226</v>
      </c>
      <c r="CW86" s="123" t="s">
        <v>227</v>
      </c>
      <c r="CX86" s="123" t="s">
        <v>656</v>
      </c>
      <c r="CY86" s="123" t="s">
        <v>225</v>
      </c>
      <c r="CZ86" s="123" t="s">
        <v>226</v>
      </c>
      <c r="DA86" s="123" t="s">
        <v>227</v>
      </c>
      <c r="DB86" s="124" t="s">
        <v>656</v>
      </c>
      <c r="DC86" s="125" t="s">
        <v>225</v>
      </c>
      <c r="DD86" s="126" t="s">
        <v>226</v>
      </c>
      <c r="DE86" s="126" t="s">
        <v>227</v>
      </c>
      <c r="DF86" s="127" t="s">
        <v>656</v>
      </c>
    </row>
    <row r="87" spans="1:110" ht="15.6" x14ac:dyDescent="0.3">
      <c r="A87" s="30"/>
      <c r="B87" s="32">
        <v>38</v>
      </c>
      <c r="C87" s="33" t="s">
        <v>377</v>
      </c>
      <c r="D87" s="34" t="s">
        <v>378</v>
      </c>
      <c r="E87" s="35" t="s">
        <v>379</v>
      </c>
      <c r="F87" s="71" t="s">
        <v>380</v>
      </c>
      <c r="G87" s="131"/>
      <c r="H87" s="132"/>
      <c r="I87" s="132"/>
      <c r="J87" s="133">
        <f>IF(ABS(H87-G87)&gt;0.01,H87-G87,IF(ABS(H87-I87)&gt;0.01,H87-I87,0))</f>
        <v>0</v>
      </c>
      <c r="K87" s="131"/>
      <c r="L87" s="132"/>
      <c r="M87" s="132"/>
      <c r="N87" s="133">
        <f>IF(ABS(L87-K87)&gt;0.01,L87-K87,IF(ABS(L87-M87)&gt;0.01,L87-M87,0))</f>
        <v>0</v>
      </c>
      <c r="O87" s="131"/>
      <c r="P87" s="132"/>
      <c r="Q87" s="132"/>
      <c r="R87" s="133">
        <f>IF(ABS(P87-O87)&gt;0.01,P87-O87,IF(ABS(P87-Q87)&gt;0.01,P87-Q87,0))</f>
        <v>0</v>
      </c>
      <c r="S87" s="131"/>
      <c r="T87" s="132"/>
      <c r="U87" s="132"/>
      <c r="V87" s="133">
        <f>IF(ABS(T87-S87)&gt;0.01,T87-S87,IF(ABS(T87-U87)&gt;0.01,T87-U87,0))</f>
        <v>0</v>
      </c>
      <c r="W87" s="131"/>
      <c r="X87" s="132"/>
      <c r="Y87" s="132"/>
      <c r="Z87" s="133">
        <f>IF(ABS(X87-W87)&gt;0.01,X87-W87,IF(ABS(X87-Y87)&gt;0.01,X87-Y87,0))</f>
        <v>0</v>
      </c>
      <c r="AA87" s="134"/>
      <c r="AB87" s="135"/>
      <c r="AC87" s="135"/>
      <c r="AD87" s="148">
        <f>IF(ABS(AB87-AA87)&gt;0.01,AB87-AA87,IF(ABS(AB87-AC87)&gt;0.01,AB87-AC87,0))</f>
        <v>0</v>
      </c>
      <c r="AE87" s="135"/>
      <c r="AF87" s="135"/>
      <c r="AG87" s="135"/>
      <c r="AH87" s="148">
        <f>IF(ABS(AF87-AE87)&gt;0.01,AF87-AE87,IF(ABS(AF87-AG87)&gt;0.01,AF87-AG87,0))</f>
        <v>0</v>
      </c>
      <c r="AI87" s="135"/>
      <c r="AJ87" s="135"/>
      <c r="AK87" s="135"/>
      <c r="AL87" s="148">
        <f>IF(ABS(AJ87-AI87)&gt;0.01,AJ87-AI87,IF(ABS(AJ87-AK87)&gt;0.01,AJ87-AK87,0))</f>
        <v>0</v>
      </c>
      <c r="AM87" s="135"/>
      <c r="AN87" s="135"/>
      <c r="AO87" s="135"/>
      <c r="AP87" s="148">
        <f>IF(ABS(AN87-AM87)&gt;0.01,AN87-AM87,IF(ABS(AN87-AO87)&gt;0.01,AN87-AO87,0))</f>
        <v>0</v>
      </c>
      <c r="AQ87" s="135"/>
      <c r="AR87" s="135"/>
      <c r="AS87" s="135"/>
      <c r="AT87" s="148">
        <f>IF(ABS(AR87-AQ87)&gt;0.01,AR87-AQ87,IF(ABS(AR87-AS87)&gt;0.01,AR87-AS87,0))</f>
        <v>0</v>
      </c>
      <c r="AU87" s="136"/>
      <c r="AV87" s="136"/>
      <c r="AW87" s="136"/>
      <c r="AX87" s="147">
        <f>IF(ABS(AV87-AU87)&gt;0.01,AV87-AU87,IF(ABS(AV87-AW87)&gt;0.01,AV87-AW87,0))</f>
        <v>0</v>
      </c>
      <c r="AY87" s="136"/>
      <c r="AZ87" s="136"/>
      <c r="BA87" s="136"/>
      <c r="BB87" s="147">
        <f>IF(ABS(AZ87-AY87)&gt;0.01,AZ87-AY87,IF(ABS(AZ87-BA87)&gt;0.01,AZ87-BA87,0))</f>
        <v>0</v>
      </c>
      <c r="BC87" s="136"/>
      <c r="BD87" s="136"/>
      <c r="BE87" s="136"/>
      <c r="BF87" s="147">
        <f>IF(ABS(BD87-BC87)&gt;0.01,BD87-BC87,IF(ABS(BD87-BE87)&gt;0.01,BD87-BE87,0))</f>
        <v>0</v>
      </c>
      <c r="BG87" s="136"/>
      <c r="BH87" s="136"/>
      <c r="BI87" s="136"/>
      <c r="BJ87" s="147">
        <f>IF(ABS(BH87-BG87)&gt;0.01,BH87-BG87,IF(ABS(BH87-BI87)&gt;0.01,BH87-BI87,0))</f>
        <v>0</v>
      </c>
      <c r="BK87" s="136"/>
      <c r="BL87" s="136"/>
      <c r="BM87" s="136"/>
      <c r="BN87" s="147">
        <f>IF(ABS(BL87-BK87)&gt;0.01,BL87-BK87,IF(ABS(BL87-BM87)&gt;0.01,BL87-BM87,0))</f>
        <v>0</v>
      </c>
      <c r="BO87" s="106"/>
      <c r="BP87" s="106"/>
      <c r="BQ87" s="106"/>
      <c r="BR87" s="146">
        <f>IF(ABS(BP87-BO87)&gt;0.01,BP87-BO87,IF(ABS(BP87-BQ87)&gt;0.01,BP87-BQ87,0))</f>
        <v>0</v>
      </c>
      <c r="BS87" s="106"/>
      <c r="BT87" s="106"/>
      <c r="BU87" s="106"/>
      <c r="BV87" s="146">
        <f>IF(ABS(BT87-BS87)&gt;0.01,BT87-BS87,IF(ABS(BT87-BU87)&gt;0.01,BT87-BU87,0))</f>
        <v>0</v>
      </c>
      <c r="BW87" s="106"/>
      <c r="BX87" s="106"/>
      <c r="BY87" s="106"/>
      <c r="BZ87" s="146">
        <f>IF(ABS(BX87-BW87)&gt;0.01,BX87-BW87,IF(ABS(BX87-BY87)&gt;0.01,BX87-BY87,0))</f>
        <v>0</v>
      </c>
      <c r="CA87" s="106"/>
      <c r="CB87" s="106"/>
      <c r="CC87" s="106"/>
      <c r="CD87" s="146">
        <f>IF(ABS(CB87-CA87)&gt;0.01,CB87-CA87,IF(ABS(CB87-CC87)&gt;0.01,CB87-CC87,0))</f>
        <v>0</v>
      </c>
      <c r="CE87" s="106"/>
      <c r="CF87" s="106"/>
      <c r="CG87" s="106"/>
      <c r="CH87" s="146">
        <f>IF(ABS(CF87-CE87)&gt;0.01,CF87-CE87,IF(ABS(CF87-CG87)&gt;0.01,CF87-CG87,0))</f>
        <v>0</v>
      </c>
      <c r="CI87" s="107">
        <v>2395508.2100000004</v>
      </c>
      <c r="CJ87" s="107">
        <v>9329.7699999999986</v>
      </c>
      <c r="CK87" s="107"/>
      <c r="CL87" s="145">
        <f>IF(ABS(CJ87-CI87)&gt;0.01,CJ87-CI87,IF(ABS(CJ87-CK87)&gt;0.01,CJ87-CK87,0))</f>
        <v>-2386178.4400000004</v>
      </c>
      <c r="CM87" s="107"/>
      <c r="CN87" s="107"/>
      <c r="CO87" s="107"/>
      <c r="CP87" s="145">
        <f>IF(ABS(CN87-CM87)&gt;0.01,CN87-CM87,IF(ABS(CN87-CO87)&gt;0.01,CN87-CO87,0))</f>
        <v>0</v>
      </c>
      <c r="CQ87" s="107"/>
      <c r="CR87" s="107"/>
      <c r="CS87" s="107"/>
      <c r="CT87" s="145">
        <f>IF(ABS(CR87-CQ87)&gt;0.01,CR87-CQ87,IF(ABS(CR87-CS87)&gt;0.01,CR87-CS87,0))</f>
        <v>0</v>
      </c>
      <c r="CU87" s="107"/>
      <c r="CV87" s="107"/>
      <c r="CW87" s="107"/>
      <c r="CX87" s="145">
        <f>IF(ABS(CV87-CU87)&gt;0.01,CV87-CU87,IF(ABS(CV87-CW87)&gt;0.01,CV87-CW87,0))</f>
        <v>0</v>
      </c>
      <c r="CY87" s="107"/>
      <c r="CZ87" s="107"/>
      <c r="DA87" s="107"/>
      <c r="DB87" s="145">
        <f>IF(ABS(CZ87-CY87)&gt;0.01,CZ87-CY87,IF(ABS(CZ87-DA87)&gt;0.01,CZ87-DA87,0))</f>
        <v>0</v>
      </c>
      <c r="DC87" s="137">
        <v>1855.6</v>
      </c>
      <c r="DD87" s="138">
        <v>1855.6</v>
      </c>
      <c r="DE87" s="138">
        <v>0</v>
      </c>
      <c r="DF87" s="139">
        <f>IF(ABS(DD87-DC87)&gt;0.01,DD87-DC87,IF(ABS(DD87-DE87)&gt;0.01,DD87-DE87,0))</f>
        <v>1855.6</v>
      </c>
    </row>
    <row r="88" spans="1:110" ht="15.6" x14ac:dyDescent="0.3">
      <c r="A88" s="30"/>
      <c r="B88" s="32">
        <v>24</v>
      </c>
      <c r="C88" s="33">
        <v>8405</v>
      </c>
      <c r="D88" s="34" t="s">
        <v>797</v>
      </c>
      <c r="E88" s="35" t="s">
        <v>381</v>
      </c>
      <c r="F88" s="71" t="s">
        <v>380</v>
      </c>
      <c r="G88" s="131"/>
      <c r="H88" s="132"/>
      <c r="I88" s="132"/>
      <c r="J88" s="133">
        <f t="shared" ref="J88:J120" si="6">IF(ABS(H88-G88)&gt;0.01,H88-G88,IF(ABS(H88-I88)&gt;0.01,H88-I88,0))</f>
        <v>0</v>
      </c>
      <c r="K88" s="131"/>
      <c r="L88" s="132"/>
      <c r="M88" s="132"/>
      <c r="N88" s="133">
        <f t="shared" ref="N88:N120" si="7">IF(ABS(L88-K88)&gt;0.01,L88-K88,IF(ABS(L88-M88)&gt;0.01,L88-M88,0))</f>
        <v>0</v>
      </c>
      <c r="O88" s="131"/>
      <c r="P88" s="132"/>
      <c r="Q88" s="132"/>
      <c r="R88" s="133">
        <f t="shared" ref="R88:R110" si="8">IF(ABS(P88-O88)&gt;0.01,P88-O88,IF(ABS(P88-Q88)&gt;0.01,P88-Q88,0))</f>
        <v>0</v>
      </c>
      <c r="S88" s="131"/>
      <c r="T88" s="132"/>
      <c r="U88" s="132"/>
      <c r="V88" s="133">
        <f t="shared" ref="V88:V121" si="9">IF(ABS(T88-S88)&gt;0.01,T88-S88,IF(ABS(T88-U88)&gt;0.01,T88-U88,0))</f>
        <v>0</v>
      </c>
      <c r="W88" s="131"/>
      <c r="X88" s="132"/>
      <c r="Y88" s="132"/>
      <c r="Z88" s="133">
        <f t="shared" ref="Z88:Z121" si="10">IF(ABS(X88-W88)&gt;0.01,X88-W88,IF(ABS(X88-Y88)&gt;0.01,X88-Y88,0))</f>
        <v>0</v>
      </c>
      <c r="AA88" s="134"/>
      <c r="AB88" s="135"/>
      <c r="AC88" s="135"/>
      <c r="AD88" s="148">
        <f t="shared" ref="AD88:AD121" si="11">IF(ABS(AB88-AA88)&gt;0.01,AB88-AA88,IF(ABS(AB88-AC88)&gt;0.01,AB88-AC88,0))</f>
        <v>0</v>
      </c>
      <c r="AE88" s="135"/>
      <c r="AF88" s="135"/>
      <c r="AG88" s="135"/>
      <c r="AH88" s="148">
        <f t="shared" ref="AH88:AH121" si="12">IF(ABS(AF88-AE88)&gt;0.01,AF88-AE88,IF(ABS(AF88-AG88)&gt;0.01,AF88-AG88,0))</f>
        <v>0</v>
      </c>
      <c r="AI88" s="135"/>
      <c r="AJ88" s="135"/>
      <c r="AK88" s="135"/>
      <c r="AL88" s="148">
        <f t="shared" ref="AL88:AL121" si="13">IF(ABS(AJ88-AI88)&gt;0.01,AJ88-AI88,IF(ABS(AJ88-AK88)&gt;0.01,AJ88-AK88,0))</f>
        <v>0</v>
      </c>
      <c r="AM88" s="135"/>
      <c r="AN88" s="135"/>
      <c r="AO88" s="135"/>
      <c r="AP88" s="148">
        <f t="shared" ref="AP88:AP121" si="14">IF(ABS(AN88-AM88)&gt;0.01,AN88-AM88,IF(ABS(AN88-AO88)&gt;0.01,AN88-AO88,0))</f>
        <v>0</v>
      </c>
      <c r="AQ88" s="135"/>
      <c r="AR88" s="135"/>
      <c r="AS88" s="135"/>
      <c r="AT88" s="148">
        <f t="shared" ref="AT88:AT121" si="15">IF(ABS(AR88-AQ88)&gt;0.01,AR88-AQ88,IF(ABS(AR88-AS88)&gt;0.01,AR88-AS88,0))</f>
        <v>0</v>
      </c>
      <c r="AU88" s="136"/>
      <c r="AV88" s="136"/>
      <c r="AW88" s="136"/>
      <c r="AX88" s="147">
        <f t="shared" ref="AX88:AX121" si="16">IF(ABS(AV88-AU88)&gt;0.01,AV88-AU88,IF(ABS(AV88-AW88)&gt;0.01,AV88-AW88,0))</f>
        <v>0</v>
      </c>
      <c r="AY88" s="136"/>
      <c r="AZ88" s="136"/>
      <c r="BA88" s="136"/>
      <c r="BB88" s="147">
        <f t="shared" ref="BB88:BB121" si="17">IF(ABS(AZ88-AY88)&gt;0.01,AZ88-AY88,IF(ABS(AZ88-BA88)&gt;0.01,AZ88-BA88,0))</f>
        <v>0</v>
      </c>
      <c r="BC88" s="136"/>
      <c r="BD88" s="136"/>
      <c r="BE88" s="136"/>
      <c r="BF88" s="147">
        <f t="shared" ref="BF88:BF121" si="18">IF(ABS(BD88-BC88)&gt;0.01,BD88-BC88,IF(ABS(BD88-BE88)&gt;0.01,BD88-BE88,0))</f>
        <v>0</v>
      </c>
      <c r="BG88" s="136"/>
      <c r="BH88" s="136"/>
      <c r="BI88" s="136"/>
      <c r="BJ88" s="147">
        <f t="shared" ref="BJ88:BJ121" si="19">IF(ABS(BH88-BG88)&gt;0.01,BH88-BG88,IF(ABS(BH88-BI88)&gt;0.01,BH88-BI88,0))</f>
        <v>0</v>
      </c>
      <c r="BK88" s="136"/>
      <c r="BL88" s="136"/>
      <c r="BM88" s="136"/>
      <c r="BN88" s="147">
        <f t="shared" ref="BN88:BN121" si="20">IF(ABS(BL88-BK88)&gt;0.01,BL88-BK88,IF(ABS(BL88-BM88)&gt;0.01,BL88-BM88,0))</f>
        <v>0</v>
      </c>
      <c r="BO88" s="106"/>
      <c r="BP88" s="106"/>
      <c r="BQ88" s="106"/>
      <c r="BR88" s="146">
        <f t="shared" ref="BR88:BR121" si="21">IF(ABS(BP88-BO88)&gt;0.01,BP88-BO88,IF(ABS(BP88-BQ88)&gt;0.01,BP88-BQ88,0))</f>
        <v>0</v>
      </c>
      <c r="BS88" s="106"/>
      <c r="BT88" s="106"/>
      <c r="BU88" s="106"/>
      <c r="BV88" s="146">
        <f t="shared" ref="BV88:BV121" si="22">IF(ABS(BT88-BS88)&gt;0.01,BT88-BS88,IF(ABS(BT88-BU88)&gt;0.01,BT88-BU88,0))</f>
        <v>0</v>
      </c>
      <c r="BW88" s="106"/>
      <c r="BX88" s="106"/>
      <c r="BY88" s="106"/>
      <c r="BZ88" s="146">
        <f t="shared" ref="BZ88:BZ121" si="23">IF(ABS(BX88-BW88)&gt;0.01,BX88-BW88,IF(ABS(BX88-BY88)&gt;0.01,BX88-BY88,0))</f>
        <v>0</v>
      </c>
      <c r="CA88" s="106"/>
      <c r="CB88" s="106"/>
      <c r="CC88" s="106"/>
      <c r="CD88" s="146">
        <f t="shared" ref="CD88:CD121" si="24">IF(ABS(CB88-CA88)&gt;0.01,CB88-CA88,IF(ABS(CB88-CC88)&gt;0.01,CB88-CC88,0))</f>
        <v>0</v>
      </c>
      <c r="CE88" s="106"/>
      <c r="CF88" s="106"/>
      <c r="CG88" s="106"/>
      <c r="CH88" s="146">
        <f t="shared" ref="CH88:CH121" si="25">IF(ABS(CF88-CE88)&gt;0.01,CF88-CE88,IF(ABS(CF88-CG88)&gt;0.01,CF88-CG88,0))</f>
        <v>0</v>
      </c>
      <c r="CI88" s="107">
        <v>31003598.579999991</v>
      </c>
      <c r="CJ88" s="107">
        <v>204975.69999999995</v>
      </c>
      <c r="CK88" s="107"/>
      <c r="CL88" s="145">
        <f t="shared" ref="CL88:CL121" si="26">IF(ABS(CJ88-CI88)&gt;0.01,CJ88-CI88,IF(ABS(CJ88-CK88)&gt;0.01,CJ88-CK88,0))</f>
        <v>-30798622.879999992</v>
      </c>
      <c r="CM88" s="107"/>
      <c r="CN88" s="107"/>
      <c r="CO88" s="107"/>
      <c r="CP88" s="145">
        <f t="shared" ref="CP88:CP121" si="27">IF(ABS(CN88-CM88)&gt;0.01,CN88-CM88,IF(ABS(CN88-CO88)&gt;0.01,CN88-CO88,0))</f>
        <v>0</v>
      </c>
      <c r="CQ88" s="107"/>
      <c r="CR88" s="107"/>
      <c r="CS88" s="107"/>
      <c r="CT88" s="145">
        <f t="shared" ref="CT88:CT121" si="28">IF(ABS(CR88-CQ88)&gt;0.01,CR88-CQ88,IF(ABS(CR88-CS88)&gt;0.01,CR88-CS88,0))</f>
        <v>0</v>
      </c>
      <c r="CU88" s="107"/>
      <c r="CV88" s="107"/>
      <c r="CW88" s="107"/>
      <c r="CX88" s="145">
        <f t="shared" ref="CX88:CX121" si="29">IF(ABS(CV88-CU88)&gt;0.01,CV88-CU88,IF(ABS(CV88-CW88)&gt;0.01,CV88-CW88,0))</f>
        <v>0</v>
      </c>
      <c r="CY88" s="107"/>
      <c r="CZ88" s="107"/>
      <c r="DA88" s="107"/>
      <c r="DB88" s="145">
        <f t="shared" ref="DB88:DB121" si="30">IF(ABS(CZ88-CY88)&gt;0.01,CZ88-CY88,IF(ABS(CZ88-DA88)&gt;0.01,CZ88-DA88,0))</f>
        <v>0</v>
      </c>
      <c r="DC88" s="137">
        <v>0</v>
      </c>
      <c r="DD88" s="138">
        <v>0</v>
      </c>
      <c r="DE88" s="138">
        <v>0</v>
      </c>
      <c r="DF88" s="139">
        <f t="shared" ref="DF88:DF121" si="31">IF(ABS(DD88-DC88)&gt;0.01,DD88-DC88,IF(ABS(DD88-DE88)&gt;0.01,DD88-DE88,0))</f>
        <v>0</v>
      </c>
    </row>
    <row r="89" spans="1:110" ht="15.6" x14ac:dyDescent="0.3">
      <c r="A89" s="30"/>
      <c r="B89" s="32">
        <v>35</v>
      </c>
      <c r="C89" s="33" t="s">
        <v>382</v>
      </c>
      <c r="D89" s="34" t="s">
        <v>383</v>
      </c>
      <c r="E89" s="35" t="s">
        <v>384</v>
      </c>
      <c r="F89" s="71" t="s">
        <v>380</v>
      </c>
      <c r="G89" s="131"/>
      <c r="H89" s="132"/>
      <c r="I89" s="132"/>
      <c r="J89" s="133">
        <f t="shared" si="6"/>
        <v>0</v>
      </c>
      <c r="K89" s="131"/>
      <c r="L89" s="132"/>
      <c r="M89" s="132"/>
      <c r="N89" s="133">
        <f t="shared" si="7"/>
        <v>0</v>
      </c>
      <c r="O89" s="131"/>
      <c r="P89" s="132"/>
      <c r="Q89" s="132"/>
      <c r="R89" s="133">
        <f t="shared" si="8"/>
        <v>0</v>
      </c>
      <c r="S89" s="131"/>
      <c r="T89" s="132"/>
      <c r="U89" s="132"/>
      <c r="V89" s="133">
        <f t="shared" si="9"/>
        <v>0</v>
      </c>
      <c r="W89" s="131"/>
      <c r="X89" s="132"/>
      <c r="Y89" s="132"/>
      <c r="Z89" s="133">
        <f t="shared" si="10"/>
        <v>0</v>
      </c>
      <c r="AA89" s="134"/>
      <c r="AB89" s="135"/>
      <c r="AC89" s="135"/>
      <c r="AD89" s="148">
        <f t="shared" si="11"/>
        <v>0</v>
      </c>
      <c r="AE89" s="135"/>
      <c r="AF89" s="135"/>
      <c r="AG89" s="135"/>
      <c r="AH89" s="148">
        <f t="shared" si="12"/>
        <v>0</v>
      </c>
      <c r="AI89" s="135"/>
      <c r="AJ89" s="135"/>
      <c r="AK89" s="135"/>
      <c r="AL89" s="148">
        <f t="shared" si="13"/>
        <v>0</v>
      </c>
      <c r="AM89" s="135"/>
      <c r="AN89" s="135"/>
      <c r="AO89" s="135"/>
      <c r="AP89" s="148">
        <f t="shared" si="14"/>
        <v>0</v>
      </c>
      <c r="AQ89" s="135"/>
      <c r="AR89" s="135"/>
      <c r="AS89" s="135"/>
      <c r="AT89" s="148">
        <f t="shared" si="15"/>
        <v>0</v>
      </c>
      <c r="AU89" s="136"/>
      <c r="AV89" s="136"/>
      <c r="AW89" s="136"/>
      <c r="AX89" s="147">
        <f t="shared" si="16"/>
        <v>0</v>
      </c>
      <c r="AY89" s="136"/>
      <c r="AZ89" s="136"/>
      <c r="BA89" s="136"/>
      <c r="BB89" s="147">
        <f t="shared" si="17"/>
        <v>0</v>
      </c>
      <c r="BC89" s="136"/>
      <c r="BD89" s="136"/>
      <c r="BE89" s="136"/>
      <c r="BF89" s="147">
        <f t="shared" si="18"/>
        <v>0</v>
      </c>
      <c r="BG89" s="136"/>
      <c r="BH89" s="136"/>
      <c r="BI89" s="136"/>
      <c r="BJ89" s="147">
        <f t="shared" si="19"/>
        <v>0</v>
      </c>
      <c r="BK89" s="136"/>
      <c r="BL89" s="136"/>
      <c r="BM89" s="136"/>
      <c r="BN89" s="147">
        <f t="shared" si="20"/>
        <v>0</v>
      </c>
      <c r="BO89" s="106"/>
      <c r="BP89" s="106"/>
      <c r="BQ89" s="106"/>
      <c r="BR89" s="146">
        <f t="shared" si="21"/>
        <v>0</v>
      </c>
      <c r="BS89" s="106"/>
      <c r="BT89" s="106"/>
      <c r="BU89" s="106"/>
      <c r="BV89" s="146">
        <f t="shared" si="22"/>
        <v>0</v>
      </c>
      <c r="BW89" s="106"/>
      <c r="BX89" s="106"/>
      <c r="BY89" s="106"/>
      <c r="BZ89" s="146">
        <f t="shared" si="23"/>
        <v>0</v>
      </c>
      <c r="CA89" s="106"/>
      <c r="CB89" s="106"/>
      <c r="CC89" s="106"/>
      <c r="CD89" s="146">
        <f t="shared" si="24"/>
        <v>0</v>
      </c>
      <c r="CE89" s="106"/>
      <c r="CF89" s="106"/>
      <c r="CG89" s="106"/>
      <c r="CH89" s="146">
        <f t="shared" si="25"/>
        <v>0</v>
      </c>
      <c r="CI89" s="107">
        <v>29719651.670000114</v>
      </c>
      <c r="CJ89" s="107">
        <v>114397.84000000004</v>
      </c>
      <c r="CK89" s="107"/>
      <c r="CL89" s="145">
        <f t="shared" si="26"/>
        <v>-29605253.830000114</v>
      </c>
      <c r="CM89" s="107"/>
      <c r="CN89" s="107"/>
      <c r="CO89" s="107"/>
      <c r="CP89" s="145">
        <f t="shared" si="27"/>
        <v>0</v>
      </c>
      <c r="CQ89" s="107"/>
      <c r="CR89" s="107"/>
      <c r="CS89" s="107"/>
      <c r="CT89" s="145">
        <f t="shared" si="28"/>
        <v>0</v>
      </c>
      <c r="CU89" s="107"/>
      <c r="CV89" s="107"/>
      <c r="CW89" s="107"/>
      <c r="CX89" s="145">
        <f t="shared" si="29"/>
        <v>0</v>
      </c>
      <c r="CY89" s="107"/>
      <c r="CZ89" s="107"/>
      <c r="DA89" s="107"/>
      <c r="DB89" s="145">
        <f t="shared" si="30"/>
        <v>0</v>
      </c>
      <c r="DC89" s="137">
        <v>0</v>
      </c>
      <c r="DD89" s="138">
        <v>0</v>
      </c>
      <c r="DE89" s="138">
        <v>0</v>
      </c>
      <c r="DF89" s="139">
        <f t="shared" si="31"/>
        <v>0</v>
      </c>
    </row>
    <row r="90" spans="1:110" ht="15.6" x14ac:dyDescent="0.3">
      <c r="A90" s="30"/>
      <c r="B90" s="34" t="s">
        <v>385</v>
      </c>
      <c r="C90" s="33">
        <v>1623</v>
      </c>
      <c r="D90" s="34" t="s">
        <v>386</v>
      </c>
      <c r="E90" s="35" t="s">
        <v>387</v>
      </c>
      <c r="F90" s="71" t="s">
        <v>380</v>
      </c>
      <c r="G90" s="131"/>
      <c r="H90" s="132"/>
      <c r="I90" s="132"/>
      <c r="J90" s="133">
        <f t="shared" si="6"/>
        <v>0</v>
      </c>
      <c r="K90" s="131"/>
      <c r="L90" s="132"/>
      <c r="M90" s="132"/>
      <c r="N90" s="133">
        <f t="shared" si="7"/>
        <v>0</v>
      </c>
      <c r="O90" s="131"/>
      <c r="P90" s="132"/>
      <c r="Q90" s="132"/>
      <c r="R90" s="133">
        <f t="shared" si="8"/>
        <v>0</v>
      </c>
      <c r="S90" s="131"/>
      <c r="T90" s="132"/>
      <c r="U90" s="132"/>
      <c r="V90" s="133">
        <f t="shared" si="9"/>
        <v>0</v>
      </c>
      <c r="W90" s="131"/>
      <c r="X90" s="132"/>
      <c r="Y90" s="132"/>
      <c r="Z90" s="133">
        <f t="shared" si="10"/>
        <v>0</v>
      </c>
      <c r="AA90" s="134"/>
      <c r="AB90" s="135"/>
      <c r="AC90" s="135"/>
      <c r="AD90" s="148">
        <f t="shared" si="11"/>
        <v>0</v>
      </c>
      <c r="AE90" s="135"/>
      <c r="AF90" s="135"/>
      <c r="AG90" s="135"/>
      <c r="AH90" s="148">
        <f t="shared" si="12"/>
        <v>0</v>
      </c>
      <c r="AI90" s="135"/>
      <c r="AJ90" s="135"/>
      <c r="AK90" s="135"/>
      <c r="AL90" s="148">
        <f t="shared" si="13"/>
        <v>0</v>
      </c>
      <c r="AM90" s="135"/>
      <c r="AN90" s="135"/>
      <c r="AO90" s="135"/>
      <c r="AP90" s="148">
        <f t="shared" si="14"/>
        <v>0</v>
      </c>
      <c r="AQ90" s="135"/>
      <c r="AR90" s="135"/>
      <c r="AS90" s="135"/>
      <c r="AT90" s="148">
        <f t="shared" si="15"/>
        <v>0</v>
      </c>
      <c r="AU90" s="136"/>
      <c r="AV90" s="136"/>
      <c r="AW90" s="136"/>
      <c r="AX90" s="147">
        <f t="shared" si="16"/>
        <v>0</v>
      </c>
      <c r="AY90" s="136"/>
      <c r="AZ90" s="136"/>
      <c r="BA90" s="136"/>
      <c r="BB90" s="147">
        <f t="shared" si="17"/>
        <v>0</v>
      </c>
      <c r="BC90" s="136"/>
      <c r="BD90" s="136"/>
      <c r="BE90" s="136"/>
      <c r="BF90" s="147">
        <f t="shared" si="18"/>
        <v>0</v>
      </c>
      <c r="BG90" s="136"/>
      <c r="BH90" s="136"/>
      <c r="BI90" s="136"/>
      <c r="BJ90" s="147">
        <f t="shared" si="19"/>
        <v>0</v>
      </c>
      <c r="BK90" s="136"/>
      <c r="BL90" s="136"/>
      <c r="BM90" s="136"/>
      <c r="BN90" s="147">
        <f t="shared" si="20"/>
        <v>0</v>
      </c>
      <c r="BO90" s="106"/>
      <c r="BP90" s="106"/>
      <c r="BQ90" s="106"/>
      <c r="BR90" s="146">
        <f t="shared" si="21"/>
        <v>0</v>
      </c>
      <c r="BS90" s="106"/>
      <c r="BT90" s="106"/>
      <c r="BU90" s="106"/>
      <c r="BV90" s="146">
        <f t="shared" si="22"/>
        <v>0</v>
      </c>
      <c r="BW90" s="106"/>
      <c r="BX90" s="106"/>
      <c r="BY90" s="106"/>
      <c r="BZ90" s="146">
        <f t="shared" si="23"/>
        <v>0</v>
      </c>
      <c r="CA90" s="106"/>
      <c r="CB90" s="106"/>
      <c r="CC90" s="106"/>
      <c r="CD90" s="146">
        <f t="shared" si="24"/>
        <v>0</v>
      </c>
      <c r="CE90" s="106"/>
      <c r="CF90" s="106"/>
      <c r="CG90" s="106"/>
      <c r="CH90" s="146">
        <f t="shared" si="25"/>
        <v>0</v>
      </c>
      <c r="CI90" s="107">
        <v>11644250.130000008</v>
      </c>
      <c r="CJ90" s="107">
        <v>71162.669999999984</v>
      </c>
      <c r="CK90" s="107"/>
      <c r="CL90" s="145">
        <f t="shared" si="26"/>
        <v>-11573087.460000008</v>
      </c>
      <c r="CM90" s="107"/>
      <c r="CN90" s="107"/>
      <c r="CO90" s="107"/>
      <c r="CP90" s="145">
        <f t="shared" si="27"/>
        <v>0</v>
      </c>
      <c r="CQ90" s="107"/>
      <c r="CR90" s="107"/>
      <c r="CS90" s="107"/>
      <c r="CT90" s="145">
        <f t="shared" si="28"/>
        <v>0</v>
      </c>
      <c r="CU90" s="107"/>
      <c r="CV90" s="107"/>
      <c r="CW90" s="107"/>
      <c r="CX90" s="145">
        <f t="shared" si="29"/>
        <v>0</v>
      </c>
      <c r="CY90" s="107"/>
      <c r="CZ90" s="107"/>
      <c r="DA90" s="107"/>
      <c r="DB90" s="145">
        <f t="shared" si="30"/>
        <v>0</v>
      </c>
      <c r="DC90" s="137">
        <v>0</v>
      </c>
      <c r="DD90" s="138">
        <v>0</v>
      </c>
      <c r="DE90" s="138">
        <v>0</v>
      </c>
      <c r="DF90" s="139">
        <f t="shared" si="31"/>
        <v>0</v>
      </c>
    </row>
    <row r="91" spans="1:110" ht="15.6" x14ac:dyDescent="0.3">
      <c r="A91" s="30"/>
      <c r="B91" s="32">
        <v>34</v>
      </c>
      <c r="C91" s="33">
        <v>729</v>
      </c>
      <c r="D91" s="34" t="s">
        <v>388</v>
      </c>
      <c r="E91" s="35" t="s">
        <v>389</v>
      </c>
      <c r="F91" s="71" t="s">
        <v>380</v>
      </c>
      <c r="G91" s="131"/>
      <c r="H91" s="132"/>
      <c r="I91" s="132"/>
      <c r="J91" s="133">
        <f t="shared" si="6"/>
        <v>0</v>
      </c>
      <c r="K91" s="131"/>
      <c r="L91" s="132"/>
      <c r="M91" s="132"/>
      <c r="N91" s="133">
        <f t="shared" si="7"/>
        <v>0</v>
      </c>
      <c r="O91" s="131"/>
      <c r="P91" s="132"/>
      <c r="Q91" s="132"/>
      <c r="R91" s="133">
        <f t="shared" si="8"/>
        <v>0</v>
      </c>
      <c r="S91" s="131"/>
      <c r="T91" s="132"/>
      <c r="U91" s="132"/>
      <c r="V91" s="133">
        <f t="shared" si="9"/>
        <v>0</v>
      </c>
      <c r="W91" s="131"/>
      <c r="X91" s="132"/>
      <c r="Y91" s="132"/>
      <c r="Z91" s="133">
        <f t="shared" si="10"/>
        <v>0</v>
      </c>
      <c r="AA91" s="134"/>
      <c r="AB91" s="135"/>
      <c r="AC91" s="135"/>
      <c r="AD91" s="148">
        <f t="shared" si="11"/>
        <v>0</v>
      </c>
      <c r="AE91" s="135"/>
      <c r="AF91" s="135"/>
      <c r="AG91" s="135"/>
      <c r="AH91" s="148">
        <f t="shared" si="12"/>
        <v>0</v>
      </c>
      <c r="AI91" s="135"/>
      <c r="AJ91" s="135"/>
      <c r="AK91" s="135"/>
      <c r="AL91" s="148">
        <f t="shared" si="13"/>
        <v>0</v>
      </c>
      <c r="AM91" s="135"/>
      <c r="AN91" s="135"/>
      <c r="AO91" s="135"/>
      <c r="AP91" s="148">
        <f t="shared" si="14"/>
        <v>0</v>
      </c>
      <c r="AQ91" s="135"/>
      <c r="AR91" s="135"/>
      <c r="AS91" s="135"/>
      <c r="AT91" s="148">
        <f t="shared" si="15"/>
        <v>0</v>
      </c>
      <c r="AU91" s="136"/>
      <c r="AV91" s="136"/>
      <c r="AW91" s="136"/>
      <c r="AX91" s="147">
        <f t="shared" si="16"/>
        <v>0</v>
      </c>
      <c r="AY91" s="136"/>
      <c r="AZ91" s="136"/>
      <c r="BA91" s="136"/>
      <c r="BB91" s="147">
        <f t="shared" si="17"/>
        <v>0</v>
      </c>
      <c r="BC91" s="136"/>
      <c r="BD91" s="136"/>
      <c r="BE91" s="136"/>
      <c r="BF91" s="147">
        <f t="shared" si="18"/>
        <v>0</v>
      </c>
      <c r="BG91" s="136"/>
      <c r="BH91" s="136"/>
      <c r="BI91" s="136"/>
      <c r="BJ91" s="147">
        <f t="shared" si="19"/>
        <v>0</v>
      </c>
      <c r="BK91" s="136"/>
      <c r="BL91" s="136"/>
      <c r="BM91" s="136"/>
      <c r="BN91" s="147">
        <f t="shared" si="20"/>
        <v>0</v>
      </c>
      <c r="BO91" s="106"/>
      <c r="BP91" s="106"/>
      <c r="BQ91" s="106"/>
      <c r="BR91" s="146">
        <f t="shared" si="21"/>
        <v>0</v>
      </c>
      <c r="BS91" s="106"/>
      <c r="BT91" s="106"/>
      <c r="BU91" s="106"/>
      <c r="BV91" s="146">
        <f t="shared" si="22"/>
        <v>0</v>
      </c>
      <c r="BW91" s="106"/>
      <c r="BX91" s="106"/>
      <c r="BY91" s="106"/>
      <c r="BZ91" s="146">
        <f t="shared" si="23"/>
        <v>0</v>
      </c>
      <c r="CA91" s="106"/>
      <c r="CB91" s="106"/>
      <c r="CC91" s="106"/>
      <c r="CD91" s="146">
        <f t="shared" si="24"/>
        <v>0</v>
      </c>
      <c r="CE91" s="106"/>
      <c r="CF91" s="106"/>
      <c r="CG91" s="106"/>
      <c r="CH91" s="146">
        <f t="shared" si="25"/>
        <v>0</v>
      </c>
      <c r="CI91" s="107">
        <v>15491860.639999928</v>
      </c>
      <c r="CJ91" s="107">
        <v>77150.860000000015</v>
      </c>
      <c r="CK91" s="107"/>
      <c r="CL91" s="145">
        <f t="shared" si="26"/>
        <v>-15414709.779999929</v>
      </c>
      <c r="CM91" s="107"/>
      <c r="CN91" s="107"/>
      <c r="CO91" s="107"/>
      <c r="CP91" s="145">
        <f t="shared" si="27"/>
        <v>0</v>
      </c>
      <c r="CQ91" s="107"/>
      <c r="CR91" s="107"/>
      <c r="CS91" s="107"/>
      <c r="CT91" s="145">
        <f t="shared" si="28"/>
        <v>0</v>
      </c>
      <c r="CU91" s="107"/>
      <c r="CV91" s="107"/>
      <c r="CW91" s="107"/>
      <c r="CX91" s="145">
        <f t="shared" si="29"/>
        <v>0</v>
      </c>
      <c r="CY91" s="107"/>
      <c r="CZ91" s="107"/>
      <c r="DA91" s="107"/>
      <c r="DB91" s="145">
        <f t="shared" si="30"/>
        <v>0</v>
      </c>
      <c r="DC91" s="137">
        <v>0</v>
      </c>
      <c r="DD91" s="138">
        <v>0</v>
      </c>
      <c r="DE91" s="138">
        <v>0</v>
      </c>
      <c r="DF91" s="139">
        <f t="shared" si="31"/>
        <v>0</v>
      </c>
    </row>
    <row r="92" spans="1:110" ht="15.6" x14ac:dyDescent="0.3">
      <c r="A92" s="30"/>
      <c r="B92" s="32">
        <v>33</v>
      </c>
      <c r="C92" s="33">
        <v>1629</v>
      </c>
      <c r="D92" s="34" t="s">
        <v>390</v>
      </c>
      <c r="E92" s="35" t="s">
        <v>391</v>
      </c>
      <c r="F92" s="71" t="s">
        <v>380</v>
      </c>
      <c r="G92" s="131"/>
      <c r="H92" s="132"/>
      <c r="I92" s="132"/>
      <c r="J92" s="133">
        <f t="shared" si="6"/>
        <v>0</v>
      </c>
      <c r="K92" s="131"/>
      <c r="L92" s="132"/>
      <c r="M92" s="132"/>
      <c r="N92" s="133">
        <f t="shared" si="7"/>
        <v>0</v>
      </c>
      <c r="O92" s="131"/>
      <c r="P92" s="132"/>
      <c r="Q92" s="132"/>
      <c r="R92" s="133">
        <f t="shared" si="8"/>
        <v>0</v>
      </c>
      <c r="S92" s="131"/>
      <c r="T92" s="132"/>
      <c r="U92" s="132"/>
      <c r="V92" s="133">
        <f t="shared" si="9"/>
        <v>0</v>
      </c>
      <c r="W92" s="131"/>
      <c r="X92" s="132"/>
      <c r="Y92" s="132"/>
      <c r="Z92" s="133">
        <f t="shared" si="10"/>
        <v>0</v>
      </c>
      <c r="AA92" s="134"/>
      <c r="AB92" s="135"/>
      <c r="AC92" s="135"/>
      <c r="AD92" s="148">
        <f t="shared" si="11"/>
        <v>0</v>
      </c>
      <c r="AE92" s="135"/>
      <c r="AF92" s="135"/>
      <c r="AG92" s="135"/>
      <c r="AH92" s="148">
        <f t="shared" si="12"/>
        <v>0</v>
      </c>
      <c r="AI92" s="135"/>
      <c r="AJ92" s="135"/>
      <c r="AK92" s="135"/>
      <c r="AL92" s="148">
        <f t="shared" si="13"/>
        <v>0</v>
      </c>
      <c r="AM92" s="135"/>
      <c r="AN92" s="135"/>
      <c r="AO92" s="135"/>
      <c r="AP92" s="148">
        <f t="shared" si="14"/>
        <v>0</v>
      </c>
      <c r="AQ92" s="135"/>
      <c r="AR92" s="135"/>
      <c r="AS92" s="135"/>
      <c r="AT92" s="148">
        <f t="shared" si="15"/>
        <v>0</v>
      </c>
      <c r="AU92" s="136"/>
      <c r="AV92" s="136"/>
      <c r="AW92" s="136"/>
      <c r="AX92" s="147">
        <f t="shared" si="16"/>
        <v>0</v>
      </c>
      <c r="AY92" s="136"/>
      <c r="AZ92" s="136"/>
      <c r="BA92" s="136"/>
      <c r="BB92" s="147">
        <f t="shared" si="17"/>
        <v>0</v>
      </c>
      <c r="BC92" s="136"/>
      <c r="BD92" s="136"/>
      <c r="BE92" s="136"/>
      <c r="BF92" s="147">
        <f t="shared" si="18"/>
        <v>0</v>
      </c>
      <c r="BG92" s="136"/>
      <c r="BH92" s="136"/>
      <c r="BI92" s="136"/>
      <c r="BJ92" s="147">
        <f t="shared" si="19"/>
        <v>0</v>
      </c>
      <c r="BK92" s="136"/>
      <c r="BL92" s="136"/>
      <c r="BM92" s="136"/>
      <c r="BN92" s="147">
        <f t="shared" si="20"/>
        <v>0</v>
      </c>
      <c r="BO92" s="106"/>
      <c r="BP92" s="106"/>
      <c r="BQ92" s="106"/>
      <c r="BR92" s="146">
        <f t="shared" si="21"/>
        <v>0</v>
      </c>
      <c r="BS92" s="106"/>
      <c r="BT92" s="106"/>
      <c r="BU92" s="106"/>
      <c r="BV92" s="146">
        <f t="shared" si="22"/>
        <v>0</v>
      </c>
      <c r="BW92" s="106"/>
      <c r="BX92" s="106"/>
      <c r="BY92" s="106"/>
      <c r="BZ92" s="146">
        <f t="shared" si="23"/>
        <v>0</v>
      </c>
      <c r="CA92" s="106"/>
      <c r="CB92" s="106"/>
      <c r="CC92" s="106"/>
      <c r="CD92" s="146">
        <f t="shared" si="24"/>
        <v>0</v>
      </c>
      <c r="CE92" s="106"/>
      <c r="CF92" s="106"/>
      <c r="CG92" s="106"/>
      <c r="CH92" s="146">
        <f t="shared" si="25"/>
        <v>0</v>
      </c>
      <c r="CI92" s="107">
        <v>15344961.000000045</v>
      </c>
      <c r="CJ92" s="107">
        <v>74266.17</v>
      </c>
      <c r="CK92" s="107"/>
      <c r="CL92" s="145">
        <f t="shared" si="26"/>
        <v>-15270694.830000045</v>
      </c>
      <c r="CM92" s="107"/>
      <c r="CN92" s="107"/>
      <c r="CO92" s="107"/>
      <c r="CP92" s="145">
        <f t="shared" si="27"/>
        <v>0</v>
      </c>
      <c r="CQ92" s="107"/>
      <c r="CR92" s="107"/>
      <c r="CS92" s="107"/>
      <c r="CT92" s="145">
        <f t="shared" si="28"/>
        <v>0</v>
      </c>
      <c r="CU92" s="107"/>
      <c r="CV92" s="107"/>
      <c r="CW92" s="107"/>
      <c r="CX92" s="145">
        <f t="shared" si="29"/>
        <v>0</v>
      </c>
      <c r="CY92" s="107"/>
      <c r="CZ92" s="107"/>
      <c r="DA92" s="107"/>
      <c r="DB92" s="145">
        <f t="shared" si="30"/>
        <v>0</v>
      </c>
      <c r="DC92" s="137">
        <v>0</v>
      </c>
      <c r="DD92" s="138">
        <v>0</v>
      </c>
      <c r="DE92" s="138">
        <v>0</v>
      </c>
      <c r="DF92" s="139">
        <f t="shared" si="31"/>
        <v>0</v>
      </c>
    </row>
    <row r="93" spans="1:110" ht="15.6" x14ac:dyDescent="0.3">
      <c r="A93" s="30"/>
      <c r="B93" s="32">
        <v>31</v>
      </c>
      <c r="C93" s="33">
        <v>4929</v>
      </c>
      <c r="D93" s="34" t="s">
        <v>392</v>
      </c>
      <c r="E93" s="35" t="s">
        <v>393</v>
      </c>
      <c r="F93" s="71" t="s">
        <v>380</v>
      </c>
      <c r="G93" s="131"/>
      <c r="H93" s="132"/>
      <c r="I93" s="132"/>
      <c r="J93" s="133">
        <f t="shared" si="6"/>
        <v>0</v>
      </c>
      <c r="K93" s="131"/>
      <c r="L93" s="132"/>
      <c r="M93" s="132"/>
      <c r="N93" s="133">
        <f t="shared" si="7"/>
        <v>0</v>
      </c>
      <c r="O93" s="131"/>
      <c r="P93" s="132"/>
      <c r="Q93" s="132"/>
      <c r="R93" s="133">
        <f t="shared" si="8"/>
        <v>0</v>
      </c>
      <c r="S93" s="131"/>
      <c r="T93" s="132"/>
      <c r="U93" s="132"/>
      <c r="V93" s="133">
        <f t="shared" si="9"/>
        <v>0</v>
      </c>
      <c r="W93" s="131"/>
      <c r="X93" s="132"/>
      <c r="Y93" s="132"/>
      <c r="Z93" s="133">
        <f t="shared" si="10"/>
        <v>0</v>
      </c>
      <c r="AA93" s="134"/>
      <c r="AB93" s="135"/>
      <c r="AC93" s="135"/>
      <c r="AD93" s="148">
        <f t="shared" si="11"/>
        <v>0</v>
      </c>
      <c r="AE93" s="135"/>
      <c r="AF93" s="135"/>
      <c r="AG93" s="135"/>
      <c r="AH93" s="148">
        <f t="shared" si="12"/>
        <v>0</v>
      </c>
      <c r="AI93" s="135"/>
      <c r="AJ93" s="135"/>
      <c r="AK93" s="135"/>
      <c r="AL93" s="148">
        <f t="shared" si="13"/>
        <v>0</v>
      </c>
      <c r="AM93" s="135"/>
      <c r="AN93" s="135"/>
      <c r="AO93" s="135"/>
      <c r="AP93" s="148">
        <f t="shared" si="14"/>
        <v>0</v>
      </c>
      <c r="AQ93" s="135"/>
      <c r="AR93" s="135"/>
      <c r="AS93" s="135"/>
      <c r="AT93" s="148">
        <f t="shared" si="15"/>
        <v>0</v>
      </c>
      <c r="AU93" s="136"/>
      <c r="AV93" s="136"/>
      <c r="AW93" s="136"/>
      <c r="AX93" s="147">
        <f t="shared" si="16"/>
        <v>0</v>
      </c>
      <c r="AY93" s="136"/>
      <c r="AZ93" s="136"/>
      <c r="BA93" s="136"/>
      <c r="BB93" s="147">
        <f t="shared" si="17"/>
        <v>0</v>
      </c>
      <c r="BC93" s="136"/>
      <c r="BD93" s="136"/>
      <c r="BE93" s="136"/>
      <c r="BF93" s="147">
        <f t="shared" si="18"/>
        <v>0</v>
      </c>
      <c r="BG93" s="136"/>
      <c r="BH93" s="136"/>
      <c r="BI93" s="136"/>
      <c r="BJ93" s="147">
        <f t="shared" si="19"/>
        <v>0</v>
      </c>
      <c r="BK93" s="136"/>
      <c r="BL93" s="136"/>
      <c r="BM93" s="136"/>
      <c r="BN93" s="147">
        <f t="shared" si="20"/>
        <v>0</v>
      </c>
      <c r="BO93" s="106"/>
      <c r="BP93" s="106"/>
      <c r="BQ93" s="106"/>
      <c r="BR93" s="146">
        <f t="shared" si="21"/>
        <v>0</v>
      </c>
      <c r="BS93" s="106"/>
      <c r="BT93" s="106"/>
      <c r="BU93" s="106"/>
      <c r="BV93" s="146">
        <f t="shared" si="22"/>
        <v>0</v>
      </c>
      <c r="BW93" s="106"/>
      <c r="BX93" s="106"/>
      <c r="BY93" s="106"/>
      <c r="BZ93" s="146">
        <f t="shared" si="23"/>
        <v>0</v>
      </c>
      <c r="CA93" s="106"/>
      <c r="CB93" s="106"/>
      <c r="CC93" s="106"/>
      <c r="CD93" s="146">
        <f t="shared" si="24"/>
        <v>0</v>
      </c>
      <c r="CE93" s="106"/>
      <c r="CF93" s="106"/>
      <c r="CG93" s="106"/>
      <c r="CH93" s="146">
        <f t="shared" si="25"/>
        <v>0</v>
      </c>
      <c r="CI93" s="107">
        <v>27440958.580000065</v>
      </c>
      <c r="CJ93" s="107">
        <v>112799.93</v>
      </c>
      <c r="CK93" s="107"/>
      <c r="CL93" s="145">
        <f t="shared" si="26"/>
        <v>-27328158.650000066</v>
      </c>
      <c r="CM93" s="107"/>
      <c r="CN93" s="107"/>
      <c r="CO93" s="107"/>
      <c r="CP93" s="145">
        <f t="shared" si="27"/>
        <v>0</v>
      </c>
      <c r="CQ93" s="107"/>
      <c r="CR93" s="107"/>
      <c r="CS93" s="107"/>
      <c r="CT93" s="145">
        <f t="shared" si="28"/>
        <v>0</v>
      </c>
      <c r="CU93" s="107"/>
      <c r="CV93" s="107"/>
      <c r="CW93" s="107"/>
      <c r="CX93" s="145">
        <f t="shared" si="29"/>
        <v>0</v>
      </c>
      <c r="CY93" s="107"/>
      <c r="CZ93" s="107"/>
      <c r="DA93" s="107"/>
      <c r="DB93" s="145">
        <f t="shared" si="30"/>
        <v>0</v>
      </c>
      <c r="DC93" s="137">
        <v>0</v>
      </c>
      <c r="DD93" s="138">
        <v>0</v>
      </c>
      <c r="DE93" s="138">
        <v>0</v>
      </c>
      <c r="DF93" s="139">
        <f t="shared" si="31"/>
        <v>0</v>
      </c>
    </row>
    <row r="94" spans="1:110" ht="15.6" x14ac:dyDescent="0.3">
      <c r="A94" s="30"/>
      <c r="B94" s="32">
        <v>11</v>
      </c>
      <c r="C94" s="33">
        <v>1631</v>
      </c>
      <c r="D94" s="34" t="s">
        <v>394</v>
      </c>
      <c r="E94" s="35" t="s">
        <v>395</v>
      </c>
      <c r="F94" s="71" t="s">
        <v>380</v>
      </c>
      <c r="G94" s="131"/>
      <c r="H94" s="132"/>
      <c r="I94" s="132"/>
      <c r="J94" s="133">
        <f t="shared" si="6"/>
        <v>0</v>
      </c>
      <c r="K94" s="131"/>
      <c r="L94" s="132"/>
      <c r="M94" s="132"/>
      <c r="N94" s="133">
        <f t="shared" si="7"/>
        <v>0</v>
      </c>
      <c r="O94" s="131"/>
      <c r="P94" s="132"/>
      <c r="Q94" s="140"/>
      <c r="R94" s="133">
        <f t="shared" si="8"/>
        <v>0</v>
      </c>
      <c r="S94" s="131"/>
      <c r="T94" s="132"/>
      <c r="U94" s="132"/>
      <c r="V94" s="133">
        <f t="shared" si="9"/>
        <v>0</v>
      </c>
      <c r="W94" s="131"/>
      <c r="X94" s="132"/>
      <c r="Y94" s="132"/>
      <c r="Z94" s="133">
        <f t="shared" si="10"/>
        <v>0</v>
      </c>
      <c r="AA94" s="134"/>
      <c r="AB94" s="135"/>
      <c r="AC94" s="135"/>
      <c r="AD94" s="148">
        <f t="shared" si="11"/>
        <v>0</v>
      </c>
      <c r="AE94" s="135"/>
      <c r="AF94" s="135"/>
      <c r="AG94" s="135"/>
      <c r="AH94" s="148">
        <f t="shared" si="12"/>
        <v>0</v>
      </c>
      <c r="AI94" s="135"/>
      <c r="AJ94" s="135"/>
      <c r="AK94" s="135"/>
      <c r="AL94" s="148">
        <f t="shared" si="13"/>
        <v>0</v>
      </c>
      <c r="AM94" s="135"/>
      <c r="AN94" s="135"/>
      <c r="AO94" s="135"/>
      <c r="AP94" s="148">
        <f t="shared" si="14"/>
        <v>0</v>
      </c>
      <c r="AQ94" s="135"/>
      <c r="AR94" s="135"/>
      <c r="AS94" s="135"/>
      <c r="AT94" s="148">
        <f t="shared" si="15"/>
        <v>0</v>
      </c>
      <c r="AU94" s="136"/>
      <c r="AV94" s="136"/>
      <c r="AW94" s="136"/>
      <c r="AX94" s="147">
        <f t="shared" si="16"/>
        <v>0</v>
      </c>
      <c r="AY94" s="136"/>
      <c r="AZ94" s="136"/>
      <c r="BA94" s="136"/>
      <c r="BB94" s="147">
        <f t="shared" si="17"/>
        <v>0</v>
      </c>
      <c r="BC94" s="136"/>
      <c r="BD94" s="136"/>
      <c r="BE94" s="136"/>
      <c r="BF94" s="147">
        <f t="shared" si="18"/>
        <v>0</v>
      </c>
      <c r="BG94" s="136"/>
      <c r="BH94" s="136"/>
      <c r="BI94" s="136"/>
      <c r="BJ94" s="147">
        <f t="shared" si="19"/>
        <v>0</v>
      </c>
      <c r="BK94" s="136"/>
      <c r="BL94" s="136"/>
      <c r="BM94" s="136"/>
      <c r="BN94" s="147">
        <f t="shared" si="20"/>
        <v>0</v>
      </c>
      <c r="BO94" s="106"/>
      <c r="BP94" s="106"/>
      <c r="BQ94" s="106"/>
      <c r="BR94" s="146">
        <f t="shared" si="21"/>
        <v>0</v>
      </c>
      <c r="BS94" s="106"/>
      <c r="BT94" s="106"/>
      <c r="BU94" s="106"/>
      <c r="BV94" s="146">
        <f t="shared" si="22"/>
        <v>0</v>
      </c>
      <c r="BW94" s="106"/>
      <c r="BX94" s="106"/>
      <c r="BY94" s="106"/>
      <c r="BZ94" s="146">
        <f t="shared" si="23"/>
        <v>0</v>
      </c>
      <c r="CA94" s="106"/>
      <c r="CB94" s="106"/>
      <c r="CC94" s="106"/>
      <c r="CD94" s="146">
        <f t="shared" si="24"/>
        <v>0</v>
      </c>
      <c r="CE94" s="106"/>
      <c r="CF94" s="106"/>
      <c r="CG94" s="106"/>
      <c r="CH94" s="146">
        <f t="shared" si="25"/>
        <v>0</v>
      </c>
      <c r="CI94" s="107">
        <v>9978294.9199999887</v>
      </c>
      <c r="CJ94" s="107">
        <v>43322.599999999991</v>
      </c>
      <c r="CK94" s="107"/>
      <c r="CL94" s="145">
        <f t="shared" si="26"/>
        <v>-9934972.3199999891</v>
      </c>
      <c r="CM94" s="107"/>
      <c r="CN94" s="107"/>
      <c r="CO94" s="107"/>
      <c r="CP94" s="145">
        <f t="shared" si="27"/>
        <v>0</v>
      </c>
      <c r="CQ94" s="107"/>
      <c r="CR94" s="107"/>
      <c r="CS94" s="107"/>
      <c r="CT94" s="145">
        <f t="shared" si="28"/>
        <v>0</v>
      </c>
      <c r="CU94" s="107"/>
      <c r="CV94" s="107"/>
      <c r="CW94" s="107"/>
      <c r="CX94" s="145">
        <f t="shared" si="29"/>
        <v>0</v>
      </c>
      <c r="CY94" s="107"/>
      <c r="CZ94" s="107"/>
      <c r="DA94" s="107"/>
      <c r="DB94" s="145">
        <f t="shared" si="30"/>
        <v>0</v>
      </c>
      <c r="DC94" s="137">
        <v>0</v>
      </c>
      <c r="DD94" s="138">
        <v>0</v>
      </c>
      <c r="DE94" s="138">
        <v>0</v>
      </c>
      <c r="DF94" s="139">
        <f t="shared" si="31"/>
        <v>0</v>
      </c>
    </row>
    <row r="95" spans="1:110" ht="15.6" x14ac:dyDescent="0.3">
      <c r="A95" s="30"/>
      <c r="B95" s="32">
        <v>15</v>
      </c>
      <c r="C95" s="33">
        <v>6131</v>
      </c>
      <c r="D95" s="34" t="s">
        <v>396</v>
      </c>
      <c r="E95" s="35" t="s">
        <v>397</v>
      </c>
      <c r="F95" s="71" t="s">
        <v>380</v>
      </c>
      <c r="G95" s="131"/>
      <c r="H95" s="132"/>
      <c r="I95" s="132"/>
      <c r="J95" s="133">
        <f t="shared" si="6"/>
        <v>0</v>
      </c>
      <c r="K95" s="131"/>
      <c r="L95" s="132"/>
      <c r="M95" s="132"/>
      <c r="N95" s="133">
        <f t="shared" si="7"/>
        <v>0</v>
      </c>
      <c r="O95" s="131"/>
      <c r="P95" s="132"/>
      <c r="Q95" s="132"/>
      <c r="R95" s="133">
        <f t="shared" si="8"/>
        <v>0</v>
      </c>
      <c r="S95" s="131"/>
      <c r="T95" s="132"/>
      <c r="U95" s="132"/>
      <c r="V95" s="133">
        <f t="shared" si="9"/>
        <v>0</v>
      </c>
      <c r="W95" s="131"/>
      <c r="X95" s="132"/>
      <c r="Y95" s="132"/>
      <c r="Z95" s="133">
        <f t="shared" si="10"/>
        <v>0</v>
      </c>
      <c r="AA95" s="134"/>
      <c r="AB95" s="135"/>
      <c r="AC95" s="135"/>
      <c r="AD95" s="148">
        <f t="shared" si="11"/>
        <v>0</v>
      </c>
      <c r="AE95" s="135"/>
      <c r="AF95" s="135"/>
      <c r="AG95" s="135"/>
      <c r="AH95" s="148">
        <f t="shared" si="12"/>
        <v>0</v>
      </c>
      <c r="AI95" s="135"/>
      <c r="AJ95" s="135"/>
      <c r="AK95" s="135"/>
      <c r="AL95" s="148">
        <f t="shared" si="13"/>
        <v>0</v>
      </c>
      <c r="AM95" s="135"/>
      <c r="AN95" s="135"/>
      <c r="AO95" s="135"/>
      <c r="AP95" s="148">
        <f t="shared" si="14"/>
        <v>0</v>
      </c>
      <c r="AQ95" s="135"/>
      <c r="AR95" s="135"/>
      <c r="AS95" s="135"/>
      <c r="AT95" s="148">
        <f t="shared" si="15"/>
        <v>0</v>
      </c>
      <c r="AU95" s="136"/>
      <c r="AV95" s="136"/>
      <c r="AW95" s="136"/>
      <c r="AX95" s="147">
        <f t="shared" si="16"/>
        <v>0</v>
      </c>
      <c r="AY95" s="136"/>
      <c r="AZ95" s="136"/>
      <c r="BA95" s="136"/>
      <c r="BB95" s="147">
        <f t="shared" si="17"/>
        <v>0</v>
      </c>
      <c r="BC95" s="136"/>
      <c r="BD95" s="136"/>
      <c r="BE95" s="136"/>
      <c r="BF95" s="147">
        <f t="shared" si="18"/>
        <v>0</v>
      </c>
      <c r="BG95" s="136"/>
      <c r="BH95" s="136"/>
      <c r="BI95" s="136"/>
      <c r="BJ95" s="147">
        <f t="shared" si="19"/>
        <v>0</v>
      </c>
      <c r="BK95" s="136"/>
      <c r="BL95" s="136"/>
      <c r="BM95" s="136"/>
      <c r="BN95" s="147">
        <f t="shared" si="20"/>
        <v>0</v>
      </c>
      <c r="BO95" s="106"/>
      <c r="BP95" s="106"/>
      <c r="BQ95" s="106"/>
      <c r="BR95" s="146">
        <f t="shared" si="21"/>
        <v>0</v>
      </c>
      <c r="BS95" s="106"/>
      <c r="BT95" s="106"/>
      <c r="BU95" s="106"/>
      <c r="BV95" s="146">
        <f t="shared" si="22"/>
        <v>0</v>
      </c>
      <c r="BW95" s="106"/>
      <c r="BX95" s="106"/>
      <c r="BY95" s="106"/>
      <c r="BZ95" s="146">
        <f t="shared" si="23"/>
        <v>0</v>
      </c>
      <c r="CA95" s="106"/>
      <c r="CB95" s="106"/>
      <c r="CC95" s="106"/>
      <c r="CD95" s="146">
        <f t="shared" si="24"/>
        <v>0</v>
      </c>
      <c r="CE95" s="106"/>
      <c r="CF95" s="106"/>
      <c r="CG95" s="106"/>
      <c r="CH95" s="146">
        <f t="shared" si="25"/>
        <v>0</v>
      </c>
      <c r="CI95" s="107">
        <v>9894017.9099999927</v>
      </c>
      <c r="CJ95" s="107">
        <v>96160.580000000016</v>
      </c>
      <c r="CK95" s="107"/>
      <c r="CL95" s="145">
        <f t="shared" si="26"/>
        <v>-9797857.3299999926</v>
      </c>
      <c r="CM95" s="107"/>
      <c r="CN95" s="107"/>
      <c r="CO95" s="107"/>
      <c r="CP95" s="145">
        <f t="shared" si="27"/>
        <v>0</v>
      </c>
      <c r="CQ95" s="107"/>
      <c r="CR95" s="107"/>
      <c r="CS95" s="107"/>
      <c r="CT95" s="145">
        <f t="shared" si="28"/>
        <v>0</v>
      </c>
      <c r="CU95" s="107"/>
      <c r="CV95" s="107"/>
      <c r="CW95" s="107"/>
      <c r="CX95" s="145">
        <f t="shared" si="29"/>
        <v>0</v>
      </c>
      <c r="CY95" s="107"/>
      <c r="CZ95" s="107"/>
      <c r="DA95" s="107"/>
      <c r="DB95" s="145">
        <f t="shared" si="30"/>
        <v>0</v>
      </c>
      <c r="DC95" s="137">
        <v>0</v>
      </c>
      <c r="DD95" s="138">
        <v>0</v>
      </c>
      <c r="DE95" s="138">
        <v>0</v>
      </c>
      <c r="DF95" s="139">
        <f t="shared" si="31"/>
        <v>0</v>
      </c>
    </row>
    <row r="96" spans="1:110" ht="15.6" x14ac:dyDescent="0.3">
      <c r="A96" s="30"/>
      <c r="B96" s="32">
        <v>30</v>
      </c>
      <c r="C96" s="33">
        <v>1637</v>
      </c>
      <c r="D96" s="34" t="s">
        <v>398</v>
      </c>
      <c r="E96" s="35" t="s">
        <v>399</v>
      </c>
      <c r="F96" s="71" t="s">
        <v>380</v>
      </c>
      <c r="G96" s="131"/>
      <c r="H96" s="132"/>
      <c r="I96" s="132"/>
      <c r="J96" s="133">
        <f t="shared" si="6"/>
        <v>0</v>
      </c>
      <c r="K96" s="131"/>
      <c r="L96" s="132"/>
      <c r="M96" s="132"/>
      <c r="N96" s="133">
        <f t="shared" si="7"/>
        <v>0</v>
      </c>
      <c r="O96" s="131"/>
      <c r="P96" s="132"/>
      <c r="Q96" s="132"/>
      <c r="R96" s="133">
        <f t="shared" si="8"/>
        <v>0</v>
      </c>
      <c r="S96" s="131"/>
      <c r="T96" s="132"/>
      <c r="U96" s="132"/>
      <c r="V96" s="133">
        <f t="shared" si="9"/>
        <v>0</v>
      </c>
      <c r="W96" s="131"/>
      <c r="X96" s="132"/>
      <c r="Y96" s="132"/>
      <c r="Z96" s="133">
        <f t="shared" si="10"/>
        <v>0</v>
      </c>
      <c r="AA96" s="134"/>
      <c r="AB96" s="135"/>
      <c r="AC96" s="135"/>
      <c r="AD96" s="148">
        <f t="shared" si="11"/>
        <v>0</v>
      </c>
      <c r="AE96" s="135"/>
      <c r="AF96" s="135"/>
      <c r="AG96" s="135"/>
      <c r="AH96" s="148">
        <f t="shared" si="12"/>
        <v>0</v>
      </c>
      <c r="AI96" s="135"/>
      <c r="AJ96" s="135"/>
      <c r="AK96" s="135"/>
      <c r="AL96" s="148">
        <f t="shared" si="13"/>
        <v>0</v>
      </c>
      <c r="AM96" s="135"/>
      <c r="AN96" s="135"/>
      <c r="AO96" s="135"/>
      <c r="AP96" s="148">
        <f t="shared" si="14"/>
        <v>0</v>
      </c>
      <c r="AQ96" s="135"/>
      <c r="AR96" s="135"/>
      <c r="AS96" s="135"/>
      <c r="AT96" s="148">
        <f t="shared" si="15"/>
        <v>0</v>
      </c>
      <c r="AU96" s="136"/>
      <c r="AV96" s="136"/>
      <c r="AW96" s="136"/>
      <c r="AX96" s="147">
        <f t="shared" si="16"/>
        <v>0</v>
      </c>
      <c r="AY96" s="136"/>
      <c r="AZ96" s="136"/>
      <c r="BA96" s="136"/>
      <c r="BB96" s="147">
        <f t="shared" si="17"/>
        <v>0</v>
      </c>
      <c r="BC96" s="136"/>
      <c r="BD96" s="136"/>
      <c r="BE96" s="136"/>
      <c r="BF96" s="147">
        <f t="shared" si="18"/>
        <v>0</v>
      </c>
      <c r="BG96" s="136"/>
      <c r="BH96" s="136"/>
      <c r="BI96" s="136"/>
      <c r="BJ96" s="147">
        <f t="shared" si="19"/>
        <v>0</v>
      </c>
      <c r="BK96" s="136"/>
      <c r="BL96" s="136"/>
      <c r="BM96" s="136"/>
      <c r="BN96" s="147">
        <f t="shared" si="20"/>
        <v>0</v>
      </c>
      <c r="BO96" s="106"/>
      <c r="BP96" s="106"/>
      <c r="BQ96" s="106"/>
      <c r="BR96" s="146">
        <f t="shared" si="21"/>
        <v>0</v>
      </c>
      <c r="BS96" s="106"/>
      <c r="BT96" s="106"/>
      <c r="BU96" s="106"/>
      <c r="BV96" s="146">
        <f t="shared" si="22"/>
        <v>0</v>
      </c>
      <c r="BW96" s="106"/>
      <c r="BX96" s="106"/>
      <c r="BY96" s="106"/>
      <c r="BZ96" s="146">
        <f t="shared" si="23"/>
        <v>0</v>
      </c>
      <c r="CA96" s="106"/>
      <c r="CB96" s="106"/>
      <c r="CC96" s="106"/>
      <c r="CD96" s="146">
        <f t="shared" si="24"/>
        <v>0</v>
      </c>
      <c r="CE96" s="106"/>
      <c r="CF96" s="106"/>
      <c r="CG96" s="106"/>
      <c r="CH96" s="146">
        <f t="shared" si="25"/>
        <v>0</v>
      </c>
      <c r="CI96" s="107">
        <v>12016858.529999999</v>
      </c>
      <c r="CJ96" s="107">
        <v>41363.959999999992</v>
      </c>
      <c r="CK96" s="107"/>
      <c r="CL96" s="145">
        <f t="shared" si="26"/>
        <v>-11975494.569999998</v>
      </c>
      <c r="CM96" s="107"/>
      <c r="CN96" s="107"/>
      <c r="CO96" s="107"/>
      <c r="CP96" s="145">
        <f t="shared" si="27"/>
        <v>0</v>
      </c>
      <c r="CQ96" s="107"/>
      <c r="CR96" s="107"/>
      <c r="CS96" s="107"/>
      <c r="CT96" s="145">
        <f t="shared" si="28"/>
        <v>0</v>
      </c>
      <c r="CU96" s="107"/>
      <c r="CV96" s="107"/>
      <c r="CW96" s="107"/>
      <c r="CX96" s="145">
        <f t="shared" si="29"/>
        <v>0</v>
      </c>
      <c r="CY96" s="107"/>
      <c r="CZ96" s="107"/>
      <c r="DA96" s="107"/>
      <c r="DB96" s="145">
        <f t="shared" si="30"/>
        <v>0</v>
      </c>
      <c r="DC96" s="137">
        <v>0</v>
      </c>
      <c r="DD96" s="138">
        <v>0</v>
      </c>
      <c r="DE96" s="138">
        <v>0</v>
      </c>
      <c r="DF96" s="139">
        <f t="shared" si="31"/>
        <v>0</v>
      </c>
    </row>
    <row r="97" spans="1:110" ht="15.6" x14ac:dyDescent="0.3">
      <c r="A97" s="30"/>
      <c r="B97" s="32">
        <v>29</v>
      </c>
      <c r="C97" s="33">
        <v>1638</v>
      </c>
      <c r="D97" s="34" t="s">
        <v>400</v>
      </c>
      <c r="E97" s="35" t="s">
        <v>401</v>
      </c>
      <c r="F97" s="71" t="s">
        <v>380</v>
      </c>
      <c r="G97" s="131"/>
      <c r="H97" s="132"/>
      <c r="I97" s="132"/>
      <c r="J97" s="133">
        <f t="shared" si="6"/>
        <v>0</v>
      </c>
      <c r="K97" s="131"/>
      <c r="L97" s="132"/>
      <c r="M97" s="132"/>
      <c r="N97" s="133">
        <f t="shared" si="7"/>
        <v>0</v>
      </c>
      <c r="O97" s="131"/>
      <c r="P97" s="132"/>
      <c r="Q97" s="132"/>
      <c r="R97" s="133">
        <f t="shared" si="8"/>
        <v>0</v>
      </c>
      <c r="S97" s="131"/>
      <c r="T97" s="132"/>
      <c r="U97" s="132"/>
      <c r="V97" s="133">
        <f t="shared" si="9"/>
        <v>0</v>
      </c>
      <c r="W97" s="131"/>
      <c r="X97" s="132"/>
      <c r="Y97" s="132"/>
      <c r="Z97" s="133">
        <f t="shared" si="10"/>
        <v>0</v>
      </c>
      <c r="AA97" s="134"/>
      <c r="AB97" s="135"/>
      <c r="AC97" s="135"/>
      <c r="AD97" s="148">
        <f t="shared" si="11"/>
        <v>0</v>
      </c>
      <c r="AE97" s="135"/>
      <c r="AF97" s="135"/>
      <c r="AG97" s="135"/>
      <c r="AH97" s="148">
        <f t="shared" si="12"/>
        <v>0</v>
      </c>
      <c r="AI97" s="135"/>
      <c r="AJ97" s="135"/>
      <c r="AK97" s="135"/>
      <c r="AL97" s="148">
        <f t="shared" si="13"/>
        <v>0</v>
      </c>
      <c r="AM97" s="135"/>
      <c r="AN97" s="135"/>
      <c r="AO97" s="135"/>
      <c r="AP97" s="148">
        <f t="shared" si="14"/>
        <v>0</v>
      </c>
      <c r="AQ97" s="135"/>
      <c r="AR97" s="135"/>
      <c r="AS97" s="135"/>
      <c r="AT97" s="148">
        <f t="shared" si="15"/>
        <v>0</v>
      </c>
      <c r="AU97" s="136"/>
      <c r="AV97" s="136"/>
      <c r="AW97" s="136"/>
      <c r="AX97" s="147">
        <f t="shared" si="16"/>
        <v>0</v>
      </c>
      <c r="AY97" s="136"/>
      <c r="AZ97" s="136"/>
      <c r="BA97" s="136"/>
      <c r="BB97" s="147">
        <f t="shared" si="17"/>
        <v>0</v>
      </c>
      <c r="BC97" s="136"/>
      <c r="BD97" s="136"/>
      <c r="BE97" s="136"/>
      <c r="BF97" s="147">
        <f t="shared" si="18"/>
        <v>0</v>
      </c>
      <c r="BG97" s="136"/>
      <c r="BH97" s="136"/>
      <c r="BI97" s="136"/>
      <c r="BJ97" s="147">
        <f t="shared" si="19"/>
        <v>0</v>
      </c>
      <c r="BK97" s="136"/>
      <c r="BL97" s="136"/>
      <c r="BM97" s="136"/>
      <c r="BN97" s="147">
        <f t="shared" si="20"/>
        <v>0</v>
      </c>
      <c r="BO97" s="106"/>
      <c r="BP97" s="106"/>
      <c r="BQ97" s="106"/>
      <c r="BR97" s="146">
        <f t="shared" si="21"/>
        <v>0</v>
      </c>
      <c r="BS97" s="106"/>
      <c r="BT97" s="106"/>
      <c r="BU97" s="106"/>
      <c r="BV97" s="146">
        <f t="shared" si="22"/>
        <v>0</v>
      </c>
      <c r="BW97" s="106"/>
      <c r="BX97" s="106"/>
      <c r="BY97" s="106"/>
      <c r="BZ97" s="146">
        <f t="shared" si="23"/>
        <v>0</v>
      </c>
      <c r="CA97" s="106"/>
      <c r="CB97" s="106"/>
      <c r="CC97" s="106"/>
      <c r="CD97" s="146">
        <f t="shared" si="24"/>
        <v>0</v>
      </c>
      <c r="CE97" s="106"/>
      <c r="CF97" s="106"/>
      <c r="CG97" s="106"/>
      <c r="CH97" s="146">
        <f t="shared" si="25"/>
        <v>0</v>
      </c>
      <c r="CI97" s="107">
        <v>25488941.350000076</v>
      </c>
      <c r="CJ97" s="107">
        <v>100342.98999999992</v>
      </c>
      <c r="CK97" s="107"/>
      <c r="CL97" s="145">
        <f t="shared" si="26"/>
        <v>-25388598.360000078</v>
      </c>
      <c r="CM97" s="107"/>
      <c r="CN97" s="107"/>
      <c r="CO97" s="107"/>
      <c r="CP97" s="145">
        <f t="shared" si="27"/>
        <v>0</v>
      </c>
      <c r="CQ97" s="107"/>
      <c r="CR97" s="107"/>
      <c r="CS97" s="107"/>
      <c r="CT97" s="145">
        <f t="shared" si="28"/>
        <v>0</v>
      </c>
      <c r="CU97" s="107"/>
      <c r="CV97" s="107"/>
      <c r="CW97" s="107"/>
      <c r="CX97" s="145">
        <f t="shared" si="29"/>
        <v>0</v>
      </c>
      <c r="CY97" s="107"/>
      <c r="CZ97" s="107"/>
      <c r="DA97" s="107"/>
      <c r="DB97" s="145">
        <f t="shared" si="30"/>
        <v>0</v>
      </c>
      <c r="DC97" s="137">
        <v>0</v>
      </c>
      <c r="DD97" s="138">
        <v>0</v>
      </c>
      <c r="DE97" s="138">
        <v>0</v>
      </c>
      <c r="DF97" s="139">
        <f t="shared" si="31"/>
        <v>0</v>
      </c>
    </row>
    <row r="98" spans="1:110" ht="15.6" x14ac:dyDescent="0.3">
      <c r="A98" s="30"/>
      <c r="B98" s="34" t="s">
        <v>402</v>
      </c>
      <c r="C98" s="33">
        <v>1640</v>
      </c>
      <c r="D98" s="34" t="s">
        <v>403</v>
      </c>
      <c r="E98" s="35" t="s">
        <v>404</v>
      </c>
      <c r="F98" s="71" t="s">
        <v>380</v>
      </c>
      <c r="G98" s="131"/>
      <c r="H98" s="132"/>
      <c r="I98" s="132"/>
      <c r="J98" s="133">
        <f t="shared" si="6"/>
        <v>0</v>
      </c>
      <c r="K98" s="131"/>
      <c r="L98" s="132"/>
      <c r="M98" s="132"/>
      <c r="N98" s="133">
        <f t="shared" si="7"/>
        <v>0</v>
      </c>
      <c r="O98" s="131"/>
      <c r="P98" s="132"/>
      <c r="Q98" s="132"/>
      <c r="R98" s="133">
        <f t="shared" si="8"/>
        <v>0</v>
      </c>
      <c r="S98" s="131"/>
      <c r="T98" s="132"/>
      <c r="U98" s="132"/>
      <c r="V98" s="133">
        <f t="shared" si="9"/>
        <v>0</v>
      </c>
      <c r="W98" s="131"/>
      <c r="X98" s="132"/>
      <c r="Y98" s="132"/>
      <c r="Z98" s="133">
        <f t="shared" si="10"/>
        <v>0</v>
      </c>
      <c r="AA98" s="134"/>
      <c r="AB98" s="135"/>
      <c r="AC98" s="135"/>
      <c r="AD98" s="148">
        <f t="shared" si="11"/>
        <v>0</v>
      </c>
      <c r="AE98" s="135"/>
      <c r="AF98" s="135"/>
      <c r="AG98" s="135"/>
      <c r="AH98" s="148">
        <f t="shared" si="12"/>
        <v>0</v>
      </c>
      <c r="AI98" s="135"/>
      <c r="AJ98" s="135"/>
      <c r="AK98" s="135"/>
      <c r="AL98" s="148">
        <f t="shared" si="13"/>
        <v>0</v>
      </c>
      <c r="AM98" s="135"/>
      <c r="AN98" s="135"/>
      <c r="AO98" s="135"/>
      <c r="AP98" s="148">
        <f t="shared" si="14"/>
        <v>0</v>
      </c>
      <c r="AQ98" s="135"/>
      <c r="AR98" s="135"/>
      <c r="AS98" s="135"/>
      <c r="AT98" s="148">
        <f t="shared" si="15"/>
        <v>0</v>
      </c>
      <c r="AU98" s="136"/>
      <c r="AV98" s="136"/>
      <c r="AW98" s="136"/>
      <c r="AX98" s="147">
        <f t="shared" si="16"/>
        <v>0</v>
      </c>
      <c r="AY98" s="136"/>
      <c r="AZ98" s="136"/>
      <c r="BA98" s="136"/>
      <c r="BB98" s="147">
        <f t="shared" si="17"/>
        <v>0</v>
      </c>
      <c r="BC98" s="136"/>
      <c r="BD98" s="136"/>
      <c r="BE98" s="136"/>
      <c r="BF98" s="147">
        <f t="shared" si="18"/>
        <v>0</v>
      </c>
      <c r="BG98" s="136"/>
      <c r="BH98" s="136"/>
      <c r="BI98" s="136"/>
      <c r="BJ98" s="147">
        <f t="shared" si="19"/>
        <v>0</v>
      </c>
      <c r="BK98" s="136"/>
      <c r="BL98" s="136"/>
      <c r="BM98" s="136"/>
      <c r="BN98" s="147">
        <f t="shared" si="20"/>
        <v>0</v>
      </c>
      <c r="BO98" s="106"/>
      <c r="BP98" s="106"/>
      <c r="BQ98" s="106"/>
      <c r="BR98" s="146">
        <f t="shared" si="21"/>
        <v>0</v>
      </c>
      <c r="BS98" s="106"/>
      <c r="BT98" s="106"/>
      <c r="BU98" s="106"/>
      <c r="BV98" s="146">
        <f t="shared" si="22"/>
        <v>0</v>
      </c>
      <c r="BW98" s="106"/>
      <c r="BX98" s="106"/>
      <c r="BY98" s="106"/>
      <c r="BZ98" s="146">
        <f t="shared" si="23"/>
        <v>0</v>
      </c>
      <c r="CA98" s="106"/>
      <c r="CB98" s="106"/>
      <c r="CC98" s="106"/>
      <c r="CD98" s="146">
        <f t="shared" si="24"/>
        <v>0</v>
      </c>
      <c r="CE98" s="106"/>
      <c r="CF98" s="106"/>
      <c r="CG98" s="106"/>
      <c r="CH98" s="146">
        <f t="shared" si="25"/>
        <v>0</v>
      </c>
      <c r="CI98" s="107">
        <v>8650888.860000005</v>
      </c>
      <c r="CJ98" s="107">
        <v>40508.200000000004</v>
      </c>
      <c r="CK98" s="107"/>
      <c r="CL98" s="145">
        <f t="shared" si="26"/>
        <v>-8610380.6600000057</v>
      </c>
      <c r="CM98" s="107"/>
      <c r="CN98" s="107"/>
      <c r="CO98" s="107"/>
      <c r="CP98" s="145">
        <f t="shared" si="27"/>
        <v>0</v>
      </c>
      <c r="CQ98" s="107"/>
      <c r="CR98" s="107"/>
      <c r="CS98" s="107"/>
      <c r="CT98" s="145">
        <f t="shared" si="28"/>
        <v>0</v>
      </c>
      <c r="CU98" s="107"/>
      <c r="CV98" s="107"/>
      <c r="CW98" s="107"/>
      <c r="CX98" s="145">
        <f t="shared" si="29"/>
        <v>0</v>
      </c>
      <c r="CY98" s="107"/>
      <c r="CZ98" s="107"/>
      <c r="DA98" s="107"/>
      <c r="DB98" s="145">
        <f t="shared" si="30"/>
        <v>0</v>
      </c>
      <c r="DC98" s="137">
        <v>0</v>
      </c>
      <c r="DD98" s="138">
        <v>0</v>
      </c>
      <c r="DE98" s="138">
        <v>0</v>
      </c>
      <c r="DF98" s="139">
        <f t="shared" si="31"/>
        <v>0</v>
      </c>
    </row>
    <row r="99" spans="1:110" ht="15.6" x14ac:dyDescent="0.3">
      <c r="A99" s="30"/>
      <c r="B99" s="32">
        <v>14</v>
      </c>
      <c r="C99" s="33">
        <v>1664</v>
      </c>
      <c r="D99" s="34" t="s">
        <v>405</v>
      </c>
      <c r="E99" s="35" t="s">
        <v>406</v>
      </c>
      <c r="F99" s="71" t="s">
        <v>380</v>
      </c>
      <c r="G99" s="131"/>
      <c r="H99" s="132"/>
      <c r="I99" s="132"/>
      <c r="J99" s="133">
        <f t="shared" si="6"/>
        <v>0</v>
      </c>
      <c r="K99" s="131"/>
      <c r="L99" s="132"/>
      <c r="M99" s="132"/>
      <c r="N99" s="133">
        <f t="shared" si="7"/>
        <v>0</v>
      </c>
      <c r="O99" s="131"/>
      <c r="P99" s="132"/>
      <c r="Q99" s="132"/>
      <c r="R99" s="133">
        <f t="shared" si="8"/>
        <v>0</v>
      </c>
      <c r="S99" s="131"/>
      <c r="T99" s="132"/>
      <c r="U99" s="132"/>
      <c r="V99" s="133">
        <f t="shared" si="9"/>
        <v>0</v>
      </c>
      <c r="W99" s="131"/>
      <c r="X99" s="132"/>
      <c r="Y99" s="132"/>
      <c r="Z99" s="133">
        <f t="shared" si="10"/>
        <v>0</v>
      </c>
      <c r="AA99" s="134"/>
      <c r="AB99" s="135"/>
      <c r="AC99" s="135"/>
      <c r="AD99" s="148">
        <f t="shared" si="11"/>
        <v>0</v>
      </c>
      <c r="AE99" s="135"/>
      <c r="AF99" s="135"/>
      <c r="AG99" s="135"/>
      <c r="AH99" s="148">
        <f t="shared" si="12"/>
        <v>0</v>
      </c>
      <c r="AI99" s="135"/>
      <c r="AJ99" s="135"/>
      <c r="AK99" s="135"/>
      <c r="AL99" s="148">
        <f t="shared" si="13"/>
        <v>0</v>
      </c>
      <c r="AM99" s="135"/>
      <c r="AN99" s="135"/>
      <c r="AO99" s="135"/>
      <c r="AP99" s="148">
        <f t="shared" si="14"/>
        <v>0</v>
      </c>
      <c r="AQ99" s="135"/>
      <c r="AR99" s="135"/>
      <c r="AS99" s="135"/>
      <c r="AT99" s="148">
        <f t="shared" si="15"/>
        <v>0</v>
      </c>
      <c r="AU99" s="136"/>
      <c r="AV99" s="136"/>
      <c r="AW99" s="136"/>
      <c r="AX99" s="147">
        <f t="shared" si="16"/>
        <v>0</v>
      </c>
      <c r="AY99" s="136"/>
      <c r="AZ99" s="136"/>
      <c r="BA99" s="136"/>
      <c r="BB99" s="147">
        <f t="shared" si="17"/>
        <v>0</v>
      </c>
      <c r="BC99" s="136"/>
      <c r="BD99" s="136"/>
      <c r="BE99" s="136"/>
      <c r="BF99" s="147">
        <f t="shared" si="18"/>
        <v>0</v>
      </c>
      <c r="BG99" s="136"/>
      <c r="BH99" s="136"/>
      <c r="BI99" s="136"/>
      <c r="BJ99" s="147">
        <f t="shared" si="19"/>
        <v>0</v>
      </c>
      <c r="BK99" s="136"/>
      <c r="BL99" s="136"/>
      <c r="BM99" s="136"/>
      <c r="BN99" s="147">
        <f t="shared" si="20"/>
        <v>0</v>
      </c>
      <c r="BO99" s="106"/>
      <c r="BP99" s="106"/>
      <c r="BQ99" s="106"/>
      <c r="BR99" s="146">
        <f t="shared" si="21"/>
        <v>0</v>
      </c>
      <c r="BS99" s="106"/>
      <c r="BT99" s="106"/>
      <c r="BU99" s="106"/>
      <c r="BV99" s="146">
        <f t="shared" si="22"/>
        <v>0</v>
      </c>
      <c r="BW99" s="106"/>
      <c r="BX99" s="106"/>
      <c r="BY99" s="106"/>
      <c r="BZ99" s="146">
        <f t="shared" si="23"/>
        <v>0</v>
      </c>
      <c r="CA99" s="106"/>
      <c r="CB99" s="106"/>
      <c r="CC99" s="106"/>
      <c r="CD99" s="146">
        <f t="shared" si="24"/>
        <v>0</v>
      </c>
      <c r="CE99" s="106"/>
      <c r="CF99" s="106"/>
      <c r="CG99" s="106"/>
      <c r="CH99" s="146">
        <f t="shared" si="25"/>
        <v>0</v>
      </c>
      <c r="CI99" s="107">
        <v>12127669.690000014</v>
      </c>
      <c r="CJ99" s="107">
        <v>49526.660000000018</v>
      </c>
      <c r="CK99" s="107"/>
      <c r="CL99" s="145">
        <f t="shared" si="26"/>
        <v>-12078143.030000014</v>
      </c>
      <c r="CM99" s="107"/>
      <c r="CN99" s="107"/>
      <c r="CO99" s="107"/>
      <c r="CP99" s="145">
        <f t="shared" si="27"/>
        <v>0</v>
      </c>
      <c r="CQ99" s="107"/>
      <c r="CR99" s="107"/>
      <c r="CS99" s="107"/>
      <c r="CT99" s="145">
        <f t="shared" si="28"/>
        <v>0</v>
      </c>
      <c r="CU99" s="107"/>
      <c r="CV99" s="107"/>
      <c r="CW99" s="107"/>
      <c r="CX99" s="145">
        <f t="shared" si="29"/>
        <v>0</v>
      </c>
      <c r="CY99" s="107"/>
      <c r="CZ99" s="107"/>
      <c r="DA99" s="107"/>
      <c r="DB99" s="145">
        <f t="shared" si="30"/>
        <v>0</v>
      </c>
      <c r="DC99" s="137">
        <v>0</v>
      </c>
      <c r="DD99" s="138">
        <v>0</v>
      </c>
      <c r="DE99" s="138">
        <v>0</v>
      </c>
      <c r="DF99" s="139">
        <f t="shared" si="31"/>
        <v>0</v>
      </c>
    </row>
    <row r="100" spans="1:110" ht="15.6" x14ac:dyDescent="0.3">
      <c r="A100" s="30"/>
      <c r="B100" s="32">
        <v>22</v>
      </c>
      <c r="C100" s="33">
        <v>1668</v>
      </c>
      <c r="D100" s="34" t="s">
        <v>407</v>
      </c>
      <c r="E100" s="35" t="s">
        <v>408</v>
      </c>
      <c r="F100" s="71" t="s">
        <v>380</v>
      </c>
      <c r="G100" s="131"/>
      <c r="H100" s="132"/>
      <c r="I100" s="132"/>
      <c r="J100" s="133">
        <f t="shared" si="6"/>
        <v>0</v>
      </c>
      <c r="K100" s="131"/>
      <c r="L100" s="132"/>
      <c r="M100" s="132"/>
      <c r="N100" s="133">
        <f t="shared" si="7"/>
        <v>0</v>
      </c>
      <c r="O100" s="131"/>
      <c r="P100" s="132"/>
      <c r="Q100" s="132"/>
      <c r="R100" s="133">
        <f t="shared" si="8"/>
        <v>0</v>
      </c>
      <c r="S100" s="131"/>
      <c r="T100" s="132"/>
      <c r="U100" s="132"/>
      <c r="V100" s="133">
        <f t="shared" si="9"/>
        <v>0</v>
      </c>
      <c r="W100" s="131"/>
      <c r="X100" s="132"/>
      <c r="Y100" s="132"/>
      <c r="Z100" s="133">
        <f t="shared" si="10"/>
        <v>0</v>
      </c>
      <c r="AA100" s="134"/>
      <c r="AB100" s="135"/>
      <c r="AC100" s="135"/>
      <c r="AD100" s="148">
        <f t="shared" si="11"/>
        <v>0</v>
      </c>
      <c r="AE100" s="135"/>
      <c r="AF100" s="135"/>
      <c r="AG100" s="135"/>
      <c r="AH100" s="148">
        <f t="shared" si="12"/>
        <v>0</v>
      </c>
      <c r="AI100" s="135"/>
      <c r="AJ100" s="135"/>
      <c r="AK100" s="135"/>
      <c r="AL100" s="148">
        <f t="shared" si="13"/>
        <v>0</v>
      </c>
      <c r="AM100" s="135"/>
      <c r="AN100" s="135"/>
      <c r="AO100" s="135"/>
      <c r="AP100" s="148">
        <f t="shared" si="14"/>
        <v>0</v>
      </c>
      <c r="AQ100" s="135"/>
      <c r="AR100" s="135"/>
      <c r="AS100" s="135"/>
      <c r="AT100" s="148">
        <f t="shared" si="15"/>
        <v>0</v>
      </c>
      <c r="AU100" s="136"/>
      <c r="AV100" s="136"/>
      <c r="AW100" s="136"/>
      <c r="AX100" s="147">
        <f t="shared" si="16"/>
        <v>0</v>
      </c>
      <c r="AY100" s="136"/>
      <c r="AZ100" s="136"/>
      <c r="BA100" s="136"/>
      <c r="BB100" s="147">
        <f t="shared" si="17"/>
        <v>0</v>
      </c>
      <c r="BC100" s="136"/>
      <c r="BD100" s="136"/>
      <c r="BE100" s="136"/>
      <c r="BF100" s="147">
        <f t="shared" si="18"/>
        <v>0</v>
      </c>
      <c r="BG100" s="136"/>
      <c r="BH100" s="136"/>
      <c r="BI100" s="136"/>
      <c r="BJ100" s="147">
        <f t="shared" si="19"/>
        <v>0</v>
      </c>
      <c r="BK100" s="136"/>
      <c r="BL100" s="136"/>
      <c r="BM100" s="136"/>
      <c r="BN100" s="147">
        <f t="shared" si="20"/>
        <v>0</v>
      </c>
      <c r="BO100" s="106"/>
      <c r="BP100" s="106"/>
      <c r="BQ100" s="106"/>
      <c r="BR100" s="146">
        <f t="shared" si="21"/>
        <v>0</v>
      </c>
      <c r="BS100" s="106"/>
      <c r="BT100" s="106"/>
      <c r="BU100" s="106"/>
      <c r="BV100" s="146">
        <f t="shared" si="22"/>
        <v>0</v>
      </c>
      <c r="BW100" s="106"/>
      <c r="BX100" s="106"/>
      <c r="BY100" s="106"/>
      <c r="BZ100" s="146">
        <f t="shared" si="23"/>
        <v>0</v>
      </c>
      <c r="CA100" s="106"/>
      <c r="CB100" s="106"/>
      <c r="CC100" s="106"/>
      <c r="CD100" s="146">
        <f t="shared" si="24"/>
        <v>0</v>
      </c>
      <c r="CE100" s="106"/>
      <c r="CF100" s="106"/>
      <c r="CG100" s="106"/>
      <c r="CH100" s="146">
        <f t="shared" si="25"/>
        <v>0</v>
      </c>
      <c r="CI100" s="107">
        <v>19411742.41000003</v>
      </c>
      <c r="CJ100" s="107">
        <v>107612.37999999996</v>
      </c>
      <c r="CK100" s="107"/>
      <c r="CL100" s="145">
        <f t="shared" si="26"/>
        <v>-19304130.030000031</v>
      </c>
      <c r="CM100" s="107"/>
      <c r="CN100" s="107"/>
      <c r="CO100" s="107"/>
      <c r="CP100" s="145">
        <f t="shared" si="27"/>
        <v>0</v>
      </c>
      <c r="CQ100" s="107"/>
      <c r="CR100" s="107"/>
      <c r="CS100" s="107"/>
      <c r="CT100" s="145">
        <f t="shared" si="28"/>
        <v>0</v>
      </c>
      <c r="CU100" s="107"/>
      <c r="CV100" s="107"/>
      <c r="CW100" s="107"/>
      <c r="CX100" s="145">
        <f t="shared" si="29"/>
        <v>0</v>
      </c>
      <c r="CY100" s="107"/>
      <c r="CZ100" s="107"/>
      <c r="DA100" s="107"/>
      <c r="DB100" s="145">
        <f t="shared" si="30"/>
        <v>0</v>
      </c>
      <c r="DC100" s="137">
        <v>0</v>
      </c>
      <c r="DD100" s="138">
        <v>0</v>
      </c>
      <c r="DE100" s="138">
        <v>0</v>
      </c>
      <c r="DF100" s="139">
        <f t="shared" si="31"/>
        <v>0</v>
      </c>
    </row>
    <row r="101" spans="1:110" ht="15.6" x14ac:dyDescent="0.3">
      <c r="A101" s="30"/>
      <c r="B101" s="32">
        <v>32</v>
      </c>
      <c r="C101" s="33">
        <v>1675</v>
      </c>
      <c r="D101" s="34" t="s">
        <v>409</v>
      </c>
      <c r="E101" s="35" t="s">
        <v>410</v>
      </c>
      <c r="F101" s="71" t="s">
        <v>380</v>
      </c>
      <c r="G101" s="131"/>
      <c r="H101" s="132"/>
      <c r="I101" s="132"/>
      <c r="J101" s="133">
        <f t="shared" si="6"/>
        <v>0</v>
      </c>
      <c r="K101" s="131"/>
      <c r="L101" s="132"/>
      <c r="M101" s="132"/>
      <c r="N101" s="133">
        <f t="shared" si="7"/>
        <v>0</v>
      </c>
      <c r="O101" s="131"/>
      <c r="P101" s="132"/>
      <c r="Q101" s="132"/>
      <c r="R101" s="133">
        <f t="shared" si="8"/>
        <v>0</v>
      </c>
      <c r="S101" s="131"/>
      <c r="T101" s="132"/>
      <c r="U101" s="132"/>
      <c r="V101" s="133">
        <f t="shared" si="9"/>
        <v>0</v>
      </c>
      <c r="W101" s="131"/>
      <c r="X101" s="132"/>
      <c r="Y101" s="132"/>
      <c r="Z101" s="133">
        <f t="shared" si="10"/>
        <v>0</v>
      </c>
      <c r="AA101" s="134"/>
      <c r="AB101" s="135"/>
      <c r="AC101" s="135"/>
      <c r="AD101" s="148">
        <f t="shared" si="11"/>
        <v>0</v>
      </c>
      <c r="AE101" s="135"/>
      <c r="AF101" s="135"/>
      <c r="AG101" s="135"/>
      <c r="AH101" s="148">
        <f t="shared" si="12"/>
        <v>0</v>
      </c>
      <c r="AI101" s="135"/>
      <c r="AJ101" s="135"/>
      <c r="AK101" s="135"/>
      <c r="AL101" s="148">
        <f t="shared" si="13"/>
        <v>0</v>
      </c>
      <c r="AM101" s="135"/>
      <c r="AN101" s="135"/>
      <c r="AO101" s="135"/>
      <c r="AP101" s="148">
        <f t="shared" si="14"/>
        <v>0</v>
      </c>
      <c r="AQ101" s="135"/>
      <c r="AR101" s="135"/>
      <c r="AS101" s="135"/>
      <c r="AT101" s="148">
        <f t="shared" si="15"/>
        <v>0</v>
      </c>
      <c r="AU101" s="136"/>
      <c r="AV101" s="136"/>
      <c r="AW101" s="136"/>
      <c r="AX101" s="147">
        <f t="shared" si="16"/>
        <v>0</v>
      </c>
      <c r="AY101" s="136"/>
      <c r="AZ101" s="136"/>
      <c r="BA101" s="136"/>
      <c r="BB101" s="147">
        <f t="shared" si="17"/>
        <v>0</v>
      </c>
      <c r="BC101" s="136"/>
      <c r="BD101" s="136"/>
      <c r="BE101" s="136"/>
      <c r="BF101" s="147">
        <f t="shared" si="18"/>
        <v>0</v>
      </c>
      <c r="BG101" s="136"/>
      <c r="BH101" s="136"/>
      <c r="BI101" s="136"/>
      <c r="BJ101" s="147">
        <f t="shared" si="19"/>
        <v>0</v>
      </c>
      <c r="BK101" s="136"/>
      <c r="BL101" s="136"/>
      <c r="BM101" s="136"/>
      <c r="BN101" s="147">
        <f t="shared" si="20"/>
        <v>0</v>
      </c>
      <c r="BO101" s="106"/>
      <c r="BP101" s="106"/>
      <c r="BQ101" s="106"/>
      <c r="BR101" s="146">
        <f t="shared" si="21"/>
        <v>0</v>
      </c>
      <c r="BS101" s="106"/>
      <c r="BT101" s="106"/>
      <c r="BU101" s="106"/>
      <c r="BV101" s="146">
        <f t="shared" si="22"/>
        <v>0</v>
      </c>
      <c r="BW101" s="106"/>
      <c r="BX101" s="106"/>
      <c r="BY101" s="106"/>
      <c r="BZ101" s="146">
        <f t="shared" si="23"/>
        <v>0</v>
      </c>
      <c r="CA101" s="106"/>
      <c r="CB101" s="106"/>
      <c r="CC101" s="106"/>
      <c r="CD101" s="146">
        <f t="shared" si="24"/>
        <v>0</v>
      </c>
      <c r="CE101" s="106"/>
      <c r="CF101" s="106"/>
      <c r="CG101" s="106"/>
      <c r="CH101" s="146">
        <f t="shared" si="25"/>
        <v>0</v>
      </c>
      <c r="CI101" s="107">
        <v>16938165.420000017</v>
      </c>
      <c r="CJ101" s="107">
        <v>50303.779999999984</v>
      </c>
      <c r="CK101" s="107"/>
      <c r="CL101" s="145">
        <f t="shared" si="26"/>
        <v>-16887861.640000015</v>
      </c>
      <c r="CM101" s="107"/>
      <c r="CN101" s="107"/>
      <c r="CO101" s="107"/>
      <c r="CP101" s="145">
        <f t="shared" si="27"/>
        <v>0</v>
      </c>
      <c r="CQ101" s="107"/>
      <c r="CR101" s="107"/>
      <c r="CS101" s="107"/>
      <c r="CT101" s="145">
        <f t="shared" si="28"/>
        <v>0</v>
      </c>
      <c r="CU101" s="107"/>
      <c r="CV101" s="107"/>
      <c r="CW101" s="107"/>
      <c r="CX101" s="145">
        <f t="shared" si="29"/>
        <v>0</v>
      </c>
      <c r="CY101" s="107"/>
      <c r="CZ101" s="107"/>
      <c r="DA101" s="107"/>
      <c r="DB101" s="145">
        <f t="shared" si="30"/>
        <v>0</v>
      </c>
      <c r="DC101" s="137">
        <v>0</v>
      </c>
      <c r="DD101" s="138">
        <v>0</v>
      </c>
      <c r="DE101" s="138">
        <v>0</v>
      </c>
      <c r="DF101" s="139">
        <f t="shared" si="31"/>
        <v>0</v>
      </c>
    </row>
    <row r="102" spans="1:110" ht="15.6" x14ac:dyDescent="0.3">
      <c r="A102" s="30"/>
      <c r="B102" s="32">
        <v>37</v>
      </c>
      <c r="C102" s="33">
        <v>6984</v>
      </c>
      <c r="D102" s="34" t="s">
        <v>411</v>
      </c>
      <c r="E102" s="35" t="s">
        <v>412</v>
      </c>
      <c r="F102" s="71" t="s">
        <v>380</v>
      </c>
      <c r="G102" s="131"/>
      <c r="H102" s="132"/>
      <c r="I102" s="132"/>
      <c r="J102" s="133">
        <f t="shared" si="6"/>
        <v>0</v>
      </c>
      <c r="K102" s="131"/>
      <c r="L102" s="132"/>
      <c r="M102" s="132"/>
      <c r="N102" s="133">
        <f t="shared" si="7"/>
        <v>0</v>
      </c>
      <c r="O102" s="131"/>
      <c r="P102" s="132"/>
      <c r="Q102" s="132"/>
      <c r="R102" s="133">
        <f t="shared" si="8"/>
        <v>0</v>
      </c>
      <c r="S102" s="131"/>
      <c r="T102" s="132"/>
      <c r="U102" s="132"/>
      <c r="V102" s="133">
        <f t="shared" si="9"/>
        <v>0</v>
      </c>
      <c r="W102" s="131"/>
      <c r="X102" s="132"/>
      <c r="Y102" s="132"/>
      <c r="Z102" s="133">
        <f t="shared" si="10"/>
        <v>0</v>
      </c>
      <c r="AA102" s="134"/>
      <c r="AB102" s="135"/>
      <c r="AC102" s="135"/>
      <c r="AD102" s="148">
        <f t="shared" si="11"/>
        <v>0</v>
      </c>
      <c r="AE102" s="135"/>
      <c r="AF102" s="135"/>
      <c r="AG102" s="135"/>
      <c r="AH102" s="148">
        <f t="shared" si="12"/>
        <v>0</v>
      </c>
      <c r="AI102" s="135"/>
      <c r="AJ102" s="135"/>
      <c r="AK102" s="135"/>
      <c r="AL102" s="148">
        <f t="shared" si="13"/>
        <v>0</v>
      </c>
      <c r="AM102" s="135"/>
      <c r="AN102" s="135"/>
      <c r="AO102" s="135"/>
      <c r="AP102" s="148">
        <f t="shared" si="14"/>
        <v>0</v>
      </c>
      <c r="AQ102" s="135"/>
      <c r="AR102" s="135"/>
      <c r="AS102" s="135"/>
      <c r="AT102" s="148">
        <f t="shared" si="15"/>
        <v>0</v>
      </c>
      <c r="AU102" s="136"/>
      <c r="AV102" s="136"/>
      <c r="AW102" s="136"/>
      <c r="AX102" s="147">
        <f t="shared" si="16"/>
        <v>0</v>
      </c>
      <c r="AY102" s="136"/>
      <c r="AZ102" s="136"/>
      <c r="BA102" s="136"/>
      <c r="BB102" s="147">
        <f t="shared" si="17"/>
        <v>0</v>
      </c>
      <c r="BC102" s="136"/>
      <c r="BD102" s="136"/>
      <c r="BE102" s="136"/>
      <c r="BF102" s="147">
        <f t="shared" si="18"/>
        <v>0</v>
      </c>
      <c r="BG102" s="136"/>
      <c r="BH102" s="136"/>
      <c r="BI102" s="136"/>
      <c r="BJ102" s="147">
        <f t="shared" si="19"/>
        <v>0</v>
      </c>
      <c r="BK102" s="136"/>
      <c r="BL102" s="136"/>
      <c r="BM102" s="136"/>
      <c r="BN102" s="147">
        <f t="shared" si="20"/>
        <v>0</v>
      </c>
      <c r="BO102" s="106"/>
      <c r="BP102" s="106"/>
      <c r="BQ102" s="106"/>
      <c r="BR102" s="146">
        <f t="shared" si="21"/>
        <v>0</v>
      </c>
      <c r="BS102" s="106"/>
      <c r="BT102" s="106"/>
      <c r="BU102" s="106"/>
      <c r="BV102" s="146">
        <f t="shared" si="22"/>
        <v>0</v>
      </c>
      <c r="BW102" s="106"/>
      <c r="BX102" s="106"/>
      <c r="BY102" s="106"/>
      <c r="BZ102" s="146">
        <f t="shared" si="23"/>
        <v>0</v>
      </c>
      <c r="CA102" s="106"/>
      <c r="CB102" s="106"/>
      <c r="CC102" s="106"/>
      <c r="CD102" s="146">
        <f t="shared" si="24"/>
        <v>0</v>
      </c>
      <c r="CE102" s="106"/>
      <c r="CF102" s="106"/>
      <c r="CG102" s="106"/>
      <c r="CH102" s="146">
        <f t="shared" si="25"/>
        <v>0</v>
      </c>
      <c r="CI102" s="107">
        <v>198897378.72999957</v>
      </c>
      <c r="CJ102" s="107">
        <v>917324.92000000062</v>
      </c>
      <c r="CK102" s="107"/>
      <c r="CL102" s="145">
        <f t="shared" si="26"/>
        <v>-197980053.80999959</v>
      </c>
      <c r="CM102" s="107"/>
      <c r="CN102" s="107"/>
      <c r="CO102" s="107"/>
      <c r="CP102" s="145">
        <f t="shared" si="27"/>
        <v>0</v>
      </c>
      <c r="CQ102" s="107"/>
      <c r="CR102" s="107"/>
      <c r="CS102" s="107"/>
      <c r="CT102" s="145">
        <f t="shared" si="28"/>
        <v>0</v>
      </c>
      <c r="CU102" s="107"/>
      <c r="CV102" s="107"/>
      <c r="CW102" s="107"/>
      <c r="CX102" s="145">
        <f t="shared" si="29"/>
        <v>0</v>
      </c>
      <c r="CY102" s="107"/>
      <c r="CZ102" s="107"/>
      <c r="DA102" s="107"/>
      <c r="DB102" s="145">
        <f t="shared" si="30"/>
        <v>0</v>
      </c>
      <c r="DC102" s="137">
        <v>0</v>
      </c>
      <c r="DD102" s="138">
        <v>0</v>
      </c>
      <c r="DE102" s="138">
        <v>0</v>
      </c>
      <c r="DF102" s="139">
        <f t="shared" si="31"/>
        <v>0</v>
      </c>
    </row>
    <row r="103" spans="1:110" ht="15.6" x14ac:dyDescent="0.3">
      <c r="A103" s="30"/>
      <c r="B103" s="32">
        <v>36</v>
      </c>
      <c r="C103" s="33">
        <v>1793</v>
      </c>
      <c r="D103" s="34" t="s">
        <v>413</v>
      </c>
      <c r="E103" s="35" t="s">
        <v>414</v>
      </c>
      <c r="F103" s="71" t="s">
        <v>380</v>
      </c>
      <c r="G103" s="131"/>
      <c r="H103" s="132"/>
      <c r="I103" s="132"/>
      <c r="J103" s="133">
        <f t="shared" si="6"/>
        <v>0</v>
      </c>
      <c r="K103" s="131"/>
      <c r="L103" s="132"/>
      <c r="M103" s="132"/>
      <c r="N103" s="133">
        <f t="shared" si="7"/>
        <v>0</v>
      </c>
      <c r="O103" s="131"/>
      <c r="P103" s="132"/>
      <c r="Q103" s="132"/>
      <c r="R103" s="133">
        <f t="shared" si="8"/>
        <v>0</v>
      </c>
      <c r="S103" s="131"/>
      <c r="T103" s="132"/>
      <c r="U103" s="132"/>
      <c r="V103" s="133">
        <f t="shared" si="9"/>
        <v>0</v>
      </c>
      <c r="W103" s="131"/>
      <c r="X103" s="132"/>
      <c r="Y103" s="132"/>
      <c r="Z103" s="133">
        <f t="shared" si="10"/>
        <v>0</v>
      </c>
      <c r="AA103" s="134"/>
      <c r="AB103" s="135"/>
      <c r="AC103" s="135"/>
      <c r="AD103" s="148">
        <f t="shared" si="11"/>
        <v>0</v>
      </c>
      <c r="AE103" s="135"/>
      <c r="AF103" s="135"/>
      <c r="AG103" s="135"/>
      <c r="AH103" s="148">
        <f t="shared" si="12"/>
        <v>0</v>
      </c>
      <c r="AI103" s="135"/>
      <c r="AJ103" s="135"/>
      <c r="AK103" s="135"/>
      <c r="AL103" s="148">
        <f t="shared" si="13"/>
        <v>0</v>
      </c>
      <c r="AM103" s="135"/>
      <c r="AN103" s="135"/>
      <c r="AO103" s="135"/>
      <c r="AP103" s="148">
        <f t="shared" si="14"/>
        <v>0</v>
      </c>
      <c r="AQ103" s="135"/>
      <c r="AR103" s="135"/>
      <c r="AS103" s="135"/>
      <c r="AT103" s="148">
        <f t="shared" si="15"/>
        <v>0</v>
      </c>
      <c r="AU103" s="136"/>
      <c r="AV103" s="136"/>
      <c r="AW103" s="136"/>
      <c r="AX103" s="147">
        <f t="shared" si="16"/>
        <v>0</v>
      </c>
      <c r="AY103" s="136"/>
      <c r="AZ103" s="136"/>
      <c r="BA103" s="136"/>
      <c r="BB103" s="147">
        <f t="shared" si="17"/>
        <v>0</v>
      </c>
      <c r="BC103" s="136"/>
      <c r="BD103" s="136"/>
      <c r="BE103" s="136"/>
      <c r="BF103" s="147">
        <f t="shared" si="18"/>
        <v>0</v>
      </c>
      <c r="BG103" s="136"/>
      <c r="BH103" s="136"/>
      <c r="BI103" s="136"/>
      <c r="BJ103" s="147">
        <f t="shared" si="19"/>
        <v>0</v>
      </c>
      <c r="BK103" s="136"/>
      <c r="BL103" s="136"/>
      <c r="BM103" s="136"/>
      <c r="BN103" s="147">
        <f t="shared" si="20"/>
        <v>0</v>
      </c>
      <c r="BO103" s="106"/>
      <c r="BP103" s="106"/>
      <c r="BQ103" s="106"/>
      <c r="BR103" s="146">
        <f t="shared" si="21"/>
        <v>0</v>
      </c>
      <c r="BS103" s="106"/>
      <c r="BT103" s="106"/>
      <c r="BU103" s="106"/>
      <c r="BV103" s="146">
        <f t="shared" si="22"/>
        <v>0</v>
      </c>
      <c r="BW103" s="106"/>
      <c r="BX103" s="106"/>
      <c r="BY103" s="106"/>
      <c r="BZ103" s="146">
        <f t="shared" si="23"/>
        <v>0</v>
      </c>
      <c r="CA103" s="106"/>
      <c r="CB103" s="106"/>
      <c r="CC103" s="106"/>
      <c r="CD103" s="146">
        <f t="shared" si="24"/>
        <v>0</v>
      </c>
      <c r="CE103" s="106"/>
      <c r="CF103" s="106"/>
      <c r="CG103" s="106"/>
      <c r="CH103" s="146">
        <f t="shared" si="25"/>
        <v>0</v>
      </c>
      <c r="CI103" s="107">
        <v>26213123.340000033</v>
      </c>
      <c r="CJ103" s="107">
        <v>98837.239999999976</v>
      </c>
      <c r="CK103" s="107"/>
      <c r="CL103" s="145">
        <f t="shared" si="26"/>
        <v>-26114286.100000035</v>
      </c>
      <c r="CM103" s="107"/>
      <c r="CN103" s="107"/>
      <c r="CO103" s="107"/>
      <c r="CP103" s="145">
        <f t="shared" si="27"/>
        <v>0</v>
      </c>
      <c r="CQ103" s="107"/>
      <c r="CR103" s="107"/>
      <c r="CS103" s="107"/>
      <c r="CT103" s="145">
        <f t="shared" si="28"/>
        <v>0</v>
      </c>
      <c r="CU103" s="107"/>
      <c r="CV103" s="107"/>
      <c r="CW103" s="107"/>
      <c r="CX103" s="145">
        <f t="shared" si="29"/>
        <v>0</v>
      </c>
      <c r="CY103" s="107"/>
      <c r="CZ103" s="107"/>
      <c r="DA103" s="107"/>
      <c r="DB103" s="145">
        <f t="shared" si="30"/>
        <v>0</v>
      </c>
      <c r="DC103" s="137">
        <v>0</v>
      </c>
      <c r="DD103" s="138">
        <v>0</v>
      </c>
      <c r="DE103" s="138">
        <v>0</v>
      </c>
      <c r="DF103" s="139">
        <f t="shared" si="31"/>
        <v>0</v>
      </c>
    </row>
    <row r="104" spans="1:110" ht="15.6" x14ac:dyDescent="0.3">
      <c r="A104" s="30"/>
      <c r="B104" s="32">
        <v>28</v>
      </c>
      <c r="C104" s="33">
        <v>5293</v>
      </c>
      <c r="D104" s="34" t="s">
        <v>415</v>
      </c>
      <c r="E104" s="35" t="s">
        <v>620</v>
      </c>
      <c r="F104" s="71" t="s">
        <v>380</v>
      </c>
      <c r="G104" s="131"/>
      <c r="H104" s="132"/>
      <c r="I104" s="132"/>
      <c r="J104" s="133">
        <f t="shared" si="6"/>
        <v>0</v>
      </c>
      <c r="K104" s="131"/>
      <c r="L104" s="132"/>
      <c r="M104" s="132"/>
      <c r="N104" s="133">
        <f t="shared" si="7"/>
        <v>0</v>
      </c>
      <c r="O104" s="131"/>
      <c r="P104" s="132"/>
      <c r="Q104" s="132"/>
      <c r="R104" s="133">
        <f t="shared" si="8"/>
        <v>0</v>
      </c>
      <c r="S104" s="131"/>
      <c r="T104" s="132"/>
      <c r="U104" s="132"/>
      <c r="V104" s="133">
        <f t="shared" si="9"/>
        <v>0</v>
      </c>
      <c r="W104" s="131"/>
      <c r="X104" s="132"/>
      <c r="Y104" s="132"/>
      <c r="Z104" s="133">
        <f t="shared" si="10"/>
        <v>0</v>
      </c>
      <c r="AA104" s="134"/>
      <c r="AB104" s="135"/>
      <c r="AC104" s="135"/>
      <c r="AD104" s="148">
        <f t="shared" si="11"/>
        <v>0</v>
      </c>
      <c r="AE104" s="135"/>
      <c r="AF104" s="135"/>
      <c r="AG104" s="135"/>
      <c r="AH104" s="148">
        <f t="shared" si="12"/>
        <v>0</v>
      </c>
      <c r="AI104" s="135"/>
      <c r="AJ104" s="135"/>
      <c r="AK104" s="135"/>
      <c r="AL104" s="148">
        <f t="shared" si="13"/>
        <v>0</v>
      </c>
      <c r="AM104" s="135"/>
      <c r="AN104" s="135"/>
      <c r="AO104" s="135"/>
      <c r="AP104" s="148">
        <f t="shared" si="14"/>
        <v>0</v>
      </c>
      <c r="AQ104" s="135"/>
      <c r="AR104" s="135"/>
      <c r="AS104" s="135"/>
      <c r="AT104" s="148">
        <f t="shared" si="15"/>
        <v>0</v>
      </c>
      <c r="AU104" s="136"/>
      <c r="AV104" s="136"/>
      <c r="AW104" s="136"/>
      <c r="AX104" s="147">
        <f t="shared" si="16"/>
        <v>0</v>
      </c>
      <c r="AY104" s="136"/>
      <c r="AZ104" s="136"/>
      <c r="BA104" s="136"/>
      <c r="BB104" s="147">
        <f t="shared" si="17"/>
        <v>0</v>
      </c>
      <c r="BC104" s="136"/>
      <c r="BD104" s="136"/>
      <c r="BE104" s="136"/>
      <c r="BF104" s="147">
        <f t="shared" si="18"/>
        <v>0</v>
      </c>
      <c r="BG104" s="136"/>
      <c r="BH104" s="136"/>
      <c r="BI104" s="136"/>
      <c r="BJ104" s="147">
        <f t="shared" si="19"/>
        <v>0</v>
      </c>
      <c r="BK104" s="136"/>
      <c r="BL104" s="136"/>
      <c r="BM104" s="136"/>
      <c r="BN104" s="147">
        <f t="shared" si="20"/>
        <v>0</v>
      </c>
      <c r="BO104" s="106"/>
      <c r="BP104" s="106"/>
      <c r="BQ104" s="106"/>
      <c r="BR104" s="146">
        <f t="shared" si="21"/>
        <v>0</v>
      </c>
      <c r="BS104" s="106"/>
      <c r="BT104" s="106"/>
      <c r="BU104" s="106"/>
      <c r="BV104" s="146">
        <f t="shared" si="22"/>
        <v>0</v>
      </c>
      <c r="BW104" s="106"/>
      <c r="BX104" s="106"/>
      <c r="BY104" s="106"/>
      <c r="BZ104" s="146">
        <f t="shared" si="23"/>
        <v>0</v>
      </c>
      <c r="CA104" s="106"/>
      <c r="CB104" s="106"/>
      <c r="CC104" s="106"/>
      <c r="CD104" s="146">
        <f t="shared" si="24"/>
        <v>0</v>
      </c>
      <c r="CE104" s="106"/>
      <c r="CF104" s="106"/>
      <c r="CG104" s="106"/>
      <c r="CH104" s="146">
        <f t="shared" si="25"/>
        <v>0</v>
      </c>
      <c r="CI104" s="107">
        <v>8216624.8600000115</v>
      </c>
      <c r="CJ104" s="107">
        <v>94590.839999999982</v>
      </c>
      <c r="CK104" s="107"/>
      <c r="CL104" s="145">
        <f t="shared" si="26"/>
        <v>-8122034.0200000117</v>
      </c>
      <c r="CM104" s="107"/>
      <c r="CN104" s="107"/>
      <c r="CO104" s="107"/>
      <c r="CP104" s="145">
        <f t="shared" si="27"/>
        <v>0</v>
      </c>
      <c r="CQ104" s="107"/>
      <c r="CR104" s="107"/>
      <c r="CS104" s="107"/>
      <c r="CT104" s="145">
        <f t="shared" si="28"/>
        <v>0</v>
      </c>
      <c r="CU104" s="107"/>
      <c r="CV104" s="107"/>
      <c r="CW104" s="107"/>
      <c r="CX104" s="145">
        <f t="shared" si="29"/>
        <v>0</v>
      </c>
      <c r="CY104" s="107"/>
      <c r="CZ104" s="107"/>
      <c r="DA104" s="107"/>
      <c r="DB104" s="145">
        <f t="shared" si="30"/>
        <v>0</v>
      </c>
      <c r="DC104" s="137">
        <v>0</v>
      </c>
      <c r="DD104" s="138">
        <v>0</v>
      </c>
      <c r="DE104" s="138">
        <v>0</v>
      </c>
      <c r="DF104" s="139">
        <f t="shared" si="31"/>
        <v>0</v>
      </c>
    </row>
    <row r="105" spans="1:110" ht="15.6" x14ac:dyDescent="0.3">
      <c r="A105" s="30"/>
      <c r="B105" s="32">
        <v>16</v>
      </c>
      <c r="C105" s="33">
        <v>5294</v>
      </c>
      <c r="D105" s="34" t="s">
        <v>621</v>
      </c>
      <c r="E105" s="35" t="s">
        <v>622</v>
      </c>
      <c r="F105" s="71" t="s">
        <v>380</v>
      </c>
      <c r="G105" s="131"/>
      <c r="H105" s="132"/>
      <c r="I105" s="132"/>
      <c r="J105" s="133">
        <f t="shared" si="6"/>
        <v>0</v>
      </c>
      <c r="K105" s="131"/>
      <c r="L105" s="132"/>
      <c r="M105" s="132"/>
      <c r="N105" s="133">
        <f t="shared" si="7"/>
        <v>0</v>
      </c>
      <c r="O105" s="131"/>
      <c r="P105" s="132"/>
      <c r="Q105" s="132"/>
      <c r="R105" s="133">
        <f t="shared" si="8"/>
        <v>0</v>
      </c>
      <c r="S105" s="131"/>
      <c r="T105" s="132"/>
      <c r="U105" s="132"/>
      <c r="V105" s="133">
        <f t="shared" si="9"/>
        <v>0</v>
      </c>
      <c r="W105" s="131"/>
      <c r="X105" s="132"/>
      <c r="Y105" s="132"/>
      <c r="Z105" s="133">
        <f t="shared" si="10"/>
        <v>0</v>
      </c>
      <c r="AA105" s="134"/>
      <c r="AB105" s="135"/>
      <c r="AC105" s="135"/>
      <c r="AD105" s="148">
        <f t="shared" si="11"/>
        <v>0</v>
      </c>
      <c r="AE105" s="135"/>
      <c r="AF105" s="135"/>
      <c r="AG105" s="135"/>
      <c r="AH105" s="148">
        <f t="shared" si="12"/>
        <v>0</v>
      </c>
      <c r="AI105" s="135"/>
      <c r="AJ105" s="135"/>
      <c r="AK105" s="135"/>
      <c r="AL105" s="148">
        <f t="shared" si="13"/>
        <v>0</v>
      </c>
      <c r="AM105" s="135"/>
      <c r="AN105" s="135"/>
      <c r="AO105" s="135"/>
      <c r="AP105" s="148">
        <f t="shared" si="14"/>
        <v>0</v>
      </c>
      <c r="AQ105" s="135"/>
      <c r="AR105" s="135"/>
      <c r="AS105" s="135"/>
      <c r="AT105" s="148">
        <f t="shared" si="15"/>
        <v>0</v>
      </c>
      <c r="AU105" s="136"/>
      <c r="AV105" s="136"/>
      <c r="AW105" s="136"/>
      <c r="AX105" s="147">
        <f t="shared" si="16"/>
        <v>0</v>
      </c>
      <c r="AY105" s="136"/>
      <c r="AZ105" s="136"/>
      <c r="BA105" s="136"/>
      <c r="BB105" s="147">
        <f t="shared" si="17"/>
        <v>0</v>
      </c>
      <c r="BC105" s="136"/>
      <c r="BD105" s="136"/>
      <c r="BE105" s="136"/>
      <c r="BF105" s="147">
        <f t="shared" si="18"/>
        <v>0</v>
      </c>
      <c r="BG105" s="136"/>
      <c r="BH105" s="136"/>
      <c r="BI105" s="136"/>
      <c r="BJ105" s="147">
        <f t="shared" si="19"/>
        <v>0</v>
      </c>
      <c r="BK105" s="136"/>
      <c r="BL105" s="136"/>
      <c r="BM105" s="136"/>
      <c r="BN105" s="147">
        <f t="shared" si="20"/>
        <v>0</v>
      </c>
      <c r="BO105" s="106"/>
      <c r="BP105" s="106"/>
      <c r="BQ105" s="106"/>
      <c r="BR105" s="146">
        <f t="shared" si="21"/>
        <v>0</v>
      </c>
      <c r="BS105" s="106"/>
      <c r="BT105" s="106"/>
      <c r="BU105" s="106"/>
      <c r="BV105" s="146">
        <f t="shared" si="22"/>
        <v>0</v>
      </c>
      <c r="BW105" s="106"/>
      <c r="BX105" s="106"/>
      <c r="BY105" s="106"/>
      <c r="BZ105" s="146">
        <f t="shared" si="23"/>
        <v>0</v>
      </c>
      <c r="CA105" s="106"/>
      <c r="CB105" s="106"/>
      <c r="CC105" s="106"/>
      <c r="CD105" s="146">
        <f t="shared" si="24"/>
        <v>0</v>
      </c>
      <c r="CE105" s="106"/>
      <c r="CF105" s="106"/>
      <c r="CG105" s="106"/>
      <c r="CH105" s="146">
        <f t="shared" si="25"/>
        <v>0</v>
      </c>
      <c r="CI105" s="107">
        <v>12226672.579999998</v>
      </c>
      <c r="CJ105" s="107">
        <v>53067.15</v>
      </c>
      <c r="CK105" s="107"/>
      <c r="CL105" s="145">
        <f t="shared" si="26"/>
        <v>-12173605.429999998</v>
      </c>
      <c r="CM105" s="107"/>
      <c r="CN105" s="107"/>
      <c r="CO105" s="107"/>
      <c r="CP105" s="145">
        <f t="shared" si="27"/>
        <v>0</v>
      </c>
      <c r="CQ105" s="107"/>
      <c r="CR105" s="107"/>
      <c r="CS105" s="107"/>
      <c r="CT105" s="145">
        <f t="shared" si="28"/>
        <v>0</v>
      </c>
      <c r="CU105" s="107"/>
      <c r="CV105" s="107"/>
      <c r="CW105" s="107"/>
      <c r="CX105" s="145">
        <f t="shared" si="29"/>
        <v>0</v>
      </c>
      <c r="CY105" s="107"/>
      <c r="CZ105" s="107"/>
      <c r="DA105" s="107"/>
      <c r="DB105" s="145">
        <f t="shared" si="30"/>
        <v>0</v>
      </c>
      <c r="DC105" s="137">
        <v>0</v>
      </c>
      <c r="DD105" s="138">
        <v>0</v>
      </c>
      <c r="DE105" s="138">
        <v>0</v>
      </c>
      <c r="DF105" s="139">
        <f t="shared" si="31"/>
        <v>0</v>
      </c>
    </row>
    <row r="106" spans="1:110" ht="15.6" x14ac:dyDescent="0.3">
      <c r="A106" s="30"/>
      <c r="B106" s="32">
        <v>26</v>
      </c>
      <c r="C106" s="33">
        <v>6897</v>
      </c>
      <c r="D106" s="34" t="s">
        <v>623</v>
      </c>
      <c r="E106" s="35" t="s">
        <v>624</v>
      </c>
      <c r="F106" s="71" t="s">
        <v>380</v>
      </c>
      <c r="G106" s="131"/>
      <c r="H106" s="132"/>
      <c r="I106" s="132"/>
      <c r="J106" s="133">
        <f t="shared" si="6"/>
        <v>0</v>
      </c>
      <c r="K106" s="131"/>
      <c r="L106" s="132"/>
      <c r="M106" s="132"/>
      <c r="N106" s="133">
        <f t="shared" si="7"/>
        <v>0</v>
      </c>
      <c r="O106" s="131"/>
      <c r="P106" s="132"/>
      <c r="Q106" s="132"/>
      <c r="R106" s="133">
        <f t="shared" si="8"/>
        <v>0</v>
      </c>
      <c r="S106" s="131"/>
      <c r="T106" s="132"/>
      <c r="U106" s="132"/>
      <c r="V106" s="133">
        <f t="shared" si="9"/>
        <v>0</v>
      </c>
      <c r="W106" s="131"/>
      <c r="X106" s="132"/>
      <c r="Y106" s="132"/>
      <c r="Z106" s="133">
        <f t="shared" si="10"/>
        <v>0</v>
      </c>
      <c r="AA106" s="134"/>
      <c r="AB106" s="135"/>
      <c r="AC106" s="135"/>
      <c r="AD106" s="148">
        <f t="shared" si="11"/>
        <v>0</v>
      </c>
      <c r="AE106" s="135"/>
      <c r="AF106" s="135"/>
      <c r="AG106" s="135"/>
      <c r="AH106" s="148">
        <f t="shared" si="12"/>
        <v>0</v>
      </c>
      <c r="AI106" s="135"/>
      <c r="AJ106" s="135"/>
      <c r="AK106" s="135"/>
      <c r="AL106" s="148">
        <f t="shared" si="13"/>
        <v>0</v>
      </c>
      <c r="AM106" s="135"/>
      <c r="AN106" s="135"/>
      <c r="AO106" s="135"/>
      <c r="AP106" s="148">
        <f t="shared" si="14"/>
        <v>0</v>
      </c>
      <c r="AQ106" s="135"/>
      <c r="AR106" s="135"/>
      <c r="AS106" s="135"/>
      <c r="AT106" s="148">
        <f t="shared" si="15"/>
        <v>0</v>
      </c>
      <c r="AU106" s="136"/>
      <c r="AV106" s="136"/>
      <c r="AW106" s="136"/>
      <c r="AX106" s="147">
        <f t="shared" si="16"/>
        <v>0</v>
      </c>
      <c r="AY106" s="136"/>
      <c r="AZ106" s="136"/>
      <c r="BA106" s="136"/>
      <c r="BB106" s="147">
        <f t="shared" si="17"/>
        <v>0</v>
      </c>
      <c r="BC106" s="136"/>
      <c r="BD106" s="136"/>
      <c r="BE106" s="136"/>
      <c r="BF106" s="147">
        <f t="shared" si="18"/>
        <v>0</v>
      </c>
      <c r="BG106" s="136"/>
      <c r="BH106" s="136"/>
      <c r="BI106" s="136"/>
      <c r="BJ106" s="147">
        <f t="shared" si="19"/>
        <v>0</v>
      </c>
      <c r="BK106" s="136"/>
      <c r="BL106" s="136"/>
      <c r="BM106" s="136"/>
      <c r="BN106" s="147">
        <f t="shared" si="20"/>
        <v>0</v>
      </c>
      <c r="BO106" s="106"/>
      <c r="BP106" s="106"/>
      <c r="BQ106" s="106"/>
      <c r="BR106" s="146">
        <f t="shared" si="21"/>
        <v>0</v>
      </c>
      <c r="BS106" s="106"/>
      <c r="BT106" s="106"/>
      <c r="BU106" s="106"/>
      <c r="BV106" s="146">
        <f t="shared" si="22"/>
        <v>0</v>
      </c>
      <c r="BW106" s="106"/>
      <c r="BX106" s="106"/>
      <c r="BY106" s="106"/>
      <c r="BZ106" s="146">
        <f t="shared" si="23"/>
        <v>0</v>
      </c>
      <c r="CA106" s="106"/>
      <c r="CB106" s="106"/>
      <c r="CC106" s="106"/>
      <c r="CD106" s="146">
        <f t="shared" si="24"/>
        <v>0</v>
      </c>
      <c r="CE106" s="106"/>
      <c r="CF106" s="106"/>
      <c r="CG106" s="106"/>
      <c r="CH106" s="146">
        <f t="shared" si="25"/>
        <v>0</v>
      </c>
      <c r="CI106" s="107">
        <v>17109399.389999963</v>
      </c>
      <c r="CJ106" s="107">
        <v>57617.600000000013</v>
      </c>
      <c r="CK106" s="107"/>
      <c r="CL106" s="145">
        <f t="shared" si="26"/>
        <v>-17051781.789999962</v>
      </c>
      <c r="CM106" s="107"/>
      <c r="CN106" s="107"/>
      <c r="CO106" s="107"/>
      <c r="CP106" s="145">
        <f t="shared" si="27"/>
        <v>0</v>
      </c>
      <c r="CQ106" s="107"/>
      <c r="CR106" s="107"/>
      <c r="CS106" s="107"/>
      <c r="CT106" s="145">
        <f t="shared" si="28"/>
        <v>0</v>
      </c>
      <c r="CU106" s="107"/>
      <c r="CV106" s="107"/>
      <c r="CW106" s="107"/>
      <c r="CX106" s="145">
        <f t="shared" si="29"/>
        <v>0</v>
      </c>
      <c r="CY106" s="107"/>
      <c r="CZ106" s="107"/>
      <c r="DA106" s="107"/>
      <c r="DB106" s="145">
        <f t="shared" si="30"/>
        <v>0</v>
      </c>
      <c r="DC106" s="137">
        <v>0</v>
      </c>
      <c r="DD106" s="138">
        <v>0</v>
      </c>
      <c r="DE106" s="138">
        <v>0</v>
      </c>
      <c r="DF106" s="139">
        <f t="shared" si="31"/>
        <v>0</v>
      </c>
    </row>
    <row r="107" spans="1:110" ht="15.6" x14ac:dyDescent="0.3">
      <c r="A107" s="30"/>
      <c r="B107" s="40">
        <v>50</v>
      </c>
      <c r="C107" s="41">
        <v>6269</v>
      </c>
      <c r="D107" s="42" t="s">
        <v>625</v>
      </c>
      <c r="E107" s="43" t="s">
        <v>626</v>
      </c>
      <c r="F107" s="114" t="s">
        <v>627</v>
      </c>
      <c r="G107" s="131"/>
      <c r="H107" s="132"/>
      <c r="I107" s="132"/>
      <c r="J107" s="133">
        <f t="shared" si="6"/>
        <v>0</v>
      </c>
      <c r="K107" s="131"/>
      <c r="L107" s="132"/>
      <c r="M107" s="132"/>
      <c r="N107" s="133">
        <f t="shared" si="7"/>
        <v>0</v>
      </c>
      <c r="O107" s="131"/>
      <c r="P107" s="132"/>
      <c r="Q107" s="132"/>
      <c r="R107" s="133">
        <f t="shared" si="8"/>
        <v>0</v>
      </c>
      <c r="S107" s="131"/>
      <c r="T107" s="132"/>
      <c r="U107" s="132"/>
      <c r="V107" s="133">
        <f t="shared" si="9"/>
        <v>0</v>
      </c>
      <c r="W107" s="131"/>
      <c r="X107" s="132"/>
      <c r="Y107" s="132"/>
      <c r="Z107" s="133">
        <f t="shared" si="10"/>
        <v>0</v>
      </c>
      <c r="AA107" s="134"/>
      <c r="AB107" s="135"/>
      <c r="AC107" s="135"/>
      <c r="AD107" s="148">
        <f t="shared" si="11"/>
        <v>0</v>
      </c>
      <c r="AE107" s="135"/>
      <c r="AF107" s="135"/>
      <c r="AG107" s="135"/>
      <c r="AH107" s="148">
        <f t="shared" si="12"/>
        <v>0</v>
      </c>
      <c r="AI107" s="135"/>
      <c r="AJ107" s="135"/>
      <c r="AK107" s="135"/>
      <c r="AL107" s="148">
        <f t="shared" si="13"/>
        <v>0</v>
      </c>
      <c r="AM107" s="135"/>
      <c r="AN107" s="135"/>
      <c r="AO107" s="135"/>
      <c r="AP107" s="148">
        <f t="shared" si="14"/>
        <v>0</v>
      </c>
      <c r="AQ107" s="135"/>
      <c r="AR107" s="135"/>
      <c r="AS107" s="135"/>
      <c r="AT107" s="148">
        <f t="shared" si="15"/>
        <v>0</v>
      </c>
      <c r="AU107" s="136"/>
      <c r="AV107" s="136"/>
      <c r="AW107" s="136"/>
      <c r="AX107" s="147">
        <f t="shared" si="16"/>
        <v>0</v>
      </c>
      <c r="AY107" s="136"/>
      <c r="AZ107" s="136"/>
      <c r="BA107" s="136"/>
      <c r="BB107" s="147">
        <f t="shared" si="17"/>
        <v>0</v>
      </c>
      <c r="BC107" s="136"/>
      <c r="BD107" s="136"/>
      <c r="BE107" s="136"/>
      <c r="BF107" s="147">
        <f t="shared" si="18"/>
        <v>0</v>
      </c>
      <c r="BG107" s="136"/>
      <c r="BH107" s="136"/>
      <c r="BI107" s="136"/>
      <c r="BJ107" s="147">
        <f t="shared" si="19"/>
        <v>0</v>
      </c>
      <c r="BK107" s="136"/>
      <c r="BL107" s="136"/>
      <c r="BM107" s="136"/>
      <c r="BN107" s="147">
        <f t="shared" si="20"/>
        <v>0</v>
      </c>
      <c r="BO107" s="106"/>
      <c r="BP107" s="106"/>
      <c r="BQ107" s="106"/>
      <c r="BR107" s="146">
        <f t="shared" si="21"/>
        <v>0</v>
      </c>
      <c r="BS107" s="106"/>
      <c r="BT107" s="106"/>
      <c r="BU107" s="106"/>
      <c r="BV107" s="146">
        <f t="shared" si="22"/>
        <v>0</v>
      </c>
      <c r="BW107" s="106"/>
      <c r="BX107" s="106"/>
      <c r="BY107" s="106"/>
      <c r="BZ107" s="146">
        <f t="shared" si="23"/>
        <v>0</v>
      </c>
      <c r="CA107" s="106"/>
      <c r="CB107" s="106"/>
      <c r="CC107" s="106"/>
      <c r="CD107" s="146">
        <f t="shared" si="24"/>
        <v>0</v>
      </c>
      <c r="CE107" s="106"/>
      <c r="CF107" s="106"/>
      <c r="CG107" s="106"/>
      <c r="CH107" s="146">
        <f t="shared" si="25"/>
        <v>0</v>
      </c>
      <c r="CI107" s="107">
        <v>48353388.580000013</v>
      </c>
      <c r="CJ107" s="107">
        <v>182657.98999999996</v>
      </c>
      <c r="CK107" s="107"/>
      <c r="CL107" s="145">
        <f t="shared" si="26"/>
        <v>-48170730.590000011</v>
      </c>
      <c r="CM107" s="107"/>
      <c r="CN107" s="107"/>
      <c r="CO107" s="107"/>
      <c r="CP107" s="145">
        <f t="shared" si="27"/>
        <v>0</v>
      </c>
      <c r="CQ107" s="107"/>
      <c r="CR107" s="107"/>
      <c r="CS107" s="107"/>
      <c r="CT107" s="145">
        <f t="shared" si="28"/>
        <v>0</v>
      </c>
      <c r="CU107" s="107"/>
      <c r="CV107" s="107"/>
      <c r="CW107" s="107"/>
      <c r="CX107" s="145">
        <f t="shared" si="29"/>
        <v>0</v>
      </c>
      <c r="CY107" s="107"/>
      <c r="CZ107" s="107"/>
      <c r="DA107" s="107"/>
      <c r="DB107" s="145">
        <f t="shared" si="30"/>
        <v>0</v>
      </c>
      <c r="DC107" s="137">
        <v>84758.45</v>
      </c>
      <c r="DD107" s="138">
        <v>84758.45</v>
      </c>
      <c r="DE107" s="138">
        <v>0</v>
      </c>
      <c r="DF107" s="139">
        <f t="shared" si="31"/>
        <v>84758.45</v>
      </c>
    </row>
    <row r="108" spans="1:110" ht="15.6" x14ac:dyDescent="0.3">
      <c r="A108" s="30"/>
      <c r="B108" s="40">
        <v>47</v>
      </c>
      <c r="C108" s="41">
        <v>4107</v>
      </c>
      <c r="D108" s="42" t="s">
        <v>628</v>
      </c>
      <c r="E108" s="43" t="s">
        <v>629</v>
      </c>
      <c r="F108" s="114" t="s">
        <v>627</v>
      </c>
      <c r="G108" s="131"/>
      <c r="H108" s="132"/>
      <c r="I108" s="132"/>
      <c r="J108" s="133">
        <f t="shared" si="6"/>
        <v>0</v>
      </c>
      <c r="K108" s="131"/>
      <c r="L108" s="132"/>
      <c r="M108" s="132"/>
      <c r="N108" s="133">
        <f t="shared" si="7"/>
        <v>0</v>
      </c>
      <c r="O108" s="131"/>
      <c r="P108" s="132"/>
      <c r="Q108" s="132"/>
      <c r="R108" s="133">
        <f t="shared" si="8"/>
        <v>0</v>
      </c>
      <c r="S108" s="131"/>
      <c r="T108" s="132"/>
      <c r="U108" s="132"/>
      <c r="V108" s="133">
        <f t="shared" si="9"/>
        <v>0</v>
      </c>
      <c r="W108" s="131"/>
      <c r="X108" s="132"/>
      <c r="Y108" s="132"/>
      <c r="Z108" s="133">
        <f t="shared" si="10"/>
        <v>0</v>
      </c>
      <c r="AA108" s="134"/>
      <c r="AB108" s="135"/>
      <c r="AC108" s="135"/>
      <c r="AD108" s="148">
        <f t="shared" si="11"/>
        <v>0</v>
      </c>
      <c r="AE108" s="135"/>
      <c r="AF108" s="135"/>
      <c r="AG108" s="135"/>
      <c r="AH108" s="148">
        <f t="shared" si="12"/>
        <v>0</v>
      </c>
      <c r="AI108" s="135"/>
      <c r="AJ108" s="135"/>
      <c r="AK108" s="135"/>
      <c r="AL108" s="148">
        <f t="shared" si="13"/>
        <v>0</v>
      </c>
      <c r="AM108" s="135"/>
      <c r="AN108" s="135"/>
      <c r="AO108" s="135"/>
      <c r="AP108" s="148">
        <f t="shared" si="14"/>
        <v>0</v>
      </c>
      <c r="AQ108" s="135"/>
      <c r="AR108" s="135"/>
      <c r="AS108" s="135"/>
      <c r="AT108" s="148">
        <f t="shared" si="15"/>
        <v>0</v>
      </c>
      <c r="AU108" s="136"/>
      <c r="AV108" s="136"/>
      <c r="AW108" s="136"/>
      <c r="AX108" s="147">
        <f t="shared" si="16"/>
        <v>0</v>
      </c>
      <c r="AY108" s="136"/>
      <c r="AZ108" s="136"/>
      <c r="BA108" s="136"/>
      <c r="BB108" s="147">
        <f t="shared" si="17"/>
        <v>0</v>
      </c>
      <c r="BC108" s="136"/>
      <c r="BD108" s="136"/>
      <c r="BE108" s="136"/>
      <c r="BF108" s="147">
        <f t="shared" si="18"/>
        <v>0</v>
      </c>
      <c r="BG108" s="136"/>
      <c r="BH108" s="136"/>
      <c r="BI108" s="136"/>
      <c r="BJ108" s="147">
        <f t="shared" si="19"/>
        <v>0</v>
      </c>
      <c r="BK108" s="136"/>
      <c r="BL108" s="136"/>
      <c r="BM108" s="136"/>
      <c r="BN108" s="147">
        <f t="shared" si="20"/>
        <v>0</v>
      </c>
      <c r="BO108" s="106"/>
      <c r="BP108" s="106"/>
      <c r="BQ108" s="106"/>
      <c r="BR108" s="146">
        <f t="shared" si="21"/>
        <v>0</v>
      </c>
      <c r="BS108" s="106"/>
      <c r="BT108" s="106"/>
      <c r="BU108" s="106"/>
      <c r="BV108" s="146">
        <f t="shared" si="22"/>
        <v>0</v>
      </c>
      <c r="BW108" s="106"/>
      <c r="BX108" s="106"/>
      <c r="BY108" s="106"/>
      <c r="BZ108" s="146">
        <f t="shared" si="23"/>
        <v>0</v>
      </c>
      <c r="CA108" s="106"/>
      <c r="CB108" s="106"/>
      <c r="CC108" s="106"/>
      <c r="CD108" s="146">
        <f t="shared" si="24"/>
        <v>0</v>
      </c>
      <c r="CE108" s="106"/>
      <c r="CF108" s="106"/>
      <c r="CG108" s="106"/>
      <c r="CH108" s="146">
        <f t="shared" si="25"/>
        <v>0</v>
      </c>
      <c r="CI108" s="107">
        <v>3563077.9999999949</v>
      </c>
      <c r="CJ108" s="107">
        <v>11885.670000000002</v>
      </c>
      <c r="CK108" s="107"/>
      <c r="CL108" s="145">
        <f t="shared" si="26"/>
        <v>-3551192.329999995</v>
      </c>
      <c r="CM108" s="107"/>
      <c r="CN108" s="107"/>
      <c r="CO108" s="107"/>
      <c r="CP108" s="145">
        <f t="shared" si="27"/>
        <v>0</v>
      </c>
      <c r="CQ108" s="107"/>
      <c r="CR108" s="107"/>
      <c r="CS108" s="107"/>
      <c r="CT108" s="145">
        <f t="shared" si="28"/>
        <v>0</v>
      </c>
      <c r="CU108" s="107"/>
      <c r="CV108" s="107"/>
      <c r="CW108" s="107"/>
      <c r="CX108" s="145">
        <f t="shared" si="29"/>
        <v>0</v>
      </c>
      <c r="CY108" s="107"/>
      <c r="CZ108" s="107"/>
      <c r="DA108" s="107"/>
      <c r="DB108" s="145">
        <f t="shared" si="30"/>
        <v>0</v>
      </c>
      <c r="DC108" s="137">
        <v>0</v>
      </c>
      <c r="DD108" s="138">
        <v>0</v>
      </c>
      <c r="DE108" s="138">
        <v>0</v>
      </c>
      <c r="DF108" s="139">
        <f t="shared" si="31"/>
        <v>0</v>
      </c>
    </row>
    <row r="109" spans="1:110" ht="15.6" x14ac:dyDescent="0.3">
      <c r="A109" s="30"/>
      <c r="B109" s="40">
        <v>51</v>
      </c>
      <c r="C109" s="41">
        <v>6909</v>
      </c>
      <c r="D109" s="42" t="s">
        <v>630</v>
      </c>
      <c r="E109" s="43" t="s">
        <v>631</v>
      </c>
      <c r="F109" s="114" t="s">
        <v>627</v>
      </c>
      <c r="G109" s="131"/>
      <c r="H109" s="132"/>
      <c r="I109" s="132"/>
      <c r="J109" s="133">
        <f t="shared" si="6"/>
        <v>0</v>
      </c>
      <c r="K109" s="131"/>
      <c r="L109" s="132"/>
      <c r="M109" s="132"/>
      <c r="N109" s="133">
        <f t="shared" si="7"/>
        <v>0</v>
      </c>
      <c r="O109" s="131"/>
      <c r="P109" s="132"/>
      <c r="Q109" s="132"/>
      <c r="R109" s="133">
        <f t="shared" si="8"/>
        <v>0</v>
      </c>
      <c r="S109" s="131"/>
      <c r="T109" s="132"/>
      <c r="U109" s="132"/>
      <c r="V109" s="133">
        <f t="shared" si="9"/>
        <v>0</v>
      </c>
      <c r="W109" s="131"/>
      <c r="X109" s="132"/>
      <c r="Y109" s="132"/>
      <c r="Z109" s="133">
        <f t="shared" si="10"/>
        <v>0</v>
      </c>
      <c r="AA109" s="134"/>
      <c r="AB109" s="135"/>
      <c r="AC109" s="135"/>
      <c r="AD109" s="148">
        <f t="shared" si="11"/>
        <v>0</v>
      </c>
      <c r="AE109" s="135"/>
      <c r="AF109" s="135"/>
      <c r="AG109" s="135"/>
      <c r="AH109" s="148">
        <f t="shared" si="12"/>
        <v>0</v>
      </c>
      <c r="AI109" s="135"/>
      <c r="AJ109" s="135"/>
      <c r="AK109" s="135"/>
      <c r="AL109" s="148">
        <f t="shared" si="13"/>
        <v>0</v>
      </c>
      <c r="AM109" s="135"/>
      <c r="AN109" s="135"/>
      <c r="AO109" s="135"/>
      <c r="AP109" s="148">
        <f t="shared" si="14"/>
        <v>0</v>
      </c>
      <c r="AQ109" s="135"/>
      <c r="AR109" s="135"/>
      <c r="AS109" s="135"/>
      <c r="AT109" s="148">
        <f t="shared" si="15"/>
        <v>0</v>
      </c>
      <c r="AU109" s="136"/>
      <c r="AV109" s="136"/>
      <c r="AW109" s="136"/>
      <c r="AX109" s="147">
        <f t="shared" si="16"/>
        <v>0</v>
      </c>
      <c r="AY109" s="136"/>
      <c r="AZ109" s="136"/>
      <c r="BA109" s="136"/>
      <c r="BB109" s="147">
        <f t="shared" si="17"/>
        <v>0</v>
      </c>
      <c r="BC109" s="136"/>
      <c r="BD109" s="136"/>
      <c r="BE109" s="136"/>
      <c r="BF109" s="147">
        <f t="shared" si="18"/>
        <v>0</v>
      </c>
      <c r="BG109" s="136"/>
      <c r="BH109" s="136"/>
      <c r="BI109" s="136"/>
      <c r="BJ109" s="147">
        <f t="shared" si="19"/>
        <v>0</v>
      </c>
      <c r="BK109" s="136"/>
      <c r="BL109" s="136"/>
      <c r="BM109" s="136"/>
      <c r="BN109" s="147">
        <f t="shared" si="20"/>
        <v>0</v>
      </c>
      <c r="BO109" s="106"/>
      <c r="BP109" s="106"/>
      <c r="BQ109" s="106"/>
      <c r="BR109" s="146">
        <f t="shared" si="21"/>
        <v>0</v>
      </c>
      <c r="BS109" s="106"/>
      <c r="BT109" s="106"/>
      <c r="BU109" s="106"/>
      <c r="BV109" s="146">
        <f t="shared" si="22"/>
        <v>0</v>
      </c>
      <c r="BW109" s="106"/>
      <c r="BX109" s="106"/>
      <c r="BY109" s="106"/>
      <c r="BZ109" s="146">
        <f t="shared" si="23"/>
        <v>0</v>
      </c>
      <c r="CA109" s="106"/>
      <c r="CB109" s="106"/>
      <c r="CC109" s="106"/>
      <c r="CD109" s="146">
        <f t="shared" si="24"/>
        <v>0</v>
      </c>
      <c r="CE109" s="106"/>
      <c r="CF109" s="106"/>
      <c r="CG109" s="106"/>
      <c r="CH109" s="146">
        <f t="shared" si="25"/>
        <v>0</v>
      </c>
      <c r="CI109" s="107">
        <v>19229003.719999984</v>
      </c>
      <c r="CJ109" s="107">
        <v>73287.26999999999</v>
      </c>
      <c r="CK109" s="107"/>
      <c r="CL109" s="145">
        <f t="shared" si="26"/>
        <v>-19155716.449999984</v>
      </c>
      <c r="CM109" s="107"/>
      <c r="CN109" s="107"/>
      <c r="CO109" s="107"/>
      <c r="CP109" s="145">
        <f t="shared" si="27"/>
        <v>0</v>
      </c>
      <c r="CQ109" s="107"/>
      <c r="CR109" s="107"/>
      <c r="CS109" s="107"/>
      <c r="CT109" s="145">
        <f t="shared" si="28"/>
        <v>0</v>
      </c>
      <c r="CU109" s="107"/>
      <c r="CV109" s="107"/>
      <c r="CW109" s="107"/>
      <c r="CX109" s="145">
        <f t="shared" si="29"/>
        <v>0</v>
      </c>
      <c r="CY109" s="107"/>
      <c r="CZ109" s="107"/>
      <c r="DA109" s="107"/>
      <c r="DB109" s="145">
        <f t="shared" si="30"/>
        <v>0</v>
      </c>
      <c r="DC109" s="137">
        <v>0</v>
      </c>
      <c r="DD109" s="138">
        <v>0</v>
      </c>
      <c r="DE109" s="138">
        <v>0</v>
      </c>
      <c r="DF109" s="139">
        <f t="shared" si="31"/>
        <v>0</v>
      </c>
    </row>
    <row r="110" spans="1:110" ht="15.6" x14ac:dyDescent="0.3">
      <c r="A110" s="30"/>
      <c r="B110" s="40">
        <v>55</v>
      </c>
      <c r="C110" s="41">
        <v>8123</v>
      </c>
      <c r="D110" s="42" t="s">
        <v>632</v>
      </c>
      <c r="E110" s="43" t="s">
        <v>633</v>
      </c>
      <c r="F110" s="114" t="s">
        <v>627</v>
      </c>
      <c r="G110" s="131"/>
      <c r="H110" s="132"/>
      <c r="I110" s="132"/>
      <c r="J110" s="133">
        <f t="shared" si="6"/>
        <v>0</v>
      </c>
      <c r="K110" s="131"/>
      <c r="L110" s="132"/>
      <c r="M110" s="132"/>
      <c r="N110" s="133">
        <f t="shared" si="7"/>
        <v>0</v>
      </c>
      <c r="O110" s="131"/>
      <c r="P110" s="132"/>
      <c r="Q110" s="132"/>
      <c r="R110" s="133">
        <f t="shared" si="8"/>
        <v>0</v>
      </c>
      <c r="S110" s="131"/>
      <c r="T110" s="132"/>
      <c r="U110" s="132"/>
      <c r="V110" s="133">
        <f t="shared" si="9"/>
        <v>0</v>
      </c>
      <c r="W110" s="131"/>
      <c r="X110" s="132"/>
      <c r="Y110" s="132"/>
      <c r="Z110" s="133">
        <f t="shared" si="10"/>
        <v>0</v>
      </c>
      <c r="AA110" s="134"/>
      <c r="AB110" s="135"/>
      <c r="AC110" s="135"/>
      <c r="AD110" s="148">
        <f t="shared" si="11"/>
        <v>0</v>
      </c>
      <c r="AE110" s="135"/>
      <c r="AF110" s="135"/>
      <c r="AG110" s="135"/>
      <c r="AH110" s="148">
        <f t="shared" si="12"/>
        <v>0</v>
      </c>
      <c r="AI110" s="135"/>
      <c r="AJ110" s="135"/>
      <c r="AK110" s="135"/>
      <c r="AL110" s="148">
        <f t="shared" si="13"/>
        <v>0</v>
      </c>
      <c r="AM110" s="135"/>
      <c r="AN110" s="135"/>
      <c r="AO110" s="135"/>
      <c r="AP110" s="148">
        <f t="shared" si="14"/>
        <v>0</v>
      </c>
      <c r="AQ110" s="135"/>
      <c r="AR110" s="135"/>
      <c r="AS110" s="135"/>
      <c r="AT110" s="148">
        <f t="shared" si="15"/>
        <v>0</v>
      </c>
      <c r="AU110" s="136"/>
      <c r="AV110" s="136"/>
      <c r="AW110" s="136"/>
      <c r="AX110" s="147">
        <f t="shared" si="16"/>
        <v>0</v>
      </c>
      <c r="AY110" s="136"/>
      <c r="AZ110" s="136"/>
      <c r="BA110" s="136"/>
      <c r="BB110" s="147">
        <f t="shared" si="17"/>
        <v>0</v>
      </c>
      <c r="BC110" s="136"/>
      <c r="BD110" s="136"/>
      <c r="BE110" s="136"/>
      <c r="BF110" s="147">
        <f t="shared" si="18"/>
        <v>0</v>
      </c>
      <c r="BG110" s="136"/>
      <c r="BH110" s="136"/>
      <c r="BI110" s="136"/>
      <c r="BJ110" s="147">
        <f t="shared" si="19"/>
        <v>0</v>
      </c>
      <c r="BK110" s="136"/>
      <c r="BL110" s="136"/>
      <c r="BM110" s="136"/>
      <c r="BN110" s="147">
        <f t="shared" si="20"/>
        <v>0</v>
      </c>
      <c r="BO110" s="106"/>
      <c r="BP110" s="106"/>
      <c r="BQ110" s="106"/>
      <c r="BR110" s="146">
        <f t="shared" si="21"/>
        <v>0</v>
      </c>
      <c r="BS110" s="106"/>
      <c r="BT110" s="106"/>
      <c r="BU110" s="106"/>
      <c r="BV110" s="146">
        <f t="shared" si="22"/>
        <v>0</v>
      </c>
      <c r="BW110" s="106"/>
      <c r="BX110" s="106"/>
      <c r="BY110" s="106"/>
      <c r="BZ110" s="146">
        <f t="shared" si="23"/>
        <v>0</v>
      </c>
      <c r="CA110" s="106"/>
      <c r="CB110" s="106"/>
      <c r="CC110" s="106"/>
      <c r="CD110" s="146">
        <f t="shared" si="24"/>
        <v>0</v>
      </c>
      <c r="CE110" s="106"/>
      <c r="CF110" s="106"/>
      <c r="CG110" s="106"/>
      <c r="CH110" s="146">
        <f t="shared" si="25"/>
        <v>0</v>
      </c>
      <c r="CI110" s="107">
        <v>15049645.240000051</v>
      </c>
      <c r="CJ110" s="107">
        <v>79728.150000000009</v>
      </c>
      <c r="CK110" s="107"/>
      <c r="CL110" s="145">
        <f t="shared" si="26"/>
        <v>-14969917.09000005</v>
      </c>
      <c r="CM110" s="107"/>
      <c r="CN110" s="107"/>
      <c r="CO110" s="107"/>
      <c r="CP110" s="145">
        <f t="shared" si="27"/>
        <v>0</v>
      </c>
      <c r="CQ110" s="107"/>
      <c r="CR110" s="107"/>
      <c r="CS110" s="107"/>
      <c r="CT110" s="145">
        <f t="shared" si="28"/>
        <v>0</v>
      </c>
      <c r="CU110" s="107"/>
      <c r="CV110" s="107"/>
      <c r="CW110" s="107"/>
      <c r="CX110" s="145">
        <f t="shared" si="29"/>
        <v>0</v>
      </c>
      <c r="CY110" s="107"/>
      <c r="CZ110" s="107"/>
      <c r="DA110" s="107"/>
      <c r="DB110" s="145">
        <f t="shared" si="30"/>
        <v>0</v>
      </c>
      <c r="DC110" s="137">
        <v>0</v>
      </c>
      <c r="DD110" s="138">
        <v>0</v>
      </c>
      <c r="DE110" s="138">
        <v>0</v>
      </c>
      <c r="DF110" s="139">
        <f t="shared" si="31"/>
        <v>0</v>
      </c>
    </row>
    <row r="111" spans="1:110" ht="15.6" x14ac:dyDescent="0.3">
      <c r="A111" s="30"/>
      <c r="B111" s="40">
        <v>52</v>
      </c>
      <c r="C111" s="41">
        <v>7128</v>
      </c>
      <c r="D111" s="42" t="s">
        <v>634</v>
      </c>
      <c r="E111" s="43" t="s">
        <v>263</v>
      </c>
      <c r="F111" s="114" t="s">
        <v>627</v>
      </c>
      <c r="G111" s="131"/>
      <c r="H111" s="132"/>
      <c r="I111" s="132"/>
      <c r="J111" s="133">
        <f t="shared" si="6"/>
        <v>0</v>
      </c>
      <c r="K111" s="131"/>
      <c r="L111" s="132"/>
      <c r="M111" s="132"/>
      <c r="N111" s="133">
        <f t="shared" si="7"/>
        <v>0</v>
      </c>
      <c r="O111" s="131"/>
      <c r="P111" s="132"/>
      <c r="Q111" s="132"/>
      <c r="R111" s="133">
        <f>IF(ABS(P111-O111)&gt;0.01,P111-O111,IF(ABS(P111-Q111)&gt;0.01,P111-Q111,0))</f>
        <v>0</v>
      </c>
      <c r="S111" s="131"/>
      <c r="T111" s="132"/>
      <c r="U111" s="132"/>
      <c r="V111" s="133">
        <f t="shared" si="9"/>
        <v>0</v>
      </c>
      <c r="W111" s="131"/>
      <c r="X111" s="132"/>
      <c r="Y111" s="132"/>
      <c r="Z111" s="133">
        <f t="shared" si="10"/>
        <v>0</v>
      </c>
      <c r="AA111" s="134"/>
      <c r="AB111" s="135"/>
      <c r="AC111" s="135"/>
      <c r="AD111" s="148">
        <f t="shared" si="11"/>
        <v>0</v>
      </c>
      <c r="AE111" s="135"/>
      <c r="AF111" s="135"/>
      <c r="AG111" s="135"/>
      <c r="AH111" s="148">
        <f t="shared" si="12"/>
        <v>0</v>
      </c>
      <c r="AI111" s="135"/>
      <c r="AJ111" s="135"/>
      <c r="AK111" s="135"/>
      <c r="AL111" s="148">
        <f t="shared" si="13"/>
        <v>0</v>
      </c>
      <c r="AM111" s="135"/>
      <c r="AN111" s="135"/>
      <c r="AO111" s="135"/>
      <c r="AP111" s="148">
        <f t="shared" si="14"/>
        <v>0</v>
      </c>
      <c r="AQ111" s="135"/>
      <c r="AR111" s="135"/>
      <c r="AS111" s="135"/>
      <c r="AT111" s="148">
        <f t="shared" si="15"/>
        <v>0</v>
      </c>
      <c r="AU111" s="136"/>
      <c r="AV111" s="136"/>
      <c r="AW111" s="136"/>
      <c r="AX111" s="147">
        <f t="shared" si="16"/>
        <v>0</v>
      </c>
      <c r="AY111" s="136"/>
      <c r="AZ111" s="136"/>
      <c r="BA111" s="136"/>
      <c r="BB111" s="147">
        <f t="shared" si="17"/>
        <v>0</v>
      </c>
      <c r="BC111" s="136"/>
      <c r="BD111" s="136"/>
      <c r="BE111" s="136"/>
      <c r="BF111" s="147">
        <f t="shared" si="18"/>
        <v>0</v>
      </c>
      <c r="BG111" s="136"/>
      <c r="BH111" s="136"/>
      <c r="BI111" s="136"/>
      <c r="BJ111" s="147">
        <f t="shared" si="19"/>
        <v>0</v>
      </c>
      <c r="BK111" s="136"/>
      <c r="BL111" s="136"/>
      <c r="BM111" s="136"/>
      <c r="BN111" s="147">
        <f t="shared" si="20"/>
        <v>0</v>
      </c>
      <c r="BO111" s="106"/>
      <c r="BP111" s="106"/>
      <c r="BQ111" s="106"/>
      <c r="BR111" s="146">
        <f t="shared" si="21"/>
        <v>0</v>
      </c>
      <c r="BS111" s="106"/>
      <c r="BT111" s="106"/>
      <c r="BU111" s="106"/>
      <c r="BV111" s="146">
        <f t="shared" si="22"/>
        <v>0</v>
      </c>
      <c r="BW111" s="106"/>
      <c r="BX111" s="106"/>
      <c r="BY111" s="106"/>
      <c r="BZ111" s="146">
        <f t="shared" si="23"/>
        <v>0</v>
      </c>
      <c r="CA111" s="106"/>
      <c r="CB111" s="106"/>
      <c r="CC111" s="106"/>
      <c r="CD111" s="146">
        <f t="shared" si="24"/>
        <v>0</v>
      </c>
      <c r="CE111" s="106"/>
      <c r="CF111" s="106"/>
      <c r="CG111" s="106"/>
      <c r="CH111" s="146">
        <f t="shared" si="25"/>
        <v>0</v>
      </c>
      <c r="CI111" s="107">
        <v>33881177.450000003</v>
      </c>
      <c r="CJ111" s="107">
        <v>102741.58999999998</v>
      </c>
      <c r="CK111" s="107"/>
      <c r="CL111" s="145">
        <f t="shared" si="26"/>
        <v>-33778435.859999999</v>
      </c>
      <c r="CM111" s="107"/>
      <c r="CN111" s="107"/>
      <c r="CO111" s="107"/>
      <c r="CP111" s="145">
        <f t="shared" si="27"/>
        <v>0</v>
      </c>
      <c r="CQ111" s="107"/>
      <c r="CR111" s="107"/>
      <c r="CS111" s="107"/>
      <c r="CT111" s="145">
        <f t="shared" si="28"/>
        <v>0</v>
      </c>
      <c r="CU111" s="107"/>
      <c r="CV111" s="107"/>
      <c r="CW111" s="107"/>
      <c r="CX111" s="145">
        <f t="shared" si="29"/>
        <v>0</v>
      </c>
      <c r="CY111" s="107"/>
      <c r="CZ111" s="107"/>
      <c r="DA111" s="107"/>
      <c r="DB111" s="145">
        <f t="shared" si="30"/>
        <v>0</v>
      </c>
      <c r="DC111" s="137">
        <v>0</v>
      </c>
      <c r="DD111" s="138">
        <v>0</v>
      </c>
      <c r="DE111" s="138">
        <v>0</v>
      </c>
      <c r="DF111" s="139">
        <f t="shared" si="31"/>
        <v>0</v>
      </c>
    </row>
    <row r="112" spans="1:110" ht="15.6" x14ac:dyDescent="0.3">
      <c r="A112" s="30"/>
      <c r="B112" s="40">
        <v>54</v>
      </c>
      <c r="C112" s="41">
        <v>7729</v>
      </c>
      <c r="D112" s="42" t="s">
        <v>264</v>
      </c>
      <c r="E112" s="43" t="s">
        <v>265</v>
      </c>
      <c r="F112" s="114" t="s">
        <v>627</v>
      </c>
      <c r="G112" s="131"/>
      <c r="H112" s="132"/>
      <c r="I112" s="132"/>
      <c r="J112" s="133">
        <f t="shared" si="6"/>
        <v>0</v>
      </c>
      <c r="K112" s="131"/>
      <c r="L112" s="132"/>
      <c r="M112" s="132"/>
      <c r="N112" s="133">
        <f t="shared" si="7"/>
        <v>0</v>
      </c>
      <c r="O112" s="131"/>
      <c r="P112" s="132"/>
      <c r="Q112" s="132"/>
      <c r="R112" s="133">
        <f t="shared" ref="R112:R120" si="32">IF(ABS(P112-O112)&gt;0.01,P112-O112,IF(ABS(P112-Q112)&gt;0.01,P112-Q112,0))</f>
        <v>0</v>
      </c>
      <c r="S112" s="131"/>
      <c r="T112" s="132"/>
      <c r="U112" s="132"/>
      <c r="V112" s="133">
        <f t="shared" si="9"/>
        <v>0</v>
      </c>
      <c r="W112" s="131"/>
      <c r="X112" s="132"/>
      <c r="Y112" s="132"/>
      <c r="Z112" s="133">
        <f t="shared" si="10"/>
        <v>0</v>
      </c>
      <c r="AA112" s="134"/>
      <c r="AB112" s="135"/>
      <c r="AC112" s="135"/>
      <c r="AD112" s="148">
        <f t="shared" si="11"/>
        <v>0</v>
      </c>
      <c r="AE112" s="135"/>
      <c r="AF112" s="135"/>
      <c r="AG112" s="135"/>
      <c r="AH112" s="148">
        <f t="shared" si="12"/>
        <v>0</v>
      </c>
      <c r="AI112" s="135"/>
      <c r="AJ112" s="135"/>
      <c r="AK112" s="135"/>
      <c r="AL112" s="148">
        <f t="shared" si="13"/>
        <v>0</v>
      </c>
      <c r="AM112" s="135"/>
      <c r="AN112" s="135"/>
      <c r="AO112" s="135"/>
      <c r="AP112" s="148">
        <f t="shared" si="14"/>
        <v>0</v>
      </c>
      <c r="AQ112" s="135"/>
      <c r="AR112" s="135"/>
      <c r="AS112" s="135"/>
      <c r="AT112" s="148">
        <f t="shared" si="15"/>
        <v>0</v>
      </c>
      <c r="AU112" s="136"/>
      <c r="AV112" s="136"/>
      <c r="AW112" s="136"/>
      <c r="AX112" s="147">
        <f t="shared" si="16"/>
        <v>0</v>
      </c>
      <c r="AY112" s="136"/>
      <c r="AZ112" s="136"/>
      <c r="BA112" s="136"/>
      <c r="BB112" s="147">
        <f t="shared" si="17"/>
        <v>0</v>
      </c>
      <c r="BC112" s="136"/>
      <c r="BD112" s="136"/>
      <c r="BE112" s="136"/>
      <c r="BF112" s="147">
        <f t="shared" si="18"/>
        <v>0</v>
      </c>
      <c r="BG112" s="136"/>
      <c r="BH112" s="136"/>
      <c r="BI112" s="136"/>
      <c r="BJ112" s="147">
        <f t="shared" si="19"/>
        <v>0</v>
      </c>
      <c r="BK112" s="136"/>
      <c r="BL112" s="136"/>
      <c r="BM112" s="136"/>
      <c r="BN112" s="147">
        <f t="shared" si="20"/>
        <v>0</v>
      </c>
      <c r="BO112" s="106"/>
      <c r="BP112" s="106"/>
      <c r="BQ112" s="106"/>
      <c r="BR112" s="146">
        <f t="shared" si="21"/>
        <v>0</v>
      </c>
      <c r="BS112" s="106"/>
      <c r="BT112" s="106"/>
      <c r="BU112" s="106"/>
      <c r="BV112" s="146">
        <f t="shared" si="22"/>
        <v>0</v>
      </c>
      <c r="BW112" s="106"/>
      <c r="BX112" s="106"/>
      <c r="BY112" s="106"/>
      <c r="BZ112" s="146">
        <f t="shared" si="23"/>
        <v>0</v>
      </c>
      <c r="CA112" s="106"/>
      <c r="CB112" s="106"/>
      <c r="CC112" s="106"/>
      <c r="CD112" s="146">
        <f t="shared" si="24"/>
        <v>0</v>
      </c>
      <c r="CE112" s="106"/>
      <c r="CF112" s="106"/>
      <c r="CG112" s="106"/>
      <c r="CH112" s="146">
        <f t="shared" si="25"/>
        <v>0</v>
      </c>
      <c r="CI112" s="107">
        <v>12400620.619999975</v>
      </c>
      <c r="CJ112" s="107">
        <v>51886.129999999976</v>
      </c>
      <c r="CK112" s="107"/>
      <c r="CL112" s="145">
        <f t="shared" si="26"/>
        <v>-12348734.489999974</v>
      </c>
      <c r="CM112" s="107"/>
      <c r="CN112" s="107"/>
      <c r="CO112" s="107"/>
      <c r="CP112" s="145">
        <f t="shared" si="27"/>
        <v>0</v>
      </c>
      <c r="CQ112" s="107"/>
      <c r="CR112" s="107"/>
      <c r="CS112" s="107"/>
      <c r="CT112" s="145">
        <f t="shared" si="28"/>
        <v>0</v>
      </c>
      <c r="CU112" s="107"/>
      <c r="CV112" s="107"/>
      <c r="CW112" s="107"/>
      <c r="CX112" s="145">
        <f t="shared" si="29"/>
        <v>0</v>
      </c>
      <c r="CY112" s="107"/>
      <c r="CZ112" s="107"/>
      <c r="DA112" s="107"/>
      <c r="DB112" s="145">
        <f t="shared" si="30"/>
        <v>0</v>
      </c>
      <c r="DC112" s="137">
        <v>392868.87</v>
      </c>
      <c r="DD112" s="138">
        <v>392868.87</v>
      </c>
      <c r="DE112" s="138">
        <v>0</v>
      </c>
      <c r="DF112" s="139">
        <f t="shared" si="31"/>
        <v>392868.87</v>
      </c>
    </row>
    <row r="113" spans="1:110" ht="15.6" x14ac:dyDescent="0.3">
      <c r="A113" s="30"/>
      <c r="B113" s="45">
        <v>40</v>
      </c>
      <c r="C113" s="41">
        <v>8617</v>
      </c>
      <c r="D113" s="42" t="s">
        <v>266</v>
      </c>
      <c r="E113" s="43" t="s">
        <v>267</v>
      </c>
      <c r="F113" s="114" t="s">
        <v>627</v>
      </c>
      <c r="G113" s="131"/>
      <c r="H113" s="132"/>
      <c r="I113" s="132"/>
      <c r="J113" s="133">
        <f t="shared" si="6"/>
        <v>0</v>
      </c>
      <c r="K113" s="131"/>
      <c r="L113" s="132"/>
      <c r="M113" s="132"/>
      <c r="N113" s="133">
        <f t="shared" si="7"/>
        <v>0</v>
      </c>
      <c r="O113" s="131"/>
      <c r="P113" s="132"/>
      <c r="Q113" s="132"/>
      <c r="R113" s="133">
        <f t="shared" si="32"/>
        <v>0</v>
      </c>
      <c r="S113" s="131"/>
      <c r="T113" s="132"/>
      <c r="U113" s="132"/>
      <c r="V113" s="133">
        <f t="shared" si="9"/>
        <v>0</v>
      </c>
      <c r="W113" s="131"/>
      <c r="X113" s="132"/>
      <c r="Y113" s="132"/>
      <c r="Z113" s="133">
        <f t="shared" si="10"/>
        <v>0</v>
      </c>
      <c r="AA113" s="134"/>
      <c r="AB113" s="135"/>
      <c r="AC113" s="135"/>
      <c r="AD113" s="148">
        <f t="shared" si="11"/>
        <v>0</v>
      </c>
      <c r="AE113" s="135"/>
      <c r="AF113" s="135"/>
      <c r="AG113" s="135"/>
      <c r="AH113" s="148">
        <f t="shared" si="12"/>
        <v>0</v>
      </c>
      <c r="AI113" s="135"/>
      <c r="AJ113" s="135"/>
      <c r="AK113" s="135"/>
      <c r="AL113" s="148">
        <f t="shared" si="13"/>
        <v>0</v>
      </c>
      <c r="AM113" s="135"/>
      <c r="AN113" s="135"/>
      <c r="AO113" s="135"/>
      <c r="AP113" s="148">
        <f t="shared" si="14"/>
        <v>0</v>
      </c>
      <c r="AQ113" s="135"/>
      <c r="AR113" s="135"/>
      <c r="AS113" s="135"/>
      <c r="AT113" s="148">
        <f t="shared" si="15"/>
        <v>0</v>
      </c>
      <c r="AU113" s="136"/>
      <c r="AV113" s="136"/>
      <c r="AW113" s="136"/>
      <c r="AX113" s="147">
        <f t="shared" si="16"/>
        <v>0</v>
      </c>
      <c r="AY113" s="136"/>
      <c r="AZ113" s="136"/>
      <c r="BA113" s="136"/>
      <c r="BB113" s="147">
        <f t="shared" si="17"/>
        <v>0</v>
      </c>
      <c r="BC113" s="136"/>
      <c r="BD113" s="136"/>
      <c r="BE113" s="136"/>
      <c r="BF113" s="147">
        <f t="shared" si="18"/>
        <v>0</v>
      </c>
      <c r="BG113" s="136"/>
      <c r="BH113" s="136"/>
      <c r="BI113" s="136"/>
      <c r="BJ113" s="147">
        <f t="shared" si="19"/>
        <v>0</v>
      </c>
      <c r="BK113" s="136"/>
      <c r="BL113" s="136"/>
      <c r="BM113" s="136"/>
      <c r="BN113" s="147">
        <f t="shared" si="20"/>
        <v>0</v>
      </c>
      <c r="BO113" s="106"/>
      <c r="BP113" s="106"/>
      <c r="BQ113" s="106"/>
      <c r="BR113" s="146">
        <f t="shared" si="21"/>
        <v>0</v>
      </c>
      <c r="BS113" s="106"/>
      <c r="BT113" s="106"/>
      <c r="BU113" s="106"/>
      <c r="BV113" s="146">
        <f t="shared" si="22"/>
        <v>0</v>
      </c>
      <c r="BW113" s="106"/>
      <c r="BX113" s="106"/>
      <c r="BY113" s="106"/>
      <c r="BZ113" s="146">
        <f t="shared" si="23"/>
        <v>0</v>
      </c>
      <c r="CA113" s="106"/>
      <c r="CB113" s="106"/>
      <c r="CC113" s="106"/>
      <c r="CD113" s="146">
        <f t="shared" si="24"/>
        <v>0</v>
      </c>
      <c r="CE113" s="106"/>
      <c r="CF113" s="106"/>
      <c r="CG113" s="106"/>
      <c r="CH113" s="146">
        <f t="shared" si="25"/>
        <v>0</v>
      </c>
      <c r="CI113" s="107">
        <v>119637822.5700006</v>
      </c>
      <c r="CJ113" s="107">
        <v>416456.3799999996</v>
      </c>
      <c r="CK113" s="107"/>
      <c r="CL113" s="145">
        <f t="shared" si="26"/>
        <v>-119221366.19000061</v>
      </c>
      <c r="CM113" s="107"/>
      <c r="CN113" s="107"/>
      <c r="CO113" s="107"/>
      <c r="CP113" s="145">
        <f t="shared" si="27"/>
        <v>0</v>
      </c>
      <c r="CQ113" s="107"/>
      <c r="CR113" s="107"/>
      <c r="CS113" s="107"/>
      <c r="CT113" s="145">
        <f t="shared" si="28"/>
        <v>0</v>
      </c>
      <c r="CU113" s="107"/>
      <c r="CV113" s="107"/>
      <c r="CW113" s="107"/>
      <c r="CX113" s="145">
        <f t="shared" si="29"/>
        <v>0</v>
      </c>
      <c r="CY113" s="107"/>
      <c r="CZ113" s="107"/>
      <c r="DA113" s="107"/>
      <c r="DB113" s="145">
        <f t="shared" si="30"/>
        <v>0</v>
      </c>
      <c r="DC113" s="137">
        <v>0</v>
      </c>
      <c r="DD113" s="138">
        <v>0</v>
      </c>
      <c r="DE113" s="138">
        <v>0</v>
      </c>
      <c r="DF113" s="139">
        <f t="shared" si="31"/>
        <v>0</v>
      </c>
    </row>
    <row r="114" spans="1:110" ht="15.6" x14ac:dyDescent="0.3">
      <c r="A114" s="30"/>
      <c r="B114" s="46">
        <v>60</v>
      </c>
      <c r="C114" s="47">
        <v>8618</v>
      </c>
      <c r="D114" s="48" t="s">
        <v>268</v>
      </c>
      <c r="E114" s="49" t="s">
        <v>1034</v>
      </c>
      <c r="F114" s="115" t="s">
        <v>1035</v>
      </c>
      <c r="G114" s="131"/>
      <c r="H114" s="132"/>
      <c r="I114" s="132"/>
      <c r="J114" s="133">
        <f t="shared" si="6"/>
        <v>0</v>
      </c>
      <c r="K114" s="131"/>
      <c r="L114" s="132"/>
      <c r="M114" s="132"/>
      <c r="N114" s="133">
        <f t="shared" si="7"/>
        <v>0</v>
      </c>
      <c r="O114" s="131"/>
      <c r="P114" s="132"/>
      <c r="Q114" s="132"/>
      <c r="R114" s="133">
        <f t="shared" si="32"/>
        <v>0</v>
      </c>
      <c r="S114" s="131"/>
      <c r="T114" s="132"/>
      <c r="U114" s="132"/>
      <c r="V114" s="133">
        <f t="shared" si="9"/>
        <v>0</v>
      </c>
      <c r="W114" s="131"/>
      <c r="X114" s="132"/>
      <c r="Y114" s="132"/>
      <c r="Z114" s="133">
        <f t="shared" si="10"/>
        <v>0</v>
      </c>
      <c r="AA114" s="134"/>
      <c r="AB114" s="135"/>
      <c r="AC114" s="135"/>
      <c r="AD114" s="148">
        <f t="shared" si="11"/>
        <v>0</v>
      </c>
      <c r="AE114" s="135"/>
      <c r="AF114" s="135"/>
      <c r="AG114" s="135"/>
      <c r="AH114" s="148">
        <f t="shared" si="12"/>
        <v>0</v>
      </c>
      <c r="AI114" s="135"/>
      <c r="AJ114" s="135"/>
      <c r="AK114" s="135"/>
      <c r="AL114" s="148">
        <f t="shared" si="13"/>
        <v>0</v>
      </c>
      <c r="AM114" s="135"/>
      <c r="AN114" s="135"/>
      <c r="AO114" s="135"/>
      <c r="AP114" s="148">
        <f t="shared" si="14"/>
        <v>0</v>
      </c>
      <c r="AQ114" s="135"/>
      <c r="AR114" s="135"/>
      <c r="AS114" s="135"/>
      <c r="AT114" s="148">
        <f t="shared" si="15"/>
        <v>0</v>
      </c>
      <c r="AU114" s="136"/>
      <c r="AV114" s="136"/>
      <c r="AW114" s="136"/>
      <c r="AX114" s="147">
        <f t="shared" si="16"/>
        <v>0</v>
      </c>
      <c r="AY114" s="136"/>
      <c r="AZ114" s="136"/>
      <c r="BA114" s="136"/>
      <c r="BB114" s="147">
        <f t="shared" si="17"/>
        <v>0</v>
      </c>
      <c r="BC114" s="136"/>
      <c r="BD114" s="136"/>
      <c r="BE114" s="136"/>
      <c r="BF114" s="147">
        <f t="shared" si="18"/>
        <v>0</v>
      </c>
      <c r="BG114" s="136"/>
      <c r="BH114" s="136"/>
      <c r="BI114" s="136"/>
      <c r="BJ114" s="147">
        <f t="shared" si="19"/>
        <v>0</v>
      </c>
      <c r="BK114" s="136"/>
      <c r="BL114" s="136"/>
      <c r="BM114" s="136"/>
      <c r="BN114" s="147">
        <f t="shared" si="20"/>
        <v>0</v>
      </c>
      <c r="BO114" s="106"/>
      <c r="BP114" s="106"/>
      <c r="BQ114" s="106"/>
      <c r="BR114" s="146">
        <f t="shared" si="21"/>
        <v>0</v>
      </c>
      <c r="BS114" s="106"/>
      <c r="BT114" s="106"/>
      <c r="BU114" s="106"/>
      <c r="BV114" s="146">
        <f t="shared" si="22"/>
        <v>0</v>
      </c>
      <c r="BW114" s="106"/>
      <c r="BX114" s="106"/>
      <c r="BY114" s="106"/>
      <c r="BZ114" s="146">
        <f t="shared" si="23"/>
        <v>0</v>
      </c>
      <c r="CA114" s="106"/>
      <c r="CB114" s="106"/>
      <c r="CC114" s="106"/>
      <c r="CD114" s="146">
        <f t="shared" si="24"/>
        <v>0</v>
      </c>
      <c r="CE114" s="106"/>
      <c r="CF114" s="106"/>
      <c r="CG114" s="106"/>
      <c r="CH114" s="146">
        <f t="shared" si="25"/>
        <v>0</v>
      </c>
      <c r="CI114" s="107">
        <v>104654808.08000024</v>
      </c>
      <c r="CJ114" s="107">
        <v>297363.43999999954</v>
      </c>
      <c r="CK114" s="107"/>
      <c r="CL114" s="145">
        <f t="shared" si="26"/>
        <v>-104357444.64000024</v>
      </c>
      <c r="CM114" s="107"/>
      <c r="CN114" s="107"/>
      <c r="CO114" s="107"/>
      <c r="CP114" s="145">
        <f t="shared" si="27"/>
        <v>0</v>
      </c>
      <c r="CQ114" s="107"/>
      <c r="CR114" s="107"/>
      <c r="CS114" s="107"/>
      <c r="CT114" s="145">
        <f t="shared" si="28"/>
        <v>0</v>
      </c>
      <c r="CU114" s="107"/>
      <c r="CV114" s="107"/>
      <c r="CW114" s="107"/>
      <c r="CX114" s="145">
        <f t="shared" si="29"/>
        <v>0</v>
      </c>
      <c r="CY114" s="107"/>
      <c r="CZ114" s="107"/>
      <c r="DA114" s="107"/>
      <c r="DB114" s="145">
        <f t="shared" si="30"/>
        <v>0</v>
      </c>
      <c r="DC114" s="137">
        <v>7289.41</v>
      </c>
      <c r="DD114" s="138">
        <v>7289.41</v>
      </c>
      <c r="DE114" s="138">
        <v>0</v>
      </c>
      <c r="DF114" s="139">
        <f t="shared" si="31"/>
        <v>7289.41</v>
      </c>
    </row>
    <row r="115" spans="1:110" ht="15.6" x14ac:dyDescent="0.3">
      <c r="A115" s="30"/>
      <c r="B115" s="51">
        <v>73</v>
      </c>
      <c r="C115" s="47">
        <v>5912</v>
      </c>
      <c r="D115" s="48" t="s">
        <v>1036</v>
      </c>
      <c r="E115" s="49" t="s">
        <v>1326</v>
      </c>
      <c r="F115" s="115" t="s">
        <v>1035</v>
      </c>
      <c r="G115" s="131"/>
      <c r="H115" s="132"/>
      <c r="I115" s="132"/>
      <c r="J115" s="133"/>
      <c r="K115" s="131"/>
      <c r="L115" s="132"/>
      <c r="M115" s="132"/>
      <c r="N115" s="133"/>
      <c r="O115" s="131"/>
      <c r="P115" s="132"/>
      <c r="Q115" s="132"/>
      <c r="R115" s="133"/>
      <c r="S115" s="131"/>
      <c r="T115" s="132"/>
      <c r="U115" s="132"/>
      <c r="V115" s="133"/>
      <c r="W115" s="131"/>
      <c r="X115" s="132"/>
      <c r="Y115" s="132"/>
      <c r="Z115" s="133"/>
      <c r="AA115" s="134"/>
      <c r="AB115" s="135"/>
      <c r="AC115" s="135"/>
      <c r="AD115" s="148"/>
      <c r="AE115" s="135"/>
      <c r="AF115" s="135"/>
      <c r="AG115" s="135"/>
      <c r="AH115" s="148"/>
      <c r="AI115" s="135"/>
      <c r="AJ115" s="135"/>
      <c r="AK115" s="135"/>
      <c r="AL115" s="148"/>
      <c r="AM115" s="135"/>
      <c r="AN115" s="135"/>
      <c r="AO115" s="135"/>
      <c r="AP115" s="148"/>
      <c r="AQ115" s="135"/>
      <c r="AR115" s="135"/>
      <c r="AS115" s="135"/>
      <c r="AT115" s="148"/>
      <c r="AU115" s="136"/>
      <c r="AV115" s="136"/>
      <c r="AW115" s="136"/>
      <c r="AX115" s="147"/>
      <c r="AY115" s="136"/>
      <c r="AZ115" s="136"/>
      <c r="BA115" s="136"/>
      <c r="BB115" s="147"/>
      <c r="BC115" s="136"/>
      <c r="BD115" s="136"/>
      <c r="BE115" s="136"/>
      <c r="BF115" s="147"/>
      <c r="BG115" s="136"/>
      <c r="BH115" s="136"/>
      <c r="BI115" s="136"/>
      <c r="BJ115" s="147"/>
      <c r="BK115" s="136"/>
      <c r="BL115" s="136"/>
      <c r="BM115" s="136"/>
      <c r="BN115" s="147"/>
      <c r="BO115" s="106"/>
      <c r="BP115" s="106"/>
      <c r="BQ115" s="106"/>
      <c r="BR115" s="146"/>
      <c r="BS115" s="106"/>
      <c r="BT115" s="106"/>
      <c r="BU115" s="106"/>
      <c r="BV115" s="146"/>
      <c r="BW115" s="106"/>
      <c r="BX115" s="106"/>
      <c r="BY115" s="106"/>
      <c r="BZ115" s="146"/>
      <c r="CA115" s="106"/>
      <c r="CB115" s="106"/>
      <c r="CC115" s="106"/>
      <c r="CD115" s="146"/>
      <c r="CE115" s="106"/>
      <c r="CF115" s="106"/>
      <c r="CG115" s="106"/>
      <c r="CH115" s="146"/>
      <c r="CI115" s="107"/>
      <c r="CJ115" s="107"/>
      <c r="CK115" s="107"/>
      <c r="CL115" s="145"/>
      <c r="CM115" s="107"/>
      <c r="CN115" s="107"/>
      <c r="CO115" s="107"/>
      <c r="CP115" s="145"/>
      <c r="CQ115" s="107"/>
      <c r="CR115" s="107"/>
      <c r="CS115" s="107"/>
      <c r="CT115" s="145"/>
      <c r="CU115" s="107"/>
      <c r="CV115" s="107"/>
      <c r="CW115" s="107"/>
      <c r="CX115" s="145"/>
      <c r="CY115" s="107"/>
      <c r="CZ115" s="107"/>
      <c r="DA115" s="107"/>
      <c r="DB115" s="145"/>
      <c r="DC115" s="137"/>
      <c r="DD115" s="138"/>
      <c r="DE115" s="138"/>
      <c r="DF115" s="139"/>
    </row>
    <row r="116" spans="1:110" ht="15.6" x14ac:dyDescent="0.3">
      <c r="A116" s="30"/>
      <c r="B116" s="51">
        <v>63</v>
      </c>
      <c r="C116" s="47">
        <v>4450</v>
      </c>
      <c r="D116" s="48" t="s">
        <v>1327</v>
      </c>
      <c r="E116" s="49" t="s">
        <v>1328</v>
      </c>
      <c r="F116" s="115" t="s">
        <v>1035</v>
      </c>
      <c r="G116" s="131"/>
      <c r="H116" s="132"/>
      <c r="I116" s="132"/>
      <c r="J116" s="133">
        <f t="shared" si="6"/>
        <v>0</v>
      </c>
      <c r="K116" s="131"/>
      <c r="L116" s="132"/>
      <c r="M116" s="132"/>
      <c r="N116" s="133">
        <f t="shared" si="7"/>
        <v>0</v>
      </c>
      <c r="O116" s="131"/>
      <c r="P116" s="132"/>
      <c r="Q116" s="132"/>
      <c r="R116" s="133">
        <f t="shared" si="32"/>
        <v>0</v>
      </c>
      <c r="S116" s="131"/>
      <c r="T116" s="132"/>
      <c r="U116" s="132"/>
      <c r="V116" s="133">
        <f t="shared" si="9"/>
        <v>0</v>
      </c>
      <c r="W116" s="131"/>
      <c r="X116" s="132"/>
      <c r="Y116" s="132"/>
      <c r="Z116" s="133">
        <f t="shared" si="10"/>
        <v>0</v>
      </c>
      <c r="AA116" s="134"/>
      <c r="AB116" s="135"/>
      <c r="AC116" s="135"/>
      <c r="AD116" s="148">
        <f t="shared" si="11"/>
        <v>0</v>
      </c>
      <c r="AE116" s="135"/>
      <c r="AF116" s="135"/>
      <c r="AG116" s="135"/>
      <c r="AH116" s="148">
        <f t="shared" si="12"/>
        <v>0</v>
      </c>
      <c r="AI116" s="135"/>
      <c r="AJ116" s="135"/>
      <c r="AK116" s="135"/>
      <c r="AL116" s="148">
        <f t="shared" si="13"/>
        <v>0</v>
      </c>
      <c r="AM116" s="135"/>
      <c r="AN116" s="135"/>
      <c r="AO116" s="135"/>
      <c r="AP116" s="148">
        <f t="shared" si="14"/>
        <v>0</v>
      </c>
      <c r="AQ116" s="135"/>
      <c r="AR116" s="135"/>
      <c r="AS116" s="135"/>
      <c r="AT116" s="148">
        <f t="shared" si="15"/>
        <v>0</v>
      </c>
      <c r="AU116" s="136"/>
      <c r="AV116" s="136"/>
      <c r="AW116" s="136"/>
      <c r="AX116" s="147">
        <f t="shared" si="16"/>
        <v>0</v>
      </c>
      <c r="AY116" s="136"/>
      <c r="AZ116" s="136"/>
      <c r="BA116" s="136"/>
      <c r="BB116" s="147">
        <f t="shared" si="17"/>
        <v>0</v>
      </c>
      <c r="BC116" s="136"/>
      <c r="BD116" s="136"/>
      <c r="BE116" s="136"/>
      <c r="BF116" s="147">
        <f t="shared" si="18"/>
        <v>0</v>
      </c>
      <c r="BG116" s="136"/>
      <c r="BH116" s="136"/>
      <c r="BI116" s="136"/>
      <c r="BJ116" s="147">
        <f t="shared" si="19"/>
        <v>0</v>
      </c>
      <c r="BK116" s="136"/>
      <c r="BL116" s="136"/>
      <c r="BM116" s="136"/>
      <c r="BN116" s="147">
        <f t="shared" si="20"/>
        <v>0</v>
      </c>
      <c r="BO116" s="106"/>
      <c r="BP116" s="106"/>
      <c r="BQ116" s="106"/>
      <c r="BR116" s="146">
        <f t="shared" si="21"/>
        <v>0</v>
      </c>
      <c r="BS116" s="106"/>
      <c r="BT116" s="106"/>
      <c r="BU116" s="106"/>
      <c r="BV116" s="146">
        <f t="shared" si="22"/>
        <v>0</v>
      </c>
      <c r="BW116" s="106"/>
      <c r="BX116" s="106"/>
      <c r="BY116" s="106"/>
      <c r="BZ116" s="146">
        <f t="shared" si="23"/>
        <v>0</v>
      </c>
      <c r="CA116" s="106"/>
      <c r="CB116" s="106"/>
      <c r="CC116" s="106"/>
      <c r="CD116" s="146">
        <f t="shared" si="24"/>
        <v>0</v>
      </c>
      <c r="CE116" s="106"/>
      <c r="CF116" s="106"/>
      <c r="CG116" s="106"/>
      <c r="CH116" s="146">
        <f t="shared" si="25"/>
        <v>0</v>
      </c>
      <c r="CI116" s="107">
        <v>25000285.520000007</v>
      </c>
      <c r="CJ116" s="107">
        <v>99994.02</v>
      </c>
      <c r="CK116" s="107"/>
      <c r="CL116" s="145">
        <f t="shared" si="26"/>
        <v>-24900291.500000007</v>
      </c>
      <c r="CM116" s="107"/>
      <c r="CN116" s="107"/>
      <c r="CO116" s="107"/>
      <c r="CP116" s="145">
        <f t="shared" si="27"/>
        <v>0</v>
      </c>
      <c r="CQ116" s="107"/>
      <c r="CR116" s="107"/>
      <c r="CS116" s="107"/>
      <c r="CT116" s="145">
        <f t="shared" si="28"/>
        <v>0</v>
      </c>
      <c r="CU116" s="107"/>
      <c r="CV116" s="107"/>
      <c r="CW116" s="107"/>
      <c r="CX116" s="145">
        <f t="shared" si="29"/>
        <v>0</v>
      </c>
      <c r="CY116" s="107"/>
      <c r="CZ116" s="107"/>
      <c r="DA116" s="107"/>
      <c r="DB116" s="145">
        <f t="shared" si="30"/>
        <v>0</v>
      </c>
      <c r="DC116" s="137">
        <v>13686.81</v>
      </c>
      <c r="DD116" s="138">
        <v>13686.81</v>
      </c>
      <c r="DE116" s="138">
        <v>0</v>
      </c>
      <c r="DF116" s="139">
        <f t="shared" si="31"/>
        <v>13686.81</v>
      </c>
    </row>
    <row r="117" spans="1:110" ht="15.6" x14ac:dyDescent="0.3">
      <c r="A117" s="30"/>
      <c r="B117" s="48">
        <v>61</v>
      </c>
      <c r="C117" s="47">
        <v>1663</v>
      </c>
      <c r="D117" s="48" t="s">
        <v>1329</v>
      </c>
      <c r="E117" s="49" t="s">
        <v>1330</v>
      </c>
      <c r="F117" s="115" t="s">
        <v>1035</v>
      </c>
      <c r="G117" s="131"/>
      <c r="H117" s="132"/>
      <c r="I117" s="132"/>
      <c r="J117" s="133">
        <f t="shared" si="6"/>
        <v>0</v>
      </c>
      <c r="K117" s="131"/>
      <c r="L117" s="132"/>
      <c r="M117" s="132"/>
      <c r="N117" s="133">
        <f t="shared" si="7"/>
        <v>0</v>
      </c>
      <c r="O117" s="131"/>
      <c r="P117" s="132"/>
      <c r="Q117" s="132"/>
      <c r="R117" s="133">
        <f t="shared" si="32"/>
        <v>0</v>
      </c>
      <c r="S117" s="131"/>
      <c r="T117" s="132"/>
      <c r="U117" s="132"/>
      <c r="V117" s="133">
        <f t="shared" si="9"/>
        <v>0</v>
      </c>
      <c r="W117" s="131"/>
      <c r="X117" s="132"/>
      <c r="Y117" s="132"/>
      <c r="Z117" s="133">
        <f t="shared" si="10"/>
        <v>0</v>
      </c>
      <c r="AA117" s="134"/>
      <c r="AB117" s="135"/>
      <c r="AC117" s="135"/>
      <c r="AD117" s="148">
        <f t="shared" si="11"/>
        <v>0</v>
      </c>
      <c r="AE117" s="135"/>
      <c r="AF117" s="135"/>
      <c r="AG117" s="135"/>
      <c r="AH117" s="148">
        <f t="shared" si="12"/>
        <v>0</v>
      </c>
      <c r="AI117" s="135"/>
      <c r="AJ117" s="135"/>
      <c r="AK117" s="135"/>
      <c r="AL117" s="148">
        <f t="shared" si="13"/>
        <v>0</v>
      </c>
      <c r="AM117" s="135"/>
      <c r="AN117" s="135"/>
      <c r="AO117" s="135"/>
      <c r="AP117" s="148">
        <f t="shared" si="14"/>
        <v>0</v>
      </c>
      <c r="AQ117" s="135"/>
      <c r="AR117" s="135"/>
      <c r="AS117" s="135"/>
      <c r="AT117" s="148">
        <f t="shared" si="15"/>
        <v>0</v>
      </c>
      <c r="AU117" s="136"/>
      <c r="AV117" s="136"/>
      <c r="AW117" s="136"/>
      <c r="AX117" s="147">
        <f t="shared" si="16"/>
        <v>0</v>
      </c>
      <c r="AY117" s="136"/>
      <c r="AZ117" s="136"/>
      <c r="BA117" s="136"/>
      <c r="BB117" s="147">
        <f t="shared" si="17"/>
        <v>0</v>
      </c>
      <c r="BC117" s="136"/>
      <c r="BD117" s="136"/>
      <c r="BE117" s="136"/>
      <c r="BF117" s="147">
        <f t="shared" si="18"/>
        <v>0</v>
      </c>
      <c r="BG117" s="136"/>
      <c r="BH117" s="136"/>
      <c r="BI117" s="136"/>
      <c r="BJ117" s="147">
        <f t="shared" si="19"/>
        <v>0</v>
      </c>
      <c r="BK117" s="136"/>
      <c r="BL117" s="136"/>
      <c r="BM117" s="136"/>
      <c r="BN117" s="147">
        <f t="shared" si="20"/>
        <v>0</v>
      </c>
      <c r="BO117" s="106"/>
      <c r="BP117" s="106"/>
      <c r="BQ117" s="106"/>
      <c r="BR117" s="146">
        <f t="shared" si="21"/>
        <v>0</v>
      </c>
      <c r="BS117" s="106"/>
      <c r="BT117" s="106"/>
      <c r="BU117" s="106"/>
      <c r="BV117" s="146">
        <f t="shared" si="22"/>
        <v>0</v>
      </c>
      <c r="BW117" s="106"/>
      <c r="BX117" s="106"/>
      <c r="BY117" s="106"/>
      <c r="BZ117" s="146">
        <f t="shared" si="23"/>
        <v>0</v>
      </c>
      <c r="CA117" s="106"/>
      <c r="CB117" s="106"/>
      <c r="CC117" s="106"/>
      <c r="CD117" s="146">
        <f t="shared" si="24"/>
        <v>0</v>
      </c>
      <c r="CE117" s="106"/>
      <c r="CF117" s="106"/>
      <c r="CG117" s="106"/>
      <c r="CH117" s="146">
        <f t="shared" si="25"/>
        <v>0</v>
      </c>
      <c r="CI117" s="107">
        <v>18241918.940000035</v>
      </c>
      <c r="CJ117" s="107">
        <v>55251.320000000007</v>
      </c>
      <c r="CK117" s="107"/>
      <c r="CL117" s="145">
        <f t="shared" si="26"/>
        <v>-18186667.620000035</v>
      </c>
      <c r="CM117" s="107"/>
      <c r="CN117" s="107"/>
      <c r="CO117" s="107"/>
      <c r="CP117" s="145">
        <f t="shared" si="27"/>
        <v>0</v>
      </c>
      <c r="CQ117" s="107"/>
      <c r="CR117" s="107"/>
      <c r="CS117" s="107"/>
      <c r="CT117" s="145">
        <f t="shared" si="28"/>
        <v>0</v>
      </c>
      <c r="CU117" s="107"/>
      <c r="CV117" s="107"/>
      <c r="CW117" s="107"/>
      <c r="CX117" s="145">
        <f t="shared" si="29"/>
        <v>0</v>
      </c>
      <c r="CY117" s="107"/>
      <c r="CZ117" s="107"/>
      <c r="DA117" s="107"/>
      <c r="DB117" s="145">
        <f t="shared" si="30"/>
        <v>0</v>
      </c>
      <c r="DC117" s="137">
        <v>3361975.68</v>
      </c>
      <c r="DD117" s="138">
        <v>3361975.68</v>
      </c>
      <c r="DE117" s="138">
        <v>0</v>
      </c>
      <c r="DF117" s="139">
        <f t="shared" si="31"/>
        <v>3361975.68</v>
      </c>
    </row>
    <row r="118" spans="1:110" ht="15.6" x14ac:dyDescent="0.3">
      <c r="A118" s="30"/>
      <c r="B118" s="51">
        <v>69</v>
      </c>
      <c r="C118" s="47">
        <v>4465</v>
      </c>
      <c r="D118" s="48" t="s">
        <v>1331</v>
      </c>
      <c r="E118" s="49" t="s">
        <v>1332</v>
      </c>
      <c r="F118" s="115" t="s">
        <v>1035</v>
      </c>
      <c r="G118" s="131"/>
      <c r="H118" s="132"/>
      <c r="I118" s="132"/>
      <c r="J118" s="133">
        <f t="shared" si="6"/>
        <v>0</v>
      </c>
      <c r="K118" s="131"/>
      <c r="L118" s="132"/>
      <c r="M118" s="132"/>
      <c r="N118" s="133">
        <f t="shared" si="7"/>
        <v>0</v>
      </c>
      <c r="O118" s="131"/>
      <c r="P118" s="132"/>
      <c r="Q118" s="132"/>
      <c r="R118" s="133">
        <f t="shared" si="32"/>
        <v>0</v>
      </c>
      <c r="S118" s="131"/>
      <c r="T118" s="132"/>
      <c r="U118" s="132"/>
      <c r="V118" s="133">
        <f t="shared" si="9"/>
        <v>0</v>
      </c>
      <c r="W118" s="131"/>
      <c r="X118" s="132"/>
      <c r="Y118" s="132"/>
      <c r="Z118" s="133">
        <f t="shared" si="10"/>
        <v>0</v>
      </c>
      <c r="AA118" s="134"/>
      <c r="AB118" s="135"/>
      <c r="AC118" s="135"/>
      <c r="AD118" s="148">
        <f t="shared" si="11"/>
        <v>0</v>
      </c>
      <c r="AE118" s="135"/>
      <c r="AF118" s="135"/>
      <c r="AG118" s="135"/>
      <c r="AH118" s="148">
        <f t="shared" si="12"/>
        <v>0</v>
      </c>
      <c r="AI118" s="135"/>
      <c r="AJ118" s="135"/>
      <c r="AK118" s="135"/>
      <c r="AL118" s="148">
        <f t="shared" si="13"/>
        <v>0</v>
      </c>
      <c r="AM118" s="135"/>
      <c r="AN118" s="135"/>
      <c r="AO118" s="135"/>
      <c r="AP118" s="148">
        <f t="shared" si="14"/>
        <v>0</v>
      </c>
      <c r="AQ118" s="135"/>
      <c r="AR118" s="135"/>
      <c r="AS118" s="135"/>
      <c r="AT118" s="148">
        <f t="shared" si="15"/>
        <v>0</v>
      </c>
      <c r="AU118" s="136"/>
      <c r="AV118" s="136"/>
      <c r="AW118" s="136"/>
      <c r="AX118" s="147">
        <f t="shared" si="16"/>
        <v>0</v>
      </c>
      <c r="AY118" s="136"/>
      <c r="AZ118" s="136"/>
      <c r="BA118" s="136"/>
      <c r="BB118" s="147">
        <f t="shared" si="17"/>
        <v>0</v>
      </c>
      <c r="BC118" s="136"/>
      <c r="BD118" s="136"/>
      <c r="BE118" s="136"/>
      <c r="BF118" s="147">
        <f t="shared" si="18"/>
        <v>0</v>
      </c>
      <c r="BG118" s="136"/>
      <c r="BH118" s="136"/>
      <c r="BI118" s="136"/>
      <c r="BJ118" s="147">
        <f t="shared" si="19"/>
        <v>0</v>
      </c>
      <c r="BK118" s="136"/>
      <c r="BL118" s="136"/>
      <c r="BM118" s="136"/>
      <c r="BN118" s="147">
        <f t="shared" si="20"/>
        <v>0</v>
      </c>
      <c r="BO118" s="106"/>
      <c r="BP118" s="106"/>
      <c r="BQ118" s="106"/>
      <c r="BR118" s="146">
        <f t="shared" si="21"/>
        <v>0</v>
      </c>
      <c r="BS118" s="106"/>
      <c r="BT118" s="106"/>
      <c r="BU118" s="106"/>
      <c r="BV118" s="146">
        <f t="shared" si="22"/>
        <v>0</v>
      </c>
      <c r="BW118" s="106"/>
      <c r="BX118" s="106"/>
      <c r="BY118" s="106"/>
      <c r="BZ118" s="146">
        <f t="shared" si="23"/>
        <v>0</v>
      </c>
      <c r="CA118" s="106"/>
      <c r="CB118" s="106"/>
      <c r="CC118" s="106"/>
      <c r="CD118" s="146">
        <f t="shared" si="24"/>
        <v>0</v>
      </c>
      <c r="CE118" s="106"/>
      <c r="CF118" s="106"/>
      <c r="CG118" s="106"/>
      <c r="CH118" s="146">
        <f t="shared" si="25"/>
        <v>0</v>
      </c>
      <c r="CI118" s="107">
        <v>13854604.56000003</v>
      </c>
      <c r="CJ118" s="107">
        <v>35256.28</v>
      </c>
      <c r="CK118" s="107"/>
      <c r="CL118" s="145">
        <f t="shared" si="26"/>
        <v>-13819348.280000031</v>
      </c>
      <c r="CM118" s="107"/>
      <c r="CN118" s="107"/>
      <c r="CO118" s="107"/>
      <c r="CP118" s="145">
        <f t="shared" si="27"/>
        <v>0</v>
      </c>
      <c r="CQ118" s="107"/>
      <c r="CR118" s="107"/>
      <c r="CS118" s="107"/>
      <c r="CT118" s="145">
        <f t="shared" si="28"/>
        <v>0</v>
      </c>
      <c r="CU118" s="107"/>
      <c r="CV118" s="107"/>
      <c r="CW118" s="107"/>
      <c r="CX118" s="145">
        <f t="shared" si="29"/>
        <v>0</v>
      </c>
      <c r="CY118" s="107"/>
      <c r="CZ118" s="107"/>
      <c r="DA118" s="107"/>
      <c r="DB118" s="145">
        <f t="shared" si="30"/>
        <v>0</v>
      </c>
      <c r="DC118" s="137">
        <v>0</v>
      </c>
      <c r="DD118" s="138">
        <v>0</v>
      </c>
      <c r="DE118" s="138">
        <v>0</v>
      </c>
      <c r="DF118" s="139">
        <f t="shared" si="31"/>
        <v>0</v>
      </c>
    </row>
    <row r="119" spans="1:110" ht="15.6" x14ac:dyDescent="0.3">
      <c r="A119" s="30"/>
      <c r="B119" s="51">
        <v>75</v>
      </c>
      <c r="C119" s="47" t="s">
        <v>1333</v>
      </c>
      <c r="D119" s="48" t="s">
        <v>1334</v>
      </c>
      <c r="E119" s="49" t="s">
        <v>1335</v>
      </c>
      <c r="F119" s="115" t="s">
        <v>1035</v>
      </c>
      <c r="G119" s="131"/>
      <c r="H119" s="132"/>
      <c r="I119" s="132"/>
      <c r="J119" s="133">
        <f t="shared" si="6"/>
        <v>0</v>
      </c>
      <c r="K119" s="131"/>
      <c r="L119" s="132"/>
      <c r="M119" s="132"/>
      <c r="N119" s="133">
        <f t="shared" si="7"/>
        <v>0</v>
      </c>
      <c r="O119" s="131"/>
      <c r="P119" s="132"/>
      <c r="Q119" s="132"/>
      <c r="R119" s="133">
        <f t="shared" si="32"/>
        <v>0</v>
      </c>
      <c r="S119" s="131"/>
      <c r="T119" s="132"/>
      <c r="U119" s="132"/>
      <c r="V119" s="133">
        <f t="shared" si="9"/>
        <v>0</v>
      </c>
      <c r="W119" s="131"/>
      <c r="X119" s="132"/>
      <c r="Y119" s="132"/>
      <c r="Z119" s="133">
        <f t="shared" si="10"/>
        <v>0</v>
      </c>
      <c r="AA119" s="134"/>
      <c r="AB119" s="135"/>
      <c r="AC119" s="135"/>
      <c r="AD119" s="148">
        <f t="shared" si="11"/>
        <v>0</v>
      </c>
      <c r="AE119" s="135"/>
      <c r="AF119" s="135"/>
      <c r="AG119" s="135"/>
      <c r="AH119" s="148">
        <f t="shared" si="12"/>
        <v>0</v>
      </c>
      <c r="AI119" s="135"/>
      <c r="AJ119" s="135"/>
      <c r="AK119" s="135"/>
      <c r="AL119" s="148">
        <f t="shared" si="13"/>
        <v>0</v>
      </c>
      <c r="AM119" s="135"/>
      <c r="AN119" s="135"/>
      <c r="AO119" s="135"/>
      <c r="AP119" s="148">
        <f t="shared" si="14"/>
        <v>0</v>
      </c>
      <c r="AQ119" s="135"/>
      <c r="AR119" s="135"/>
      <c r="AS119" s="135"/>
      <c r="AT119" s="148">
        <f t="shared" si="15"/>
        <v>0</v>
      </c>
      <c r="AU119" s="136"/>
      <c r="AV119" s="136"/>
      <c r="AW119" s="136"/>
      <c r="AX119" s="147">
        <f t="shared" si="16"/>
        <v>0</v>
      </c>
      <c r="AY119" s="136"/>
      <c r="AZ119" s="136"/>
      <c r="BA119" s="136"/>
      <c r="BB119" s="147">
        <f t="shared" si="17"/>
        <v>0</v>
      </c>
      <c r="BC119" s="136"/>
      <c r="BD119" s="136"/>
      <c r="BE119" s="136"/>
      <c r="BF119" s="147">
        <f t="shared" si="18"/>
        <v>0</v>
      </c>
      <c r="BG119" s="136"/>
      <c r="BH119" s="136"/>
      <c r="BI119" s="136"/>
      <c r="BJ119" s="147">
        <f t="shared" si="19"/>
        <v>0</v>
      </c>
      <c r="BK119" s="136"/>
      <c r="BL119" s="136"/>
      <c r="BM119" s="136"/>
      <c r="BN119" s="147">
        <f t="shared" si="20"/>
        <v>0</v>
      </c>
      <c r="BO119" s="106"/>
      <c r="BP119" s="106"/>
      <c r="BQ119" s="106"/>
      <c r="BR119" s="146">
        <f t="shared" si="21"/>
        <v>0</v>
      </c>
      <c r="BS119" s="106"/>
      <c r="BT119" s="106"/>
      <c r="BU119" s="106"/>
      <c r="BV119" s="146">
        <f t="shared" si="22"/>
        <v>0</v>
      </c>
      <c r="BW119" s="106"/>
      <c r="BX119" s="106"/>
      <c r="BY119" s="106"/>
      <c r="BZ119" s="146">
        <f t="shared" si="23"/>
        <v>0</v>
      </c>
      <c r="CA119" s="106"/>
      <c r="CB119" s="106"/>
      <c r="CC119" s="106"/>
      <c r="CD119" s="146">
        <f t="shared" si="24"/>
        <v>0</v>
      </c>
      <c r="CE119" s="106"/>
      <c r="CF119" s="106"/>
      <c r="CG119" s="106"/>
      <c r="CH119" s="146">
        <f t="shared" si="25"/>
        <v>0</v>
      </c>
      <c r="CI119" s="107">
        <v>19440021.650000043</v>
      </c>
      <c r="CJ119" s="107">
        <v>56667.709999999977</v>
      </c>
      <c r="CK119" s="107"/>
      <c r="CL119" s="145">
        <f t="shared" si="26"/>
        <v>-19383353.940000042</v>
      </c>
      <c r="CM119" s="107"/>
      <c r="CN119" s="107"/>
      <c r="CO119" s="107"/>
      <c r="CP119" s="145">
        <f t="shared" si="27"/>
        <v>0</v>
      </c>
      <c r="CQ119" s="107"/>
      <c r="CR119" s="107"/>
      <c r="CS119" s="107"/>
      <c r="CT119" s="145">
        <f t="shared" si="28"/>
        <v>0</v>
      </c>
      <c r="CU119" s="107"/>
      <c r="CV119" s="107"/>
      <c r="CW119" s="107"/>
      <c r="CX119" s="145">
        <f t="shared" si="29"/>
        <v>0</v>
      </c>
      <c r="CY119" s="107"/>
      <c r="CZ119" s="107"/>
      <c r="DA119" s="107"/>
      <c r="DB119" s="145">
        <f t="shared" si="30"/>
        <v>0</v>
      </c>
      <c r="DC119" s="137">
        <v>0</v>
      </c>
      <c r="DD119" s="138">
        <v>0</v>
      </c>
      <c r="DE119" s="138">
        <v>0</v>
      </c>
      <c r="DF119" s="139">
        <f t="shared" si="31"/>
        <v>0</v>
      </c>
    </row>
    <row r="120" spans="1:110" ht="15.6" x14ac:dyDescent="0.3">
      <c r="A120" s="30"/>
      <c r="B120" s="51">
        <v>71</v>
      </c>
      <c r="C120" s="47">
        <v>4482</v>
      </c>
      <c r="D120" s="48" t="s">
        <v>1336</v>
      </c>
      <c r="E120" s="49" t="s">
        <v>1337</v>
      </c>
      <c r="F120" s="115" t="s">
        <v>1035</v>
      </c>
      <c r="G120" s="131"/>
      <c r="H120" s="132"/>
      <c r="I120" s="132"/>
      <c r="J120" s="133">
        <f t="shared" si="6"/>
        <v>0</v>
      </c>
      <c r="K120" s="131"/>
      <c r="L120" s="132"/>
      <c r="M120" s="132"/>
      <c r="N120" s="133">
        <f t="shared" si="7"/>
        <v>0</v>
      </c>
      <c r="O120" s="131"/>
      <c r="P120" s="132"/>
      <c r="Q120" s="132"/>
      <c r="R120" s="133">
        <f t="shared" si="32"/>
        <v>0</v>
      </c>
      <c r="S120" s="131"/>
      <c r="T120" s="132"/>
      <c r="U120" s="132"/>
      <c r="V120" s="133">
        <f t="shared" si="9"/>
        <v>0</v>
      </c>
      <c r="W120" s="131"/>
      <c r="X120" s="132"/>
      <c r="Y120" s="132"/>
      <c r="Z120" s="133">
        <f t="shared" si="10"/>
        <v>0</v>
      </c>
      <c r="AA120" s="134"/>
      <c r="AB120" s="135"/>
      <c r="AC120" s="135"/>
      <c r="AD120" s="148">
        <f t="shared" si="11"/>
        <v>0</v>
      </c>
      <c r="AE120" s="135"/>
      <c r="AF120" s="135"/>
      <c r="AG120" s="135"/>
      <c r="AH120" s="148">
        <f t="shared" si="12"/>
        <v>0</v>
      </c>
      <c r="AI120" s="135"/>
      <c r="AJ120" s="135"/>
      <c r="AK120" s="135"/>
      <c r="AL120" s="148">
        <f t="shared" si="13"/>
        <v>0</v>
      </c>
      <c r="AM120" s="135"/>
      <c r="AN120" s="135"/>
      <c r="AO120" s="135"/>
      <c r="AP120" s="148">
        <f t="shared" si="14"/>
        <v>0</v>
      </c>
      <c r="AQ120" s="135"/>
      <c r="AR120" s="135"/>
      <c r="AS120" s="135"/>
      <c r="AT120" s="148">
        <f t="shared" si="15"/>
        <v>0</v>
      </c>
      <c r="AU120" s="136"/>
      <c r="AV120" s="136"/>
      <c r="AW120" s="136"/>
      <c r="AX120" s="147">
        <f t="shared" si="16"/>
        <v>0</v>
      </c>
      <c r="AY120" s="136"/>
      <c r="AZ120" s="136"/>
      <c r="BA120" s="136"/>
      <c r="BB120" s="147">
        <f t="shared" si="17"/>
        <v>0</v>
      </c>
      <c r="BC120" s="136"/>
      <c r="BD120" s="136"/>
      <c r="BE120" s="136"/>
      <c r="BF120" s="147">
        <f t="shared" si="18"/>
        <v>0</v>
      </c>
      <c r="BG120" s="136"/>
      <c r="BH120" s="136"/>
      <c r="BI120" s="136"/>
      <c r="BJ120" s="147">
        <f t="shared" si="19"/>
        <v>0</v>
      </c>
      <c r="BK120" s="136"/>
      <c r="BL120" s="136"/>
      <c r="BM120" s="136"/>
      <c r="BN120" s="147">
        <f t="shared" si="20"/>
        <v>0</v>
      </c>
      <c r="BO120" s="106"/>
      <c r="BP120" s="106"/>
      <c r="BQ120" s="106"/>
      <c r="BR120" s="146">
        <f t="shared" si="21"/>
        <v>0</v>
      </c>
      <c r="BS120" s="106"/>
      <c r="BT120" s="106"/>
      <c r="BU120" s="106"/>
      <c r="BV120" s="146">
        <f t="shared" si="22"/>
        <v>0</v>
      </c>
      <c r="BW120" s="106"/>
      <c r="BX120" s="106"/>
      <c r="BY120" s="106"/>
      <c r="BZ120" s="146">
        <f t="shared" si="23"/>
        <v>0</v>
      </c>
      <c r="CA120" s="106"/>
      <c r="CB120" s="106"/>
      <c r="CC120" s="106"/>
      <c r="CD120" s="146">
        <f t="shared" si="24"/>
        <v>0</v>
      </c>
      <c r="CE120" s="106"/>
      <c r="CF120" s="106"/>
      <c r="CG120" s="106"/>
      <c r="CH120" s="146">
        <f t="shared" si="25"/>
        <v>0</v>
      </c>
      <c r="CI120" s="107">
        <v>11193145.079999998</v>
      </c>
      <c r="CJ120" s="107">
        <v>55585.890000000014</v>
      </c>
      <c r="CK120" s="107"/>
      <c r="CL120" s="145">
        <f t="shared" si="26"/>
        <v>-11137559.189999998</v>
      </c>
      <c r="CM120" s="107"/>
      <c r="CN120" s="107"/>
      <c r="CO120" s="107"/>
      <c r="CP120" s="145">
        <f t="shared" si="27"/>
        <v>0</v>
      </c>
      <c r="CQ120" s="107"/>
      <c r="CR120" s="107"/>
      <c r="CS120" s="107"/>
      <c r="CT120" s="145">
        <f t="shared" si="28"/>
        <v>0</v>
      </c>
      <c r="CU120" s="107"/>
      <c r="CV120" s="107"/>
      <c r="CW120" s="107"/>
      <c r="CX120" s="145">
        <f t="shared" si="29"/>
        <v>0</v>
      </c>
      <c r="CY120" s="107"/>
      <c r="CZ120" s="107"/>
      <c r="DA120" s="107"/>
      <c r="DB120" s="145">
        <f t="shared" si="30"/>
        <v>0</v>
      </c>
      <c r="DC120" s="137">
        <v>0</v>
      </c>
      <c r="DD120" s="138">
        <v>0</v>
      </c>
      <c r="DE120" s="138">
        <v>0</v>
      </c>
      <c r="DF120" s="139">
        <f t="shared" si="31"/>
        <v>0</v>
      </c>
    </row>
    <row r="121" spans="1:110" ht="16.2" thickBot="1" x14ac:dyDescent="0.35">
      <c r="E121" s="79" t="s">
        <v>423</v>
      </c>
      <c r="F121" s="58" t="s">
        <v>380</v>
      </c>
      <c r="G121" s="141"/>
      <c r="H121" s="142"/>
      <c r="I121" s="142"/>
      <c r="J121" s="133">
        <f>G121-I121</f>
        <v>0</v>
      </c>
      <c r="K121" s="141"/>
      <c r="L121" s="142"/>
      <c r="M121" s="142"/>
      <c r="N121" s="133">
        <f>K121-M121</f>
        <v>0</v>
      </c>
      <c r="O121" s="141"/>
      <c r="P121" s="142"/>
      <c r="Q121" s="142"/>
      <c r="R121" s="133">
        <f>O121-Q121</f>
        <v>0</v>
      </c>
      <c r="S121" s="141"/>
      <c r="T121" s="142"/>
      <c r="U121" s="142"/>
      <c r="V121" s="133">
        <f t="shared" si="9"/>
        <v>0</v>
      </c>
      <c r="W121" s="141"/>
      <c r="X121" s="142"/>
      <c r="Y121" s="142"/>
      <c r="Z121" s="133">
        <f t="shared" si="10"/>
        <v>0</v>
      </c>
      <c r="AA121" s="134"/>
      <c r="AB121" s="135"/>
      <c r="AC121" s="135"/>
      <c r="AD121" s="148">
        <f t="shared" si="11"/>
        <v>0</v>
      </c>
      <c r="AE121" s="135"/>
      <c r="AF121" s="135"/>
      <c r="AG121" s="135"/>
      <c r="AH121" s="148">
        <f t="shared" si="12"/>
        <v>0</v>
      </c>
      <c r="AI121" s="135"/>
      <c r="AJ121" s="135"/>
      <c r="AK121" s="135"/>
      <c r="AL121" s="148">
        <f t="shared" si="13"/>
        <v>0</v>
      </c>
      <c r="AM121" s="135"/>
      <c r="AN121" s="135"/>
      <c r="AO121" s="135"/>
      <c r="AP121" s="148">
        <f t="shared" si="14"/>
        <v>0</v>
      </c>
      <c r="AQ121" s="135"/>
      <c r="AR121" s="135"/>
      <c r="AS121" s="135"/>
      <c r="AT121" s="148">
        <f t="shared" si="15"/>
        <v>0</v>
      </c>
      <c r="AU121" s="136"/>
      <c r="AV121" s="136"/>
      <c r="AW121" s="136"/>
      <c r="AX121" s="147">
        <f t="shared" si="16"/>
        <v>0</v>
      </c>
      <c r="AY121" s="136"/>
      <c r="AZ121" s="136"/>
      <c r="BA121" s="136"/>
      <c r="BB121" s="147">
        <f t="shared" si="17"/>
        <v>0</v>
      </c>
      <c r="BC121" s="136"/>
      <c r="BD121" s="136"/>
      <c r="BE121" s="136"/>
      <c r="BF121" s="147">
        <f t="shared" si="18"/>
        <v>0</v>
      </c>
      <c r="BG121" s="136"/>
      <c r="BH121" s="136"/>
      <c r="BI121" s="136"/>
      <c r="BJ121" s="147">
        <f t="shared" si="19"/>
        <v>0</v>
      </c>
      <c r="BK121" s="136"/>
      <c r="BL121" s="136"/>
      <c r="BM121" s="136"/>
      <c r="BN121" s="147">
        <f t="shared" si="20"/>
        <v>0</v>
      </c>
      <c r="BO121" s="106"/>
      <c r="BP121" s="106"/>
      <c r="BQ121" s="106"/>
      <c r="BR121" s="146">
        <f t="shared" si="21"/>
        <v>0</v>
      </c>
      <c r="BS121" s="106"/>
      <c r="BT121" s="106"/>
      <c r="BU121" s="106"/>
      <c r="BV121" s="146">
        <f t="shared" si="22"/>
        <v>0</v>
      </c>
      <c r="BW121" s="106"/>
      <c r="BX121" s="106"/>
      <c r="BY121" s="106"/>
      <c r="BZ121" s="146">
        <f t="shared" si="23"/>
        <v>0</v>
      </c>
      <c r="CA121" s="106"/>
      <c r="CB121" s="106"/>
      <c r="CC121" s="106"/>
      <c r="CD121" s="146">
        <f t="shared" si="24"/>
        <v>0</v>
      </c>
      <c r="CE121" s="106"/>
      <c r="CF121" s="106"/>
      <c r="CG121" s="106"/>
      <c r="CH121" s="146">
        <f t="shared" si="25"/>
        <v>0</v>
      </c>
      <c r="CI121" s="107"/>
      <c r="CJ121" s="107"/>
      <c r="CK121" s="107"/>
      <c r="CL121" s="145">
        <f t="shared" si="26"/>
        <v>0</v>
      </c>
      <c r="CM121" s="107"/>
      <c r="CN121" s="107"/>
      <c r="CO121" s="107"/>
      <c r="CP121" s="145">
        <f t="shared" si="27"/>
        <v>0</v>
      </c>
      <c r="CQ121" s="107"/>
      <c r="CR121" s="107"/>
      <c r="CS121" s="107"/>
      <c r="CT121" s="145">
        <f t="shared" si="28"/>
        <v>0</v>
      </c>
      <c r="CU121" s="107"/>
      <c r="CV121" s="107"/>
      <c r="CW121" s="107"/>
      <c r="CX121" s="145">
        <f t="shared" si="29"/>
        <v>0</v>
      </c>
      <c r="CY121" s="107"/>
      <c r="CZ121" s="107"/>
      <c r="DA121" s="107"/>
      <c r="DB121" s="145">
        <f t="shared" si="30"/>
        <v>0</v>
      </c>
      <c r="DC121" s="143"/>
      <c r="DD121" s="144"/>
      <c r="DE121" s="144"/>
      <c r="DF121" s="139">
        <f t="shared" si="31"/>
        <v>0</v>
      </c>
    </row>
    <row r="123" spans="1:110" x14ac:dyDescent="0.25">
      <c r="G123" s="26">
        <f>SUM(G87:G120)</f>
        <v>0</v>
      </c>
      <c r="H123" s="26">
        <f>SUM(H87:H120)</f>
        <v>0</v>
      </c>
      <c r="AA123" s="26">
        <f>SUM(AA87:AA120)</f>
        <v>0</v>
      </c>
      <c r="AB123" s="26">
        <f>SUM(AB87:AB120)</f>
        <v>0</v>
      </c>
      <c r="AU123" s="26">
        <f>SUM(AU87:AU120)</f>
        <v>0</v>
      </c>
      <c r="AV123" s="26">
        <f>SUM(AV87:AV120)</f>
        <v>0</v>
      </c>
      <c r="CI123" s="26">
        <f>SUM(CI87:CI120)</f>
        <v>954710086.81000113</v>
      </c>
      <c r="CJ123" s="26">
        <f>SUM(CJ87:CJ120)</f>
        <v>3933423.6799999978</v>
      </c>
    </row>
  </sheetData>
  <mergeCells count="96">
    <mergeCell ref="AQ5:AT5"/>
    <mergeCell ref="AU5:AX5"/>
    <mergeCell ref="AM5:AM6"/>
    <mergeCell ref="AN5:AN6"/>
    <mergeCell ref="AO5:AO6"/>
    <mergeCell ref="AP5:AP6"/>
    <mergeCell ref="AH5:AH6"/>
    <mergeCell ref="AI5:AI6"/>
    <mergeCell ref="G44:Z44"/>
    <mergeCell ref="G5:R5"/>
    <mergeCell ref="S5:AD5"/>
    <mergeCell ref="AE5:AE6"/>
    <mergeCell ref="AF5:AF6"/>
    <mergeCell ref="AA44:AT44"/>
    <mergeCell ref="AJ5:AJ6"/>
    <mergeCell ref="AK5:AK6"/>
    <mergeCell ref="A5:A6"/>
    <mergeCell ref="B5:B6"/>
    <mergeCell ref="C5:C6"/>
    <mergeCell ref="D5:D6"/>
    <mergeCell ref="A44:A45"/>
    <mergeCell ref="B44:B45"/>
    <mergeCell ref="C44:C45"/>
    <mergeCell ref="CE45:CH45"/>
    <mergeCell ref="AQ45:AT45"/>
    <mergeCell ref="AU45:AX45"/>
    <mergeCell ref="AY45:BB45"/>
    <mergeCell ref="BC45:BF45"/>
    <mergeCell ref="K45:N45"/>
    <mergeCell ref="O45:R45"/>
    <mergeCell ref="DC45:DF45"/>
    <mergeCell ref="CI44:DB44"/>
    <mergeCell ref="CI45:CL45"/>
    <mergeCell ref="CM45:CP45"/>
    <mergeCell ref="CQ45:CT45"/>
    <mergeCell ref="D44:D45"/>
    <mergeCell ref="S45:V45"/>
    <mergeCell ref="W45:Z45"/>
    <mergeCell ref="BO45:BR45"/>
    <mergeCell ref="BS45:BV45"/>
    <mergeCell ref="CU45:CX45"/>
    <mergeCell ref="CY45:DB45"/>
    <mergeCell ref="BO44:CH44"/>
    <mergeCell ref="AY5:BA5"/>
    <mergeCell ref="AA45:AD45"/>
    <mergeCell ref="AE45:AH45"/>
    <mergeCell ref="BG45:BJ45"/>
    <mergeCell ref="BW45:BZ45"/>
    <mergeCell ref="CA45:CD45"/>
    <mergeCell ref="BB5:BG5"/>
    <mergeCell ref="E44:E45"/>
    <mergeCell ref="AI45:AL45"/>
    <mergeCell ref="AM45:AP45"/>
    <mergeCell ref="AL5:AL6"/>
    <mergeCell ref="G45:J45"/>
    <mergeCell ref="AU44:BN44"/>
    <mergeCell ref="BK45:BN45"/>
    <mergeCell ref="BH5:BM5"/>
    <mergeCell ref="E5:E6"/>
    <mergeCell ref="AG5:AG6"/>
    <mergeCell ref="E84:E85"/>
    <mergeCell ref="G84:Z84"/>
    <mergeCell ref="W85:Z85"/>
    <mergeCell ref="G85:J85"/>
    <mergeCell ref="K85:N85"/>
    <mergeCell ref="O85:R85"/>
    <mergeCell ref="A84:A85"/>
    <mergeCell ref="B84:B85"/>
    <mergeCell ref="C84:C85"/>
    <mergeCell ref="D84:D85"/>
    <mergeCell ref="AA84:AT84"/>
    <mergeCell ref="AU84:BN84"/>
    <mergeCell ref="AM85:AP85"/>
    <mergeCell ref="AQ85:AT85"/>
    <mergeCell ref="AU85:AX85"/>
    <mergeCell ref="AY85:BB85"/>
    <mergeCell ref="BK85:BN85"/>
    <mergeCell ref="BC85:BF85"/>
    <mergeCell ref="BG85:BJ85"/>
    <mergeCell ref="AE85:AH85"/>
    <mergeCell ref="S85:V85"/>
    <mergeCell ref="CY85:DB85"/>
    <mergeCell ref="BO85:BR85"/>
    <mergeCell ref="BS85:BV85"/>
    <mergeCell ref="AA85:AD85"/>
    <mergeCell ref="AI85:AL85"/>
    <mergeCell ref="BW85:BZ85"/>
    <mergeCell ref="BO84:CH84"/>
    <mergeCell ref="DC85:DF85"/>
    <mergeCell ref="CA85:CD85"/>
    <mergeCell ref="CE85:CH85"/>
    <mergeCell ref="CI85:CL85"/>
    <mergeCell ref="CM85:CP85"/>
    <mergeCell ref="CI84:DB84"/>
    <mergeCell ref="CQ85:CT85"/>
    <mergeCell ref="CU85:CX85"/>
  </mergeCells>
  <phoneticPr fontId="3" type="noConversion"/>
  <conditionalFormatting sqref="R7">
    <cfRule type="expression" dxfId="16" priority="1" stopIfTrue="1">
      <formula>ABS(P7+Q7)&gt;0.01</formula>
    </cfRule>
  </conditionalFormatting>
  <conditionalFormatting sqref="X41 R8:R40">
    <cfRule type="expression" dxfId="15" priority="2" stopIfTrue="1">
      <formula>ABS(P8-Q8)&gt;0.01</formula>
    </cfRule>
  </conditionalFormatting>
  <conditionalFormatting sqref="G7:H40 J7:K40 M7:N40 V7:V40 Q7:Q40 T7:T40 Y7:Z40 AB7:AC40 AC41">
    <cfRule type="cellIs" dxfId="14" priority="4" stopIfTrue="1" operator="equal">
      <formula>"Err"</formula>
    </cfRule>
  </conditionalFormatting>
  <conditionalFormatting sqref="J81 R81 N81 J121 R121 N121">
    <cfRule type="expression" dxfId="13" priority="5" stopIfTrue="1">
      <formula>ABS(G81-I81)&gt;0.01</formula>
    </cfRule>
  </conditionalFormatting>
  <conditionalFormatting sqref="U7:U40 X8:X40 AD8:AD40 AA7:AA40 AG7:AG40 AJ7:AJ40 AM7:AM40 AP7:AP40 I7:I40 O7:O40 L8:L40">
    <cfRule type="expression" dxfId="12" priority="6" stopIfTrue="1">
      <formula>ABS(G7-H7)&gt;0.03</formula>
    </cfRule>
  </conditionalFormatting>
  <conditionalFormatting sqref="X7">
    <cfRule type="expression" dxfId="11" priority="7" stopIfTrue="1">
      <formula>ABS(V7-W7-W41)&gt;0.03</formula>
    </cfRule>
  </conditionalFormatting>
  <conditionalFormatting sqref="AD7">
    <cfRule type="expression" dxfId="10" priority="8" stopIfTrue="1">
      <formula>ABS(AB7-AC7-AC41)&gt;0.01</formula>
    </cfRule>
  </conditionalFormatting>
  <conditionalFormatting sqref="AT7:AT40">
    <cfRule type="expression" dxfId="9" priority="9" stopIfTrue="1">
      <formula>ABS(AI7-AS7-AR7-AQ7)&gt;0.02</formula>
    </cfRule>
  </conditionalFormatting>
  <conditionalFormatting sqref="AX7:AX40">
    <cfRule type="expression" dxfId="8" priority="10" stopIfTrue="1">
      <formula>ABS(AF7-AW7-AV7-AU7)&gt;0.02</formula>
    </cfRule>
  </conditionalFormatting>
  <conditionalFormatting sqref="L7">
    <cfRule type="expression" dxfId="7" priority="11" stopIfTrue="1">
      <formula>ABS(K7-J7-K41)&gt;0.03</formula>
    </cfRule>
  </conditionalFormatting>
  <conditionalFormatting sqref="AY7:BA40">
    <cfRule type="expression" dxfId="6" priority="12" stopIfTrue="1">
      <formula>ABS(AY7-AQ7)&gt;0.02</formula>
    </cfRule>
  </conditionalFormatting>
  <conditionalFormatting sqref="J47:J80 N47:N80 R47:R80 V47:V81 Z47:Z81 AD47:AD81 AH47:AH81 AL47:AL81 AP47:AP81 AT47:AT81 AX47:AX81 BB47:BB81 BF47:BF81 BJ47:BJ81 BN47:BN81 BR47:BR81 BV47:BV81 BZ47:BZ81 CD47:CD81 CH47:CH81 CL47:CL81 CP47:CP81 CT47:CT81 CX47:CX81 DB47:DB81 DF47:DF81 J87:J120 N87:N120 R87:R120 V87:V121 Z87:Z121 AD87:AD121 AH87:AH121 AL87:AL121 AP87:AP121 AT87:AT121 AX87:AX121 BB87:BB121 BF87:BF121 BJ87:BJ121 BN87:BN121 BR87:BR121 BV87:BV121 BZ87:BZ121 CD87:CD121 CH87:CH121 CL87:CL121 CP87:CP121 CT87:CT121 CX87:CX121 DB87:DB121 DF87:DF121">
    <cfRule type="cellIs" dxfId="5" priority="13" stopIfTrue="1" operator="notEqual">
      <formula>0</formula>
    </cfRule>
  </conditionalFormatting>
  <conditionalFormatting sqref="BM7:BM40 BJ7:BJ40">
    <cfRule type="expression" dxfId="4" priority="14" stopIfTrue="1">
      <formula>ABS(BH7-BI7)&gt;0.01</formula>
    </cfRule>
  </conditionalFormatting>
  <conditionalFormatting sqref="BD7:BD40 BG7:BG40 BG42">
    <cfRule type="expression" dxfId="3" priority="15" stopIfTrue="1">
      <formula>ABS(BB7-BC7)&gt;0.02</formula>
    </cfRule>
  </conditionalFormatting>
  <dataValidations count="3">
    <dataValidation type="list" allowBlank="1" showInputMessage="1" showErrorMessage="1" sqref="F1 D1">
      <formula1>$H$1:$H$2</formula1>
    </dataValidation>
    <dataValidation type="list" allowBlank="1" showInputMessage="1" showErrorMessage="1" sqref="D2">
      <formula1>$G$1:$G$2</formula1>
    </dataValidation>
    <dataValidation type="list" allowBlank="1" showInputMessage="1" showErrorMessage="1" sqref="A47:A80 A7:A40 A87:A120">
      <formula1>$I$1:$I$2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Otmet">
                <anchor moveWithCells="1" sizeWithCells="1">
                  <from>
                    <xdr:col>0</xdr:col>
                    <xdr:colOff>45720</xdr:colOff>
                    <xdr:row>3</xdr:row>
                    <xdr:rowOff>220980</xdr:rowOff>
                  </from>
                  <to>
                    <xdr:col>1</xdr:col>
                    <xdr:colOff>419100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nytMet">
                <anchor moveWithCells="1" sizeWithCells="1">
                  <from>
                    <xdr:col>1</xdr:col>
                    <xdr:colOff>464820</xdr:colOff>
                    <xdr:row>3</xdr:row>
                    <xdr:rowOff>205740</xdr:rowOff>
                  </from>
                  <to>
                    <xdr:col>3</xdr:col>
                    <xdr:colOff>144780</xdr:colOff>
                    <xdr:row>3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F_001">
                <anchor moveWithCells="1" sizeWithCells="1">
                  <from>
                    <xdr:col>0</xdr:col>
                    <xdr:colOff>30480</xdr:colOff>
                    <xdr:row>3</xdr:row>
                    <xdr:rowOff>495300</xdr:rowOff>
                  </from>
                  <to>
                    <xdr:col>0</xdr:col>
                    <xdr:colOff>617220</xdr:colOff>
                    <xdr:row>3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F_617">
                <anchor moveWithCells="1" sizeWithCells="1">
                  <from>
                    <xdr:col>1</xdr:col>
                    <xdr:colOff>30480</xdr:colOff>
                    <xdr:row>3</xdr:row>
                    <xdr:rowOff>487680</xdr:rowOff>
                  </from>
                  <to>
                    <xdr:col>1</xdr:col>
                    <xdr:colOff>617220</xdr:colOff>
                    <xdr:row>3</xdr:row>
                    <xdr:rowOff>655320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F_618">
                <anchor moveWithCells="1" sizeWithCells="1">
                  <from>
                    <xdr:col>2</xdr:col>
                    <xdr:colOff>30480</xdr:colOff>
                    <xdr:row>3</xdr:row>
                    <xdr:rowOff>472440</xdr:rowOff>
                  </from>
                  <to>
                    <xdr:col>2</xdr:col>
                    <xdr:colOff>617220</xdr:colOff>
                    <xdr:row>3</xdr:row>
                    <xdr:rowOff>655320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Load_NEW_Schet_Rez">
                <anchor moveWithCells="1">
                  <from>
                    <xdr:col>3</xdr:col>
                    <xdr:colOff>228600</xdr:colOff>
                    <xdr:row>2</xdr:row>
                    <xdr:rowOff>99060</xdr:rowOff>
                  </from>
                  <to>
                    <xdr:col>4</xdr:col>
                    <xdr:colOff>960120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0" name="Button 11">
              <controlPr defaultSize="0" print="0" autoFill="0" autoPict="0" macro="[0]!Kons_RVPS_12a">
                <anchor moveWithCells="1">
                  <from>
                    <xdr:col>3</xdr:col>
                    <xdr:colOff>251460</xdr:colOff>
                    <xdr:row>3</xdr:row>
                    <xdr:rowOff>205740</xdr:rowOff>
                  </from>
                  <to>
                    <xdr:col>4</xdr:col>
                    <xdr:colOff>990600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1" name="Button 13">
              <controlPr defaultSize="0" print="0" autoFill="0" autoPict="0" macro="[0]!Load_Balans_Rezerv">
                <anchor moveWithCells="1">
                  <from>
                    <xdr:col>4</xdr:col>
                    <xdr:colOff>1158240</xdr:colOff>
                    <xdr:row>2</xdr:row>
                    <xdr:rowOff>121920</xdr:rowOff>
                  </from>
                  <to>
                    <xdr:col>5</xdr:col>
                    <xdr:colOff>1470660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2" name="Button 14">
              <controlPr defaultSize="0" print="0" autoFill="0" autoPict="0" macro="[0]!Load_Ost_KRPU_for_RVPS">
                <anchor moveWithCells="1">
                  <from>
                    <xdr:col>4</xdr:col>
                    <xdr:colOff>1158240</xdr:colOff>
                    <xdr:row>3</xdr:row>
                    <xdr:rowOff>236220</xdr:rowOff>
                  </from>
                  <to>
                    <xdr:col>5</xdr:col>
                    <xdr:colOff>1470660</xdr:colOff>
                    <xdr:row>3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3" name="Button 17">
              <controlPr defaultSize="0" print="0" autoFill="0" autoPict="0" macro="[0]!Остатки_из_RVPS.Load_Ost_RVPS">
                <anchor moveWithCells="1">
                  <from>
                    <xdr:col>31</xdr:col>
                    <xdr:colOff>533400</xdr:colOff>
                    <xdr:row>3</xdr:row>
                    <xdr:rowOff>320040</xdr:rowOff>
                  </from>
                  <to>
                    <xdr:col>32</xdr:col>
                    <xdr:colOff>1226820</xdr:colOff>
                    <xdr:row>3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14" name="Button 30">
              <controlPr defaultSize="0" print="0" autoFill="0" autoPict="0" macro="[0]!Load_Ost_12b_POD">
                <anchor moveWithCells="1">
                  <from>
                    <xdr:col>4</xdr:col>
                    <xdr:colOff>1249680</xdr:colOff>
                    <xdr:row>3</xdr:row>
                    <xdr:rowOff>518160</xdr:rowOff>
                  </from>
                  <to>
                    <xdr:col>5</xdr:col>
                    <xdr:colOff>1554480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5" name="Button 56">
              <controlPr defaultSize="0" print="0" autoFill="0" autoPict="0" macro="[0]!Kons_12a_from_RVPS">
                <anchor moveWithCells="1">
                  <from>
                    <xdr:col>9</xdr:col>
                    <xdr:colOff>434340</xdr:colOff>
                    <xdr:row>0</xdr:row>
                    <xdr:rowOff>60960</xdr:rowOff>
                  </from>
                  <to>
                    <xdr:col>10</xdr:col>
                    <xdr:colOff>274320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16" name="Button 61">
              <controlPr defaultSize="0" print="0" autoFill="0" autoPict="0" macro="[0]!Load_Oborot_12a">
                <anchor moveWithCells="1">
                  <from>
                    <xdr:col>0</xdr:col>
                    <xdr:colOff>76200</xdr:colOff>
                    <xdr:row>40</xdr:row>
                    <xdr:rowOff>114300</xdr:rowOff>
                  </from>
                  <to>
                    <xdr:col>2</xdr:col>
                    <xdr:colOff>441960</xdr:colOff>
                    <xdr:row>41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17" name="Button 72">
              <controlPr defaultSize="0" print="0" autoFill="0" autoPict="0" macro="[0]!OST_REZERVA">
                <anchor moveWithCells="1">
                  <from>
                    <xdr:col>7</xdr:col>
                    <xdr:colOff>45720</xdr:colOff>
                    <xdr:row>2</xdr:row>
                    <xdr:rowOff>137160</xdr:rowOff>
                  </from>
                  <to>
                    <xdr:col>8</xdr:col>
                    <xdr:colOff>815340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5" r:id="rId18" name="Button 81">
              <controlPr defaultSize="0" print="0" autoFill="0" autoPict="0" macro="[0]!Load_Ost_12b_POD">
                <anchor moveWithCells="1">
                  <from>
                    <xdr:col>7</xdr:col>
                    <xdr:colOff>60960</xdr:colOff>
                    <xdr:row>3</xdr:row>
                    <xdr:rowOff>236220</xdr:rowOff>
                  </from>
                  <to>
                    <xdr:col>8</xdr:col>
                    <xdr:colOff>822960</xdr:colOff>
                    <xdr:row>3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0" r:id="rId19" name="Button 96">
              <controlPr defaultSize="0" print="0" autoFill="0" autoPict="0" macro="[0]!Load_Oborot_12a">
                <anchor moveWithCells="1">
                  <from>
                    <xdr:col>39</xdr:col>
                    <xdr:colOff>320040</xdr:colOff>
                    <xdr:row>3</xdr:row>
                    <xdr:rowOff>152400</xdr:rowOff>
                  </from>
                  <to>
                    <xdr:col>41</xdr:col>
                    <xdr:colOff>22860</xdr:colOff>
                    <xdr:row>3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" r:id="rId20" name="Button 112">
              <controlPr defaultSize="0" print="0" autoFill="0" autoPict="0" macro="[0]!Load_Ost_ALL_Port_ED_RVPS">
                <anchor moveWithCells="1">
                  <from>
                    <xdr:col>7</xdr:col>
                    <xdr:colOff>60960</xdr:colOff>
                    <xdr:row>3</xdr:row>
                    <xdr:rowOff>502920</xdr:rowOff>
                  </from>
                  <to>
                    <xdr:col>8</xdr:col>
                    <xdr:colOff>822960</xdr:colOff>
                    <xdr:row>3</xdr:row>
                    <xdr:rowOff>716280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0" r:id="rId21" name="Button 116">
              <controlPr defaultSize="0" print="0" autoFill="0" autoPict="0" macro="[0]!Debug_List_Name_RVPS">
                <anchor moveWithCells="1">
                  <from>
                    <xdr:col>9</xdr:col>
                    <xdr:colOff>411480</xdr:colOff>
                    <xdr:row>3</xdr:row>
                    <xdr:rowOff>0</xdr:rowOff>
                  </from>
                  <to>
                    <xdr:col>10</xdr:col>
                    <xdr:colOff>281940</xdr:colOff>
                    <xdr:row>3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9" r:id="rId22" name="Button 155">
              <controlPr defaultSize="0" print="0" autoFill="0" autoPict="0" macro="[0]!WR_Rez_to_KRPU">
                <anchor moveWithCells="1">
                  <from>
                    <xdr:col>55</xdr:col>
                    <xdr:colOff>815340</xdr:colOff>
                    <xdr:row>3</xdr:row>
                    <xdr:rowOff>205740</xdr:rowOff>
                  </from>
                  <to>
                    <xdr:col>57</xdr:col>
                    <xdr:colOff>792480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1" r:id="rId23" name="Button 247">
              <controlPr defaultSize="0" print="0" autoFill="0" autoPict="0" macro="[0]!ED_TO_RVPS">
                <anchor moveWithCells="1">
                  <from>
                    <xdr:col>27</xdr:col>
                    <xdr:colOff>1066800</xdr:colOff>
                    <xdr:row>3</xdr:row>
                    <xdr:rowOff>121920</xdr:rowOff>
                  </from>
                  <to>
                    <xdr:col>28</xdr:col>
                    <xdr:colOff>1158240</xdr:colOff>
                    <xdr:row>3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3" r:id="rId24" name="Button 259">
              <controlPr defaultSize="0" print="0" autoFill="0" autoPict="0" macro="[0]!Остатки_из_RVPS.Load_Ost_RVPS">
                <anchor moveWithCells="1">
                  <from>
                    <xdr:col>3</xdr:col>
                    <xdr:colOff>243840</xdr:colOff>
                    <xdr:row>3</xdr:row>
                    <xdr:rowOff>495300</xdr:rowOff>
                  </from>
                  <to>
                    <xdr:col>4</xdr:col>
                    <xdr:colOff>1059180</xdr:colOff>
                    <xdr:row>3</xdr:row>
                    <xdr:rowOff>708660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5" r:id="rId25" name="Button 281">
              <controlPr defaultSize="0" print="0" autoFill="0" autoPict="0" macro="[0]!Ost_From_KRPU_to_RVPS">
                <anchor moveWithCells="1">
                  <from>
                    <xdr:col>23</xdr:col>
                    <xdr:colOff>381000</xdr:colOff>
                    <xdr:row>3</xdr:row>
                    <xdr:rowOff>144780</xdr:rowOff>
                  </from>
                  <to>
                    <xdr:col>24</xdr:col>
                    <xdr:colOff>411480</xdr:colOff>
                    <xdr:row>3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2" r:id="rId26" name="Button 298">
              <controlPr defaultSize="0" print="0" autoFill="0" autoPict="0" macro="[0]!Load_Sum_Dog">
                <anchor moveWithCells="1">
                  <from>
                    <xdr:col>10</xdr:col>
                    <xdr:colOff>411480</xdr:colOff>
                    <xdr:row>1</xdr:row>
                    <xdr:rowOff>0</xdr:rowOff>
                  </from>
                  <to>
                    <xdr:col>11</xdr:col>
                    <xdr:colOff>297180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AI88"/>
  <sheetViews>
    <sheetView workbookViewId="0">
      <pane xSplit="3" ySplit="2" topLeftCell="V69" activePane="bottomRight" state="frozen"/>
      <selection pane="topRight" activeCell="D1" sqref="D1"/>
      <selection pane="bottomLeft" activeCell="A3" sqref="A3"/>
      <selection pane="bottomRight" activeCell="Z3" sqref="Z3:AC82"/>
    </sheetView>
  </sheetViews>
  <sheetFormatPr defaultColWidth="9.109375" defaultRowHeight="13.2" outlineLevelCol="1" x14ac:dyDescent="0.25"/>
  <cols>
    <col min="1" max="1" width="5.44140625" style="209" customWidth="1"/>
    <col min="2" max="2" width="5.5546875" style="210" customWidth="1"/>
    <col min="3" max="3" width="34.44140625" style="4" customWidth="1"/>
    <col min="4" max="4" width="18" style="26" customWidth="1"/>
    <col min="5" max="5" width="15.5546875" style="26" customWidth="1"/>
    <col min="6" max="6" width="20.33203125" style="26" customWidth="1"/>
    <col min="7" max="9" width="15.5546875" style="26" customWidth="1"/>
    <col min="10" max="11" width="15.5546875" style="4" customWidth="1" outlineLevel="1"/>
    <col min="12" max="13" width="15.5546875" style="211" customWidth="1" outlineLevel="1"/>
    <col min="14" max="14" width="20.33203125" style="211" customWidth="1" outlineLevel="1"/>
    <col min="15" max="17" width="15.5546875" style="211" customWidth="1" outlineLevel="1"/>
    <col min="18" max="19" width="15.5546875" style="26" customWidth="1"/>
    <col min="20" max="20" width="20.33203125" style="26" customWidth="1"/>
    <col min="21" max="21" width="15.5546875" style="26" customWidth="1"/>
    <col min="22" max="23" width="15.5546875" style="4" customWidth="1"/>
    <col min="24" max="24" width="10.44140625" style="4" customWidth="1"/>
    <col min="25" max="25" width="11.44140625" style="4" customWidth="1"/>
    <col min="26" max="26" width="17.33203125" style="4" customWidth="1"/>
    <col min="27" max="27" width="16" style="4" customWidth="1"/>
    <col min="28" max="28" width="16.5546875" style="4" customWidth="1"/>
    <col min="29" max="29" width="19.109375" style="4" customWidth="1"/>
    <col min="30" max="30" width="12.6640625" style="4" customWidth="1"/>
    <col min="31" max="31" width="13.5546875" style="4" customWidth="1"/>
    <col min="32" max="32" width="13.44140625" style="4" customWidth="1"/>
    <col min="33" max="33" width="13.44140625" style="4" bestFit="1" customWidth="1"/>
    <col min="34" max="34" width="12.33203125" style="4" bestFit="1" customWidth="1"/>
    <col min="35" max="35" width="12.6640625" style="4" bestFit="1" customWidth="1"/>
    <col min="36" max="36" width="12" style="4" customWidth="1"/>
    <col min="37" max="16384" width="9.109375" style="4"/>
  </cols>
  <sheetData>
    <row r="1" spans="1:35" ht="37.5" customHeight="1" x14ac:dyDescent="0.25">
      <c r="A1" s="104"/>
      <c r="C1" s="104"/>
      <c r="D1" s="193" t="s">
        <v>1121</v>
      </c>
      <c r="E1" s="194"/>
      <c r="F1" s="451" t="s">
        <v>1039</v>
      </c>
      <c r="G1" s="452"/>
      <c r="H1" s="451" t="s">
        <v>1114</v>
      </c>
      <c r="I1" s="455"/>
      <c r="J1" s="190"/>
      <c r="K1" s="190"/>
      <c r="L1" s="202" t="s">
        <v>1121</v>
      </c>
      <c r="M1" s="203"/>
      <c r="N1" s="456" t="s">
        <v>1039</v>
      </c>
      <c r="O1" s="457"/>
      <c r="P1" s="456" t="s">
        <v>1114</v>
      </c>
      <c r="Q1" s="458"/>
      <c r="R1" s="193" t="s">
        <v>1121</v>
      </c>
      <c r="S1" s="194"/>
      <c r="T1" s="451" t="s">
        <v>1039</v>
      </c>
      <c r="U1" s="452"/>
      <c r="V1" s="453" t="s">
        <v>1114</v>
      </c>
      <c r="W1" s="454"/>
    </row>
    <row r="2" spans="1:35" ht="96.75" customHeight="1" thickBot="1" x14ac:dyDescent="0.3">
      <c r="D2" s="195" t="s">
        <v>1115</v>
      </c>
      <c r="E2" s="196" t="s">
        <v>1116</v>
      </c>
      <c r="F2" s="195" t="s">
        <v>1117</v>
      </c>
      <c r="G2" s="196" t="s">
        <v>1118</v>
      </c>
      <c r="H2" s="195" t="s">
        <v>1117</v>
      </c>
      <c r="I2" s="196" t="s">
        <v>1118</v>
      </c>
      <c r="J2" s="271">
        <v>41214</v>
      </c>
      <c r="K2" s="192"/>
      <c r="L2" s="204" t="s">
        <v>1115</v>
      </c>
      <c r="M2" s="205" t="s">
        <v>1116</v>
      </c>
      <c r="N2" s="204" t="s">
        <v>1117</v>
      </c>
      <c r="O2" s="205" t="s">
        <v>1118</v>
      </c>
      <c r="P2" s="204" t="s">
        <v>1117</v>
      </c>
      <c r="Q2" s="205" t="s">
        <v>1118</v>
      </c>
      <c r="R2" s="195" t="s">
        <v>1115</v>
      </c>
      <c r="S2" s="196" t="s">
        <v>1116</v>
      </c>
      <c r="T2" s="195" t="s">
        <v>1117</v>
      </c>
      <c r="U2" s="196" t="s">
        <v>1118</v>
      </c>
      <c r="V2" s="191" t="s">
        <v>1117</v>
      </c>
      <c r="W2" s="192" t="s">
        <v>1118</v>
      </c>
    </row>
    <row r="3" spans="1:35" x14ac:dyDescent="0.25">
      <c r="A3" s="266">
        <v>1</v>
      </c>
      <c r="B3" s="260" t="s">
        <v>52</v>
      </c>
      <c r="C3" s="289" t="s">
        <v>663</v>
      </c>
      <c r="D3" s="80"/>
      <c r="E3" s="80"/>
      <c r="F3" s="80"/>
      <c r="G3" s="80"/>
      <c r="H3" s="80"/>
      <c r="I3" s="80"/>
      <c r="J3" s="207" t="b">
        <f>F3&gt;=H3</f>
        <v>1</v>
      </c>
      <c r="K3" s="207" t="b">
        <f>G3&gt;=I3</f>
        <v>1</v>
      </c>
      <c r="L3" s="206"/>
      <c r="M3" s="206"/>
      <c r="N3" s="206"/>
      <c r="O3" s="206"/>
      <c r="P3" s="206"/>
      <c r="Q3" s="206"/>
      <c r="R3" s="208">
        <f t="shared" ref="R3:R23" si="0">D3-L3</f>
        <v>0</v>
      </c>
      <c r="S3" s="208">
        <f>E3-M3</f>
        <v>0</v>
      </c>
      <c r="T3" s="208">
        <f t="shared" ref="T3:T23" si="1">F3-N3</f>
        <v>0</v>
      </c>
      <c r="U3" s="208">
        <f t="shared" ref="U3:U22" si="2">G3-O3</f>
        <v>0</v>
      </c>
      <c r="V3" s="208">
        <f t="shared" ref="V3:V23" si="3">H3-P3</f>
        <v>0</v>
      </c>
      <c r="W3" s="208">
        <f t="shared" ref="W3:W23" si="4">I3-Q3</f>
        <v>0</v>
      </c>
      <c r="X3" s="207" t="b">
        <f>R3&gt;=T3</f>
        <v>1</v>
      </c>
      <c r="Y3" s="207" t="b">
        <f>S3&gt;=U3</f>
        <v>1</v>
      </c>
      <c r="Z3" s="304"/>
      <c r="AA3" s="304"/>
      <c r="AB3" s="304"/>
      <c r="AC3" s="304"/>
      <c r="AD3" s="304"/>
      <c r="AE3" s="304"/>
      <c r="AF3" s="357"/>
      <c r="AG3" s="357"/>
      <c r="AH3" s="26"/>
      <c r="AI3" s="26"/>
    </row>
    <row r="4" spans="1:35" x14ac:dyDescent="0.25">
      <c r="A4" s="266">
        <v>2</v>
      </c>
      <c r="B4" s="260" t="s">
        <v>1235</v>
      </c>
      <c r="C4" s="239" t="s">
        <v>736</v>
      </c>
      <c r="D4" s="80"/>
      <c r="E4" s="80"/>
      <c r="F4" s="80"/>
      <c r="G4" s="80"/>
      <c r="H4" s="80"/>
      <c r="I4" s="80"/>
      <c r="J4" s="207" t="b">
        <f t="shared" ref="J4:J22" si="5">F4&gt;=H4</f>
        <v>1</v>
      </c>
      <c r="K4" s="207" t="b">
        <f t="shared" ref="K4:K22" si="6">G4&gt;=I4</f>
        <v>1</v>
      </c>
      <c r="L4" s="206"/>
      <c r="M4" s="206"/>
      <c r="N4" s="206"/>
      <c r="O4" s="206"/>
      <c r="P4" s="206"/>
      <c r="Q4" s="206"/>
      <c r="R4" s="369">
        <f t="shared" si="0"/>
        <v>0</v>
      </c>
      <c r="S4" s="208">
        <f t="shared" ref="S4:S23" si="7">E4-M4</f>
        <v>0</v>
      </c>
      <c r="T4" s="208">
        <f t="shared" si="1"/>
        <v>0</v>
      </c>
      <c r="U4" s="208">
        <f t="shared" si="2"/>
        <v>0</v>
      </c>
      <c r="V4" s="208">
        <f t="shared" si="3"/>
        <v>0</v>
      </c>
      <c r="W4" s="208">
        <f t="shared" si="4"/>
        <v>0</v>
      </c>
      <c r="X4" s="207" t="b">
        <f t="shared" ref="X4:X23" si="8">R4&gt;=T4</f>
        <v>1</v>
      </c>
      <c r="Y4" s="207" t="b">
        <f t="shared" ref="Y4:Y23" si="9">S4&gt;=U4</f>
        <v>1</v>
      </c>
      <c r="Z4" s="304"/>
      <c r="AA4" s="304"/>
      <c r="AB4" s="304"/>
      <c r="AC4" s="304"/>
      <c r="AD4" s="304"/>
      <c r="AE4" s="304"/>
      <c r="AF4" s="357"/>
      <c r="AG4" s="357"/>
      <c r="AH4" s="26"/>
      <c r="AI4" s="26"/>
    </row>
    <row r="5" spans="1:35" x14ac:dyDescent="0.25">
      <c r="A5" s="266">
        <v>3</v>
      </c>
      <c r="B5" s="260" t="s">
        <v>44</v>
      </c>
      <c r="C5" s="239" t="s">
        <v>734</v>
      </c>
      <c r="D5" s="80"/>
      <c r="E5" s="80"/>
      <c r="F5" s="80"/>
      <c r="G5" s="80"/>
      <c r="H5" s="80"/>
      <c r="I5" s="80"/>
      <c r="J5" s="207" t="b">
        <f t="shared" si="5"/>
        <v>1</v>
      </c>
      <c r="K5" s="207" t="b">
        <f t="shared" si="6"/>
        <v>1</v>
      </c>
      <c r="L5" s="206"/>
      <c r="M5" s="206"/>
      <c r="N5" s="206"/>
      <c r="O5" s="206"/>
      <c r="P5" s="206"/>
      <c r="Q5" s="206"/>
      <c r="R5" s="208">
        <f t="shared" si="0"/>
        <v>0</v>
      </c>
      <c r="S5" s="208">
        <f t="shared" si="7"/>
        <v>0</v>
      </c>
      <c r="T5" s="208">
        <f t="shared" si="1"/>
        <v>0</v>
      </c>
      <c r="U5" s="208">
        <f t="shared" si="2"/>
        <v>0</v>
      </c>
      <c r="V5" s="208">
        <f t="shared" si="3"/>
        <v>0</v>
      </c>
      <c r="W5" s="208">
        <f t="shared" si="4"/>
        <v>0</v>
      </c>
      <c r="X5" s="207" t="b">
        <f t="shared" si="8"/>
        <v>1</v>
      </c>
      <c r="Y5" s="207" t="b">
        <f t="shared" si="9"/>
        <v>1</v>
      </c>
      <c r="Z5" s="304"/>
      <c r="AA5" s="304"/>
      <c r="AB5" s="304"/>
      <c r="AC5" s="304"/>
      <c r="AD5" s="304"/>
      <c r="AE5" s="304"/>
      <c r="AF5" s="357"/>
      <c r="AG5" s="357"/>
      <c r="AH5" s="26"/>
      <c r="AI5" s="26"/>
    </row>
    <row r="6" spans="1:35" x14ac:dyDescent="0.25">
      <c r="A6" s="266">
        <v>4</v>
      </c>
      <c r="B6" s="260" t="s">
        <v>54</v>
      </c>
      <c r="C6" s="289" t="s">
        <v>74</v>
      </c>
      <c r="D6" s="80"/>
      <c r="E6" s="80"/>
      <c r="F6" s="80"/>
      <c r="G6" s="80"/>
      <c r="H6" s="80"/>
      <c r="I6" s="80"/>
      <c r="J6" s="207" t="b">
        <f t="shared" si="5"/>
        <v>1</v>
      </c>
      <c r="K6" s="207" t="b">
        <f t="shared" si="6"/>
        <v>1</v>
      </c>
      <c r="L6" s="206"/>
      <c r="M6" s="206"/>
      <c r="N6" s="206"/>
      <c r="O6" s="206"/>
      <c r="P6" s="206"/>
      <c r="Q6" s="206"/>
      <c r="R6" s="208">
        <f t="shared" si="0"/>
        <v>0</v>
      </c>
      <c r="S6" s="208">
        <f t="shared" si="7"/>
        <v>0</v>
      </c>
      <c r="T6" s="208">
        <f t="shared" si="1"/>
        <v>0</v>
      </c>
      <c r="U6" s="208">
        <f t="shared" si="2"/>
        <v>0</v>
      </c>
      <c r="V6" s="208">
        <f t="shared" si="3"/>
        <v>0</v>
      </c>
      <c r="W6" s="208">
        <f t="shared" si="4"/>
        <v>0</v>
      </c>
      <c r="X6" s="207" t="b">
        <f t="shared" si="8"/>
        <v>1</v>
      </c>
      <c r="Y6" s="207" t="b">
        <f t="shared" si="9"/>
        <v>1</v>
      </c>
      <c r="Z6" s="304"/>
      <c r="AA6" s="304"/>
      <c r="AB6" s="304"/>
      <c r="AC6" s="304"/>
      <c r="AD6" s="304"/>
      <c r="AE6" s="304"/>
      <c r="AF6" s="357"/>
      <c r="AG6" s="357"/>
      <c r="AH6" s="26"/>
      <c r="AI6" s="26"/>
    </row>
    <row r="7" spans="1:35" x14ac:dyDescent="0.25">
      <c r="A7" s="266">
        <v>5</v>
      </c>
      <c r="B7" s="260" t="s">
        <v>931</v>
      </c>
      <c r="C7" s="289" t="s">
        <v>930</v>
      </c>
      <c r="D7" s="80"/>
      <c r="E7" s="80"/>
      <c r="F7" s="80"/>
      <c r="G7" s="80"/>
      <c r="H7" s="80"/>
      <c r="I7" s="80"/>
      <c r="J7" s="207" t="b">
        <f t="shared" si="5"/>
        <v>1</v>
      </c>
      <c r="K7" s="207" t="b">
        <f t="shared" si="6"/>
        <v>1</v>
      </c>
      <c r="L7" s="206"/>
      <c r="M7" s="206"/>
      <c r="N7" s="206"/>
      <c r="O7" s="206"/>
      <c r="P7" s="206"/>
      <c r="Q7" s="206"/>
      <c r="R7" s="208">
        <f t="shared" si="0"/>
        <v>0</v>
      </c>
      <c r="S7" s="208">
        <f t="shared" si="7"/>
        <v>0</v>
      </c>
      <c r="T7" s="208">
        <f t="shared" si="1"/>
        <v>0</v>
      </c>
      <c r="U7" s="208">
        <f t="shared" si="2"/>
        <v>0</v>
      </c>
      <c r="V7" s="208">
        <f t="shared" si="3"/>
        <v>0</v>
      </c>
      <c r="W7" s="208">
        <f t="shared" si="4"/>
        <v>0</v>
      </c>
      <c r="X7" s="207" t="b">
        <f t="shared" si="8"/>
        <v>1</v>
      </c>
      <c r="Y7" s="207" t="b">
        <f t="shared" si="9"/>
        <v>1</v>
      </c>
      <c r="Z7" s="304"/>
      <c r="AA7" s="304"/>
      <c r="AB7" s="304"/>
      <c r="AC7" s="304"/>
      <c r="AD7" s="304"/>
      <c r="AE7" s="304"/>
      <c r="AF7" s="357"/>
      <c r="AG7" s="357"/>
      <c r="AH7" s="26"/>
      <c r="AI7" s="26"/>
    </row>
    <row r="8" spans="1:35" x14ac:dyDescent="0.25">
      <c r="A8" s="266">
        <v>6</v>
      </c>
      <c r="B8" s="260" t="s">
        <v>3449</v>
      </c>
      <c r="C8" s="289" t="s">
        <v>742</v>
      </c>
      <c r="D8" s="80"/>
      <c r="E8" s="80"/>
      <c r="F8" s="80"/>
      <c r="G8" s="80"/>
      <c r="H8" s="80"/>
      <c r="I8" s="80"/>
      <c r="J8" s="207" t="b">
        <f t="shared" si="5"/>
        <v>1</v>
      </c>
      <c r="K8" s="207" t="b">
        <f t="shared" si="6"/>
        <v>1</v>
      </c>
      <c r="L8" s="206"/>
      <c r="M8" s="206"/>
      <c r="N8" s="206"/>
      <c r="O8" s="206"/>
      <c r="P8" s="206"/>
      <c r="Q8" s="206"/>
      <c r="R8" s="208">
        <f t="shared" si="0"/>
        <v>0</v>
      </c>
      <c r="S8" s="208">
        <f t="shared" si="7"/>
        <v>0</v>
      </c>
      <c r="T8" s="208">
        <f t="shared" si="1"/>
        <v>0</v>
      </c>
      <c r="U8" s="208">
        <f t="shared" si="2"/>
        <v>0</v>
      </c>
      <c r="V8" s="208">
        <f t="shared" si="3"/>
        <v>0</v>
      </c>
      <c r="W8" s="208">
        <f t="shared" si="4"/>
        <v>0</v>
      </c>
      <c r="X8" s="207" t="b">
        <f t="shared" si="8"/>
        <v>1</v>
      </c>
      <c r="Y8" s="207" t="b">
        <f t="shared" si="9"/>
        <v>1</v>
      </c>
      <c r="Z8" s="304"/>
      <c r="AA8" s="304"/>
      <c r="AB8" s="304"/>
      <c r="AC8" s="304"/>
      <c r="AD8" s="304"/>
      <c r="AE8" s="304"/>
      <c r="AF8" s="357"/>
      <c r="AG8" s="357"/>
      <c r="AH8" s="26"/>
      <c r="AI8" s="26"/>
    </row>
    <row r="9" spans="1:35" x14ac:dyDescent="0.25">
      <c r="A9" s="266">
        <v>7</v>
      </c>
      <c r="B9" s="260" t="s">
        <v>49</v>
      </c>
      <c r="C9" s="289" t="s">
        <v>735</v>
      </c>
      <c r="D9" s="80"/>
      <c r="E9" s="80"/>
      <c r="F9" s="80"/>
      <c r="G9" s="80"/>
      <c r="H9" s="80"/>
      <c r="I9" s="80"/>
      <c r="J9" s="207" t="b">
        <f t="shared" si="5"/>
        <v>1</v>
      </c>
      <c r="K9" s="207" t="b">
        <f t="shared" si="6"/>
        <v>1</v>
      </c>
      <c r="L9" s="206"/>
      <c r="M9" s="206"/>
      <c r="N9" s="206"/>
      <c r="O9" s="206"/>
      <c r="P9" s="206"/>
      <c r="Q9" s="206"/>
      <c r="R9" s="208">
        <f t="shared" si="0"/>
        <v>0</v>
      </c>
      <c r="S9" s="208">
        <f t="shared" si="7"/>
        <v>0</v>
      </c>
      <c r="T9" s="208">
        <f t="shared" si="1"/>
        <v>0</v>
      </c>
      <c r="U9" s="208">
        <f t="shared" si="2"/>
        <v>0</v>
      </c>
      <c r="V9" s="208">
        <f t="shared" si="3"/>
        <v>0</v>
      </c>
      <c r="W9" s="208">
        <f t="shared" si="4"/>
        <v>0</v>
      </c>
      <c r="X9" s="207" t="b">
        <f t="shared" si="8"/>
        <v>1</v>
      </c>
      <c r="Y9" s="207" t="b">
        <f t="shared" si="9"/>
        <v>1</v>
      </c>
      <c r="Z9" s="304"/>
      <c r="AA9" s="304"/>
      <c r="AB9" s="304"/>
      <c r="AC9" s="304"/>
      <c r="AD9" s="304"/>
      <c r="AE9" s="304"/>
      <c r="AF9" s="357"/>
      <c r="AG9" s="357"/>
      <c r="AH9" s="26"/>
      <c r="AI9" s="26"/>
    </row>
    <row r="10" spans="1:35" x14ac:dyDescent="0.25">
      <c r="A10" s="266">
        <v>8</v>
      </c>
      <c r="B10" s="260" t="s">
        <v>1107</v>
      </c>
      <c r="C10" s="239" t="s">
        <v>659</v>
      </c>
      <c r="D10" s="80"/>
      <c r="E10" s="80"/>
      <c r="F10" s="80"/>
      <c r="G10" s="80"/>
      <c r="H10" s="80"/>
      <c r="I10" s="80"/>
      <c r="J10" s="207" t="b">
        <f t="shared" si="5"/>
        <v>1</v>
      </c>
      <c r="K10" s="207" t="b">
        <f t="shared" si="6"/>
        <v>1</v>
      </c>
      <c r="L10" s="206"/>
      <c r="M10" s="206"/>
      <c r="N10" s="206"/>
      <c r="O10" s="206"/>
      <c r="P10" s="206"/>
      <c r="Q10" s="206"/>
      <c r="R10" s="208">
        <f t="shared" si="0"/>
        <v>0</v>
      </c>
      <c r="S10" s="208">
        <f t="shared" si="7"/>
        <v>0</v>
      </c>
      <c r="T10" s="208">
        <f t="shared" si="1"/>
        <v>0</v>
      </c>
      <c r="U10" s="208">
        <f t="shared" si="2"/>
        <v>0</v>
      </c>
      <c r="V10" s="208">
        <f t="shared" si="3"/>
        <v>0</v>
      </c>
      <c r="W10" s="208">
        <f t="shared" si="4"/>
        <v>0</v>
      </c>
      <c r="X10" s="207" t="b">
        <f t="shared" si="8"/>
        <v>1</v>
      </c>
      <c r="Y10" s="207" t="b">
        <f t="shared" si="9"/>
        <v>1</v>
      </c>
      <c r="Z10" s="304"/>
      <c r="AA10" s="304"/>
      <c r="AB10" s="304"/>
      <c r="AC10" s="304"/>
      <c r="AD10" s="304"/>
      <c r="AE10" s="304"/>
      <c r="AF10" s="357"/>
      <c r="AG10" s="357"/>
      <c r="AH10" s="26"/>
      <c r="AI10" s="26"/>
    </row>
    <row r="11" spans="1:35" x14ac:dyDescent="0.25">
      <c r="A11" s="266">
        <v>9</v>
      </c>
      <c r="B11" s="260" t="s">
        <v>1327</v>
      </c>
      <c r="C11" s="289" t="s">
        <v>427</v>
      </c>
      <c r="D11" s="80"/>
      <c r="E11" s="80"/>
      <c r="F11" s="80"/>
      <c r="G11" s="80"/>
      <c r="H11" s="80"/>
      <c r="I11" s="80"/>
      <c r="J11" s="207" t="b">
        <f t="shared" si="5"/>
        <v>1</v>
      </c>
      <c r="K11" s="207" t="b">
        <f t="shared" si="6"/>
        <v>1</v>
      </c>
      <c r="L11" s="206"/>
      <c r="M11" s="206"/>
      <c r="N11" s="206"/>
      <c r="O11" s="206"/>
      <c r="P11" s="206"/>
      <c r="Q11" s="206"/>
      <c r="R11" s="208">
        <f t="shared" si="0"/>
        <v>0</v>
      </c>
      <c r="S11" s="208">
        <f t="shared" si="7"/>
        <v>0</v>
      </c>
      <c r="T11" s="208">
        <f t="shared" si="1"/>
        <v>0</v>
      </c>
      <c r="U11" s="208">
        <f t="shared" si="2"/>
        <v>0</v>
      </c>
      <c r="V11" s="208">
        <f t="shared" si="3"/>
        <v>0</v>
      </c>
      <c r="W11" s="208">
        <f t="shared" si="4"/>
        <v>0</v>
      </c>
      <c r="X11" s="207" t="b">
        <f t="shared" si="8"/>
        <v>1</v>
      </c>
      <c r="Y11" s="207" t="b">
        <f t="shared" si="9"/>
        <v>1</v>
      </c>
      <c r="Z11" s="304"/>
      <c r="AA11" s="304"/>
      <c r="AB11" s="304"/>
      <c r="AC11" s="304"/>
      <c r="AD11" s="304"/>
      <c r="AE11" s="304"/>
      <c r="AF11" s="357"/>
      <c r="AG11" s="357"/>
      <c r="AH11" s="26"/>
      <c r="AI11" s="26"/>
    </row>
    <row r="12" spans="1:35" x14ac:dyDescent="0.25">
      <c r="A12" s="266">
        <v>10</v>
      </c>
      <c r="B12" s="260" t="s">
        <v>1223</v>
      </c>
      <c r="C12" s="239" t="s">
        <v>767</v>
      </c>
      <c r="D12" s="80"/>
      <c r="E12" s="80"/>
      <c r="F12" s="80"/>
      <c r="G12" s="80"/>
      <c r="H12" s="80"/>
      <c r="I12" s="80"/>
      <c r="J12" s="207" t="b">
        <f t="shared" si="5"/>
        <v>1</v>
      </c>
      <c r="K12" s="207" t="b">
        <f t="shared" si="6"/>
        <v>1</v>
      </c>
      <c r="L12" s="206"/>
      <c r="M12" s="206"/>
      <c r="N12" s="206"/>
      <c r="O12" s="206"/>
      <c r="P12" s="206"/>
      <c r="Q12" s="206"/>
      <c r="R12" s="208">
        <f t="shared" si="0"/>
        <v>0</v>
      </c>
      <c r="S12" s="208">
        <f t="shared" si="7"/>
        <v>0</v>
      </c>
      <c r="T12" s="208">
        <f t="shared" si="1"/>
        <v>0</v>
      </c>
      <c r="U12" s="208">
        <f t="shared" si="2"/>
        <v>0</v>
      </c>
      <c r="V12" s="208">
        <f t="shared" si="3"/>
        <v>0</v>
      </c>
      <c r="W12" s="208">
        <f t="shared" si="4"/>
        <v>0</v>
      </c>
      <c r="X12" s="207" t="b">
        <f t="shared" si="8"/>
        <v>1</v>
      </c>
      <c r="Y12" s="207" t="b">
        <f t="shared" si="9"/>
        <v>1</v>
      </c>
      <c r="Z12" s="304"/>
      <c r="AA12" s="304"/>
      <c r="AB12" s="304"/>
      <c r="AC12" s="304"/>
      <c r="AD12" s="304"/>
      <c r="AE12" s="304"/>
      <c r="AF12" s="357"/>
      <c r="AG12" s="357"/>
      <c r="AH12" s="26"/>
      <c r="AI12" s="26"/>
    </row>
    <row r="13" spans="1:35" x14ac:dyDescent="0.25">
      <c r="A13" s="266">
        <v>11</v>
      </c>
      <c r="B13" s="260" t="s">
        <v>1111</v>
      </c>
      <c r="C13" s="239" t="s">
        <v>426</v>
      </c>
      <c r="D13" s="80"/>
      <c r="E13" s="80"/>
      <c r="F13" s="80"/>
      <c r="G13" s="80"/>
      <c r="H13" s="80"/>
      <c r="I13" s="80"/>
      <c r="J13" s="207" t="b">
        <f t="shared" si="5"/>
        <v>1</v>
      </c>
      <c r="K13" s="207" t="b">
        <f t="shared" si="6"/>
        <v>1</v>
      </c>
      <c r="L13" s="206"/>
      <c r="M13" s="206"/>
      <c r="N13" s="206"/>
      <c r="O13" s="206"/>
      <c r="P13" s="206"/>
      <c r="Q13" s="206"/>
      <c r="R13" s="208">
        <f t="shared" si="0"/>
        <v>0</v>
      </c>
      <c r="S13" s="208">
        <f t="shared" si="7"/>
        <v>0</v>
      </c>
      <c r="T13" s="208">
        <f t="shared" si="1"/>
        <v>0</v>
      </c>
      <c r="U13" s="208">
        <f t="shared" si="2"/>
        <v>0</v>
      </c>
      <c r="V13" s="208">
        <f t="shared" si="3"/>
        <v>0</v>
      </c>
      <c r="W13" s="208">
        <f t="shared" si="4"/>
        <v>0</v>
      </c>
      <c r="X13" s="207" t="b">
        <f t="shared" si="8"/>
        <v>1</v>
      </c>
      <c r="Y13" s="207" t="b">
        <f t="shared" si="9"/>
        <v>1</v>
      </c>
      <c r="Z13" s="304"/>
      <c r="AA13" s="304"/>
      <c r="AB13" s="304"/>
      <c r="AC13" s="304"/>
      <c r="AD13" s="304"/>
      <c r="AE13" s="304"/>
      <c r="AF13" s="357"/>
      <c r="AG13" s="357"/>
      <c r="AH13" s="26"/>
      <c r="AI13" s="26"/>
    </row>
    <row r="14" spans="1:35" x14ac:dyDescent="0.25">
      <c r="A14" s="266">
        <v>12</v>
      </c>
      <c r="B14" s="260" t="s">
        <v>1270</v>
      </c>
      <c r="C14" s="289" t="s">
        <v>425</v>
      </c>
      <c r="D14" s="80"/>
      <c r="E14" s="80"/>
      <c r="F14" s="80"/>
      <c r="G14" s="80"/>
      <c r="H14" s="80"/>
      <c r="I14" s="80"/>
      <c r="J14" s="207" t="b">
        <f t="shared" si="5"/>
        <v>1</v>
      </c>
      <c r="K14" s="207" t="b">
        <f t="shared" si="6"/>
        <v>1</v>
      </c>
      <c r="L14" s="206"/>
      <c r="M14" s="206"/>
      <c r="N14" s="206"/>
      <c r="O14" s="206"/>
      <c r="P14" s="206"/>
      <c r="Q14" s="206"/>
      <c r="R14" s="208">
        <f t="shared" si="0"/>
        <v>0</v>
      </c>
      <c r="S14" s="208">
        <f t="shared" si="7"/>
        <v>0</v>
      </c>
      <c r="T14" s="208">
        <f t="shared" si="1"/>
        <v>0</v>
      </c>
      <c r="U14" s="208">
        <f t="shared" si="2"/>
        <v>0</v>
      </c>
      <c r="V14" s="208">
        <f t="shared" si="3"/>
        <v>0</v>
      </c>
      <c r="W14" s="208">
        <f t="shared" si="4"/>
        <v>0</v>
      </c>
      <c r="X14" s="207" t="b">
        <f t="shared" si="8"/>
        <v>1</v>
      </c>
      <c r="Y14" s="207" t="b">
        <f t="shared" si="9"/>
        <v>1</v>
      </c>
      <c r="Z14" s="304"/>
      <c r="AA14" s="304"/>
      <c r="AB14" s="304"/>
      <c r="AC14" s="304"/>
      <c r="AD14" s="304"/>
      <c r="AE14" s="304"/>
      <c r="AF14" s="357"/>
      <c r="AG14" s="357"/>
      <c r="AH14" s="26"/>
      <c r="AI14" s="26"/>
    </row>
    <row r="15" spans="1:35" x14ac:dyDescent="0.25">
      <c r="A15" s="266">
        <v>13</v>
      </c>
      <c r="B15" s="260" t="s">
        <v>1036</v>
      </c>
      <c r="C15" s="239" t="s">
        <v>424</v>
      </c>
      <c r="D15" s="80"/>
      <c r="E15" s="80"/>
      <c r="F15" s="80"/>
      <c r="G15" s="80"/>
      <c r="H15" s="80"/>
      <c r="I15" s="80"/>
      <c r="J15" s="207" t="b">
        <f t="shared" si="5"/>
        <v>1</v>
      </c>
      <c r="K15" s="207" t="b">
        <f t="shared" si="6"/>
        <v>1</v>
      </c>
      <c r="L15" s="206"/>
      <c r="M15" s="206"/>
      <c r="N15" s="206"/>
      <c r="O15" s="206"/>
      <c r="P15" s="206"/>
      <c r="Q15" s="206"/>
      <c r="R15" s="208">
        <f t="shared" si="0"/>
        <v>0</v>
      </c>
      <c r="S15" s="208">
        <f t="shared" si="7"/>
        <v>0</v>
      </c>
      <c r="T15" s="208">
        <f t="shared" si="1"/>
        <v>0</v>
      </c>
      <c r="U15" s="208">
        <f t="shared" si="2"/>
        <v>0</v>
      </c>
      <c r="V15" s="208">
        <f t="shared" si="3"/>
        <v>0</v>
      </c>
      <c r="W15" s="208">
        <f t="shared" si="4"/>
        <v>0</v>
      </c>
      <c r="X15" s="207" t="b">
        <f t="shared" si="8"/>
        <v>1</v>
      </c>
      <c r="Y15" s="207" t="b">
        <f t="shared" si="9"/>
        <v>1</v>
      </c>
      <c r="Z15" s="304"/>
      <c r="AA15" s="304"/>
      <c r="AB15" s="304"/>
      <c r="AC15" s="304"/>
      <c r="AD15" s="304"/>
      <c r="AE15" s="304"/>
      <c r="AF15" s="357"/>
      <c r="AG15" s="357"/>
      <c r="AH15" s="26"/>
      <c r="AI15" s="26"/>
    </row>
    <row r="16" spans="1:35" x14ac:dyDescent="0.25">
      <c r="A16" s="266">
        <v>14</v>
      </c>
      <c r="B16" s="260" t="s">
        <v>1108</v>
      </c>
      <c r="C16" s="239" t="s">
        <v>131</v>
      </c>
      <c r="D16" s="80"/>
      <c r="E16" s="80"/>
      <c r="F16" s="80"/>
      <c r="G16" s="80"/>
      <c r="H16" s="80"/>
      <c r="I16" s="80"/>
      <c r="J16" s="207" t="b">
        <f t="shared" si="5"/>
        <v>1</v>
      </c>
      <c r="K16" s="207" t="b">
        <f t="shared" si="6"/>
        <v>1</v>
      </c>
      <c r="L16" s="206"/>
      <c r="M16" s="206"/>
      <c r="N16" s="206"/>
      <c r="O16" s="206"/>
      <c r="P16" s="206"/>
      <c r="Q16" s="206"/>
      <c r="R16" s="208">
        <f t="shared" si="0"/>
        <v>0</v>
      </c>
      <c r="S16" s="208">
        <f t="shared" si="7"/>
        <v>0</v>
      </c>
      <c r="T16" s="208">
        <f t="shared" si="1"/>
        <v>0</v>
      </c>
      <c r="U16" s="208">
        <f t="shared" si="2"/>
        <v>0</v>
      </c>
      <c r="V16" s="208">
        <f t="shared" si="3"/>
        <v>0</v>
      </c>
      <c r="W16" s="208">
        <f t="shared" si="4"/>
        <v>0</v>
      </c>
      <c r="X16" s="207" t="b">
        <f t="shared" si="8"/>
        <v>1</v>
      </c>
      <c r="Y16" s="207" t="b">
        <f t="shared" si="9"/>
        <v>1</v>
      </c>
      <c r="Z16" s="304"/>
      <c r="AA16" s="304"/>
      <c r="AB16" s="304"/>
      <c r="AC16" s="304"/>
      <c r="AD16" s="304"/>
      <c r="AE16" s="304"/>
      <c r="AF16" s="357"/>
      <c r="AG16" s="357"/>
      <c r="AH16" s="26"/>
      <c r="AI16" s="26"/>
    </row>
    <row r="17" spans="1:35" x14ac:dyDescent="0.25">
      <c r="A17" s="266">
        <v>15</v>
      </c>
      <c r="B17" s="260" t="s">
        <v>57</v>
      </c>
      <c r="C17" s="239" t="s">
        <v>130</v>
      </c>
      <c r="D17" s="80"/>
      <c r="E17" s="80"/>
      <c r="F17" s="80"/>
      <c r="G17" s="80"/>
      <c r="H17" s="80"/>
      <c r="I17" s="80"/>
      <c r="J17" s="207" t="b">
        <f t="shared" si="5"/>
        <v>1</v>
      </c>
      <c r="K17" s="207" t="b">
        <f t="shared" si="6"/>
        <v>1</v>
      </c>
      <c r="L17" s="206"/>
      <c r="M17" s="206"/>
      <c r="N17" s="206"/>
      <c r="O17" s="206"/>
      <c r="P17" s="206"/>
      <c r="Q17" s="206"/>
      <c r="R17" s="369">
        <f t="shared" si="0"/>
        <v>0</v>
      </c>
      <c r="S17" s="208">
        <f t="shared" si="7"/>
        <v>0</v>
      </c>
      <c r="T17" s="208">
        <f t="shared" si="1"/>
        <v>0</v>
      </c>
      <c r="U17" s="208">
        <f t="shared" si="2"/>
        <v>0</v>
      </c>
      <c r="V17" s="208">
        <f t="shared" si="3"/>
        <v>0</v>
      </c>
      <c r="W17" s="208">
        <f t="shared" si="4"/>
        <v>0</v>
      </c>
      <c r="X17" s="207" t="b">
        <f t="shared" si="8"/>
        <v>1</v>
      </c>
      <c r="Y17" s="207" t="b">
        <f t="shared" si="9"/>
        <v>1</v>
      </c>
      <c r="Z17" s="304"/>
      <c r="AA17" s="304"/>
      <c r="AB17" s="304"/>
      <c r="AC17" s="304"/>
      <c r="AD17" s="304"/>
      <c r="AE17" s="304"/>
      <c r="AF17" s="357"/>
      <c r="AG17" s="357"/>
      <c r="AH17" s="26"/>
      <c r="AI17" s="26"/>
    </row>
    <row r="18" spans="1:35" x14ac:dyDescent="0.25">
      <c r="A18" s="266">
        <v>16</v>
      </c>
      <c r="B18" s="260" t="s">
        <v>628</v>
      </c>
      <c r="C18" s="239" t="s">
        <v>129</v>
      </c>
      <c r="D18" s="80"/>
      <c r="E18" s="80"/>
      <c r="F18" s="80"/>
      <c r="G18" s="80"/>
      <c r="H18" s="80"/>
      <c r="I18" s="80"/>
      <c r="J18" s="207" t="b">
        <f t="shared" si="5"/>
        <v>1</v>
      </c>
      <c r="K18" s="207" t="b">
        <f t="shared" si="6"/>
        <v>1</v>
      </c>
      <c r="L18" s="206"/>
      <c r="M18" s="206"/>
      <c r="N18" s="206"/>
      <c r="O18" s="206"/>
      <c r="P18" s="206"/>
      <c r="Q18" s="206"/>
      <c r="R18" s="208">
        <f t="shared" si="0"/>
        <v>0</v>
      </c>
      <c r="S18" s="208">
        <f t="shared" si="7"/>
        <v>0</v>
      </c>
      <c r="T18" s="208">
        <f t="shared" si="1"/>
        <v>0</v>
      </c>
      <c r="U18" s="208">
        <f t="shared" si="2"/>
        <v>0</v>
      </c>
      <c r="V18" s="208">
        <f t="shared" si="3"/>
        <v>0</v>
      </c>
      <c r="W18" s="208">
        <f t="shared" si="4"/>
        <v>0</v>
      </c>
      <c r="X18" s="207" t="b">
        <f t="shared" si="8"/>
        <v>1</v>
      </c>
      <c r="Y18" s="207" t="b">
        <f t="shared" si="9"/>
        <v>1</v>
      </c>
      <c r="Z18" s="304"/>
      <c r="AA18" s="304"/>
      <c r="AB18" s="304"/>
      <c r="AC18" s="304"/>
      <c r="AD18" s="304"/>
      <c r="AE18" s="304"/>
      <c r="AF18" s="357"/>
      <c r="AG18" s="357"/>
      <c r="AH18" s="26"/>
      <c r="AI18" s="26"/>
    </row>
    <row r="19" spans="1:35" x14ac:dyDescent="0.25">
      <c r="A19" s="266">
        <v>17</v>
      </c>
      <c r="B19" s="260" t="s">
        <v>268</v>
      </c>
      <c r="C19" s="239" t="s">
        <v>770</v>
      </c>
      <c r="D19" s="80"/>
      <c r="E19" s="80"/>
      <c r="F19" s="80"/>
      <c r="G19" s="80"/>
      <c r="H19" s="80"/>
      <c r="I19" s="80"/>
      <c r="J19" s="207" t="b">
        <f t="shared" si="5"/>
        <v>1</v>
      </c>
      <c r="K19" s="207" t="b">
        <f t="shared" si="6"/>
        <v>1</v>
      </c>
      <c r="L19" s="206"/>
      <c r="M19" s="206"/>
      <c r="N19" s="206"/>
      <c r="O19" s="206"/>
      <c r="P19" s="206"/>
      <c r="Q19" s="206"/>
      <c r="R19" s="208">
        <f t="shared" si="0"/>
        <v>0</v>
      </c>
      <c r="S19" s="208">
        <f t="shared" si="7"/>
        <v>0</v>
      </c>
      <c r="T19" s="208">
        <f t="shared" si="1"/>
        <v>0</v>
      </c>
      <c r="U19" s="208">
        <f t="shared" si="2"/>
        <v>0</v>
      </c>
      <c r="V19" s="208">
        <f t="shared" si="3"/>
        <v>0</v>
      </c>
      <c r="W19" s="208">
        <f t="shared" si="4"/>
        <v>0</v>
      </c>
      <c r="X19" s="207" t="b">
        <f t="shared" si="8"/>
        <v>1</v>
      </c>
      <c r="Y19" s="207" t="b">
        <f t="shared" si="9"/>
        <v>1</v>
      </c>
      <c r="Z19" s="304"/>
      <c r="AA19" s="304"/>
      <c r="AB19" s="304"/>
      <c r="AC19" s="304"/>
      <c r="AD19" s="304"/>
      <c r="AE19" s="304"/>
      <c r="AF19" s="357"/>
      <c r="AG19" s="357"/>
      <c r="AH19" s="26"/>
      <c r="AI19" s="26"/>
    </row>
    <row r="20" spans="1:35" x14ac:dyDescent="0.25">
      <c r="A20" s="266">
        <v>18</v>
      </c>
      <c r="B20" s="260" t="s">
        <v>266</v>
      </c>
      <c r="C20" s="239" t="s">
        <v>769</v>
      </c>
      <c r="D20" s="80"/>
      <c r="E20" s="80"/>
      <c r="F20" s="80"/>
      <c r="G20" s="80"/>
      <c r="H20" s="80"/>
      <c r="I20" s="80"/>
      <c r="J20" s="207" t="b">
        <f t="shared" si="5"/>
        <v>1</v>
      </c>
      <c r="K20" s="207" t="b">
        <f t="shared" si="6"/>
        <v>1</v>
      </c>
      <c r="L20" s="206"/>
      <c r="M20" s="206"/>
      <c r="N20" s="206"/>
      <c r="O20" s="206"/>
      <c r="P20" s="206"/>
      <c r="Q20" s="206"/>
      <c r="R20" s="208">
        <f t="shared" si="0"/>
        <v>0</v>
      </c>
      <c r="S20" s="208">
        <f t="shared" si="7"/>
        <v>0</v>
      </c>
      <c r="T20" s="208">
        <f t="shared" si="1"/>
        <v>0</v>
      </c>
      <c r="U20" s="208">
        <f t="shared" si="2"/>
        <v>0</v>
      </c>
      <c r="V20" s="208">
        <f t="shared" si="3"/>
        <v>0</v>
      </c>
      <c r="W20" s="208">
        <f t="shared" si="4"/>
        <v>0</v>
      </c>
      <c r="X20" s="207" t="b">
        <f t="shared" si="8"/>
        <v>1</v>
      </c>
      <c r="Y20" s="207" t="b">
        <f t="shared" si="9"/>
        <v>1</v>
      </c>
      <c r="Z20" s="304"/>
      <c r="AA20" s="304"/>
      <c r="AB20" s="304"/>
      <c r="AC20" s="304"/>
      <c r="AD20" s="304"/>
      <c r="AE20" s="304"/>
      <c r="AF20" s="357"/>
      <c r="AG20" s="357"/>
      <c r="AH20" s="26"/>
      <c r="AI20" s="26"/>
    </row>
    <row r="21" spans="1:35" x14ac:dyDescent="0.25">
      <c r="A21" s="266">
        <v>19</v>
      </c>
      <c r="B21" s="260" t="s">
        <v>1221</v>
      </c>
      <c r="C21" s="239" t="s">
        <v>768</v>
      </c>
      <c r="D21" s="80"/>
      <c r="E21" s="80"/>
      <c r="F21" s="80"/>
      <c r="G21" s="80"/>
      <c r="H21" s="80"/>
      <c r="I21" s="80"/>
      <c r="J21" s="207" t="b">
        <f t="shared" si="5"/>
        <v>1</v>
      </c>
      <c r="K21" s="207" t="b">
        <f t="shared" si="6"/>
        <v>1</v>
      </c>
      <c r="L21" s="206"/>
      <c r="M21" s="206"/>
      <c r="N21" s="206"/>
      <c r="O21" s="206"/>
      <c r="P21" s="206"/>
      <c r="Q21" s="206"/>
      <c r="R21" s="208">
        <f t="shared" si="0"/>
        <v>0</v>
      </c>
      <c r="S21" s="208">
        <f t="shared" si="7"/>
        <v>0</v>
      </c>
      <c r="T21" s="208">
        <f t="shared" si="1"/>
        <v>0</v>
      </c>
      <c r="U21" s="208">
        <f t="shared" si="2"/>
        <v>0</v>
      </c>
      <c r="V21" s="208">
        <f t="shared" si="3"/>
        <v>0</v>
      </c>
      <c r="W21" s="208">
        <f t="shared" si="4"/>
        <v>0</v>
      </c>
      <c r="X21" s="207" t="b">
        <f t="shared" si="8"/>
        <v>1</v>
      </c>
      <c r="Y21" s="207" t="b">
        <f t="shared" si="9"/>
        <v>1</v>
      </c>
      <c r="Z21" s="304"/>
      <c r="AA21" s="304"/>
      <c r="AB21" s="304"/>
      <c r="AC21" s="304"/>
      <c r="AD21" s="304"/>
      <c r="AE21" s="304"/>
      <c r="AF21" s="357"/>
      <c r="AG21" s="357"/>
      <c r="AH21" s="26"/>
      <c r="AI21" s="26"/>
    </row>
    <row r="22" spans="1:35" x14ac:dyDescent="0.25">
      <c r="A22" s="266">
        <v>20</v>
      </c>
      <c r="B22" s="260" t="s">
        <v>1222</v>
      </c>
      <c r="C22" s="239" t="s">
        <v>766</v>
      </c>
      <c r="D22" s="80"/>
      <c r="E22" s="80"/>
      <c r="F22" s="80"/>
      <c r="G22" s="80"/>
      <c r="H22" s="80"/>
      <c r="I22" s="80"/>
      <c r="J22" s="207" t="b">
        <f t="shared" si="5"/>
        <v>1</v>
      </c>
      <c r="K22" s="207" t="b">
        <f t="shared" si="6"/>
        <v>1</v>
      </c>
      <c r="L22" s="206"/>
      <c r="M22" s="206"/>
      <c r="N22" s="206"/>
      <c r="O22" s="206"/>
      <c r="P22" s="206"/>
      <c r="Q22" s="206"/>
      <c r="R22" s="208">
        <f t="shared" si="0"/>
        <v>0</v>
      </c>
      <c r="S22" s="208">
        <f t="shared" si="7"/>
        <v>0</v>
      </c>
      <c r="T22" s="208">
        <f t="shared" si="1"/>
        <v>0</v>
      </c>
      <c r="U22" s="208">
        <f t="shared" si="2"/>
        <v>0</v>
      </c>
      <c r="V22" s="208">
        <f t="shared" si="3"/>
        <v>0</v>
      </c>
      <c r="W22" s="208">
        <f t="shared" si="4"/>
        <v>0</v>
      </c>
      <c r="X22" s="207" t="b">
        <f t="shared" si="8"/>
        <v>1</v>
      </c>
      <c r="Y22" s="207" t="b">
        <f t="shared" si="9"/>
        <v>1</v>
      </c>
      <c r="Z22" s="304"/>
      <c r="AA22" s="304"/>
      <c r="AB22" s="304"/>
      <c r="AC22" s="304"/>
      <c r="AD22" s="304"/>
      <c r="AE22" s="304"/>
      <c r="AF22" s="357"/>
      <c r="AG22" s="357"/>
      <c r="AH22" s="26"/>
      <c r="AI22" s="26"/>
    </row>
    <row r="23" spans="1:35" x14ac:dyDescent="0.25">
      <c r="A23" s="266">
        <v>21</v>
      </c>
      <c r="B23" s="260" t="s">
        <v>761</v>
      </c>
      <c r="C23" s="289" t="s">
        <v>765</v>
      </c>
      <c r="D23" s="80"/>
      <c r="E23" s="80"/>
      <c r="F23" s="80"/>
      <c r="G23" s="80"/>
      <c r="H23" s="80"/>
      <c r="I23" s="80"/>
      <c r="J23" s="207" t="b">
        <f t="shared" ref="J23:K25" si="10">F23&gt;=H23</f>
        <v>1</v>
      </c>
      <c r="K23" s="207" t="b">
        <f t="shared" si="10"/>
        <v>1</v>
      </c>
      <c r="L23" s="206"/>
      <c r="M23" s="206"/>
      <c r="N23" s="206"/>
      <c r="O23" s="206"/>
      <c r="P23" s="206"/>
      <c r="Q23" s="206"/>
      <c r="R23" s="208">
        <f t="shared" si="0"/>
        <v>0</v>
      </c>
      <c r="S23" s="208">
        <f t="shared" si="7"/>
        <v>0</v>
      </c>
      <c r="T23" s="208">
        <f t="shared" si="1"/>
        <v>0</v>
      </c>
      <c r="U23" s="208">
        <f>G23-O23</f>
        <v>0</v>
      </c>
      <c r="V23" s="208">
        <f t="shared" si="3"/>
        <v>0</v>
      </c>
      <c r="W23" s="208">
        <f t="shared" si="4"/>
        <v>0</v>
      </c>
      <c r="X23" s="207" t="b">
        <f t="shared" si="8"/>
        <v>1</v>
      </c>
      <c r="Y23" s="207" t="b">
        <f t="shared" si="9"/>
        <v>1</v>
      </c>
      <c r="Z23" s="304"/>
      <c r="AA23" s="304"/>
      <c r="AB23" s="304"/>
      <c r="AC23" s="304"/>
      <c r="AD23" s="304"/>
      <c r="AE23" s="304"/>
      <c r="AF23" s="357"/>
      <c r="AG23" s="357"/>
      <c r="AH23" s="26"/>
      <c r="AI23" s="26"/>
    </row>
    <row r="24" spans="1:35" x14ac:dyDescent="0.25">
      <c r="A24" s="266">
        <v>22</v>
      </c>
      <c r="B24" s="262" t="s">
        <v>1369</v>
      </c>
      <c r="C24" s="261" t="s">
        <v>741</v>
      </c>
      <c r="D24" s="80"/>
      <c r="E24" s="80"/>
      <c r="F24" s="80"/>
      <c r="G24" s="80"/>
      <c r="H24" s="80"/>
      <c r="I24" s="80"/>
      <c r="J24" s="207" t="b">
        <f t="shared" si="10"/>
        <v>1</v>
      </c>
      <c r="K24" s="207" t="b">
        <f t="shared" si="10"/>
        <v>1</v>
      </c>
      <c r="L24" s="206"/>
      <c r="M24" s="206"/>
      <c r="N24" s="206"/>
      <c r="O24" s="206"/>
      <c r="P24" s="206"/>
      <c r="Q24" s="206"/>
      <c r="R24" s="263">
        <f t="shared" ref="R24:T25" si="11">D24-L24</f>
        <v>0</v>
      </c>
      <c r="S24" s="263">
        <f t="shared" si="11"/>
        <v>0</v>
      </c>
      <c r="T24" s="263">
        <f t="shared" si="11"/>
        <v>0</v>
      </c>
      <c r="U24" s="263">
        <f>G24-O24</f>
        <v>0</v>
      </c>
      <c r="V24" s="263">
        <f>H24-P24</f>
        <v>0</v>
      </c>
      <c r="W24" s="263">
        <f>I24-Q24</f>
        <v>0</v>
      </c>
      <c r="X24" s="264" t="b">
        <f t="shared" ref="X24:Y27" si="12">R24&gt;=T24</f>
        <v>1</v>
      </c>
      <c r="Y24" s="264" t="b">
        <f t="shared" si="12"/>
        <v>1</v>
      </c>
      <c r="Z24" s="304"/>
      <c r="AA24" s="304"/>
      <c r="AB24" s="304"/>
      <c r="AC24" s="304"/>
      <c r="AD24" s="304"/>
      <c r="AE24" s="304"/>
      <c r="AF24" s="357"/>
      <c r="AG24" s="357"/>
      <c r="AH24" s="26"/>
      <c r="AI24" s="26"/>
    </row>
    <row r="25" spans="1:35" x14ac:dyDescent="0.25">
      <c r="A25" s="266">
        <v>23</v>
      </c>
      <c r="B25" s="210" t="s">
        <v>1336</v>
      </c>
      <c r="C25" s="4" t="s">
        <v>764</v>
      </c>
      <c r="D25" s="80"/>
      <c r="E25" s="80"/>
      <c r="F25" s="80"/>
      <c r="G25" s="80"/>
      <c r="H25" s="80"/>
      <c r="I25" s="80"/>
      <c r="J25" s="207" t="b">
        <f t="shared" si="10"/>
        <v>1</v>
      </c>
      <c r="K25" s="207" t="b">
        <f t="shared" si="10"/>
        <v>1</v>
      </c>
      <c r="L25" s="206"/>
      <c r="M25" s="206"/>
      <c r="R25" s="263">
        <f t="shared" si="11"/>
        <v>0</v>
      </c>
      <c r="S25" s="263">
        <f t="shared" si="11"/>
        <v>0</v>
      </c>
      <c r="T25" s="263">
        <f t="shared" si="11"/>
        <v>0</v>
      </c>
      <c r="U25" s="263">
        <f>G25-O25</f>
        <v>0</v>
      </c>
      <c r="V25" s="263">
        <f>H25-P25</f>
        <v>0</v>
      </c>
      <c r="W25" s="263">
        <f>I25-Q25</f>
        <v>0</v>
      </c>
      <c r="X25" s="264" t="b">
        <f t="shared" si="12"/>
        <v>1</v>
      </c>
      <c r="Y25" s="264" t="b">
        <f t="shared" si="12"/>
        <v>1</v>
      </c>
      <c r="Z25" s="304"/>
      <c r="AA25" s="304"/>
      <c r="AB25" s="304"/>
      <c r="AC25" s="304"/>
      <c r="AD25" s="304"/>
      <c r="AE25" s="304"/>
      <c r="AF25" s="357"/>
      <c r="AG25" s="357"/>
      <c r="AH25" s="26"/>
      <c r="AI25" s="26"/>
    </row>
    <row r="26" spans="1:35" x14ac:dyDescent="0.25">
      <c r="A26" s="266">
        <v>24</v>
      </c>
      <c r="B26" s="210" t="s">
        <v>1334</v>
      </c>
      <c r="C26" s="4" t="s">
        <v>740</v>
      </c>
      <c r="D26" s="80"/>
      <c r="E26" s="80"/>
      <c r="F26" s="80"/>
      <c r="G26" s="80"/>
      <c r="H26" s="80"/>
      <c r="I26" s="80"/>
      <c r="J26" s="207" t="b">
        <f t="shared" ref="J26:K29" si="13">F26&gt;=H26</f>
        <v>1</v>
      </c>
      <c r="K26" s="207" t="b">
        <f t="shared" si="13"/>
        <v>1</v>
      </c>
      <c r="L26" s="206"/>
      <c r="M26" s="206"/>
      <c r="R26" s="263">
        <f t="shared" ref="R26:W26" si="14">D26-L26</f>
        <v>0</v>
      </c>
      <c r="S26" s="263">
        <f t="shared" si="14"/>
        <v>0</v>
      </c>
      <c r="T26" s="263">
        <f t="shared" si="14"/>
        <v>0</v>
      </c>
      <c r="U26" s="263">
        <f t="shared" si="14"/>
        <v>0</v>
      </c>
      <c r="V26" s="263">
        <f t="shared" si="14"/>
        <v>0</v>
      </c>
      <c r="W26" s="263">
        <f t="shared" si="14"/>
        <v>0</v>
      </c>
      <c r="X26" s="264" t="b">
        <f t="shared" si="12"/>
        <v>1</v>
      </c>
      <c r="Y26" s="264" t="b">
        <f t="shared" si="12"/>
        <v>1</v>
      </c>
      <c r="Z26" s="304"/>
      <c r="AA26" s="304"/>
      <c r="AB26" s="304"/>
      <c r="AC26" s="304"/>
      <c r="AD26" s="304"/>
      <c r="AE26" s="304"/>
      <c r="AF26" s="357"/>
      <c r="AG26" s="357"/>
      <c r="AH26" s="26"/>
      <c r="AI26" s="26"/>
    </row>
    <row r="27" spans="1:35" x14ac:dyDescent="0.25">
      <c r="A27" s="266">
        <v>25</v>
      </c>
      <c r="B27" s="210" t="s">
        <v>46</v>
      </c>
      <c r="C27" s="4" t="s">
        <v>762</v>
      </c>
      <c r="D27" s="80"/>
      <c r="E27" s="80"/>
      <c r="F27" s="80"/>
      <c r="G27" s="80"/>
      <c r="H27" s="80"/>
      <c r="I27" s="80"/>
      <c r="J27" s="207" t="b">
        <f t="shared" si="13"/>
        <v>1</v>
      </c>
      <c r="K27" s="207" t="b">
        <f t="shared" si="13"/>
        <v>1</v>
      </c>
      <c r="L27" s="206"/>
      <c r="M27" s="206"/>
      <c r="R27" s="263">
        <f t="shared" ref="R27:W27" si="15">D27-L27</f>
        <v>0</v>
      </c>
      <c r="S27" s="263">
        <f t="shared" si="15"/>
        <v>0</v>
      </c>
      <c r="T27" s="263">
        <f t="shared" si="15"/>
        <v>0</v>
      </c>
      <c r="U27" s="263">
        <f t="shared" si="15"/>
        <v>0</v>
      </c>
      <c r="V27" s="263">
        <f t="shared" si="15"/>
        <v>0</v>
      </c>
      <c r="W27" s="263">
        <f t="shared" si="15"/>
        <v>0</v>
      </c>
      <c r="X27" s="264" t="b">
        <f t="shared" si="12"/>
        <v>1</v>
      </c>
      <c r="Y27" s="264" t="b">
        <f t="shared" si="12"/>
        <v>1</v>
      </c>
      <c r="Z27" s="304"/>
      <c r="AA27" s="304"/>
      <c r="AB27" s="304"/>
      <c r="AC27" s="304"/>
      <c r="AD27" s="304"/>
      <c r="AE27" s="304"/>
      <c r="AF27" s="357"/>
      <c r="AG27" s="357"/>
      <c r="AH27" s="26"/>
      <c r="AI27" s="26"/>
    </row>
    <row r="28" spans="1:35" x14ac:dyDescent="0.25">
      <c r="A28" s="266">
        <v>26</v>
      </c>
      <c r="B28" s="210" t="s">
        <v>3628</v>
      </c>
      <c r="C28" s="4" t="s">
        <v>739</v>
      </c>
      <c r="D28" s="80"/>
      <c r="E28" s="80"/>
      <c r="F28" s="80"/>
      <c r="G28" s="80"/>
      <c r="H28" s="80"/>
      <c r="I28" s="80"/>
      <c r="J28" s="207" t="b">
        <f t="shared" si="13"/>
        <v>1</v>
      </c>
      <c r="K28" s="207" t="b">
        <f t="shared" si="13"/>
        <v>1</v>
      </c>
      <c r="L28" s="206"/>
      <c r="M28" s="206"/>
      <c r="R28" s="263">
        <f t="shared" ref="R28:W29" si="16">D28-L28</f>
        <v>0</v>
      </c>
      <c r="S28" s="263">
        <f t="shared" si="16"/>
        <v>0</v>
      </c>
      <c r="T28" s="263">
        <f t="shared" si="16"/>
        <v>0</v>
      </c>
      <c r="U28" s="263">
        <f t="shared" si="16"/>
        <v>0</v>
      </c>
      <c r="V28" s="263">
        <f t="shared" si="16"/>
        <v>0</v>
      </c>
      <c r="W28" s="263">
        <f t="shared" si="16"/>
        <v>0</v>
      </c>
      <c r="X28" s="264" t="b">
        <f t="shared" ref="X28:Y33" si="17">R28&gt;=T28</f>
        <v>1</v>
      </c>
      <c r="Y28" s="264" t="b">
        <f t="shared" si="17"/>
        <v>1</v>
      </c>
      <c r="Z28" s="304"/>
      <c r="AA28" s="304"/>
      <c r="AB28" s="304"/>
      <c r="AC28" s="304"/>
      <c r="AD28" s="304"/>
      <c r="AE28" s="304"/>
      <c r="AF28" s="357"/>
      <c r="AG28" s="357"/>
      <c r="AH28" s="26"/>
      <c r="AI28" s="26"/>
    </row>
    <row r="29" spans="1:35" x14ac:dyDescent="0.25">
      <c r="A29" s="266">
        <v>27</v>
      </c>
      <c r="B29" s="210" t="s">
        <v>45</v>
      </c>
      <c r="C29" s="4" t="s">
        <v>82</v>
      </c>
      <c r="D29" s="80"/>
      <c r="E29" s="80"/>
      <c r="F29" s="80"/>
      <c r="G29" s="80"/>
      <c r="H29" s="80"/>
      <c r="I29" s="80"/>
      <c r="J29" s="207" t="b">
        <f t="shared" si="13"/>
        <v>1</v>
      </c>
      <c r="K29" s="207" t="b">
        <f t="shared" si="13"/>
        <v>1</v>
      </c>
      <c r="L29" s="206"/>
      <c r="M29" s="206"/>
      <c r="R29" s="263">
        <f t="shared" si="16"/>
        <v>0</v>
      </c>
      <c r="S29" s="263">
        <f t="shared" si="16"/>
        <v>0</v>
      </c>
      <c r="T29" s="263">
        <f t="shared" si="16"/>
        <v>0</v>
      </c>
      <c r="U29" s="263">
        <f t="shared" si="16"/>
        <v>0</v>
      </c>
      <c r="V29" s="263">
        <f t="shared" si="16"/>
        <v>0</v>
      </c>
      <c r="W29" s="263">
        <f t="shared" si="16"/>
        <v>0</v>
      </c>
      <c r="X29" s="264" t="b">
        <f t="shared" si="17"/>
        <v>1</v>
      </c>
      <c r="Y29" s="264" t="b">
        <f t="shared" si="17"/>
        <v>1</v>
      </c>
      <c r="Z29" s="304"/>
      <c r="AA29" s="304"/>
      <c r="AB29" s="304"/>
      <c r="AC29" s="304"/>
      <c r="AD29" s="304"/>
      <c r="AE29" s="304"/>
      <c r="AF29" s="357"/>
      <c r="AG29" s="357"/>
      <c r="AH29" s="26"/>
      <c r="AI29" s="26"/>
    </row>
    <row r="30" spans="1:35" x14ac:dyDescent="0.25">
      <c r="A30" s="266">
        <v>28</v>
      </c>
      <c r="B30" s="210" t="s">
        <v>1200</v>
      </c>
      <c r="C30" s="4" t="s">
        <v>1033</v>
      </c>
      <c r="D30" s="80"/>
      <c r="E30" s="80"/>
      <c r="F30" s="80"/>
      <c r="G30" s="80"/>
      <c r="H30" s="80"/>
      <c r="I30" s="80"/>
      <c r="J30" s="207" t="b">
        <f t="shared" ref="J30:K33" si="18">F30&gt;=H30</f>
        <v>1</v>
      </c>
      <c r="K30" s="207" t="b">
        <f t="shared" si="18"/>
        <v>1</v>
      </c>
      <c r="L30" s="206"/>
      <c r="R30" s="263">
        <f t="shared" ref="R30:W33" si="19">D30-L30</f>
        <v>0</v>
      </c>
      <c r="S30" s="263">
        <f t="shared" si="19"/>
        <v>0</v>
      </c>
      <c r="T30" s="263">
        <f t="shared" si="19"/>
        <v>0</v>
      </c>
      <c r="U30" s="263">
        <f t="shared" si="19"/>
        <v>0</v>
      </c>
      <c r="V30" s="263">
        <f t="shared" si="19"/>
        <v>0</v>
      </c>
      <c r="W30" s="263">
        <f t="shared" si="19"/>
        <v>0</v>
      </c>
      <c r="X30" s="264" t="b">
        <f t="shared" si="17"/>
        <v>1</v>
      </c>
      <c r="Y30" s="264" t="b">
        <f t="shared" si="17"/>
        <v>1</v>
      </c>
      <c r="Z30" s="304"/>
      <c r="AA30" s="304"/>
      <c r="AB30" s="304"/>
      <c r="AC30" s="304"/>
      <c r="AD30" s="304"/>
      <c r="AE30" s="304"/>
      <c r="AF30" s="357"/>
      <c r="AG30" s="357"/>
      <c r="AH30" s="26"/>
      <c r="AI30" s="26"/>
    </row>
    <row r="31" spans="1:35" x14ac:dyDescent="0.25">
      <c r="A31" s="266">
        <v>29</v>
      </c>
      <c r="B31" s="210" t="s">
        <v>621</v>
      </c>
      <c r="C31" s="4" t="s">
        <v>80</v>
      </c>
      <c r="D31" s="80"/>
      <c r="E31" s="80"/>
      <c r="F31" s="80"/>
      <c r="G31" s="80"/>
      <c r="H31" s="80"/>
      <c r="I31" s="80"/>
      <c r="J31" s="207" t="b">
        <f t="shared" si="18"/>
        <v>1</v>
      </c>
      <c r="K31" s="207" t="b">
        <f t="shared" si="18"/>
        <v>1</v>
      </c>
      <c r="L31" s="206"/>
      <c r="R31" s="263">
        <f t="shared" si="19"/>
        <v>0</v>
      </c>
      <c r="S31" s="263">
        <f t="shared" si="19"/>
        <v>0</v>
      </c>
      <c r="T31" s="263">
        <f t="shared" si="19"/>
        <v>0</v>
      </c>
      <c r="U31" s="263">
        <f t="shared" si="19"/>
        <v>0</v>
      </c>
      <c r="V31" s="263">
        <f t="shared" si="19"/>
        <v>0</v>
      </c>
      <c r="W31" s="263">
        <f t="shared" si="19"/>
        <v>0</v>
      </c>
      <c r="X31" s="264" t="b">
        <f t="shared" si="17"/>
        <v>1</v>
      </c>
      <c r="Y31" s="264" t="b">
        <f t="shared" si="17"/>
        <v>1</v>
      </c>
      <c r="Z31" s="304"/>
      <c r="AA31" s="304"/>
      <c r="AB31" s="304"/>
      <c r="AC31" s="304"/>
      <c r="AD31" s="304"/>
      <c r="AE31" s="304"/>
      <c r="AF31" s="357"/>
      <c r="AG31" s="357"/>
      <c r="AH31" s="26"/>
      <c r="AI31" s="26"/>
    </row>
    <row r="32" spans="1:35" x14ac:dyDescent="0.25">
      <c r="A32" s="266">
        <v>30</v>
      </c>
      <c r="B32" s="210" t="s">
        <v>1109</v>
      </c>
      <c r="C32" s="4" t="s">
        <v>79</v>
      </c>
      <c r="D32" s="80"/>
      <c r="E32" s="80"/>
      <c r="F32" s="80"/>
      <c r="G32" s="80"/>
      <c r="H32" s="80"/>
      <c r="I32" s="80"/>
      <c r="J32" s="207" t="b">
        <f t="shared" si="18"/>
        <v>1</v>
      </c>
      <c r="K32" s="207" t="b">
        <f t="shared" si="18"/>
        <v>1</v>
      </c>
      <c r="L32" s="206"/>
      <c r="R32" s="263">
        <f t="shared" si="19"/>
        <v>0</v>
      </c>
      <c r="S32" s="263">
        <f t="shared" si="19"/>
        <v>0</v>
      </c>
      <c r="T32" s="263">
        <f t="shared" si="19"/>
        <v>0</v>
      </c>
      <c r="U32" s="263">
        <f t="shared" si="19"/>
        <v>0</v>
      </c>
      <c r="V32" s="263">
        <f t="shared" si="19"/>
        <v>0</v>
      </c>
      <c r="W32" s="263">
        <f t="shared" si="19"/>
        <v>0</v>
      </c>
      <c r="X32" s="264" t="b">
        <f t="shared" si="17"/>
        <v>1</v>
      </c>
      <c r="Y32" s="264" t="b">
        <f t="shared" si="17"/>
        <v>1</v>
      </c>
      <c r="Z32" s="304"/>
      <c r="AA32" s="304"/>
      <c r="AB32" s="304"/>
      <c r="AC32" s="304"/>
      <c r="AD32" s="304"/>
      <c r="AE32" s="304"/>
      <c r="AF32" s="357"/>
      <c r="AG32" s="357"/>
      <c r="AH32" s="26"/>
      <c r="AI32" s="26"/>
    </row>
    <row r="33" spans="1:35" x14ac:dyDescent="0.25">
      <c r="A33" s="266">
        <v>31</v>
      </c>
      <c r="B33" s="210" t="s">
        <v>634</v>
      </c>
      <c r="C33" s="4" t="s">
        <v>670</v>
      </c>
      <c r="D33" s="80"/>
      <c r="E33" s="80"/>
      <c r="F33" s="80"/>
      <c r="G33" s="80"/>
      <c r="H33" s="80"/>
      <c r="I33" s="80"/>
      <c r="J33" s="207" t="b">
        <f t="shared" si="18"/>
        <v>1</v>
      </c>
      <c r="K33" s="207" t="b">
        <f t="shared" si="18"/>
        <v>1</v>
      </c>
      <c r="L33" s="206"/>
      <c r="R33" s="369">
        <f t="shared" si="19"/>
        <v>0</v>
      </c>
      <c r="S33" s="263">
        <f t="shared" si="19"/>
        <v>0</v>
      </c>
      <c r="T33" s="263">
        <f t="shared" si="19"/>
        <v>0</v>
      </c>
      <c r="U33" s="263">
        <f t="shared" si="19"/>
        <v>0</v>
      </c>
      <c r="V33" s="263">
        <f t="shared" si="19"/>
        <v>0</v>
      </c>
      <c r="W33" s="263">
        <f t="shared" si="19"/>
        <v>0</v>
      </c>
      <c r="X33" s="264" t="b">
        <f t="shared" si="17"/>
        <v>1</v>
      </c>
      <c r="Y33" s="264" t="b">
        <f t="shared" si="17"/>
        <v>1</v>
      </c>
      <c r="Z33" s="304"/>
      <c r="AA33" s="304"/>
      <c r="AB33" s="304"/>
      <c r="AC33" s="304"/>
      <c r="AD33" s="304"/>
      <c r="AE33" s="304"/>
      <c r="AF33" s="357"/>
      <c r="AG33" s="357"/>
      <c r="AH33" s="26"/>
      <c r="AI33" s="26"/>
    </row>
    <row r="34" spans="1:35" x14ac:dyDescent="0.25">
      <c r="A34" s="266">
        <v>32</v>
      </c>
      <c r="B34" s="210" t="s">
        <v>630</v>
      </c>
      <c r="C34" s="4" t="s">
        <v>671</v>
      </c>
      <c r="D34" s="80"/>
      <c r="E34" s="80"/>
      <c r="F34" s="80"/>
      <c r="G34" s="80"/>
      <c r="H34" s="80"/>
      <c r="I34" s="80"/>
      <c r="J34" s="207" t="b">
        <f t="shared" ref="J34:K36" si="20">F34&gt;=H34</f>
        <v>1</v>
      </c>
      <c r="K34" s="207" t="b">
        <f t="shared" si="20"/>
        <v>1</v>
      </c>
      <c r="L34" s="206"/>
      <c r="R34" s="263">
        <f t="shared" ref="R34:W36" si="21">D34-L34</f>
        <v>0</v>
      </c>
      <c r="S34" s="263">
        <f t="shared" si="21"/>
        <v>0</v>
      </c>
      <c r="T34" s="263">
        <f t="shared" si="21"/>
        <v>0</v>
      </c>
      <c r="U34" s="263">
        <f t="shared" si="21"/>
        <v>0</v>
      </c>
      <c r="V34" s="263">
        <f t="shared" si="21"/>
        <v>0</v>
      </c>
      <c r="W34" s="263">
        <f t="shared" si="21"/>
        <v>0</v>
      </c>
      <c r="X34" s="264" t="b">
        <f t="shared" ref="X34:Y36" si="22">R34&gt;=T34</f>
        <v>1</v>
      </c>
      <c r="Y34" s="264" t="b">
        <f t="shared" si="22"/>
        <v>1</v>
      </c>
      <c r="Z34" s="304"/>
      <c r="AA34" s="304"/>
      <c r="AB34" s="304"/>
      <c r="AC34" s="304"/>
      <c r="AD34" s="304"/>
      <c r="AE34" s="304"/>
      <c r="AF34" s="357"/>
      <c r="AG34" s="357"/>
      <c r="AH34" s="26"/>
      <c r="AI34" s="26"/>
    </row>
    <row r="35" spans="1:35" x14ac:dyDescent="0.25">
      <c r="A35" s="266">
        <v>33</v>
      </c>
      <c r="B35" s="210" t="s">
        <v>53</v>
      </c>
      <c r="C35" s="4" t="s">
        <v>78</v>
      </c>
      <c r="D35" s="80"/>
      <c r="E35" s="80"/>
      <c r="F35" s="80"/>
      <c r="G35" s="80"/>
      <c r="H35" s="80"/>
      <c r="I35" s="80"/>
      <c r="J35" s="207" t="b">
        <f t="shared" si="20"/>
        <v>1</v>
      </c>
      <c r="K35" s="207" t="b">
        <f t="shared" si="20"/>
        <v>1</v>
      </c>
      <c r="L35" s="206"/>
      <c r="R35" s="263">
        <f t="shared" si="21"/>
        <v>0</v>
      </c>
      <c r="S35" s="263">
        <f t="shared" si="21"/>
        <v>0</v>
      </c>
      <c r="T35" s="263">
        <f t="shared" si="21"/>
        <v>0</v>
      </c>
      <c r="U35" s="263">
        <f t="shared" si="21"/>
        <v>0</v>
      </c>
      <c r="V35" s="263">
        <f t="shared" si="21"/>
        <v>0</v>
      </c>
      <c r="W35" s="263">
        <f t="shared" si="21"/>
        <v>0</v>
      </c>
      <c r="X35" s="264" t="b">
        <f t="shared" si="22"/>
        <v>1</v>
      </c>
      <c r="Y35" s="264" t="b">
        <f t="shared" si="22"/>
        <v>1</v>
      </c>
      <c r="Z35" s="304"/>
      <c r="AA35" s="304"/>
      <c r="AB35" s="304"/>
      <c r="AC35" s="304"/>
      <c r="AD35" s="304"/>
      <c r="AE35" s="304"/>
      <c r="AF35" s="357"/>
      <c r="AG35" s="357"/>
      <c r="AH35" s="26"/>
      <c r="AI35" s="26"/>
    </row>
    <row r="36" spans="1:35" x14ac:dyDescent="0.25">
      <c r="A36" s="266">
        <v>34</v>
      </c>
      <c r="B36" s="210" t="s">
        <v>405</v>
      </c>
      <c r="C36" s="4" t="s">
        <v>77</v>
      </c>
      <c r="D36" s="80"/>
      <c r="E36" s="80"/>
      <c r="F36" s="80"/>
      <c r="G36" s="80"/>
      <c r="H36" s="80"/>
      <c r="I36" s="80"/>
      <c r="J36" s="207" t="b">
        <f t="shared" si="20"/>
        <v>1</v>
      </c>
      <c r="K36" s="207" t="b">
        <f t="shared" si="20"/>
        <v>1</v>
      </c>
      <c r="L36" s="206"/>
      <c r="R36" s="263">
        <f t="shared" si="21"/>
        <v>0</v>
      </c>
      <c r="S36" s="263">
        <f t="shared" si="21"/>
        <v>0</v>
      </c>
      <c r="T36" s="263">
        <f t="shared" si="21"/>
        <v>0</v>
      </c>
      <c r="U36" s="263">
        <f t="shared" si="21"/>
        <v>0</v>
      </c>
      <c r="V36" s="263">
        <f t="shared" si="21"/>
        <v>0</v>
      </c>
      <c r="W36" s="263">
        <f t="shared" si="21"/>
        <v>0</v>
      </c>
      <c r="X36" s="264" t="b">
        <f t="shared" si="22"/>
        <v>1</v>
      </c>
      <c r="Y36" s="264" t="b">
        <f t="shared" si="22"/>
        <v>1</v>
      </c>
      <c r="Z36" s="304"/>
      <c r="AA36" s="304"/>
      <c r="AB36" s="304"/>
      <c r="AC36" s="304"/>
      <c r="AD36" s="304"/>
      <c r="AE36" s="304"/>
      <c r="AF36" s="357"/>
      <c r="AG36" s="357"/>
      <c r="AH36" s="26"/>
      <c r="AI36" s="26"/>
    </row>
    <row r="37" spans="1:35" x14ac:dyDescent="0.25">
      <c r="A37" s="266">
        <v>35</v>
      </c>
      <c r="B37" s="210" t="s">
        <v>385</v>
      </c>
      <c r="C37" s="4" t="s">
        <v>76</v>
      </c>
      <c r="D37" s="80"/>
      <c r="E37" s="80"/>
      <c r="F37" s="80"/>
      <c r="G37" s="80"/>
      <c r="H37" s="80"/>
      <c r="I37" s="80"/>
      <c r="J37" s="207" t="b">
        <f t="shared" ref="J37:K39" si="23">F37&gt;=H37</f>
        <v>1</v>
      </c>
      <c r="K37" s="207" t="b">
        <f t="shared" si="23"/>
        <v>1</v>
      </c>
      <c r="L37" s="206"/>
      <c r="R37" s="263">
        <f t="shared" ref="R37:W39" si="24">D37-L37</f>
        <v>0</v>
      </c>
      <c r="S37" s="263">
        <f t="shared" si="24"/>
        <v>0</v>
      </c>
      <c r="T37" s="263">
        <f t="shared" si="24"/>
        <v>0</v>
      </c>
      <c r="U37" s="263">
        <f t="shared" si="24"/>
        <v>0</v>
      </c>
      <c r="V37" s="263">
        <f t="shared" si="24"/>
        <v>0</v>
      </c>
      <c r="W37" s="263">
        <f t="shared" si="24"/>
        <v>0</v>
      </c>
      <c r="X37" s="264" t="b">
        <f t="shared" ref="X37:Y39" si="25">R37&gt;=T37</f>
        <v>1</v>
      </c>
      <c r="Y37" s="264" t="b">
        <f t="shared" si="25"/>
        <v>1</v>
      </c>
      <c r="Z37" s="304"/>
      <c r="AA37" s="304"/>
      <c r="AB37" s="304"/>
      <c r="AC37" s="304"/>
      <c r="AD37" s="304"/>
      <c r="AE37" s="304"/>
      <c r="AF37" s="357"/>
      <c r="AG37" s="357"/>
      <c r="AH37" s="26"/>
      <c r="AI37" s="26"/>
    </row>
    <row r="38" spans="1:35" x14ac:dyDescent="0.25">
      <c r="A38" s="266">
        <v>36</v>
      </c>
      <c r="B38" s="210" t="s">
        <v>797</v>
      </c>
      <c r="C38" s="4" t="s">
        <v>75</v>
      </c>
      <c r="D38" s="80"/>
      <c r="E38" s="80"/>
      <c r="F38" s="80"/>
      <c r="G38" s="80"/>
      <c r="H38" s="80"/>
      <c r="I38" s="80"/>
      <c r="J38" s="207" t="b">
        <f t="shared" si="23"/>
        <v>1</v>
      </c>
      <c r="K38" s="207" t="b">
        <f t="shared" si="23"/>
        <v>1</v>
      </c>
      <c r="L38" s="206"/>
      <c r="R38" s="263">
        <f t="shared" si="24"/>
        <v>0</v>
      </c>
      <c r="S38" s="263">
        <f t="shared" si="24"/>
        <v>0</v>
      </c>
      <c r="T38" s="263">
        <f t="shared" si="24"/>
        <v>0</v>
      </c>
      <c r="U38" s="263">
        <f t="shared" si="24"/>
        <v>0</v>
      </c>
      <c r="V38" s="263">
        <f t="shared" si="24"/>
        <v>0</v>
      </c>
      <c r="W38" s="263">
        <f t="shared" si="24"/>
        <v>0</v>
      </c>
      <c r="X38" s="264" t="b">
        <f t="shared" si="25"/>
        <v>1</v>
      </c>
      <c r="Y38" s="264" t="b">
        <f t="shared" si="25"/>
        <v>1</v>
      </c>
      <c r="Z38" s="304"/>
      <c r="AA38" s="304"/>
      <c r="AB38" s="304"/>
      <c r="AC38" s="304"/>
      <c r="AD38" s="304"/>
      <c r="AE38" s="304"/>
      <c r="AF38" s="357"/>
      <c r="AG38" s="357"/>
      <c r="AH38" s="26"/>
      <c r="AI38" s="26"/>
    </row>
    <row r="39" spans="1:35" x14ac:dyDescent="0.25">
      <c r="A39" s="266">
        <v>37</v>
      </c>
      <c r="B39" s="210" t="s">
        <v>166</v>
      </c>
      <c r="C39" s="4" t="s">
        <v>72</v>
      </c>
      <c r="D39" s="80"/>
      <c r="E39" s="80"/>
      <c r="F39" s="80"/>
      <c r="G39" s="80"/>
      <c r="H39" s="80"/>
      <c r="I39" s="80"/>
      <c r="J39" s="207" t="b">
        <f t="shared" si="23"/>
        <v>1</v>
      </c>
      <c r="K39" s="207" t="b">
        <f t="shared" si="23"/>
        <v>1</v>
      </c>
      <c r="L39" s="206"/>
      <c r="R39" s="263">
        <f t="shared" si="24"/>
        <v>0</v>
      </c>
      <c r="S39" s="263">
        <f t="shared" si="24"/>
        <v>0</v>
      </c>
      <c r="T39" s="263">
        <f t="shared" si="24"/>
        <v>0</v>
      </c>
      <c r="U39" s="263">
        <f t="shared" si="24"/>
        <v>0</v>
      </c>
      <c r="V39" s="263">
        <f t="shared" si="24"/>
        <v>0</v>
      </c>
      <c r="W39" s="263">
        <f t="shared" si="24"/>
        <v>0</v>
      </c>
      <c r="X39" s="264" t="b">
        <f t="shared" si="25"/>
        <v>1</v>
      </c>
      <c r="Y39" s="264" t="b">
        <f t="shared" si="25"/>
        <v>1</v>
      </c>
      <c r="Z39" s="304"/>
      <c r="AA39" s="304"/>
      <c r="AB39" s="304"/>
      <c r="AC39" s="304"/>
      <c r="AD39" s="304"/>
      <c r="AE39" s="304"/>
      <c r="AF39" s="357"/>
      <c r="AG39" s="357"/>
      <c r="AH39" s="26"/>
      <c r="AI39" s="26"/>
    </row>
    <row r="40" spans="1:35" x14ac:dyDescent="0.25">
      <c r="A40" s="266">
        <v>38</v>
      </c>
      <c r="B40" s="210" t="s">
        <v>50</v>
      </c>
      <c r="C40" s="4" t="s">
        <v>70</v>
      </c>
      <c r="D40" s="80"/>
      <c r="E40" s="80"/>
      <c r="F40" s="80"/>
      <c r="G40" s="80"/>
      <c r="H40" s="80"/>
      <c r="I40" s="80"/>
      <c r="J40" s="207" t="b">
        <f t="shared" ref="J40:K42" si="26">F40&gt;=H40</f>
        <v>1</v>
      </c>
      <c r="K40" s="207" t="b">
        <f t="shared" si="26"/>
        <v>1</v>
      </c>
      <c r="L40" s="206"/>
      <c r="R40" s="263">
        <f t="shared" ref="R40:W42" si="27">D40-L40</f>
        <v>0</v>
      </c>
      <c r="S40" s="263">
        <f t="shared" si="27"/>
        <v>0</v>
      </c>
      <c r="T40" s="263">
        <f t="shared" si="27"/>
        <v>0</v>
      </c>
      <c r="U40" s="263">
        <f t="shared" si="27"/>
        <v>0</v>
      </c>
      <c r="V40" s="263">
        <f t="shared" si="27"/>
        <v>0</v>
      </c>
      <c r="W40" s="263">
        <f t="shared" si="27"/>
        <v>0</v>
      </c>
      <c r="X40" s="264" t="b">
        <f t="shared" ref="X40:Y42" si="28">R40&gt;=T40</f>
        <v>1</v>
      </c>
      <c r="Y40" s="264" t="b">
        <f t="shared" si="28"/>
        <v>1</v>
      </c>
      <c r="Z40" s="304"/>
      <c r="AA40" s="304"/>
      <c r="AB40" s="304"/>
      <c r="AC40" s="304"/>
      <c r="AD40" s="304"/>
      <c r="AE40" s="304"/>
      <c r="AF40" s="357"/>
      <c r="AG40" s="357"/>
      <c r="AH40" s="26"/>
      <c r="AI40" s="26"/>
    </row>
    <row r="41" spans="1:35" x14ac:dyDescent="0.25">
      <c r="A41" s="266">
        <v>39</v>
      </c>
      <c r="B41" s="210" t="s">
        <v>947</v>
      </c>
      <c r="C41" s="4" t="s">
        <v>673</v>
      </c>
      <c r="D41" s="80"/>
      <c r="E41" s="80"/>
      <c r="F41" s="80"/>
      <c r="G41" s="80"/>
      <c r="H41" s="80"/>
      <c r="I41" s="80"/>
      <c r="J41" s="207" t="b">
        <f t="shared" si="26"/>
        <v>1</v>
      </c>
      <c r="K41" s="207" t="b">
        <f t="shared" si="26"/>
        <v>1</v>
      </c>
      <c r="L41" s="206"/>
      <c r="R41" s="263">
        <f t="shared" si="27"/>
        <v>0</v>
      </c>
      <c r="S41" s="263">
        <f t="shared" si="27"/>
        <v>0</v>
      </c>
      <c r="T41" s="263">
        <f t="shared" si="27"/>
        <v>0</v>
      </c>
      <c r="U41" s="263">
        <f t="shared" si="27"/>
        <v>0</v>
      </c>
      <c r="V41" s="263">
        <f t="shared" si="27"/>
        <v>0</v>
      </c>
      <c r="W41" s="263">
        <f t="shared" si="27"/>
        <v>0</v>
      </c>
      <c r="X41" s="264" t="b">
        <f t="shared" si="28"/>
        <v>1</v>
      </c>
      <c r="Y41" s="264" t="b">
        <f t="shared" si="28"/>
        <v>1</v>
      </c>
      <c r="Z41" s="304"/>
      <c r="AA41" s="304"/>
      <c r="AB41" s="304"/>
      <c r="AC41" s="304"/>
      <c r="AD41" s="304"/>
      <c r="AE41" s="304"/>
      <c r="AF41" s="357"/>
      <c r="AG41" s="357"/>
      <c r="AH41" s="26"/>
      <c r="AI41" s="26"/>
    </row>
    <row r="42" spans="1:35" x14ac:dyDescent="0.25">
      <c r="A42" s="266">
        <v>40</v>
      </c>
      <c r="B42" s="210" t="s">
        <v>400</v>
      </c>
      <c r="C42" s="4" t="s">
        <v>672</v>
      </c>
      <c r="D42" s="80"/>
      <c r="E42" s="80"/>
      <c r="F42" s="80"/>
      <c r="G42" s="80"/>
      <c r="H42" s="80"/>
      <c r="I42" s="80"/>
      <c r="J42" s="207" t="b">
        <f t="shared" si="26"/>
        <v>1</v>
      </c>
      <c r="K42" s="207" t="b">
        <f t="shared" si="26"/>
        <v>1</v>
      </c>
      <c r="L42" s="206"/>
      <c r="R42" s="263">
        <f t="shared" si="27"/>
        <v>0</v>
      </c>
      <c r="S42" s="263">
        <f t="shared" si="27"/>
        <v>0</v>
      </c>
      <c r="T42" s="263">
        <f t="shared" si="27"/>
        <v>0</v>
      </c>
      <c r="U42" s="263">
        <f t="shared" si="27"/>
        <v>0</v>
      </c>
      <c r="V42" s="263">
        <f t="shared" si="27"/>
        <v>0</v>
      </c>
      <c r="W42" s="263">
        <f t="shared" si="27"/>
        <v>0</v>
      </c>
      <c r="X42" s="264" t="b">
        <f t="shared" si="28"/>
        <v>1</v>
      </c>
      <c r="Y42" s="264" t="b">
        <f t="shared" si="28"/>
        <v>1</v>
      </c>
      <c r="Z42" s="304"/>
      <c r="AA42" s="304"/>
      <c r="AB42" s="304"/>
      <c r="AC42" s="304"/>
      <c r="AD42" s="304"/>
      <c r="AE42" s="304"/>
      <c r="AF42" s="357"/>
      <c r="AG42" s="357"/>
      <c r="AH42" s="26"/>
      <c r="AI42" s="26"/>
    </row>
    <row r="43" spans="1:35" x14ac:dyDescent="0.25">
      <c r="A43" s="266">
        <v>41</v>
      </c>
      <c r="B43" s="210" t="s">
        <v>625</v>
      </c>
      <c r="C43" s="4" t="s">
        <v>669</v>
      </c>
      <c r="D43" s="80"/>
      <c r="E43" s="80"/>
      <c r="F43" s="80"/>
      <c r="G43" s="80"/>
      <c r="H43" s="80"/>
      <c r="I43" s="80"/>
      <c r="J43" s="207" t="b">
        <f t="shared" ref="J43:K46" si="29">F43&gt;=H43</f>
        <v>1</v>
      </c>
      <c r="K43" s="207" t="b">
        <f t="shared" si="29"/>
        <v>1</v>
      </c>
      <c r="L43" s="206"/>
      <c r="R43" s="263">
        <f t="shared" ref="R43:W46" si="30">D43-L43</f>
        <v>0</v>
      </c>
      <c r="S43" s="263">
        <f t="shared" si="30"/>
        <v>0</v>
      </c>
      <c r="T43" s="263">
        <f t="shared" si="30"/>
        <v>0</v>
      </c>
      <c r="U43" s="263">
        <f t="shared" si="30"/>
        <v>0</v>
      </c>
      <c r="V43" s="263">
        <f t="shared" si="30"/>
        <v>0</v>
      </c>
      <c r="W43" s="263">
        <f t="shared" si="30"/>
        <v>0</v>
      </c>
      <c r="X43" s="264" t="b">
        <f t="shared" ref="X43:Y46" si="31">R43&gt;=T43</f>
        <v>1</v>
      </c>
      <c r="Y43" s="264" t="b">
        <f t="shared" si="31"/>
        <v>1</v>
      </c>
      <c r="Z43" s="304"/>
      <c r="AA43" s="304"/>
      <c r="AB43" s="304"/>
      <c r="AC43" s="304"/>
      <c r="AD43" s="304"/>
      <c r="AE43" s="304"/>
      <c r="AF43" s="357"/>
      <c r="AG43" s="357"/>
      <c r="AH43" s="26"/>
      <c r="AI43" s="26"/>
    </row>
    <row r="44" spans="1:35" x14ac:dyDescent="0.25">
      <c r="A44" s="266">
        <v>42</v>
      </c>
      <c r="B44" s="210" t="s">
        <v>1199</v>
      </c>
      <c r="C44" s="4" t="s">
        <v>668</v>
      </c>
      <c r="D44" s="80"/>
      <c r="E44" s="80"/>
      <c r="F44" s="80"/>
      <c r="G44" s="80"/>
      <c r="H44" s="80"/>
      <c r="I44" s="80"/>
      <c r="J44" s="207" t="b">
        <f t="shared" si="29"/>
        <v>1</v>
      </c>
      <c r="K44" s="207" t="b">
        <f t="shared" si="29"/>
        <v>1</v>
      </c>
      <c r="L44" s="206"/>
      <c r="R44" s="263">
        <f t="shared" si="30"/>
        <v>0</v>
      </c>
      <c r="S44" s="263">
        <f t="shared" si="30"/>
        <v>0</v>
      </c>
      <c r="T44" s="263">
        <f t="shared" si="30"/>
        <v>0</v>
      </c>
      <c r="U44" s="263">
        <f t="shared" si="30"/>
        <v>0</v>
      </c>
      <c r="V44" s="263">
        <f t="shared" si="30"/>
        <v>0</v>
      </c>
      <c r="W44" s="263">
        <f t="shared" si="30"/>
        <v>0</v>
      </c>
      <c r="X44" s="264" t="b">
        <f t="shared" si="31"/>
        <v>1</v>
      </c>
      <c r="Y44" s="264" t="b">
        <f t="shared" si="31"/>
        <v>1</v>
      </c>
      <c r="Z44" s="304"/>
      <c r="AA44" s="304"/>
      <c r="AB44" s="304"/>
      <c r="AC44" s="304"/>
      <c r="AD44" s="304"/>
      <c r="AE44" s="304"/>
      <c r="AF44" s="357"/>
      <c r="AG44" s="357"/>
      <c r="AH44" s="26"/>
      <c r="AI44" s="26"/>
    </row>
    <row r="45" spans="1:35" x14ac:dyDescent="0.25">
      <c r="A45" s="266">
        <v>43</v>
      </c>
      <c r="B45" s="210" t="s">
        <v>394</v>
      </c>
      <c r="C45" s="4" t="s">
        <v>666</v>
      </c>
      <c r="D45" s="80"/>
      <c r="E45" s="80"/>
      <c r="F45" s="80"/>
      <c r="G45" s="80"/>
      <c r="H45" s="80"/>
      <c r="I45" s="80"/>
      <c r="J45" s="207" t="b">
        <f t="shared" si="29"/>
        <v>1</v>
      </c>
      <c r="K45" s="207" t="b">
        <f t="shared" si="29"/>
        <v>1</v>
      </c>
      <c r="L45" s="206"/>
      <c r="R45" s="263">
        <f t="shared" si="30"/>
        <v>0</v>
      </c>
      <c r="S45" s="263">
        <f t="shared" si="30"/>
        <v>0</v>
      </c>
      <c r="T45" s="263">
        <f t="shared" si="30"/>
        <v>0</v>
      </c>
      <c r="U45" s="263">
        <f t="shared" si="30"/>
        <v>0</v>
      </c>
      <c r="V45" s="263">
        <f t="shared" si="30"/>
        <v>0</v>
      </c>
      <c r="W45" s="263">
        <f t="shared" si="30"/>
        <v>0</v>
      </c>
      <c r="X45" s="264" t="b">
        <f t="shared" si="31"/>
        <v>1</v>
      </c>
      <c r="Y45" s="264" t="b">
        <f t="shared" si="31"/>
        <v>1</v>
      </c>
      <c r="Z45" s="304"/>
      <c r="AA45" s="304"/>
      <c r="AB45" s="304"/>
      <c r="AC45" s="304"/>
      <c r="AD45" s="304"/>
      <c r="AE45" s="304"/>
      <c r="AF45" s="357"/>
      <c r="AG45" s="357"/>
      <c r="AH45" s="26"/>
      <c r="AI45" s="26"/>
    </row>
    <row r="46" spans="1:35" x14ac:dyDescent="0.25">
      <c r="A46" s="266">
        <v>44</v>
      </c>
      <c r="B46" s="210" t="s">
        <v>390</v>
      </c>
      <c r="C46" s="4" t="s">
        <v>665</v>
      </c>
      <c r="D46" s="80"/>
      <c r="E46" s="80"/>
      <c r="F46" s="80"/>
      <c r="G46" s="80"/>
      <c r="H46" s="80"/>
      <c r="I46" s="80"/>
      <c r="J46" s="207" t="b">
        <f t="shared" si="29"/>
        <v>1</v>
      </c>
      <c r="K46" s="207" t="b">
        <f t="shared" si="29"/>
        <v>1</v>
      </c>
      <c r="L46" s="206"/>
      <c r="R46" s="263">
        <f t="shared" si="30"/>
        <v>0</v>
      </c>
      <c r="S46" s="263">
        <f t="shared" si="30"/>
        <v>0</v>
      </c>
      <c r="T46" s="263">
        <f t="shared" si="30"/>
        <v>0</v>
      </c>
      <c r="U46" s="263">
        <f t="shared" si="30"/>
        <v>0</v>
      </c>
      <c r="V46" s="263">
        <f t="shared" si="30"/>
        <v>0</v>
      </c>
      <c r="W46" s="263">
        <f t="shared" si="30"/>
        <v>0</v>
      </c>
      <c r="X46" s="264" t="b">
        <f t="shared" si="31"/>
        <v>1</v>
      </c>
      <c r="Y46" s="264" t="b">
        <f t="shared" si="31"/>
        <v>1</v>
      </c>
      <c r="Z46" s="304"/>
      <c r="AA46" s="304"/>
      <c r="AB46" s="304"/>
      <c r="AC46" s="304"/>
      <c r="AD46" s="304"/>
      <c r="AE46" s="304"/>
      <c r="AF46" s="357"/>
      <c r="AG46" s="357"/>
      <c r="AH46" s="26"/>
      <c r="AI46" s="26"/>
    </row>
    <row r="47" spans="1:35" x14ac:dyDescent="0.25">
      <c r="A47" s="266">
        <v>45</v>
      </c>
      <c r="B47" s="210" t="s">
        <v>388</v>
      </c>
      <c r="C47" s="4" t="s">
        <v>662</v>
      </c>
      <c r="D47" s="80"/>
      <c r="E47" s="80"/>
      <c r="F47" s="80"/>
      <c r="G47" s="80"/>
      <c r="H47" s="80"/>
      <c r="I47" s="80"/>
      <c r="J47" s="207" t="b">
        <f t="shared" ref="J47:J53" si="32">F47&gt;=H47</f>
        <v>1</v>
      </c>
      <c r="K47" s="207" t="b">
        <f t="shared" ref="K47:K53" si="33">G47&gt;=I47</f>
        <v>1</v>
      </c>
      <c r="R47" s="369">
        <f t="shared" ref="R47:R53" si="34">D47-L47</f>
        <v>0</v>
      </c>
      <c r="S47" s="263">
        <f t="shared" ref="S47:S53" si="35">E47-M47</f>
        <v>0</v>
      </c>
      <c r="T47" s="263">
        <f t="shared" ref="T47:T53" si="36">F47-N47</f>
        <v>0</v>
      </c>
      <c r="U47" s="263">
        <f t="shared" ref="U47:U53" si="37">G47-O47</f>
        <v>0</v>
      </c>
      <c r="V47" s="263">
        <f t="shared" ref="V47:V53" si="38">H47-P47</f>
        <v>0</v>
      </c>
      <c r="W47" s="263">
        <f t="shared" ref="W47:W53" si="39">I47-Q47</f>
        <v>0</v>
      </c>
      <c r="X47" s="264" t="b">
        <f t="shared" ref="X47:X53" si="40">R47&gt;=T47</f>
        <v>1</v>
      </c>
      <c r="Y47" s="264" t="b">
        <f t="shared" ref="Y47:Y53" si="41">S47&gt;=U47</f>
        <v>1</v>
      </c>
      <c r="Z47" s="304"/>
      <c r="AA47" s="304"/>
      <c r="AB47" s="304"/>
      <c r="AC47" s="304"/>
      <c r="AD47" s="304"/>
      <c r="AE47" s="304"/>
      <c r="AF47" s="357"/>
      <c r="AG47" s="357"/>
      <c r="AH47" s="26"/>
      <c r="AI47" s="26"/>
    </row>
    <row r="48" spans="1:35" x14ac:dyDescent="0.25">
      <c r="A48" s="266">
        <v>46</v>
      </c>
      <c r="B48" s="210" t="s">
        <v>1100</v>
      </c>
      <c r="C48" s="4" t="s">
        <v>661</v>
      </c>
      <c r="D48" s="80"/>
      <c r="E48" s="80"/>
      <c r="F48" s="80"/>
      <c r="G48" s="80"/>
      <c r="H48" s="80"/>
      <c r="I48" s="80"/>
      <c r="J48" s="207" t="b">
        <f t="shared" si="32"/>
        <v>1</v>
      </c>
      <c r="K48" s="207" t="b">
        <f t="shared" si="33"/>
        <v>1</v>
      </c>
      <c r="R48" s="369">
        <f t="shared" si="34"/>
        <v>0</v>
      </c>
      <c r="S48" s="263">
        <f t="shared" si="35"/>
        <v>0</v>
      </c>
      <c r="T48" s="263">
        <f t="shared" si="36"/>
        <v>0</v>
      </c>
      <c r="U48" s="263">
        <f t="shared" si="37"/>
        <v>0</v>
      </c>
      <c r="V48" s="263">
        <f t="shared" si="38"/>
        <v>0</v>
      </c>
      <c r="W48" s="263">
        <f t="shared" si="39"/>
        <v>0</v>
      </c>
      <c r="X48" s="264" t="b">
        <f t="shared" si="40"/>
        <v>1</v>
      </c>
      <c r="Y48" s="264" t="b">
        <f t="shared" si="41"/>
        <v>1</v>
      </c>
      <c r="Z48" s="304"/>
      <c r="AA48" s="304"/>
      <c r="AB48" s="304"/>
      <c r="AC48" s="304"/>
      <c r="AD48" s="304"/>
      <c r="AE48" s="304"/>
      <c r="AF48" s="357"/>
      <c r="AG48" s="357"/>
      <c r="AH48" s="26"/>
      <c r="AI48" s="26"/>
    </row>
    <row r="49" spans="1:35" x14ac:dyDescent="0.25">
      <c r="A49" s="266">
        <v>47</v>
      </c>
      <c r="B49" s="210" t="s">
        <v>660</v>
      </c>
      <c r="C49" s="4" t="s">
        <v>3731</v>
      </c>
      <c r="D49" s="80"/>
      <c r="E49" s="80"/>
      <c r="F49" s="80"/>
      <c r="G49" s="80"/>
      <c r="H49" s="80"/>
      <c r="I49" s="80"/>
      <c r="J49" s="207" t="b">
        <f t="shared" si="32"/>
        <v>1</v>
      </c>
      <c r="K49" s="207" t="b">
        <f t="shared" si="33"/>
        <v>1</v>
      </c>
      <c r="R49" s="263">
        <f t="shared" si="34"/>
        <v>0</v>
      </c>
      <c r="S49" s="263">
        <f t="shared" si="35"/>
        <v>0</v>
      </c>
      <c r="T49" s="263">
        <f t="shared" si="36"/>
        <v>0</v>
      </c>
      <c r="U49" s="263">
        <f t="shared" si="37"/>
        <v>0</v>
      </c>
      <c r="V49" s="263">
        <f t="shared" si="38"/>
        <v>0</v>
      </c>
      <c r="W49" s="263">
        <f t="shared" si="39"/>
        <v>0</v>
      </c>
      <c r="X49" s="264" t="b">
        <f t="shared" si="40"/>
        <v>1</v>
      </c>
      <c r="Y49" s="264" t="b">
        <f t="shared" si="41"/>
        <v>1</v>
      </c>
      <c r="Z49" s="304"/>
      <c r="AA49" s="304"/>
      <c r="AB49" s="304"/>
      <c r="AC49" s="304"/>
      <c r="AD49" s="304"/>
      <c r="AE49" s="304"/>
      <c r="AF49" s="357"/>
      <c r="AG49" s="357"/>
      <c r="AH49" s="26"/>
      <c r="AI49" s="26"/>
    </row>
    <row r="50" spans="1:35" x14ac:dyDescent="0.25">
      <c r="A50" s="266">
        <v>48</v>
      </c>
      <c r="B50" s="210" t="s">
        <v>81</v>
      </c>
      <c r="C50" s="4" t="s">
        <v>3732</v>
      </c>
      <c r="D50" s="80"/>
      <c r="E50" s="80"/>
      <c r="F50" s="80"/>
      <c r="G50" s="80"/>
      <c r="H50" s="80"/>
      <c r="I50" s="80"/>
      <c r="J50" s="207" t="b">
        <f t="shared" si="32"/>
        <v>1</v>
      </c>
      <c r="K50" s="207" t="b">
        <f t="shared" si="33"/>
        <v>1</v>
      </c>
      <c r="R50" s="263">
        <f t="shared" si="34"/>
        <v>0</v>
      </c>
      <c r="S50" s="263">
        <f t="shared" si="35"/>
        <v>0</v>
      </c>
      <c r="T50" s="263">
        <f t="shared" si="36"/>
        <v>0</v>
      </c>
      <c r="U50" s="263">
        <f t="shared" si="37"/>
        <v>0</v>
      </c>
      <c r="V50" s="263">
        <f t="shared" si="38"/>
        <v>0</v>
      </c>
      <c r="W50" s="263">
        <f t="shared" si="39"/>
        <v>0</v>
      </c>
      <c r="X50" s="264" t="b">
        <f t="shared" si="40"/>
        <v>1</v>
      </c>
      <c r="Y50" s="264" t="b">
        <f t="shared" si="41"/>
        <v>1</v>
      </c>
      <c r="Z50" s="304"/>
      <c r="AA50" s="304"/>
      <c r="AB50" s="304"/>
      <c r="AC50" s="304"/>
      <c r="AD50" s="304"/>
      <c r="AE50" s="304"/>
      <c r="AF50" s="357"/>
      <c r="AG50" s="357"/>
      <c r="AH50" s="26"/>
      <c r="AI50" s="26"/>
    </row>
    <row r="51" spans="1:35" x14ac:dyDescent="0.25">
      <c r="A51" s="266">
        <v>49</v>
      </c>
      <c r="B51" s="210" t="s">
        <v>3733</v>
      </c>
      <c r="C51" s="4" t="s">
        <v>3734</v>
      </c>
      <c r="D51" s="80"/>
      <c r="E51" s="80"/>
      <c r="F51" s="80"/>
      <c r="G51" s="80"/>
      <c r="H51" s="80"/>
      <c r="I51" s="80"/>
      <c r="J51" s="207" t="b">
        <f t="shared" si="32"/>
        <v>1</v>
      </c>
      <c r="K51" s="207" t="b">
        <f t="shared" si="33"/>
        <v>1</v>
      </c>
      <c r="R51" s="263">
        <f t="shared" si="34"/>
        <v>0</v>
      </c>
      <c r="S51" s="263">
        <f t="shared" si="35"/>
        <v>0</v>
      </c>
      <c r="T51" s="263">
        <f t="shared" si="36"/>
        <v>0</v>
      </c>
      <c r="U51" s="263">
        <f t="shared" si="37"/>
        <v>0</v>
      </c>
      <c r="V51" s="263">
        <f t="shared" si="38"/>
        <v>0</v>
      </c>
      <c r="W51" s="263">
        <f t="shared" si="39"/>
        <v>0</v>
      </c>
      <c r="X51" s="264" t="b">
        <f t="shared" si="40"/>
        <v>1</v>
      </c>
      <c r="Y51" s="264" t="b">
        <f t="shared" si="41"/>
        <v>1</v>
      </c>
      <c r="Z51" s="304"/>
      <c r="AA51" s="304"/>
      <c r="AB51" s="304"/>
      <c r="AC51" s="304"/>
      <c r="AD51" s="304"/>
      <c r="AE51" s="304"/>
      <c r="AF51" s="357"/>
      <c r="AG51" s="357"/>
      <c r="AH51" s="26"/>
      <c r="AI51" s="26"/>
    </row>
    <row r="52" spans="1:35" x14ac:dyDescent="0.25">
      <c r="A52" s="266">
        <v>50</v>
      </c>
      <c r="B52" s="210" t="s">
        <v>386</v>
      </c>
      <c r="C52" s="4" t="s">
        <v>3735</v>
      </c>
      <c r="D52" s="80"/>
      <c r="E52" s="80"/>
      <c r="F52" s="80"/>
      <c r="G52" s="80"/>
      <c r="H52" s="80"/>
      <c r="I52" s="80"/>
      <c r="J52" s="207" t="b">
        <f t="shared" si="32"/>
        <v>1</v>
      </c>
      <c r="K52" s="207" t="b">
        <f t="shared" si="33"/>
        <v>1</v>
      </c>
      <c r="R52" s="263">
        <f t="shared" si="34"/>
        <v>0</v>
      </c>
      <c r="S52" s="263">
        <f t="shared" si="35"/>
        <v>0</v>
      </c>
      <c r="T52" s="263">
        <f t="shared" si="36"/>
        <v>0</v>
      </c>
      <c r="U52" s="263">
        <f t="shared" si="37"/>
        <v>0</v>
      </c>
      <c r="V52" s="263">
        <f t="shared" si="38"/>
        <v>0</v>
      </c>
      <c r="W52" s="263">
        <f t="shared" si="39"/>
        <v>0</v>
      </c>
      <c r="X52" s="264" t="b">
        <f t="shared" si="40"/>
        <v>1</v>
      </c>
      <c r="Y52" s="264" t="b">
        <f t="shared" si="41"/>
        <v>1</v>
      </c>
      <c r="Z52" s="304"/>
      <c r="AA52" s="304"/>
      <c r="AB52" s="304"/>
      <c r="AC52" s="304"/>
      <c r="AD52" s="304"/>
      <c r="AE52" s="304"/>
      <c r="AF52" s="357"/>
      <c r="AG52" s="357"/>
      <c r="AH52" s="26"/>
      <c r="AI52" s="26"/>
    </row>
    <row r="53" spans="1:35" x14ac:dyDescent="0.25">
      <c r="A53" s="266">
        <v>51</v>
      </c>
      <c r="B53" s="210" t="s">
        <v>1225</v>
      </c>
      <c r="C53" s="4" t="s">
        <v>3736</v>
      </c>
      <c r="D53" s="80"/>
      <c r="E53" s="80"/>
      <c r="F53" s="80"/>
      <c r="G53" s="80"/>
      <c r="H53" s="80"/>
      <c r="I53" s="80"/>
      <c r="J53" s="207" t="b">
        <f t="shared" si="32"/>
        <v>1</v>
      </c>
      <c r="K53" s="207" t="b">
        <f t="shared" si="33"/>
        <v>1</v>
      </c>
      <c r="R53" s="263">
        <f t="shared" si="34"/>
        <v>0</v>
      </c>
      <c r="S53" s="263">
        <f t="shared" si="35"/>
        <v>0</v>
      </c>
      <c r="T53" s="263">
        <f t="shared" si="36"/>
        <v>0</v>
      </c>
      <c r="U53" s="263">
        <f t="shared" si="37"/>
        <v>0</v>
      </c>
      <c r="V53" s="263">
        <f t="shared" si="38"/>
        <v>0</v>
      </c>
      <c r="W53" s="263">
        <f t="shared" si="39"/>
        <v>0</v>
      </c>
      <c r="X53" s="264" t="b">
        <f t="shared" si="40"/>
        <v>1</v>
      </c>
      <c r="Y53" s="264" t="b">
        <f t="shared" si="41"/>
        <v>1</v>
      </c>
      <c r="Z53" s="304"/>
      <c r="AA53" s="304"/>
      <c r="AB53" s="304"/>
      <c r="AC53" s="304"/>
      <c r="AD53" s="304"/>
      <c r="AE53" s="304"/>
      <c r="AF53" s="357"/>
      <c r="AG53" s="357"/>
      <c r="AH53" s="26"/>
      <c r="AI53" s="26"/>
    </row>
    <row r="54" spans="1:35" x14ac:dyDescent="0.25">
      <c r="A54" s="266">
        <v>52</v>
      </c>
      <c r="B54" s="210" t="s">
        <v>396</v>
      </c>
      <c r="C54" s="4" t="s">
        <v>667</v>
      </c>
      <c r="D54" s="80"/>
      <c r="E54" s="80"/>
      <c r="F54" s="80"/>
      <c r="G54" s="80"/>
      <c r="H54" s="80"/>
      <c r="I54" s="80"/>
      <c r="J54" s="207" t="b">
        <f t="shared" ref="J54:K58" si="42">F54&gt;=H54</f>
        <v>1</v>
      </c>
      <c r="K54" s="207" t="b">
        <f t="shared" si="42"/>
        <v>1</v>
      </c>
      <c r="R54" s="263">
        <f t="shared" ref="R54:W57" si="43">D54-L54</f>
        <v>0</v>
      </c>
      <c r="S54" s="263">
        <f t="shared" si="43"/>
        <v>0</v>
      </c>
      <c r="T54" s="263">
        <f t="shared" si="43"/>
        <v>0</v>
      </c>
      <c r="U54" s="263">
        <f t="shared" si="43"/>
        <v>0</v>
      </c>
      <c r="V54" s="263">
        <f t="shared" si="43"/>
        <v>0</v>
      </c>
      <c r="W54" s="263">
        <f t="shared" si="43"/>
        <v>0</v>
      </c>
      <c r="X54" s="264" t="b">
        <f t="shared" ref="X54:Y58" si="44">R54&gt;=T54</f>
        <v>1</v>
      </c>
      <c r="Y54" s="264" t="b">
        <f t="shared" si="44"/>
        <v>1</v>
      </c>
      <c r="Z54" s="304"/>
      <c r="AA54" s="304"/>
      <c r="AB54" s="304"/>
      <c r="AC54" s="304"/>
      <c r="AD54" s="304"/>
    </row>
    <row r="55" spans="1:35" x14ac:dyDescent="0.25">
      <c r="A55" s="266">
        <v>53</v>
      </c>
      <c r="B55" s="210" t="s">
        <v>244</v>
      </c>
      <c r="C55" s="4" t="s">
        <v>3737</v>
      </c>
      <c r="D55" s="80"/>
      <c r="E55" s="80"/>
      <c r="F55" s="80"/>
      <c r="G55" s="80"/>
      <c r="H55" s="80"/>
      <c r="I55" s="80"/>
      <c r="J55" s="207" t="b">
        <f t="shared" si="42"/>
        <v>1</v>
      </c>
      <c r="K55" s="207" t="b">
        <f t="shared" si="42"/>
        <v>1</v>
      </c>
      <c r="R55" s="263">
        <f t="shared" si="43"/>
        <v>0</v>
      </c>
      <c r="S55" s="263">
        <f t="shared" si="43"/>
        <v>0</v>
      </c>
      <c r="T55" s="263">
        <f t="shared" si="43"/>
        <v>0</v>
      </c>
      <c r="U55" s="263">
        <f t="shared" si="43"/>
        <v>0</v>
      </c>
      <c r="V55" s="263">
        <f t="shared" si="43"/>
        <v>0</v>
      </c>
      <c r="W55" s="263">
        <f t="shared" si="43"/>
        <v>0</v>
      </c>
      <c r="X55" s="264" t="b">
        <f t="shared" si="44"/>
        <v>1</v>
      </c>
      <c r="Y55" s="264" t="b">
        <f t="shared" si="44"/>
        <v>1</v>
      </c>
      <c r="Z55" s="304"/>
      <c r="AA55" s="304"/>
      <c r="AB55" s="304"/>
      <c r="AC55" s="304"/>
      <c r="AD55" s="304"/>
    </row>
    <row r="56" spans="1:35" x14ac:dyDescent="0.25">
      <c r="A56" s="266">
        <v>54</v>
      </c>
      <c r="B56" s="210" t="s">
        <v>165</v>
      </c>
      <c r="C56" s="4" t="s">
        <v>3974</v>
      </c>
      <c r="D56" s="80"/>
      <c r="E56" s="80"/>
      <c r="F56" s="80"/>
      <c r="G56" s="80"/>
      <c r="H56" s="80"/>
      <c r="I56" s="80"/>
      <c r="J56" s="207" t="b">
        <f t="shared" si="42"/>
        <v>1</v>
      </c>
      <c r="K56" s="207" t="b">
        <f t="shared" si="42"/>
        <v>1</v>
      </c>
      <c r="R56" s="263">
        <f t="shared" si="43"/>
        <v>0</v>
      </c>
      <c r="S56" s="263">
        <f t="shared" si="43"/>
        <v>0</v>
      </c>
      <c r="T56" s="263">
        <f t="shared" si="43"/>
        <v>0</v>
      </c>
      <c r="U56" s="263">
        <f t="shared" si="43"/>
        <v>0</v>
      </c>
      <c r="V56" s="263">
        <f t="shared" si="43"/>
        <v>0</v>
      </c>
      <c r="W56" s="263">
        <f t="shared" si="43"/>
        <v>0</v>
      </c>
      <c r="X56" s="264" t="b">
        <f t="shared" si="44"/>
        <v>1</v>
      </c>
      <c r="Y56" s="264" t="b">
        <f t="shared" si="44"/>
        <v>1</v>
      </c>
      <c r="Z56" s="304"/>
      <c r="AA56" s="304"/>
      <c r="AB56" s="304"/>
      <c r="AC56" s="304"/>
      <c r="AD56" s="304"/>
    </row>
    <row r="57" spans="1:35" x14ac:dyDescent="0.25">
      <c r="A57" s="266">
        <v>55</v>
      </c>
      <c r="B57" s="210" t="s">
        <v>403</v>
      </c>
      <c r="C57" s="4" t="s">
        <v>3738</v>
      </c>
      <c r="D57" s="80"/>
      <c r="E57" s="80"/>
      <c r="F57" s="80"/>
      <c r="G57" s="80"/>
      <c r="H57" s="80"/>
      <c r="I57" s="80"/>
      <c r="J57" s="207" t="b">
        <f t="shared" si="42"/>
        <v>1</v>
      </c>
      <c r="K57" s="207" t="b">
        <f t="shared" si="42"/>
        <v>1</v>
      </c>
      <c r="R57" s="263">
        <f t="shared" si="43"/>
        <v>0</v>
      </c>
      <c r="S57" s="263">
        <f t="shared" si="43"/>
        <v>0</v>
      </c>
      <c r="T57" s="263">
        <f t="shared" si="43"/>
        <v>0</v>
      </c>
      <c r="U57" s="263">
        <f t="shared" si="43"/>
        <v>0</v>
      </c>
      <c r="V57" s="263">
        <f t="shared" si="43"/>
        <v>0</v>
      </c>
      <c r="W57" s="263">
        <f t="shared" si="43"/>
        <v>0</v>
      </c>
      <c r="X57" s="264" t="b">
        <f t="shared" si="44"/>
        <v>1</v>
      </c>
      <c r="Y57" s="264" t="b">
        <f t="shared" si="44"/>
        <v>1</v>
      </c>
      <c r="Z57" s="304"/>
      <c r="AA57" s="304"/>
      <c r="AB57" s="304"/>
      <c r="AC57" s="304"/>
      <c r="AD57" s="304"/>
    </row>
    <row r="58" spans="1:35" x14ac:dyDescent="0.25">
      <c r="A58" s="266">
        <v>56</v>
      </c>
      <c r="B58" s="210" t="s">
        <v>1079</v>
      </c>
      <c r="C58" s="4" t="s">
        <v>664</v>
      </c>
      <c r="D58" s="80"/>
      <c r="E58" s="80"/>
      <c r="F58" s="80"/>
      <c r="G58" s="80"/>
      <c r="H58" s="80"/>
      <c r="I58" s="80"/>
      <c r="J58" s="207" t="b">
        <f t="shared" si="42"/>
        <v>1</v>
      </c>
      <c r="K58" s="207" t="b">
        <f t="shared" si="42"/>
        <v>1</v>
      </c>
      <c r="R58" s="263">
        <f t="shared" ref="R58:W58" si="45">D58-L58</f>
        <v>0</v>
      </c>
      <c r="S58" s="263">
        <f t="shared" si="45"/>
        <v>0</v>
      </c>
      <c r="T58" s="263">
        <f t="shared" si="45"/>
        <v>0</v>
      </c>
      <c r="U58" s="263">
        <f t="shared" si="45"/>
        <v>0</v>
      </c>
      <c r="V58" s="263">
        <f t="shared" si="45"/>
        <v>0</v>
      </c>
      <c r="W58" s="263">
        <f t="shared" si="45"/>
        <v>0</v>
      </c>
      <c r="X58" s="264" t="b">
        <f t="shared" si="44"/>
        <v>1</v>
      </c>
      <c r="Y58" s="264" t="b">
        <f t="shared" si="44"/>
        <v>1</v>
      </c>
      <c r="Z58" s="304"/>
      <c r="AA58" s="304"/>
      <c r="AB58" s="304"/>
      <c r="AC58" s="304"/>
      <c r="AD58" s="304"/>
      <c r="AE58" s="304"/>
    </row>
    <row r="59" spans="1:35" x14ac:dyDescent="0.25">
      <c r="A59" s="266">
        <v>57</v>
      </c>
      <c r="B59" s="210" t="s">
        <v>1076</v>
      </c>
      <c r="C59" s="4" t="s">
        <v>3450</v>
      </c>
      <c r="D59" s="80"/>
      <c r="E59" s="80"/>
      <c r="F59" s="80"/>
      <c r="G59" s="80"/>
      <c r="H59" s="80"/>
      <c r="I59" s="80"/>
      <c r="J59" s="207" t="b">
        <f t="shared" ref="J59:J65" si="46">F59&gt;=H59</f>
        <v>1</v>
      </c>
      <c r="K59" s="207" t="b">
        <f t="shared" ref="K59:K65" si="47">G59&gt;=I59</f>
        <v>1</v>
      </c>
      <c r="R59" s="263">
        <f t="shared" ref="R59:R65" si="48">D59-L59</f>
        <v>0</v>
      </c>
      <c r="S59" s="263">
        <f t="shared" ref="S59:S65" si="49">E59-M59</f>
        <v>0</v>
      </c>
      <c r="T59" s="263">
        <f t="shared" ref="T59:T65" si="50">F59-N59</f>
        <v>0</v>
      </c>
      <c r="U59" s="263">
        <f t="shared" ref="U59:U65" si="51">G59-O59</f>
        <v>0</v>
      </c>
      <c r="V59" s="263">
        <f t="shared" ref="V59:V65" si="52">H59-P59</f>
        <v>0</v>
      </c>
      <c r="W59" s="263">
        <f t="shared" ref="W59:W65" si="53">I59-Q59</f>
        <v>0</v>
      </c>
      <c r="X59" s="264" t="b">
        <f t="shared" ref="X59:X65" si="54">R59&gt;=T59</f>
        <v>1</v>
      </c>
      <c r="Y59" s="264" t="b">
        <f t="shared" ref="Y59:Y65" si="55">S59&gt;=U59</f>
        <v>1</v>
      </c>
      <c r="Z59" s="304"/>
      <c r="AA59" s="304"/>
      <c r="AB59" s="304"/>
      <c r="AC59" s="304"/>
    </row>
    <row r="60" spans="1:35" x14ac:dyDescent="0.25">
      <c r="A60" s="266">
        <v>58</v>
      </c>
      <c r="B60" s="210" t="s">
        <v>1077</v>
      </c>
      <c r="C60" s="4" t="s">
        <v>3739</v>
      </c>
      <c r="D60" s="80"/>
      <c r="E60" s="80"/>
      <c r="F60" s="80"/>
      <c r="G60" s="80"/>
      <c r="H60" s="80"/>
      <c r="I60" s="80"/>
      <c r="J60" s="207" t="b">
        <f t="shared" si="46"/>
        <v>1</v>
      </c>
      <c r="K60" s="207" t="b">
        <f t="shared" si="47"/>
        <v>1</v>
      </c>
      <c r="R60" s="263">
        <f t="shared" si="48"/>
        <v>0</v>
      </c>
      <c r="S60" s="263">
        <f t="shared" si="49"/>
        <v>0</v>
      </c>
      <c r="T60" s="263">
        <f t="shared" si="50"/>
        <v>0</v>
      </c>
      <c r="U60" s="263">
        <f t="shared" si="51"/>
        <v>0</v>
      </c>
      <c r="V60" s="263">
        <f t="shared" si="52"/>
        <v>0</v>
      </c>
      <c r="W60" s="263">
        <f t="shared" si="53"/>
        <v>0</v>
      </c>
      <c r="X60" s="264" t="b">
        <f t="shared" si="54"/>
        <v>1</v>
      </c>
      <c r="Y60" s="264" t="b">
        <f t="shared" si="55"/>
        <v>1</v>
      </c>
      <c r="Z60" s="304"/>
      <c r="AA60" s="304"/>
      <c r="AB60" s="304"/>
      <c r="AC60" s="304"/>
    </row>
    <row r="61" spans="1:35" x14ac:dyDescent="0.25">
      <c r="A61" s="266">
        <v>59</v>
      </c>
      <c r="B61" s="210" t="s">
        <v>3740</v>
      </c>
      <c r="C61" s="4" t="s">
        <v>3972</v>
      </c>
      <c r="D61" s="80"/>
      <c r="E61" s="80"/>
      <c r="F61" s="80"/>
      <c r="G61" s="80"/>
      <c r="H61" s="80"/>
      <c r="I61" s="80"/>
      <c r="J61" s="207" t="b">
        <f t="shared" si="46"/>
        <v>1</v>
      </c>
      <c r="K61" s="207" t="b">
        <f t="shared" si="47"/>
        <v>1</v>
      </c>
      <c r="R61" s="263">
        <f t="shared" si="48"/>
        <v>0</v>
      </c>
      <c r="S61" s="263">
        <f t="shared" si="49"/>
        <v>0</v>
      </c>
      <c r="T61" s="263">
        <f t="shared" si="50"/>
        <v>0</v>
      </c>
      <c r="U61" s="263">
        <f t="shared" si="51"/>
        <v>0</v>
      </c>
      <c r="V61" s="263">
        <f t="shared" si="52"/>
        <v>0</v>
      </c>
      <c r="W61" s="263">
        <f t="shared" si="53"/>
        <v>0</v>
      </c>
      <c r="X61" s="264" t="b">
        <f t="shared" si="54"/>
        <v>1</v>
      </c>
      <c r="Y61" s="264" t="b">
        <f t="shared" si="55"/>
        <v>1</v>
      </c>
      <c r="Z61" s="304"/>
      <c r="AA61" s="304"/>
      <c r="AB61" s="304"/>
      <c r="AC61" s="304"/>
    </row>
    <row r="62" spans="1:35" x14ac:dyDescent="0.25">
      <c r="A62" s="266">
        <v>60</v>
      </c>
      <c r="B62" s="210" t="s">
        <v>407</v>
      </c>
      <c r="C62" s="4" t="s">
        <v>738</v>
      </c>
      <c r="D62" s="80"/>
      <c r="E62" s="80"/>
      <c r="F62" s="80"/>
      <c r="G62" s="80"/>
      <c r="H62" s="80"/>
      <c r="I62" s="80"/>
      <c r="J62" s="207" t="b">
        <f t="shared" si="46"/>
        <v>1</v>
      </c>
      <c r="K62" s="207" t="b">
        <f t="shared" si="47"/>
        <v>1</v>
      </c>
      <c r="R62" s="263">
        <f t="shared" si="48"/>
        <v>0</v>
      </c>
      <c r="S62" s="263">
        <f t="shared" si="49"/>
        <v>0</v>
      </c>
      <c r="T62" s="263">
        <f t="shared" si="50"/>
        <v>0</v>
      </c>
      <c r="U62" s="263">
        <f t="shared" si="51"/>
        <v>0</v>
      </c>
      <c r="V62" s="263">
        <f t="shared" si="52"/>
        <v>0</v>
      </c>
      <c r="W62" s="263">
        <f t="shared" si="53"/>
        <v>0</v>
      </c>
      <c r="X62" s="264" t="b">
        <f t="shared" si="54"/>
        <v>1</v>
      </c>
      <c r="Y62" s="264" t="b">
        <f t="shared" si="55"/>
        <v>1</v>
      </c>
      <c r="Z62" s="304"/>
      <c r="AA62" s="304"/>
      <c r="AB62" s="304"/>
      <c r="AC62" s="304"/>
    </row>
    <row r="63" spans="1:35" x14ac:dyDescent="0.25">
      <c r="A63" s="266">
        <v>61</v>
      </c>
      <c r="B63" s="210" t="s">
        <v>632</v>
      </c>
      <c r="C63" s="4" t="s">
        <v>3741</v>
      </c>
      <c r="D63" s="80"/>
      <c r="E63" s="80"/>
      <c r="F63" s="80"/>
      <c r="G63" s="80"/>
      <c r="H63" s="80"/>
      <c r="I63" s="80"/>
      <c r="J63" s="207" t="b">
        <f t="shared" si="46"/>
        <v>1</v>
      </c>
      <c r="K63" s="207" t="b">
        <f t="shared" si="47"/>
        <v>1</v>
      </c>
      <c r="R63" s="263">
        <f t="shared" si="48"/>
        <v>0</v>
      </c>
      <c r="S63" s="263">
        <f t="shared" si="49"/>
        <v>0</v>
      </c>
      <c r="T63" s="263">
        <f t="shared" si="50"/>
        <v>0</v>
      </c>
      <c r="U63" s="263">
        <f t="shared" si="51"/>
        <v>0</v>
      </c>
      <c r="V63" s="263">
        <f t="shared" si="52"/>
        <v>0</v>
      </c>
      <c r="W63" s="263">
        <f t="shared" si="53"/>
        <v>0</v>
      </c>
      <c r="X63" s="264" t="b">
        <f t="shared" si="54"/>
        <v>1</v>
      </c>
      <c r="Y63" s="264" t="b">
        <f t="shared" si="55"/>
        <v>1</v>
      </c>
      <c r="Z63" s="304"/>
      <c r="AA63" s="304"/>
      <c r="AB63" s="304"/>
      <c r="AC63" s="304"/>
    </row>
    <row r="64" spans="1:35" x14ac:dyDescent="0.25">
      <c r="A64" s="266">
        <v>62</v>
      </c>
      <c r="B64" s="210" t="s">
        <v>264</v>
      </c>
      <c r="C64" s="4" t="s">
        <v>3742</v>
      </c>
      <c r="D64" s="80"/>
      <c r="E64" s="80"/>
      <c r="F64" s="80"/>
      <c r="G64" s="80"/>
      <c r="H64" s="80"/>
      <c r="I64" s="80"/>
      <c r="J64" s="207" t="b">
        <f t="shared" si="46"/>
        <v>1</v>
      </c>
      <c r="K64" s="207" t="b">
        <f t="shared" si="47"/>
        <v>1</v>
      </c>
      <c r="R64" s="263">
        <f t="shared" si="48"/>
        <v>0</v>
      </c>
      <c r="S64" s="263">
        <f t="shared" si="49"/>
        <v>0</v>
      </c>
      <c r="T64" s="263">
        <f t="shared" si="50"/>
        <v>0</v>
      </c>
      <c r="U64" s="263">
        <f t="shared" si="51"/>
        <v>0</v>
      </c>
      <c r="V64" s="263">
        <f t="shared" si="52"/>
        <v>0</v>
      </c>
      <c r="W64" s="263">
        <f t="shared" si="53"/>
        <v>0</v>
      </c>
      <c r="X64" s="264" t="b">
        <f t="shared" si="54"/>
        <v>1</v>
      </c>
      <c r="Y64" s="264" t="b">
        <f t="shared" si="55"/>
        <v>1</v>
      </c>
      <c r="Z64" s="304"/>
      <c r="AA64" s="304"/>
      <c r="AB64" s="304"/>
      <c r="AC64" s="304"/>
    </row>
    <row r="65" spans="1:30" x14ac:dyDescent="0.25">
      <c r="A65" s="266">
        <v>63</v>
      </c>
      <c r="B65" s="210" t="s">
        <v>409</v>
      </c>
      <c r="C65" s="4" t="s">
        <v>3743</v>
      </c>
      <c r="D65" s="80"/>
      <c r="E65" s="80"/>
      <c r="F65" s="80"/>
      <c r="G65" s="80"/>
      <c r="H65" s="80"/>
      <c r="I65" s="80"/>
      <c r="J65" s="207" t="b">
        <f t="shared" si="46"/>
        <v>1</v>
      </c>
      <c r="K65" s="207" t="b">
        <f t="shared" si="47"/>
        <v>1</v>
      </c>
      <c r="R65" s="263">
        <f t="shared" si="48"/>
        <v>0</v>
      </c>
      <c r="S65" s="263">
        <f t="shared" si="49"/>
        <v>0</v>
      </c>
      <c r="T65" s="263">
        <f t="shared" si="50"/>
        <v>0</v>
      </c>
      <c r="U65" s="263">
        <f t="shared" si="51"/>
        <v>0</v>
      </c>
      <c r="V65" s="263">
        <f t="shared" si="52"/>
        <v>0</v>
      </c>
      <c r="W65" s="263">
        <f t="shared" si="53"/>
        <v>0</v>
      </c>
      <c r="X65" s="264" t="b">
        <f t="shared" si="54"/>
        <v>1</v>
      </c>
      <c r="Y65" s="264" t="b">
        <f t="shared" si="55"/>
        <v>1</v>
      </c>
      <c r="Z65" s="304"/>
      <c r="AA65" s="304"/>
      <c r="AB65" s="304"/>
      <c r="AC65" s="304"/>
      <c r="AD65" s="304"/>
    </row>
    <row r="66" spans="1:30" x14ac:dyDescent="0.25">
      <c r="A66" s="266">
        <v>64</v>
      </c>
      <c r="B66" s="210" t="s">
        <v>411</v>
      </c>
      <c r="C66" s="4" t="s">
        <v>3744</v>
      </c>
      <c r="D66" s="80"/>
      <c r="E66" s="80"/>
      <c r="F66" s="80"/>
      <c r="G66" s="80"/>
      <c r="H66" s="80"/>
      <c r="I66" s="80"/>
      <c r="J66" s="207" t="b">
        <f t="shared" ref="J66:K70" si="56">F66&gt;=H66</f>
        <v>1</v>
      </c>
      <c r="K66" s="207" t="b">
        <f t="shared" si="56"/>
        <v>1</v>
      </c>
      <c r="R66" s="263">
        <f t="shared" ref="R66:W70" si="57">D66-L66</f>
        <v>0</v>
      </c>
      <c r="S66" s="263">
        <f t="shared" si="57"/>
        <v>0</v>
      </c>
      <c r="T66" s="263">
        <f t="shared" si="57"/>
        <v>0</v>
      </c>
      <c r="U66" s="263">
        <f t="shared" si="57"/>
        <v>0</v>
      </c>
      <c r="V66" s="263">
        <f t="shared" si="57"/>
        <v>0</v>
      </c>
      <c r="W66" s="263">
        <f t="shared" si="57"/>
        <v>0</v>
      </c>
      <c r="X66" s="264" t="b">
        <f t="shared" ref="X66:Y70" si="58">R66&gt;=T66</f>
        <v>1</v>
      </c>
      <c r="Y66" s="264" t="b">
        <f t="shared" si="58"/>
        <v>1</v>
      </c>
      <c r="Z66" s="304"/>
      <c r="AA66" s="304"/>
      <c r="AB66" s="304"/>
      <c r="AC66" s="304"/>
    </row>
    <row r="67" spans="1:30" x14ac:dyDescent="0.25">
      <c r="A67" s="266">
        <v>65</v>
      </c>
      <c r="B67" s="210" t="s">
        <v>413</v>
      </c>
      <c r="C67" s="4" t="s">
        <v>3745</v>
      </c>
      <c r="D67" s="80"/>
      <c r="E67" s="80"/>
      <c r="F67" s="80"/>
      <c r="G67" s="80"/>
      <c r="H67" s="80"/>
      <c r="I67" s="80"/>
      <c r="J67" s="207" t="b">
        <f t="shared" si="56"/>
        <v>1</v>
      </c>
      <c r="K67" s="207" t="b">
        <f t="shared" si="56"/>
        <v>1</v>
      </c>
      <c r="R67" s="263">
        <f t="shared" si="57"/>
        <v>0</v>
      </c>
      <c r="S67" s="263">
        <f t="shared" si="57"/>
        <v>0</v>
      </c>
      <c r="T67" s="263">
        <f t="shared" si="57"/>
        <v>0</v>
      </c>
      <c r="U67" s="263">
        <f t="shared" si="57"/>
        <v>0</v>
      </c>
      <c r="V67" s="263">
        <f t="shared" si="57"/>
        <v>0</v>
      </c>
      <c r="W67" s="263">
        <f t="shared" si="57"/>
        <v>0</v>
      </c>
      <c r="X67" s="264" t="b">
        <f t="shared" si="58"/>
        <v>1</v>
      </c>
      <c r="Y67" s="264" t="b">
        <f t="shared" si="58"/>
        <v>1</v>
      </c>
      <c r="Z67" s="304"/>
      <c r="AA67" s="304"/>
      <c r="AB67" s="304"/>
      <c r="AC67" s="304"/>
    </row>
    <row r="68" spans="1:30" x14ac:dyDescent="0.25">
      <c r="A68" s="266">
        <v>66</v>
      </c>
      <c r="B68" s="210" t="s">
        <v>623</v>
      </c>
      <c r="C68" s="4" t="s">
        <v>3746</v>
      </c>
      <c r="D68" s="80"/>
      <c r="E68" s="80"/>
      <c r="F68" s="80"/>
      <c r="G68" s="80"/>
      <c r="H68" s="80"/>
      <c r="I68" s="80"/>
      <c r="J68" s="207" t="b">
        <f t="shared" si="56"/>
        <v>1</v>
      </c>
      <c r="K68" s="207" t="b">
        <f t="shared" si="56"/>
        <v>1</v>
      </c>
      <c r="R68" s="263">
        <f t="shared" si="57"/>
        <v>0</v>
      </c>
      <c r="S68" s="263">
        <f t="shared" si="57"/>
        <v>0</v>
      </c>
      <c r="T68" s="263">
        <f t="shared" si="57"/>
        <v>0</v>
      </c>
      <c r="U68" s="263">
        <f t="shared" si="57"/>
        <v>0</v>
      </c>
      <c r="V68" s="263">
        <f t="shared" si="57"/>
        <v>0</v>
      </c>
      <c r="W68" s="263">
        <f t="shared" si="57"/>
        <v>0</v>
      </c>
      <c r="X68" s="264" t="b">
        <f t="shared" si="58"/>
        <v>1</v>
      </c>
      <c r="Y68" s="264" t="b">
        <f t="shared" si="58"/>
        <v>1</v>
      </c>
      <c r="Z68" s="304"/>
      <c r="AA68" s="304"/>
      <c r="AB68" s="304"/>
      <c r="AC68" s="304"/>
    </row>
    <row r="69" spans="1:30" x14ac:dyDescent="0.25">
      <c r="A69" s="266">
        <v>67</v>
      </c>
      <c r="B69" s="210" t="s">
        <v>1110</v>
      </c>
      <c r="C69" s="4" t="s">
        <v>3747</v>
      </c>
      <c r="D69" s="80"/>
      <c r="E69" s="80"/>
      <c r="F69" s="80"/>
      <c r="G69" s="80"/>
      <c r="H69" s="80"/>
      <c r="I69" s="80"/>
      <c r="J69" s="207" t="b">
        <f t="shared" si="56"/>
        <v>1</v>
      </c>
      <c r="K69" s="207" t="b">
        <f t="shared" si="56"/>
        <v>1</v>
      </c>
      <c r="R69" s="263">
        <f t="shared" si="57"/>
        <v>0</v>
      </c>
      <c r="S69" s="263">
        <f t="shared" si="57"/>
        <v>0</v>
      </c>
      <c r="T69" s="263">
        <f t="shared" si="57"/>
        <v>0</v>
      </c>
      <c r="U69" s="263">
        <f t="shared" si="57"/>
        <v>0</v>
      </c>
      <c r="V69" s="263">
        <f t="shared" si="57"/>
        <v>0</v>
      </c>
      <c r="W69" s="263">
        <f t="shared" si="57"/>
        <v>0</v>
      </c>
      <c r="X69" s="264" t="b">
        <f t="shared" si="58"/>
        <v>1</v>
      </c>
      <c r="Y69" s="264" t="b">
        <f t="shared" si="58"/>
        <v>1</v>
      </c>
      <c r="Z69" s="304"/>
      <c r="AA69" s="304"/>
      <c r="AB69" s="304"/>
      <c r="AC69" s="304"/>
    </row>
    <row r="70" spans="1:30" x14ac:dyDescent="0.25">
      <c r="A70" s="266">
        <v>68</v>
      </c>
      <c r="B70" s="210" t="s">
        <v>3629</v>
      </c>
      <c r="C70" s="4" t="s">
        <v>3748</v>
      </c>
      <c r="D70" s="80"/>
      <c r="E70" s="80"/>
      <c r="F70" s="80"/>
      <c r="G70" s="80"/>
      <c r="H70" s="80"/>
      <c r="I70" s="80"/>
      <c r="J70" s="207" t="b">
        <f t="shared" si="56"/>
        <v>1</v>
      </c>
      <c r="K70" s="207" t="b">
        <f t="shared" si="56"/>
        <v>1</v>
      </c>
      <c r="R70" s="263">
        <f t="shared" si="57"/>
        <v>0</v>
      </c>
      <c r="S70" s="263">
        <f t="shared" si="57"/>
        <v>0</v>
      </c>
      <c r="T70" s="263">
        <f t="shared" si="57"/>
        <v>0</v>
      </c>
      <c r="U70" s="263">
        <f t="shared" si="57"/>
        <v>0</v>
      </c>
      <c r="V70" s="263">
        <f t="shared" si="57"/>
        <v>0</v>
      </c>
      <c r="W70" s="263">
        <f t="shared" si="57"/>
        <v>0</v>
      </c>
      <c r="X70" s="264" t="b">
        <f t="shared" si="58"/>
        <v>1</v>
      </c>
      <c r="Y70" s="264" t="b">
        <f t="shared" si="58"/>
        <v>1</v>
      </c>
      <c r="Z70" s="304"/>
      <c r="AA70" s="304"/>
      <c r="AB70" s="304"/>
      <c r="AC70" s="304"/>
    </row>
    <row r="71" spans="1:30" x14ac:dyDescent="0.25">
      <c r="A71" s="266">
        <v>69</v>
      </c>
      <c r="B71" s="210" t="s">
        <v>760</v>
      </c>
      <c r="C71" s="4" t="s">
        <v>3749</v>
      </c>
      <c r="D71" s="80"/>
      <c r="E71" s="80"/>
      <c r="F71" s="80"/>
      <c r="G71" s="80"/>
      <c r="H71" s="80"/>
      <c r="I71" s="80"/>
      <c r="J71" s="207" t="b">
        <f t="shared" ref="J71:K75" si="59">F71&gt;=H71</f>
        <v>1</v>
      </c>
      <c r="K71" s="207" t="b">
        <f t="shared" si="59"/>
        <v>1</v>
      </c>
      <c r="R71" s="263">
        <f t="shared" ref="R71:W75" si="60">D71-L71</f>
        <v>0</v>
      </c>
      <c r="S71" s="263">
        <f t="shared" si="60"/>
        <v>0</v>
      </c>
      <c r="T71" s="263">
        <f t="shared" si="60"/>
        <v>0</v>
      </c>
      <c r="U71" s="263">
        <f t="shared" si="60"/>
        <v>0</v>
      </c>
      <c r="V71" s="263">
        <f t="shared" si="60"/>
        <v>0</v>
      </c>
      <c r="W71" s="263">
        <f t="shared" si="60"/>
        <v>0</v>
      </c>
      <c r="X71" s="264" t="b">
        <f t="shared" ref="X71:Y75" si="61">R71&gt;=T71</f>
        <v>1</v>
      </c>
      <c r="Y71" s="264" t="b">
        <f t="shared" si="61"/>
        <v>1</v>
      </c>
      <c r="Z71" s="304"/>
      <c r="AA71" s="304"/>
      <c r="AB71" s="304"/>
      <c r="AC71" s="304"/>
    </row>
    <row r="72" spans="1:30" x14ac:dyDescent="0.25">
      <c r="A72" s="266">
        <v>70</v>
      </c>
      <c r="B72" s="210" t="s">
        <v>56</v>
      </c>
      <c r="C72" s="4" t="s">
        <v>3750</v>
      </c>
      <c r="E72" s="80"/>
      <c r="F72" s="80"/>
      <c r="G72" s="80"/>
      <c r="H72" s="80"/>
      <c r="I72" s="80"/>
      <c r="J72" s="207" t="b">
        <f t="shared" si="59"/>
        <v>1</v>
      </c>
      <c r="K72" s="207" t="b">
        <f t="shared" si="59"/>
        <v>1</v>
      </c>
      <c r="R72" s="263">
        <f t="shared" si="60"/>
        <v>0</v>
      </c>
      <c r="S72" s="263">
        <f t="shared" si="60"/>
        <v>0</v>
      </c>
      <c r="T72" s="263">
        <f t="shared" si="60"/>
        <v>0</v>
      </c>
      <c r="U72" s="263">
        <f t="shared" si="60"/>
        <v>0</v>
      </c>
      <c r="V72" s="263">
        <f t="shared" si="60"/>
        <v>0</v>
      </c>
      <c r="W72" s="263">
        <f t="shared" si="60"/>
        <v>0</v>
      </c>
      <c r="X72" s="264" t="b">
        <f t="shared" si="61"/>
        <v>1</v>
      </c>
      <c r="Y72" s="264" t="b">
        <f t="shared" si="61"/>
        <v>1</v>
      </c>
      <c r="Z72" s="304"/>
      <c r="AA72" s="304"/>
      <c r="AB72" s="304"/>
      <c r="AC72" s="304"/>
    </row>
    <row r="73" spans="1:30" x14ac:dyDescent="0.25">
      <c r="A73" s="266">
        <v>71</v>
      </c>
      <c r="B73" s="210" t="s">
        <v>1078</v>
      </c>
      <c r="C73" s="4" t="s">
        <v>3751</v>
      </c>
      <c r="E73" s="80"/>
      <c r="F73" s="80"/>
      <c r="G73" s="80"/>
      <c r="H73" s="80"/>
      <c r="I73" s="80"/>
      <c r="J73" s="207" t="b">
        <f t="shared" si="59"/>
        <v>1</v>
      </c>
      <c r="K73" s="207" t="b">
        <f t="shared" si="59"/>
        <v>1</v>
      </c>
      <c r="R73" s="263">
        <f t="shared" si="60"/>
        <v>0</v>
      </c>
      <c r="S73" s="263">
        <f t="shared" si="60"/>
        <v>0</v>
      </c>
      <c r="T73" s="263">
        <f t="shared" si="60"/>
        <v>0</v>
      </c>
      <c r="U73" s="263">
        <f t="shared" si="60"/>
        <v>0</v>
      </c>
      <c r="V73" s="263">
        <f t="shared" si="60"/>
        <v>0</v>
      </c>
      <c r="W73" s="263">
        <f t="shared" si="60"/>
        <v>0</v>
      </c>
      <c r="X73" s="264" t="b">
        <f t="shared" si="61"/>
        <v>1</v>
      </c>
      <c r="Y73" s="264" t="b">
        <f t="shared" si="61"/>
        <v>1</v>
      </c>
      <c r="Z73" s="304"/>
      <c r="AA73" s="304"/>
      <c r="AB73" s="304"/>
      <c r="AC73" s="304"/>
    </row>
    <row r="74" spans="1:30" x14ac:dyDescent="0.25">
      <c r="A74" s="266">
        <v>72</v>
      </c>
      <c r="B74" s="210" t="s">
        <v>1331</v>
      </c>
      <c r="C74" s="4" t="s">
        <v>2507</v>
      </c>
      <c r="E74" s="80"/>
      <c r="F74" s="80"/>
      <c r="G74" s="80"/>
      <c r="H74" s="80"/>
      <c r="I74" s="80"/>
      <c r="J74" s="207" t="b">
        <f t="shared" si="59"/>
        <v>1</v>
      </c>
      <c r="K74" s="207" t="b">
        <f t="shared" si="59"/>
        <v>1</v>
      </c>
      <c r="R74" s="263">
        <f t="shared" si="60"/>
        <v>0</v>
      </c>
      <c r="S74" s="263">
        <f t="shared" si="60"/>
        <v>0</v>
      </c>
      <c r="T74" s="263">
        <f t="shared" si="60"/>
        <v>0</v>
      </c>
      <c r="U74" s="263">
        <f t="shared" si="60"/>
        <v>0</v>
      </c>
      <c r="V74" s="263">
        <f t="shared" si="60"/>
        <v>0</v>
      </c>
      <c r="W74" s="263">
        <f t="shared" si="60"/>
        <v>0</v>
      </c>
      <c r="X74" s="264" t="b">
        <f t="shared" si="61"/>
        <v>1</v>
      </c>
      <c r="Y74" s="264" t="b">
        <f t="shared" si="61"/>
        <v>1</v>
      </c>
      <c r="Z74" s="304"/>
      <c r="AA74" s="304"/>
      <c r="AB74" s="304"/>
      <c r="AC74" s="304"/>
    </row>
    <row r="75" spans="1:30" x14ac:dyDescent="0.25">
      <c r="A75" s="266">
        <v>73</v>
      </c>
      <c r="B75" s="210" t="s">
        <v>51</v>
      </c>
      <c r="C75" s="4" t="s">
        <v>743</v>
      </c>
      <c r="E75" s="80"/>
      <c r="F75" s="80"/>
      <c r="G75" s="80"/>
      <c r="H75" s="80"/>
      <c r="I75" s="80"/>
      <c r="J75" s="207" t="b">
        <f t="shared" si="59"/>
        <v>1</v>
      </c>
      <c r="K75" s="207" t="b">
        <f t="shared" si="59"/>
        <v>1</v>
      </c>
      <c r="R75" s="263">
        <f t="shared" si="60"/>
        <v>0</v>
      </c>
      <c r="S75" s="263">
        <f t="shared" si="60"/>
        <v>0</v>
      </c>
      <c r="T75" s="263">
        <f t="shared" si="60"/>
        <v>0</v>
      </c>
      <c r="U75" s="263">
        <f t="shared" si="60"/>
        <v>0</v>
      </c>
      <c r="V75" s="263">
        <f t="shared" si="60"/>
        <v>0</v>
      </c>
      <c r="W75" s="263">
        <f t="shared" si="60"/>
        <v>0</v>
      </c>
      <c r="X75" s="264" t="b">
        <f t="shared" si="61"/>
        <v>1</v>
      </c>
      <c r="Y75" s="264" t="b">
        <f t="shared" si="61"/>
        <v>1</v>
      </c>
      <c r="Z75" s="304"/>
      <c r="AA75" s="304"/>
      <c r="AB75" s="304"/>
      <c r="AC75" s="304"/>
    </row>
    <row r="76" spans="1:30" x14ac:dyDescent="0.25">
      <c r="A76" s="266">
        <v>74</v>
      </c>
      <c r="B76" s="210" t="s">
        <v>3724</v>
      </c>
      <c r="C76" s="4" t="s">
        <v>3973</v>
      </c>
      <c r="E76" s="80"/>
      <c r="F76" s="80"/>
      <c r="G76" s="80"/>
      <c r="H76" s="80"/>
      <c r="I76" s="80"/>
      <c r="J76" s="207" t="b">
        <f t="shared" ref="J76:J82" si="62">F76&gt;=H76</f>
        <v>1</v>
      </c>
      <c r="K76" s="207" t="b">
        <f t="shared" ref="K76:K82" si="63">G76&gt;=I76</f>
        <v>1</v>
      </c>
      <c r="R76" s="263">
        <f t="shared" ref="R76:R82" si="64">D76-L76</f>
        <v>0</v>
      </c>
      <c r="S76" s="263">
        <f t="shared" ref="S76:S82" si="65">E76-M76</f>
        <v>0</v>
      </c>
      <c r="T76" s="263">
        <f t="shared" ref="T76:T82" si="66">F76-N76</f>
        <v>0</v>
      </c>
      <c r="U76" s="263">
        <f t="shared" ref="U76:U82" si="67">G76-O76</f>
        <v>0</v>
      </c>
      <c r="V76" s="263">
        <f t="shared" ref="V76:V82" si="68">H76-P76</f>
        <v>0</v>
      </c>
      <c r="W76" s="263">
        <f t="shared" ref="W76:W82" si="69">I76-Q76</f>
        <v>0</v>
      </c>
      <c r="X76" s="264" t="b">
        <f t="shared" ref="X76:X82" si="70">R76&gt;=T76</f>
        <v>1</v>
      </c>
      <c r="Y76" s="264" t="b">
        <f t="shared" ref="Y76:Y82" si="71">S76&gt;=U76</f>
        <v>1</v>
      </c>
      <c r="Z76" s="304"/>
      <c r="AA76" s="304"/>
      <c r="AB76" s="304"/>
      <c r="AC76" s="304"/>
      <c r="AD76" s="304"/>
    </row>
    <row r="77" spans="1:30" x14ac:dyDescent="0.25">
      <c r="A77" s="266">
        <v>75</v>
      </c>
      <c r="B77" s="210" t="s">
        <v>48</v>
      </c>
      <c r="C77" s="4" t="s">
        <v>3752</v>
      </c>
      <c r="E77" s="80"/>
      <c r="F77" s="80"/>
      <c r="G77" s="80"/>
      <c r="H77" s="80"/>
      <c r="I77" s="80"/>
      <c r="J77" s="207" t="b">
        <f t="shared" si="62"/>
        <v>1</v>
      </c>
      <c r="K77" s="207" t="b">
        <f t="shared" si="63"/>
        <v>1</v>
      </c>
      <c r="R77" s="263">
        <f t="shared" si="64"/>
        <v>0</v>
      </c>
      <c r="S77" s="263">
        <f t="shared" si="65"/>
        <v>0</v>
      </c>
      <c r="T77" s="263">
        <f t="shared" si="66"/>
        <v>0</v>
      </c>
      <c r="U77" s="263">
        <f t="shared" si="67"/>
        <v>0</v>
      </c>
      <c r="V77" s="263">
        <f t="shared" si="68"/>
        <v>0</v>
      </c>
      <c r="W77" s="263">
        <f t="shared" si="69"/>
        <v>0</v>
      </c>
      <c r="X77" s="264" t="b">
        <f t="shared" si="70"/>
        <v>1</v>
      </c>
      <c r="Y77" s="264" t="b">
        <f t="shared" si="71"/>
        <v>1</v>
      </c>
      <c r="Z77" s="304"/>
      <c r="AA77" s="304"/>
      <c r="AB77" s="304"/>
      <c r="AC77" s="304"/>
    </row>
    <row r="78" spans="1:30" x14ac:dyDescent="0.25">
      <c r="A78" s="266">
        <v>76</v>
      </c>
      <c r="B78" s="210" t="s">
        <v>3728</v>
      </c>
      <c r="C78" s="4" t="s">
        <v>3753</v>
      </c>
      <c r="E78" s="80"/>
      <c r="F78" s="80"/>
      <c r="G78" s="80"/>
      <c r="H78" s="80"/>
      <c r="I78" s="80"/>
      <c r="J78" s="207" t="b">
        <f t="shared" si="62"/>
        <v>1</v>
      </c>
      <c r="K78" s="207" t="b">
        <f t="shared" si="63"/>
        <v>1</v>
      </c>
      <c r="R78" s="263">
        <f t="shared" si="64"/>
        <v>0</v>
      </c>
      <c r="S78" s="263">
        <f t="shared" si="65"/>
        <v>0</v>
      </c>
      <c r="T78" s="263">
        <f t="shared" si="66"/>
        <v>0</v>
      </c>
      <c r="U78" s="263">
        <f t="shared" si="67"/>
        <v>0</v>
      </c>
      <c r="V78" s="263">
        <f t="shared" si="68"/>
        <v>0</v>
      </c>
      <c r="W78" s="263">
        <f t="shared" si="69"/>
        <v>0</v>
      </c>
      <c r="X78" s="264" t="b">
        <f t="shared" si="70"/>
        <v>1</v>
      </c>
      <c r="Y78" s="264" t="b">
        <f t="shared" si="71"/>
        <v>1</v>
      </c>
      <c r="Z78" s="304"/>
      <c r="AA78" s="304"/>
      <c r="AB78" s="304"/>
      <c r="AC78" s="304"/>
    </row>
    <row r="79" spans="1:30" x14ac:dyDescent="0.25">
      <c r="A79" s="266">
        <v>77</v>
      </c>
      <c r="B79" s="210" t="s">
        <v>3725</v>
      </c>
      <c r="C79" s="4" t="s">
        <v>3754</v>
      </c>
      <c r="E79" s="80"/>
      <c r="F79" s="80"/>
      <c r="G79" s="80"/>
      <c r="H79" s="80"/>
      <c r="I79" s="80"/>
      <c r="J79" s="207" t="b">
        <f t="shared" si="62"/>
        <v>1</v>
      </c>
      <c r="K79" s="207" t="b">
        <f t="shared" si="63"/>
        <v>1</v>
      </c>
      <c r="R79" s="263">
        <f t="shared" si="64"/>
        <v>0</v>
      </c>
      <c r="S79" s="263">
        <f t="shared" si="65"/>
        <v>0</v>
      </c>
      <c r="T79" s="263">
        <f t="shared" si="66"/>
        <v>0</v>
      </c>
      <c r="U79" s="263">
        <f t="shared" si="67"/>
        <v>0</v>
      </c>
      <c r="V79" s="263">
        <f t="shared" si="68"/>
        <v>0</v>
      </c>
      <c r="W79" s="263">
        <f t="shared" si="69"/>
        <v>0</v>
      </c>
      <c r="X79" s="264" t="b">
        <f t="shared" si="70"/>
        <v>1</v>
      </c>
      <c r="Y79" s="264" t="b">
        <f t="shared" si="71"/>
        <v>1</v>
      </c>
      <c r="Z79" s="304"/>
      <c r="AA79" s="304"/>
      <c r="AB79" s="304"/>
      <c r="AC79" s="304"/>
    </row>
    <row r="80" spans="1:30" x14ac:dyDescent="0.25">
      <c r="A80" s="266">
        <v>78</v>
      </c>
      <c r="B80" s="210" t="s">
        <v>3729</v>
      </c>
      <c r="C80" s="4" t="s">
        <v>3755</v>
      </c>
      <c r="E80" s="80"/>
      <c r="F80" s="80"/>
      <c r="G80" s="80"/>
      <c r="H80" s="80"/>
      <c r="I80" s="80"/>
      <c r="J80" s="207" t="b">
        <f t="shared" si="62"/>
        <v>1</v>
      </c>
      <c r="K80" s="207" t="b">
        <f t="shared" si="63"/>
        <v>1</v>
      </c>
      <c r="R80" s="263">
        <f t="shared" si="64"/>
        <v>0</v>
      </c>
      <c r="S80" s="263">
        <f t="shared" si="65"/>
        <v>0</v>
      </c>
      <c r="T80" s="263">
        <f t="shared" si="66"/>
        <v>0</v>
      </c>
      <c r="U80" s="263">
        <f t="shared" si="67"/>
        <v>0</v>
      </c>
      <c r="V80" s="263">
        <f t="shared" si="68"/>
        <v>0</v>
      </c>
      <c r="W80" s="263">
        <f t="shared" si="69"/>
        <v>0</v>
      </c>
      <c r="X80" s="264" t="b">
        <f t="shared" si="70"/>
        <v>1</v>
      </c>
      <c r="Y80" s="264" t="b">
        <f t="shared" si="71"/>
        <v>1</v>
      </c>
      <c r="Z80" s="304"/>
      <c r="AA80" s="304"/>
      <c r="AB80" s="304"/>
      <c r="AC80" s="304"/>
    </row>
    <row r="81" spans="1:30" x14ac:dyDescent="0.25">
      <c r="A81" s="266">
        <v>79</v>
      </c>
      <c r="B81" s="210" t="s">
        <v>3727</v>
      </c>
      <c r="C81" s="4" t="s">
        <v>3756</v>
      </c>
      <c r="E81" s="80"/>
      <c r="F81" s="80"/>
      <c r="G81" s="80"/>
      <c r="H81" s="80"/>
      <c r="I81" s="80"/>
      <c r="J81" s="207" t="b">
        <f t="shared" si="62"/>
        <v>1</v>
      </c>
      <c r="K81" s="207" t="b">
        <f t="shared" si="63"/>
        <v>1</v>
      </c>
      <c r="R81" s="263">
        <f t="shared" si="64"/>
        <v>0</v>
      </c>
      <c r="S81" s="263">
        <f t="shared" si="65"/>
        <v>0</v>
      </c>
      <c r="T81" s="263">
        <f t="shared" si="66"/>
        <v>0</v>
      </c>
      <c r="U81" s="263">
        <f t="shared" si="67"/>
        <v>0</v>
      </c>
      <c r="V81" s="263">
        <f t="shared" si="68"/>
        <v>0</v>
      </c>
      <c r="W81" s="263">
        <f t="shared" si="69"/>
        <v>0</v>
      </c>
      <c r="X81" s="264" t="b">
        <f t="shared" si="70"/>
        <v>1</v>
      </c>
      <c r="Y81" s="264" t="b">
        <f t="shared" si="71"/>
        <v>1</v>
      </c>
      <c r="Z81" s="304"/>
      <c r="AA81" s="304"/>
      <c r="AB81" s="304"/>
      <c r="AC81" s="304"/>
      <c r="AD81" s="304"/>
    </row>
    <row r="82" spans="1:30" x14ac:dyDescent="0.25">
      <c r="A82" s="266">
        <v>80</v>
      </c>
      <c r="B82" s="210" t="s">
        <v>3726</v>
      </c>
      <c r="C82" s="4" t="s">
        <v>737</v>
      </c>
      <c r="E82" s="80"/>
      <c r="F82" s="80"/>
      <c r="G82" s="80"/>
      <c r="H82" s="80"/>
      <c r="I82" s="80"/>
      <c r="J82" s="207" t="b">
        <f t="shared" si="62"/>
        <v>1</v>
      </c>
      <c r="K82" s="207" t="b">
        <f t="shared" si="63"/>
        <v>1</v>
      </c>
      <c r="R82" s="263">
        <f t="shared" si="64"/>
        <v>0</v>
      </c>
      <c r="S82" s="263">
        <f t="shared" si="65"/>
        <v>0</v>
      </c>
      <c r="T82" s="263">
        <f t="shared" si="66"/>
        <v>0</v>
      </c>
      <c r="U82" s="263">
        <f t="shared" si="67"/>
        <v>0</v>
      </c>
      <c r="V82" s="263">
        <f t="shared" si="68"/>
        <v>0</v>
      </c>
      <c r="W82" s="263">
        <f t="shared" si="69"/>
        <v>0</v>
      </c>
      <c r="X82" s="264" t="b">
        <f t="shared" si="70"/>
        <v>1</v>
      </c>
      <c r="Y82" s="264" t="b">
        <f t="shared" si="71"/>
        <v>1</v>
      </c>
      <c r="Z82" s="304"/>
      <c r="AA82" s="304"/>
      <c r="AB82" s="304"/>
      <c r="AC82" s="304"/>
      <c r="AD82" s="304"/>
    </row>
    <row r="88" spans="1:30" x14ac:dyDescent="0.25">
      <c r="AC88" s="357"/>
    </row>
  </sheetData>
  <autoFilter ref="A2:AI82"/>
  <mergeCells count="6">
    <mergeCell ref="T1:U1"/>
    <mergeCell ref="V1:W1"/>
    <mergeCell ref="F1:G1"/>
    <mergeCell ref="H1:I1"/>
    <mergeCell ref="N1:O1"/>
    <mergeCell ref="P1:Q1"/>
  </mergeCells>
  <phoneticPr fontId="3" type="noConversion"/>
  <conditionalFormatting sqref="J3:K82">
    <cfRule type="cellIs" dxfId="2" priority="4" stopIfTrue="1" operator="equal">
      <formula>FALSE</formula>
    </cfRule>
  </conditionalFormatting>
  <conditionalFormatting sqref="X3:Y82">
    <cfRule type="cellIs" dxfId="1" priority="5" stopIfTrue="1" operator="equal">
      <formula>FALSE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L_Ost_7_24">
                <anchor moveWithCells="1">
                  <from>
                    <xdr:col>2</xdr:col>
                    <xdr:colOff>129540</xdr:colOff>
                    <xdr:row>0</xdr:row>
                    <xdr:rowOff>114300</xdr:rowOff>
                  </from>
                  <to>
                    <xdr:col>2</xdr:col>
                    <xdr:colOff>1524000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L_Ost_7_24_POD">
                <anchor moveWithCells="1">
                  <from>
                    <xdr:col>2</xdr:col>
                    <xdr:colOff>137160</xdr:colOff>
                    <xdr:row>0</xdr:row>
                    <xdr:rowOff>381000</xdr:rowOff>
                  </from>
                  <to>
                    <xdr:col>2</xdr:col>
                    <xdr:colOff>1478280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6" name="Button 24">
              <controlPr defaultSize="0" print="0" autoFill="0" autoPict="0" macro="[0]!Ispravit_724">
                <anchor moveWithCells="1">
                  <from>
                    <xdr:col>2</xdr:col>
                    <xdr:colOff>114300</xdr:colOff>
                    <xdr:row>1</xdr:row>
                    <xdr:rowOff>868680</xdr:rowOff>
                  </from>
                  <to>
                    <xdr:col>2</xdr:col>
                    <xdr:colOff>1463040</xdr:colOff>
                    <xdr:row>1</xdr:row>
                    <xdr:rowOff>1127760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7" name="Button 58">
              <controlPr defaultSize="0" print="0" autoFill="0" autoPict="0" macro="[0]!Data_711">
                <anchor moveWithCells="1">
                  <from>
                    <xdr:col>2</xdr:col>
                    <xdr:colOff>106680</xdr:colOff>
                    <xdr:row>1</xdr:row>
                    <xdr:rowOff>533400</xdr:rowOff>
                  </from>
                  <to>
                    <xdr:col>2</xdr:col>
                    <xdr:colOff>1470660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8" name="Button 59">
              <controlPr defaultSize="0" print="0" autoFill="0" autoPict="0" macro="[0]!WR_F_724">
                <anchor moveWithCells="1">
                  <from>
                    <xdr:col>2</xdr:col>
                    <xdr:colOff>129540</xdr:colOff>
                    <xdr:row>1</xdr:row>
                    <xdr:rowOff>220980</xdr:rowOff>
                  </from>
                  <to>
                    <xdr:col>2</xdr:col>
                    <xdr:colOff>1417320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9" name="Button 66">
              <controlPr defaultSize="0" print="0" autoFill="0" autoPict="0" macro="[0]!OKRUGL">
                <anchor moveWithCells="1">
                  <from>
                    <xdr:col>9</xdr:col>
                    <xdr:colOff>266700</xdr:colOff>
                    <xdr:row>0</xdr:row>
                    <xdr:rowOff>160020</xdr:rowOff>
                  </from>
                  <to>
                    <xdr:col>10</xdr:col>
                    <xdr:colOff>586740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10" name="Button 67">
              <controlPr defaultSize="0" print="0" autoFill="0" autoPict="0" macro="[0]!Open_F_Null_Terr">
                <anchor moveWithCells="1">
                  <from>
                    <xdr:col>9</xdr:col>
                    <xdr:colOff>266700</xdr:colOff>
                    <xdr:row>1</xdr:row>
                    <xdr:rowOff>45720</xdr:rowOff>
                  </from>
                  <to>
                    <xdr:col>10</xdr:col>
                    <xdr:colOff>617220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BB184"/>
  <sheetViews>
    <sheetView zoomScale="85" zoomScaleNormal="85" workbookViewId="0">
      <pane ySplit="8" topLeftCell="A9" activePane="bottomLeft" state="frozen"/>
      <selection pane="bottomLeft" activeCell="D8" sqref="D8"/>
    </sheetView>
  </sheetViews>
  <sheetFormatPr defaultColWidth="9.109375" defaultRowHeight="13.2" x14ac:dyDescent="0.25"/>
  <cols>
    <col min="1" max="1" width="9.109375" style="4"/>
    <col min="2" max="2" width="13.33203125" style="58" customWidth="1"/>
    <col min="3" max="3" width="34.5546875" style="4" customWidth="1"/>
    <col min="4" max="4" width="13.6640625" style="209" customWidth="1"/>
    <col min="5" max="5" width="18.5546875" style="26" customWidth="1"/>
    <col min="6" max="6" width="13.33203125" style="209" customWidth="1"/>
    <col min="7" max="7" width="13.6640625" style="26" customWidth="1"/>
    <col min="8" max="8" width="17" style="26" customWidth="1"/>
    <col min="9" max="9" width="13" style="26" customWidth="1"/>
    <col min="10" max="10" width="20.6640625" style="26" customWidth="1"/>
    <col min="11" max="11" width="15.44140625" style="26" customWidth="1"/>
    <col min="12" max="12" width="17.6640625" style="26" customWidth="1"/>
    <col min="13" max="13" width="16.33203125" style="26" customWidth="1"/>
    <col min="14" max="14" width="16.6640625" style="26" customWidth="1"/>
    <col min="15" max="15" width="16.33203125" style="26" customWidth="1"/>
    <col min="16" max="16" width="19.5546875" style="26" customWidth="1"/>
    <col min="17" max="17" width="16.44140625" style="26" customWidth="1"/>
    <col min="18" max="18" width="17.33203125" style="26" customWidth="1"/>
    <col min="19" max="19" width="12.88671875" style="26" customWidth="1"/>
    <col min="20" max="20" width="16" style="26" customWidth="1"/>
    <col min="21" max="21" width="12.88671875" style="26" customWidth="1"/>
    <col min="22" max="22" width="7.44140625" style="247" customWidth="1"/>
    <col min="23" max="23" width="24" style="244" customWidth="1"/>
    <col min="24" max="24" width="13.6640625" style="209" customWidth="1"/>
    <col min="25" max="25" width="13.5546875" style="26" customWidth="1"/>
    <col min="26" max="26" width="13.33203125" style="209" customWidth="1"/>
    <col min="27" max="27" width="13.6640625" style="26" customWidth="1"/>
    <col min="28" max="28" width="17" style="26" customWidth="1"/>
    <col min="29" max="29" width="13" style="26" customWidth="1"/>
    <col min="30" max="30" width="20.6640625" style="26" customWidth="1"/>
    <col min="31" max="31" width="15.44140625" style="26" customWidth="1"/>
    <col min="32" max="32" width="17.6640625" style="26" customWidth="1"/>
    <col min="33" max="33" width="16.33203125" style="26" customWidth="1"/>
    <col min="34" max="34" width="16.6640625" style="26" customWidth="1"/>
    <col min="35" max="35" width="16.33203125" style="26" customWidth="1"/>
    <col min="36" max="36" width="22.109375" style="4" customWidth="1"/>
    <col min="37" max="37" width="11.6640625" style="26" customWidth="1"/>
    <col min="38" max="38" width="14.109375" style="26" customWidth="1"/>
    <col min="39" max="40" width="11.6640625" style="26" customWidth="1"/>
    <col min="41" max="41" width="13.6640625" style="26" customWidth="1"/>
    <col min="42" max="48" width="11.6640625" style="26" customWidth="1"/>
    <col min="49" max="50" width="9.109375" style="4"/>
    <col min="51" max="51" width="14.6640625" style="4" customWidth="1"/>
    <col min="52" max="52" width="16.44140625" style="26" customWidth="1"/>
    <col min="53" max="16384" width="9.109375" style="4"/>
  </cols>
  <sheetData>
    <row r="1" spans="1:53" ht="18.75" customHeight="1" x14ac:dyDescent="0.25">
      <c r="A1" s="69"/>
      <c r="B1" s="221"/>
      <c r="C1" s="222"/>
      <c r="D1" s="468" t="s">
        <v>1284</v>
      </c>
      <c r="E1" s="468"/>
      <c r="F1" s="468"/>
      <c r="G1" s="460"/>
      <c r="H1" s="459" t="s">
        <v>1358</v>
      </c>
      <c r="I1" s="460"/>
      <c r="J1" s="459" t="s">
        <v>1359</v>
      </c>
      <c r="K1" s="460"/>
      <c r="L1" s="459" t="s">
        <v>1360</v>
      </c>
      <c r="M1" s="460"/>
      <c r="N1" s="459" t="s">
        <v>866</v>
      </c>
      <c r="O1" s="460"/>
      <c r="P1" s="474" t="s">
        <v>844</v>
      </c>
      <c r="Q1" s="474"/>
      <c r="R1" s="474" t="s">
        <v>845</v>
      </c>
      <c r="S1" s="474"/>
      <c r="T1" s="474" t="s">
        <v>846</v>
      </c>
      <c r="U1" s="474"/>
      <c r="V1" s="250"/>
      <c r="W1" s="251"/>
      <c r="X1" s="477" t="s">
        <v>1284</v>
      </c>
      <c r="Y1" s="477"/>
      <c r="Z1" s="477"/>
      <c r="AA1" s="478"/>
      <c r="AB1" s="481" t="s">
        <v>1358</v>
      </c>
      <c r="AC1" s="478"/>
      <c r="AD1" s="481" t="s">
        <v>1359</v>
      </c>
      <c r="AE1" s="478"/>
      <c r="AF1" s="481" t="s">
        <v>1360</v>
      </c>
      <c r="AG1" s="478"/>
      <c r="AH1" s="481" t="s">
        <v>866</v>
      </c>
      <c r="AI1" s="478"/>
      <c r="AK1" s="483" t="s">
        <v>1284</v>
      </c>
      <c r="AL1" s="483"/>
      <c r="AM1" s="483"/>
      <c r="AN1" s="484"/>
      <c r="AO1" s="487" t="s">
        <v>1358</v>
      </c>
      <c r="AP1" s="484"/>
      <c r="AQ1" s="487" t="s">
        <v>1359</v>
      </c>
      <c r="AR1" s="484"/>
      <c r="AS1" s="487" t="s">
        <v>1360</v>
      </c>
      <c r="AT1" s="484"/>
      <c r="AU1" s="487" t="s">
        <v>866</v>
      </c>
      <c r="AV1" s="484"/>
    </row>
    <row r="2" spans="1:53" ht="17.399999999999999" x14ac:dyDescent="0.25">
      <c r="A2" s="223"/>
      <c r="B2" s="224"/>
      <c r="C2" s="227"/>
      <c r="D2" s="469"/>
      <c r="E2" s="469"/>
      <c r="F2" s="469"/>
      <c r="G2" s="462"/>
      <c r="H2" s="461"/>
      <c r="I2" s="462"/>
      <c r="J2" s="461"/>
      <c r="K2" s="462"/>
      <c r="L2" s="461"/>
      <c r="M2" s="462"/>
      <c r="N2" s="461"/>
      <c r="O2" s="462"/>
      <c r="P2" s="474"/>
      <c r="Q2" s="474"/>
      <c r="R2" s="474"/>
      <c r="S2" s="474"/>
      <c r="T2" s="474"/>
      <c r="U2" s="474"/>
      <c r="V2" s="250"/>
      <c r="W2" s="251"/>
      <c r="X2" s="479"/>
      <c r="Y2" s="479"/>
      <c r="Z2" s="479"/>
      <c r="AA2" s="480"/>
      <c r="AB2" s="482"/>
      <c r="AC2" s="480"/>
      <c r="AD2" s="482"/>
      <c r="AE2" s="480"/>
      <c r="AF2" s="482"/>
      <c r="AG2" s="480"/>
      <c r="AH2" s="482"/>
      <c r="AI2" s="480"/>
      <c r="AK2" s="485"/>
      <c r="AL2" s="485"/>
      <c r="AM2" s="485"/>
      <c r="AN2" s="486"/>
      <c r="AO2" s="488"/>
      <c r="AP2" s="486"/>
      <c r="AQ2" s="488"/>
      <c r="AR2" s="486"/>
      <c r="AS2" s="488"/>
      <c r="AT2" s="486"/>
      <c r="AU2" s="488"/>
      <c r="AV2" s="486"/>
    </row>
    <row r="3" spans="1:53" ht="12.75" customHeight="1" x14ac:dyDescent="0.25">
      <c r="A3" s="223"/>
      <c r="B3" s="224"/>
      <c r="C3" s="227"/>
      <c r="D3" s="468" t="s">
        <v>1117</v>
      </c>
      <c r="E3" s="460"/>
      <c r="F3" s="459" t="s">
        <v>838</v>
      </c>
      <c r="G3" s="460"/>
      <c r="H3" s="465" t="s">
        <v>1117</v>
      </c>
      <c r="I3" s="465" t="s">
        <v>838</v>
      </c>
      <c r="J3" s="465" t="s">
        <v>1117</v>
      </c>
      <c r="K3" s="465" t="s">
        <v>838</v>
      </c>
      <c r="L3" s="465" t="s">
        <v>1117</v>
      </c>
      <c r="M3" s="465" t="s">
        <v>838</v>
      </c>
      <c r="N3" s="465" t="s">
        <v>1117</v>
      </c>
      <c r="O3" s="465" t="s">
        <v>838</v>
      </c>
      <c r="P3" s="475" t="s">
        <v>450</v>
      </c>
      <c r="Q3" s="475" t="s">
        <v>451</v>
      </c>
      <c r="R3" s="475" t="s">
        <v>1117</v>
      </c>
      <c r="S3" s="475" t="s">
        <v>1118</v>
      </c>
      <c r="T3" s="475" t="s">
        <v>1117</v>
      </c>
      <c r="U3" s="476" t="s">
        <v>1118</v>
      </c>
      <c r="V3" s="252"/>
      <c r="W3" s="251"/>
      <c r="X3" s="477" t="s">
        <v>1117</v>
      </c>
      <c r="Y3" s="478"/>
      <c r="Z3" s="481" t="s">
        <v>838</v>
      </c>
      <c r="AA3" s="478"/>
      <c r="AB3" s="471" t="s">
        <v>1117</v>
      </c>
      <c r="AC3" s="471" t="s">
        <v>838</v>
      </c>
      <c r="AD3" s="471" t="s">
        <v>1117</v>
      </c>
      <c r="AE3" s="471" t="s">
        <v>838</v>
      </c>
      <c r="AF3" s="471" t="s">
        <v>1117</v>
      </c>
      <c r="AG3" s="471" t="s">
        <v>838</v>
      </c>
      <c r="AH3" s="471" t="s">
        <v>1117</v>
      </c>
      <c r="AI3" s="471" t="s">
        <v>838</v>
      </c>
      <c r="AK3" s="483" t="s">
        <v>1117</v>
      </c>
      <c r="AL3" s="484"/>
      <c r="AM3" s="487" t="s">
        <v>838</v>
      </c>
      <c r="AN3" s="484"/>
      <c r="AO3" s="493" t="s">
        <v>1117</v>
      </c>
      <c r="AP3" s="493" t="s">
        <v>838</v>
      </c>
      <c r="AQ3" s="493" t="s">
        <v>1117</v>
      </c>
      <c r="AR3" s="493" t="s">
        <v>838</v>
      </c>
      <c r="AS3" s="493" t="s">
        <v>1117</v>
      </c>
      <c r="AT3" s="493" t="s">
        <v>838</v>
      </c>
      <c r="AU3" s="493" t="s">
        <v>1117</v>
      </c>
      <c r="AV3" s="493" t="s">
        <v>838</v>
      </c>
    </row>
    <row r="4" spans="1:53" x14ac:dyDescent="0.25">
      <c r="A4" s="223"/>
      <c r="B4" s="224"/>
      <c r="C4" s="227"/>
      <c r="D4" s="469"/>
      <c r="E4" s="462"/>
      <c r="F4" s="461"/>
      <c r="G4" s="462"/>
      <c r="H4" s="467"/>
      <c r="I4" s="467"/>
      <c r="J4" s="467"/>
      <c r="K4" s="467"/>
      <c r="L4" s="467"/>
      <c r="M4" s="467"/>
      <c r="N4" s="467"/>
      <c r="O4" s="467"/>
      <c r="P4" s="475"/>
      <c r="Q4" s="475"/>
      <c r="R4" s="475"/>
      <c r="S4" s="475"/>
      <c r="T4" s="475"/>
      <c r="U4" s="476"/>
      <c r="V4" s="252"/>
      <c r="W4" s="251"/>
      <c r="X4" s="479"/>
      <c r="Y4" s="480"/>
      <c r="Z4" s="482"/>
      <c r="AA4" s="480"/>
      <c r="AB4" s="472"/>
      <c r="AC4" s="472"/>
      <c r="AD4" s="472"/>
      <c r="AE4" s="472"/>
      <c r="AF4" s="472"/>
      <c r="AG4" s="472"/>
      <c r="AH4" s="472"/>
      <c r="AI4" s="472"/>
      <c r="AK4" s="485"/>
      <c r="AL4" s="486"/>
      <c r="AM4" s="488"/>
      <c r="AN4" s="486"/>
      <c r="AO4" s="494"/>
      <c r="AP4" s="494"/>
      <c r="AQ4" s="494"/>
      <c r="AR4" s="494"/>
      <c r="AS4" s="494"/>
      <c r="AT4" s="494"/>
      <c r="AU4" s="494"/>
      <c r="AV4" s="494"/>
    </row>
    <row r="5" spans="1:53" x14ac:dyDescent="0.25">
      <c r="A5" s="225"/>
      <c r="B5" s="226"/>
      <c r="C5" s="228"/>
      <c r="D5" s="470" t="s">
        <v>839</v>
      </c>
      <c r="E5" s="465" t="s">
        <v>840</v>
      </c>
      <c r="F5" s="463" t="s">
        <v>839</v>
      </c>
      <c r="G5" s="465" t="s">
        <v>840</v>
      </c>
      <c r="H5" s="467"/>
      <c r="I5" s="467"/>
      <c r="J5" s="467"/>
      <c r="K5" s="467"/>
      <c r="L5" s="467"/>
      <c r="M5" s="467"/>
      <c r="N5" s="467"/>
      <c r="O5" s="467"/>
      <c r="P5" s="475"/>
      <c r="Q5" s="475"/>
      <c r="R5" s="475"/>
      <c r="S5" s="475"/>
      <c r="T5" s="475"/>
      <c r="U5" s="476"/>
      <c r="V5" s="252"/>
      <c r="W5" s="251"/>
      <c r="X5" s="489" t="s">
        <v>839</v>
      </c>
      <c r="Y5" s="471" t="s">
        <v>840</v>
      </c>
      <c r="Z5" s="491" t="s">
        <v>839</v>
      </c>
      <c r="AA5" s="471" t="s">
        <v>840</v>
      </c>
      <c r="AB5" s="472"/>
      <c r="AC5" s="472"/>
      <c r="AD5" s="472"/>
      <c r="AE5" s="472"/>
      <c r="AF5" s="472"/>
      <c r="AG5" s="472"/>
      <c r="AH5" s="472"/>
      <c r="AI5" s="472"/>
      <c r="AK5" s="484" t="s">
        <v>839</v>
      </c>
      <c r="AL5" s="493" t="s">
        <v>840</v>
      </c>
      <c r="AM5" s="493" t="s">
        <v>839</v>
      </c>
      <c r="AN5" s="493" t="s">
        <v>840</v>
      </c>
      <c r="AO5" s="494"/>
      <c r="AP5" s="494"/>
      <c r="AQ5" s="494"/>
      <c r="AR5" s="494"/>
      <c r="AS5" s="494"/>
      <c r="AT5" s="494"/>
      <c r="AU5" s="494"/>
      <c r="AV5" s="494"/>
    </row>
    <row r="6" spans="1:53" ht="36" x14ac:dyDescent="0.25">
      <c r="A6" s="219" t="s">
        <v>1122</v>
      </c>
      <c r="B6" s="220" t="s">
        <v>843</v>
      </c>
      <c r="C6" s="219" t="s">
        <v>1283</v>
      </c>
      <c r="D6" s="464"/>
      <c r="E6" s="466"/>
      <c r="F6" s="464"/>
      <c r="G6" s="466"/>
      <c r="H6" s="466"/>
      <c r="I6" s="466"/>
      <c r="J6" s="466"/>
      <c r="K6" s="466"/>
      <c r="L6" s="466"/>
      <c r="M6" s="466"/>
      <c r="N6" s="466"/>
      <c r="O6" s="466"/>
      <c r="P6" s="475"/>
      <c r="Q6" s="475"/>
      <c r="R6" s="475"/>
      <c r="S6" s="475"/>
      <c r="T6" s="475"/>
      <c r="U6" s="476"/>
      <c r="V6" s="252"/>
      <c r="W6" s="251"/>
      <c r="X6" s="490"/>
      <c r="Y6" s="473"/>
      <c r="Z6" s="492"/>
      <c r="AA6" s="473"/>
      <c r="AB6" s="473"/>
      <c r="AC6" s="473"/>
      <c r="AD6" s="473"/>
      <c r="AE6" s="473"/>
      <c r="AF6" s="473"/>
      <c r="AG6" s="473"/>
      <c r="AH6" s="473"/>
      <c r="AI6" s="473"/>
      <c r="AK6" s="495"/>
      <c r="AL6" s="495"/>
      <c r="AM6" s="495"/>
      <c r="AN6" s="495"/>
      <c r="AO6" s="495"/>
      <c r="AP6" s="495"/>
      <c r="AQ6" s="495"/>
      <c r="AR6" s="495"/>
      <c r="AS6" s="495"/>
      <c r="AT6" s="495"/>
      <c r="AU6" s="495"/>
      <c r="AV6" s="495"/>
    </row>
    <row r="7" spans="1:53" s="209" customFormat="1" x14ac:dyDescent="0.25">
      <c r="A7" s="233">
        <v>1</v>
      </c>
      <c r="B7" s="234">
        <v>2</v>
      </c>
      <c r="C7" s="234">
        <v>3</v>
      </c>
      <c r="D7" s="233">
        <v>4</v>
      </c>
      <c r="E7" s="233">
        <v>5</v>
      </c>
      <c r="F7" s="233">
        <v>6</v>
      </c>
      <c r="G7" s="233">
        <v>7</v>
      </c>
      <c r="H7" s="233">
        <v>8</v>
      </c>
      <c r="I7" s="233">
        <v>9</v>
      </c>
      <c r="J7" s="233">
        <v>10</v>
      </c>
      <c r="K7" s="233">
        <v>11</v>
      </c>
      <c r="L7" s="233">
        <v>12</v>
      </c>
      <c r="M7" s="233">
        <v>13</v>
      </c>
      <c r="N7" s="233">
        <v>14</v>
      </c>
      <c r="O7" s="233">
        <v>15</v>
      </c>
      <c r="P7" s="235">
        <v>16</v>
      </c>
      <c r="Q7" s="236">
        <v>17</v>
      </c>
      <c r="R7" s="236">
        <v>18</v>
      </c>
      <c r="S7" s="236">
        <v>19</v>
      </c>
      <c r="T7" s="236">
        <v>20</v>
      </c>
      <c r="U7" s="241">
        <v>21</v>
      </c>
      <c r="V7" s="245"/>
      <c r="W7" s="246"/>
      <c r="X7" s="243">
        <f>COLUMN()</f>
        <v>24</v>
      </c>
      <c r="Y7" s="233">
        <f>COLUMN()</f>
        <v>25</v>
      </c>
      <c r="Z7" s="233">
        <f>COLUMN()</f>
        <v>26</v>
      </c>
      <c r="AA7" s="233">
        <f>COLUMN()</f>
        <v>27</v>
      </c>
      <c r="AB7" s="233">
        <f>COLUMN()</f>
        <v>28</v>
      </c>
      <c r="AC7" s="233">
        <f>COLUMN()</f>
        <v>29</v>
      </c>
      <c r="AD7" s="233">
        <f>COLUMN()</f>
        <v>30</v>
      </c>
      <c r="AE7" s="233">
        <f>COLUMN()</f>
        <v>31</v>
      </c>
      <c r="AF7" s="233">
        <f>COLUMN()</f>
        <v>32</v>
      </c>
      <c r="AG7" s="233">
        <f>COLUMN()</f>
        <v>33</v>
      </c>
      <c r="AH7" s="233">
        <f>COLUMN()</f>
        <v>34</v>
      </c>
      <c r="AI7" s="233">
        <f>COLUMN()</f>
        <v>35</v>
      </c>
      <c r="AK7" s="233">
        <f>COLUMN()</f>
        <v>37</v>
      </c>
      <c r="AL7" s="233">
        <f>COLUMN()</f>
        <v>38</v>
      </c>
      <c r="AM7" s="233">
        <f>COLUMN()</f>
        <v>39</v>
      </c>
      <c r="AN7" s="233">
        <f>COLUMN()</f>
        <v>40</v>
      </c>
      <c r="AO7" s="233">
        <f>COLUMN()</f>
        <v>41</v>
      </c>
      <c r="AP7" s="233">
        <f>COLUMN()</f>
        <v>42</v>
      </c>
      <c r="AQ7" s="233">
        <f>COLUMN()</f>
        <v>43</v>
      </c>
      <c r="AR7" s="233">
        <f>COLUMN()</f>
        <v>44</v>
      </c>
      <c r="AS7" s="233">
        <f>COLUMN()</f>
        <v>45</v>
      </c>
      <c r="AT7" s="233">
        <f>COLUMN()</f>
        <v>46</v>
      </c>
      <c r="AU7" s="233">
        <f>COLUMN()</f>
        <v>47</v>
      </c>
      <c r="AV7" s="233">
        <f>COLUMN()</f>
        <v>48</v>
      </c>
      <c r="AW7" s="209">
        <v>49</v>
      </c>
      <c r="AX7" s="209">
        <v>50</v>
      </c>
      <c r="AZ7" s="26"/>
    </row>
    <row r="8" spans="1:53" s="22" customFormat="1" x14ac:dyDescent="0.25">
      <c r="A8" s="275" t="s">
        <v>1220</v>
      </c>
      <c r="B8" s="276" t="s">
        <v>841</v>
      </c>
      <c r="C8" s="277"/>
      <c r="D8" s="278"/>
      <c r="E8" s="279"/>
      <c r="F8" s="280"/>
      <c r="G8" s="281"/>
      <c r="H8" s="279"/>
      <c r="I8" s="279"/>
      <c r="J8" s="281"/>
      <c r="K8" s="279"/>
      <c r="L8" s="279"/>
      <c r="M8" s="279"/>
      <c r="N8" s="279"/>
      <c r="O8" s="282"/>
      <c r="P8" s="283"/>
      <c r="Q8" s="107"/>
      <c r="R8" s="107"/>
      <c r="S8" s="107"/>
      <c r="T8" s="107"/>
      <c r="U8" s="284"/>
      <c r="V8" s="285"/>
      <c r="W8" s="286"/>
      <c r="X8" s="287"/>
      <c r="Y8" s="279"/>
      <c r="Z8" s="280"/>
      <c r="AA8" s="281"/>
      <c r="AB8" s="279"/>
      <c r="AC8" s="279"/>
      <c r="AD8" s="281"/>
      <c r="AE8" s="279"/>
      <c r="AF8" s="279"/>
      <c r="AG8" s="279"/>
      <c r="AH8" s="279"/>
      <c r="AI8" s="282"/>
      <c r="AK8" s="288"/>
      <c r="AL8" s="279"/>
      <c r="AM8" s="281"/>
      <c r="AN8" s="281"/>
      <c r="AO8" s="279"/>
      <c r="AP8" s="279"/>
      <c r="AQ8" s="281"/>
      <c r="AR8" s="279"/>
      <c r="AS8" s="279"/>
      <c r="AT8" s="279"/>
      <c r="AU8" s="279"/>
      <c r="AV8" s="282"/>
      <c r="AZ8" s="28"/>
    </row>
    <row r="9" spans="1:53" s="22" customFormat="1" x14ac:dyDescent="0.25">
      <c r="A9" s="275"/>
      <c r="B9" s="276" t="s">
        <v>1100</v>
      </c>
      <c r="C9" s="277" t="s">
        <v>661</v>
      </c>
      <c r="D9" s="278"/>
      <c r="E9" s="279"/>
      <c r="F9" s="280"/>
      <c r="G9" s="281"/>
      <c r="H9" s="279"/>
      <c r="I9" s="279"/>
      <c r="J9" s="281"/>
      <c r="K9" s="279"/>
      <c r="L9" s="279"/>
      <c r="M9" s="279"/>
      <c r="N9" s="279"/>
      <c r="O9" s="282"/>
      <c r="P9" s="283"/>
      <c r="Q9" s="107"/>
      <c r="R9" s="107"/>
      <c r="S9" s="107"/>
      <c r="T9" s="107"/>
      <c r="U9" s="284"/>
      <c r="V9" s="296" t="s">
        <v>1100</v>
      </c>
      <c r="W9" s="297" t="s">
        <v>661</v>
      </c>
      <c r="X9" s="287">
        <v>37</v>
      </c>
      <c r="Y9" s="279"/>
      <c r="Z9" s="280"/>
      <c r="AA9" s="281"/>
      <c r="AB9" s="279"/>
      <c r="AC9" s="279"/>
      <c r="AD9" s="281"/>
      <c r="AE9" s="279"/>
      <c r="AF9" s="279"/>
      <c r="AG9" s="279"/>
      <c r="AH9" s="279"/>
      <c r="AI9" s="282"/>
      <c r="AK9" s="288"/>
      <c r="AL9" s="288"/>
      <c r="AM9" s="288"/>
      <c r="AN9" s="288"/>
      <c r="AO9" s="288"/>
      <c r="AP9" s="288"/>
      <c r="AQ9" s="288"/>
      <c r="AR9" s="288"/>
      <c r="AS9" s="288"/>
      <c r="AT9" s="288"/>
      <c r="AU9" s="288"/>
      <c r="AV9" s="288"/>
      <c r="AZ9" s="28"/>
      <c r="BA9" s="22" t="b">
        <f>AZ9&gt;=H9</f>
        <v>1</v>
      </c>
    </row>
    <row r="10" spans="1:53" s="22" customFormat="1" x14ac:dyDescent="0.25">
      <c r="A10" s="275"/>
      <c r="B10" s="276" t="s">
        <v>388</v>
      </c>
      <c r="C10" s="277" t="s">
        <v>662</v>
      </c>
      <c r="D10" s="278"/>
      <c r="E10" s="279"/>
      <c r="F10" s="280"/>
      <c r="G10" s="281"/>
      <c r="H10" s="279"/>
      <c r="I10" s="279"/>
      <c r="J10" s="281"/>
      <c r="K10" s="279"/>
      <c r="L10" s="279"/>
      <c r="M10" s="279"/>
      <c r="N10" s="279"/>
      <c r="O10" s="282"/>
      <c r="P10" s="283"/>
      <c r="Q10" s="107"/>
      <c r="R10" s="107"/>
      <c r="S10" s="107"/>
      <c r="T10" s="107"/>
      <c r="U10" s="284"/>
      <c r="V10" s="296" t="s">
        <v>388</v>
      </c>
      <c r="W10" s="297" t="s">
        <v>662</v>
      </c>
      <c r="X10" s="287">
        <v>1</v>
      </c>
      <c r="Y10" s="279"/>
      <c r="Z10" s="280"/>
      <c r="AA10" s="281"/>
      <c r="AB10" s="279"/>
      <c r="AC10" s="279"/>
      <c r="AD10" s="281"/>
      <c r="AE10" s="279"/>
      <c r="AF10" s="279"/>
      <c r="AG10" s="279"/>
      <c r="AH10" s="279"/>
      <c r="AI10" s="282"/>
      <c r="AK10" s="288"/>
      <c r="AL10" s="288"/>
      <c r="AM10" s="288"/>
      <c r="AN10" s="288"/>
      <c r="AO10" s="288"/>
      <c r="AP10" s="288"/>
      <c r="AQ10" s="288"/>
      <c r="AR10" s="288"/>
      <c r="AS10" s="288"/>
      <c r="AT10" s="288"/>
      <c r="AU10" s="288"/>
      <c r="AV10" s="288"/>
      <c r="AZ10" s="28"/>
      <c r="BA10" s="22" t="b">
        <f t="shared" ref="BA10:BA51" si="0">AZ10&gt;=H10</f>
        <v>1</v>
      </c>
    </row>
    <row r="11" spans="1:53" s="22" customFormat="1" x14ac:dyDescent="0.25">
      <c r="A11" s="275"/>
      <c r="B11" s="276" t="s">
        <v>390</v>
      </c>
      <c r="C11" s="277" t="s">
        <v>665</v>
      </c>
      <c r="D11" s="278"/>
      <c r="E11" s="279"/>
      <c r="F11" s="280"/>
      <c r="G11" s="281"/>
      <c r="H11" s="279"/>
      <c r="I11" s="279"/>
      <c r="J11" s="281"/>
      <c r="K11" s="279"/>
      <c r="L11" s="279"/>
      <c r="M11" s="279"/>
      <c r="N11" s="279"/>
      <c r="O11" s="282"/>
      <c r="P11" s="283"/>
      <c r="Q11" s="107"/>
      <c r="R11" s="107"/>
      <c r="S11" s="107"/>
      <c r="T11" s="107"/>
      <c r="U11" s="284"/>
      <c r="V11" s="296" t="s">
        <v>390</v>
      </c>
      <c r="W11" s="297" t="s">
        <v>665</v>
      </c>
      <c r="X11" s="287">
        <v>6</v>
      </c>
      <c r="Y11" s="279"/>
      <c r="Z11" s="280"/>
      <c r="AA11" s="281"/>
      <c r="AB11" s="279"/>
      <c r="AC11" s="279"/>
      <c r="AD11" s="281"/>
      <c r="AE11" s="279"/>
      <c r="AF11" s="279"/>
      <c r="AG11" s="279"/>
      <c r="AH11" s="279"/>
      <c r="AI11" s="282"/>
      <c r="AK11" s="288"/>
      <c r="AL11" s="288"/>
      <c r="AM11" s="288"/>
      <c r="AN11" s="288"/>
      <c r="AO11" s="288"/>
      <c r="AP11" s="288"/>
      <c r="AQ11" s="288"/>
      <c r="AR11" s="288"/>
      <c r="AS11" s="288"/>
      <c r="AT11" s="288"/>
      <c r="AU11" s="288"/>
      <c r="AV11" s="288"/>
      <c r="AZ11" s="28"/>
      <c r="BA11" s="22" t="b">
        <f t="shared" si="0"/>
        <v>1</v>
      </c>
    </row>
    <row r="12" spans="1:53" s="22" customFormat="1" x14ac:dyDescent="0.25">
      <c r="A12" s="275"/>
      <c r="B12" s="276" t="s">
        <v>394</v>
      </c>
      <c r="C12" s="277" t="s">
        <v>666</v>
      </c>
      <c r="D12" s="278"/>
      <c r="E12" s="279"/>
      <c r="F12" s="280"/>
      <c r="G12" s="281"/>
      <c r="H12" s="279"/>
      <c r="I12" s="279"/>
      <c r="J12" s="281"/>
      <c r="K12" s="279"/>
      <c r="L12" s="279"/>
      <c r="M12" s="279"/>
      <c r="N12" s="279"/>
      <c r="O12" s="282"/>
      <c r="P12" s="283"/>
      <c r="Q12" s="107"/>
      <c r="R12" s="107"/>
      <c r="S12" s="107"/>
      <c r="T12" s="107"/>
      <c r="U12" s="284"/>
      <c r="V12" s="296" t="s">
        <v>394</v>
      </c>
      <c r="W12" s="297" t="s">
        <v>666</v>
      </c>
      <c r="X12" s="287">
        <v>0</v>
      </c>
      <c r="Y12" s="279"/>
      <c r="Z12" s="280"/>
      <c r="AA12" s="281"/>
      <c r="AB12" s="279"/>
      <c r="AC12" s="279"/>
      <c r="AD12" s="281"/>
      <c r="AE12" s="279"/>
      <c r="AF12" s="279"/>
      <c r="AG12" s="279"/>
      <c r="AH12" s="279"/>
      <c r="AI12" s="282"/>
      <c r="AK12" s="288"/>
      <c r="AL12" s="288"/>
      <c r="AM12" s="288"/>
      <c r="AN12" s="288"/>
      <c r="AO12" s="288"/>
      <c r="AP12" s="288"/>
      <c r="AQ12" s="288"/>
      <c r="AR12" s="288"/>
      <c r="AS12" s="288"/>
      <c r="AT12" s="288"/>
      <c r="AU12" s="288"/>
      <c r="AV12" s="288"/>
      <c r="AZ12" s="28"/>
      <c r="BA12" s="22" t="b">
        <f t="shared" si="0"/>
        <v>1</v>
      </c>
    </row>
    <row r="13" spans="1:53" s="22" customFormat="1" x14ac:dyDescent="0.25">
      <c r="A13" s="275"/>
      <c r="B13" s="276" t="s">
        <v>1199</v>
      </c>
      <c r="C13" s="277" t="s">
        <v>668</v>
      </c>
      <c r="D13" s="278"/>
      <c r="E13" s="279"/>
      <c r="F13" s="280"/>
      <c r="G13" s="281"/>
      <c r="H13" s="279"/>
      <c r="I13" s="279"/>
      <c r="J13" s="281"/>
      <c r="K13" s="279"/>
      <c r="L13" s="279"/>
      <c r="M13" s="279"/>
      <c r="N13" s="279"/>
      <c r="O13" s="282"/>
      <c r="P13" s="283"/>
      <c r="Q13" s="107"/>
      <c r="R13" s="107"/>
      <c r="S13" s="107"/>
      <c r="T13" s="107"/>
      <c r="U13" s="284"/>
      <c r="V13" s="296" t="s">
        <v>1199</v>
      </c>
      <c r="W13" s="297" t="s">
        <v>668</v>
      </c>
      <c r="X13" s="287">
        <v>0</v>
      </c>
      <c r="Y13" s="279"/>
      <c r="Z13" s="280"/>
      <c r="AA13" s="281"/>
      <c r="AB13" s="279"/>
      <c r="AC13" s="279"/>
      <c r="AD13" s="281"/>
      <c r="AE13" s="279"/>
      <c r="AF13" s="279"/>
      <c r="AG13" s="279"/>
      <c r="AH13" s="279"/>
      <c r="AI13" s="282"/>
      <c r="AK13" s="288"/>
      <c r="AL13" s="288"/>
      <c r="AM13" s="288"/>
      <c r="AN13" s="288"/>
      <c r="AO13" s="288"/>
      <c r="AP13" s="288"/>
      <c r="AQ13" s="288"/>
      <c r="AR13" s="288"/>
      <c r="AS13" s="288"/>
      <c r="AT13" s="288"/>
      <c r="AU13" s="288"/>
      <c r="AV13" s="288"/>
      <c r="AZ13" s="28"/>
      <c r="BA13" s="22" t="b">
        <f t="shared" si="0"/>
        <v>1</v>
      </c>
    </row>
    <row r="14" spans="1:53" s="22" customFormat="1" x14ac:dyDescent="0.25">
      <c r="A14" s="275"/>
      <c r="B14" s="276" t="s">
        <v>625</v>
      </c>
      <c r="C14" s="277" t="s">
        <v>669</v>
      </c>
      <c r="D14" s="278"/>
      <c r="E14" s="279"/>
      <c r="F14" s="280"/>
      <c r="G14" s="281"/>
      <c r="H14" s="279"/>
      <c r="I14" s="279"/>
      <c r="J14" s="281"/>
      <c r="K14" s="279"/>
      <c r="L14" s="279"/>
      <c r="M14" s="279"/>
      <c r="N14" s="279"/>
      <c r="O14" s="282"/>
      <c r="P14" s="283"/>
      <c r="Q14" s="107"/>
      <c r="R14" s="107"/>
      <c r="S14" s="107"/>
      <c r="T14" s="107"/>
      <c r="U14" s="284"/>
      <c r="V14" s="296" t="s">
        <v>625</v>
      </c>
      <c r="W14" s="297" t="s">
        <v>669</v>
      </c>
      <c r="X14" s="287">
        <v>2</v>
      </c>
      <c r="Y14" s="279"/>
      <c r="Z14" s="280"/>
      <c r="AA14" s="281"/>
      <c r="AB14" s="279"/>
      <c r="AC14" s="279"/>
      <c r="AD14" s="281"/>
      <c r="AE14" s="279"/>
      <c r="AF14" s="279"/>
      <c r="AG14" s="279"/>
      <c r="AH14" s="279"/>
      <c r="AI14" s="282"/>
      <c r="AK14" s="288"/>
      <c r="AL14" s="288"/>
      <c r="AM14" s="288"/>
      <c r="AN14" s="288"/>
      <c r="AO14" s="288"/>
      <c r="AP14" s="288"/>
      <c r="AQ14" s="288"/>
      <c r="AR14" s="288"/>
      <c r="AS14" s="288"/>
      <c r="AT14" s="288"/>
      <c r="AU14" s="288"/>
      <c r="AV14" s="288"/>
      <c r="AZ14" s="28"/>
      <c r="BA14" s="22" t="b">
        <f t="shared" si="0"/>
        <v>1</v>
      </c>
    </row>
    <row r="15" spans="1:53" s="22" customFormat="1" x14ac:dyDescent="0.25">
      <c r="A15" s="275"/>
      <c r="B15" s="276" t="s">
        <v>400</v>
      </c>
      <c r="C15" s="277" t="s">
        <v>672</v>
      </c>
      <c r="D15" s="278"/>
      <c r="E15" s="279"/>
      <c r="F15" s="280"/>
      <c r="G15" s="281"/>
      <c r="H15" s="279"/>
      <c r="I15" s="279"/>
      <c r="J15" s="281"/>
      <c r="K15" s="279"/>
      <c r="L15" s="279"/>
      <c r="M15" s="279"/>
      <c r="N15" s="279"/>
      <c r="O15" s="282"/>
      <c r="P15" s="283"/>
      <c r="Q15" s="107"/>
      <c r="R15" s="107"/>
      <c r="S15" s="107"/>
      <c r="T15" s="107"/>
      <c r="U15" s="284"/>
      <c r="V15" s="296" t="s">
        <v>400</v>
      </c>
      <c r="W15" s="297" t="s">
        <v>672</v>
      </c>
      <c r="X15" s="287">
        <v>2</v>
      </c>
      <c r="Y15" s="279"/>
      <c r="Z15" s="280"/>
      <c r="AA15" s="281"/>
      <c r="AB15" s="279"/>
      <c r="AC15" s="279"/>
      <c r="AD15" s="281"/>
      <c r="AE15" s="279"/>
      <c r="AF15" s="279"/>
      <c r="AG15" s="279"/>
      <c r="AH15" s="279"/>
      <c r="AI15" s="282"/>
      <c r="AK15" s="288"/>
      <c r="AL15" s="288"/>
      <c r="AM15" s="288"/>
      <c r="AN15" s="288"/>
      <c r="AO15" s="288"/>
      <c r="AP15" s="288"/>
      <c r="AQ15" s="288"/>
      <c r="AR15" s="288"/>
      <c r="AS15" s="288"/>
      <c r="AT15" s="288"/>
      <c r="AU15" s="288"/>
      <c r="AV15" s="288"/>
      <c r="AZ15" s="28"/>
      <c r="BA15" s="22" t="b">
        <f t="shared" si="0"/>
        <v>1</v>
      </c>
    </row>
    <row r="16" spans="1:53" s="22" customFormat="1" x14ac:dyDescent="0.25">
      <c r="A16" s="275"/>
      <c r="B16" s="276" t="s">
        <v>947</v>
      </c>
      <c r="C16" s="277" t="s">
        <v>673</v>
      </c>
      <c r="D16" s="278"/>
      <c r="E16" s="279"/>
      <c r="F16" s="280"/>
      <c r="G16" s="281"/>
      <c r="H16" s="279"/>
      <c r="I16" s="279"/>
      <c r="J16" s="281"/>
      <c r="K16" s="279"/>
      <c r="L16" s="279"/>
      <c r="M16" s="279"/>
      <c r="N16" s="279"/>
      <c r="O16" s="282"/>
      <c r="P16" s="283"/>
      <c r="Q16" s="107"/>
      <c r="R16" s="107"/>
      <c r="S16" s="107"/>
      <c r="T16" s="107"/>
      <c r="U16" s="284"/>
      <c r="V16" s="296" t="s">
        <v>947</v>
      </c>
      <c r="W16" s="297" t="s">
        <v>673</v>
      </c>
      <c r="X16" s="287">
        <v>0</v>
      </c>
      <c r="Y16" s="279"/>
      <c r="Z16" s="280"/>
      <c r="AA16" s="281"/>
      <c r="AB16" s="279"/>
      <c r="AC16" s="279"/>
      <c r="AD16" s="281"/>
      <c r="AE16" s="279"/>
      <c r="AF16" s="279"/>
      <c r="AG16" s="279"/>
      <c r="AH16" s="279"/>
      <c r="AI16" s="282"/>
      <c r="AK16" s="288"/>
      <c r="AL16" s="288"/>
      <c r="AM16" s="288"/>
      <c r="AN16" s="288"/>
      <c r="AO16" s="288"/>
      <c r="AP16" s="288"/>
      <c r="AQ16" s="288"/>
      <c r="AR16" s="288"/>
      <c r="AS16" s="288"/>
      <c r="AT16" s="288"/>
      <c r="AU16" s="288"/>
      <c r="AV16" s="288"/>
      <c r="AZ16" s="28"/>
      <c r="BA16" s="22" t="b">
        <f t="shared" si="0"/>
        <v>1</v>
      </c>
    </row>
    <row r="17" spans="1:53" s="22" customFormat="1" x14ac:dyDescent="0.25">
      <c r="A17" s="275"/>
      <c r="B17" s="276" t="s">
        <v>50</v>
      </c>
      <c r="C17" s="277" t="s">
        <v>70</v>
      </c>
      <c r="D17" s="278"/>
      <c r="E17" s="279"/>
      <c r="F17" s="280"/>
      <c r="G17" s="281"/>
      <c r="H17" s="279"/>
      <c r="I17" s="279"/>
      <c r="J17" s="281"/>
      <c r="K17" s="279"/>
      <c r="L17" s="279"/>
      <c r="M17" s="279"/>
      <c r="N17" s="279"/>
      <c r="O17" s="282"/>
      <c r="P17" s="283"/>
      <c r="Q17" s="107"/>
      <c r="R17" s="107"/>
      <c r="S17" s="107"/>
      <c r="T17" s="107"/>
      <c r="U17" s="284"/>
      <c r="V17" s="296" t="s">
        <v>50</v>
      </c>
      <c r="W17" s="297" t="s">
        <v>70</v>
      </c>
      <c r="X17" s="287">
        <v>0</v>
      </c>
      <c r="Y17" s="279"/>
      <c r="Z17" s="280"/>
      <c r="AA17" s="281"/>
      <c r="AB17" s="279"/>
      <c r="AC17" s="279"/>
      <c r="AD17" s="281"/>
      <c r="AE17" s="279"/>
      <c r="AF17" s="279"/>
      <c r="AG17" s="279"/>
      <c r="AH17" s="279"/>
      <c r="AI17" s="282"/>
      <c r="AK17" s="288"/>
      <c r="AL17" s="288"/>
      <c r="AM17" s="288"/>
      <c r="AN17" s="288"/>
      <c r="AO17" s="288"/>
      <c r="AP17" s="288"/>
      <c r="AQ17" s="288"/>
      <c r="AR17" s="288"/>
      <c r="AS17" s="288"/>
      <c r="AT17" s="288"/>
      <c r="AU17" s="288"/>
      <c r="AV17" s="288"/>
      <c r="AZ17" s="28"/>
      <c r="BA17" s="22" t="b">
        <f t="shared" si="0"/>
        <v>1</v>
      </c>
    </row>
    <row r="18" spans="1:53" s="22" customFormat="1" x14ac:dyDescent="0.25">
      <c r="A18" s="275"/>
      <c r="B18" s="276" t="s">
        <v>166</v>
      </c>
      <c r="C18" s="277" t="s">
        <v>72</v>
      </c>
      <c r="D18" s="278"/>
      <c r="E18" s="279"/>
      <c r="F18" s="280"/>
      <c r="G18" s="281"/>
      <c r="H18" s="279"/>
      <c r="I18" s="279"/>
      <c r="J18" s="281"/>
      <c r="K18" s="279"/>
      <c r="L18" s="279"/>
      <c r="M18" s="279"/>
      <c r="N18" s="279"/>
      <c r="O18" s="282"/>
      <c r="P18" s="283"/>
      <c r="Q18" s="107"/>
      <c r="R18" s="107"/>
      <c r="S18" s="107"/>
      <c r="T18" s="107"/>
      <c r="U18" s="284"/>
      <c r="V18" s="296" t="s">
        <v>166</v>
      </c>
      <c r="W18" s="297" t="s">
        <v>72</v>
      </c>
      <c r="X18" s="287">
        <v>13</v>
      </c>
      <c r="Y18" s="279"/>
      <c r="Z18" s="280"/>
      <c r="AA18" s="281"/>
      <c r="AB18" s="279"/>
      <c r="AC18" s="279"/>
      <c r="AD18" s="281"/>
      <c r="AE18" s="279"/>
      <c r="AF18" s="279"/>
      <c r="AG18" s="279"/>
      <c r="AH18" s="279"/>
      <c r="AI18" s="282"/>
      <c r="AK18" s="288"/>
      <c r="AL18" s="288"/>
      <c r="AM18" s="288"/>
      <c r="AN18" s="288"/>
      <c r="AO18" s="288"/>
      <c r="AP18" s="288"/>
      <c r="AQ18" s="288"/>
      <c r="AR18" s="288"/>
      <c r="AS18" s="288"/>
      <c r="AT18" s="288"/>
      <c r="AU18" s="288"/>
      <c r="AV18" s="288"/>
      <c r="AZ18" s="28"/>
      <c r="BA18" s="22" t="b">
        <f t="shared" si="0"/>
        <v>1</v>
      </c>
    </row>
    <row r="19" spans="1:53" s="22" customFormat="1" x14ac:dyDescent="0.25">
      <c r="A19" s="275"/>
      <c r="B19" s="276" t="s">
        <v>797</v>
      </c>
      <c r="C19" s="277" t="s">
        <v>75</v>
      </c>
      <c r="D19" s="278"/>
      <c r="E19" s="279"/>
      <c r="F19" s="280"/>
      <c r="G19" s="281"/>
      <c r="H19" s="279"/>
      <c r="I19" s="279"/>
      <c r="J19" s="281"/>
      <c r="K19" s="279"/>
      <c r="L19" s="279"/>
      <c r="M19" s="279"/>
      <c r="N19" s="279"/>
      <c r="O19" s="282"/>
      <c r="P19" s="283"/>
      <c r="Q19" s="107"/>
      <c r="R19" s="107"/>
      <c r="S19" s="107"/>
      <c r="T19" s="107"/>
      <c r="U19" s="284"/>
      <c r="V19" s="296" t="s">
        <v>797</v>
      </c>
      <c r="W19" s="297" t="s">
        <v>75</v>
      </c>
      <c r="X19" s="287">
        <v>3</v>
      </c>
      <c r="Y19" s="279"/>
      <c r="Z19" s="280"/>
      <c r="AA19" s="281"/>
      <c r="AB19" s="279"/>
      <c r="AC19" s="279"/>
      <c r="AD19" s="281"/>
      <c r="AE19" s="279"/>
      <c r="AF19" s="279"/>
      <c r="AG19" s="279"/>
      <c r="AH19" s="279"/>
      <c r="AI19" s="282"/>
      <c r="AK19" s="288"/>
      <c r="AL19" s="288"/>
      <c r="AM19" s="288"/>
      <c r="AN19" s="288"/>
      <c r="AO19" s="288"/>
      <c r="AP19" s="288"/>
      <c r="AQ19" s="288"/>
      <c r="AR19" s="288"/>
      <c r="AS19" s="288"/>
      <c r="AT19" s="288"/>
      <c r="AU19" s="288"/>
      <c r="AV19" s="288"/>
      <c r="AZ19" s="28"/>
      <c r="BA19" s="22" t="b">
        <f t="shared" si="0"/>
        <v>1</v>
      </c>
    </row>
    <row r="20" spans="1:53" s="22" customFormat="1" x14ac:dyDescent="0.25">
      <c r="A20" s="275"/>
      <c r="B20" s="276" t="s">
        <v>385</v>
      </c>
      <c r="C20" s="277" t="s">
        <v>76</v>
      </c>
      <c r="D20" s="278"/>
      <c r="E20" s="279"/>
      <c r="F20" s="280"/>
      <c r="G20" s="281"/>
      <c r="H20" s="279"/>
      <c r="I20" s="279"/>
      <c r="J20" s="281"/>
      <c r="K20" s="279"/>
      <c r="L20" s="279"/>
      <c r="M20" s="279"/>
      <c r="N20" s="279"/>
      <c r="O20" s="282"/>
      <c r="P20" s="283"/>
      <c r="Q20" s="107"/>
      <c r="R20" s="107"/>
      <c r="S20" s="107"/>
      <c r="T20" s="107"/>
      <c r="U20" s="284"/>
      <c r="V20" s="296" t="s">
        <v>385</v>
      </c>
      <c r="W20" s="297" t="s">
        <v>76</v>
      </c>
      <c r="X20" s="287">
        <v>0</v>
      </c>
      <c r="Y20" s="279"/>
      <c r="Z20" s="280"/>
      <c r="AA20" s="281"/>
      <c r="AB20" s="279"/>
      <c r="AC20" s="279"/>
      <c r="AD20" s="281"/>
      <c r="AE20" s="279"/>
      <c r="AF20" s="279"/>
      <c r="AG20" s="279"/>
      <c r="AH20" s="279"/>
      <c r="AI20" s="282"/>
      <c r="AK20" s="288"/>
      <c r="AL20" s="288"/>
      <c r="AM20" s="288"/>
      <c r="AN20" s="288"/>
      <c r="AO20" s="288"/>
      <c r="AP20" s="288"/>
      <c r="AQ20" s="288"/>
      <c r="AR20" s="288"/>
      <c r="AS20" s="288"/>
      <c r="AT20" s="288"/>
      <c r="AU20" s="288"/>
      <c r="AV20" s="288"/>
      <c r="AZ20" s="28"/>
      <c r="BA20" s="22" t="b">
        <f t="shared" si="0"/>
        <v>1</v>
      </c>
    </row>
    <row r="21" spans="1:53" s="22" customFormat="1" x14ac:dyDescent="0.25">
      <c r="A21" s="275"/>
      <c r="B21" s="276" t="s">
        <v>405</v>
      </c>
      <c r="C21" s="277" t="s">
        <v>77</v>
      </c>
      <c r="D21" s="278"/>
      <c r="E21" s="279"/>
      <c r="F21" s="280"/>
      <c r="G21" s="281"/>
      <c r="H21" s="279"/>
      <c r="I21" s="279"/>
      <c r="J21" s="281"/>
      <c r="K21" s="279"/>
      <c r="L21" s="279"/>
      <c r="M21" s="279"/>
      <c r="N21" s="279"/>
      <c r="O21" s="282"/>
      <c r="P21" s="283"/>
      <c r="Q21" s="107"/>
      <c r="R21" s="107"/>
      <c r="S21" s="107"/>
      <c r="T21" s="107"/>
      <c r="U21" s="284"/>
      <c r="V21" s="296" t="s">
        <v>405</v>
      </c>
      <c r="W21" s="297" t="s">
        <v>77</v>
      </c>
      <c r="X21" s="287">
        <v>0</v>
      </c>
      <c r="Y21" s="279"/>
      <c r="Z21" s="280"/>
      <c r="AA21" s="281"/>
      <c r="AB21" s="279"/>
      <c r="AC21" s="279"/>
      <c r="AD21" s="281"/>
      <c r="AE21" s="279"/>
      <c r="AF21" s="279"/>
      <c r="AG21" s="279"/>
      <c r="AH21" s="279"/>
      <c r="AI21" s="282"/>
      <c r="AK21" s="288"/>
      <c r="AL21" s="288"/>
      <c r="AM21" s="288"/>
      <c r="AN21" s="288"/>
      <c r="AO21" s="288"/>
      <c r="AP21" s="288"/>
      <c r="AQ21" s="288"/>
      <c r="AR21" s="288"/>
      <c r="AS21" s="288"/>
      <c r="AT21" s="288"/>
      <c r="AU21" s="288"/>
      <c r="AV21" s="288"/>
      <c r="AZ21" s="28"/>
      <c r="BA21" s="22" t="b">
        <f t="shared" si="0"/>
        <v>1</v>
      </c>
    </row>
    <row r="22" spans="1:53" s="22" customFormat="1" x14ac:dyDescent="0.25">
      <c r="A22" s="275"/>
      <c r="B22" s="276" t="s">
        <v>53</v>
      </c>
      <c r="C22" s="277" t="s">
        <v>78</v>
      </c>
      <c r="D22" s="278"/>
      <c r="E22" s="279"/>
      <c r="F22" s="280"/>
      <c r="G22" s="281"/>
      <c r="H22" s="279"/>
      <c r="I22" s="279"/>
      <c r="J22" s="281"/>
      <c r="K22" s="279"/>
      <c r="L22" s="279"/>
      <c r="M22" s="279"/>
      <c r="N22" s="279"/>
      <c r="O22" s="282"/>
      <c r="P22" s="283"/>
      <c r="Q22" s="107"/>
      <c r="R22" s="107"/>
      <c r="S22" s="107"/>
      <c r="T22" s="107"/>
      <c r="U22" s="284"/>
      <c r="V22" s="296" t="s">
        <v>53</v>
      </c>
      <c r="W22" s="297" t="s">
        <v>78</v>
      </c>
      <c r="X22" s="287">
        <v>1</v>
      </c>
      <c r="Y22" s="279"/>
      <c r="Z22" s="280"/>
      <c r="AA22" s="281"/>
      <c r="AB22" s="279"/>
      <c r="AC22" s="279"/>
      <c r="AD22" s="281"/>
      <c r="AE22" s="279"/>
      <c r="AF22" s="279"/>
      <c r="AG22" s="279"/>
      <c r="AH22" s="279"/>
      <c r="AI22" s="282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  <c r="AZ22" s="28"/>
      <c r="BA22" s="22" t="b">
        <f t="shared" si="0"/>
        <v>1</v>
      </c>
    </row>
    <row r="23" spans="1:53" s="22" customFormat="1" x14ac:dyDescent="0.25">
      <c r="A23" s="275"/>
      <c r="B23" s="276" t="s">
        <v>630</v>
      </c>
      <c r="C23" s="277" t="s">
        <v>671</v>
      </c>
      <c r="D23" s="278"/>
      <c r="E23" s="279"/>
      <c r="F23" s="280"/>
      <c r="G23" s="281"/>
      <c r="H23" s="279"/>
      <c r="I23" s="279"/>
      <c r="J23" s="281"/>
      <c r="K23" s="279"/>
      <c r="L23" s="279"/>
      <c r="M23" s="279"/>
      <c r="N23" s="279"/>
      <c r="O23" s="282"/>
      <c r="P23" s="283"/>
      <c r="Q23" s="107"/>
      <c r="R23" s="107"/>
      <c r="S23" s="107"/>
      <c r="T23" s="107"/>
      <c r="U23" s="284"/>
      <c r="V23" s="296" t="s">
        <v>630</v>
      </c>
      <c r="W23" s="297" t="s">
        <v>671</v>
      </c>
      <c r="X23" s="287">
        <v>5</v>
      </c>
      <c r="Y23" s="279"/>
      <c r="Z23" s="280"/>
      <c r="AA23" s="281"/>
      <c r="AB23" s="279"/>
      <c r="AC23" s="279"/>
      <c r="AD23" s="281"/>
      <c r="AE23" s="279"/>
      <c r="AF23" s="279"/>
      <c r="AG23" s="279"/>
      <c r="AH23" s="279"/>
      <c r="AI23" s="282"/>
      <c r="AK23" s="288"/>
      <c r="AL23" s="288"/>
      <c r="AM23" s="288"/>
      <c r="AN23" s="288"/>
      <c r="AO23" s="288"/>
      <c r="AP23" s="288"/>
      <c r="AQ23" s="288"/>
      <c r="AR23" s="288"/>
      <c r="AS23" s="288"/>
      <c r="AT23" s="288"/>
      <c r="AU23" s="288"/>
      <c r="AV23" s="288"/>
      <c r="AZ23" s="28"/>
      <c r="BA23" s="22" t="b">
        <f t="shared" si="0"/>
        <v>1</v>
      </c>
    </row>
    <row r="24" spans="1:53" s="22" customFormat="1" x14ac:dyDescent="0.25">
      <c r="A24" s="275"/>
      <c r="B24" s="276" t="s">
        <v>634</v>
      </c>
      <c r="C24" s="277" t="s">
        <v>670</v>
      </c>
      <c r="D24" s="278"/>
      <c r="E24" s="279"/>
      <c r="F24" s="280"/>
      <c r="G24" s="281"/>
      <c r="H24" s="279"/>
      <c r="I24" s="279"/>
      <c r="J24" s="281"/>
      <c r="K24" s="279"/>
      <c r="L24" s="279"/>
      <c r="M24" s="279"/>
      <c r="N24" s="279"/>
      <c r="O24" s="282"/>
      <c r="P24" s="283"/>
      <c r="Q24" s="107"/>
      <c r="R24" s="107"/>
      <c r="S24" s="107"/>
      <c r="T24" s="107"/>
      <c r="U24" s="284"/>
      <c r="V24" s="296" t="s">
        <v>634</v>
      </c>
      <c r="W24" s="297" t="s">
        <v>670</v>
      </c>
      <c r="X24" s="287">
        <v>8</v>
      </c>
      <c r="Y24" s="279"/>
      <c r="Z24" s="280"/>
      <c r="AA24" s="281"/>
      <c r="AB24" s="279"/>
      <c r="AC24" s="279"/>
      <c r="AD24" s="281"/>
      <c r="AE24" s="279"/>
      <c r="AF24" s="279"/>
      <c r="AG24" s="279"/>
      <c r="AH24" s="279"/>
      <c r="AI24" s="282"/>
      <c r="AK24" s="288"/>
      <c r="AL24" s="288"/>
      <c r="AM24" s="288"/>
      <c r="AN24" s="288"/>
      <c r="AO24" s="288"/>
      <c r="AP24" s="288"/>
      <c r="AQ24" s="288"/>
      <c r="AR24" s="288"/>
      <c r="AS24" s="288"/>
      <c r="AT24" s="288"/>
      <c r="AU24" s="288"/>
      <c r="AV24" s="288"/>
      <c r="AZ24" s="28"/>
      <c r="BA24" s="22" t="b">
        <f t="shared" si="0"/>
        <v>1</v>
      </c>
    </row>
    <row r="25" spans="1:53" s="22" customFormat="1" x14ac:dyDescent="0.25">
      <c r="A25" s="275"/>
      <c r="B25" s="276" t="s">
        <v>1109</v>
      </c>
      <c r="C25" s="277" t="s">
        <v>79</v>
      </c>
      <c r="D25" s="278"/>
      <c r="E25" s="279"/>
      <c r="F25" s="280"/>
      <c r="G25" s="281"/>
      <c r="H25" s="279"/>
      <c r="I25" s="279"/>
      <c r="J25" s="281"/>
      <c r="K25" s="279"/>
      <c r="L25" s="279"/>
      <c r="M25" s="279"/>
      <c r="N25" s="279"/>
      <c r="O25" s="282"/>
      <c r="P25" s="283"/>
      <c r="Q25" s="107"/>
      <c r="R25" s="107"/>
      <c r="S25" s="107"/>
      <c r="T25" s="107"/>
      <c r="U25" s="284"/>
      <c r="V25" s="296" t="s">
        <v>1109</v>
      </c>
      <c r="W25" s="297" t="s">
        <v>79</v>
      </c>
      <c r="X25" s="287">
        <v>0</v>
      </c>
      <c r="Y25" s="279"/>
      <c r="Z25" s="280"/>
      <c r="AA25" s="281"/>
      <c r="AB25" s="279"/>
      <c r="AC25" s="279"/>
      <c r="AD25" s="281"/>
      <c r="AE25" s="279"/>
      <c r="AF25" s="279"/>
      <c r="AG25" s="279"/>
      <c r="AH25" s="279"/>
      <c r="AI25" s="282"/>
      <c r="AK25" s="288"/>
      <c r="AL25" s="288"/>
      <c r="AM25" s="288"/>
      <c r="AN25" s="288"/>
      <c r="AO25" s="288"/>
      <c r="AP25" s="288"/>
      <c r="AQ25" s="288"/>
      <c r="AR25" s="288"/>
      <c r="AS25" s="288"/>
      <c r="AT25" s="288"/>
      <c r="AU25" s="288"/>
      <c r="AV25" s="288"/>
      <c r="AZ25" s="28"/>
      <c r="BA25" s="22" t="b">
        <f t="shared" si="0"/>
        <v>1</v>
      </c>
    </row>
    <row r="26" spans="1:53" s="22" customFormat="1" x14ac:dyDescent="0.25">
      <c r="A26" s="275"/>
      <c r="B26" s="276" t="s">
        <v>621</v>
      </c>
      <c r="C26" s="277" t="s">
        <v>80</v>
      </c>
      <c r="D26" s="278"/>
      <c r="E26" s="279"/>
      <c r="F26" s="280"/>
      <c r="G26" s="281"/>
      <c r="H26" s="279"/>
      <c r="I26" s="279"/>
      <c r="J26" s="281"/>
      <c r="K26" s="279"/>
      <c r="L26" s="279"/>
      <c r="M26" s="279"/>
      <c r="N26" s="279"/>
      <c r="O26" s="282"/>
      <c r="P26" s="283"/>
      <c r="Q26" s="107"/>
      <c r="R26" s="107"/>
      <c r="S26" s="107"/>
      <c r="T26" s="107"/>
      <c r="U26" s="284"/>
      <c r="V26" s="296" t="s">
        <v>621</v>
      </c>
      <c r="W26" s="297" t="s">
        <v>80</v>
      </c>
      <c r="X26" s="287">
        <v>0</v>
      </c>
      <c r="Y26" s="279"/>
      <c r="Z26" s="280"/>
      <c r="AA26" s="281"/>
      <c r="AB26" s="279"/>
      <c r="AC26" s="279"/>
      <c r="AD26" s="281"/>
      <c r="AE26" s="279"/>
      <c r="AF26" s="279"/>
      <c r="AG26" s="279"/>
      <c r="AH26" s="279"/>
      <c r="AI26" s="282"/>
      <c r="AK26" s="288"/>
      <c r="AL26" s="288"/>
      <c r="AM26" s="288"/>
      <c r="AN26" s="288"/>
      <c r="AO26" s="288"/>
      <c r="AP26" s="288"/>
      <c r="AQ26" s="288"/>
      <c r="AR26" s="288"/>
      <c r="AS26" s="288"/>
      <c r="AT26" s="288"/>
      <c r="AU26" s="288"/>
      <c r="AV26" s="288"/>
      <c r="AZ26" s="28"/>
      <c r="BA26" s="22" t="b">
        <f t="shared" si="0"/>
        <v>1</v>
      </c>
    </row>
    <row r="27" spans="1:53" s="22" customFormat="1" x14ac:dyDescent="0.25">
      <c r="A27" s="275"/>
      <c r="B27" s="276" t="s">
        <v>1200</v>
      </c>
      <c r="C27" s="277" t="s">
        <v>1033</v>
      </c>
      <c r="D27" s="278"/>
      <c r="E27" s="279"/>
      <c r="F27" s="280"/>
      <c r="G27" s="281"/>
      <c r="H27" s="279"/>
      <c r="I27" s="279"/>
      <c r="J27" s="281"/>
      <c r="K27" s="279"/>
      <c r="L27" s="279"/>
      <c r="M27" s="279"/>
      <c r="N27" s="279"/>
      <c r="O27" s="282"/>
      <c r="P27" s="283"/>
      <c r="Q27" s="107"/>
      <c r="R27" s="107"/>
      <c r="S27" s="107"/>
      <c r="T27" s="107"/>
      <c r="U27" s="284"/>
      <c r="V27" s="296" t="s">
        <v>1200</v>
      </c>
      <c r="W27" s="297" t="s">
        <v>1033</v>
      </c>
      <c r="X27" s="287">
        <v>2</v>
      </c>
      <c r="Y27" s="279"/>
      <c r="Z27" s="280"/>
      <c r="AA27" s="281"/>
      <c r="AB27" s="279"/>
      <c r="AC27" s="279"/>
      <c r="AD27" s="281"/>
      <c r="AE27" s="279"/>
      <c r="AF27" s="279"/>
      <c r="AG27" s="279"/>
      <c r="AH27" s="279"/>
      <c r="AI27" s="282"/>
      <c r="AK27" s="288"/>
      <c r="AL27" s="288"/>
      <c r="AM27" s="288"/>
      <c r="AN27" s="288"/>
      <c r="AO27" s="288"/>
      <c r="AP27" s="288"/>
      <c r="AQ27" s="288"/>
      <c r="AR27" s="288"/>
      <c r="AS27" s="288"/>
      <c r="AT27" s="288"/>
      <c r="AU27" s="288"/>
      <c r="AV27" s="288"/>
      <c r="AZ27" s="28"/>
      <c r="BA27" s="22" t="b">
        <f t="shared" si="0"/>
        <v>1</v>
      </c>
    </row>
    <row r="28" spans="1:53" s="22" customFormat="1" x14ac:dyDescent="0.25">
      <c r="A28" s="275"/>
      <c r="B28" s="276" t="s">
        <v>45</v>
      </c>
      <c r="C28" s="277" t="s">
        <v>82</v>
      </c>
      <c r="D28" s="278"/>
      <c r="E28" s="279"/>
      <c r="F28" s="280"/>
      <c r="G28" s="281"/>
      <c r="H28" s="279"/>
      <c r="I28" s="279"/>
      <c r="J28" s="281"/>
      <c r="K28" s="279"/>
      <c r="L28" s="279"/>
      <c r="M28" s="279"/>
      <c r="N28" s="279"/>
      <c r="O28" s="282"/>
      <c r="P28" s="283"/>
      <c r="Q28" s="107"/>
      <c r="R28" s="107"/>
      <c r="S28" s="107"/>
      <c r="T28" s="107"/>
      <c r="U28" s="284"/>
      <c r="V28" s="296" t="s">
        <v>45</v>
      </c>
      <c r="W28" s="297" t="s">
        <v>82</v>
      </c>
      <c r="X28" s="287">
        <v>0</v>
      </c>
      <c r="Y28" s="279"/>
      <c r="Z28" s="280"/>
      <c r="AA28" s="281"/>
      <c r="AB28" s="279"/>
      <c r="AC28" s="279"/>
      <c r="AD28" s="281"/>
      <c r="AE28" s="279"/>
      <c r="AF28" s="279"/>
      <c r="AG28" s="279"/>
      <c r="AH28" s="279"/>
      <c r="AI28" s="282"/>
      <c r="AK28" s="288"/>
      <c r="AL28" s="288"/>
      <c r="AM28" s="288"/>
      <c r="AN28" s="288"/>
      <c r="AO28" s="288"/>
      <c r="AP28" s="288"/>
      <c r="AQ28" s="288"/>
      <c r="AR28" s="288"/>
      <c r="AS28" s="288"/>
      <c r="AT28" s="288"/>
      <c r="AU28" s="288"/>
      <c r="AV28" s="288"/>
      <c r="AZ28" s="28"/>
      <c r="BA28" s="22" t="b">
        <f t="shared" si="0"/>
        <v>1</v>
      </c>
    </row>
    <row r="29" spans="1:53" s="22" customFormat="1" x14ac:dyDescent="0.25">
      <c r="A29" s="275"/>
      <c r="B29" s="276" t="s">
        <v>46</v>
      </c>
      <c r="C29" s="277" t="s">
        <v>762</v>
      </c>
      <c r="D29" s="278"/>
      <c r="E29" s="279"/>
      <c r="F29" s="280"/>
      <c r="G29" s="281"/>
      <c r="H29" s="279"/>
      <c r="I29" s="279"/>
      <c r="J29" s="281"/>
      <c r="K29" s="279"/>
      <c r="L29" s="279"/>
      <c r="M29" s="279"/>
      <c r="N29" s="279"/>
      <c r="O29" s="282"/>
      <c r="P29" s="283"/>
      <c r="Q29" s="107"/>
      <c r="R29" s="107"/>
      <c r="S29" s="107"/>
      <c r="T29" s="107"/>
      <c r="U29" s="284"/>
      <c r="V29" s="296" t="s">
        <v>46</v>
      </c>
      <c r="W29" s="297" t="s">
        <v>762</v>
      </c>
      <c r="X29" s="287">
        <v>5</v>
      </c>
      <c r="Y29" s="279"/>
      <c r="Z29" s="280"/>
      <c r="AA29" s="281"/>
      <c r="AB29" s="279"/>
      <c r="AC29" s="279"/>
      <c r="AD29" s="281"/>
      <c r="AE29" s="279"/>
      <c r="AF29" s="279"/>
      <c r="AG29" s="279"/>
      <c r="AH29" s="279"/>
      <c r="AI29" s="282"/>
      <c r="AK29" s="288"/>
      <c r="AL29" s="288"/>
      <c r="AM29" s="288"/>
      <c r="AN29" s="288"/>
      <c r="AO29" s="288"/>
      <c r="AP29" s="288"/>
      <c r="AQ29" s="288"/>
      <c r="AR29" s="288"/>
      <c r="AS29" s="288"/>
      <c r="AT29" s="288"/>
      <c r="AU29" s="288"/>
      <c r="AV29" s="288"/>
      <c r="AZ29" s="28"/>
      <c r="BA29" s="22" t="b">
        <f t="shared" si="0"/>
        <v>1</v>
      </c>
    </row>
    <row r="30" spans="1:53" s="22" customFormat="1" x14ac:dyDescent="0.25">
      <c r="A30" s="275"/>
      <c r="B30" s="276" t="s">
        <v>1336</v>
      </c>
      <c r="C30" s="277" t="s">
        <v>764</v>
      </c>
      <c r="D30" s="278"/>
      <c r="E30" s="279"/>
      <c r="F30" s="280"/>
      <c r="G30" s="281"/>
      <c r="H30" s="279"/>
      <c r="I30" s="279"/>
      <c r="J30" s="281"/>
      <c r="K30" s="279"/>
      <c r="L30" s="279"/>
      <c r="M30" s="279"/>
      <c r="N30" s="279"/>
      <c r="O30" s="282"/>
      <c r="P30" s="283"/>
      <c r="Q30" s="107"/>
      <c r="R30" s="107"/>
      <c r="S30" s="107"/>
      <c r="T30" s="107"/>
      <c r="U30" s="284"/>
      <c r="V30" s="296" t="s">
        <v>1336</v>
      </c>
      <c r="W30" s="297" t="s">
        <v>764</v>
      </c>
      <c r="X30" s="287">
        <v>3</v>
      </c>
      <c r="Y30" s="279"/>
      <c r="Z30" s="280"/>
      <c r="AA30" s="281"/>
      <c r="AB30" s="279"/>
      <c r="AC30" s="279"/>
      <c r="AD30" s="281"/>
      <c r="AE30" s="279"/>
      <c r="AF30" s="279"/>
      <c r="AG30" s="279"/>
      <c r="AH30" s="279"/>
      <c r="AI30" s="282"/>
      <c r="AK30" s="288"/>
      <c r="AL30" s="288"/>
      <c r="AM30" s="288"/>
      <c r="AN30" s="288"/>
      <c r="AO30" s="288"/>
      <c r="AP30" s="288"/>
      <c r="AQ30" s="288"/>
      <c r="AR30" s="288"/>
      <c r="AS30" s="288"/>
      <c r="AT30" s="288"/>
      <c r="AU30" s="288"/>
      <c r="AV30" s="288"/>
      <c r="AZ30" s="28"/>
      <c r="BA30" s="22" t="b">
        <f t="shared" si="0"/>
        <v>1</v>
      </c>
    </row>
    <row r="31" spans="1:53" s="22" customFormat="1" x14ac:dyDescent="0.25">
      <c r="A31" s="275"/>
      <c r="B31" s="276" t="s">
        <v>1369</v>
      </c>
      <c r="C31" s="277" t="s">
        <v>741</v>
      </c>
      <c r="D31" s="278"/>
      <c r="E31" s="279"/>
      <c r="F31" s="280"/>
      <c r="G31" s="281"/>
      <c r="H31" s="279"/>
      <c r="I31" s="279"/>
      <c r="J31" s="281"/>
      <c r="K31" s="279"/>
      <c r="L31" s="279"/>
      <c r="M31" s="279"/>
      <c r="N31" s="279"/>
      <c r="O31" s="282"/>
      <c r="P31" s="283"/>
      <c r="Q31" s="107"/>
      <c r="R31" s="107"/>
      <c r="S31" s="107"/>
      <c r="T31" s="107"/>
      <c r="U31" s="284"/>
      <c r="V31" s="296" t="s">
        <v>1369</v>
      </c>
      <c r="W31" s="297" t="s">
        <v>741</v>
      </c>
      <c r="X31" s="287">
        <v>0</v>
      </c>
      <c r="Y31" s="279"/>
      <c r="Z31" s="280"/>
      <c r="AA31" s="281"/>
      <c r="AB31" s="279"/>
      <c r="AC31" s="279"/>
      <c r="AD31" s="281"/>
      <c r="AE31" s="279"/>
      <c r="AF31" s="279"/>
      <c r="AG31" s="279"/>
      <c r="AH31" s="279"/>
      <c r="AI31" s="282"/>
      <c r="AK31" s="288"/>
      <c r="AL31" s="288"/>
      <c r="AM31" s="288"/>
      <c r="AN31" s="288"/>
      <c r="AO31" s="288"/>
      <c r="AP31" s="288"/>
      <c r="AQ31" s="288"/>
      <c r="AR31" s="288"/>
      <c r="AS31" s="288"/>
      <c r="AT31" s="288"/>
      <c r="AU31" s="288"/>
      <c r="AV31" s="288"/>
      <c r="AZ31" s="28"/>
      <c r="BA31" s="22" t="b">
        <f t="shared" si="0"/>
        <v>1</v>
      </c>
    </row>
    <row r="32" spans="1:53" s="22" customFormat="1" x14ac:dyDescent="0.25">
      <c r="A32" s="275"/>
      <c r="B32" s="276" t="s">
        <v>761</v>
      </c>
      <c r="C32" s="277" t="s">
        <v>765</v>
      </c>
      <c r="D32" s="278"/>
      <c r="E32" s="279"/>
      <c r="F32" s="280"/>
      <c r="G32" s="281"/>
      <c r="H32" s="279"/>
      <c r="I32" s="279"/>
      <c r="J32" s="281"/>
      <c r="K32" s="279"/>
      <c r="L32" s="279"/>
      <c r="M32" s="279"/>
      <c r="N32" s="279"/>
      <c r="O32" s="282"/>
      <c r="P32" s="283"/>
      <c r="Q32" s="107"/>
      <c r="R32" s="107"/>
      <c r="S32" s="107"/>
      <c r="T32" s="107"/>
      <c r="U32" s="284"/>
      <c r="V32" s="296" t="s">
        <v>761</v>
      </c>
      <c r="W32" s="297" t="s">
        <v>765</v>
      </c>
      <c r="X32" s="287">
        <v>0</v>
      </c>
      <c r="Y32" s="279"/>
      <c r="Z32" s="280"/>
      <c r="AA32" s="281"/>
      <c r="AB32" s="279"/>
      <c r="AC32" s="279"/>
      <c r="AD32" s="281"/>
      <c r="AE32" s="279"/>
      <c r="AF32" s="279"/>
      <c r="AG32" s="279"/>
      <c r="AH32" s="279"/>
      <c r="AI32" s="282"/>
      <c r="AK32" s="288"/>
      <c r="AL32" s="288"/>
      <c r="AM32" s="288"/>
      <c r="AN32" s="288"/>
      <c r="AO32" s="288"/>
      <c r="AP32" s="288"/>
      <c r="AQ32" s="288"/>
      <c r="AR32" s="288"/>
      <c r="AS32" s="288"/>
      <c r="AT32" s="288"/>
      <c r="AU32" s="288"/>
      <c r="AV32" s="288"/>
      <c r="AZ32" s="28"/>
      <c r="BA32" s="22" t="b">
        <f t="shared" si="0"/>
        <v>1</v>
      </c>
    </row>
    <row r="33" spans="1:53" s="22" customFormat="1" x14ac:dyDescent="0.25">
      <c r="A33" s="275"/>
      <c r="B33" s="276" t="s">
        <v>1222</v>
      </c>
      <c r="C33" s="277" t="s">
        <v>766</v>
      </c>
      <c r="D33" s="278"/>
      <c r="E33" s="279"/>
      <c r="F33" s="280"/>
      <c r="G33" s="281"/>
      <c r="H33" s="279"/>
      <c r="I33" s="279"/>
      <c r="J33" s="281"/>
      <c r="K33" s="279"/>
      <c r="L33" s="279"/>
      <c r="M33" s="279"/>
      <c r="N33" s="279"/>
      <c r="O33" s="282"/>
      <c r="P33" s="283"/>
      <c r="Q33" s="107"/>
      <c r="R33" s="107"/>
      <c r="S33" s="107"/>
      <c r="T33" s="107"/>
      <c r="U33" s="284"/>
      <c r="V33" s="296" t="s">
        <v>1222</v>
      </c>
      <c r="W33" s="297" t="s">
        <v>766</v>
      </c>
      <c r="X33" s="287">
        <v>0</v>
      </c>
      <c r="Y33" s="279"/>
      <c r="Z33" s="280"/>
      <c r="AA33" s="281"/>
      <c r="AB33" s="279"/>
      <c r="AC33" s="279"/>
      <c r="AD33" s="281"/>
      <c r="AE33" s="279"/>
      <c r="AF33" s="279"/>
      <c r="AG33" s="279"/>
      <c r="AH33" s="279"/>
      <c r="AI33" s="282"/>
      <c r="AK33" s="288"/>
      <c r="AL33" s="288"/>
      <c r="AM33" s="288"/>
      <c r="AN33" s="288"/>
      <c r="AO33" s="288"/>
      <c r="AP33" s="288"/>
      <c r="AQ33" s="288"/>
      <c r="AR33" s="288"/>
      <c r="AS33" s="288"/>
      <c r="AT33" s="288"/>
      <c r="AU33" s="288"/>
      <c r="AV33" s="288"/>
      <c r="AZ33" s="28"/>
      <c r="BA33" s="22" t="b">
        <f t="shared" si="0"/>
        <v>1</v>
      </c>
    </row>
    <row r="34" spans="1:53" s="22" customFormat="1" x14ac:dyDescent="0.25">
      <c r="A34" s="275"/>
      <c r="B34" s="276" t="s">
        <v>266</v>
      </c>
      <c r="C34" s="277" t="s">
        <v>769</v>
      </c>
      <c r="D34" s="278"/>
      <c r="E34" s="279"/>
      <c r="F34" s="280"/>
      <c r="G34" s="281"/>
      <c r="H34" s="279"/>
      <c r="I34" s="279"/>
      <c r="J34" s="281"/>
      <c r="K34" s="279"/>
      <c r="L34" s="279"/>
      <c r="M34" s="279"/>
      <c r="N34" s="279"/>
      <c r="O34" s="282"/>
      <c r="P34" s="283"/>
      <c r="Q34" s="107"/>
      <c r="R34" s="107"/>
      <c r="S34" s="107"/>
      <c r="T34" s="107"/>
      <c r="U34" s="284"/>
      <c r="V34" s="296" t="s">
        <v>266</v>
      </c>
      <c r="W34" s="297" t="s">
        <v>769</v>
      </c>
      <c r="X34" s="287">
        <v>0</v>
      </c>
      <c r="Y34" s="279"/>
      <c r="Z34" s="280"/>
      <c r="AA34" s="281"/>
      <c r="AB34" s="279"/>
      <c r="AC34" s="279"/>
      <c r="AD34" s="281"/>
      <c r="AE34" s="279"/>
      <c r="AF34" s="279"/>
      <c r="AG34" s="279"/>
      <c r="AH34" s="279"/>
      <c r="AI34" s="282"/>
      <c r="AK34" s="288"/>
      <c r="AL34" s="288"/>
      <c r="AM34" s="288"/>
      <c r="AN34" s="288"/>
      <c r="AO34" s="288"/>
      <c r="AP34" s="288"/>
      <c r="AQ34" s="288"/>
      <c r="AR34" s="288"/>
      <c r="AS34" s="288"/>
      <c r="AT34" s="288"/>
      <c r="AU34" s="288"/>
      <c r="AV34" s="288"/>
      <c r="AZ34" s="28"/>
      <c r="BA34" s="22" t="b">
        <f t="shared" si="0"/>
        <v>1</v>
      </c>
    </row>
    <row r="35" spans="1:53" s="22" customFormat="1" x14ac:dyDescent="0.25">
      <c r="A35" s="275"/>
      <c r="B35" s="276" t="s">
        <v>268</v>
      </c>
      <c r="C35" s="277" t="s">
        <v>770</v>
      </c>
      <c r="D35" s="278"/>
      <c r="E35" s="279"/>
      <c r="F35" s="280"/>
      <c r="G35" s="281"/>
      <c r="H35" s="279"/>
      <c r="I35" s="279"/>
      <c r="J35" s="281"/>
      <c r="K35" s="279"/>
      <c r="L35" s="279"/>
      <c r="M35" s="279"/>
      <c r="N35" s="279"/>
      <c r="O35" s="282"/>
      <c r="P35" s="283"/>
      <c r="Q35" s="107"/>
      <c r="R35" s="107"/>
      <c r="S35" s="107"/>
      <c r="T35" s="107"/>
      <c r="U35" s="284"/>
      <c r="V35" s="296" t="s">
        <v>268</v>
      </c>
      <c r="W35" s="297" t="s">
        <v>770</v>
      </c>
      <c r="X35" s="287">
        <v>0</v>
      </c>
      <c r="Y35" s="279"/>
      <c r="Z35" s="280"/>
      <c r="AA35" s="281"/>
      <c r="AB35" s="279"/>
      <c r="AC35" s="279"/>
      <c r="AD35" s="281"/>
      <c r="AE35" s="279"/>
      <c r="AF35" s="279"/>
      <c r="AG35" s="279"/>
      <c r="AH35" s="279"/>
      <c r="AI35" s="282"/>
      <c r="AK35" s="288"/>
      <c r="AL35" s="288"/>
      <c r="AM35" s="288"/>
      <c r="AN35" s="288"/>
      <c r="AO35" s="288"/>
      <c r="AP35" s="288"/>
      <c r="AQ35" s="288"/>
      <c r="AR35" s="288"/>
      <c r="AS35" s="288"/>
      <c r="AT35" s="288"/>
      <c r="AU35" s="288"/>
      <c r="AV35" s="288"/>
      <c r="AZ35" s="28"/>
      <c r="BA35" s="22" t="b">
        <f t="shared" si="0"/>
        <v>1</v>
      </c>
    </row>
    <row r="36" spans="1:53" s="22" customFormat="1" x14ac:dyDescent="0.25">
      <c r="A36" s="275"/>
      <c r="B36" s="276" t="s">
        <v>628</v>
      </c>
      <c r="C36" s="277" t="s">
        <v>129</v>
      </c>
      <c r="D36" s="278"/>
      <c r="E36" s="279"/>
      <c r="F36" s="280"/>
      <c r="G36" s="281"/>
      <c r="H36" s="279"/>
      <c r="I36" s="279"/>
      <c r="J36" s="281"/>
      <c r="K36" s="279"/>
      <c r="L36" s="279"/>
      <c r="M36" s="279"/>
      <c r="N36" s="279"/>
      <c r="O36" s="282"/>
      <c r="P36" s="283"/>
      <c r="Q36" s="107"/>
      <c r="R36" s="107"/>
      <c r="S36" s="107"/>
      <c r="T36" s="107"/>
      <c r="U36" s="284"/>
      <c r="V36" s="296" t="s">
        <v>628</v>
      </c>
      <c r="W36" s="297" t="s">
        <v>129</v>
      </c>
      <c r="X36" s="287">
        <v>2</v>
      </c>
      <c r="Y36" s="279"/>
      <c r="Z36" s="280"/>
      <c r="AA36" s="281"/>
      <c r="AB36" s="279"/>
      <c r="AC36" s="279"/>
      <c r="AD36" s="281"/>
      <c r="AE36" s="279"/>
      <c r="AF36" s="279"/>
      <c r="AG36" s="279"/>
      <c r="AH36" s="279"/>
      <c r="AI36" s="282"/>
      <c r="AK36" s="288"/>
      <c r="AL36" s="288"/>
      <c r="AM36" s="288"/>
      <c r="AN36" s="288"/>
      <c r="AO36" s="288"/>
      <c r="AP36" s="288"/>
      <c r="AQ36" s="288"/>
      <c r="AR36" s="288"/>
      <c r="AS36" s="288"/>
      <c r="AT36" s="288"/>
      <c r="AU36" s="288"/>
      <c r="AV36" s="288"/>
      <c r="AZ36" s="28"/>
      <c r="BA36" s="22" t="b">
        <f t="shared" si="0"/>
        <v>1</v>
      </c>
    </row>
    <row r="37" spans="1:53" s="22" customFormat="1" x14ac:dyDescent="0.25">
      <c r="A37" s="275"/>
      <c r="B37" s="276" t="s">
        <v>57</v>
      </c>
      <c r="C37" s="277" t="s">
        <v>130</v>
      </c>
      <c r="D37" s="278"/>
      <c r="E37" s="279"/>
      <c r="F37" s="280"/>
      <c r="G37" s="281"/>
      <c r="H37" s="279"/>
      <c r="I37" s="279"/>
      <c r="J37" s="281"/>
      <c r="K37" s="279"/>
      <c r="L37" s="279"/>
      <c r="M37" s="279"/>
      <c r="N37" s="279"/>
      <c r="O37" s="282"/>
      <c r="P37" s="283"/>
      <c r="Q37" s="107"/>
      <c r="R37" s="107"/>
      <c r="S37" s="107"/>
      <c r="T37" s="107"/>
      <c r="U37" s="284"/>
      <c r="V37" s="296" t="s">
        <v>57</v>
      </c>
      <c r="W37" s="297" t="s">
        <v>130</v>
      </c>
      <c r="X37" s="287">
        <v>6</v>
      </c>
      <c r="Y37" s="279"/>
      <c r="Z37" s="280"/>
      <c r="AA37" s="281"/>
      <c r="AB37" s="279"/>
      <c r="AC37" s="279"/>
      <c r="AD37" s="281"/>
      <c r="AE37" s="279"/>
      <c r="AF37" s="279"/>
      <c r="AG37" s="279"/>
      <c r="AH37" s="279"/>
      <c r="AI37" s="282"/>
      <c r="AK37" s="288"/>
      <c r="AL37" s="288"/>
      <c r="AM37" s="288"/>
      <c r="AN37" s="288"/>
      <c r="AO37" s="288"/>
      <c r="AP37" s="288"/>
      <c r="AQ37" s="288"/>
      <c r="AR37" s="288"/>
      <c r="AS37" s="288"/>
      <c r="AT37" s="288"/>
      <c r="AU37" s="288"/>
      <c r="AV37" s="288"/>
      <c r="AZ37" s="28"/>
      <c r="BA37" s="22" t="b">
        <f t="shared" si="0"/>
        <v>1</v>
      </c>
    </row>
    <row r="38" spans="1:53" s="22" customFormat="1" x14ac:dyDescent="0.25">
      <c r="A38" s="275"/>
      <c r="B38" s="276" t="s">
        <v>1108</v>
      </c>
      <c r="C38" s="277" t="s">
        <v>131</v>
      </c>
      <c r="D38" s="278"/>
      <c r="E38" s="279"/>
      <c r="F38" s="280"/>
      <c r="G38" s="281"/>
      <c r="H38" s="279"/>
      <c r="I38" s="279"/>
      <c r="J38" s="281"/>
      <c r="K38" s="279"/>
      <c r="L38" s="279"/>
      <c r="M38" s="279"/>
      <c r="N38" s="279"/>
      <c r="O38" s="282"/>
      <c r="P38" s="283"/>
      <c r="Q38" s="107"/>
      <c r="R38" s="107"/>
      <c r="S38" s="107"/>
      <c r="T38" s="107"/>
      <c r="U38" s="284"/>
      <c r="V38" s="296" t="s">
        <v>1108</v>
      </c>
      <c r="W38" s="297" t="s">
        <v>131</v>
      </c>
      <c r="X38" s="287">
        <v>0</v>
      </c>
      <c r="Y38" s="279"/>
      <c r="Z38" s="280"/>
      <c r="AA38" s="281"/>
      <c r="AB38" s="279"/>
      <c r="AC38" s="279"/>
      <c r="AD38" s="281"/>
      <c r="AE38" s="279"/>
      <c r="AF38" s="279"/>
      <c r="AG38" s="279"/>
      <c r="AH38" s="279"/>
      <c r="AI38" s="282"/>
      <c r="AK38" s="288"/>
      <c r="AL38" s="288"/>
      <c r="AM38" s="288"/>
      <c r="AN38" s="288"/>
      <c r="AO38" s="288"/>
      <c r="AP38" s="288"/>
      <c r="AQ38" s="288"/>
      <c r="AR38" s="288"/>
      <c r="AS38" s="288"/>
      <c r="AT38" s="288"/>
      <c r="AU38" s="288"/>
      <c r="AV38" s="288"/>
      <c r="AZ38" s="28"/>
      <c r="BA38" s="22" t="b">
        <f t="shared" si="0"/>
        <v>1</v>
      </c>
    </row>
    <row r="39" spans="1:53" s="22" customFormat="1" x14ac:dyDescent="0.25">
      <c r="A39" s="275"/>
      <c r="B39" s="276" t="s">
        <v>1036</v>
      </c>
      <c r="C39" s="277" t="s">
        <v>424</v>
      </c>
      <c r="D39" s="278"/>
      <c r="E39" s="279"/>
      <c r="F39" s="280"/>
      <c r="G39" s="281"/>
      <c r="H39" s="279"/>
      <c r="I39" s="279"/>
      <c r="J39" s="281"/>
      <c r="K39" s="279"/>
      <c r="L39" s="279"/>
      <c r="M39" s="279"/>
      <c r="N39" s="279"/>
      <c r="O39" s="282"/>
      <c r="P39" s="283"/>
      <c r="Q39" s="107"/>
      <c r="R39" s="107"/>
      <c r="S39" s="107"/>
      <c r="T39" s="107"/>
      <c r="U39" s="284"/>
      <c r="V39" s="296" t="s">
        <v>1036</v>
      </c>
      <c r="W39" s="297" t="s">
        <v>424</v>
      </c>
      <c r="X39" s="287">
        <v>1</v>
      </c>
      <c r="Y39" s="279"/>
      <c r="Z39" s="280"/>
      <c r="AA39" s="281"/>
      <c r="AB39" s="279"/>
      <c r="AC39" s="279"/>
      <c r="AD39" s="281"/>
      <c r="AE39" s="279"/>
      <c r="AF39" s="279"/>
      <c r="AG39" s="279"/>
      <c r="AH39" s="279"/>
      <c r="AI39" s="282"/>
      <c r="AK39" s="288"/>
      <c r="AL39" s="288"/>
      <c r="AM39" s="288"/>
      <c r="AN39" s="288"/>
      <c r="AO39" s="288"/>
      <c r="AP39" s="288"/>
      <c r="AQ39" s="288"/>
      <c r="AR39" s="288"/>
      <c r="AS39" s="288"/>
      <c r="AT39" s="288"/>
      <c r="AU39" s="288"/>
      <c r="AV39" s="288"/>
      <c r="AZ39" s="28"/>
      <c r="BA39" s="22" t="b">
        <f t="shared" si="0"/>
        <v>1</v>
      </c>
    </row>
    <row r="40" spans="1:53" s="22" customFormat="1" x14ac:dyDescent="0.25">
      <c r="A40" s="275"/>
      <c r="B40" s="276" t="s">
        <v>1270</v>
      </c>
      <c r="C40" s="277" t="s">
        <v>425</v>
      </c>
      <c r="D40" s="278"/>
      <c r="E40" s="279"/>
      <c r="F40" s="280"/>
      <c r="G40" s="281"/>
      <c r="H40" s="279"/>
      <c r="I40" s="279"/>
      <c r="J40" s="281"/>
      <c r="K40" s="279"/>
      <c r="L40" s="279"/>
      <c r="M40" s="279"/>
      <c r="N40" s="279"/>
      <c r="O40" s="282"/>
      <c r="P40" s="283"/>
      <c r="Q40" s="107"/>
      <c r="R40" s="107"/>
      <c r="S40" s="107"/>
      <c r="T40" s="107"/>
      <c r="U40" s="284"/>
      <c r="V40" s="296" t="s">
        <v>1270</v>
      </c>
      <c r="W40" s="297" t="s">
        <v>425</v>
      </c>
      <c r="X40" s="287">
        <v>0</v>
      </c>
      <c r="Y40" s="279"/>
      <c r="Z40" s="280"/>
      <c r="AA40" s="281"/>
      <c r="AB40" s="279"/>
      <c r="AC40" s="279"/>
      <c r="AD40" s="281"/>
      <c r="AE40" s="279"/>
      <c r="AF40" s="279"/>
      <c r="AG40" s="279"/>
      <c r="AH40" s="279"/>
      <c r="AI40" s="282"/>
      <c r="AK40" s="288"/>
      <c r="AL40" s="288"/>
      <c r="AM40" s="288"/>
      <c r="AN40" s="288"/>
      <c r="AO40" s="288"/>
      <c r="AP40" s="288"/>
      <c r="AQ40" s="288"/>
      <c r="AR40" s="288"/>
      <c r="AS40" s="288"/>
      <c r="AT40" s="288"/>
      <c r="AU40" s="288"/>
      <c r="AV40" s="288"/>
      <c r="AZ40" s="28"/>
      <c r="BA40" s="22" t="b">
        <f t="shared" si="0"/>
        <v>1</v>
      </c>
    </row>
    <row r="41" spans="1:53" s="22" customFormat="1" x14ac:dyDescent="0.25">
      <c r="A41" s="275"/>
      <c r="B41" s="276" t="s">
        <v>1111</v>
      </c>
      <c r="C41" s="277" t="s">
        <v>426</v>
      </c>
      <c r="D41" s="278"/>
      <c r="E41" s="279"/>
      <c r="F41" s="280"/>
      <c r="G41" s="281"/>
      <c r="H41" s="279"/>
      <c r="I41" s="279"/>
      <c r="J41" s="281"/>
      <c r="K41" s="279"/>
      <c r="L41" s="279"/>
      <c r="M41" s="279"/>
      <c r="N41" s="279"/>
      <c r="O41" s="282"/>
      <c r="P41" s="283"/>
      <c r="Q41" s="107"/>
      <c r="R41" s="107"/>
      <c r="S41" s="107"/>
      <c r="T41" s="107"/>
      <c r="U41" s="284"/>
      <c r="V41" s="296" t="s">
        <v>1111</v>
      </c>
      <c r="W41" s="297" t="s">
        <v>426</v>
      </c>
      <c r="X41" s="287">
        <v>0</v>
      </c>
      <c r="Y41" s="279"/>
      <c r="Z41" s="280"/>
      <c r="AA41" s="281"/>
      <c r="AB41" s="279"/>
      <c r="AC41" s="279"/>
      <c r="AD41" s="281"/>
      <c r="AE41" s="279"/>
      <c r="AF41" s="279"/>
      <c r="AG41" s="279"/>
      <c r="AH41" s="279"/>
      <c r="AI41" s="282"/>
      <c r="AK41" s="288"/>
      <c r="AL41" s="288"/>
      <c r="AM41" s="288"/>
      <c r="AN41" s="288"/>
      <c r="AO41" s="288"/>
      <c r="AP41" s="288"/>
      <c r="AQ41" s="288"/>
      <c r="AR41" s="288"/>
      <c r="AS41" s="288"/>
      <c r="AT41" s="288"/>
      <c r="AU41" s="288"/>
      <c r="AV41" s="288"/>
      <c r="AZ41" s="28"/>
      <c r="BA41" s="22" t="b">
        <f t="shared" si="0"/>
        <v>1</v>
      </c>
    </row>
    <row r="42" spans="1:53" s="22" customFormat="1" x14ac:dyDescent="0.25">
      <c r="A42" s="275"/>
      <c r="B42" s="276" t="s">
        <v>1223</v>
      </c>
      <c r="C42" s="277" t="s">
        <v>767</v>
      </c>
      <c r="D42" s="278"/>
      <c r="E42" s="279"/>
      <c r="F42" s="280"/>
      <c r="G42" s="281"/>
      <c r="H42" s="279"/>
      <c r="I42" s="279"/>
      <c r="J42" s="281"/>
      <c r="K42" s="279"/>
      <c r="L42" s="279"/>
      <c r="M42" s="279"/>
      <c r="N42" s="279"/>
      <c r="O42" s="282"/>
      <c r="P42" s="283"/>
      <c r="Q42" s="107"/>
      <c r="R42" s="107"/>
      <c r="S42" s="107"/>
      <c r="T42" s="107"/>
      <c r="U42" s="284"/>
      <c r="V42" s="296" t="s">
        <v>1223</v>
      </c>
      <c r="W42" s="297" t="s">
        <v>767</v>
      </c>
      <c r="X42" s="287">
        <v>0</v>
      </c>
      <c r="Y42" s="279"/>
      <c r="Z42" s="280"/>
      <c r="AA42" s="281"/>
      <c r="AB42" s="279"/>
      <c r="AC42" s="279"/>
      <c r="AD42" s="281"/>
      <c r="AE42" s="279"/>
      <c r="AF42" s="279"/>
      <c r="AG42" s="279"/>
      <c r="AH42" s="279"/>
      <c r="AI42" s="282"/>
      <c r="AK42" s="288"/>
      <c r="AL42" s="288"/>
      <c r="AM42" s="288"/>
      <c r="AN42" s="288"/>
      <c r="AO42" s="288"/>
      <c r="AP42" s="288"/>
      <c r="AQ42" s="288"/>
      <c r="AR42" s="288"/>
      <c r="AS42" s="288"/>
      <c r="AT42" s="288"/>
      <c r="AU42" s="288"/>
      <c r="AV42" s="288"/>
      <c r="AZ42" s="28"/>
      <c r="BA42" s="22" t="b">
        <f t="shared" si="0"/>
        <v>1</v>
      </c>
    </row>
    <row r="43" spans="1:53" s="22" customFormat="1" x14ac:dyDescent="0.25">
      <c r="A43" s="275"/>
      <c r="B43" s="276" t="s">
        <v>1327</v>
      </c>
      <c r="C43" s="277" t="s">
        <v>427</v>
      </c>
      <c r="D43" s="278"/>
      <c r="E43" s="279"/>
      <c r="F43" s="280"/>
      <c r="G43" s="281"/>
      <c r="H43" s="279"/>
      <c r="I43" s="279"/>
      <c r="J43" s="281"/>
      <c r="K43" s="279"/>
      <c r="L43" s="279"/>
      <c r="M43" s="279"/>
      <c r="N43" s="279"/>
      <c r="O43" s="282"/>
      <c r="P43" s="283"/>
      <c r="Q43" s="107"/>
      <c r="R43" s="107"/>
      <c r="S43" s="107"/>
      <c r="T43" s="107"/>
      <c r="U43" s="284"/>
      <c r="V43" s="296" t="s">
        <v>1327</v>
      </c>
      <c r="W43" s="297" t="s">
        <v>427</v>
      </c>
      <c r="X43" s="287">
        <v>0</v>
      </c>
      <c r="Y43" s="279"/>
      <c r="Z43" s="280"/>
      <c r="AA43" s="281"/>
      <c r="AB43" s="279"/>
      <c r="AC43" s="279"/>
      <c r="AD43" s="281"/>
      <c r="AE43" s="279"/>
      <c r="AF43" s="279"/>
      <c r="AG43" s="279"/>
      <c r="AH43" s="279"/>
      <c r="AI43" s="282"/>
      <c r="AK43" s="288"/>
      <c r="AL43" s="288"/>
      <c r="AM43" s="288"/>
      <c r="AN43" s="288"/>
      <c r="AO43" s="288"/>
      <c r="AP43" s="288"/>
      <c r="AQ43" s="288"/>
      <c r="AR43" s="288"/>
      <c r="AS43" s="288"/>
      <c r="AT43" s="288"/>
      <c r="AU43" s="288"/>
      <c r="AV43" s="288"/>
      <c r="AZ43" s="28"/>
      <c r="BA43" s="22" t="b">
        <f t="shared" si="0"/>
        <v>1</v>
      </c>
    </row>
    <row r="44" spans="1:53" s="22" customFormat="1" x14ac:dyDescent="0.25">
      <c r="A44" s="275"/>
      <c r="B44" s="276" t="s">
        <v>1107</v>
      </c>
      <c r="C44" s="277" t="s">
        <v>659</v>
      </c>
      <c r="D44" s="278"/>
      <c r="E44" s="279"/>
      <c r="F44" s="280"/>
      <c r="G44" s="281"/>
      <c r="H44" s="279"/>
      <c r="I44" s="279"/>
      <c r="J44" s="281"/>
      <c r="K44" s="279"/>
      <c r="L44" s="279"/>
      <c r="M44" s="279"/>
      <c r="N44" s="279"/>
      <c r="O44" s="282"/>
      <c r="P44" s="283"/>
      <c r="Q44" s="107"/>
      <c r="R44" s="107"/>
      <c r="S44" s="107"/>
      <c r="T44" s="107"/>
      <c r="U44" s="284"/>
      <c r="V44" s="296" t="s">
        <v>1107</v>
      </c>
      <c r="W44" s="297" t="s">
        <v>659</v>
      </c>
      <c r="X44" s="287">
        <v>5399</v>
      </c>
      <c r="Y44" s="279"/>
      <c r="Z44" s="280"/>
      <c r="AA44" s="281"/>
      <c r="AB44" s="279"/>
      <c r="AC44" s="279"/>
      <c r="AD44" s="281"/>
      <c r="AE44" s="279"/>
      <c r="AF44" s="279"/>
      <c r="AG44" s="279"/>
      <c r="AH44" s="279"/>
      <c r="AI44" s="282"/>
      <c r="AK44" s="288"/>
      <c r="AL44" s="288"/>
      <c r="AM44" s="288"/>
      <c r="AN44" s="288"/>
      <c r="AO44" s="288"/>
      <c r="AP44" s="288"/>
      <c r="AQ44" s="288"/>
      <c r="AR44" s="288"/>
      <c r="AS44" s="288"/>
      <c r="AT44" s="288"/>
      <c r="AU44" s="288"/>
      <c r="AV44" s="288"/>
      <c r="AZ44" s="28"/>
      <c r="BA44" s="22" t="b">
        <f t="shared" si="0"/>
        <v>1</v>
      </c>
    </row>
    <row r="45" spans="1:53" s="22" customFormat="1" x14ac:dyDescent="0.25">
      <c r="A45" s="275"/>
      <c r="B45" s="276" t="s">
        <v>49</v>
      </c>
      <c r="C45" s="277" t="s">
        <v>735</v>
      </c>
      <c r="D45" s="278"/>
      <c r="E45" s="279"/>
      <c r="F45" s="280"/>
      <c r="G45" s="281"/>
      <c r="H45" s="279"/>
      <c r="I45" s="279"/>
      <c r="J45" s="281"/>
      <c r="K45" s="279"/>
      <c r="L45" s="279"/>
      <c r="M45" s="279"/>
      <c r="N45" s="279"/>
      <c r="O45" s="282"/>
      <c r="P45" s="283"/>
      <c r="Q45" s="107"/>
      <c r="R45" s="107"/>
      <c r="S45" s="107"/>
      <c r="T45" s="107"/>
      <c r="U45" s="284"/>
      <c r="V45" s="296" t="s">
        <v>49</v>
      </c>
      <c r="W45" s="297" t="s">
        <v>735</v>
      </c>
      <c r="X45" s="287">
        <v>0</v>
      </c>
      <c r="Y45" s="279"/>
      <c r="Z45" s="280"/>
      <c r="AA45" s="281"/>
      <c r="AB45" s="279"/>
      <c r="AC45" s="279"/>
      <c r="AD45" s="281"/>
      <c r="AE45" s="279"/>
      <c r="AF45" s="279"/>
      <c r="AG45" s="279"/>
      <c r="AH45" s="279"/>
      <c r="AI45" s="282"/>
      <c r="AK45" s="288"/>
      <c r="AL45" s="288"/>
      <c r="AM45" s="288"/>
      <c r="AN45" s="288"/>
      <c r="AO45" s="288"/>
      <c r="AP45" s="288"/>
      <c r="AQ45" s="288"/>
      <c r="AR45" s="288"/>
      <c r="AS45" s="288"/>
      <c r="AT45" s="288"/>
      <c r="AU45" s="288"/>
      <c r="AV45" s="288"/>
      <c r="AZ45" s="28"/>
      <c r="BA45" s="22" t="b">
        <f t="shared" si="0"/>
        <v>1</v>
      </c>
    </row>
    <row r="46" spans="1:53" s="22" customFormat="1" x14ac:dyDescent="0.25">
      <c r="A46" s="275"/>
      <c r="B46" s="276" t="s">
        <v>931</v>
      </c>
      <c r="C46" s="277" t="s">
        <v>930</v>
      </c>
      <c r="D46" s="278"/>
      <c r="E46" s="279"/>
      <c r="F46" s="280"/>
      <c r="G46" s="281"/>
      <c r="H46" s="279"/>
      <c r="I46" s="279"/>
      <c r="J46" s="281"/>
      <c r="K46" s="279"/>
      <c r="L46" s="279"/>
      <c r="M46" s="279"/>
      <c r="N46" s="279"/>
      <c r="O46" s="282"/>
      <c r="P46" s="283"/>
      <c r="Q46" s="107"/>
      <c r="R46" s="107"/>
      <c r="S46" s="107"/>
      <c r="T46" s="107"/>
      <c r="U46" s="284"/>
      <c r="V46" s="296" t="s">
        <v>931</v>
      </c>
      <c r="W46" s="297" t="s">
        <v>930</v>
      </c>
      <c r="X46" s="287">
        <v>0</v>
      </c>
      <c r="Y46" s="279"/>
      <c r="Z46" s="280"/>
      <c r="AA46" s="281"/>
      <c r="AB46" s="279"/>
      <c r="AC46" s="279"/>
      <c r="AD46" s="281"/>
      <c r="AE46" s="279"/>
      <c r="AF46" s="279"/>
      <c r="AG46" s="279"/>
      <c r="AH46" s="279"/>
      <c r="AI46" s="282"/>
      <c r="AK46" s="288"/>
      <c r="AL46" s="288"/>
      <c r="AM46" s="288"/>
      <c r="AN46" s="288"/>
      <c r="AO46" s="288"/>
      <c r="AP46" s="288"/>
      <c r="AQ46" s="288"/>
      <c r="AR46" s="288"/>
      <c r="AS46" s="288"/>
      <c r="AT46" s="288"/>
      <c r="AU46" s="288"/>
      <c r="AV46" s="288"/>
      <c r="AZ46" s="28"/>
      <c r="BA46" s="22" t="b">
        <f t="shared" si="0"/>
        <v>1</v>
      </c>
    </row>
    <row r="47" spans="1:53" s="22" customFormat="1" x14ac:dyDescent="0.25">
      <c r="A47" s="275"/>
      <c r="B47" s="276" t="s">
        <v>54</v>
      </c>
      <c r="C47" s="277" t="s">
        <v>74</v>
      </c>
      <c r="D47" s="278"/>
      <c r="E47" s="279"/>
      <c r="F47" s="280"/>
      <c r="G47" s="281"/>
      <c r="H47" s="279"/>
      <c r="I47" s="279"/>
      <c r="J47" s="281"/>
      <c r="K47" s="279"/>
      <c r="L47" s="279"/>
      <c r="M47" s="279"/>
      <c r="N47" s="279"/>
      <c r="O47" s="282"/>
      <c r="P47" s="283"/>
      <c r="Q47" s="107"/>
      <c r="R47" s="107"/>
      <c r="S47" s="107"/>
      <c r="T47" s="107"/>
      <c r="U47" s="284"/>
      <c r="V47" s="296" t="s">
        <v>54</v>
      </c>
      <c r="W47" s="297" t="s">
        <v>74</v>
      </c>
      <c r="X47" s="287">
        <v>2908</v>
      </c>
      <c r="Y47" s="279"/>
      <c r="Z47" s="280"/>
      <c r="AA47" s="281"/>
      <c r="AB47" s="279"/>
      <c r="AC47" s="279"/>
      <c r="AD47" s="281"/>
      <c r="AE47" s="279"/>
      <c r="AF47" s="279"/>
      <c r="AG47" s="279"/>
      <c r="AH47" s="279"/>
      <c r="AI47" s="282"/>
      <c r="AK47" s="288"/>
      <c r="AL47" s="288"/>
      <c r="AM47" s="288"/>
      <c r="AN47" s="288"/>
      <c r="AO47" s="288"/>
      <c r="AP47" s="288"/>
      <c r="AQ47" s="288"/>
      <c r="AR47" s="288"/>
      <c r="AS47" s="288"/>
      <c r="AT47" s="288"/>
      <c r="AU47" s="288"/>
      <c r="AV47" s="288"/>
      <c r="AZ47" s="28"/>
      <c r="BA47" s="22" t="b">
        <f t="shared" si="0"/>
        <v>1</v>
      </c>
    </row>
    <row r="48" spans="1:53" s="22" customFormat="1" x14ac:dyDescent="0.25">
      <c r="A48" s="275"/>
      <c r="B48" s="276" t="s">
        <v>44</v>
      </c>
      <c r="C48" s="277" t="s">
        <v>734</v>
      </c>
      <c r="D48" s="278"/>
      <c r="E48" s="279"/>
      <c r="F48" s="280"/>
      <c r="G48" s="281"/>
      <c r="H48" s="279"/>
      <c r="I48" s="279"/>
      <c r="J48" s="281"/>
      <c r="K48" s="279"/>
      <c r="L48" s="279"/>
      <c r="M48" s="279"/>
      <c r="N48" s="279"/>
      <c r="O48" s="282"/>
      <c r="P48" s="283"/>
      <c r="Q48" s="107"/>
      <c r="R48" s="107"/>
      <c r="S48" s="107"/>
      <c r="T48" s="107"/>
      <c r="U48" s="284"/>
      <c r="V48" s="296" t="s">
        <v>44</v>
      </c>
      <c r="W48" s="297" t="s">
        <v>734</v>
      </c>
      <c r="X48" s="287">
        <v>1</v>
      </c>
      <c r="Y48" s="279"/>
      <c r="Z48" s="280"/>
      <c r="AA48" s="281"/>
      <c r="AB48" s="279"/>
      <c r="AC48" s="279"/>
      <c r="AD48" s="281"/>
      <c r="AE48" s="279"/>
      <c r="AF48" s="279"/>
      <c r="AG48" s="279"/>
      <c r="AH48" s="279"/>
      <c r="AI48" s="282"/>
      <c r="AK48" s="288"/>
      <c r="AL48" s="288"/>
      <c r="AM48" s="288"/>
      <c r="AN48" s="288"/>
      <c r="AO48" s="288"/>
      <c r="AP48" s="288"/>
      <c r="AQ48" s="288"/>
      <c r="AR48" s="288"/>
      <c r="AS48" s="288"/>
      <c r="AT48" s="288"/>
      <c r="AU48" s="288"/>
      <c r="AV48" s="288"/>
      <c r="AZ48" s="28"/>
      <c r="BA48" s="22" t="b">
        <f t="shared" si="0"/>
        <v>1</v>
      </c>
    </row>
    <row r="49" spans="1:54" s="22" customFormat="1" x14ac:dyDescent="0.25">
      <c r="A49" s="275"/>
      <c r="B49" s="276" t="s">
        <v>1235</v>
      </c>
      <c r="C49" s="277" t="s">
        <v>736</v>
      </c>
      <c r="D49" s="278"/>
      <c r="E49" s="279"/>
      <c r="F49" s="280"/>
      <c r="G49" s="281"/>
      <c r="H49" s="279"/>
      <c r="I49" s="279"/>
      <c r="J49" s="281"/>
      <c r="K49" s="279"/>
      <c r="L49" s="279"/>
      <c r="M49" s="279"/>
      <c r="N49" s="279"/>
      <c r="O49" s="282"/>
      <c r="P49" s="283"/>
      <c r="Q49" s="107"/>
      <c r="R49" s="107"/>
      <c r="S49" s="107"/>
      <c r="T49" s="107"/>
      <c r="U49" s="284"/>
      <c r="V49" s="296" t="s">
        <v>1235</v>
      </c>
      <c r="W49" s="297" t="s">
        <v>736</v>
      </c>
      <c r="X49" s="287">
        <v>1</v>
      </c>
      <c r="Y49" s="279"/>
      <c r="Z49" s="280"/>
      <c r="AA49" s="281"/>
      <c r="AB49" s="279"/>
      <c r="AC49" s="279"/>
      <c r="AD49" s="281"/>
      <c r="AE49" s="279"/>
      <c r="AF49" s="279"/>
      <c r="AG49" s="279"/>
      <c r="AH49" s="279"/>
      <c r="AI49" s="282"/>
      <c r="AK49" s="288"/>
      <c r="AL49" s="288"/>
      <c r="AM49" s="288"/>
      <c r="AN49" s="288"/>
      <c r="AO49" s="288"/>
      <c r="AP49" s="288"/>
      <c r="AQ49" s="288"/>
      <c r="AR49" s="288"/>
      <c r="AS49" s="288"/>
      <c r="AT49" s="288"/>
      <c r="AU49" s="288"/>
      <c r="AV49" s="288"/>
      <c r="AZ49" s="28"/>
      <c r="BA49" s="22" t="b">
        <f t="shared" si="0"/>
        <v>1</v>
      </c>
    </row>
    <row r="50" spans="1:54" s="22" customFormat="1" x14ac:dyDescent="0.25">
      <c r="A50" s="275"/>
      <c r="B50" s="276" t="s">
        <v>52</v>
      </c>
      <c r="C50" s="277" t="s">
        <v>663</v>
      </c>
      <c r="D50" s="278"/>
      <c r="E50" s="279"/>
      <c r="F50" s="280"/>
      <c r="G50" s="281"/>
      <c r="H50" s="279"/>
      <c r="I50" s="279"/>
      <c r="J50" s="281"/>
      <c r="K50" s="279"/>
      <c r="L50" s="279"/>
      <c r="M50" s="279"/>
      <c r="N50" s="279"/>
      <c r="O50" s="282"/>
      <c r="P50" s="283"/>
      <c r="Q50" s="107"/>
      <c r="R50" s="107"/>
      <c r="S50" s="107"/>
      <c r="T50" s="107"/>
      <c r="U50" s="284"/>
      <c r="V50" s="296" t="s">
        <v>52</v>
      </c>
      <c r="W50" s="297" t="s">
        <v>663</v>
      </c>
      <c r="X50" s="287">
        <v>8222</v>
      </c>
      <c r="Y50" s="279"/>
      <c r="Z50" s="280"/>
      <c r="AA50" s="281"/>
      <c r="AB50" s="279"/>
      <c r="AC50" s="279"/>
      <c r="AD50" s="281"/>
      <c r="AE50" s="279"/>
      <c r="AF50" s="279"/>
      <c r="AG50" s="279"/>
      <c r="AH50" s="279"/>
      <c r="AI50" s="282"/>
      <c r="AK50" s="288"/>
      <c r="AL50" s="288"/>
      <c r="AM50" s="288"/>
      <c r="AN50" s="288"/>
      <c r="AO50" s="288"/>
      <c r="AP50" s="288"/>
      <c r="AQ50" s="288"/>
      <c r="AR50" s="288"/>
      <c r="AS50" s="288"/>
      <c r="AT50" s="288"/>
      <c r="AU50" s="288"/>
      <c r="AV50" s="288"/>
      <c r="AZ50" s="28"/>
      <c r="BA50" s="22" t="b">
        <f t="shared" si="0"/>
        <v>1</v>
      </c>
    </row>
    <row r="51" spans="1:54" s="22" customFormat="1" x14ac:dyDescent="0.25">
      <c r="A51" s="275"/>
      <c r="B51" s="276" t="s">
        <v>396</v>
      </c>
      <c r="C51" s="277" t="s">
        <v>667</v>
      </c>
      <c r="D51" s="278"/>
      <c r="E51" s="279"/>
      <c r="F51" s="280"/>
      <c r="G51" s="281"/>
      <c r="H51" s="279"/>
      <c r="I51" s="279"/>
      <c r="J51" s="281"/>
      <c r="K51" s="279"/>
      <c r="L51" s="279"/>
      <c r="M51" s="279"/>
      <c r="N51" s="279"/>
      <c r="O51" s="282"/>
      <c r="P51" s="283"/>
      <c r="Q51" s="107"/>
      <c r="R51" s="107"/>
      <c r="S51" s="107"/>
      <c r="T51" s="107"/>
      <c r="U51" s="284"/>
      <c r="V51" s="296" t="s">
        <v>396</v>
      </c>
      <c r="W51" s="297" t="s">
        <v>667</v>
      </c>
      <c r="X51" s="287">
        <v>0</v>
      </c>
      <c r="Y51" s="279"/>
      <c r="Z51" s="280"/>
      <c r="AA51" s="281"/>
      <c r="AB51" s="279"/>
      <c r="AC51" s="279"/>
      <c r="AD51" s="281"/>
      <c r="AE51" s="279"/>
      <c r="AF51" s="279"/>
      <c r="AG51" s="279"/>
      <c r="AH51" s="279"/>
      <c r="AI51" s="282"/>
      <c r="AK51" s="288"/>
      <c r="AL51" s="288"/>
      <c r="AM51" s="288"/>
      <c r="AN51" s="288"/>
      <c r="AO51" s="288"/>
      <c r="AP51" s="288"/>
      <c r="AQ51" s="288"/>
      <c r="AR51" s="288"/>
      <c r="AS51" s="288"/>
      <c r="AT51" s="288"/>
      <c r="AU51" s="288"/>
      <c r="AV51" s="288"/>
      <c r="AZ51" s="28"/>
      <c r="BA51" s="22" t="b">
        <f t="shared" si="0"/>
        <v>1</v>
      </c>
    </row>
    <row r="52" spans="1:54" s="213" customFormat="1" x14ac:dyDescent="0.25">
      <c r="A52" s="214">
        <v>1.1000000000000001</v>
      </c>
      <c r="B52" s="215" t="s">
        <v>842</v>
      </c>
      <c r="C52" s="212"/>
      <c r="D52" s="237"/>
      <c r="E52" s="229"/>
      <c r="F52" s="238"/>
      <c r="G52" s="230"/>
      <c r="H52" s="229"/>
      <c r="I52" s="229"/>
      <c r="J52" s="230"/>
      <c r="K52" s="229"/>
      <c r="L52" s="229"/>
      <c r="M52" s="229"/>
      <c r="N52" s="229"/>
      <c r="O52" s="231"/>
      <c r="P52" s="232"/>
      <c r="Q52" s="66"/>
      <c r="R52" s="66"/>
      <c r="S52" s="66"/>
      <c r="T52" s="66"/>
      <c r="U52" s="242"/>
      <c r="V52" s="248"/>
      <c r="W52" s="249"/>
      <c r="X52" s="229"/>
      <c r="Y52" s="229"/>
      <c r="Z52" s="238"/>
      <c r="AA52" s="230"/>
      <c r="AB52" s="229"/>
      <c r="AC52" s="229"/>
      <c r="AD52" s="230"/>
      <c r="AE52" s="229"/>
      <c r="AF52" s="229"/>
      <c r="AG52" s="229"/>
      <c r="AH52" s="229"/>
      <c r="AI52" s="231"/>
      <c r="AK52" s="288"/>
      <c r="AL52" s="288"/>
      <c r="AM52" s="288"/>
      <c r="AN52" s="288"/>
      <c r="AO52" s="288"/>
      <c r="AP52" s="288"/>
      <c r="AQ52" s="288"/>
      <c r="AR52" s="288"/>
      <c r="AS52" s="288"/>
      <c r="AT52" s="288"/>
      <c r="AU52" s="288"/>
      <c r="AV52" s="288"/>
      <c r="AW52" s="22"/>
      <c r="AX52" s="22"/>
      <c r="AY52" s="22"/>
      <c r="AZ52" s="28"/>
      <c r="BA52" s="4"/>
      <c r="BB52" s="26"/>
    </row>
    <row r="53" spans="1:54" s="213" customFormat="1" x14ac:dyDescent="0.25">
      <c r="A53" s="214"/>
      <c r="B53" s="215" t="s">
        <v>1100</v>
      </c>
      <c r="C53" s="212" t="s">
        <v>661</v>
      </c>
      <c r="D53" s="237"/>
      <c r="E53" s="229"/>
      <c r="F53" s="238"/>
      <c r="G53" s="230"/>
      <c r="H53" s="229"/>
      <c r="I53" s="229"/>
      <c r="J53" s="230"/>
      <c r="K53" s="229"/>
      <c r="L53" s="229"/>
      <c r="M53" s="229"/>
      <c r="N53" s="229"/>
      <c r="O53" s="231"/>
      <c r="P53" s="232"/>
      <c r="Q53" s="66"/>
      <c r="R53" s="66"/>
      <c r="S53" s="66"/>
      <c r="T53" s="66"/>
      <c r="U53" s="242"/>
      <c r="V53" s="298" t="s">
        <v>1100</v>
      </c>
      <c r="W53" s="299" t="s">
        <v>661</v>
      </c>
      <c r="X53" s="229">
        <v>37</v>
      </c>
      <c r="Y53" s="229"/>
      <c r="Z53" s="238"/>
      <c r="AA53" s="230"/>
      <c r="AB53" s="229"/>
      <c r="AC53" s="229"/>
      <c r="AD53" s="230"/>
      <c r="AE53" s="229"/>
      <c r="AF53" s="229"/>
      <c r="AG53" s="229"/>
      <c r="AH53" s="229"/>
      <c r="AI53" s="231"/>
      <c r="AK53" s="288"/>
      <c r="AL53" s="288"/>
      <c r="AM53" s="288"/>
      <c r="AN53" s="288"/>
      <c r="AO53" s="288"/>
      <c r="AP53" s="288"/>
      <c r="AQ53" s="288"/>
      <c r="AR53" s="288"/>
      <c r="AS53" s="288"/>
      <c r="AT53" s="288"/>
      <c r="AU53" s="288"/>
      <c r="AV53" s="288"/>
      <c r="AW53" s="22"/>
      <c r="AX53" s="22"/>
      <c r="AY53" s="22"/>
      <c r="AZ53" s="28"/>
      <c r="BA53" s="4"/>
      <c r="BB53" s="26"/>
    </row>
    <row r="54" spans="1:54" s="213" customFormat="1" x14ac:dyDescent="0.25">
      <c r="A54" s="214"/>
      <c r="B54" s="215" t="s">
        <v>388</v>
      </c>
      <c r="C54" s="212" t="s">
        <v>662</v>
      </c>
      <c r="D54" s="237"/>
      <c r="E54" s="229"/>
      <c r="F54" s="238"/>
      <c r="G54" s="230"/>
      <c r="H54" s="229"/>
      <c r="I54" s="229"/>
      <c r="J54" s="230"/>
      <c r="K54" s="229"/>
      <c r="L54" s="229"/>
      <c r="M54" s="229"/>
      <c r="N54" s="229"/>
      <c r="O54" s="231"/>
      <c r="P54" s="232"/>
      <c r="Q54" s="66"/>
      <c r="R54" s="66"/>
      <c r="S54" s="66"/>
      <c r="T54" s="66"/>
      <c r="U54" s="242"/>
      <c r="V54" s="298" t="s">
        <v>388</v>
      </c>
      <c r="W54" s="299" t="s">
        <v>662</v>
      </c>
      <c r="X54" s="229">
        <v>1</v>
      </c>
      <c r="Y54" s="229"/>
      <c r="Z54" s="238"/>
      <c r="AA54" s="230"/>
      <c r="AB54" s="229"/>
      <c r="AC54" s="229"/>
      <c r="AD54" s="230"/>
      <c r="AE54" s="229"/>
      <c r="AF54" s="229"/>
      <c r="AG54" s="229"/>
      <c r="AH54" s="229"/>
      <c r="AI54" s="231"/>
      <c r="AK54" s="288"/>
      <c r="AL54" s="288"/>
      <c r="AM54" s="288"/>
      <c r="AN54" s="288"/>
      <c r="AO54" s="288"/>
      <c r="AP54" s="288"/>
      <c r="AQ54" s="288"/>
      <c r="AR54" s="288"/>
      <c r="AS54" s="288"/>
      <c r="AT54" s="288"/>
      <c r="AU54" s="288"/>
      <c r="AV54" s="288"/>
      <c r="AW54" s="22"/>
      <c r="AX54" s="22"/>
      <c r="AY54" s="22"/>
      <c r="AZ54" s="28"/>
      <c r="BA54" s="4"/>
      <c r="BB54" s="26"/>
    </row>
    <row r="55" spans="1:54" s="213" customFormat="1" x14ac:dyDescent="0.25">
      <c r="A55" s="214"/>
      <c r="B55" s="215" t="s">
        <v>390</v>
      </c>
      <c r="C55" s="212" t="s">
        <v>665</v>
      </c>
      <c r="D55" s="237"/>
      <c r="E55" s="229"/>
      <c r="F55" s="238"/>
      <c r="G55" s="230"/>
      <c r="H55" s="229"/>
      <c r="I55" s="229"/>
      <c r="J55" s="230"/>
      <c r="K55" s="229"/>
      <c r="L55" s="229"/>
      <c r="M55" s="229"/>
      <c r="N55" s="229"/>
      <c r="O55" s="231"/>
      <c r="P55" s="232"/>
      <c r="Q55" s="66"/>
      <c r="R55" s="66"/>
      <c r="S55" s="66"/>
      <c r="T55" s="66"/>
      <c r="U55" s="242"/>
      <c r="V55" s="298" t="s">
        <v>390</v>
      </c>
      <c r="W55" s="299" t="s">
        <v>665</v>
      </c>
      <c r="X55" s="229">
        <v>6</v>
      </c>
      <c r="Y55" s="229"/>
      <c r="Z55" s="238"/>
      <c r="AA55" s="230"/>
      <c r="AB55" s="229"/>
      <c r="AC55" s="229"/>
      <c r="AD55" s="230"/>
      <c r="AE55" s="229"/>
      <c r="AF55" s="229"/>
      <c r="AG55" s="229"/>
      <c r="AH55" s="229"/>
      <c r="AI55" s="231"/>
      <c r="AK55" s="288"/>
      <c r="AL55" s="288"/>
      <c r="AM55" s="288"/>
      <c r="AN55" s="288"/>
      <c r="AO55" s="288"/>
      <c r="AP55" s="288"/>
      <c r="AQ55" s="288"/>
      <c r="AR55" s="288"/>
      <c r="AS55" s="288"/>
      <c r="AT55" s="288"/>
      <c r="AU55" s="288"/>
      <c r="AV55" s="288"/>
      <c r="AW55" s="22"/>
      <c r="AX55" s="22"/>
      <c r="AY55" s="22"/>
      <c r="AZ55" s="28"/>
      <c r="BA55" s="4"/>
      <c r="BB55" s="26"/>
    </row>
    <row r="56" spans="1:54" s="213" customFormat="1" x14ac:dyDescent="0.25">
      <c r="A56" s="214"/>
      <c r="B56" s="215" t="s">
        <v>394</v>
      </c>
      <c r="C56" s="212" t="s">
        <v>666</v>
      </c>
      <c r="D56" s="237"/>
      <c r="E56" s="229"/>
      <c r="F56" s="238"/>
      <c r="G56" s="230"/>
      <c r="H56" s="229"/>
      <c r="I56" s="229"/>
      <c r="J56" s="230"/>
      <c r="K56" s="229"/>
      <c r="L56" s="229"/>
      <c r="M56" s="229"/>
      <c r="N56" s="229"/>
      <c r="O56" s="231"/>
      <c r="P56" s="232"/>
      <c r="Q56" s="66"/>
      <c r="R56" s="66"/>
      <c r="S56" s="66"/>
      <c r="T56" s="66"/>
      <c r="U56" s="242"/>
      <c r="V56" s="298" t="s">
        <v>394</v>
      </c>
      <c r="W56" s="299" t="s">
        <v>666</v>
      </c>
      <c r="X56" s="229">
        <v>0</v>
      </c>
      <c r="Y56" s="229"/>
      <c r="Z56" s="238"/>
      <c r="AA56" s="230"/>
      <c r="AB56" s="229"/>
      <c r="AC56" s="229"/>
      <c r="AD56" s="230"/>
      <c r="AE56" s="229"/>
      <c r="AF56" s="229"/>
      <c r="AG56" s="229"/>
      <c r="AH56" s="229"/>
      <c r="AI56" s="231"/>
      <c r="AK56" s="288"/>
      <c r="AL56" s="288"/>
      <c r="AM56" s="288"/>
      <c r="AN56" s="288"/>
      <c r="AO56" s="288"/>
      <c r="AP56" s="288"/>
      <c r="AQ56" s="288"/>
      <c r="AR56" s="288"/>
      <c r="AS56" s="288"/>
      <c r="AT56" s="288"/>
      <c r="AU56" s="288"/>
      <c r="AV56" s="288"/>
      <c r="AW56" s="22"/>
      <c r="AX56" s="22"/>
      <c r="AY56" s="22"/>
      <c r="AZ56" s="28"/>
      <c r="BA56" s="4"/>
      <c r="BB56" s="26"/>
    </row>
    <row r="57" spans="1:54" s="213" customFormat="1" x14ac:dyDescent="0.25">
      <c r="A57" s="214"/>
      <c r="B57" s="215" t="s">
        <v>1199</v>
      </c>
      <c r="C57" s="212" t="s">
        <v>668</v>
      </c>
      <c r="D57" s="237"/>
      <c r="E57" s="229"/>
      <c r="F57" s="238"/>
      <c r="G57" s="230"/>
      <c r="H57" s="229"/>
      <c r="I57" s="229"/>
      <c r="J57" s="230"/>
      <c r="K57" s="229"/>
      <c r="L57" s="229"/>
      <c r="M57" s="229"/>
      <c r="N57" s="229"/>
      <c r="O57" s="231"/>
      <c r="P57" s="232"/>
      <c r="Q57" s="66"/>
      <c r="R57" s="66"/>
      <c r="S57" s="66"/>
      <c r="T57" s="66"/>
      <c r="U57" s="242"/>
      <c r="V57" s="298" t="s">
        <v>1199</v>
      </c>
      <c r="W57" s="299" t="s">
        <v>668</v>
      </c>
      <c r="X57" s="229">
        <v>0</v>
      </c>
      <c r="Y57" s="229"/>
      <c r="Z57" s="238"/>
      <c r="AA57" s="230"/>
      <c r="AB57" s="229"/>
      <c r="AC57" s="229"/>
      <c r="AD57" s="230"/>
      <c r="AE57" s="229"/>
      <c r="AF57" s="229"/>
      <c r="AG57" s="229"/>
      <c r="AH57" s="229"/>
      <c r="AI57" s="231"/>
      <c r="AK57" s="288"/>
      <c r="AL57" s="288"/>
      <c r="AM57" s="288"/>
      <c r="AN57" s="288"/>
      <c r="AO57" s="288"/>
      <c r="AP57" s="288"/>
      <c r="AQ57" s="288"/>
      <c r="AR57" s="288"/>
      <c r="AS57" s="288"/>
      <c r="AT57" s="288"/>
      <c r="AU57" s="288"/>
      <c r="AV57" s="288"/>
      <c r="AW57" s="22"/>
      <c r="AX57" s="22"/>
      <c r="AY57" s="22"/>
      <c r="AZ57" s="28"/>
      <c r="BA57" s="4"/>
      <c r="BB57" s="26"/>
    </row>
    <row r="58" spans="1:54" s="213" customFormat="1" x14ac:dyDescent="0.25">
      <c r="A58" s="214"/>
      <c r="B58" s="215" t="s">
        <v>625</v>
      </c>
      <c r="C58" s="212" t="s">
        <v>669</v>
      </c>
      <c r="D58" s="237"/>
      <c r="E58" s="229"/>
      <c r="F58" s="238"/>
      <c r="G58" s="230"/>
      <c r="H58" s="229"/>
      <c r="I58" s="229"/>
      <c r="J58" s="230"/>
      <c r="K58" s="229"/>
      <c r="L58" s="229"/>
      <c r="M58" s="229"/>
      <c r="N58" s="229"/>
      <c r="O58" s="231"/>
      <c r="P58" s="232"/>
      <c r="Q58" s="66"/>
      <c r="R58" s="66"/>
      <c r="S58" s="66"/>
      <c r="T58" s="66"/>
      <c r="U58" s="242"/>
      <c r="V58" s="298" t="s">
        <v>625</v>
      </c>
      <c r="W58" s="299" t="s">
        <v>669</v>
      </c>
      <c r="X58" s="229">
        <v>2</v>
      </c>
      <c r="Y58" s="229"/>
      <c r="Z58" s="238"/>
      <c r="AA58" s="230"/>
      <c r="AB58" s="229"/>
      <c r="AC58" s="229"/>
      <c r="AD58" s="230"/>
      <c r="AE58" s="229"/>
      <c r="AF58" s="229"/>
      <c r="AG58" s="229"/>
      <c r="AH58" s="229"/>
      <c r="AI58" s="231"/>
      <c r="AK58" s="288"/>
      <c r="AL58" s="288"/>
      <c r="AM58" s="288"/>
      <c r="AN58" s="288"/>
      <c r="AO58" s="288"/>
      <c r="AP58" s="288"/>
      <c r="AQ58" s="288"/>
      <c r="AR58" s="288"/>
      <c r="AS58" s="288"/>
      <c r="AT58" s="288"/>
      <c r="AU58" s="288"/>
      <c r="AV58" s="288"/>
      <c r="AW58" s="22"/>
      <c r="AX58" s="22"/>
      <c r="AY58" s="22"/>
      <c r="AZ58" s="28"/>
      <c r="BA58" s="4"/>
      <c r="BB58" s="26"/>
    </row>
    <row r="59" spans="1:54" s="213" customFormat="1" x14ac:dyDescent="0.25">
      <c r="A59" s="214"/>
      <c r="B59" s="215" t="s">
        <v>400</v>
      </c>
      <c r="C59" s="212" t="s">
        <v>672</v>
      </c>
      <c r="D59" s="237"/>
      <c r="E59" s="229"/>
      <c r="F59" s="238"/>
      <c r="G59" s="230"/>
      <c r="H59" s="229"/>
      <c r="I59" s="229"/>
      <c r="J59" s="230"/>
      <c r="K59" s="229"/>
      <c r="L59" s="229"/>
      <c r="M59" s="229"/>
      <c r="N59" s="229"/>
      <c r="O59" s="231"/>
      <c r="P59" s="232"/>
      <c r="Q59" s="66"/>
      <c r="R59" s="66"/>
      <c r="S59" s="66"/>
      <c r="T59" s="66"/>
      <c r="U59" s="242"/>
      <c r="V59" s="298" t="s">
        <v>400</v>
      </c>
      <c r="W59" s="299" t="s">
        <v>672</v>
      </c>
      <c r="X59" s="229">
        <v>2</v>
      </c>
      <c r="Y59" s="229"/>
      <c r="Z59" s="238"/>
      <c r="AA59" s="230"/>
      <c r="AB59" s="229"/>
      <c r="AC59" s="229"/>
      <c r="AD59" s="230"/>
      <c r="AE59" s="229"/>
      <c r="AF59" s="229"/>
      <c r="AG59" s="229"/>
      <c r="AH59" s="229"/>
      <c r="AI59" s="231"/>
      <c r="AK59" s="288"/>
      <c r="AL59" s="288"/>
      <c r="AM59" s="288"/>
      <c r="AN59" s="288"/>
      <c r="AO59" s="288"/>
      <c r="AP59" s="288"/>
      <c r="AQ59" s="288"/>
      <c r="AR59" s="288"/>
      <c r="AS59" s="288"/>
      <c r="AT59" s="288"/>
      <c r="AU59" s="288"/>
      <c r="AV59" s="288"/>
      <c r="AW59" s="22"/>
      <c r="AX59" s="22"/>
      <c r="AY59" s="22"/>
      <c r="AZ59" s="28"/>
      <c r="BA59" s="4"/>
      <c r="BB59" s="26"/>
    </row>
    <row r="60" spans="1:54" s="213" customFormat="1" x14ac:dyDescent="0.25">
      <c r="A60" s="214"/>
      <c r="B60" s="215" t="s">
        <v>947</v>
      </c>
      <c r="C60" s="212" t="s">
        <v>673</v>
      </c>
      <c r="D60" s="237"/>
      <c r="E60" s="229"/>
      <c r="F60" s="238"/>
      <c r="G60" s="230"/>
      <c r="H60" s="229"/>
      <c r="I60" s="229"/>
      <c r="J60" s="230"/>
      <c r="K60" s="229"/>
      <c r="L60" s="229"/>
      <c r="M60" s="229"/>
      <c r="N60" s="229"/>
      <c r="O60" s="231"/>
      <c r="P60" s="232"/>
      <c r="Q60" s="66"/>
      <c r="R60" s="66"/>
      <c r="S60" s="66"/>
      <c r="T60" s="66"/>
      <c r="U60" s="242"/>
      <c r="V60" s="298" t="s">
        <v>947</v>
      </c>
      <c r="W60" s="299" t="s">
        <v>673</v>
      </c>
      <c r="X60" s="229">
        <v>0</v>
      </c>
      <c r="Y60" s="229"/>
      <c r="Z60" s="238"/>
      <c r="AA60" s="230"/>
      <c r="AB60" s="229"/>
      <c r="AC60" s="229"/>
      <c r="AD60" s="230"/>
      <c r="AE60" s="229"/>
      <c r="AF60" s="229"/>
      <c r="AG60" s="229"/>
      <c r="AH60" s="229"/>
      <c r="AI60" s="231"/>
      <c r="AK60" s="288"/>
      <c r="AL60" s="288"/>
      <c r="AM60" s="288"/>
      <c r="AN60" s="288"/>
      <c r="AO60" s="288"/>
      <c r="AP60" s="288"/>
      <c r="AQ60" s="288"/>
      <c r="AR60" s="288"/>
      <c r="AS60" s="288"/>
      <c r="AT60" s="288"/>
      <c r="AU60" s="288"/>
      <c r="AV60" s="288"/>
      <c r="AW60" s="22"/>
      <c r="AX60" s="22"/>
      <c r="AY60" s="22"/>
      <c r="AZ60" s="28"/>
      <c r="BA60" s="4"/>
      <c r="BB60" s="26"/>
    </row>
    <row r="61" spans="1:54" s="213" customFormat="1" x14ac:dyDescent="0.25">
      <c r="A61" s="214"/>
      <c r="B61" s="215" t="s">
        <v>50</v>
      </c>
      <c r="C61" s="212" t="s">
        <v>70</v>
      </c>
      <c r="D61" s="237"/>
      <c r="E61" s="229"/>
      <c r="F61" s="238"/>
      <c r="G61" s="230"/>
      <c r="H61" s="229"/>
      <c r="I61" s="229"/>
      <c r="J61" s="230"/>
      <c r="K61" s="229"/>
      <c r="L61" s="229"/>
      <c r="M61" s="229"/>
      <c r="N61" s="229"/>
      <c r="O61" s="231"/>
      <c r="P61" s="232"/>
      <c r="Q61" s="66"/>
      <c r="R61" s="66"/>
      <c r="S61" s="66"/>
      <c r="T61" s="66"/>
      <c r="U61" s="242"/>
      <c r="V61" s="298" t="s">
        <v>50</v>
      </c>
      <c r="W61" s="299" t="s">
        <v>70</v>
      </c>
      <c r="X61" s="229">
        <v>0</v>
      </c>
      <c r="Y61" s="229"/>
      <c r="Z61" s="238"/>
      <c r="AA61" s="230"/>
      <c r="AB61" s="229"/>
      <c r="AC61" s="229"/>
      <c r="AD61" s="230"/>
      <c r="AE61" s="229"/>
      <c r="AF61" s="229"/>
      <c r="AG61" s="229"/>
      <c r="AH61" s="229"/>
      <c r="AI61" s="231"/>
      <c r="AK61" s="288"/>
      <c r="AL61" s="288"/>
      <c r="AM61" s="288"/>
      <c r="AN61" s="288"/>
      <c r="AO61" s="288"/>
      <c r="AP61" s="288"/>
      <c r="AQ61" s="288"/>
      <c r="AR61" s="288"/>
      <c r="AS61" s="288"/>
      <c r="AT61" s="288"/>
      <c r="AU61" s="288"/>
      <c r="AV61" s="288"/>
      <c r="AW61" s="22"/>
      <c r="AX61" s="22"/>
      <c r="AY61" s="22"/>
      <c r="AZ61" s="28"/>
      <c r="BA61" s="4"/>
      <c r="BB61" s="26"/>
    </row>
    <row r="62" spans="1:54" s="213" customFormat="1" x14ac:dyDescent="0.25">
      <c r="A62" s="214"/>
      <c r="B62" s="215" t="s">
        <v>166</v>
      </c>
      <c r="C62" s="212" t="s">
        <v>72</v>
      </c>
      <c r="D62" s="237"/>
      <c r="E62" s="229"/>
      <c r="F62" s="238"/>
      <c r="G62" s="230"/>
      <c r="H62" s="229"/>
      <c r="I62" s="229"/>
      <c r="J62" s="230"/>
      <c r="K62" s="229"/>
      <c r="L62" s="229"/>
      <c r="M62" s="229"/>
      <c r="N62" s="229"/>
      <c r="O62" s="231"/>
      <c r="P62" s="232"/>
      <c r="Q62" s="66"/>
      <c r="R62" s="66"/>
      <c r="S62" s="66"/>
      <c r="T62" s="66"/>
      <c r="U62" s="242"/>
      <c r="V62" s="298" t="s">
        <v>166</v>
      </c>
      <c r="W62" s="299" t="s">
        <v>72</v>
      </c>
      <c r="X62" s="229">
        <v>13</v>
      </c>
      <c r="Y62" s="229"/>
      <c r="Z62" s="238"/>
      <c r="AA62" s="230"/>
      <c r="AB62" s="229"/>
      <c r="AC62" s="229"/>
      <c r="AD62" s="230"/>
      <c r="AE62" s="229"/>
      <c r="AF62" s="229"/>
      <c r="AG62" s="229"/>
      <c r="AH62" s="229"/>
      <c r="AI62" s="231"/>
      <c r="AK62" s="288"/>
      <c r="AL62" s="288"/>
      <c r="AM62" s="288"/>
      <c r="AN62" s="288"/>
      <c r="AO62" s="288"/>
      <c r="AP62" s="288"/>
      <c r="AQ62" s="288"/>
      <c r="AR62" s="288"/>
      <c r="AS62" s="288"/>
      <c r="AT62" s="288"/>
      <c r="AU62" s="288"/>
      <c r="AV62" s="288"/>
      <c r="AW62" s="22"/>
      <c r="AX62" s="22"/>
      <c r="AY62" s="22"/>
      <c r="AZ62" s="28"/>
      <c r="BA62" s="4"/>
      <c r="BB62" s="26"/>
    </row>
    <row r="63" spans="1:54" s="213" customFormat="1" x14ac:dyDescent="0.25">
      <c r="A63" s="214"/>
      <c r="B63" s="215" t="s">
        <v>797</v>
      </c>
      <c r="C63" s="212" t="s">
        <v>75</v>
      </c>
      <c r="D63" s="237"/>
      <c r="E63" s="229"/>
      <c r="F63" s="238"/>
      <c r="G63" s="230"/>
      <c r="H63" s="229"/>
      <c r="I63" s="229"/>
      <c r="J63" s="230"/>
      <c r="K63" s="229"/>
      <c r="L63" s="229"/>
      <c r="M63" s="229"/>
      <c r="N63" s="229"/>
      <c r="O63" s="231"/>
      <c r="P63" s="232"/>
      <c r="Q63" s="66"/>
      <c r="R63" s="66"/>
      <c r="S63" s="66"/>
      <c r="T63" s="66"/>
      <c r="U63" s="242"/>
      <c r="V63" s="298" t="s">
        <v>797</v>
      </c>
      <c r="W63" s="299" t="s">
        <v>75</v>
      </c>
      <c r="X63" s="229">
        <v>3</v>
      </c>
      <c r="Y63" s="229"/>
      <c r="Z63" s="238"/>
      <c r="AA63" s="230"/>
      <c r="AB63" s="229"/>
      <c r="AC63" s="229"/>
      <c r="AD63" s="230"/>
      <c r="AE63" s="229"/>
      <c r="AF63" s="229"/>
      <c r="AG63" s="229"/>
      <c r="AH63" s="229"/>
      <c r="AI63" s="231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  <c r="AW63" s="22"/>
      <c r="AX63" s="22"/>
      <c r="AY63" s="22"/>
      <c r="AZ63" s="28"/>
      <c r="BA63" s="4"/>
      <c r="BB63" s="26"/>
    </row>
    <row r="64" spans="1:54" s="213" customFormat="1" x14ac:dyDescent="0.25">
      <c r="A64" s="214"/>
      <c r="B64" s="215" t="s">
        <v>385</v>
      </c>
      <c r="C64" s="212" t="s">
        <v>76</v>
      </c>
      <c r="D64" s="237"/>
      <c r="E64" s="229"/>
      <c r="F64" s="238"/>
      <c r="G64" s="230"/>
      <c r="H64" s="229"/>
      <c r="I64" s="229"/>
      <c r="J64" s="230"/>
      <c r="K64" s="229"/>
      <c r="L64" s="229"/>
      <c r="M64" s="229"/>
      <c r="N64" s="229"/>
      <c r="O64" s="231"/>
      <c r="P64" s="232"/>
      <c r="Q64" s="66"/>
      <c r="R64" s="66"/>
      <c r="S64" s="66"/>
      <c r="T64" s="66"/>
      <c r="U64" s="242"/>
      <c r="V64" s="298" t="s">
        <v>385</v>
      </c>
      <c r="W64" s="299" t="s">
        <v>76</v>
      </c>
      <c r="X64" s="229">
        <v>0</v>
      </c>
      <c r="Y64" s="229"/>
      <c r="Z64" s="238"/>
      <c r="AA64" s="230"/>
      <c r="AB64" s="229"/>
      <c r="AC64" s="229"/>
      <c r="AD64" s="230"/>
      <c r="AE64" s="229"/>
      <c r="AF64" s="229"/>
      <c r="AG64" s="229"/>
      <c r="AH64" s="229"/>
      <c r="AI64" s="231"/>
      <c r="AK64" s="288"/>
      <c r="AL64" s="288"/>
      <c r="AM64" s="288"/>
      <c r="AN64" s="288"/>
      <c r="AO64" s="288"/>
      <c r="AP64" s="288"/>
      <c r="AQ64" s="288"/>
      <c r="AR64" s="288"/>
      <c r="AS64" s="288"/>
      <c r="AT64" s="288"/>
      <c r="AU64" s="288"/>
      <c r="AV64" s="288"/>
      <c r="AW64" s="22"/>
      <c r="AX64" s="22"/>
      <c r="AY64" s="22"/>
      <c r="AZ64" s="28"/>
      <c r="BA64" s="4"/>
      <c r="BB64" s="26"/>
    </row>
    <row r="65" spans="1:54" s="213" customFormat="1" x14ac:dyDescent="0.25">
      <c r="A65" s="214"/>
      <c r="B65" s="215" t="s">
        <v>405</v>
      </c>
      <c r="C65" s="212" t="s">
        <v>77</v>
      </c>
      <c r="D65" s="237"/>
      <c r="E65" s="229"/>
      <c r="F65" s="238"/>
      <c r="G65" s="230"/>
      <c r="H65" s="229"/>
      <c r="I65" s="229"/>
      <c r="J65" s="230"/>
      <c r="K65" s="229"/>
      <c r="L65" s="229"/>
      <c r="M65" s="229"/>
      <c r="N65" s="229"/>
      <c r="O65" s="231"/>
      <c r="P65" s="232"/>
      <c r="Q65" s="66"/>
      <c r="R65" s="66"/>
      <c r="S65" s="66"/>
      <c r="T65" s="66"/>
      <c r="U65" s="242"/>
      <c r="V65" s="298" t="s">
        <v>405</v>
      </c>
      <c r="W65" s="299" t="s">
        <v>77</v>
      </c>
      <c r="X65" s="229">
        <v>0</v>
      </c>
      <c r="Y65" s="229"/>
      <c r="Z65" s="238"/>
      <c r="AA65" s="230"/>
      <c r="AB65" s="229"/>
      <c r="AC65" s="229"/>
      <c r="AD65" s="230"/>
      <c r="AE65" s="229"/>
      <c r="AF65" s="229"/>
      <c r="AG65" s="229"/>
      <c r="AH65" s="229"/>
      <c r="AI65" s="231"/>
      <c r="AK65" s="288"/>
      <c r="AL65" s="288"/>
      <c r="AM65" s="288"/>
      <c r="AN65" s="288"/>
      <c r="AO65" s="288"/>
      <c r="AP65" s="288"/>
      <c r="AQ65" s="288"/>
      <c r="AR65" s="288"/>
      <c r="AS65" s="288"/>
      <c r="AT65" s="288"/>
      <c r="AU65" s="288"/>
      <c r="AV65" s="288"/>
      <c r="AW65" s="22"/>
      <c r="AX65" s="22"/>
      <c r="AY65" s="22"/>
      <c r="AZ65" s="28"/>
      <c r="BA65" s="4"/>
      <c r="BB65" s="26"/>
    </row>
    <row r="66" spans="1:54" s="213" customFormat="1" x14ac:dyDescent="0.25">
      <c r="A66" s="214"/>
      <c r="B66" s="215" t="s">
        <v>53</v>
      </c>
      <c r="C66" s="212" t="s">
        <v>78</v>
      </c>
      <c r="D66" s="237"/>
      <c r="E66" s="229"/>
      <c r="F66" s="238"/>
      <c r="G66" s="230"/>
      <c r="H66" s="229"/>
      <c r="I66" s="229"/>
      <c r="J66" s="230"/>
      <c r="K66" s="229"/>
      <c r="L66" s="229"/>
      <c r="M66" s="229"/>
      <c r="N66" s="229"/>
      <c r="O66" s="231"/>
      <c r="P66" s="232"/>
      <c r="Q66" s="66"/>
      <c r="R66" s="66"/>
      <c r="S66" s="66"/>
      <c r="T66" s="66"/>
      <c r="U66" s="242"/>
      <c r="V66" s="298" t="s">
        <v>53</v>
      </c>
      <c r="W66" s="299" t="s">
        <v>78</v>
      </c>
      <c r="X66" s="229">
        <v>1</v>
      </c>
      <c r="Y66" s="229"/>
      <c r="Z66" s="238"/>
      <c r="AA66" s="230"/>
      <c r="AB66" s="229"/>
      <c r="AC66" s="229"/>
      <c r="AD66" s="230"/>
      <c r="AE66" s="229"/>
      <c r="AF66" s="229"/>
      <c r="AG66" s="229"/>
      <c r="AH66" s="229"/>
      <c r="AI66" s="231"/>
      <c r="AK66" s="288"/>
      <c r="AL66" s="288"/>
      <c r="AM66" s="288"/>
      <c r="AN66" s="288"/>
      <c r="AO66" s="288"/>
      <c r="AP66" s="288"/>
      <c r="AQ66" s="288"/>
      <c r="AR66" s="288"/>
      <c r="AS66" s="288"/>
      <c r="AT66" s="288"/>
      <c r="AU66" s="288"/>
      <c r="AV66" s="288"/>
      <c r="AW66" s="22"/>
      <c r="AX66" s="22"/>
      <c r="AY66" s="22"/>
      <c r="AZ66" s="28"/>
      <c r="BA66" s="4"/>
      <c r="BB66" s="26"/>
    </row>
    <row r="67" spans="1:54" s="213" customFormat="1" x14ac:dyDescent="0.25">
      <c r="A67" s="214"/>
      <c r="B67" s="215" t="s">
        <v>630</v>
      </c>
      <c r="C67" s="212" t="s">
        <v>671</v>
      </c>
      <c r="D67" s="237"/>
      <c r="E67" s="229"/>
      <c r="F67" s="238"/>
      <c r="G67" s="230"/>
      <c r="H67" s="229"/>
      <c r="I67" s="229"/>
      <c r="J67" s="230"/>
      <c r="K67" s="229"/>
      <c r="L67" s="229"/>
      <c r="M67" s="229"/>
      <c r="N67" s="229"/>
      <c r="O67" s="231"/>
      <c r="P67" s="232"/>
      <c r="Q67" s="66"/>
      <c r="R67" s="66"/>
      <c r="S67" s="66"/>
      <c r="T67" s="66"/>
      <c r="U67" s="242"/>
      <c r="V67" s="298" t="s">
        <v>630</v>
      </c>
      <c r="W67" s="299" t="s">
        <v>671</v>
      </c>
      <c r="X67" s="229">
        <v>5</v>
      </c>
      <c r="Y67" s="229"/>
      <c r="Z67" s="238"/>
      <c r="AA67" s="230"/>
      <c r="AB67" s="229"/>
      <c r="AC67" s="229"/>
      <c r="AD67" s="230"/>
      <c r="AE67" s="229"/>
      <c r="AF67" s="229"/>
      <c r="AG67" s="229"/>
      <c r="AH67" s="229"/>
      <c r="AI67" s="231"/>
      <c r="AK67" s="288"/>
      <c r="AL67" s="288"/>
      <c r="AM67" s="288"/>
      <c r="AN67" s="288"/>
      <c r="AO67" s="288"/>
      <c r="AP67" s="288"/>
      <c r="AQ67" s="288"/>
      <c r="AR67" s="288"/>
      <c r="AS67" s="288"/>
      <c r="AT67" s="288"/>
      <c r="AU67" s="288"/>
      <c r="AV67" s="288"/>
      <c r="AW67" s="22"/>
      <c r="AX67" s="22"/>
      <c r="AY67" s="22"/>
      <c r="AZ67" s="28"/>
      <c r="BA67" s="4"/>
      <c r="BB67" s="26"/>
    </row>
    <row r="68" spans="1:54" s="213" customFormat="1" x14ac:dyDescent="0.25">
      <c r="A68" s="214"/>
      <c r="B68" s="215" t="s">
        <v>634</v>
      </c>
      <c r="C68" s="212" t="s">
        <v>670</v>
      </c>
      <c r="D68" s="237"/>
      <c r="E68" s="229"/>
      <c r="F68" s="238"/>
      <c r="G68" s="230"/>
      <c r="H68" s="229"/>
      <c r="I68" s="229"/>
      <c r="J68" s="230"/>
      <c r="K68" s="229"/>
      <c r="L68" s="229"/>
      <c r="M68" s="229"/>
      <c r="N68" s="229"/>
      <c r="O68" s="231"/>
      <c r="P68" s="232"/>
      <c r="Q68" s="66"/>
      <c r="R68" s="66"/>
      <c r="S68" s="66"/>
      <c r="T68" s="66"/>
      <c r="U68" s="242"/>
      <c r="V68" s="298" t="s">
        <v>634</v>
      </c>
      <c r="W68" s="299" t="s">
        <v>670</v>
      </c>
      <c r="X68" s="229">
        <v>8</v>
      </c>
      <c r="Y68" s="229"/>
      <c r="Z68" s="238"/>
      <c r="AA68" s="230"/>
      <c r="AB68" s="229"/>
      <c r="AC68" s="229"/>
      <c r="AD68" s="230"/>
      <c r="AE68" s="229"/>
      <c r="AF68" s="229"/>
      <c r="AG68" s="229"/>
      <c r="AH68" s="229"/>
      <c r="AI68" s="231"/>
      <c r="AK68" s="288"/>
      <c r="AL68" s="288"/>
      <c r="AM68" s="288"/>
      <c r="AN68" s="288"/>
      <c r="AO68" s="288"/>
      <c r="AP68" s="288"/>
      <c r="AQ68" s="288"/>
      <c r="AR68" s="288"/>
      <c r="AS68" s="288"/>
      <c r="AT68" s="288"/>
      <c r="AU68" s="288"/>
      <c r="AV68" s="288"/>
      <c r="AW68" s="22"/>
      <c r="AX68" s="22"/>
      <c r="AY68" s="22"/>
      <c r="AZ68" s="28"/>
      <c r="BA68" s="4"/>
      <c r="BB68" s="26"/>
    </row>
    <row r="69" spans="1:54" s="213" customFormat="1" x14ac:dyDescent="0.25">
      <c r="A69" s="214"/>
      <c r="B69" s="215" t="s">
        <v>1109</v>
      </c>
      <c r="C69" s="212" t="s">
        <v>79</v>
      </c>
      <c r="D69" s="237"/>
      <c r="E69" s="229"/>
      <c r="F69" s="238"/>
      <c r="G69" s="230"/>
      <c r="H69" s="229"/>
      <c r="I69" s="229"/>
      <c r="J69" s="230"/>
      <c r="K69" s="229"/>
      <c r="L69" s="229"/>
      <c r="M69" s="229"/>
      <c r="N69" s="229"/>
      <c r="O69" s="231"/>
      <c r="P69" s="232"/>
      <c r="Q69" s="66"/>
      <c r="R69" s="66"/>
      <c r="S69" s="66"/>
      <c r="T69" s="66"/>
      <c r="U69" s="242"/>
      <c r="V69" s="298" t="s">
        <v>1109</v>
      </c>
      <c r="W69" s="299" t="s">
        <v>79</v>
      </c>
      <c r="X69" s="229">
        <v>0</v>
      </c>
      <c r="Y69" s="229"/>
      <c r="Z69" s="238"/>
      <c r="AA69" s="230"/>
      <c r="AB69" s="229"/>
      <c r="AC69" s="229"/>
      <c r="AD69" s="230"/>
      <c r="AE69" s="229"/>
      <c r="AF69" s="229"/>
      <c r="AG69" s="229"/>
      <c r="AH69" s="229"/>
      <c r="AI69" s="231"/>
      <c r="AK69" s="288"/>
      <c r="AL69" s="288"/>
      <c r="AM69" s="288"/>
      <c r="AN69" s="288"/>
      <c r="AO69" s="288"/>
      <c r="AP69" s="288"/>
      <c r="AQ69" s="288"/>
      <c r="AR69" s="288"/>
      <c r="AS69" s="288"/>
      <c r="AT69" s="288"/>
      <c r="AU69" s="288"/>
      <c r="AV69" s="288"/>
      <c r="AW69" s="22"/>
      <c r="AX69" s="22"/>
      <c r="AY69" s="22"/>
      <c r="AZ69" s="28"/>
      <c r="BA69" s="4"/>
      <c r="BB69" s="26"/>
    </row>
    <row r="70" spans="1:54" s="213" customFormat="1" x14ac:dyDescent="0.25">
      <c r="A70" s="214"/>
      <c r="B70" s="215" t="s">
        <v>621</v>
      </c>
      <c r="C70" s="212" t="s">
        <v>80</v>
      </c>
      <c r="D70" s="237"/>
      <c r="E70" s="229"/>
      <c r="F70" s="238"/>
      <c r="G70" s="230"/>
      <c r="H70" s="229"/>
      <c r="I70" s="229"/>
      <c r="J70" s="230"/>
      <c r="K70" s="229"/>
      <c r="L70" s="229"/>
      <c r="M70" s="229"/>
      <c r="N70" s="229"/>
      <c r="O70" s="231"/>
      <c r="P70" s="232"/>
      <c r="Q70" s="66"/>
      <c r="R70" s="66"/>
      <c r="S70" s="66"/>
      <c r="T70" s="66"/>
      <c r="U70" s="242"/>
      <c r="V70" s="298" t="s">
        <v>621</v>
      </c>
      <c r="W70" s="299" t="s">
        <v>80</v>
      </c>
      <c r="X70" s="229">
        <v>0</v>
      </c>
      <c r="Y70" s="229"/>
      <c r="Z70" s="238"/>
      <c r="AA70" s="230"/>
      <c r="AB70" s="229"/>
      <c r="AC70" s="229"/>
      <c r="AD70" s="230"/>
      <c r="AE70" s="229"/>
      <c r="AF70" s="229"/>
      <c r="AG70" s="229"/>
      <c r="AH70" s="229"/>
      <c r="AI70" s="231"/>
      <c r="AK70" s="288"/>
      <c r="AL70" s="288"/>
      <c r="AM70" s="288"/>
      <c r="AN70" s="288"/>
      <c r="AO70" s="288"/>
      <c r="AP70" s="288"/>
      <c r="AQ70" s="288"/>
      <c r="AR70" s="288"/>
      <c r="AS70" s="288"/>
      <c r="AT70" s="288"/>
      <c r="AU70" s="288"/>
      <c r="AV70" s="288"/>
      <c r="AW70" s="22"/>
      <c r="AX70" s="22"/>
      <c r="AY70" s="22"/>
      <c r="AZ70" s="28"/>
      <c r="BA70" s="4"/>
      <c r="BB70" s="26"/>
    </row>
    <row r="71" spans="1:54" s="213" customFormat="1" x14ac:dyDescent="0.25">
      <c r="A71" s="214"/>
      <c r="B71" s="215" t="s">
        <v>1200</v>
      </c>
      <c r="C71" s="212" t="s">
        <v>1033</v>
      </c>
      <c r="D71" s="237"/>
      <c r="E71" s="229"/>
      <c r="F71" s="238"/>
      <c r="G71" s="230"/>
      <c r="H71" s="229"/>
      <c r="I71" s="229"/>
      <c r="J71" s="230"/>
      <c r="K71" s="229"/>
      <c r="L71" s="229"/>
      <c r="M71" s="229"/>
      <c r="N71" s="229"/>
      <c r="O71" s="231"/>
      <c r="P71" s="232"/>
      <c r="Q71" s="66"/>
      <c r="R71" s="66"/>
      <c r="S71" s="66"/>
      <c r="T71" s="66"/>
      <c r="U71" s="242"/>
      <c r="V71" s="298" t="s">
        <v>1200</v>
      </c>
      <c r="W71" s="299" t="s">
        <v>1033</v>
      </c>
      <c r="X71" s="229">
        <v>2</v>
      </c>
      <c r="Y71" s="229"/>
      <c r="Z71" s="238"/>
      <c r="AA71" s="230"/>
      <c r="AB71" s="229"/>
      <c r="AC71" s="229"/>
      <c r="AD71" s="230"/>
      <c r="AE71" s="229"/>
      <c r="AF71" s="229"/>
      <c r="AG71" s="229"/>
      <c r="AH71" s="229"/>
      <c r="AI71" s="231"/>
      <c r="AK71" s="288"/>
      <c r="AL71" s="288"/>
      <c r="AM71" s="288"/>
      <c r="AN71" s="288"/>
      <c r="AO71" s="288"/>
      <c r="AP71" s="288"/>
      <c r="AQ71" s="288"/>
      <c r="AR71" s="288"/>
      <c r="AS71" s="288"/>
      <c r="AT71" s="288"/>
      <c r="AU71" s="288"/>
      <c r="AV71" s="288"/>
      <c r="AW71" s="22"/>
      <c r="AX71" s="22"/>
      <c r="AY71" s="22"/>
      <c r="AZ71" s="28"/>
      <c r="BA71" s="4"/>
      <c r="BB71" s="26"/>
    </row>
    <row r="72" spans="1:54" s="213" customFormat="1" x14ac:dyDescent="0.25">
      <c r="A72" s="214"/>
      <c r="B72" s="215" t="s">
        <v>45</v>
      </c>
      <c r="C72" s="212" t="s">
        <v>82</v>
      </c>
      <c r="D72" s="237"/>
      <c r="E72" s="229"/>
      <c r="F72" s="238"/>
      <c r="G72" s="230"/>
      <c r="H72" s="229"/>
      <c r="I72" s="229"/>
      <c r="J72" s="230"/>
      <c r="K72" s="229"/>
      <c r="L72" s="229"/>
      <c r="M72" s="229"/>
      <c r="N72" s="229"/>
      <c r="O72" s="231"/>
      <c r="P72" s="232"/>
      <c r="Q72" s="66"/>
      <c r="R72" s="66"/>
      <c r="S72" s="66"/>
      <c r="T72" s="66"/>
      <c r="U72" s="242"/>
      <c r="V72" s="298" t="s">
        <v>45</v>
      </c>
      <c r="W72" s="299" t="s">
        <v>82</v>
      </c>
      <c r="X72" s="229">
        <v>0</v>
      </c>
      <c r="Y72" s="229"/>
      <c r="Z72" s="238"/>
      <c r="AA72" s="230"/>
      <c r="AB72" s="229"/>
      <c r="AC72" s="229"/>
      <c r="AD72" s="230"/>
      <c r="AE72" s="229"/>
      <c r="AF72" s="229"/>
      <c r="AG72" s="229"/>
      <c r="AH72" s="229"/>
      <c r="AI72" s="231"/>
      <c r="AK72" s="288"/>
      <c r="AL72" s="288"/>
      <c r="AM72" s="288"/>
      <c r="AN72" s="288"/>
      <c r="AO72" s="288"/>
      <c r="AP72" s="288"/>
      <c r="AQ72" s="288"/>
      <c r="AR72" s="288"/>
      <c r="AS72" s="288"/>
      <c r="AT72" s="288"/>
      <c r="AU72" s="288"/>
      <c r="AV72" s="288"/>
      <c r="AW72" s="22"/>
      <c r="AX72" s="22"/>
      <c r="AY72" s="22"/>
      <c r="AZ72" s="28"/>
      <c r="BA72" s="4"/>
      <c r="BB72" s="26"/>
    </row>
    <row r="73" spans="1:54" s="213" customFormat="1" x14ac:dyDescent="0.25">
      <c r="A73" s="214"/>
      <c r="B73" s="215" t="s">
        <v>46</v>
      </c>
      <c r="C73" s="212" t="s">
        <v>762</v>
      </c>
      <c r="D73" s="237"/>
      <c r="E73" s="229"/>
      <c r="F73" s="238"/>
      <c r="G73" s="230"/>
      <c r="H73" s="229"/>
      <c r="I73" s="229"/>
      <c r="J73" s="230"/>
      <c r="K73" s="229"/>
      <c r="L73" s="229"/>
      <c r="M73" s="229"/>
      <c r="N73" s="229"/>
      <c r="O73" s="231"/>
      <c r="P73" s="232"/>
      <c r="Q73" s="66"/>
      <c r="R73" s="66"/>
      <c r="S73" s="66"/>
      <c r="T73" s="66"/>
      <c r="U73" s="242"/>
      <c r="V73" s="298" t="s">
        <v>46</v>
      </c>
      <c r="W73" s="299" t="s">
        <v>762</v>
      </c>
      <c r="X73" s="229">
        <v>5</v>
      </c>
      <c r="Y73" s="229"/>
      <c r="Z73" s="238"/>
      <c r="AA73" s="230"/>
      <c r="AB73" s="229"/>
      <c r="AC73" s="229"/>
      <c r="AD73" s="230"/>
      <c r="AE73" s="229"/>
      <c r="AF73" s="229"/>
      <c r="AG73" s="229"/>
      <c r="AH73" s="229"/>
      <c r="AI73" s="231"/>
      <c r="AK73" s="288"/>
      <c r="AL73" s="288"/>
      <c r="AM73" s="288"/>
      <c r="AN73" s="288"/>
      <c r="AO73" s="288"/>
      <c r="AP73" s="288"/>
      <c r="AQ73" s="288"/>
      <c r="AR73" s="288"/>
      <c r="AS73" s="288"/>
      <c r="AT73" s="288"/>
      <c r="AU73" s="288"/>
      <c r="AV73" s="288"/>
      <c r="AW73" s="22"/>
      <c r="AX73" s="22"/>
      <c r="AY73" s="22"/>
      <c r="AZ73" s="28"/>
      <c r="BA73" s="4"/>
      <c r="BB73" s="26"/>
    </row>
    <row r="74" spans="1:54" s="213" customFormat="1" x14ac:dyDescent="0.25">
      <c r="A74" s="214"/>
      <c r="B74" s="215" t="s">
        <v>1336</v>
      </c>
      <c r="C74" s="212" t="s">
        <v>764</v>
      </c>
      <c r="D74" s="237"/>
      <c r="E74" s="229"/>
      <c r="F74" s="238"/>
      <c r="G74" s="230"/>
      <c r="H74" s="229"/>
      <c r="I74" s="229"/>
      <c r="J74" s="230"/>
      <c r="K74" s="229"/>
      <c r="L74" s="229"/>
      <c r="M74" s="229"/>
      <c r="N74" s="229"/>
      <c r="O74" s="231"/>
      <c r="P74" s="232"/>
      <c r="Q74" s="66"/>
      <c r="R74" s="66"/>
      <c r="S74" s="66"/>
      <c r="T74" s="66"/>
      <c r="U74" s="242"/>
      <c r="V74" s="298" t="s">
        <v>1336</v>
      </c>
      <c r="W74" s="299" t="s">
        <v>764</v>
      </c>
      <c r="X74" s="229">
        <v>3</v>
      </c>
      <c r="Y74" s="229"/>
      <c r="Z74" s="238"/>
      <c r="AA74" s="230"/>
      <c r="AB74" s="229"/>
      <c r="AC74" s="229"/>
      <c r="AD74" s="230"/>
      <c r="AE74" s="229"/>
      <c r="AF74" s="229"/>
      <c r="AG74" s="229"/>
      <c r="AH74" s="229"/>
      <c r="AI74" s="231"/>
      <c r="AK74" s="288"/>
      <c r="AL74" s="288"/>
      <c r="AM74" s="288"/>
      <c r="AN74" s="288"/>
      <c r="AO74" s="288"/>
      <c r="AP74" s="288"/>
      <c r="AQ74" s="288"/>
      <c r="AR74" s="288"/>
      <c r="AS74" s="288"/>
      <c r="AT74" s="288"/>
      <c r="AU74" s="288"/>
      <c r="AV74" s="288"/>
      <c r="AW74" s="22"/>
      <c r="AX74" s="22"/>
      <c r="AY74" s="22"/>
      <c r="AZ74" s="28"/>
      <c r="BA74" s="4"/>
      <c r="BB74" s="26"/>
    </row>
    <row r="75" spans="1:54" s="213" customFormat="1" x14ac:dyDescent="0.25">
      <c r="A75" s="214"/>
      <c r="B75" s="215" t="s">
        <v>1369</v>
      </c>
      <c r="C75" s="212" t="s">
        <v>741</v>
      </c>
      <c r="D75" s="237"/>
      <c r="E75" s="229"/>
      <c r="F75" s="238"/>
      <c r="G75" s="230"/>
      <c r="H75" s="229"/>
      <c r="I75" s="229"/>
      <c r="J75" s="230"/>
      <c r="K75" s="229"/>
      <c r="L75" s="229"/>
      <c r="M75" s="229"/>
      <c r="N75" s="229"/>
      <c r="O75" s="231"/>
      <c r="P75" s="232"/>
      <c r="Q75" s="66"/>
      <c r="R75" s="66"/>
      <c r="S75" s="66"/>
      <c r="T75" s="66"/>
      <c r="U75" s="242"/>
      <c r="V75" s="298" t="s">
        <v>1369</v>
      </c>
      <c r="W75" s="299" t="s">
        <v>741</v>
      </c>
      <c r="X75" s="229">
        <v>0</v>
      </c>
      <c r="Y75" s="229"/>
      <c r="Z75" s="238"/>
      <c r="AA75" s="230"/>
      <c r="AB75" s="229"/>
      <c r="AC75" s="229"/>
      <c r="AD75" s="230"/>
      <c r="AE75" s="229"/>
      <c r="AF75" s="229"/>
      <c r="AG75" s="229"/>
      <c r="AH75" s="229"/>
      <c r="AI75" s="231"/>
      <c r="AK75" s="288"/>
      <c r="AL75" s="288"/>
      <c r="AM75" s="288"/>
      <c r="AN75" s="288"/>
      <c r="AO75" s="288"/>
      <c r="AP75" s="288"/>
      <c r="AQ75" s="288"/>
      <c r="AR75" s="288"/>
      <c r="AS75" s="288"/>
      <c r="AT75" s="288"/>
      <c r="AU75" s="288"/>
      <c r="AV75" s="288"/>
      <c r="AW75" s="22"/>
      <c r="AX75" s="22"/>
      <c r="AY75" s="22"/>
      <c r="AZ75" s="28"/>
      <c r="BA75" s="4"/>
      <c r="BB75" s="26"/>
    </row>
    <row r="76" spans="1:54" s="213" customFormat="1" x14ac:dyDescent="0.25">
      <c r="A76" s="214"/>
      <c r="B76" s="215" t="s">
        <v>761</v>
      </c>
      <c r="C76" s="212" t="s">
        <v>765</v>
      </c>
      <c r="D76" s="237"/>
      <c r="E76" s="229"/>
      <c r="F76" s="238"/>
      <c r="G76" s="230"/>
      <c r="H76" s="229"/>
      <c r="I76" s="229"/>
      <c r="J76" s="230"/>
      <c r="K76" s="229"/>
      <c r="L76" s="229"/>
      <c r="M76" s="229"/>
      <c r="N76" s="229"/>
      <c r="O76" s="231"/>
      <c r="P76" s="232"/>
      <c r="Q76" s="66"/>
      <c r="R76" s="66"/>
      <c r="S76" s="66"/>
      <c r="T76" s="66"/>
      <c r="U76" s="242"/>
      <c r="V76" s="298" t="s">
        <v>761</v>
      </c>
      <c r="W76" s="299" t="s">
        <v>765</v>
      </c>
      <c r="X76" s="229">
        <v>0</v>
      </c>
      <c r="Y76" s="229"/>
      <c r="Z76" s="238"/>
      <c r="AA76" s="230"/>
      <c r="AB76" s="229"/>
      <c r="AC76" s="229"/>
      <c r="AD76" s="230"/>
      <c r="AE76" s="229"/>
      <c r="AF76" s="229"/>
      <c r="AG76" s="229"/>
      <c r="AH76" s="229"/>
      <c r="AI76" s="231"/>
      <c r="AK76" s="288"/>
      <c r="AL76" s="288"/>
      <c r="AM76" s="288"/>
      <c r="AN76" s="288"/>
      <c r="AO76" s="288"/>
      <c r="AP76" s="288"/>
      <c r="AQ76" s="288"/>
      <c r="AR76" s="288"/>
      <c r="AS76" s="288"/>
      <c r="AT76" s="288"/>
      <c r="AU76" s="288"/>
      <c r="AV76" s="288"/>
      <c r="AW76" s="22"/>
      <c r="AX76" s="22"/>
      <c r="AY76" s="22"/>
      <c r="AZ76" s="28"/>
      <c r="BA76" s="4"/>
      <c r="BB76" s="26"/>
    </row>
    <row r="77" spans="1:54" s="213" customFormat="1" x14ac:dyDescent="0.25">
      <c r="A77" s="214"/>
      <c r="B77" s="215" t="s">
        <v>1222</v>
      </c>
      <c r="C77" s="212" t="s">
        <v>766</v>
      </c>
      <c r="D77" s="237"/>
      <c r="E77" s="229"/>
      <c r="F77" s="238"/>
      <c r="G77" s="230"/>
      <c r="H77" s="229"/>
      <c r="I77" s="229"/>
      <c r="J77" s="230"/>
      <c r="K77" s="229"/>
      <c r="L77" s="229"/>
      <c r="M77" s="229"/>
      <c r="N77" s="229"/>
      <c r="O77" s="231"/>
      <c r="P77" s="232"/>
      <c r="Q77" s="66"/>
      <c r="R77" s="66"/>
      <c r="S77" s="66"/>
      <c r="T77" s="66"/>
      <c r="U77" s="242"/>
      <c r="V77" s="298" t="s">
        <v>1222</v>
      </c>
      <c r="W77" s="299" t="s">
        <v>766</v>
      </c>
      <c r="X77" s="229">
        <v>0</v>
      </c>
      <c r="Y77" s="229"/>
      <c r="Z77" s="238"/>
      <c r="AA77" s="230"/>
      <c r="AB77" s="229"/>
      <c r="AC77" s="229"/>
      <c r="AD77" s="230"/>
      <c r="AE77" s="229"/>
      <c r="AF77" s="229"/>
      <c r="AG77" s="229"/>
      <c r="AH77" s="229"/>
      <c r="AI77" s="231"/>
      <c r="AK77" s="288"/>
      <c r="AL77" s="288"/>
      <c r="AM77" s="288"/>
      <c r="AN77" s="288"/>
      <c r="AO77" s="288"/>
      <c r="AP77" s="288"/>
      <c r="AQ77" s="288"/>
      <c r="AR77" s="288"/>
      <c r="AS77" s="288"/>
      <c r="AT77" s="288"/>
      <c r="AU77" s="288"/>
      <c r="AV77" s="288"/>
      <c r="AW77" s="22"/>
      <c r="AX77" s="22"/>
      <c r="AY77" s="22"/>
      <c r="AZ77" s="28"/>
      <c r="BA77" s="4"/>
      <c r="BB77" s="26"/>
    </row>
    <row r="78" spans="1:54" s="213" customFormat="1" x14ac:dyDescent="0.25">
      <c r="A78" s="214"/>
      <c r="B78" s="215" t="s">
        <v>266</v>
      </c>
      <c r="C78" s="212" t="s">
        <v>769</v>
      </c>
      <c r="D78" s="237"/>
      <c r="E78" s="229"/>
      <c r="F78" s="238"/>
      <c r="G78" s="230"/>
      <c r="H78" s="229"/>
      <c r="I78" s="229"/>
      <c r="J78" s="230"/>
      <c r="K78" s="229"/>
      <c r="L78" s="229"/>
      <c r="M78" s="229"/>
      <c r="N78" s="229"/>
      <c r="O78" s="231"/>
      <c r="P78" s="232"/>
      <c r="Q78" s="66"/>
      <c r="R78" s="66"/>
      <c r="S78" s="66"/>
      <c r="T78" s="66"/>
      <c r="U78" s="242"/>
      <c r="V78" s="298" t="s">
        <v>266</v>
      </c>
      <c r="W78" s="299" t="s">
        <v>769</v>
      </c>
      <c r="X78" s="229">
        <v>0</v>
      </c>
      <c r="Y78" s="229"/>
      <c r="Z78" s="238"/>
      <c r="AA78" s="230"/>
      <c r="AB78" s="229"/>
      <c r="AC78" s="229"/>
      <c r="AD78" s="230"/>
      <c r="AE78" s="229"/>
      <c r="AF78" s="229"/>
      <c r="AG78" s="229"/>
      <c r="AH78" s="229"/>
      <c r="AI78" s="231"/>
      <c r="AK78" s="288"/>
      <c r="AL78" s="288"/>
      <c r="AM78" s="288"/>
      <c r="AN78" s="288"/>
      <c r="AO78" s="288"/>
      <c r="AP78" s="288"/>
      <c r="AQ78" s="288"/>
      <c r="AR78" s="288"/>
      <c r="AS78" s="288"/>
      <c r="AT78" s="288"/>
      <c r="AU78" s="288"/>
      <c r="AV78" s="288"/>
      <c r="AW78" s="22"/>
      <c r="AX78" s="22"/>
      <c r="AY78" s="22"/>
      <c r="AZ78" s="28"/>
      <c r="BA78" s="4"/>
      <c r="BB78" s="26"/>
    </row>
    <row r="79" spans="1:54" s="213" customFormat="1" x14ac:dyDescent="0.25">
      <c r="A79" s="214"/>
      <c r="B79" s="215" t="s">
        <v>268</v>
      </c>
      <c r="C79" s="212" t="s">
        <v>770</v>
      </c>
      <c r="D79" s="237"/>
      <c r="E79" s="229"/>
      <c r="F79" s="238"/>
      <c r="G79" s="230"/>
      <c r="H79" s="229"/>
      <c r="I79" s="229"/>
      <c r="J79" s="230"/>
      <c r="K79" s="229"/>
      <c r="L79" s="229"/>
      <c r="M79" s="229"/>
      <c r="N79" s="229"/>
      <c r="O79" s="231"/>
      <c r="P79" s="232"/>
      <c r="Q79" s="66"/>
      <c r="R79" s="66"/>
      <c r="S79" s="66"/>
      <c r="T79" s="66"/>
      <c r="U79" s="242"/>
      <c r="V79" s="298" t="s">
        <v>268</v>
      </c>
      <c r="W79" s="299" t="s">
        <v>770</v>
      </c>
      <c r="X79" s="229">
        <v>0</v>
      </c>
      <c r="Y79" s="229"/>
      <c r="Z79" s="238"/>
      <c r="AA79" s="230"/>
      <c r="AB79" s="229"/>
      <c r="AC79" s="229"/>
      <c r="AD79" s="230"/>
      <c r="AE79" s="229"/>
      <c r="AF79" s="229"/>
      <c r="AG79" s="229"/>
      <c r="AH79" s="229"/>
      <c r="AI79" s="231"/>
      <c r="AK79" s="288"/>
      <c r="AL79" s="288"/>
      <c r="AM79" s="288"/>
      <c r="AN79" s="288"/>
      <c r="AO79" s="288"/>
      <c r="AP79" s="288"/>
      <c r="AQ79" s="288"/>
      <c r="AR79" s="288"/>
      <c r="AS79" s="288"/>
      <c r="AT79" s="288"/>
      <c r="AU79" s="288"/>
      <c r="AV79" s="288"/>
      <c r="AW79" s="22"/>
      <c r="AX79" s="22"/>
      <c r="AY79" s="22"/>
      <c r="AZ79" s="28"/>
      <c r="BA79" s="4"/>
      <c r="BB79" s="26"/>
    </row>
    <row r="80" spans="1:54" s="213" customFormat="1" x14ac:dyDescent="0.25">
      <c r="A80" s="214"/>
      <c r="B80" s="215" t="s">
        <v>628</v>
      </c>
      <c r="C80" s="212" t="s">
        <v>129</v>
      </c>
      <c r="D80" s="237"/>
      <c r="E80" s="229"/>
      <c r="F80" s="238"/>
      <c r="G80" s="230"/>
      <c r="H80" s="229"/>
      <c r="I80" s="229"/>
      <c r="J80" s="230"/>
      <c r="K80" s="229"/>
      <c r="L80" s="229"/>
      <c r="M80" s="229"/>
      <c r="N80" s="229"/>
      <c r="O80" s="231"/>
      <c r="P80" s="232"/>
      <c r="Q80" s="66"/>
      <c r="R80" s="66"/>
      <c r="S80" s="66"/>
      <c r="T80" s="66"/>
      <c r="U80" s="242"/>
      <c r="V80" s="298" t="s">
        <v>628</v>
      </c>
      <c r="W80" s="299" t="s">
        <v>129</v>
      </c>
      <c r="X80" s="229">
        <v>2</v>
      </c>
      <c r="Y80" s="229"/>
      <c r="Z80" s="238"/>
      <c r="AA80" s="230"/>
      <c r="AB80" s="229"/>
      <c r="AC80" s="229"/>
      <c r="AD80" s="230"/>
      <c r="AE80" s="229"/>
      <c r="AF80" s="229"/>
      <c r="AG80" s="229"/>
      <c r="AH80" s="229"/>
      <c r="AI80" s="231"/>
      <c r="AK80" s="288"/>
      <c r="AL80" s="288"/>
      <c r="AM80" s="288"/>
      <c r="AN80" s="288"/>
      <c r="AO80" s="288"/>
      <c r="AP80" s="288"/>
      <c r="AQ80" s="288"/>
      <c r="AR80" s="288"/>
      <c r="AS80" s="288"/>
      <c r="AT80" s="288"/>
      <c r="AU80" s="288"/>
      <c r="AV80" s="288"/>
      <c r="AW80" s="22"/>
      <c r="AX80" s="22"/>
      <c r="AY80" s="22"/>
      <c r="AZ80" s="28"/>
      <c r="BA80" s="4"/>
      <c r="BB80" s="26"/>
    </row>
    <row r="81" spans="1:54" s="213" customFormat="1" x14ac:dyDescent="0.25">
      <c r="A81" s="214"/>
      <c r="B81" s="215" t="s">
        <v>57</v>
      </c>
      <c r="C81" s="212" t="s">
        <v>130</v>
      </c>
      <c r="D81" s="237"/>
      <c r="E81" s="229"/>
      <c r="F81" s="238"/>
      <c r="G81" s="230"/>
      <c r="H81" s="229"/>
      <c r="I81" s="229"/>
      <c r="J81" s="230"/>
      <c r="K81" s="229"/>
      <c r="L81" s="229"/>
      <c r="M81" s="229"/>
      <c r="N81" s="229"/>
      <c r="O81" s="231"/>
      <c r="P81" s="232"/>
      <c r="Q81" s="66"/>
      <c r="R81" s="66"/>
      <c r="S81" s="66"/>
      <c r="T81" s="66"/>
      <c r="U81" s="242"/>
      <c r="V81" s="298" t="s">
        <v>57</v>
      </c>
      <c r="W81" s="299" t="s">
        <v>130</v>
      </c>
      <c r="X81" s="229">
        <v>6</v>
      </c>
      <c r="Y81" s="229"/>
      <c r="Z81" s="238"/>
      <c r="AA81" s="230"/>
      <c r="AB81" s="229"/>
      <c r="AC81" s="229"/>
      <c r="AD81" s="230"/>
      <c r="AE81" s="229"/>
      <c r="AF81" s="229"/>
      <c r="AG81" s="229"/>
      <c r="AH81" s="229"/>
      <c r="AI81" s="231"/>
      <c r="AK81" s="288"/>
      <c r="AL81" s="288"/>
      <c r="AM81" s="288"/>
      <c r="AN81" s="288"/>
      <c r="AO81" s="288"/>
      <c r="AP81" s="288"/>
      <c r="AQ81" s="288"/>
      <c r="AR81" s="288"/>
      <c r="AS81" s="288"/>
      <c r="AT81" s="288"/>
      <c r="AU81" s="288"/>
      <c r="AV81" s="288"/>
      <c r="AW81" s="22"/>
      <c r="AX81" s="22"/>
      <c r="AY81" s="22"/>
      <c r="AZ81" s="28"/>
      <c r="BA81" s="4"/>
      <c r="BB81" s="26"/>
    </row>
    <row r="82" spans="1:54" s="213" customFormat="1" x14ac:dyDescent="0.25">
      <c r="A82" s="214"/>
      <c r="B82" s="215" t="s">
        <v>1108</v>
      </c>
      <c r="C82" s="212" t="s">
        <v>131</v>
      </c>
      <c r="D82" s="237"/>
      <c r="E82" s="229"/>
      <c r="F82" s="238"/>
      <c r="G82" s="230"/>
      <c r="H82" s="229"/>
      <c r="I82" s="229"/>
      <c r="J82" s="230"/>
      <c r="K82" s="229"/>
      <c r="L82" s="229"/>
      <c r="M82" s="229"/>
      <c r="N82" s="229"/>
      <c r="O82" s="231"/>
      <c r="P82" s="232"/>
      <c r="Q82" s="66"/>
      <c r="R82" s="66"/>
      <c r="S82" s="66"/>
      <c r="T82" s="66"/>
      <c r="U82" s="242"/>
      <c r="V82" s="298" t="s">
        <v>1108</v>
      </c>
      <c r="W82" s="299" t="s">
        <v>131</v>
      </c>
      <c r="X82" s="229">
        <v>0</v>
      </c>
      <c r="Y82" s="229"/>
      <c r="Z82" s="238"/>
      <c r="AA82" s="230"/>
      <c r="AB82" s="229"/>
      <c r="AC82" s="229"/>
      <c r="AD82" s="230"/>
      <c r="AE82" s="229"/>
      <c r="AF82" s="229"/>
      <c r="AG82" s="229"/>
      <c r="AH82" s="229"/>
      <c r="AI82" s="231"/>
      <c r="AK82" s="288"/>
      <c r="AL82" s="288"/>
      <c r="AM82" s="288"/>
      <c r="AN82" s="288"/>
      <c r="AO82" s="288"/>
      <c r="AP82" s="288"/>
      <c r="AQ82" s="288"/>
      <c r="AR82" s="288"/>
      <c r="AS82" s="288"/>
      <c r="AT82" s="288"/>
      <c r="AU82" s="288"/>
      <c r="AV82" s="288"/>
      <c r="AW82" s="22"/>
      <c r="AX82" s="22"/>
      <c r="AY82" s="22"/>
      <c r="AZ82" s="28"/>
      <c r="BA82" s="4"/>
      <c r="BB82" s="26"/>
    </row>
    <row r="83" spans="1:54" s="213" customFormat="1" x14ac:dyDescent="0.25">
      <c r="A83" s="214"/>
      <c r="B83" s="215" t="s">
        <v>1036</v>
      </c>
      <c r="C83" s="212" t="s">
        <v>424</v>
      </c>
      <c r="D83" s="237"/>
      <c r="E83" s="229"/>
      <c r="F83" s="238"/>
      <c r="G83" s="230"/>
      <c r="H83" s="229"/>
      <c r="I83" s="229"/>
      <c r="J83" s="230"/>
      <c r="K83" s="229"/>
      <c r="L83" s="229"/>
      <c r="M83" s="229"/>
      <c r="N83" s="229"/>
      <c r="O83" s="231"/>
      <c r="P83" s="232"/>
      <c r="Q83" s="66"/>
      <c r="R83" s="66"/>
      <c r="S83" s="66"/>
      <c r="T83" s="66"/>
      <c r="U83" s="242"/>
      <c r="V83" s="298" t="s">
        <v>1036</v>
      </c>
      <c r="W83" s="299" t="s">
        <v>424</v>
      </c>
      <c r="X83" s="229">
        <v>1</v>
      </c>
      <c r="Y83" s="229"/>
      <c r="Z83" s="238"/>
      <c r="AA83" s="230"/>
      <c r="AB83" s="229"/>
      <c r="AC83" s="229"/>
      <c r="AD83" s="230"/>
      <c r="AE83" s="229"/>
      <c r="AF83" s="229"/>
      <c r="AG83" s="229"/>
      <c r="AH83" s="229"/>
      <c r="AI83" s="231"/>
      <c r="AK83" s="288"/>
      <c r="AL83" s="288"/>
      <c r="AM83" s="288"/>
      <c r="AN83" s="288"/>
      <c r="AO83" s="288"/>
      <c r="AP83" s="288"/>
      <c r="AQ83" s="288"/>
      <c r="AR83" s="288"/>
      <c r="AS83" s="288"/>
      <c r="AT83" s="288"/>
      <c r="AU83" s="288"/>
      <c r="AV83" s="288"/>
      <c r="AW83" s="22"/>
      <c r="AX83" s="22"/>
      <c r="AY83" s="22"/>
      <c r="AZ83" s="28"/>
      <c r="BA83" s="4"/>
      <c r="BB83" s="26"/>
    </row>
    <row r="84" spans="1:54" s="213" customFormat="1" x14ac:dyDescent="0.25">
      <c r="A84" s="214"/>
      <c r="B84" s="215" t="s">
        <v>1270</v>
      </c>
      <c r="C84" s="212" t="s">
        <v>425</v>
      </c>
      <c r="D84" s="237"/>
      <c r="E84" s="229"/>
      <c r="F84" s="238"/>
      <c r="G84" s="230"/>
      <c r="H84" s="229"/>
      <c r="I84" s="229"/>
      <c r="J84" s="230"/>
      <c r="K84" s="229"/>
      <c r="L84" s="229"/>
      <c r="M84" s="229"/>
      <c r="N84" s="229"/>
      <c r="O84" s="231"/>
      <c r="P84" s="232"/>
      <c r="Q84" s="66"/>
      <c r="R84" s="66"/>
      <c r="S84" s="66"/>
      <c r="T84" s="66"/>
      <c r="U84" s="242"/>
      <c r="V84" s="298" t="s">
        <v>1270</v>
      </c>
      <c r="W84" s="299" t="s">
        <v>425</v>
      </c>
      <c r="X84" s="229">
        <v>0</v>
      </c>
      <c r="Y84" s="229"/>
      <c r="Z84" s="238"/>
      <c r="AA84" s="230"/>
      <c r="AB84" s="229"/>
      <c r="AC84" s="229"/>
      <c r="AD84" s="230"/>
      <c r="AE84" s="229"/>
      <c r="AF84" s="229"/>
      <c r="AG84" s="229"/>
      <c r="AH84" s="229"/>
      <c r="AI84" s="231"/>
      <c r="AK84" s="288"/>
      <c r="AL84" s="288"/>
      <c r="AM84" s="288"/>
      <c r="AN84" s="288"/>
      <c r="AO84" s="288"/>
      <c r="AP84" s="288"/>
      <c r="AQ84" s="288"/>
      <c r="AR84" s="288"/>
      <c r="AS84" s="288"/>
      <c r="AT84" s="288"/>
      <c r="AU84" s="288"/>
      <c r="AV84" s="288"/>
      <c r="AW84" s="22"/>
      <c r="AX84" s="22"/>
      <c r="AY84" s="22"/>
      <c r="AZ84" s="28"/>
      <c r="BA84" s="4"/>
      <c r="BB84" s="26"/>
    </row>
    <row r="85" spans="1:54" s="213" customFormat="1" x14ac:dyDescent="0.25">
      <c r="A85" s="214"/>
      <c r="B85" s="215" t="s">
        <v>1111</v>
      </c>
      <c r="C85" s="212" t="s">
        <v>426</v>
      </c>
      <c r="D85" s="237"/>
      <c r="E85" s="229"/>
      <c r="F85" s="238"/>
      <c r="G85" s="230"/>
      <c r="H85" s="229"/>
      <c r="I85" s="229"/>
      <c r="J85" s="230"/>
      <c r="K85" s="229"/>
      <c r="L85" s="229"/>
      <c r="M85" s="229"/>
      <c r="N85" s="229"/>
      <c r="O85" s="231"/>
      <c r="P85" s="232"/>
      <c r="Q85" s="66"/>
      <c r="R85" s="66"/>
      <c r="S85" s="66"/>
      <c r="T85" s="66"/>
      <c r="U85" s="242"/>
      <c r="V85" s="298" t="s">
        <v>1111</v>
      </c>
      <c r="W85" s="299" t="s">
        <v>426</v>
      </c>
      <c r="X85" s="229">
        <v>0</v>
      </c>
      <c r="Y85" s="229"/>
      <c r="Z85" s="238"/>
      <c r="AA85" s="230"/>
      <c r="AB85" s="229"/>
      <c r="AC85" s="229"/>
      <c r="AD85" s="230"/>
      <c r="AE85" s="229"/>
      <c r="AF85" s="229"/>
      <c r="AG85" s="229"/>
      <c r="AH85" s="229"/>
      <c r="AI85" s="231"/>
      <c r="AK85" s="288"/>
      <c r="AL85" s="288"/>
      <c r="AM85" s="288"/>
      <c r="AN85" s="288"/>
      <c r="AO85" s="288"/>
      <c r="AP85" s="288"/>
      <c r="AQ85" s="288"/>
      <c r="AR85" s="288"/>
      <c r="AS85" s="288"/>
      <c r="AT85" s="288"/>
      <c r="AU85" s="288"/>
      <c r="AV85" s="288"/>
      <c r="AW85" s="22"/>
      <c r="AX85" s="22"/>
      <c r="AY85" s="22"/>
      <c r="AZ85" s="28"/>
      <c r="BA85" s="4"/>
      <c r="BB85" s="26"/>
    </row>
    <row r="86" spans="1:54" s="213" customFormat="1" x14ac:dyDescent="0.25">
      <c r="A86" s="214"/>
      <c r="B86" s="215" t="s">
        <v>1223</v>
      </c>
      <c r="C86" s="212" t="s">
        <v>767</v>
      </c>
      <c r="D86" s="237"/>
      <c r="E86" s="229"/>
      <c r="F86" s="238"/>
      <c r="G86" s="230"/>
      <c r="H86" s="229"/>
      <c r="I86" s="229"/>
      <c r="J86" s="230"/>
      <c r="K86" s="229"/>
      <c r="L86" s="229"/>
      <c r="M86" s="229"/>
      <c r="N86" s="229"/>
      <c r="O86" s="231"/>
      <c r="P86" s="232"/>
      <c r="Q86" s="66"/>
      <c r="R86" s="66"/>
      <c r="S86" s="66"/>
      <c r="T86" s="66"/>
      <c r="U86" s="242"/>
      <c r="V86" s="298" t="s">
        <v>1223</v>
      </c>
      <c r="W86" s="299" t="s">
        <v>767</v>
      </c>
      <c r="X86" s="229">
        <v>0</v>
      </c>
      <c r="Y86" s="229"/>
      <c r="Z86" s="238"/>
      <c r="AA86" s="230"/>
      <c r="AB86" s="229"/>
      <c r="AC86" s="229"/>
      <c r="AD86" s="230"/>
      <c r="AE86" s="229"/>
      <c r="AF86" s="229"/>
      <c r="AG86" s="229"/>
      <c r="AH86" s="229"/>
      <c r="AI86" s="231"/>
      <c r="AK86" s="288"/>
      <c r="AL86" s="288"/>
      <c r="AM86" s="288"/>
      <c r="AN86" s="288"/>
      <c r="AO86" s="288"/>
      <c r="AP86" s="288"/>
      <c r="AQ86" s="288"/>
      <c r="AR86" s="288"/>
      <c r="AS86" s="288"/>
      <c r="AT86" s="288"/>
      <c r="AU86" s="288"/>
      <c r="AV86" s="288"/>
      <c r="AW86" s="22"/>
      <c r="AX86" s="22"/>
      <c r="AY86" s="22"/>
      <c r="AZ86" s="28"/>
      <c r="BA86" s="4"/>
      <c r="BB86" s="26"/>
    </row>
    <row r="87" spans="1:54" s="213" customFormat="1" x14ac:dyDescent="0.25">
      <c r="A87" s="214"/>
      <c r="B87" s="215" t="s">
        <v>1327</v>
      </c>
      <c r="C87" s="212" t="s">
        <v>427</v>
      </c>
      <c r="D87" s="237"/>
      <c r="E87" s="229"/>
      <c r="F87" s="238"/>
      <c r="G87" s="230"/>
      <c r="H87" s="229"/>
      <c r="I87" s="229"/>
      <c r="J87" s="230"/>
      <c r="K87" s="229"/>
      <c r="L87" s="229"/>
      <c r="M87" s="229"/>
      <c r="N87" s="229"/>
      <c r="O87" s="231"/>
      <c r="P87" s="232"/>
      <c r="Q87" s="66"/>
      <c r="R87" s="66"/>
      <c r="S87" s="66"/>
      <c r="T87" s="66"/>
      <c r="U87" s="242"/>
      <c r="V87" s="298" t="s">
        <v>1327</v>
      </c>
      <c r="W87" s="299" t="s">
        <v>427</v>
      </c>
      <c r="X87" s="229">
        <v>0</v>
      </c>
      <c r="Y87" s="229"/>
      <c r="Z87" s="238"/>
      <c r="AA87" s="230"/>
      <c r="AB87" s="229"/>
      <c r="AC87" s="229"/>
      <c r="AD87" s="230"/>
      <c r="AE87" s="229"/>
      <c r="AF87" s="229"/>
      <c r="AG87" s="229"/>
      <c r="AH87" s="229"/>
      <c r="AI87" s="231"/>
      <c r="AK87" s="288"/>
      <c r="AL87" s="288"/>
      <c r="AM87" s="288"/>
      <c r="AN87" s="288"/>
      <c r="AO87" s="288"/>
      <c r="AP87" s="288"/>
      <c r="AQ87" s="288"/>
      <c r="AR87" s="288"/>
      <c r="AS87" s="288"/>
      <c r="AT87" s="288"/>
      <c r="AU87" s="288"/>
      <c r="AV87" s="288"/>
      <c r="AW87" s="22"/>
      <c r="AX87" s="22"/>
      <c r="AY87" s="22"/>
      <c r="AZ87" s="28"/>
      <c r="BA87" s="4"/>
      <c r="BB87" s="26"/>
    </row>
    <row r="88" spans="1:54" s="213" customFormat="1" x14ac:dyDescent="0.25">
      <c r="A88" s="214"/>
      <c r="B88" s="215" t="s">
        <v>1107</v>
      </c>
      <c r="C88" s="212" t="s">
        <v>659</v>
      </c>
      <c r="D88" s="237"/>
      <c r="E88" s="229"/>
      <c r="F88" s="238"/>
      <c r="G88" s="230"/>
      <c r="H88" s="229"/>
      <c r="I88" s="229"/>
      <c r="J88" s="230"/>
      <c r="K88" s="229"/>
      <c r="L88" s="229"/>
      <c r="M88" s="229"/>
      <c r="N88" s="229"/>
      <c r="O88" s="231"/>
      <c r="P88" s="232"/>
      <c r="Q88" s="66"/>
      <c r="R88" s="66"/>
      <c r="S88" s="66"/>
      <c r="T88" s="66"/>
      <c r="U88" s="242"/>
      <c r="V88" s="298" t="s">
        <v>1107</v>
      </c>
      <c r="W88" s="299" t="s">
        <v>659</v>
      </c>
      <c r="X88" s="229">
        <v>5374</v>
      </c>
      <c r="Y88" s="229"/>
      <c r="Z88" s="238"/>
      <c r="AA88" s="230"/>
      <c r="AB88" s="229"/>
      <c r="AC88" s="229"/>
      <c r="AD88" s="230"/>
      <c r="AE88" s="229"/>
      <c r="AF88" s="229"/>
      <c r="AG88" s="229"/>
      <c r="AH88" s="229"/>
      <c r="AI88" s="231"/>
      <c r="AK88" s="288"/>
      <c r="AL88" s="288"/>
      <c r="AM88" s="288"/>
      <c r="AN88" s="288"/>
      <c r="AO88" s="288"/>
      <c r="AP88" s="288"/>
      <c r="AQ88" s="288"/>
      <c r="AR88" s="288"/>
      <c r="AS88" s="288"/>
      <c r="AT88" s="288"/>
      <c r="AU88" s="288"/>
      <c r="AV88" s="288"/>
      <c r="AW88" s="22"/>
      <c r="AX88" s="22"/>
      <c r="AY88" s="22"/>
      <c r="AZ88" s="28"/>
      <c r="BA88" s="4"/>
      <c r="BB88" s="26"/>
    </row>
    <row r="89" spans="1:54" s="213" customFormat="1" x14ac:dyDescent="0.25">
      <c r="A89" s="214"/>
      <c r="B89" s="215" t="s">
        <v>49</v>
      </c>
      <c r="C89" s="212" t="s">
        <v>735</v>
      </c>
      <c r="D89" s="237"/>
      <c r="E89" s="229"/>
      <c r="F89" s="238"/>
      <c r="G89" s="230"/>
      <c r="H89" s="229"/>
      <c r="I89" s="229"/>
      <c r="J89" s="230"/>
      <c r="K89" s="229"/>
      <c r="L89" s="229"/>
      <c r="M89" s="229"/>
      <c r="N89" s="229"/>
      <c r="O89" s="231"/>
      <c r="P89" s="232"/>
      <c r="Q89" s="66"/>
      <c r="R89" s="66"/>
      <c r="S89" s="66"/>
      <c r="T89" s="66"/>
      <c r="U89" s="242"/>
      <c r="V89" s="298" t="s">
        <v>49</v>
      </c>
      <c r="W89" s="299" t="s">
        <v>735</v>
      </c>
      <c r="X89" s="229">
        <v>0</v>
      </c>
      <c r="Y89" s="229"/>
      <c r="Z89" s="238"/>
      <c r="AA89" s="230"/>
      <c r="AB89" s="229"/>
      <c r="AC89" s="229"/>
      <c r="AD89" s="230"/>
      <c r="AE89" s="229"/>
      <c r="AF89" s="229"/>
      <c r="AG89" s="229"/>
      <c r="AH89" s="229"/>
      <c r="AI89" s="231"/>
      <c r="AK89" s="288"/>
      <c r="AL89" s="288"/>
      <c r="AM89" s="288"/>
      <c r="AN89" s="288"/>
      <c r="AO89" s="288"/>
      <c r="AP89" s="288"/>
      <c r="AQ89" s="288"/>
      <c r="AR89" s="288"/>
      <c r="AS89" s="288"/>
      <c r="AT89" s="288"/>
      <c r="AU89" s="288"/>
      <c r="AV89" s="288"/>
      <c r="AW89" s="22"/>
      <c r="AX89" s="22"/>
      <c r="AY89" s="22"/>
      <c r="AZ89" s="28"/>
      <c r="BA89" s="4"/>
      <c r="BB89" s="26"/>
    </row>
    <row r="90" spans="1:54" s="213" customFormat="1" x14ac:dyDescent="0.25">
      <c r="A90" s="214"/>
      <c r="B90" s="215" t="s">
        <v>931</v>
      </c>
      <c r="C90" s="212" t="s">
        <v>930</v>
      </c>
      <c r="D90" s="237"/>
      <c r="E90" s="229"/>
      <c r="F90" s="238"/>
      <c r="G90" s="230"/>
      <c r="H90" s="229"/>
      <c r="I90" s="229"/>
      <c r="J90" s="230"/>
      <c r="K90" s="229"/>
      <c r="L90" s="229"/>
      <c r="M90" s="229"/>
      <c r="N90" s="229"/>
      <c r="O90" s="231"/>
      <c r="P90" s="232"/>
      <c r="Q90" s="66"/>
      <c r="R90" s="66"/>
      <c r="S90" s="66"/>
      <c r="T90" s="66"/>
      <c r="U90" s="242"/>
      <c r="V90" s="298" t="s">
        <v>931</v>
      </c>
      <c r="W90" s="299" t="s">
        <v>930</v>
      </c>
      <c r="X90" s="229">
        <v>0</v>
      </c>
      <c r="Y90" s="229"/>
      <c r="Z90" s="238"/>
      <c r="AA90" s="230"/>
      <c r="AB90" s="229"/>
      <c r="AC90" s="229"/>
      <c r="AD90" s="230"/>
      <c r="AE90" s="229"/>
      <c r="AF90" s="229"/>
      <c r="AG90" s="229"/>
      <c r="AH90" s="229"/>
      <c r="AI90" s="231"/>
      <c r="AK90" s="288"/>
      <c r="AL90" s="288"/>
      <c r="AM90" s="288"/>
      <c r="AN90" s="288"/>
      <c r="AO90" s="288"/>
      <c r="AP90" s="288"/>
      <c r="AQ90" s="288"/>
      <c r="AR90" s="288"/>
      <c r="AS90" s="288"/>
      <c r="AT90" s="288"/>
      <c r="AU90" s="288"/>
      <c r="AV90" s="288"/>
      <c r="AW90" s="22"/>
      <c r="AX90" s="22"/>
      <c r="AY90" s="22"/>
      <c r="AZ90" s="28"/>
      <c r="BA90" s="4"/>
      <c r="BB90" s="26"/>
    </row>
    <row r="91" spans="1:54" s="213" customFormat="1" x14ac:dyDescent="0.25">
      <c r="A91" s="214"/>
      <c r="B91" s="215" t="s">
        <v>54</v>
      </c>
      <c r="C91" s="212" t="s">
        <v>74</v>
      </c>
      <c r="D91" s="237"/>
      <c r="E91" s="229"/>
      <c r="F91" s="238"/>
      <c r="G91" s="230"/>
      <c r="H91" s="229"/>
      <c r="I91" s="229"/>
      <c r="J91" s="230"/>
      <c r="K91" s="229"/>
      <c r="L91" s="229"/>
      <c r="M91" s="229"/>
      <c r="N91" s="229"/>
      <c r="O91" s="231"/>
      <c r="P91" s="232"/>
      <c r="Q91" s="66"/>
      <c r="R91" s="66"/>
      <c r="S91" s="66"/>
      <c r="T91" s="66"/>
      <c r="U91" s="242"/>
      <c r="V91" s="298" t="s">
        <v>54</v>
      </c>
      <c r="W91" s="299" t="s">
        <v>74</v>
      </c>
      <c r="X91" s="229">
        <v>2891</v>
      </c>
      <c r="Y91" s="229"/>
      <c r="Z91" s="238"/>
      <c r="AA91" s="230"/>
      <c r="AB91" s="229"/>
      <c r="AC91" s="229"/>
      <c r="AD91" s="230"/>
      <c r="AE91" s="229"/>
      <c r="AF91" s="229"/>
      <c r="AG91" s="229"/>
      <c r="AH91" s="229"/>
      <c r="AI91" s="231"/>
      <c r="AK91" s="288"/>
      <c r="AL91" s="288"/>
      <c r="AM91" s="288"/>
      <c r="AN91" s="288"/>
      <c r="AO91" s="288"/>
      <c r="AP91" s="288"/>
      <c r="AQ91" s="288"/>
      <c r="AR91" s="288"/>
      <c r="AS91" s="288"/>
      <c r="AT91" s="288"/>
      <c r="AU91" s="288"/>
      <c r="AV91" s="288"/>
      <c r="AW91" s="22"/>
      <c r="AX91" s="22"/>
      <c r="AY91" s="22"/>
      <c r="AZ91" s="28"/>
      <c r="BA91" s="4"/>
      <c r="BB91" s="26"/>
    </row>
    <row r="92" spans="1:54" s="213" customFormat="1" x14ac:dyDescent="0.25">
      <c r="A92" s="214"/>
      <c r="B92" s="215" t="s">
        <v>44</v>
      </c>
      <c r="C92" s="212" t="s">
        <v>734</v>
      </c>
      <c r="D92" s="237"/>
      <c r="E92" s="229"/>
      <c r="F92" s="238"/>
      <c r="G92" s="230"/>
      <c r="H92" s="229"/>
      <c r="I92" s="229"/>
      <c r="J92" s="230"/>
      <c r="K92" s="229"/>
      <c r="L92" s="229"/>
      <c r="M92" s="229"/>
      <c r="N92" s="229"/>
      <c r="O92" s="231"/>
      <c r="P92" s="232"/>
      <c r="Q92" s="66"/>
      <c r="R92" s="66"/>
      <c r="S92" s="66"/>
      <c r="T92" s="66"/>
      <c r="U92" s="242"/>
      <c r="V92" s="298" t="s">
        <v>44</v>
      </c>
      <c r="W92" s="299" t="s">
        <v>734</v>
      </c>
      <c r="X92" s="229">
        <v>1</v>
      </c>
      <c r="Y92" s="229"/>
      <c r="Z92" s="238"/>
      <c r="AA92" s="230"/>
      <c r="AB92" s="229"/>
      <c r="AC92" s="229"/>
      <c r="AD92" s="230"/>
      <c r="AE92" s="229"/>
      <c r="AF92" s="229"/>
      <c r="AG92" s="229"/>
      <c r="AH92" s="229"/>
      <c r="AI92" s="231"/>
      <c r="AK92" s="288"/>
      <c r="AL92" s="288"/>
      <c r="AM92" s="288"/>
      <c r="AN92" s="288"/>
      <c r="AO92" s="288"/>
      <c r="AP92" s="288"/>
      <c r="AQ92" s="288"/>
      <c r="AR92" s="288"/>
      <c r="AS92" s="288"/>
      <c r="AT92" s="288"/>
      <c r="AU92" s="288"/>
      <c r="AV92" s="288"/>
      <c r="AW92" s="22"/>
      <c r="AX92" s="22"/>
      <c r="AY92" s="22"/>
      <c r="AZ92" s="28"/>
      <c r="BA92" s="4"/>
      <c r="BB92" s="26"/>
    </row>
    <row r="93" spans="1:54" s="213" customFormat="1" x14ac:dyDescent="0.25">
      <c r="A93" s="214"/>
      <c r="B93" s="215" t="s">
        <v>1235</v>
      </c>
      <c r="C93" s="212" t="s">
        <v>736</v>
      </c>
      <c r="D93" s="237"/>
      <c r="E93" s="229"/>
      <c r="F93" s="238"/>
      <c r="G93" s="230"/>
      <c r="H93" s="229"/>
      <c r="I93" s="229"/>
      <c r="J93" s="230"/>
      <c r="K93" s="229"/>
      <c r="L93" s="229"/>
      <c r="M93" s="229"/>
      <c r="N93" s="229"/>
      <c r="O93" s="231"/>
      <c r="P93" s="232"/>
      <c r="Q93" s="66"/>
      <c r="R93" s="66"/>
      <c r="S93" s="66"/>
      <c r="T93" s="66"/>
      <c r="U93" s="242"/>
      <c r="V93" s="298" t="s">
        <v>1235</v>
      </c>
      <c r="W93" s="299" t="s">
        <v>736</v>
      </c>
      <c r="X93" s="229">
        <v>1</v>
      </c>
      <c r="Y93" s="229"/>
      <c r="Z93" s="238"/>
      <c r="AA93" s="230"/>
      <c r="AB93" s="229"/>
      <c r="AC93" s="229"/>
      <c r="AD93" s="230"/>
      <c r="AE93" s="229"/>
      <c r="AF93" s="229"/>
      <c r="AG93" s="229"/>
      <c r="AH93" s="229"/>
      <c r="AI93" s="231"/>
      <c r="AK93" s="288"/>
      <c r="AL93" s="288"/>
      <c r="AM93" s="288"/>
      <c r="AN93" s="288"/>
      <c r="AO93" s="288"/>
      <c r="AP93" s="288"/>
      <c r="AQ93" s="288"/>
      <c r="AR93" s="288"/>
      <c r="AS93" s="288"/>
      <c r="AT93" s="288"/>
      <c r="AU93" s="288"/>
      <c r="AV93" s="288"/>
      <c r="AW93" s="22"/>
      <c r="AX93" s="22"/>
      <c r="AY93" s="22"/>
      <c r="AZ93" s="28"/>
      <c r="BA93" s="4"/>
      <c r="BB93" s="26"/>
    </row>
    <row r="94" spans="1:54" s="213" customFormat="1" x14ac:dyDescent="0.25">
      <c r="A94" s="214"/>
      <c r="B94" s="215" t="s">
        <v>52</v>
      </c>
      <c r="C94" s="212" t="s">
        <v>663</v>
      </c>
      <c r="D94" s="237"/>
      <c r="E94" s="229"/>
      <c r="F94" s="238"/>
      <c r="G94" s="230"/>
      <c r="H94" s="229"/>
      <c r="I94" s="229"/>
      <c r="J94" s="230"/>
      <c r="K94" s="229"/>
      <c r="L94" s="229"/>
      <c r="M94" s="229"/>
      <c r="N94" s="229"/>
      <c r="O94" s="231"/>
      <c r="P94" s="232"/>
      <c r="Q94" s="66"/>
      <c r="R94" s="66"/>
      <c r="S94" s="66"/>
      <c r="T94" s="66"/>
      <c r="U94" s="242"/>
      <c r="V94" s="298" t="s">
        <v>52</v>
      </c>
      <c r="W94" s="299" t="s">
        <v>663</v>
      </c>
      <c r="X94" s="229">
        <v>8105</v>
      </c>
      <c r="Y94" s="229"/>
      <c r="Z94" s="238"/>
      <c r="AA94" s="230"/>
      <c r="AB94" s="229"/>
      <c r="AC94" s="229"/>
      <c r="AD94" s="230"/>
      <c r="AE94" s="229"/>
      <c r="AF94" s="229"/>
      <c r="AG94" s="229"/>
      <c r="AH94" s="229"/>
      <c r="AI94" s="231"/>
      <c r="AK94" s="288"/>
      <c r="AL94" s="288"/>
      <c r="AM94" s="288"/>
      <c r="AN94" s="288"/>
      <c r="AO94" s="288"/>
      <c r="AP94" s="288"/>
      <c r="AQ94" s="288"/>
      <c r="AR94" s="288"/>
      <c r="AS94" s="288"/>
      <c r="AT94" s="288"/>
      <c r="AU94" s="288"/>
      <c r="AV94" s="288"/>
      <c r="AW94" s="22"/>
      <c r="AX94" s="22"/>
      <c r="AY94" s="22"/>
      <c r="AZ94" s="28"/>
      <c r="BA94" s="4"/>
      <c r="BB94" s="26"/>
    </row>
    <row r="95" spans="1:54" s="213" customFormat="1" x14ac:dyDescent="0.25">
      <c r="A95" s="370"/>
      <c r="B95" s="371" t="s">
        <v>396</v>
      </c>
      <c r="C95" s="372" t="s">
        <v>667</v>
      </c>
      <c r="D95" s="373"/>
      <c r="E95" s="374"/>
      <c r="F95" s="375"/>
      <c r="G95" s="376"/>
      <c r="H95" s="374"/>
      <c r="I95" s="374"/>
      <c r="J95" s="376"/>
      <c r="K95" s="374"/>
      <c r="L95" s="374"/>
      <c r="M95" s="374"/>
      <c r="N95" s="374"/>
      <c r="O95" s="374"/>
      <c r="P95" s="376"/>
      <c r="Q95" s="272"/>
      <c r="R95" s="272"/>
      <c r="S95" s="272"/>
      <c r="T95" s="272"/>
      <c r="U95" s="272"/>
      <c r="V95" s="298" t="s">
        <v>396</v>
      </c>
      <c r="W95" s="299" t="s">
        <v>667</v>
      </c>
      <c r="X95" s="374">
        <v>0</v>
      </c>
      <c r="Y95" s="374"/>
      <c r="Z95" s="375"/>
      <c r="AA95" s="376"/>
      <c r="AB95" s="374"/>
      <c r="AC95" s="374"/>
      <c r="AD95" s="376"/>
      <c r="AE95" s="374"/>
      <c r="AF95" s="374"/>
      <c r="AG95" s="374"/>
      <c r="AH95" s="374"/>
      <c r="AI95" s="374"/>
      <c r="AK95" s="288"/>
      <c r="AL95" s="288"/>
      <c r="AM95" s="288"/>
      <c r="AN95" s="288"/>
      <c r="AO95" s="288"/>
      <c r="AP95" s="288"/>
      <c r="AQ95" s="288"/>
      <c r="AR95" s="288"/>
      <c r="AS95" s="288"/>
      <c r="AT95" s="288"/>
      <c r="AU95" s="288"/>
      <c r="AV95" s="288"/>
      <c r="AW95" s="22"/>
      <c r="AX95" s="22"/>
      <c r="AY95" s="22"/>
      <c r="AZ95" s="28"/>
      <c r="BA95" s="4"/>
      <c r="BB95" s="26"/>
    </row>
    <row r="97" spans="3:36" x14ac:dyDescent="0.25">
      <c r="C97" s="4" t="s">
        <v>18</v>
      </c>
      <c r="D97" s="26">
        <f>SUM(D9:D51)</f>
        <v>0</v>
      </c>
      <c r="E97" s="26">
        <f t="shared" ref="E97:K97" si="1">SUM(E9:E51)</f>
        <v>0</v>
      </c>
      <c r="F97" s="26">
        <f t="shared" si="1"/>
        <v>0</v>
      </c>
      <c r="G97" s="26">
        <f t="shared" si="1"/>
        <v>0</v>
      </c>
      <c r="H97" s="26">
        <f t="shared" si="1"/>
        <v>0</v>
      </c>
      <c r="I97" s="26">
        <f t="shared" si="1"/>
        <v>0</v>
      </c>
      <c r="J97" s="26">
        <f t="shared" si="1"/>
        <v>0</v>
      </c>
      <c r="K97" s="26">
        <f t="shared" si="1"/>
        <v>0</v>
      </c>
      <c r="AI97" s="215"/>
      <c r="AJ97" s="212"/>
    </row>
    <row r="98" spans="3:36" x14ac:dyDescent="0.25">
      <c r="C98" s="4" t="s">
        <v>19</v>
      </c>
      <c r="D98" s="26">
        <f>SUM(D53:D95)</f>
        <v>0</v>
      </c>
      <c r="E98" s="26">
        <f t="shared" ref="E98:K98" si="2">SUM(E53:E95)</f>
        <v>0</v>
      </c>
      <c r="F98" s="26">
        <f t="shared" si="2"/>
        <v>0</v>
      </c>
      <c r="G98" s="26">
        <f t="shared" si="2"/>
        <v>0</v>
      </c>
      <c r="H98" s="26">
        <f t="shared" si="2"/>
        <v>0</v>
      </c>
      <c r="I98" s="26">
        <f t="shared" si="2"/>
        <v>0</v>
      </c>
      <c r="J98" s="26">
        <f t="shared" si="2"/>
        <v>0</v>
      </c>
      <c r="K98" s="26">
        <f t="shared" si="2"/>
        <v>0</v>
      </c>
      <c r="AB98" s="62"/>
      <c r="AI98" s="215"/>
      <c r="AJ98" s="212"/>
    </row>
    <row r="99" spans="3:36" x14ac:dyDescent="0.25">
      <c r="AI99" s="215"/>
      <c r="AJ99" s="212"/>
    </row>
    <row r="100" spans="3:36" x14ac:dyDescent="0.25">
      <c r="C100" s="4" t="s">
        <v>20</v>
      </c>
      <c r="D100" s="301">
        <f>(2390+1832+2068+2017+2062+2108+2237+1914)+2225</f>
        <v>18853</v>
      </c>
      <c r="E100" s="26">
        <f>(((3832803+1999484)+1911329)+1989209+2026067+2185255+1873694)+2229783</f>
        <v>18047624</v>
      </c>
      <c r="F100" s="209">
        <v>0</v>
      </c>
      <c r="G100" s="26">
        <v>0</v>
      </c>
      <c r="H100" s="28">
        <v>51998641</v>
      </c>
      <c r="I100" s="26">
        <v>72867</v>
      </c>
      <c r="J100" s="26">
        <v>576256</v>
      </c>
      <c r="K100" s="26">
        <v>8484</v>
      </c>
      <c r="AI100" s="215"/>
      <c r="AJ100" s="212"/>
    </row>
    <row r="101" spans="3:36" x14ac:dyDescent="0.25">
      <c r="C101" s="4" t="s">
        <v>21</v>
      </c>
      <c r="D101" s="301">
        <f>12318+2237+1914+2225</f>
        <v>18694</v>
      </c>
      <c r="E101" s="26">
        <f>(3821907-35456+1978112+1911129+1989209+2021126+2185255-8)+1873694+2229783</f>
        <v>17974751</v>
      </c>
      <c r="F101" s="209">
        <v>0</v>
      </c>
      <c r="G101" s="26">
        <v>0</v>
      </c>
      <c r="H101" s="26">
        <f>37381911+1255199+267230</f>
        <v>38904340</v>
      </c>
      <c r="I101" s="26">
        <v>12770</v>
      </c>
      <c r="J101" s="26">
        <v>414045</v>
      </c>
      <c r="K101" s="26">
        <v>3995</v>
      </c>
      <c r="AI101" s="215"/>
      <c r="AJ101" s="212"/>
    </row>
    <row r="102" spans="3:36" x14ac:dyDescent="0.25">
      <c r="AI102" s="215"/>
      <c r="AJ102" s="212"/>
    </row>
    <row r="103" spans="3:36" x14ac:dyDescent="0.25">
      <c r="C103" s="4" t="s">
        <v>251</v>
      </c>
      <c r="D103" s="209">
        <f t="shared" ref="D103:K103" si="3">SUM(D97-D100)</f>
        <v>-18853</v>
      </c>
      <c r="E103" s="26">
        <f t="shared" si="3"/>
        <v>-18047624</v>
      </c>
      <c r="F103" s="209">
        <f t="shared" si="3"/>
        <v>0</v>
      </c>
      <c r="G103" s="26">
        <f t="shared" si="3"/>
        <v>0</v>
      </c>
      <c r="H103" s="26">
        <f t="shared" si="3"/>
        <v>-51998641</v>
      </c>
      <c r="I103" s="26">
        <f t="shared" si="3"/>
        <v>-72867</v>
      </c>
      <c r="J103" s="26">
        <f t="shared" si="3"/>
        <v>-576256</v>
      </c>
      <c r="K103" s="26">
        <f t="shared" si="3"/>
        <v>-8484</v>
      </c>
      <c r="AI103" s="215"/>
      <c r="AJ103" s="212"/>
    </row>
    <row r="104" spans="3:36" x14ac:dyDescent="0.25">
      <c r="C104" s="4" t="s">
        <v>252</v>
      </c>
      <c r="D104" s="209">
        <f t="shared" ref="D104:K104" si="4">SUM(D98-D101)</f>
        <v>-18694</v>
      </c>
      <c r="E104" s="26">
        <f t="shared" si="4"/>
        <v>-17974751</v>
      </c>
      <c r="F104" s="209">
        <f t="shared" si="4"/>
        <v>0</v>
      </c>
      <c r="G104" s="26">
        <f t="shared" si="4"/>
        <v>0</v>
      </c>
      <c r="H104" s="26">
        <f t="shared" si="4"/>
        <v>-38904340</v>
      </c>
      <c r="I104" s="26">
        <f t="shared" si="4"/>
        <v>-12770</v>
      </c>
      <c r="J104" s="26">
        <f t="shared" si="4"/>
        <v>-414045</v>
      </c>
      <c r="K104" s="26">
        <f t="shared" si="4"/>
        <v>-3995</v>
      </c>
      <c r="AI104" s="215"/>
      <c r="AJ104" s="212"/>
    </row>
    <row r="106" spans="3:36" x14ac:dyDescent="0.25">
      <c r="AI106" s="215"/>
      <c r="AJ106" s="212"/>
    </row>
    <row r="107" spans="3:36" x14ac:dyDescent="0.25">
      <c r="D107" s="26"/>
      <c r="AI107" s="215"/>
      <c r="AJ107" s="212"/>
    </row>
    <row r="108" spans="3:36" x14ac:dyDescent="0.25">
      <c r="D108" s="26"/>
      <c r="AI108" s="215"/>
      <c r="AJ108" s="212"/>
    </row>
    <row r="109" spans="3:36" x14ac:dyDescent="0.25">
      <c r="D109" s="26"/>
      <c r="AI109" s="215"/>
      <c r="AJ109" s="212"/>
    </row>
    <row r="110" spans="3:36" x14ac:dyDescent="0.25">
      <c r="AI110" s="215"/>
      <c r="AJ110" s="212"/>
    </row>
    <row r="111" spans="3:36" x14ac:dyDescent="0.25">
      <c r="AI111" s="215"/>
      <c r="AJ111" s="212"/>
    </row>
    <row r="112" spans="3:36" x14ac:dyDescent="0.25">
      <c r="AI112" s="215"/>
      <c r="AJ112" s="212"/>
    </row>
    <row r="113" spans="35:36" x14ac:dyDescent="0.25">
      <c r="AI113" s="215"/>
      <c r="AJ113" s="212"/>
    </row>
    <row r="114" spans="35:36" x14ac:dyDescent="0.25">
      <c r="AI114" s="215"/>
      <c r="AJ114" s="212"/>
    </row>
    <row r="115" spans="35:36" x14ac:dyDescent="0.25">
      <c r="AI115" s="215"/>
      <c r="AJ115" s="212"/>
    </row>
    <row r="116" spans="35:36" x14ac:dyDescent="0.25">
      <c r="AI116" s="215"/>
      <c r="AJ116" s="212"/>
    </row>
    <row r="117" spans="35:36" x14ac:dyDescent="0.25">
      <c r="AI117" s="215"/>
      <c r="AJ117" s="212"/>
    </row>
    <row r="118" spans="35:36" x14ac:dyDescent="0.25">
      <c r="AI118" s="215"/>
      <c r="AJ118" s="212"/>
    </row>
    <row r="119" spans="35:36" x14ac:dyDescent="0.25">
      <c r="AI119" s="215"/>
      <c r="AJ119" s="212"/>
    </row>
    <row r="120" spans="35:36" x14ac:dyDescent="0.25">
      <c r="AI120" s="215"/>
      <c r="AJ120" s="212"/>
    </row>
    <row r="121" spans="35:36" x14ac:dyDescent="0.25">
      <c r="AI121" s="215"/>
      <c r="AJ121" s="212"/>
    </row>
    <row r="122" spans="35:36" x14ac:dyDescent="0.25">
      <c r="AI122" s="215"/>
      <c r="AJ122" s="212"/>
    </row>
    <row r="123" spans="35:36" x14ac:dyDescent="0.25">
      <c r="AI123" s="215"/>
      <c r="AJ123" s="212"/>
    </row>
    <row r="124" spans="35:36" x14ac:dyDescent="0.25">
      <c r="AI124" s="215"/>
      <c r="AJ124" s="212"/>
    </row>
    <row r="125" spans="35:36" x14ac:dyDescent="0.25">
      <c r="AI125" s="215"/>
      <c r="AJ125" s="212"/>
    </row>
    <row r="126" spans="35:36" x14ac:dyDescent="0.25">
      <c r="AI126" s="215"/>
      <c r="AJ126" s="212"/>
    </row>
    <row r="127" spans="35:36" x14ac:dyDescent="0.25">
      <c r="AI127" s="215"/>
      <c r="AJ127" s="212"/>
    </row>
    <row r="128" spans="35:36" x14ac:dyDescent="0.25">
      <c r="AI128" s="215"/>
      <c r="AJ128" s="212"/>
    </row>
    <row r="129" spans="35:36" x14ac:dyDescent="0.25">
      <c r="AI129" s="215"/>
      <c r="AJ129" s="212"/>
    </row>
    <row r="130" spans="35:36" x14ac:dyDescent="0.25">
      <c r="AI130" s="215"/>
      <c r="AJ130" s="212"/>
    </row>
    <row r="131" spans="35:36" x14ac:dyDescent="0.25">
      <c r="AI131" s="215"/>
      <c r="AJ131" s="212"/>
    </row>
    <row r="132" spans="35:36" x14ac:dyDescent="0.25">
      <c r="AI132" s="215"/>
      <c r="AJ132" s="212"/>
    </row>
    <row r="133" spans="35:36" x14ac:dyDescent="0.25">
      <c r="AI133" s="215"/>
      <c r="AJ133" s="212"/>
    </row>
    <row r="134" spans="35:36" x14ac:dyDescent="0.25">
      <c r="AI134" s="215"/>
      <c r="AJ134" s="212"/>
    </row>
    <row r="135" spans="35:36" x14ac:dyDescent="0.25">
      <c r="AI135" s="215"/>
      <c r="AJ135" s="212"/>
    </row>
    <row r="136" spans="35:36" x14ac:dyDescent="0.25">
      <c r="AI136" s="215"/>
      <c r="AJ136" s="212"/>
    </row>
    <row r="137" spans="35:36" x14ac:dyDescent="0.25">
      <c r="AI137" s="215"/>
      <c r="AJ137" s="212"/>
    </row>
    <row r="138" spans="35:36" x14ac:dyDescent="0.25">
      <c r="AI138" s="215"/>
      <c r="AJ138" s="212"/>
    </row>
    <row r="139" spans="35:36" x14ac:dyDescent="0.25">
      <c r="AI139" s="215"/>
      <c r="AJ139" s="212"/>
    </row>
    <row r="180" spans="2:2" x14ac:dyDescent="0.25">
      <c r="B180" s="58" t="s">
        <v>390</v>
      </c>
    </row>
    <row r="181" spans="2:2" x14ac:dyDescent="0.25">
      <c r="B181" s="58" t="s">
        <v>1199</v>
      </c>
    </row>
    <row r="182" spans="2:2" x14ac:dyDescent="0.25">
      <c r="B182" s="58" t="s">
        <v>405</v>
      </c>
    </row>
    <row r="183" spans="2:2" x14ac:dyDescent="0.25">
      <c r="B183" s="58" t="s">
        <v>634</v>
      </c>
    </row>
    <row r="184" spans="2:2" x14ac:dyDescent="0.25">
      <c r="B184" s="58" t="s">
        <v>396</v>
      </c>
    </row>
  </sheetData>
  <autoFilter ref="A7:BB139"/>
  <mergeCells count="66">
    <mergeCell ref="AP3:AP6"/>
    <mergeCell ref="AU3:AU6"/>
    <mergeCell ref="AQ1:AR2"/>
    <mergeCell ref="AS1:AT2"/>
    <mergeCell ref="AU1:AV2"/>
    <mergeCell ref="AQ3:AQ6"/>
    <mergeCell ref="AR3:AR6"/>
    <mergeCell ref="AS3:AS6"/>
    <mergeCell ref="AT3:AT6"/>
    <mergeCell ref="AV3:AV6"/>
    <mergeCell ref="AM3:AN4"/>
    <mergeCell ref="AO3:AO6"/>
    <mergeCell ref="AB3:AB6"/>
    <mergeCell ref="AC3:AC6"/>
    <mergeCell ref="AH3:AH6"/>
    <mergeCell ref="AK5:AK6"/>
    <mergeCell ref="AL5:AL6"/>
    <mergeCell ref="AM5:AM6"/>
    <mergeCell ref="AN5:AN6"/>
    <mergeCell ref="AK3:AL4"/>
    <mergeCell ref="AK1:AN2"/>
    <mergeCell ref="AO1:AP2"/>
    <mergeCell ref="X5:X6"/>
    <mergeCell ref="Y5:Y6"/>
    <mergeCell ref="Z5:Z6"/>
    <mergeCell ref="AA5:AA6"/>
    <mergeCell ref="X3:Y4"/>
    <mergeCell ref="Z3:AA4"/>
    <mergeCell ref="AH1:AI2"/>
    <mergeCell ref="AD3:AD6"/>
    <mergeCell ref="AE3:AE6"/>
    <mergeCell ref="AF3:AF6"/>
    <mergeCell ref="AG3:AG6"/>
    <mergeCell ref="X1:AA2"/>
    <mergeCell ref="AB1:AC2"/>
    <mergeCell ref="AD1:AE2"/>
    <mergeCell ref="AF1:AG2"/>
    <mergeCell ref="AI3:AI6"/>
    <mergeCell ref="T1:U2"/>
    <mergeCell ref="P3:P6"/>
    <mergeCell ref="Q3:Q6"/>
    <mergeCell ref="R3:R6"/>
    <mergeCell ref="S3:S6"/>
    <mergeCell ref="T3:T6"/>
    <mergeCell ref="U3:U6"/>
    <mergeCell ref="P1:Q2"/>
    <mergeCell ref="R1:S2"/>
    <mergeCell ref="D1:G2"/>
    <mergeCell ref="D3:E4"/>
    <mergeCell ref="F3:G4"/>
    <mergeCell ref="L3:L6"/>
    <mergeCell ref="D5:D6"/>
    <mergeCell ref="E5:E6"/>
    <mergeCell ref="H1:I2"/>
    <mergeCell ref="J1:K2"/>
    <mergeCell ref="L1:M2"/>
    <mergeCell ref="N1:O2"/>
    <mergeCell ref="F5:F6"/>
    <mergeCell ref="G5:G6"/>
    <mergeCell ref="O3:O6"/>
    <mergeCell ref="H3:H6"/>
    <mergeCell ref="I3:I6"/>
    <mergeCell ref="J3:J6"/>
    <mergeCell ref="K3:K6"/>
    <mergeCell ref="M3:M6"/>
    <mergeCell ref="N3:N6"/>
  </mergeCells>
  <phoneticPr fontId="3" type="noConversion"/>
  <conditionalFormatting sqref="D103:K104 D134:D135 K134:K135 J123:J124 E121:G122 I121:I122">
    <cfRule type="cellIs" dxfId="0" priority="5" stopIfTrue="1" operator="not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_Ost_7_100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1</xdr:col>
                    <xdr:colOff>822960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Ost_711M_for_7_100">
                <anchor moveWithCells="1">
                  <from>
                    <xdr:col>0</xdr:col>
                    <xdr:colOff>60960</xdr:colOff>
                    <xdr:row>1</xdr:row>
                    <xdr:rowOff>60960</xdr:rowOff>
                  </from>
                  <to>
                    <xdr:col>1</xdr:col>
                    <xdr:colOff>822960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TST_7_100_OD">
                <anchor moveWithCells="1">
                  <from>
                    <xdr:col>0</xdr:col>
                    <xdr:colOff>60960</xdr:colOff>
                    <xdr:row>3</xdr:row>
                    <xdr:rowOff>30480</xdr:rowOff>
                  </from>
                  <to>
                    <xdr:col>1</xdr:col>
                    <xdr:colOff>822960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" name="Button 25">
              <controlPr defaultSize="0" print="0" autoFill="0" autoPict="0" macro="[0]!L_Ost_7_100_POD">
                <anchor moveWithCells="1">
                  <from>
                    <xdr:col>2</xdr:col>
                    <xdr:colOff>7620</xdr:colOff>
                    <xdr:row>0</xdr:row>
                    <xdr:rowOff>38100</xdr:rowOff>
                  </from>
                  <to>
                    <xdr:col>2</xdr:col>
                    <xdr:colOff>1447800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" name="Button 55">
              <controlPr defaultSize="0" print="0" autoFill="0" autoPict="0" macro="[0]!Ispravit_7100">
                <anchor moveWithCells="1">
                  <from>
                    <xdr:col>2</xdr:col>
                    <xdr:colOff>7620</xdr:colOff>
                    <xdr:row>1</xdr:row>
                    <xdr:rowOff>45720</xdr:rowOff>
                  </from>
                  <to>
                    <xdr:col>2</xdr:col>
                    <xdr:colOff>1447800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9" name="Button 56">
              <controlPr defaultSize="0" print="0" autoFill="0" autoPict="0" macro="[0]!OKRUGL_7100">
                <anchor moveWithCells="1">
                  <from>
                    <xdr:col>2</xdr:col>
                    <xdr:colOff>15240</xdr:colOff>
                    <xdr:row>3</xdr:row>
                    <xdr:rowOff>7620</xdr:rowOff>
                  </from>
                  <to>
                    <xdr:col>2</xdr:col>
                    <xdr:colOff>1607820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Z582"/>
  <sheetViews>
    <sheetView workbookViewId="0">
      <selection activeCell="H580" sqref="H580:IV580"/>
    </sheetView>
  </sheetViews>
  <sheetFormatPr defaultColWidth="16.44140625" defaultRowHeight="13.2" x14ac:dyDescent="0.25"/>
  <cols>
    <col min="1" max="1" width="16.44140625" style="359" customWidth="1"/>
    <col min="4" max="4" width="25.109375" customWidth="1"/>
  </cols>
  <sheetData>
    <row r="1" spans="1:17" s="343" customFormat="1" ht="15.6" x14ac:dyDescent="0.3">
      <c r="A1" s="362" t="s">
        <v>4261</v>
      </c>
      <c r="B1" s="363" t="s">
        <v>4280</v>
      </c>
      <c r="C1" s="363" t="s">
        <v>4281</v>
      </c>
      <c r="D1" s="363" t="s">
        <v>4282</v>
      </c>
      <c r="E1" s="363" t="s">
        <v>4283</v>
      </c>
      <c r="F1" s="363" t="s">
        <v>4284</v>
      </c>
      <c r="G1" s="363" t="s">
        <v>4285</v>
      </c>
      <c r="H1" s="363" t="s">
        <v>4286</v>
      </c>
      <c r="I1" s="363" t="s">
        <v>4287</v>
      </c>
      <c r="J1" s="363" t="s">
        <v>4288</v>
      </c>
      <c r="K1" s="363"/>
      <c r="L1" s="363"/>
      <c r="M1" s="363"/>
      <c r="N1" s="363"/>
      <c r="O1" s="363" t="s">
        <v>4289</v>
      </c>
      <c r="P1" s="363" t="s">
        <v>4291</v>
      </c>
      <c r="Q1" s="364" t="s">
        <v>4290</v>
      </c>
    </row>
    <row r="2" spans="1:17" x14ac:dyDescent="0.25">
      <c r="A2" s="360" t="s">
        <v>1347</v>
      </c>
      <c r="B2" s="348"/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>
        <v>11124670.956099974</v>
      </c>
      <c r="P2" s="348">
        <v>1199634.3663000001</v>
      </c>
      <c r="Q2" s="353"/>
    </row>
    <row r="3" spans="1:17" x14ac:dyDescent="0.25">
      <c r="A3" s="360" t="s">
        <v>4183</v>
      </c>
      <c r="B3" s="348"/>
      <c r="C3" s="348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>
        <v>3586701.3575000078</v>
      </c>
      <c r="P3" s="348"/>
      <c r="Q3" s="353"/>
    </row>
    <row r="4" spans="1:17" x14ac:dyDescent="0.25">
      <c r="A4" s="360" t="s">
        <v>3834</v>
      </c>
      <c r="B4" s="348"/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>
        <v>8400600.639200002</v>
      </c>
      <c r="P4" s="348">
        <v>0</v>
      </c>
      <c r="Q4" s="353">
        <v>0</v>
      </c>
    </row>
    <row r="5" spans="1:17" x14ac:dyDescent="0.25">
      <c r="A5" s="360" t="s">
        <v>1293</v>
      </c>
      <c r="B5" s="348"/>
      <c r="C5" s="348"/>
      <c r="D5" s="348"/>
      <c r="E5" s="348"/>
      <c r="F5" s="348"/>
      <c r="G5" s="348"/>
      <c r="H5" s="348"/>
      <c r="I5" s="348"/>
      <c r="J5" s="348"/>
      <c r="K5" s="348"/>
      <c r="L5" s="348"/>
      <c r="M5" s="348"/>
      <c r="N5" s="348"/>
      <c r="O5" s="348">
        <v>4214172.6391000012</v>
      </c>
      <c r="P5" s="348">
        <v>7320.5492999999997</v>
      </c>
      <c r="Q5" s="353"/>
    </row>
    <row r="6" spans="1:17" x14ac:dyDescent="0.25">
      <c r="A6" s="360" t="s">
        <v>4158</v>
      </c>
      <c r="B6" s="348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>
        <v>2159181.502799999</v>
      </c>
      <c r="P6" s="348">
        <v>7104.4431000000004</v>
      </c>
      <c r="Q6" s="353"/>
    </row>
    <row r="7" spans="1:17" x14ac:dyDescent="0.25">
      <c r="A7" s="360" t="s">
        <v>1139</v>
      </c>
      <c r="B7" s="348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>
        <v>4975707.5979999928</v>
      </c>
      <c r="P7" s="348">
        <v>441.16120000000001</v>
      </c>
      <c r="Q7" s="353"/>
    </row>
    <row r="8" spans="1:17" x14ac:dyDescent="0.25">
      <c r="A8" s="360" t="s">
        <v>4292</v>
      </c>
      <c r="B8" s="348"/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>
        <v>349032.12950000004</v>
      </c>
      <c r="P8" s="348"/>
      <c r="Q8" s="353"/>
    </row>
    <row r="9" spans="1:17" x14ac:dyDescent="0.25">
      <c r="A9" s="360" t="s">
        <v>4224</v>
      </c>
      <c r="B9" s="348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348"/>
      <c r="O9" s="348">
        <v>3999534.2151999995</v>
      </c>
      <c r="P9" s="348">
        <v>254509.58780000001</v>
      </c>
      <c r="Q9" s="353"/>
    </row>
    <row r="10" spans="1:17" x14ac:dyDescent="0.25">
      <c r="A10" s="360" t="s">
        <v>1345</v>
      </c>
      <c r="B10" s="348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  <c r="N10" s="348"/>
      <c r="O10" s="348">
        <v>7239700.5949000195</v>
      </c>
      <c r="P10" s="348">
        <v>14779.7721</v>
      </c>
      <c r="Q10" s="353"/>
    </row>
    <row r="11" spans="1:17" x14ac:dyDescent="0.25">
      <c r="A11" s="360" t="s">
        <v>1140</v>
      </c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  <c r="O11" s="348">
        <v>6546522.2033999879</v>
      </c>
      <c r="P11" s="348"/>
      <c r="Q11" s="353"/>
    </row>
    <row r="12" spans="1:17" x14ac:dyDescent="0.25">
      <c r="A12" s="360" t="s">
        <v>4293</v>
      </c>
      <c r="B12" s="348"/>
      <c r="C12" s="348"/>
      <c r="D12" s="348"/>
      <c r="E12" s="348"/>
      <c r="F12" s="348"/>
      <c r="G12" s="348"/>
      <c r="H12" s="348"/>
      <c r="I12" s="348"/>
      <c r="J12" s="348"/>
      <c r="K12" s="348"/>
      <c r="L12" s="348"/>
      <c r="M12" s="348"/>
      <c r="N12" s="348"/>
      <c r="O12" s="348">
        <v>594069.65970000019</v>
      </c>
      <c r="P12" s="348"/>
      <c r="Q12" s="353"/>
    </row>
    <row r="13" spans="1:17" x14ac:dyDescent="0.25">
      <c r="A13" s="360" t="s">
        <v>4227</v>
      </c>
      <c r="B13" s="348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348"/>
      <c r="O13" s="348">
        <v>151760.13300000003</v>
      </c>
      <c r="P13" s="348"/>
      <c r="Q13" s="353"/>
    </row>
    <row r="14" spans="1:17" x14ac:dyDescent="0.25">
      <c r="A14" s="360" t="s">
        <v>4294</v>
      </c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348"/>
      <c r="O14" s="348">
        <v>1172602.1971000007</v>
      </c>
      <c r="P14" s="348"/>
      <c r="Q14" s="353"/>
    </row>
    <row r="15" spans="1:17" x14ac:dyDescent="0.25">
      <c r="A15" s="360" t="s">
        <v>4228</v>
      </c>
      <c r="B15" s="348"/>
      <c r="C15" s="348"/>
      <c r="D15" s="348"/>
      <c r="E15" s="348"/>
      <c r="F15" s="348"/>
      <c r="G15" s="348"/>
      <c r="H15" s="348"/>
      <c r="I15" s="348"/>
      <c r="J15" s="348"/>
      <c r="K15" s="348"/>
      <c r="L15" s="348"/>
      <c r="M15" s="348"/>
      <c r="N15" s="348"/>
      <c r="O15" s="348">
        <v>1070047.0660000003</v>
      </c>
      <c r="P15" s="348"/>
      <c r="Q15" s="353"/>
    </row>
    <row r="16" spans="1:17" x14ac:dyDescent="0.25">
      <c r="A16" s="360" t="s">
        <v>4223</v>
      </c>
      <c r="B16" s="348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8"/>
      <c r="N16" s="348"/>
      <c r="O16" s="348">
        <v>242478.6038999999</v>
      </c>
      <c r="P16" s="348"/>
      <c r="Q16" s="353"/>
    </row>
    <row r="17" spans="1:17" x14ac:dyDescent="0.25">
      <c r="A17" s="360" t="s">
        <v>4295</v>
      </c>
      <c r="B17" s="348"/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348"/>
      <c r="O17" s="348">
        <v>114997.23540000001</v>
      </c>
      <c r="P17" s="348"/>
      <c r="Q17" s="353"/>
    </row>
    <row r="18" spans="1:17" x14ac:dyDescent="0.25">
      <c r="A18" s="360" t="s">
        <v>256</v>
      </c>
      <c r="B18" s="348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348"/>
      <c r="O18" s="348">
        <v>3119532.5641999994</v>
      </c>
      <c r="P18" s="348"/>
      <c r="Q18" s="353"/>
    </row>
    <row r="19" spans="1:17" x14ac:dyDescent="0.25">
      <c r="A19" s="360" t="s">
        <v>4226</v>
      </c>
      <c r="B19" s="348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348"/>
      <c r="O19" s="348">
        <v>68406.732300000003</v>
      </c>
      <c r="P19" s="348"/>
      <c r="Q19" s="353"/>
    </row>
    <row r="20" spans="1:17" x14ac:dyDescent="0.25">
      <c r="A20" s="360" t="s">
        <v>4222</v>
      </c>
      <c r="B20" s="348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348"/>
      <c r="O20" s="348">
        <v>186055.51640000002</v>
      </c>
      <c r="P20" s="348"/>
      <c r="Q20" s="353"/>
    </row>
    <row r="21" spans="1:17" x14ac:dyDescent="0.25">
      <c r="A21" s="360" t="s">
        <v>454</v>
      </c>
      <c r="B21" s="348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348"/>
      <c r="O21" s="348">
        <v>0</v>
      </c>
      <c r="P21" s="348"/>
      <c r="Q21" s="353"/>
    </row>
    <row r="22" spans="1:17" x14ac:dyDescent="0.25">
      <c r="A22" s="360" t="s">
        <v>4225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>
        <v>80851.389899999995</v>
      </c>
      <c r="P22" s="348"/>
      <c r="Q22" s="353"/>
    </row>
    <row r="23" spans="1:17" x14ac:dyDescent="0.25">
      <c r="A23" s="360" t="s">
        <v>4296</v>
      </c>
      <c r="B23" s="348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8"/>
      <c r="N23" s="348"/>
      <c r="O23" s="348">
        <v>0</v>
      </c>
      <c r="P23" s="348">
        <v>0</v>
      </c>
      <c r="Q23" s="353"/>
    </row>
    <row r="24" spans="1:17" x14ac:dyDescent="0.25">
      <c r="A24" s="360" t="s">
        <v>4297</v>
      </c>
      <c r="B24" s="348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8"/>
      <c r="N24" s="348"/>
      <c r="O24" s="348">
        <v>0</v>
      </c>
      <c r="P24" s="348"/>
      <c r="Q24" s="353"/>
    </row>
    <row r="25" spans="1:17" x14ac:dyDescent="0.25">
      <c r="A25" s="360" t="s">
        <v>428</v>
      </c>
      <c r="B25" s="348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8"/>
      <c r="N25" s="348"/>
      <c r="O25" s="348">
        <v>2970255.0483999965</v>
      </c>
      <c r="P25" s="348"/>
      <c r="Q25" s="353"/>
    </row>
    <row r="26" spans="1:17" x14ac:dyDescent="0.25">
      <c r="A26" s="360" t="s">
        <v>1378</v>
      </c>
      <c r="B26" s="348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348"/>
      <c r="O26" s="348">
        <v>9116068.0685000028</v>
      </c>
      <c r="P26" s="348"/>
      <c r="Q26" s="353"/>
    </row>
    <row r="27" spans="1:17" x14ac:dyDescent="0.25">
      <c r="A27" s="360" t="s">
        <v>969</v>
      </c>
      <c r="B27" s="348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8"/>
      <c r="N27" s="348"/>
      <c r="O27" s="348">
        <v>15200035.509799978</v>
      </c>
      <c r="P27" s="348"/>
      <c r="Q27" s="353"/>
    </row>
    <row r="28" spans="1:17" x14ac:dyDescent="0.25">
      <c r="A28" s="360" t="s">
        <v>2206</v>
      </c>
      <c r="B28" s="348"/>
      <c r="C28" s="348"/>
      <c r="D28" s="348"/>
      <c r="E28" s="348"/>
      <c r="F28" s="348"/>
      <c r="G28" s="348"/>
      <c r="H28" s="348"/>
      <c r="I28" s="348"/>
      <c r="J28" s="348"/>
      <c r="K28" s="348"/>
      <c r="L28" s="348"/>
      <c r="M28" s="348"/>
      <c r="N28" s="348"/>
      <c r="O28" s="348">
        <v>5671033.447699992</v>
      </c>
      <c r="P28" s="348"/>
      <c r="Q28" s="353"/>
    </row>
    <row r="29" spans="1:17" x14ac:dyDescent="0.25">
      <c r="A29" s="360" t="s">
        <v>429</v>
      </c>
      <c r="B29" s="348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>
        <v>3153860.1898000021</v>
      </c>
      <c r="P29" s="348"/>
      <c r="Q29" s="353"/>
    </row>
    <row r="30" spans="1:17" x14ac:dyDescent="0.25">
      <c r="A30" s="360" t="s">
        <v>1087</v>
      </c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>
        <v>244558.25570000007</v>
      </c>
      <c r="P30" s="348"/>
      <c r="Q30" s="353"/>
    </row>
    <row r="31" spans="1:17" x14ac:dyDescent="0.25">
      <c r="A31" s="360" t="s">
        <v>4184</v>
      </c>
      <c r="B31" s="348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348"/>
      <c r="O31" s="348">
        <v>403402.91129999992</v>
      </c>
      <c r="P31" s="348"/>
      <c r="Q31" s="353"/>
    </row>
    <row r="32" spans="1:17" x14ac:dyDescent="0.25">
      <c r="A32" s="360" t="s">
        <v>4298</v>
      </c>
      <c r="B32" s="348"/>
      <c r="C32" s="348"/>
      <c r="D32" s="348"/>
      <c r="E32" s="348"/>
      <c r="F32" s="348"/>
      <c r="G32" s="348"/>
      <c r="H32" s="348"/>
      <c r="I32" s="348"/>
      <c r="J32" s="348"/>
      <c r="K32" s="348"/>
      <c r="L32" s="348"/>
      <c r="M32" s="348"/>
      <c r="N32" s="348"/>
      <c r="O32" s="348">
        <v>43474.799700000003</v>
      </c>
      <c r="P32" s="348"/>
      <c r="Q32" s="353"/>
    </row>
    <row r="33" spans="1:17" x14ac:dyDescent="0.25">
      <c r="A33" s="360" t="s">
        <v>455</v>
      </c>
      <c r="B33" s="348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348"/>
      <c r="O33" s="348">
        <v>0</v>
      </c>
      <c r="P33" s="348"/>
      <c r="Q33" s="353"/>
    </row>
    <row r="34" spans="1:17" x14ac:dyDescent="0.25">
      <c r="A34" s="360" t="s">
        <v>4299</v>
      </c>
      <c r="B34" s="348"/>
      <c r="C34" s="348"/>
      <c r="D34" s="348"/>
      <c r="E34" s="348"/>
      <c r="F34" s="348"/>
      <c r="G34" s="348"/>
      <c r="H34" s="348"/>
      <c r="I34" s="348"/>
      <c r="J34" s="348"/>
      <c r="K34" s="348"/>
      <c r="L34" s="348"/>
      <c r="M34" s="348"/>
      <c r="N34" s="348"/>
      <c r="O34" s="348">
        <v>1529.4476999999999</v>
      </c>
      <c r="P34" s="348"/>
      <c r="Q34" s="353"/>
    </row>
    <row r="35" spans="1:17" x14ac:dyDescent="0.25">
      <c r="A35" s="360" t="s">
        <v>0</v>
      </c>
      <c r="B35" s="348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348"/>
      <c r="O35" s="348">
        <v>4720735.4912999887</v>
      </c>
      <c r="P35" s="348"/>
      <c r="Q35" s="353"/>
    </row>
    <row r="36" spans="1:17" x14ac:dyDescent="0.25">
      <c r="A36" s="360" t="s">
        <v>542</v>
      </c>
      <c r="B36" s="348"/>
      <c r="C36" s="348"/>
      <c r="D36" s="348"/>
      <c r="E36" s="348"/>
      <c r="F36" s="348"/>
      <c r="G36" s="348"/>
      <c r="H36" s="348"/>
      <c r="I36" s="348"/>
      <c r="J36" s="348"/>
      <c r="K36" s="348"/>
      <c r="L36" s="348"/>
      <c r="M36" s="348"/>
      <c r="N36" s="348"/>
      <c r="O36" s="348">
        <v>7461262.2088000039</v>
      </c>
      <c r="P36" s="348">
        <v>1632.9504999999999</v>
      </c>
      <c r="Q36" s="353"/>
    </row>
    <row r="37" spans="1:17" x14ac:dyDescent="0.25">
      <c r="A37" s="360" t="s">
        <v>722</v>
      </c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348"/>
      <c r="O37" s="348">
        <v>5649808.2902000006</v>
      </c>
      <c r="P37" s="348"/>
      <c r="Q37" s="353"/>
    </row>
    <row r="38" spans="1:17" x14ac:dyDescent="0.25">
      <c r="A38" s="360" t="s">
        <v>4159</v>
      </c>
      <c r="B38" s="348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>
        <v>1901702.4454999999</v>
      </c>
      <c r="P38" s="348"/>
      <c r="Q38" s="353"/>
    </row>
    <row r="39" spans="1:17" x14ac:dyDescent="0.25">
      <c r="A39" s="360" t="s">
        <v>2781</v>
      </c>
      <c r="B39" s="348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8"/>
      <c r="N39" s="348"/>
      <c r="O39" s="348">
        <v>2265462.7337999973</v>
      </c>
      <c r="P39" s="348"/>
      <c r="Q39" s="353"/>
    </row>
    <row r="40" spans="1:17" x14ac:dyDescent="0.25">
      <c r="A40" s="360" t="s">
        <v>1294</v>
      </c>
      <c r="B40" s="348"/>
      <c r="C40" s="348"/>
      <c r="D40" s="348"/>
      <c r="E40" s="348"/>
      <c r="F40" s="348"/>
      <c r="G40" s="348"/>
      <c r="H40" s="348"/>
      <c r="I40" s="348"/>
      <c r="J40" s="348"/>
      <c r="K40" s="348"/>
      <c r="L40" s="348"/>
      <c r="M40" s="348"/>
      <c r="N40" s="348"/>
      <c r="O40" s="348">
        <v>4766896.128899999</v>
      </c>
      <c r="P40" s="348"/>
      <c r="Q40" s="353"/>
    </row>
    <row r="41" spans="1:17" x14ac:dyDescent="0.25">
      <c r="A41" s="360" t="s">
        <v>1381</v>
      </c>
      <c r="B41" s="348"/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>
        <v>2084440.4793000005</v>
      </c>
      <c r="P41" s="348"/>
      <c r="Q41" s="353"/>
    </row>
    <row r="42" spans="1:17" x14ac:dyDescent="0.25">
      <c r="A42" s="360" t="s">
        <v>2774</v>
      </c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>
        <v>1282185.9301000019</v>
      </c>
      <c r="P42" s="348"/>
      <c r="Q42" s="353"/>
    </row>
    <row r="43" spans="1:17" x14ac:dyDescent="0.25">
      <c r="A43" s="360" t="s">
        <v>1380</v>
      </c>
      <c r="B43" s="348"/>
      <c r="C43" s="348"/>
      <c r="D43" s="348"/>
      <c r="E43" s="348"/>
      <c r="F43" s="348"/>
      <c r="G43" s="348"/>
      <c r="H43" s="348"/>
      <c r="I43" s="348"/>
      <c r="J43" s="348"/>
      <c r="K43" s="348"/>
      <c r="L43" s="348"/>
      <c r="M43" s="348"/>
      <c r="N43" s="348"/>
      <c r="O43" s="348">
        <v>2702973.2132000034</v>
      </c>
      <c r="P43" s="348"/>
      <c r="Q43" s="353"/>
    </row>
    <row r="44" spans="1:17" x14ac:dyDescent="0.25">
      <c r="A44" s="360" t="s">
        <v>4300</v>
      </c>
      <c r="B44" s="348"/>
      <c r="C44" s="348"/>
      <c r="D44" s="348"/>
      <c r="E44" s="348"/>
      <c r="F44" s="348"/>
      <c r="G44" s="348"/>
      <c r="H44" s="348"/>
      <c r="I44" s="348"/>
      <c r="J44" s="348"/>
      <c r="K44" s="348"/>
      <c r="L44" s="348"/>
      <c r="M44" s="348"/>
      <c r="N44" s="348"/>
      <c r="O44" s="348">
        <v>3869.3454999999994</v>
      </c>
      <c r="P44" s="348"/>
      <c r="Q44" s="353"/>
    </row>
    <row r="45" spans="1:17" x14ac:dyDescent="0.25">
      <c r="A45" s="360" t="s">
        <v>948</v>
      </c>
      <c r="B45" s="348"/>
      <c r="C45" s="348"/>
      <c r="D45" s="348"/>
      <c r="E45" s="348"/>
      <c r="F45" s="348"/>
      <c r="G45" s="348"/>
      <c r="H45" s="348"/>
      <c r="I45" s="348"/>
      <c r="J45" s="348"/>
      <c r="K45" s="348"/>
      <c r="L45" s="348"/>
      <c r="M45" s="348"/>
      <c r="N45" s="348"/>
      <c r="O45" s="348">
        <v>0</v>
      </c>
      <c r="P45" s="348"/>
      <c r="Q45" s="353"/>
    </row>
    <row r="46" spans="1:17" x14ac:dyDescent="0.25">
      <c r="A46" s="360" t="s">
        <v>2207</v>
      </c>
      <c r="B46" s="348"/>
      <c r="C46" s="348"/>
      <c r="D46" s="348"/>
      <c r="E46" s="348"/>
      <c r="F46" s="348"/>
      <c r="G46" s="348"/>
      <c r="H46" s="348"/>
      <c r="I46" s="348"/>
      <c r="J46" s="348"/>
      <c r="K46" s="348"/>
      <c r="L46" s="348"/>
      <c r="M46" s="348"/>
      <c r="N46" s="348"/>
      <c r="O46" s="348">
        <v>6367619.6157999914</v>
      </c>
      <c r="P46" s="348"/>
      <c r="Q46" s="353"/>
    </row>
    <row r="47" spans="1:17" x14ac:dyDescent="0.25">
      <c r="A47" s="360" t="s">
        <v>1227</v>
      </c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8"/>
      <c r="M47" s="348"/>
      <c r="N47" s="348"/>
      <c r="O47" s="348">
        <v>3218688.377299997</v>
      </c>
      <c r="P47" s="348"/>
      <c r="Q47" s="353"/>
    </row>
    <row r="48" spans="1:17" x14ac:dyDescent="0.25">
      <c r="A48" s="360" t="s">
        <v>1296</v>
      </c>
      <c r="B48" s="348"/>
      <c r="C48" s="348"/>
      <c r="D48" s="348"/>
      <c r="E48" s="348"/>
      <c r="F48" s="348"/>
      <c r="G48" s="348"/>
      <c r="H48" s="348"/>
      <c r="I48" s="348"/>
      <c r="J48" s="348"/>
      <c r="K48" s="348"/>
      <c r="L48" s="348"/>
      <c r="M48" s="348"/>
      <c r="N48" s="348"/>
      <c r="O48" s="348">
        <v>17259079.831799962</v>
      </c>
      <c r="P48" s="348"/>
      <c r="Q48" s="353"/>
    </row>
    <row r="49" spans="1:17" x14ac:dyDescent="0.25">
      <c r="A49" s="360" t="s">
        <v>1295</v>
      </c>
      <c r="B49" s="348"/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>
        <v>2785474.9825000013</v>
      </c>
      <c r="P49" s="348"/>
      <c r="Q49" s="353"/>
    </row>
    <row r="50" spans="1:17" x14ac:dyDescent="0.25">
      <c r="A50" s="360" t="s">
        <v>247</v>
      </c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  <c r="O50" s="348">
        <v>6259468.0449000066</v>
      </c>
      <c r="P50" s="348"/>
      <c r="Q50" s="353"/>
    </row>
    <row r="51" spans="1:17" x14ac:dyDescent="0.25">
      <c r="A51" s="360" t="s">
        <v>4165</v>
      </c>
      <c r="B51" s="348"/>
      <c r="C51" s="348"/>
      <c r="D51" s="348"/>
      <c r="E51" s="348"/>
      <c r="F51" s="348"/>
      <c r="G51" s="348"/>
      <c r="H51" s="348"/>
      <c r="I51" s="348"/>
      <c r="J51" s="348"/>
      <c r="K51" s="348"/>
      <c r="L51" s="348"/>
      <c r="M51" s="348"/>
      <c r="N51" s="348"/>
      <c r="O51" s="348">
        <v>212084.26650000006</v>
      </c>
      <c r="P51" s="348"/>
      <c r="Q51" s="353"/>
    </row>
    <row r="52" spans="1:17" x14ac:dyDescent="0.25">
      <c r="A52" s="360" t="s">
        <v>4185</v>
      </c>
      <c r="B52" s="348"/>
      <c r="C52" s="348"/>
      <c r="D52" s="348"/>
      <c r="E52" s="348"/>
      <c r="F52" s="348"/>
      <c r="G52" s="348"/>
      <c r="H52" s="348"/>
      <c r="I52" s="348"/>
      <c r="J52" s="348"/>
      <c r="K52" s="348"/>
      <c r="L52" s="348"/>
      <c r="M52" s="348"/>
      <c r="N52" s="348"/>
      <c r="O52" s="348">
        <v>154452.1489</v>
      </c>
      <c r="P52" s="348"/>
      <c r="Q52" s="353"/>
    </row>
    <row r="53" spans="1:17" x14ac:dyDescent="0.25">
      <c r="A53" s="360" t="s">
        <v>4163</v>
      </c>
      <c r="B53" s="348"/>
      <c r="C53" s="348"/>
      <c r="D53" s="348"/>
      <c r="E53" s="348"/>
      <c r="F53" s="348"/>
      <c r="G53" s="348"/>
      <c r="H53" s="348"/>
      <c r="I53" s="348"/>
      <c r="J53" s="348"/>
      <c r="K53" s="348"/>
      <c r="L53" s="348"/>
      <c r="M53" s="348"/>
      <c r="N53" s="348"/>
      <c r="O53" s="348">
        <v>0</v>
      </c>
      <c r="P53" s="348"/>
      <c r="Q53" s="353"/>
    </row>
    <row r="54" spans="1:17" x14ac:dyDescent="0.25">
      <c r="A54" s="360" t="s">
        <v>4164</v>
      </c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>
        <v>0</v>
      </c>
      <c r="P54" s="348"/>
      <c r="Q54" s="353"/>
    </row>
    <row r="55" spans="1:17" x14ac:dyDescent="0.25">
      <c r="A55" s="360" t="s">
        <v>4166</v>
      </c>
      <c r="B55" s="348"/>
      <c r="C55" s="348"/>
      <c r="D55" s="348"/>
      <c r="E55" s="348"/>
      <c r="F55" s="348"/>
      <c r="G55" s="348"/>
      <c r="H55" s="348"/>
      <c r="I55" s="348"/>
      <c r="J55" s="348"/>
      <c r="K55" s="348"/>
      <c r="L55" s="348"/>
      <c r="M55" s="348"/>
      <c r="N55" s="348"/>
      <c r="O55" s="348">
        <v>979.20740000000001</v>
      </c>
      <c r="P55" s="348"/>
      <c r="Q55" s="353"/>
    </row>
    <row r="56" spans="1:17" x14ac:dyDescent="0.25">
      <c r="A56" s="360" t="s">
        <v>4167</v>
      </c>
      <c r="B56" s="348"/>
      <c r="C56" s="348"/>
      <c r="D56" s="348"/>
      <c r="E56" s="348"/>
      <c r="F56" s="348"/>
      <c r="G56" s="348"/>
      <c r="H56" s="348"/>
      <c r="I56" s="348"/>
      <c r="J56" s="348"/>
      <c r="K56" s="348"/>
      <c r="L56" s="348"/>
      <c r="M56" s="348"/>
      <c r="N56" s="348"/>
      <c r="O56" s="348">
        <v>0</v>
      </c>
      <c r="P56" s="348"/>
      <c r="Q56" s="353"/>
    </row>
    <row r="57" spans="1:17" x14ac:dyDescent="0.25">
      <c r="A57" s="360" t="s">
        <v>646</v>
      </c>
      <c r="B57" s="348"/>
      <c r="C57" s="348"/>
      <c r="D57" s="348"/>
      <c r="E57" s="348"/>
      <c r="F57" s="348"/>
      <c r="G57" s="348"/>
      <c r="H57" s="348"/>
      <c r="I57" s="348"/>
      <c r="J57" s="348"/>
      <c r="K57" s="348"/>
      <c r="L57" s="348"/>
      <c r="M57" s="348"/>
      <c r="N57" s="348"/>
      <c r="O57" s="348">
        <v>1473116.3849000006</v>
      </c>
      <c r="P57" s="348"/>
      <c r="Q57" s="353"/>
    </row>
    <row r="58" spans="1:17" x14ac:dyDescent="0.25">
      <c r="A58" s="360" t="s">
        <v>1349</v>
      </c>
      <c r="B58" s="348"/>
      <c r="C58" s="348"/>
      <c r="D58" s="348"/>
      <c r="E58" s="348"/>
      <c r="F58" s="348"/>
      <c r="G58" s="348"/>
      <c r="H58" s="348"/>
      <c r="I58" s="348"/>
      <c r="J58" s="348"/>
      <c r="K58" s="348"/>
      <c r="L58" s="348"/>
      <c r="M58" s="348"/>
      <c r="N58" s="348"/>
      <c r="O58" s="348">
        <v>14348228.671600023</v>
      </c>
      <c r="P58" s="348">
        <v>0</v>
      </c>
      <c r="Q58" s="353"/>
    </row>
    <row r="59" spans="1:17" x14ac:dyDescent="0.25">
      <c r="A59" s="360" t="s">
        <v>1352</v>
      </c>
      <c r="B59" s="348"/>
      <c r="C59" s="348"/>
      <c r="D59" s="348"/>
      <c r="E59" s="348"/>
      <c r="F59" s="348"/>
      <c r="G59" s="348"/>
      <c r="H59" s="348"/>
      <c r="I59" s="348"/>
      <c r="J59" s="348"/>
      <c r="K59" s="348"/>
      <c r="L59" s="348"/>
      <c r="M59" s="348"/>
      <c r="N59" s="348"/>
      <c r="O59" s="348">
        <v>4873110.6891000075</v>
      </c>
      <c r="P59" s="348"/>
      <c r="Q59" s="353"/>
    </row>
    <row r="60" spans="1:17" x14ac:dyDescent="0.25">
      <c r="A60" s="360" t="s">
        <v>248</v>
      </c>
      <c r="B60" s="348"/>
      <c r="C60" s="348"/>
      <c r="D60" s="348"/>
      <c r="E60" s="348"/>
      <c r="F60" s="348"/>
      <c r="G60" s="348"/>
      <c r="H60" s="348"/>
      <c r="I60" s="348"/>
      <c r="J60" s="348"/>
      <c r="K60" s="348"/>
      <c r="L60" s="348"/>
      <c r="M60" s="348"/>
      <c r="N60" s="348"/>
      <c r="O60" s="348">
        <v>11764048.322399998</v>
      </c>
      <c r="P60" s="348">
        <v>0</v>
      </c>
      <c r="Q60" s="353">
        <v>0</v>
      </c>
    </row>
    <row r="61" spans="1:17" x14ac:dyDescent="0.25">
      <c r="A61" s="360" t="s">
        <v>1351</v>
      </c>
      <c r="B61" s="348"/>
      <c r="C61" s="348"/>
      <c r="D61" s="348"/>
      <c r="E61" s="348"/>
      <c r="F61" s="348"/>
      <c r="G61" s="348"/>
      <c r="H61" s="348"/>
      <c r="I61" s="348"/>
      <c r="J61" s="348"/>
      <c r="K61" s="348"/>
      <c r="L61" s="348"/>
      <c r="M61" s="348"/>
      <c r="N61" s="348"/>
      <c r="O61" s="348">
        <v>9131716.6539000124</v>
      </c>
      <c r="P61" s="348"/>
      <c r="Q61" s="353"/>
    </row>
    <row r="62" spans="1:17" x14ac:dyDescent="0.25">
      <c r="A62" s="360" t="s">
        <v>1297</v>
      </c>
      <c r="B62" s="348"/>
      <c r="C62" s="348"/>
      <c r="D62" s="348"/>
      <c r="E62" s="348"/>
      <c r="F62" s="348"/>
      <c r="G62" s="348"/>
      <c r="H62" s="348"/>
      <c r="I62" s="348"/>
      <c r="J62" s="348"/>
      <c r="K62" s="348"/>
      <c r="L62" s="348"/>
      <c r="M62" s="348"/>
      <c r="N62" s="348"/>
      <c r="O62" s="348">
        <v>4297542.712700001</v>
      </c>
      <c r="P62" s="348"/>
      <c r="Q62" s="353"/>
    </row>
    <row r="63" spans="1:17" x14ac:dyDescent="0.25">
      <c r="A63" s="360" t="s">
        <v>1968</v>
      </c>
      <c r="B63" s="348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348"/>
      <c r="N63" s="348"/>
      <c r="O63" s="348">
        <v>3590736.1139000012</v>
      </c>
      <c r="P63" s="348"/>
      <c r="Q63" s="353"/>
    </row>
    <row r="64" spans="1:17" x14ac:dyDescent="0.25">
      <c r="A64" s="360" t="s">
        <v>968</v>
      </c>
      <c r="B64" s="348"/>
      <c r="C64" s="348"/>
      <c r="D64" s="348"/>
      <c r="E64" s="348"/>
      <c r="F64" s="348"/>
      <c r="G64" s="348"/>
      <c r="H64" s="348"/>
      <c r="I64" s="348"/>
      <c r="J64" s="348"/>
      <c r="K64" s="348"/>
      <c r="L64" s="348"/>
      <c r="M64" s="348"/>
      <c r="N64" s="348"/>
      <c r="O64" s="348">
        <v>3365672.3993000011</v>
      </c>
      <c r="P64" s="348"/>
      <c r="Q64" s="353"/>
    </row>
    <row r="65" spans="1:17" x14ac:dyDescent="0.25">
      <c r="A65" s="360" t="s">
        <v>1350</v>
      </c>
      <c r="B65" s="348"/>
      <c r="C65" s="348"/>
      <c r="D65" s="348"/>
      <c r="E65" s="348"/>
      <c r="F65" s="348"/>
      <c r="G65" s="348"/>
      <c r="H65" s="348"/>
      <c r="I65" s="348"/>
      <c r="J65" s="348"/>
      <c r="K65" s="348"/>
      <c r="L65" s="348"/>
      <c r="M65" s="348"/>
      <c r="N65" s="348"/>
      <c r="O65" s="348">
        <v>5032498.3130999971</v>
      </c>
      <c r="P65" s="348"/>
      <c r="Q65" s="353"/>
    </row>
    <row r="66" spans="1:17" x14ac:dyDescent="0.25">
      <c r="A66" s="360" t="s">
        <v>1969</v>
      </c>
      <c r="B66" s="348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348"/>
      <c r="N66" s="348"/>
      <c r="O66" s="348">
        <v>1068450.9951000006</v>
      </c>
      <c r="P66" s="348"/>
      <c r="Q66" s="353"/>
    </row>
    <row r="67" spans="1:17" x14ac:dyDescent="0.25">
      <c r="A67" s="360" t="s">
        <v>4301</v>
      </c>
      <c r="B67" s="348"/>
      <c r="C67" s="348"/>
      <c r="D67" s="348"/>
      <c r="E67" s="348"/>
      <c r="F67" s="348"/>
      <c r="G67" s="348"/>
      <c r="H67" s="348"/>
      <c r="I67" s="348"/>
      <c r="J67" s="348"/>
      <c r="K67" s="348"/>
      <c r="L67" s="348"/>
      <c r="M67" s="348"/>
      <c r="N67" s="348"/>
      <c r="O67" s="348">
        <v>99501.467999999979</v>
      </c>
      <c r="P67" s="348"/>
      <c r="Q67" s="353"/>
    </row>
    <row r="68" spans="1:17" x14ac:dyDescent="0.25">
      <c r="A68" s="360" t="s">
        <v>4186</v>
      </c>
      <c r="B68" s="348"/>
      <c r="C68" s="348"/>
      <c r="D68" s="348"/>
      <c r="E68" s="348"/>
      <c r="F68" s="348"/>
      <c r="G68" s="348"/>
      <c r="H68" s="348"/>
      <c r="I68" s="348"/>
      <c r="J68" s="348"/>
      <c r="K68" s="348"/>
      <c r="L68" s="348"/>
      <c r="M68" s="348"/>
      <c r="N68" s="348"/>
      <c r="O68" s="348">
        <v>449536.88610000006</v>
      </c>
      <c r="P68" s="348"/>
      <c r="Q68" s="353"/>
    </row>
    <row r="69" spans="1:17" x14ac:dyDescent="0.25">
      <c r="A69" s="360" t="s">
        <v>967</v>
      </c>
      <c r="B69" s="348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348"/>
      <c r="N69" s="348"/>
      <c r="O69" s="348">
        <v>60044.324900000007</v>
      </c>
      <c r="P69" s="348"/>
      <c r="Q69" s="353"/>
    </row>
    <row r="70" spans="1:17" x14ac:dyDescent="0.25">
      <c r="A70" s="360" t="s">
        <v>457</v>
      </c>
      <c r="B70" s="348"/>
      <c r="C70" s="348"/>
      <c r="D70" s="348"/>
      <c r="E70" s="348"/>
      <c r="F70" s="348"/>
      <c r="G70" s="348"/>
      <c r="H70" s="348"/>
      <c r="I70" s="348"/>
      <c r="J70" s="348"/>
      <c r="K70" s="348"/>
      <c r="L70" s="348"/>
      <c r="M70" s="348"/>
      <c r="N70" s="348"/>
      <c r="O70" s="348">
        <v>0</v>
      </c>
      <c r="P70" s="348"/>
      <c r="Q70" s="353"/>
    </row>
    <row r="71" spans="1:17" x14ac:dyDescent="0.25">
      <c r="A71" s="360" t="s">
        <v>4302</v>
      </c>
      <c r="B71" s="348"/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>
        <v>7189.491</v>
      </c>
      <c r="P71" s="348"/>
      <c r="Q71" s="353"/>
    </row>
    <row r="72" spans="1:17" x14ac:dyDescent="0.25">
      <c r="A72" s="360" t="s">
        <v>1353</v>
      </c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>
        <v>13231419.490499979</v>
      </c>
      <c r="P72" s="348">
        <v>1010043.1069000002</v>
      </c>
      <c r="Q72" s="353">
        <v>0</v>
      </c>
    </row>
    <row r="73" spans="1:17" x14ac:dyDescent="0.25">
      <c r="A73" s="360" t="s">
        <v>1355</v>
      </c>
      <c r="B73" s="348"/>
      <c r="C73" s="348"/>
      <c r="D73" s="348"/>
      <c r="E73" s="348"/>
      <c r="F73" s="348"/>
      <c r="G73" s="348"/>
      <c r="H73" s="348"/>
      <c r="I73" s="348"/>
      <c r="J73" s="348"/>
      <c r="K73" s="348"/>
      <c r="L73" s="348"/>
      <c r="M73" s="348"/>
      <c r="N73" s="348"/>
      <c r="O73" s="348">
        <v>2751647.6807000018</v>
      </c>
      <c r="P73" s="348">
        <v>72910.152000000002</v>
      </c>
      <c r="Q73" s="353"/>
    </row>
    <row r="74" spans="1:17" x14ac:dyDescent="0.25">
      <c r="A74" s="360" t="s">
        <v>1354</v>
      </c>
      <c r="B74" s="348"/>
      <c r="C74" s="348"/>
      <c r="D74" s="348"/>
      <c r="E74" s="348"/>
      <c r="F74" s="348"/>
      <c r="G74" s="348"/>
      <c r="H74" s="348"/>
      <c r="I74" s="348"/>
      <c r="J74" s="348"/>
      <c r="K74" s="348"/>
      <c r="L74" s="348"/>
      <c r="M74" s="348"/>
      <c r="N74" s="348"/>
      <c r="O74" s="348">
        <v>3193704.8078000052</v>
      </c>
      <c r="P74" s="348">
        <v>436.57679999999999</v>
      </c>
      <c r="Q74" s="353"/>
    </row>
    <row r="75" spans="1:17" x14ac:dyDescent="0.25">
      <c r="A75" s="360" t="s">
        <v>1379</v>
      </c>
      <c r="B75" s="348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348"/>
      <c r="N75" s="348"/>
      <c r="O75" s="348">
        <v>4246768.2898000041</v>
      </c>
      <c r="P75" s="348">
        <v>16698.077600000001</v>
      </c>
      <c r="Q75" s="353"/>
    </row>
    <row r="76" spans="1:17" x14ac:dyDescent="0.25">
      <c r="A76" s="360" t="s">
        <v>4081</v>
      </c>
      <c r="B76" s="348"/>
      <c r="C76" s="348"/>
      <c r="D76" s="348"/>
      <c r="E76" s="348"/>
      <c r="F76" s="348"/>
      <c r="G76" s="348"/>
      <c r="H76" s="348"/>
      <c r="I76" s="348"/>
      <c r="J76" s="348"/>
      <c r="K76" s="348"/>
      <c r="L76" s="348"/>
      <c r="M76" s="348"/>
      <c r="N76" s="348"/>
      <c r="O76" s="348">
        <v>4736895.8656000001</v>
      </c>
      <c r="P76" s="348">
        <v>93.329400000000007</v>
      </c>
      <c r="Q76" s="353">
        <v>593.29049999999995</v>
      </c>
    </row>
    <row r="77" spans="1:17" x14ac:dyDescent="0.25">
      <c r="A77" s="360" t="s">
        <v>4303</v>
      </c>
      <c r="B77" s="348"/>
      <c r="C77" s="348"/>
      <c r="D77" s="348"/>
      <c r="E77" s="348"/>
      <c r="F77" s="348"/>
      <c r="G77" s="348"/>
      <c r="H77" s="348"/>
      <c r="I77" s="348"/>
      <c r="J77" s="348"/>
      <c r="K77" s="348"/>
      <c r="L77" s="348"/>
      <c r="M77" s="348"/>
      <c r="N77" s="348"/>
      <c r="O77" s="348">
        <v>69612.901700000002</v>
      </c>
      <c r="P77" s="348"/>
      <c r="Q77" s="353"/>
    </row>
    <row r="78" spans="1:17" x14ac:dyDescent="0.25">
      <c r="A78" s="360" t="s">
        <v>4304</v>
      </c>
      <c r="B78" s="348"/>
      <c r="C78" s="348"/>
      <c r="D78" s="348"/>
      <c r="E78" s="348"/>
      <c r="F78" s="348"/>
      <c r="G78" s="348"/>
      <c r="H78" s="348"/>
      <c r="I78" s="348"/>
      <c r="J78" s="348"/>
      <c r="K78" s="348"/>
      <c r="L78" s="348"/>
      <c r="M78" s="348"/>
      <c r="N78" s="348"/>
      <c r="O78" s="348">
        <v>168184.1153</v>
      </c>
      <c r="P78" s="348"/>
      <c r="Q78" s="353"/>
    </row>
    <row r="79" spans="1:17" x14ac:dyDescent="0.25">
      <c r="A79" s="360" t="s">
        <v>4305</v>
      </c>
      <c r="B79" s="348"/>
      <c r="C79" s="348"/>
      <c r="D79" s="348"/>
      <c r="E79" s="348"/>
      <c r="F79" s="348"/>
      <c r="G79" s="348"/>
      <c r="H79" s="348"/>
      <c r="I79" s="348"/>
      <c r="J79" s="348"/>
      <c r="K79" s="348"/>
      <c r="L79" s="348"/>
      <c r="M79" s="348"/>
      <c r="N79" s="348"/>
      <c r="O79" s="348">
        <v>98354.424400000004</v>
      </c>
      <c r="P79" s="348"/>
      <c r="Q79" s="353"/>
    </row>
    <row r="80" spans="1:17" x14ac:dyDescent="0.25">
      <c r="A80" s="360" t="s">
        <v>4169</v>
      </c>
      <c r="B80" s="348"/>
      <c r="C80" s="348"/>
      <c r="D80" s="348"/>
      <c r="E80" s="348"/>
      <c r="F80" s="348"/>
      <c r="G80" s="348"/>
      <c r="H80" s="348"/>
      <c r="I80" s="348"/>
      <c r="J80" s="348"/>
      <c r="K80" s="348"/>
      <c r="L80" s="348"/>
      <c r="M80" s="348"/>
      <c r="N80" s="348"/>
      <c r="O80" s="348">
        <v>142422.48989999999</v>
      </c>
      <c r="P80" s="348"/>
      <c r="Q80" s="353"/>
    </row>
    <row r="81" spans="1:17" x14ac:dyDescent="0.25">
      <c r="A81" s="360" t="s">
        <v>4306</v>
      </c>
      <c r="B81" s="348"/>
      <c r="C81" s="348"/>
      <c r="D81" s="348"/>
      <c r="E81" s="348"/>
      <c r="F81" s="348"/>
      <c r="G81" s="348"/>
      <c r="H81" s="348"/>
      <c r="I81" s="348"/>
      <c r="J81" s="348"/>
      <c r="K81" s="348"/>
      <c r="L81" s="348"/>
      <c r="M81" s="348"/>
      <c r="N81" s="348"/>
      <c r="O81" s="348">
        <v>0</v>
      </c>
      <c r="P81" s="348"/>
      <c r="Q81" s="353"/>
    </row>
    <row r="82" spans="1:17" x14ac:dyDescent="0.25">
      <c r="A82" s="360" t="s">
        <v>4168</v>
      </c>
      <c r="B82" s="348"/>
      <c r="C82" s="348"/>
      <c r="D82" s="348"/>
      <c r="E82" s="348"/>
      <c r="F82" s="348"/>
      <c r="G82" s="348"/>
      <c r="H82" s="348"/>
      <c r="I82" s="348"/>
      <c r="J82" s="348"/>
      <c r="K82" s="348"/>
      <c r="L82" s="348"/>
      <c r="M82" s="348"/>
      <c r="N82" s="348"/>
      <c r="O82" s="348">
        <v>0</v>
      </c>
      <c r="P82" s="348"/>
      <c r="Q82" s="353"/>
    </row>
    <row r="83" spans="1:17" x14ac:dyDescent="0.25">
      <c r="A83" s="360" t="s">
        <v>458</v>
      </c>
      <c r="B83" s="348"/>
      <c r="C83" s="348"/>
      <c r="D83" s="348"/>
      <c r="E83" s="348"/>
      <c r="F83" s="348"/>
      <c r="G83" s="348"/>
      <c r="H83" s="348"/>
      <c r="I83" s="348"/>
      <c r="J83" s="348"/>
      <c r="K83" s="348"/>
      <c r="L83" s="348"/>
      <c r="M83" s="348"/>
      <c r="N83" s="348"/>
      <c r="O83" s="348">
        <v>0</v>
      </c>
      <c r="P83" s="348"/>
      <c r="Q83" s="353"/>
    </row>
    <row r="84" spans="1:17" x14ac:dyDescent="0.25">
      <c r="A84" s="360" t="s">
        <v>4307</v>
      </c>
      <c r="B84" s="348"/>
      <c r="C84" s="348"/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>
        <v>290045.73</v>
      </c>
      <c r="P84" s="348"/>
      <c r="Q84" s="353"/>
    </row>
    <row r="85" spans="1:17" x14ac:dyDescent="0.25">
      <c r="A85" s="360" t="s">
        <v>4308</v>
      </c>
      <c r="B85" s="348"/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>
        <v>0</v>
      </c>
      <c r="P85" s="348"/>
      <c r="Q85" s="353"/>
    </row>
    <row r="86" spans="1:17" x14ac:dyDescent="0.25">
      <c r="A86" s="360" t="s">
        <v>299</v>
      </c>
      <c r="B86" s="348"/>
      <c r="C86" s="348"/>
      <c r="D86" s="348"/>
      <c r="E86" s="348"/>
      <c r="F86" s="348"/>
      <c r="G86" s="348"/>
      <c r="H86" s="348"/>
      <c r="I86" s="348"/>
      <c r="J86" s="348"/>
      <c r="K86" s="348"/>
      <c r="L86" s="348"/>
      <c r="M86" s="348"/>
      <c r="N86" s="348"/>
      <c r="O86" s="348">
        <v>2435713.4910000041</v>
      </c>
      <c r="P86" s="348"/>
      <c r="Q86" s="353"/>
    </row>
    <row r="87" spans="1:17" x14ac:dyDescent="0.25">
      <c r="A87" s="360" t="s">
        <v>723</v>
      </c>
      <c r="B87" s="348"/>
      <c r="C87" s="348"/>
      <c r="D87" s="348"/>
      <c r="E87" s="348"/>
      <c r="F87" s="348"/>
      <c r="G87" s="348"/>
      <c r="H87" s="348"/>
      <c r="I87" s="348"/>
      <c r="J87" s="348"/>
      <c r="K87" s="348"/>
      <c r="L87" s="348"/>
      <c r="M87" s="348"/>
      <c r="N87" s="348"/>
      <c r="O87" s="348">
        <v>2884560.6930999965</v>
      </c>
      <c r="P87" s="348"/>
      <c r="Q87" s="353"/>
    </row>
    <row r="88" spans="1:17" x14ac:dyDescent="0.25">
      <c r="A88" s="360" t="s">
        <v>2515</v>
      </c>
      <c r="B88" s="348"/>
      <c r="C88" s="348"/>
      <c r="D88" s="348"/>
      <c r="E88" s="348"/>
      <c r="F88" s="348"/>
      <c r="G88" s="348"/>
      <c r="H88" s="348"/>
      <c r="I88" s="348"/>
      <c r="J88" s="348"/>
      <c r="K88" s="348"/>
      <c r="L88" s="348"/>
      <c r="M88" s="348"/>
      <c r="N88" s="348"/>
      <c r="O88" s="348">
        <v>4920920.9893000005</v>
      </c>
      <c r="P88" s="348"/>
      <c r="Q88" s="353"/>
    </row>
    <row r="89" spans="1:17" x14ac:dyDescent="0.25">
      <c r="A89" s="360" t="s">
        <v>4187</v>
      </c>
      <c r="B89" s="348"/>
      <c r="C89" s="348"/>
      <c r="D89" s="348"/>
      <c r="E89" s="348"/>
      <c r="F89" s="348"/>
      <c r="G89" s="348"/>
      <c r="H89" s="348"/>
      <c r="I89" s="348"/>
      <c r="J89" s="348"/>
      <c r="K89" s="348"/>
      <c r="L89" s="348"/>
      <c r="M89" s="348"/>
      <c r="N89" s="348"/>
      <c r="O89" s="348">
        <v>529582.17980000004</v>
      </c>
      <c r="P89" s="348"/>
      <c r="Q89" s="353"/>
    </row>
    <row r="90" spans="1:17" x14ac:dyDescent="0.25">
      <c r="A90" s="360" t="s">
        <v>726</v>
      </c>
      <c r="B90" s="348"/>
      <c r="C90" s="348"/>
      <c r="D90" s="348"/>
      <c r="E90" s="348"/>
      <c r="F90" s="348"/>
      <c r="G90" s="348"/>
      <c r="H90" s="348"/>
      <c r="I90" s="348"/>
      <c r="J90" s="348"/>
      <c r="K90" s="348"/>
      <c r="L90" s="348"/>
      <c r="M90" s="348"/>
      <c r="N90" s="348"/>
      <c r="O90" s="348">
        <v>2857343.2871000054</v>
      </c>
      <c r="P90" s="348"/>
      <c r="Q90" s="353"/>
    </row>
    <row r="91" spans="1:17" x14ac:dyDescent="0.25">
      <c r="A91" s="360" t="s">
        <v>724</v>
      </c>
      <c r="B91" s="348"/>
      <c r="C91" s="348"/>
      <c r="D91" s="348"/>
      <c r="E91" s="348"/>
      <c r="F91" s="348"/>
      <c r="G91" s="348"/>
      <c r="H91" s="348"/>
      <c r="I91" s="348"/>
      <c r="J91" s="348"/>
      <c r="K91" s="348"/>
      <c r="L91" s="348"/>
      <c r="M91" s="348"/>
      <c r="N91" s="348"/>
      <c r="O91" s="348">
        <v>4289898.1427000016</v>
      </c>
      <c r="P91" s="348"/>
      <c r="Q91" s="353"/>
    </row>
    <row r="92" spans="1:17" x14ac:dyDescent="0.25">
      <c r="A92" s="360" t="s">
        <v>459</v>
      </c>
      <c r="B92" s="348"/>
      <c r="C92" s="348"/>
      <c r="D92" s="348"/>
      <c r="E92" s="348"/>
      <c r="F92" s="348"/>
      <c r="G92" s="348"/>
      <c r="H92" s="348"/>
      <c r="I92" s="348"/>
      <c r="J92" s="348"/>
      <c r="K92" s="348"/>
      <c r="L92" s="348"/>
      <c r="M92" s="348"/>
      <c r="N92" s="348"/>
      <c r="O92" s="348">
        <v>8.8109999999999999</v>
      </c>
      <c r="P92" s="348"/>
      <c r="Q92" s="353"/>
    </row>
    <row r="93" spans="1:17" x14ac:dyDescent="0.25">
      <c r="A93" s="360" t="s">
        <v>4229</v>
      </c>
      <c r="B93" s="348"/>
      <c r="C93" s="348"/>
      <c r="D93" s="348"/>
      <c r="E93" s="348"/>
      <c r="F93" s="348"/>
      <c r="G93" s="348"/>
      <c r="H93" s="348"/>
      <c r="I93" s="348"/>
      <c r="J93" s="348"/>
      <c r="K93" s="348"/>
      <c r="L93" s="348"/>
      <c r="M93" s="348"/>
      <c r="N93" s="348"/>
      <c r="O93" s="348">
        <v>82091.684399999998</v>
      </c>
      <c r="P93" s="348"/>
      <c r="Q93" s="353"/>
    </row>
    <row r="94" spans="1:17" x14ac:dyDescent="0.25">
      <c r="A94" s="360" t="s">
        <v>4309</v>
      </c>
      <c r="B94" s="348"/>
      <c r="C94" s="348"/>
      <c r="D94" s="348"/>
      <c r="E94" s="348"/>
      <c r="F94" s="348"/>
      <c r="G94" s="348"/>
      <c r="H94" s="348"/>
      <c r="I94" s="348"/>
      <c r="J94" s="348"/>
      <c r="K94" s="348"/>
      <c r="L94" s="348"/>
      <c r="M94" s="348"/>
      <c r="N94" s="348"/>
      <c r="O94" s="348">
        <v>48247.722999999998</v>
      </c>
      <c r="P94" s="348"/>
      <c r="Q94" s="353"/>
    </row>
    <row r="95" spans="1:17" x14ac:dyDescent="0.25">
      <c r="A95" s="360" t="s">
        <v>4310</v>
      </c>
      <c r="B95" s="348"/>
      <c r="C95" s="348"/>
      <c r="D95" s="348"/>
      <c r="E95" s="348"/>
      <c r="F95" s="348"/>
      <c r="G95" s="348"/>
      <c r="H95" s="348"/>
      <c r="I95" s="348"/>
      <c r="J95" s="348"/>
      <c r="K95" s="348"/>
      <c r="L95" s="348"/>
      <c r="M95" s="348"/>
      <c r="N95" s="348"/>
      <c r="O95" s="348">
        <v>22452.791500000003</v>
      </c>
      <c r="P95" s="348"/>
      <c r="Q95" s="353"/>
    </row>
    <row r="96" spans="1:17" x14ac:dyDescent="0.25">
      <c r="A96" s="360" t="s">
        <v>4311</v>
      </c>
      <c r="B96" s="348"/>
      <c r="C96" s="348"/>
      <c r="D96" s="348"/>
      <c r="E96" s="348"/>
      <c r="F96" s="348"/>
      <c r="G96" s="348"/>
      <c r="H96" s="348"/>
      <c r="I96" s="348"/>
      <c r="J96" s="348"/>
      <c r="K96" s="348"/>
      <c r="L96" s="348"/>
      <c r="M96" s="348"/>
      <c r="N96" s="348"/>
      <c r="O96" s="348">
        <v>175905.3689</v>
      </c>
      <c r="P96" s="348"/>
      <c r="Q96" s="353"/>
    </row>
    <row r="97" spans="1:17" x14ac:dyDescent="0.25">
      <c r="A97" s="360" t="s">
        <v>4312</v>
      </c>
      <c r="B97" s="348"/>
      <c r="C97" s="348"/>
      <c r="D97" s="348"/>
      <c r="E97" s="348"/>
      <c r="F97" s="348"/>
      <c r="G97" s="348"/>
      <c r="H97" s="348"/>
      <c r="I97" s="348"/>
      <c r="J97" s="348"/>
      <c r="K97" s="348"/>
      <c r="L97" s="348"/>
      <c r="M97" s="348"/>
      <c r="N97" s="348"/>
      <c r="O97" s="348">
        <v>127410.38450000001</v>
      </c>
      <c r="P97" s="348"/>
      <c r="Q97" s="353"/>
    </row>
    <row r="98" spans="1:17" x14ac:dyDescent="0.25">
      <c r="A98" s="360" t="s">
        <v>1356</v>
      </c>
      <c r="B98" s="348"/>
      <c r="C98" s="348"/>
      <c r="D98" s="348"/>
      <c r="E98" s="348"/>
      <c r="F98" s="348"/>
      <c r="G98" s="348"/>
      <c r="H98" s="348"/>
      <c r="I98" s="348"/>
      <c r="J98" s="348"/>
      <c r="K98" s="348"/>
      <c r="L98" s="348"/>
      <c r="M98" s="348"/>
      <c r="N98" s="348"/>
      <c r="O98" s="348">
        <v>13247900.757100031</v>
      </c>
      <c r="P98" s="348">
        <v>0</v>
      </c>
      <c r="Q98" s="353"/>
    </row>
    <row r="99" spans="1:17" x14ac:dyDescent="0.25">
      <c r="A99" s="360" t="s">
        <v>4230</v>
      </c>
      <c r="B99" s="348"/>
      <c r="C99" s="348"/>
      <c r="D99" s="348"/>
      <c r="E99" s="348"/>
      <c r="F99" s="348"/>
      <c r="G99" s="348"/>
      <c r="H99" s="348"/>
      <c r="I99" s="348"/>
      <c r="J99" s="348"/>
      <c r="K99" s="348"/>
      <c r="L99" s="348"/>
      <c r="M99" s="348"/>
      <c r="N99" s="348"/>
      <c r="O99" s="348">
        <v>8513077.4795000087</v>
      </c>
      <c r="P99" s="348">
        <v>2914.2309</v>
      </c>
      <c r="Q99" s="353"/>
    </row>
    <row r="100" spans="1:17" x14ac:dyDescent="0.25">
      <c r="A100" s="360" t="s">
        <v>2837</v>
      </c>
      <c r="B100" s="348"/>
      <c r="C100" s="348"/>
      <c r="D100" s="348"/>
      <c r="E100" s="348"/>
      <c r="F100" s="348"/>
      <c r="G100" s="348"/>
      <c r="H100" s="348"/>
      <c r="I100" s="348"/>
      <c r="J100" s="348"/>
      <c r="K100" s="348"/>
      <c r="L100" s="348"/>
      <c r="M100" s="348"/>
      <c r="N100" s="348"/>
      <c r="O100" s="348">
        <v>6446020.8618999915</v>
      </c>
      <c r="P100" s="348"/>
      <c r="Q100" s="353"/>
    </row>
    <row r="101" spans="1:17" x14ac:dyDescent="0.25">
      <c r="A101" s="360" t="s">
        <v>4313</v>
      </c>
      <c r="B101" s="348"/>
      <c r="C101" s="348"/>
      <c r="D101" s="348"/>
      <c r="E101" s="348"/>
      <c r="F101" s="348"/>
      <c r="G101" s="348"/>
      <c r="H101" s="348"/>
      <c r="I101" s="348"/>
      <c r="J101" s="348"/>
      <c r="K101" s="348"/>
      <c r="L101" s="348"/>
      <c r="M101" s="348"/>
      <c r="N101" s="348"/>
      <c r="O101" s="348">
        <v>610391.67619999999</v>
      </c>
      <c r="P101" s="348"/>
      <c r="Q101" s="353"/>
    </row>
    <row r="102" spans="1:17" x14ac:dyDescent="0.25">
      <c r="A102" s="360" t="s">
        <v>4314</v>
      </c>
      <c r="B102" s="348"/>
      <c r="C102" s="348"/>
      <c r="D102" s="348"/>
      <c r="E102" s="348"/>
      <c r="F102" s="348"/>
      <c r="G102" s="348"/>
      <c r="H102" s="348"/>
      <c r="I102" s="348"/>
      <c r="J102" s="348"/>
      <c r="K102" s="348"/>
      <c r="L102" s="348"/>
      <c r="M102" s="348"/>
      <c r="N102" s="348"/>
      <c r="O102" s="348">
        <v>132423.4743</v>
      </c>
      <c r="P102" s="348"/>
      <c r="Q102" s="353"/>
    </row>
    <row r="103" spans="1:17" x14ac:dyDescent="0.25">
      <c r="A103" s="360" t="s">
        <v>4315</v>
      </c>
      <c r="B103" s="348"/>
      <c r="C103" s="348"/>
      <c r="D103" s="348"/>
      <c r="E103" s="348"/>
      <c r="F103" s="348"/>
      <c r="G103" s="348"/>
      <c r="H103" s="348"/>
      <c r="I103" s="348"/>
      <c r="J103" s="348"/>
      <c r="K103" s="348"/>
      <c r="L103" s="348"/>
      <c r="M103" s="348"/>
      <c r="N103" s="348"/>
      <c r="O103" s="348">
        <v>62902.973799999985</v>
      </c>
      <c r="P103" s="348"/>
      <c r="Q103" s="353"/>
    </row>
    <row r="104" spans="1:17" x14ac:dyDescent="0.25">
      <c r="A104" s="360" t="s">
        <v>4316</v>
      </c>
      <c r="B104" s="348"/>
      <c r="C104" s="348"/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>
        <v>153679.69010000001</v>
      </c>
      <c r="P104" s="348"/>
      <c r="Q104" s="353"/>
    </row>
    <row r="105" spans="1:17" x14ac:dyDescent="0.25">
      <c r="A105" s="360" t="s">
        <v>4317</v>
      </c>
      <c r="B105" s="348"/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>
        <v>27621.3413</v>
      </c>
      <c r="P105" s="348"/>
      <c r="Q105" s="353"/>
    </row>
    <row r="106" spans="1:17" x14ac:dyDescent="0.25">
      <c r="A106" s="360" t="s">
        <v>4318</v>
      </c>
      <c r="B106" s="348"/>
      <c r="C106" s="348"/>
      <c r="D106" s="348"/>
      <c r="E106" s="348"/>
      <c r="F106" s="348"/>
      <c r="G106" s="348"/>
      <c r="H106" s="348"/>
      <c r="I106" s="348"/>
      <c r="J106" s="348"/>
      <c r="K106" s="348"/>
      <c r="L106" s="348"/>
      <c r="M106" s="348"/>
      <c r="N106" s="348"/>
      <c r="O106" s="348">
        <v>92749.013099999967</v>
      </c>
      <c r="P106" s="348"/>
      <c r="Q106" s="353"/>
    </row>
    <row r="107" spans="1:17" x14ac:dyDescent="0.25">
      <c r="A107" s="360" t="s">
        <v>4319</v>
      </c>
      <c r="B107" s="348"/>
      <c r="C107" s="348"/>
      <c r="D107" s="348"/>
      <c r="E107" s="348"/>
      <c r="F107" s="348"/>
      <c r="G107" s="348"/>
      <c r="H107" s="348"/>
      <c r="I107" s="348"/>
      <c r="J107" s="348"/>
      <c r="K107" s="348"/>
      <c r="L107" s="348"/>
      <c r="M107" s="348"/>
      <c r="N107" s="348"/>
      <c r="O107" s="348">
        <v>39373.861299999997</v>
      </c>
      <c r="P107" s="348"/>
      <c r="Q107" s="353"/>
    </row>
    <row r="108" spans="1:17" x14ac:dyDescent="0.25">
      <c r="A108" s="360" t="s">
        <v>4170</v>
      </c>
      <c r="B108" s="348"/>
      <c r="C108" s="348"/>
      <c r="D108" s="348"/>
      <c r="E108" s="348"/>
      <c r="F108" s="348"/>
      <c r="G108" s="348"/>
      <c r="H108" s="348"/>
      <c r="I108" s="348"/>
      <c r="J108" s="348"/>
      <c r="K108" s="348"/>
      <c r="L108" s="348"/>
      <c r="M108" s="348"/>
      <c r="N108" s="348"/>
      <c r="O108" s="348">
        <v>0</v>
      </c>
      <c r="P108" s="348"/>
      <c r="Q108" s="353"/>
    </row>
    <row r="109" spans="1:17" x14ac:dyDescent="0.25">
      <c r="A109" s="360" t="s">
        <v>4171</v>
      </c>
      <c r="B109" s="348"/>
      <c r="C109" s="348"/>
      <c r="D109" s="348"/>
      <c r="E109" s="348"/>
      <c r="F109" s="348"/>
      <c r="G109" s="348"/>
      <c r="H109" s="348"/>
      <c r="I109" s="348"/>
      <c r="J109" s="348"/>
      <c r="K109" s="348"/>
      <c r="L109" s="348"/>
      <c r="M109" s="348"/>
      <c r="N109" s="348"/>
      <c r="O109" s="348">
        <v>0</v>
      </c>
      <c r="P109" s="348"/>
      <c r="Q109" s="353"/>
    </row>
    <row r="110" spans="1:17" x14ac:dyDescent="0.25">
      <c r="A110" s="360" t="s">
        <v>120</v>
      </c>
      <c r="B110" s="348"/>
      <c r="C110" s="348"/>
      <c r="D110" s="348"/>
      <c r="E110" s="348"/>
      <c r="F110" s="348"/>
      <c r="G110" s="348"/>
      <c r="H110" s="348"/>
      <c r="I110" s="348"/>
      <c r="J110" s="348"/>
      <c r="K110" s="348"/>
      <c r="L110" s="348"/>
      <c r="M110" s="348"/>
      <c r="N110" s="348"/>
      <c r="O110" s="348">
        <v>0</v>
      </c>
      <c r="P110" s="348"/>
      <c r="Q110" s="353"/>
    </row>
    <row r="111" spans="1:17" x14ac:dyDescent="0.25">
      <c r="A111" s="360" t="s">
        <v>1382</v>
      </c>
      <c r="B111" s="348"/>
      <c r="C111" s="348"/>
      <c r="D111" s="348"/>
      <c r="E111" s="348"/>
      <c r="F111" s="348"/>
      <c r="G111" s="348"/>
      <c r="H111" s="348"/>
      <c r="I111" s="348"/>
      <c r="J111" s="348"/>
      <c r="K111" s="348"/>
      <c r="L111" s="348"/>
      <c r="M111" s="348"/>
      <c r="N111" s="348"/>
      <c r="O111" s="348">
        <v>10778934.296700004</v>
      </c>
      <c r="P111" s="348"/>
      <c r="Q111" s="353"/>
    </row>
    <row r="112" spans="1:17" x14ac:dyDescent="0.25">
      <c r="A112" s="360" t="s">
        <v>2847</v>
      </c>
      <c r="B112" s="348"/>
      <c r="C112" s="348"/>
      <c r="D112" s="348"/>
      <c r="E112" s="348"/>
      <c r="F112" s="348"/>
      <c r="G112" s="348"/>
      <c r="H112" s="348"/>
      <c r="I112" s="348"/>
      <c r="J112" s="348"/>
      <c r="K112" s="348"/>
      <c r="L112" s="348"/>
      <c r="M112" s="348"/>
      <c r="N112" s="348"/>
      <c r="O112" s="348">
        <v>3703356.5686000045</v>
      </c>
      <c r="P112" s="348"/>
      <c r="Q112" s="353"/>
    </row>
    <row r="113" spans="1:17" x14ac:dyDescent="0.25">
      <c r="A113" s="360" t="s">
        <v>2204</v>
      </c>
      <c r="B113" s="348"/>
      <c r="C113" s="348"/>
      <c r="D113" s="348"/>
      <c r="E113" s="348"/>
      <c r="F113" s="348"/>
      <c r="G113" s="348"/>
      <c r="H113" s="348"/>
      <c r="I113" s="348"/>
      <c r="J113" s="348"/>
      <c r="K113" s="348"/>
      <c r="L113" s="348"/>
      <c r="M113" s="348"/>
      <c r="N113" s="348"/>
      <c r="O113" s="348">
        <v>10803527.266999995</v>
      </c>
      <c r="P113" s="348"/>
      <c r="Q113" s="353"/>
    </row>
    <row r="114" spans="1:17" x14ac:dyDescent="0.25">
      <c r="A114" s="360" t="s">
        <v>4234</v>
      </c>
      <c r="B114" s="348"/>
      <c r="C114" s="348"/>
      <c r="D114" s="348"/>
      <c r="E114" s="348"/>
      <c r="F114" s="348"/>
      <c r="G114" s="348"/>
      <c r="H114" s="348"/>
      <c r="I114" s="348"/>
      <c r="J114" s="348"/>
      <c r="K114" s="348"/>
      <c r="L114" s="348"/>
      <c r="M114" s="348"/>
      <c r="N114" s="348"/>
      <c r="O114" s="348">
        <v>3722890.0295999963</v>
      </c>
      <c r="P114" s="348"/>
      <c r="Q114" s="353"/>
    </row>
    <row r="115" spans="1:17" x14ac:dyDescent="0.25">
      <c r="A115" s="360" t="s">
        <v>862</v>
      </c>
      <c r="B115" s="348"/>
      <c r="C115" s="348"/>
      <c r="D115" s="348"/>
      <c r="E115" s="348"/>
      <c r="F115" s="348"/>
      <c r="G115" s="348"/>
      <c r="H115" s="348"/>
      <c r="I115" s="348"/>
      <c r="J115" s="348"/>
      <c r="K115" s="348"/>
      <c r="L115" s="348"/>
      <c r="M115" s="348"/>
      <c r="N115" s="348"/>
      <c r="O115" s="348">
        <v>3674026.0933999927</v>
      </c>
      <c r="P115" s="348"/>
      <c r="Q115" s="353"/>
    </row>
    <row r="116" spans="1:17" x14ac:dyDescent="0.25">
      <c r="A116" s="360" t="s">
        <v>4235</v>
      </c>
      <c r="B116" s="348"/>
      <c r="C116" s="348"/>
      <c r="D116" s="348"/>
      <c r="E116" s="348"/>
      <c r="F116" s="348"/>
      <c r="G116" s="348"/>
      <c r="H116" s="348"/>
      <c r="I116" s="348"/>
      <c r="J116" s="348"/>
      <c r="K116" s="348"/>
      <c r="L116" s="348"/>
      <c r="M116" s="348"/>
      <c r="N116" s="348"/>
      <c r="O116" s="348">
        <v>3675766.3884999948</v>
      </c>
      <c r="P116" s="348"/>
      <c r="Q116" s="353"/>
    </row>
    <row r="117" spans="1:17" x14ac:dyDescent="0.25">
      <c r="A117" s="360" t="s">
        <v>2852</v>
      </c>
      <c r="B117" s="348"/>
      <c r="C117" s="348"/>
      <c r="D117" s="348"/>
      <c r="E117" s="348"/>
      <c r="F117" s="348"/>
      <c r="G117" s="348"/>
      <c r="H117" s="348"/>
      <c r="I117" s="348"/>
      <c r="J117" s="348"/>
      <c r="K117" s="348"/>
      <c r="L117" s="348"/>
      <c r="M117" s="348"/>
      <c r="N117" s="348"/>
      <c r="O117" s="348">
        <v>1541937.4643999981</v>
      </c>
      <c r="P117" s="348"/>
      <c r="Q117" s="353"/>
    </row>
    <row r="118" spans="1:17" x14ac:dyDescent="0.25">
      <c r="A118" s="360" t="s">
        <v>4188</v>
      </c>
      <c r="B118" s="348"/>
      <c r="C118" s="348"/>
      <c r="D118" s="348"/>
      <c r="E118" s="348"/>
      <c r="F118" s="348"/>
      <c r="G118" s="348"/>
      <c r="H118" s="348"/>
      <c r="I118" s="348"/>
      <c r="J118" s="348"/>
      <c r="K118" s="348"/>
      <c r="L118" s="348"/>
      <c r="M118" s="348"/>
      <c r="N118" s="348"/>
      <c r="O118" s="348">
        <v>3079110.1315000048</v>
      </c>
      <c r="P118" s="348"/>
      <c r="Q118" s="353"/>
    </row>
    <row r="119" spans="1:17" x14ac:dyDescent="0.25">
      <c r="A119" s="360" t="s">
        <v>4232</v>
      </c>
      <c r="B119" s="348"/>
      <c r="C119" s="348"/>
      <c r="D119" s="348"/>
      <c r="E119" s="348"/>
      <c r="F119" s="348"/>
      <c r="G119" s="348"/>
      <c r="H119" s="348"/>
      <c r="I119" s="348"/>
      <c r="J119" s="348"/>
      <c r="K119" s="348"/>
      <c r="L119" s="348"/>
      <c r="M119" s="348"/>
      <c r="N119" s="348"/>
      <c r="O119" s="348">
        <v>1228687.8486000001</v>
      </c>
      <c r="P119" s="348"/>
      <c r="Q119" s="353"/>
    </row>
    <row r="120" spans="1:17" x14ac:dyDescent="0.25">
      <c r="A120" s="360" t="s">
        <v>2840</v>
      </c>
      <c r="B120" s="348"/>
      <c r="C120" s="348"/>
      <c r="D120" s="348"/>
      <c r="E120" s="348"/>
      <c r="F120" s="348"/>
      <c r="G120" s="348"/>
      <c r="H120" s="348"/>
      <c r="I120" s="348"/>
      <c r="J120" s="348"/>
      <c r="K120" s="348"/>
      <c r="L120" s="348"/>
      <c r="M120" s="348"/>
      <c r="N120" s="348"/>
      <c r="O120" s="348">
        <v>1709069.3856000016</v>
      </c>
      <c r="P120" s="348"/>
      <c r="Q120" s="353"/>
    </row>
    <row r="121" spans="1:17" x14ac:dyDescent="0.25">
      <c r="A121" s="360" t="s">
        <v>4233</v>
      </c>
      <c r="B121" s="348"/>
      <c r="C121" s="348"/>
      <c r="D121" s="348"/>
      <c r="E121" s="348"/>
      <c r="F121" s="348"/>
      <c r="G121" s="348"/>
      <c r="H121" s="348"/>
      <c r="I121" s="348"/>
      <c r="J121" s="348"/>
      <c r="K121" s="348"/>
      <c r="L121" s="348"/>
      <c r="M121" s="348"/>
      <c r="N121" s="348"/>
      <c r="O121" s="348">
        <v>241248.27390000003</v>
      </c>
      <c r="P121" s="348"/>
      <c r="Q121" s="353"/>
    </row>
    <row r="122" spans="1:17" x14ac:dyDescent="0.25">
      <c r="A122" s="360" t="s">
        <v>4231</v>
      </c>
      <c r="B122" s="348"/>
      <c r="C122" s="348"/>
      <c r="D122" s="348"/>
      <c r="E122" s="348"/>
      <c r="F122" s="348"/>
      <c r="G122" s="348"/>
      <c r="H122" s="348"/>
      <c r="I122" s="348"/>
      <c r="J122" s="348"/>
      <c r="K122" s="348"/>
      <c r="L122" s="348"/>
      <c r="M122" s="348"/>
      <c r="N122" s="348"/>
      <c r="O122" s="348">
        <v>493692.82170000015</v>
      </c>
      <c r="P122" s="348"/>
      <c r="Q122" s="353"/>
    </row>
    <row r="123" spans="1:17" x14ac:dyDescent="0.25">
      <c r="A123" s="360" t="s">
        <v>4320</v>
      </c>
      <c r="B123" s="348"/>
      <c r="C123" s="348"/>
      <c r="D123" s="348"/>
      <c r="E123" s="348"/>
      <c r="F123" s="348"/>
      <c r="G123" s="348"/>
      <c r="H123" s="348"/>
      <c r="I123" s="348"/>
      <c r="J123" s="348"/>
      <c r="K123" s="348"/>
      <c r="L123" s="348"/>
      <c r="M123" s="348"/>
      <c r="N123" s="348"/>
      <c r="O123" s="348">
        <v>62143.590400000016</v>
      </c>
      <c r="P123" s="348"/>
      <c r="Q123" s="353"/>
    </row>
    <row r="124" spans="1:17" x14ac:dyDescent="0.25">
      <c r="A124" s="360" t="s">
        <v>4321</v>
      </c>
      <c r="B124" s="348"/>
      <c r="C124" s="348"/>
      <c r="D124" s="348"/>
      <c r="E124" s="348"/>
      <c r="F124" s="348"/>
      <c r="G124" s="348"/>
      <c r="H124" s="348"/>
      <c r="I124" s="348"/>
      <c r="J124" s="348"/>
      <c r="K124" s="348"/>
      <c r="L124" s="348"/>
      <c r="M124" s="348"/>
      <c r="N124" s="348"/>
      <c r="O124" s="348">
        <v>26124.513500000001</v>
      </c>
      <c r="P124" s="348"/>
      <c r="Q124" s="353"/>
    </row>
    <row r="125" spans="1:17" x14ac:dyDescent="0.25">
      <c r="A125" s="360" t="s">
        <v>4322</v>
      </c>
      <c r="B125" s="348"/>
      <c r="C125" s="348"/>
      <c r="D125" s="348"/>
      <c r="E125" s="348"/>
      <c r="F125" s="348"/>
      <c r="G125" s="348"/>
      <c r="H125" s="348"/>
      <c r="I125" s="348"/>
      <c r="J125" s="348"/>
      <c r="K125" s="348"/>
      <c r="L125" s="348"/>
      <c r="M125" s="348"/>
      <c r="N125" s="348"/>
      <c r="O125" s="348">
        <v>10133.365099999999</v>
      </c>
      <c r="P125" s="348"/>
      <c r="Q125" s="353"/>
    </row>
    <row r="126" spans="1:17" x14ac:dyDescent="0.25">
      <c r="A126" s="360" t="s">
        <v>4323</v>
      </c>
      <c r="B126" s="348"/>
      <c r="C126" s="348"/>
      <c r="D126" s="348"/>
      <c r="E126" s="348"/>
      <c r="F126" s="348"/>
      <c r="G126" s="348"/>
      <c r="H126" s="348"/>
      <c r="I126" s="348"/>
      <c r="J126" s="348"/>
      <c r="K126" s="348"/>
      <c r="L126" s="348"/>
      <c r="M126" s="348"/>
      <c r="N126" s="348"/>
      <c r="O126" s="348">
        <v>72720.718899999993</v>
      </c>
      <c r="P126" s="348"/>
      <c r="Q126" s="353"/>
    </row>
    <row r="127" spans="1:17" x14ac:dyDescent="0.25">
      <c r="A127" s="360" t="s">
        <v>4324</v>
      </c>
      <c r="B127" s="348"/>
      <c r="C127" s="348"/>
      <c r="D127" s="348"/>
      <c r="E127" s="348"/>
      <c r="F127" s="348"/>
      <c r="G127" s="348"/>
      <c r="H127" s="348"/>
      <c r="I127" s="348"/>
      <c r="J127" s="348"/>
      <c r="K127" s="348"/>
      <c r="L127" s="348"/>
      <c r="M127" s="348"/>
      <c r="N127" s="348"/>
      <c r="O127" s="348">
        <v>4455.5424000000003</v>
      </c>
      <c r="P127" s="348"/>
      <c r="Q127" s="353"/>
    </row>
    <row r="128" spans="1:17" x14ac:dyDescent="0.25">
      <c r="A128" s="360" t="s">
        <v>121</v>
      </c>
      <c r="B128" s="348"/>
      <c r="C128" s="348"/>
      <c r="D128" s="348"/>
      <c r="E128" s="348"/>
      <c r="F128" s="348"/>
      <c r="G128" s="348"/>
      <c r="H128" s="348"/>
      <c r="I128" s="348"/>
      <c r="J128" s="348"/>
      <c r="K128" s="348"/>
      <c r="L128" s="348"/>
      <c r="M128" s="348"/>
      <c r="N128" s="348"/>
      <c r="O128" s="348">
        <v>0</v>
      </c>
      <c r="P128" s="348"/>
      <c r="Q128" s="353"/>
    </row>
    <row r="129" spans="1:17" x14ac:dyDescent="0.25">
      <c r="A129" s="360" t="s">
        <v>4325</v>
      </c>
      <c r="B129" s="348"/>
      <c r="C129" s="348"/>
      <c r="D129" s="348"/>
      <c r="E129" s="348"/>
      <c r="F129" s="348"/>
      <c r="G129" s="348"/>
      <c r="H129" s="348"/>
      <c r="I129" s="348"/>
      <c r="J129" s="348"/>
      <c r="K129" s="348"/>
      <c r="L129" s="348"/>
      <c r="M129" s="348"/>
      <c r="N129" s="348"/>
      <c r="O129" s="348">
        <v>15224.7652</v>
      </c>
      <c r="P129" s="348"/>
      <c r="Q129" s="353"/>
    </row>
    <row r="130" spans="1:17" x14ac:dyDescent="0.25">
      <c r="A130" s="360" t="s">
        <v>1037</v>
      </c>
      <c r="B130" s="348"/>
      <c r="C130" s="348"/>
      <c r="D130" s="348"/>
      <c r="E130" s="348"/>
      <c r="F130" s="348"/>
      <c r="G130" s="348"/>
      <c r="H130" s="348"/>
      <c r="I130" s="348"/>
      <c r="J130" s="348"/>
      <c r="K130" s="348"/>
      <c r="L130" s="348"/>
      <c r="M130" s="348"/>
      <c r="N130" s="348"/>
      <c r="O130" s="348">
        <v>17477450.99809999</v>
      </c>
      <c r="P130" s="348">
        <v>3287.5315000000001</v>
      </c>
      <c r="Q130" s="353"/>
    </row>
    <row r="131" spans="1:17" x14ac:dyDescent="0.25">
      <c r="A131" s="360" t="s">
        <v>3503</v>
      </c>
      <c r="B131" s="348"/>
      <c r="C131" s="348"/>
      <c r="D131" s="348"/>
      <c r="E131" s="348"/>
      <c r="F131" s="348"/>
      <c r="G131" s="348"/>
      <c r="H131" s="348"/>
      <c r="I131" s="348"/>
      <c r="J131" s="348"/>
      <c r="K131" s="348"/>
      <c r="L131" s="348"/>
      <c r="M131" s="348"/>
      <c r="N131" s="348"/>
      <c r="O131" s="348">
        <v>7820296.4216000065</v>
      </c>
      <c r="P131" s="348"/>
      <c r="Q131" s="353"/>
    </row>
    <row r="132" spans="1:17" x14ac:dyDescent="0.25">
      <c r="A132" s="360" t="s">
        <v>69</v>
      </c>
      <c r="B132" s="348"/>
      <c r="C132" s="348"/>
      <c r="D132" s="348"/>
      <c r="E132" s="348"/>
      <c r="F132" s="348"/>
      <c r="G132" s="348"/>
      <c r="H132" s="348"/>
      <c r="I132" s="348"/>
      <c r="J132" s="348"/>
      <c r="K132" s="348"/>
      <c r="L132" s="348"/>
      <c r="M132" s="348"/>
      <c r="N132" s="348"/>
      <c r="O132" s="348">
        <v>501583.72689999989</v>
      </c>
      <c r="P132" s="348"/>
      <c r="Q132" s="353"/>
    </row>
    <row r="133" spans="1:17" x14ac:dyDescent="0.25">
      <c r="A133" s="360" t="s">
        <v>856</v>
      </c>
      <c r="B133" s="348"/>
      <c r="C133" s="348"/>
      <c r="D133" s="348"/>
      <c r="E133" s="348"/>
      <c r="F133" s="348"/>
      <c r="G133" s="348"/>
      <c r="H133" s="348"/>
      <c r="I133" s="348"/>
      <c r="J133" s="348"/>
      <c r="K133" s="348"/>
      <c r="L133" s="348"/>
      <c r="M133" s="348"/>
      <c r="N133" s="348"/>
      <c r="O133" s="348">
        <v>3163942.4424000033</v>
      </c>
      <c r="P133" s="348"/>
      <c r="Q133" s="353"/>
    </row>
    <row r="134" spans="1:17" x14ac:dyDescent="0.25">
      <c r="A134" s="360" t="s">
        <v>3501</v>
      </c>
      <c r="B134" s="348"/>
      <c r="C134" s="348"/>
      <c r="D134" s="348"/>
      <c r="E134" s="348"/>
      <c r="F134" s="348"/>
      <c r="G134" s="348"/>
      <c r="H134" s="348"/>
      <c r="I134" s="348"/>
      <c r="J134" s="348"/>
      <c r="K134" s="348"/>
      <c r="L134" s="348"/>
      <c r="M134" s="348"/>
      <c r="N134" s="348"/>
      <c r="O134" s="348">
        <v>582478.55609999981</v>
      </c>
      <c r="P134" s="348"/>
      <c r="Q134" s="353"/>
    </row>
    <row r="135" spans="1:17" x14ac:dyDescent="0.25">
      <c r="A135" s="360" t="s">
        <v>4326</v>
      </c>
      <c r="B135" s="348"/>
      <c r="C135" s="348"/>
      <c r="D135" s="348"/>
      <c r="E135" s="348"/>
      <c r="F135" s="348"/>
      <c r="G135" s="348"/>
      <c r="H135" s="348"/>
      <c r="I135" s="348"/>
      <c r="J135" s="348"/>
      <c r="K135" s="348"/>
      <c r="L135" s="348"/>
      <c r="M135" s="348"/>
      <c r="N135" s="348"/>
      <c r="O135" s="348">
        <v>8269.5720999999994</v>
      </c>
      <c r="P135" s="348"/>
      <c r="Q135" s="353"/>
    </row>
    <row r="136" spans="1:17" x14ac:dyDescent="0.25">
      <c r="A136" s="360" t="s">
        <v>4327</v>
      </c>
      <c r="B136" s="348"/>
      <c r="C136" s="348"/>
      <c r="D136" s="348"/>
      <c r="E136" s="348"/>
      <c r="F136" s="348"/>
      <c r="G136" s="348"/>
      <c r="H136" s="348"/>
      <c r="I136" s="348"/>
      <c r="J136" s="348"/>
      <c r="K136" s="348"/>
      <c r="L136" s="348"/>
      <c r="M136" s="348"/>
      <c r="N136" s="348"/>
      <c r="O136" s="348">
        <v>21858.698399999994</v>
      </c>
      <c r="P136" s="348"/>
      <c r="Q136" s="353"/>
    </row>
    <row r="137" spans="1:17" x14ac:dyDescent="0.25">
      <c r="A137" s="360" t="s">
        <v>4172</v>
      </c>
      <c r="B137" s="348"/>
      <c r="C137" s="348"/>
      <c r="D137" s="348"/>
      <c r="E137" s="348"/>
      <c r="F137" s="348"/>
      <c r="G137" s="348"/>
      <c r="H137" s="348"/>
      <c r="I137" s="348"/>
      <c r="J137" s="348"/>
      <c r="K137" s="348"/>
      <c r="L137" s="348"/>
      <c r="M137" s="348"/>
      <c r="N137" s="348"/>
      <c r="O137" s="348">
        <v>225</v>
      </c>
      <c r="P137" s="348"/>
      <c r="Q137" s="353"/>
    </row>
    <row r="138" spans="1:17" x14ac:dyDescent="0.25">
      <c r="A138" s="360" t="s">
        <v>122</v>
      </c>
      <c r="B138" s="348"/>
      <c r="C138" s="348"/>
      <c r="D138" s="348"/>
      <c r="E138" s="348"/>
      <c r="F138" s="348"/>
      <c r="G138" s="348"/>
      <c r="H138" s="348"/>
      <c r="I138" s="348"/>
      <c r="J138" s="348"/>
      <c r="K138" s="348"/>
      <c r="L138" s="348"/>
      <c r="M138" s="348"/>
      <c r="N138" s="348"/>
      <c r="O138" s="348">
        <v>0</v>
      </c>
      <c r="P138" s="348"/>
      <c r="Q138" s="353"/>
    </row>
    <row r="139" spans="1:17" x14ac:dyDescent="0.25">
      <c r="A139" s="360" t="s">
        <v>857</v>
      </c>
      <c r="B139" s="348"/>
      <c r="C139" s="348"/>
      <c r="D139" s="348"/>
      <c r="E139" s="348"/>
      <c r="F139" s="348"/>
      <c r="G139" s="348"/>
      <c r="H139" s="348"/>
      <c r="I139" s="348"/>
      <c r="J139" s="348"/>
      <c r="K139" s="348"/>
      <c r="L139" s="348"/>
      <c r="M139" s="348"/>
      <c r="N139" s="348"/>
      <c r="O139" s="348">
        <v>15988268.226400053</v>
      </c>
      <c r="P139" s="348"/>
      <c r="Q139" s="353"/>
    </row>
    <row r="140" spans="1:17" x14ac:dyDescent="0.25">
      <c r="A140" s="360" t="s">
        <v>2859</v>
      </c>
      <c r="B140" s="348"/>
      <c r="C140" s="348"/>
      <c r="D140" s="348"/>
      <c r="E140" s="348"/>
      <c r="F140" s="348"/>
      <c r="G140" s="348"/>
      <c r="H140" s="348"/>
      <c r="I140" s="348"/>
      <c r="J140" s="348"/>
      <c r="K140" s="348"/>
      <c r="L140" s="348"/>
      <c r="M140" s="348"/>
      <c r="N140" s="348"/>
      <c r="O140" s="348">
        <v>1911673.5709000004</v>
      </c>
      <c r="P140" s="348"/>
      <c r="Q140" s="353"/>
    </row>
    <row r="141" spans="1:17" x14ac:dyDescent="0.25">
      <c r="A141" s="360" t="s">
        <v>863</v>
      </c>
      <c r="B141" s="348"/>
      <c r="C141" s="348"/>
      <c r="D141" s="348"/>
      <c r="E141" s="348"/>
      <c r="F141" s="348"/>
      <c r="G141" s="348"/>
      <c r="H141" s="348"/>
      <c r="I141" s="348"/>
      <c r="J141" s="348"/>
      <c r="K141" s="348"/>
      <c r="L141" s="348"/>
      <c r="M141" s="348"/>
      <c r="N141" s="348"/>
      <c r="O141" s="348">
        <v>11111951.631199997</v>
      </c>
      <c r="P141" s="348">
        <v>11536.1119</v>
      </c>
      <c r="Q141" s="353"/>
    </row>
    <row r="142" spans="1:17" x14ac:dyDescent="0.25">
      <c r="A142" s="360" t="s">
        <v>2862</v>
      </c>
      <c r="B142" s="348"/>
      <c r="C142" s="348"/>
      <c r="D142" s="348"/>
      <c r="E142" s="348"/>
      <c r="F142" s="348"/>
      <c r="G142" s="348"/>
      <c r="H142" s="348"/>
      <c r="I142" s="348"/>
      <c r="J142" s="348"/>
      <c r="K142" s="348"/>
      <c r="L142" s="348"/>
      <c r="M142" s="348"/>
      <c r="N142" s="348"/>
      <c r="O142" s="348">
        <v>1664546.9971000019</v>
      </c>
      <c r="P142" s="348"/>
      <c r="Q142" s="353"/>
    </row>
    <row r="143" spans="1:17" x14ac:dyDescent="0.25">
      <c r="A143" s="360" t="s">
        <v>4236</v>
      </c>
      <c r="B143" s="348"/>
      <c r="C143" s="348"/>
      <c r="D143" s="348"/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>
        <v>77508.668799999985</v>
      </c>
      <c r="P143" s="348"/>
      <c r="Q143" s="353"/>
    </row>
    <row r="144" spans="1:17" x14ac:dyDescent="0.25">
      <c r="A144" s="360" t="s">
        <v>4328</v>
      </c>
      <c r="B144" s="348"/>
      <c r="C144" s="348"/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>
        <v>0</v>
      </c>
      <c r="P144" s="348"/>
      <c r="Q144" s="353"/>
    </row>
    <row r="145" spans="1:17" x14ac:dyDescent="0.25">
      <c r="A145" s="360" t="s">
        <v>1302</v>
      </c>
      <c r="B145" s="348"/>
      <c r="C145" s="348"/>
      <c r="D145" s="348"/>
      <c r="E145" s="348"/>
      <c r="F145" s="348"/>
      <c r="G145" s="348"/>
      <c r="H145" s="348"/>
      <c r="I145" s="348"/>
      <c r="J145" s="348"/>
      <c r="K145" s="348"/>
      <c r="L145" s="348"/>
      <c r="M145" s="348"/>
      <c r="N145" s="348"/>
      <c r="O145" s="348">
        <v>0</v>
      </c>
      <c r="P145" s="348"/>
      <c r="Q145" s="353"/>
    </row>
    <row r="146" spans="1:17" x14ac:dyDescent="0.25">
      <c r="A146" s="360" t="s">
        <v>4329</v>
      </c>
      <c r="B146" s="348"/>
      <c r="C146" s="348"/>
      <c r="D146" s="348"/>
      <c r="E146" s="348"/>
      <c r="F146" s="348"/>
      <c r="G146" s="348"/>
      <c r="H146" s="348"/>
      <c r="I146" s="348"/>
      <c r="J146" s="348"/>
      <c r="K146" s="348"/>
      <c r="L146" s="348"/>
      <c r="M146" s="348"/>
      <c r="N146" s="348"/>
      <c r="O146" s="348">
        <v>74653.137900000002</v>
      </c>
      <c r="P146" s="348"/>
      <c r="Q146" s="353"/>
    </row>
    <row r="147" spans="1:17" x14ac:dyDescent="0.25">
      <c r="A147" s="360" t="s">
        <v>4330</v>
      </c>
      <c r="B147" s="348"/>
      <c r="C147" s="348"/>
      <c r="D147" s="348"/>
      <c r="E147" s="348"/>
      <c r="F147" s="348"/>
      <c r="G147" s="348"/>
      <c r="H147" s="348"/>
      <c r="I147" s="348"/>
      <c r="J147" s="348"/>
      <c r="K147" s="348"/>
      <c r="L147" s="348"/>
      <c r="M147" s="348"/>
      <c r="N147" s="348"/>
      <c r="O147" s="348">
        <v>33868.9211</v>
      </c>
      <c r="P147" s="348"/>
      <c r="Q147" s="353"/>
    </row>
    <row r="148" spans="1:17" x14ac:dyDescent="0.25">
      <c r="A148" s="360" t="s">
        <v>4331</v>
      </c>
      <c r="B148" s="348"/>
      <c r="C148" s="348"/>
      <c r="D148" s="348"/>
      <c r="E148" s="348"/>
      <c r="F148" s="348"/>
      <c r="G148" s="348"/>
      <c r="H148" s="348"/>
      <c r="I148" s="348"/>
      <c r="J148" s="348"/>
      <c r="K148" s="348"/>
      <c r="L148" s="348"/>
      <c r="M148" s="348"/>
      <c r="N148" s="348"/>
      <c r="O148" s="348">
        <v>367.29750000000001</v>
      </c>
      <c r="P148" s="348"/>
      <c r="Q148" s="353"/>
    </row>
    <row r="149" spans="1:17" x14ac:dyDescent="0.25">
      <c r="A149" s="360" t="s">
        <v>4332</v>
      </c>
      <c r="B149" s="348"/>
      <c r="C149" s="348"/>
      <c r="D149" s="348"/>
      <c r="E149" s="348"/>
      <c r="F149" s="348"/>
      <c r="G149" s="348"/>
      <c r="H149" s="348"/>
      <c r="I149" s="348"/>
      <c r="J149" s="348"/>
      <c r="K149" s="348"/>
      <c r="L149" s="348"/>
      <c r="M149" s="348"/>
      <c r="N149" s="348"/>
      <c r="O149" s="348">
        <v>0</v>
      </c>
      <c r="P149" s="348"/>
      <c r="Q149" s="353"/>
    </row>
    <row r="150" spans="1:17" x14ac:dyDescent="0.25">
      <c r="A150" s="360" t="s">
        <v>508</v>
      </c>
      <c r="B150" s="348"/>
      <c r="C150" s="348"/>
      <c r="D150" s="348"/>
      <c r="E150" s="348"/>
      <c r="F150" s="348"/>
      <c r="G150" s="348"/>
      <c r="H150" s="348"/>
      <c r="I150" s="348"/>
      <c r="J150" s="348"/>
      <c r="K150" s="348"/>
      <c r="L150" s="348"/>
      <c r="M150" s="348"/>
      <c r="N150" s="348"/>
      <c r="O150" s="348">
        <v>10726024.320600012</v>
      </c>
      <c r="P150" s="348"/>
      <c r="Q150" s="353"/>
    </row>
    <row r="151" spans="1:17" x14ac:dyDescent="0.25">
      <c r="A151" s="360" t="s">
        <v>649</v>
      </c>
      <c r="B151" s="348"/>
      <c r="C151" s="348"/>
      <c r="D151" s="348"/>
      <c r="E151" s="348"/>
      <c r="F151" s="348"/>
      <c r="G151" s="348"/>
      <c r="H151" s="348"/>
      <c r="I151" s="348"/>
      <c r="J151" s="348"/>
      <c r="K151" s="348"/>
      <c r="L151" s="348"/>
      <c r="M151" s="348"/>
      <c r="N151" s="348"/>
      <c r="O151" s="348">
        <v>1358697.6214000001</v>
      </c>
      <c r="P151" s="348"/>
      <c r="Q151" s="353"/>
    </row>
    <row r="152" spans="1:17" x14ac:dyDescent="0.25">
      <c r="A152" s="360" t="s">
        <v>647</v>
      </c>
      <c r="B152" s="348"/>
      <c r="C152" s="348"/>
      <c r="D152" s="348"/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>
        <v>5618101.8011999959</v>
      </c>
      <c r="P152" s="348"/>
      <c r="Q152" s="353"/>
    </row>
    <row r="153" spans="1:17" x14ac:dyDescent="0.25">
      <c r="A153" s="360" t="s">
        <v>648</v>
      </c>
      <c r="B153" s="348"/>
      <c r="C153" s="348"/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>
        <v>8930208.4446999878</v>
      </c>
      <c r="P153" s="348"/>
      <c r="Q153" s="353"/>
    </row>
    <row r="154" spans="1:17" x14ac:dyDescent="0.25">
      <c r="A154" s="360" t="s">
        <v>4237</v>
      </c>
      <c r="B154" s="348"/>
      <c r="C154" s="348"/>
      <c r="D154" s="348"/>
      <c r="E154" s="348"/>
      <c r="F154" s="348"/>
      <c r="G154" s="348"/>
      <c r="H154" s="348"/>
      <c r="I154" s="348"/>
      <c r="J154" s="348"/>
      <c r="K154" s="348"/>
      <c r="L154" s="348"/>
      <c r="M154" s="348"/>
      <c r="N154" s="348"/>
      <c r="O154" s="348">
        <v>2107192.4762999993</v>
      </c>
      <c r="P154" s="348"/>
      <c r="Q154" s="353"/>
    </row>
    <row r="155" spans="1:17" x14ac:dyDescent="0.25">
      <c r="A155" s="360" t="s">
        <v>4333</v>
      </c>
      <c r="B155" s="348"/>
      <c r="C155" s="348"/>
      <c r="D155" s="348"/>
      <c r="E155" s="348"/>
      <c r="F155" s="348"/>
      <c r="G155" s="348"/>
      <c r="H155" s="348"/>
      <c r="I155" s="348"/>
      <c r="J155" s="348"/>
      <c r="K155" s="348"/>
      <c r="L155" s="348"/>
      <c r="M155" s="348"/>
      <c r="N155" s="348"/>
      <c r="O155" s="348">
        <v>138346.89020000002</v>
      </c>
      <c r="P155" s="348"/>
      <c r="Q155" s="353"/>
    </row>
    <row r="156" spans="1:17" x14ac:dyDescent="0.25">
      <c r="A156" s="360" t="s">
        <v>727</v>
      </c>
      <c r="B156" s="348"/>
      <c r="C156" s="348"/>
      <c r="D156" s="348"/>
      <c r="E156" s="348"/>
      <c r="F156" s="348"/>
      <c r="G156" s="348"/>
      <c r="H156" s="348"/>
      <c r="I156" s="348"/>
      <c r="J156" s="348"/>
      <c r="K156" s="348"/>
      <c r="L156" s="348"/>
      <c r="M156" s="348"/>
      <c r="N156" s="348"/>
      <c r="O156" s="348">
        <v>3333523.6881999946</v>
      </c>
      <c r="P156" s="348"/>
      <c r="Q156" s="353"/>
    </row>
    <row r="157" spans="1:17" x14ac:dyDescent="0.25">
      <c r="A157" s="360" t="s">
        <v>2205</v>
      </c>
      <c r="B157" s="348"/>
      <c r="C157" s="348"/>
      <c r="D157" s="348"/>
      <c r="E157" s="348"/>
      <c r="F157" s="348"/>
      <c r="G157" s="348"/>
      <c r="H157" s="348"/>
      <c r="I157" s="348"/>
      <c r="J157" s="348"/>
      <c r="K157" s="348"/>
      <c r="L157" s="348"/>
      <c r="M157" s="348"/>
      <c r="N157" s="348"/>
      <c r="O157" s="348">
        <v>1941729.2513000045</v>
      </c>
      <c r="P157" s="348"/>
      <c r="Q157" s="353"/>
    </row>
    <row r="158" spans="1:17" x14ac:dyDescent="0.25">
      <c r="A158" s="360" t="s">
        <v>3836</v>
      </c>
      <c r="B158" s="348"/>
      <c r="C158" s="348"/>
      <c r="D158" s="348"/>
      <c r="E158" s="348"/>
      <c r="F158" s="348"/>
      <c r="G158" s="348"/>
      <c r="H158" s="348"/>
      <c r="I158" s="348"/>
      <c r="J158" s="348"/>
      <c r="K158" s="348"/>
      <c r="L158" s="348"/>
      <c r="M158" s="348"/>
      <c r="N158" s="348"/>
      <c r="O158" s="348">
        <v>2826173.826899997</v>
      </c>
      <c r="P158" s="348"/>
      <c r="Q158" s="353"/>
    </row>
    <row r="159" spans="1:17" x14ac:dyDescent="0.25">
      <c r="A159" s="360" t="s">
        <v>184</v>
      </c>
      <c r="B159" s="348"/>
      <c r="C159" s="348"/>
      <c r="D159" s="348"/>
      <c r="E159" s="348"/>
      <c r="F159" s="348"/>
      <c r="G159" s="348"/>
      <c r="H159" s="348"/>
      <c r="I159" s="348"/>
      <c r="J159" s="348"/>
      <c r="K159" s="348"/>
      <c r="L159" s="348"/>
      <c r="M159" s="348"/>
      <c r="N159" s="348"/>
      <c r="O159" s="348">
        <v>4147488.8474000017</v>
      </c>
      <c r="P159" s="348">
        <v>3862.8182999999999</v>
      </c>
      <c r="Q159" s="353"/>
    </row>
    <row r="160" spans="1:17" x14ac:dyDescent="0.25">
      <c r="A160" s="360" t="s">
        <v>728</v>
      </c>
      <c r="B160" s="348"/>
      <c r="C160" s="348"/>
      <c r="D160" s="348"/>
      <c r="E160" s="348"/>
      <c r="F160" s="348"/>
      <c r="G160" s="348"/>
      <c r="H160" s="348"/>
      <c r="I160" s="348"/>
      <c r="J160" s="348"/>
      <c r="K160" s="348"/>
      <c r="L160" s="348"/>
      <c r="M160" s="348"/>
      <c r="N160" s="348"/>
      <c r="O160" s="348">
        <v>398585.06029999984</v>
      </c>
      <c r="P160" s="348"/>
      <c r="Q160" s="353"/>
    </row>
    <row r="161" spans="1:17" x14ac:dyDescent="0.25">
      <c r="A161" s="360" t="s">
        <v>3521</v>
      </c>
      <c r="B161" s="348"/>
      <c r="C161" s="348"/>
      <c r="D161" s="348"/>
      <c r="E161" s="348"/>
      <c r="F161" s="348"/>
      <c r="G161" s="348"/>
      <c r="H161" s="348"/>
      <c r="I161" s="348"/>
      <c r="J161" s="348"/>
      <c r="K161" s="348"/>
      <c r="L161" s="348"/>
      <c r="M161" s="348"/>
      <c r="N161" s="348"/>
      <c r="O161" s="348">
        <v>999347.40410000004</v>
      </c>
      <c r="P161" s="348"/>
      <c r="Q161" s="353"/>
    </row>
    <row r="162" spans="1:17" x14ac:dyDescent="0.25">
      <c r="A162" s="360" t="s">
        <v>3516</v>
      </c>
      <c r="B162" s="348"/>
      <c r="C162" s="348"/>
      <c r="D162" s="348"/>
      <c r="E162" s="348"/>
      <c r="F162" s="348"/>
      <c r="G162" s="348"/>
      <c r="H162" s="348"/>
      <c r="I162" s="348"/>
      <c r="J162" s="348"/>
      <c r="K162" s="348"/>
      <c r="L162" s="348"/>
      <c r="M162" s="348"/>
      <c r="N162" s="348"/>
      <c r="O162" s="348">
        <v>404053.83909999998</v>
      </c>
      <c r="P162" s="348"/>
      <c r="Q162" s="353"/>
    </row>
    <row r="163" spans="1:17" x14ac:dyDescent="0.25">
      <c r="A163" s="360" t="s">
        <v>1303</v>
      </c>
      <c r="B163" s="348"/>
      <c r="C163" s="348"/>
      <c r="D163" s="348"/>
      <c r="E163" s="348"/>
      <c r="F163" s="348"/>
      <c r="G163" s="348"/>
      <c r="H163" s="348"/>
      <c r="I163" s="348"/>
      <c r="J163" s="348"/>
      <c r="K163" s="348"/>
      <c r="L163" s="348"/>
      <c r="M163" s="348"/>
      <c r="N163" s="348"/>
      <c r="O163" s="348">
        <v>0.82450000000000001</v>
      </c>
      <c r="P163" s="348">
        <v>0</v>
      </c>
      <c r="Q163" s="353"/>
    </row>
    <row r="164" spans="1:17" x14ac:dyDescent="0.25">
      <c r="A164" s="360" t="s">
        <v>4334</v>
      </c>
      <c r="B164" s="348"/>
      <c r="C164" s="348"/>
      <c r="D164" s="348"/>
      <c r="E164" s="348"/>
      <c r="F164" s="348"/>
      <c r="G164" s="348"/>
      <c r="H164" s="348"/>
      <c r="I164" s="348"/>
      <c r="J164" s="348"/>
      <c r="K164" s="348"/>
      <c r="L164" s="348"/>
      <c r="M164" s="348"/>
      <c r="N164" s="348"/>
      <c r="O164" s="348">
        <v>6378.6045000000004</v>
      </c>
      <c r="P164" s="348"/>
      <c r="Q164" s="353"/>
    </row>
    <row r="165" spans="1:17" x14ac:dyDescent="0.25">
      <c r="A165" s="360" t="s">
        <v>4335</v>
      </c>
      <c r="B165" s="348"/>
      <c r="C165" s="348"/>
      <c r="D165" s="348"/>
      <c r="E165" s="348"/>
      <c r="F165" s="348"/>
      <c r="G165" s="348"/>
      <c r="H165" s="348"/>
      <c r="I165" s="348"/>
      <c r="J165" s="348"/>
      <c r="K165" s="348"/>
      <c r="L165" s="348"/>
      <c r="M165" s="348"/>
      <c r="N165" s="348"/>
      <c r="O165" s="348">
        <v>0</v>
      </c>
      <c r="P165" s="348"/>
      <c r="Q165" s="353"/>
    </row>
    <row r="166" spans="1:17" x14ac:dyDescent="0.25">
      <c r="A166" s="360" t="s">
        <v>4336</v>
      </c>
      <c r="B166" s="348"/>
      <c r="C166" s="348"/>
      <c r="D166" s="348"/>
      <c r="E166" s="348"/>
      <c r="F166" s="348"/>
      <c r="G166" s="348"/>
      <c r="H166" s="348"/>
      <c r="I166" s="348"/>
      <c r="J166" s="348"/>
      <c r="K166" s="348"/>
      <c r="L166" s="348"/>
      <c r="M166" s="348"/>
      <c r="N166" s="348"/>
      <c r="O166" s="348">
        <v>0</v>
      </c>
      <c r="P166" s="348"/>
      <c r="Q166" s="353"/>
    </row>
    <row r="167" spans="1:17" x14ac:dyDescent="0.25">
      <c r="A167" s="360" t="s">
        <v>864</v>
      </c>
      <c r="B167" s="348"/>
      <c r="C167" s="348"/>
      <c r="D167" s="348"/>
      <c r="E167" s="348"/>
      <c r="F167" s="348"/>
      <c r="G167" s="348"/>
      <c r="H167" s="348"/>
      <c r="I167" s="348"/>
      <c r="J167" s="348"/>
      <c r="K167" s="348"/>
      <c r="L167" s="348"/>
      <c r="M167" s="348"/>
      <c r="N167" s="348"/>
      <c r="O167" s="348">
        <v>10590001.27710001</v>
      </c>
      <c r="P167" s="348"/>
      <c r="Q167" s="353"/>
    </row>
    <row r="168" spans="1:17" x14ac:dyDescent="0.25">
      <c r="A168" s="360" t="s">
        <v>2521</v>
      </c>
      <c r="B168" s="348"/>
      <c r="C168" s="348"/>
      <c r="D168" s="348"/>
      <c r="E168" s="348"/>
      <c r="F168" s="348"/>
      <c r="G168" s="348"/>
      <c r="H168" s="348"/>
      <c r="I168" s="348"/>
      <c r="J168" s="348"/>
      <c r="K168" s="348"/>
      <c r="L168" s="348"/>
      <c r="M168" s="348"/>
      <c r="N168" s="348"/>
      <c r="O168" s="348">
        <v>7243079.5509999879</v>
      </c>
      <c r="P168" s="348">
        <v>631.20230000000004</v>
      </c>
      <c r="Q168" s="353">
        <v>6.0000000000000001E-3</v>
      </c>
    </row>
    <row r="169" spans="1:17" x14ac:dyDescent="0.25">
      <c r="A169" s="360" t="s">
        <v>511</v>
      </c>
      <c r="B169" s="348"/>
      <c r="C169" s="348"/>
      <c r="D169" s="348"/>
      <c r="E169" s="348"/>
      <c r="F169" s="348"/>
      <c r="G169" s="348"/>
      <c r="H169" s="348"/>
      <c r="I169" s="348"/>
      <c r="J169" s="348"/>
      <c r="K169" s="348"/>
      <c r="L169" s="348"/>
      <c r="M169" s="348"/>
      <c r="N169" s="348"/>
      <c r="O169" s="348">
        <v>2493081.5535999998</v>
      </c>
      <c r="P169" s="348"/>
      <c r="Q169" s="353"/>
    </row>
    <row r="170" spans="1:17" x14ac:dyDescent="0.25">
      <c r="A170" s="360" t="s">
        <v>512</v>
      </c>
      <c r="B170" s="348"/>
      <c r="C170" s="348"/>
      <c r="D170" s="348"/>
      <c r="E170" s="348"/>
      <c r="F170" s="348"/>
      <c r="G170" s="348"/>
      <c r="H170" s="348"/>
      <c r="I170" s="348"/>
      <c r="J170" s="348"/>
      <c r="K170" s="348"/>
      <c r="L170" s="348"/>
      <c r="M170" s="348"/>
      <c r="N170" s="348"/>
      <c r="O170" s="348">
        <v>3803285.0402000002</v>
      </c>
      <c r="P170" s="348"/>
      <c r="Q170" s="353"/>
    </row>
    <row r="171" spans="1:17" x14ac:dyDescent="0.25">
      <c r="A171" s="360" t="s">
        <v>2363</v>
      </c>
      <c r="B171" s="348"/>
      <c r="C171" s="348"/>
      <c r="D171" s="348"/>
      <c r="E171" s="348"/>
      <c r="F171" s="348"/>
      <c r="G171" s="348"/>
      <c r="H171" s="348"/>
      <c r="I171" s="348"/>
      <c r="J171" s="348"/>
      <c r="K171" s="348"/>
      <c r="L171" s="348"/>
      <c r="M171" s="348"/>
      <c r="N171" s="348"/>
      <c r="O171" s="348">
        <v>2700598.8962000017</v>
      </c>
      <c r="P171" s="348"/>
      <c r="Q171" s="353"/>
    </row>
    <row r="172" spans="1:17" x14ac:dyDescent="0.25">
      <c r="A172" s="360" t="s">
        <v>1088</v>
      </c>
      <c r="B172" s="348"/>
      <c r="C172" s="348"/>
      <c r="D172" s="348"/>
      <c r="E172" s="348"/>
      <c r="F172" s="348"/>
      <c r="G172" s="348"/>
      <c r="H172" s="348"/>
      <c r="I172" s="348"/>
      <c r="J172" s="348"/>
      <c r="K172" s="348"/>
      <c r="L172" s="348"/>
      <c r="M172" s="348"/>
      <c r="N172" s="348"/>
      <c r="O172" s="348">
        <v>29921921.111200053</v>
      </c>
      <c r="P172" s="348">
        <v>9423.2127</v>
      </c>
      <c r="Q172" s="353">
        <v>0</v>
      </c>
    </row>
    <row r="173" spans="1:17" x14ac:dyDescent="0.25">
      <c r="A173" s="360" t="s">
        <v>1386</v>
      </c>
      <c r="B173" s="348"/>
      <c r="C173" s="348"/>
      <c r="D173" s="348"/>
      <c r="E173" s="348"/>
      <c r="F173" s="348"/>
      <c r="G173" s="348"/>
      <c r="H173" s="348"/>
      <c r="I173" s="348"/>
      <c r="J173" s="348"/>
      <c r="K173" s="348"/>
      <c r="L173" s="348"/>
      <c r="M173" s="348"/>
      <c r="N173" s="348"/>
      <c r="O173" s="348">
        <v>2734433.8368000053</v>
      </c>
      <c r="P173" s="348">
        <v>0</v>
      </c>
      <c r="Q173" s="353"/>
    </row>
    <row r="174" spans="1:17" x14ac:dyDescent="0.25">
      <c r="A174" s="360" t="s">
        <v>510</v>
      </c>
      <c r="B174" s="348"/>
      <c r="C174" s="348"/>
      <c r="D174" s="348"/>
      <c r="E174" s="348"/>
      <c r="F174" s="348"/>
      <c r="G174" s="348"/>
      <c r="H174" s="348"/>
      <c r="I174" s="348"/>
      <c r="J174" s="348"/>
      <c r="K174" s="348"/>
      <c r="L174" s="348"/>
      <c r="M174" s="348"/>
      <c r="N174" s="348"/>
      <c r="O174" s="348">
        <v>4185279.1824000003</v>
      </c>
      <c r="P174" s="348">
        <v>1319.4401</v>
      </c>
      <c r="Q174" s="353"/>
    </row>
    <row r="175" spans="1:17" x14ac:dyDescent="0.25">
      <c r="A175" s="360" t="s">
        <v>4337</v>
      </c>
      <c r="B175" s="348"/>
      <c r="C175" s="348"/>
      <c r="D175" s="348"/>
      <c r="E175" s="348"/>
      <c r="F175" s="348"/>
      <c r="G175" s="348"/>
      <c r="H175" s="348"/>
      <c r="I175" s="348"/>
      <c r="J175" s="348"/>
      <c r="K175" s="348"/>
      <c r="L175" s="348"/>
      <c r="M175" s="348"/>
      <c r="N175" s="348"/>
      <c r="O175" s="348">
        <v>0</v>
      </c>
      <c r="P175" s="348"/>
      <c r="Q175" s="353"/>
    </row>
    <row r="176" spans="1:17" x14ac:dyDescent="0.25">
      <c r="A176" s="360" t="s">
        <v>4238</v>
      </c>
      <c r="B176" s="348"/>
      <c r="C176" s="348"/>
      <c r="D176" s="348"/>
      <c r="E176" s="348"/>
      <c r="F176" s="348"/>
      <c r="G176" s="348"/>
      <c r="H176" s="348"/>
      <c r="I176" s="348"/>
      <c r="J176" s="348"/>
      <c r="K176" s="348"/>
      <c r="L176" s="348"/>
      <c r="M176" s="348"/>
      <c r="N176" s="348"/>
      <c r="O176" s="348">
        <v>1066941.9194999989</v>
      </c>
      <c r="P176" s="348"/>
      <c r="Q176" s="353"/>
    </row>
    <row r="177" spans="1:17" x14ac:dyDescent="0.25">
      <c r="A177" s="360" t="s">
        <v>4239</v>
      </c>
      <c r="B177" s="348"/>
      <c r="C177" s="348"/>
      <c r="D177" s="348"/>
      <c r="E177" s="348"/>
      <c r="F177" s="348"/>
      <c r="G177" s="348"/>
      <c r="H177" s="348"/>
      <c r="I177" s="348"/>
      <c r="J177" s="348"/>
      <c r="K177" s="348"/>
      <c r="L177" s="348"/>
      <c r="M177" s="348"/>
      <c r="N177" s="348"/>
      <c r="O177" s="348">
        <v>109847.00930000001</v>
      </c>
      <c r="P177" s="348"/>
      <c r="Q177" s="353"/>
    </row>
    <row r="178" spans="1:17" x14ac:dyDescent="0.25">
      <c r="A178" s="360" t="s">
        <v>4338</v>
      </c>
      <c r="B178" s="348"/>
      <c r="C178" s="348"/>
      <c r="D178" s="348"/>
      <c r="E178" s="348"/>
      <c r="F178" s="348"/>
      <c r="G178" s="348"/>
      <c r="H178" s="348"/>
      <c r="I178" s="348"/>
      <c r="J178" s="348"/>
      <c r="K178" s="348"/>
      <c r="L178" s="348"/>
      <c r="M178" s="348"/>
      <c r="N178" s="348"/>
      <c r="O178" s="348">
        <v>0</v>
      </c>
      <c r="P178" s="348"/>
      <c r="Q178" s="353"/>
    </row>
    <row r="179" spans="1:17" x14ac:dyDescent="0.25">
      <c r="A179" s="360" t="s">
        <v>1304</v>
      </c>
      <c r="B179" s="348"/>
      <c r="C179" s="348"/>
      <c r="D179" s="348"/>
      <c r="E179" s="348"/>
      <c r="F179" s="348"/>
      <c r="G179" s="348"/>
      <c r="H179" s="348"/>
      <c r="I179" s="348"/>
      <c r="J179" s="348"/>
      <c r="K179" s="348"/>
      <c r="L179" s="348"/>
      <c r="M179" s="348"/>
      <c r="N179" s="348"/>
      <c r="O179" s="348">
        <v>473.0403</v>
      </c>
      <c r="P179" s="348"/>
      <c r="Q179" s="353"/>
    </row>
    <row r="180" spans="1:17" x14ac:dyDescent="0.25">
      <c r="A180" s="360" t="s">
        <v>4339</v>
      </c>
      <c r="B180" s="348"/>
      <c r="C180" s="348"/>
      <c r="D180" s="348"/>
      <c r="E180" s="348"/>
      <c r="F180" s="348"/>
      <c r="G180" s="348"/>
      <c r="H180" s="348"/>
      <c r="I180" s="348"/>
      <c r="J180" s="348"/>
      <c r="K180" s="348"/>
      <c r="L180" s="348"/>
      <c r="M180" s="348"/>
      <c r="N180" s="348"/>
      <c r="O180" s="348">
        <v>3081.7977000000001</v>
      </c>
      <c r="P180" s="348"/>
      <c r="Q180" s="353"/>
    </row>
    <row r="181" spans="1:17" x14ac:dyDescent="0.25">
      <c r="A181" s="360" t="s">
        <v>4340</v>
      </c>
      <c r="B181" s="348"/>
      <c r="C181" s="348"/>
      <c r="D181" s="348"/>
      <c r="E181" s="348"/>
      <c r="F181" s="348"/>
      <c r="G181" s="348"/>
      <c r="H181" s="348"/>
      <c r="I181" s="348"/>
      <c r="J181" s="348"/>
      <c r="K181" s="348"/>
      <c r="L181" s="348"/>
      <c r="M181" s="348"/>
      <c r="N181" s="348"/>
      <c r="O181" s="348">
        <v>989.77729999999997</v>
      </c>
      <c r="P181" s="348"/>
      <c r="Q181" s="353"/>
    </row>
    <row r="182" spans="1:17" x14ac:dyDescent="0.25">
      <c r="A182" s="360" t="s">
        <v>4203</v>
      </c>
      <c r="B182" s="348"/>
      <c r="C182" s="348"/>
      <c r="D182" s="348"/>
      <c r="E182" s="348"/>
      <c r="F182" s="348"/>
      <c r="G182" s="348"/>
      <c r="H182" s="348"/>
      <c r="I182" s="348"/>
      <c r="J182" s="348"/>
      <c r="K182" s="348"/>
      <c r="L182" s="348"/>
      <c r="M182" s="348"/>
      <c r="N182" s="348"/>
      <c r="O182" s="348">
        <v>4713431.3247999921</v>
      </c>
      <c r="P182" s="348"/>
      <c r="Q182" s="353"/>
    </row>
    <row r="183" spans="1:17" x14ac:dyDescent="0.25">
      <c r="A183" s="360" t="s">
        <v>604</v>
      </c>
      <c r="B183" s="348"/>
      <c r="C183" s="348"/>
      <c r="D183" s="348"/>
      <c r="E183" s="348"/>
      <c r="F183" s="348"/>
      <c r="G183" s="348"/>
      <c r="H183" s="348"/>
      <c r="I183" s="348"/>
      <c r="J183" s="348"/>
      <c r="K183" s="348"/>
      <c r="L183" s="348"/>
      <c r="M183" s="348"/>
      <c r="N183" s="348"/>
      <c r="O183" s="348">
        <v>10235199.1327</v>
      </c>
      <c r="P183" s="348"/>
      <c r="Q183" s="353">
        <v>106.79</v>
      </c>
    </row>
    <row r="184" spans="1:17" x14ac:dyDescent="0.25">
      <c r="A184" s="360" t="s">
        <v>865</v>
      </c>
      <c r="B184" s="348"/>
      <c r="C184" s="348"/>
      <c r="D184" s="348"/>
      <c r="E184" s="348"/>
      <c r="F184" s="348"/>
      <c r="G184" s="348"/>
      <c r="H184" s="348"/>
      <c r="I184" s="348"/>
      <c r="J184" s="348"/>
      <c r="K184" s="348"/>
      <c r="L184" s="348"/>
      <c r="M184" s="348"/>
      <c r="N184" s="348"/>
      <c r="O184" s="348">
        <v>5341343.5107999966</v>
      </c>
      <c r="P184" s="348">
        <v>0</v>
      </c>
      <c r="Q184" s="353"/>
    </row>
    <row r="185" spans="1:17" x14ac:dyDescent="0.25">
      <c r="A185" s="360" t="s">
        <v>2597</v>
      </c>
      <c r="B185" s="348"/>
      <c r="C185" s="348"/>
      <c r="D185" s="348"/>
      <c r="E185" s="348"/>
      <c r="F185" s="348"/>
      <c r="G185" s="348"/>
      <c r="H185" s="348"/>
      <c r="I185" s="348"/>
      <c r="J185" s="348"/>
      <c r="K185" s="348"/>
      <c r="L185" s="348"/>
      <c r="M185" s="348"/>
      <c r="N185" s="348"/>
      <c r="O185" s="348">
        <v>150863944.94780007</v>
      </c>
      <c r="P185" s="348">
        <v>244985.6121</v>
      </c>
      <c r="Q185" s="353">
        <v>0</v>
      </c>
    </row>
    <row r="186" spans="1:17" x14ac:dyDescent="0.25">
      <c r="A186" s="360" t="s">
        <v>3318</v>
      </c>
      <c r="B186" s="348"/>
      <c r="C186" s="348"/>
      <c r="D186" s="348"/>
      <c r="E186" s="348"/>
      <c r="F186" s="348"/>
      <c r="G186" s="348"/>
      <c r="H186" s="348"/>
      <c r="I186" s="348"/>
      <c r="J186" s="348"/>
      <c r="K186" s="348"/>
      <c r="L186" s="348"/>
      <c r="M186" s="348"/>
      <c r="N186" s="348"/>
      <c r="O186" s="348">
        <v>49681413.864899926</v>
      </c>
      <c r="P186" s="348">
        <v>9779.6990999999998</v>
      </c>
      <c r="Q186" s="353"/>
    </row>
    <row r="187" spans="1:17" x14ac:dyDescent="0.25">
      <c r="A187" s="360" t="s">
        <v>2916</v>
      </c>
      <c r="B187" s="348"/>
      <c r="C187" s="348"/>
      <c r="D187" s="348"/>
      <c r="E187" s="348"/>
      <c r="F187" s="348"/>
      <c r="G187" s="348"/>
      <c r="H187" s="348"/>
      <c r="I187" s="348"/>
      <c r="J187" s="348"/>
      <c r="K187" s="348"/>
      <c r="L187" s="348"/>
      <c r="M187" s="348"/>
      <c r="N187" s="348"/>
      <c r="O187" s="348">
        <v>12342555.411499983</v>
      </c>
      <c r="P187" s="348"/>
      <c r="Q187" s="353"/>
    </row>
    <row r="188" spans="1:17" x14ac:dyDescent="0.25">
      <c r="A188" s="360" t="s">
        <v>823</v>
      </c>
      <c r="B188" s="348"/>
      <c r="C188" s="348"/>
      <c r="D188" s="348"/>
      <c r="E188" s="348"/>
      <c r="F188" s="348"/>
      <c r="G188" s="348"/>
      <c r="H188" s="348"/>
      <c r="I188" s="348"/>
      <c r="J188" s="348"/>
      <c r="K188" s="348"/>
      <c r="L188" s="348"/>
      <c r="M188" s="348"/>
      <c r="N188" s="348"/>
      <c r="O188" s="348">
        <v>5795704.0502999937</v>
      </c>
      <c r="P188" s="348">
        <v>1093.9383</v>
      </c>
      <c r="Q188" s="353">
        <v>0</v>
      </c>
    </row>
    <row r="189" spans="1:17" x14ac:dyDescent="0.25">
      <c r="A189" s="360" t="s">
        <v>4204</v>
      </c>
      <c r="B189" s="348"/>
      <c r="C189" s="348"/>
      <c r="D189" s="348"/>
      <c r="E189" s="348"/>
      <c r="F189" s="348"/>
      <c r="G189" s="348"/>
      <c r="H189" s="348"/>
      <c r="I189" s="348"/>
      <c r="J189" s="348"/>
      <c r="K189" s="348"/>
      <c r="L189" s="348"/>
      <c r="M189" s="348"/>
      <c r="N189" s="348"/>
      <c r="O189" s="348">
        <v>4217662.0552000031</v>
      </c>
      <c r="P189" s="348">
        <v>0</v>
      </c>
      <c r="Q189" s="353"/>
    </row>
    <row r="190" spans="1:17" x14ac:dyDescent="0.25">
      <c r="A190" s="360" t="s">
        <v>2535</v>
      </c>
      <c r="B190" s="348"/>
      <c r="C190" s="348"/>
      <c r="D190" s="348"/>
      <c r="E190" s="348"/>
      <c r="F190" s="348"/>
      <c r="G190" s="348"/>
      <c r="H190" s="348"/>
      <c r="I190" s="348"/>
      <c r="J190" s="348"/>
      <c r="K190" s="348"/>
      <c r="L190" s="348"/>
      <c r="M190" s="348"/>
      <c r="N190" s="348"/>
      <c r="O190" s="348">
        <v>47135316.513400041</v>
      </c>
      <c r="P190" s="348">
        <v>196904.91</v>
      </c>
      <c r="Q190" s="353"/>
    </row>
    <row r="191" spans="1:17" x14ac:dyDescent="0.25">
      <c r="A191" s="360" t="s">
        <v>4201</v>
      </c>
      <c r="B191" s="348"/>
      <c r="C191" s="348"/>
      <c r="D191" s="348"/>
      <c r="E191" s="348"/>
      <c r="F191" s="348"/>
      <c r="G191" s="348"/>
      <c r="H191" s="348"/>
      <c r="I191" s="348"/>
      <c r="J191" s="348"/>
      <c r="K191" s="348"/>
      <c r="L191" s="348"/>
      <c r="M191" s="348"/>
      <c r="N191" s="348"/>
      <c r="O191" s="348">
        <v>6087587.4256000128</v>
      </c>
      <c r="P191" s="348">
        <v>0</v>
      </c>
      <c r="Q191" s="353"/>
    </row>
    <row r="192" spans="1:17" x14ac:dyDescent="0.25">
      <c r="A192" s="360" t="s">
        <v>4341</v>
      </c>
      <c r="B192" s="348"/>
      <c r="C192" s="348"/>
      <c r="D192" s="348"/>
      <c r="E192" s="348"/>
      <c r="F192" s="348"/>
      <c r="G192" s="348"/>
      <c r="H192" s="348"/>
      <c r="I192" s="348"/>
      <c r="J192" s="348"/>
      <c r="K192" s="348"/>
      <c r="L192" s="348"/>
      <c r="M192" s="348"/>
      <c r="N192" s="348"/>
      <c r="O192" s="348">
        <v>484586.37499999994</v>
      </c>
      <c r="P192" s="348"/>
      <c r="Q192" s="353"/>
    </row>
    <row r="193" spans="1:17" x14ac:dyDescent="0.25">
      <c r="A193" s="360" t="s">
        <v>3546</v>
      </c>
      <c r="B193" s="348"/>
      <c r="C193" s="348"/>
      <c r="D193" s="348"/>
      <c r="E193" s="348"/>
      <c r="F193" s="348"/>
      <c r="G193" s="348"/>
      <c r="H193" s="348"/>
      <c r="I193" s="348"/>
      <c r="J193" s="348"/>
      <c r="K193" s="348"/>
      <c r="L193" s="348"/>
      <c r="M193" s="348"/>
      <c r="N193" s="348"/>
      <c r="O193" s="348">
        <v>13154193.886499999</v>
      </c>
      <c r="P193" s="348">
        <v>288.49560000000002</v>
      </c>
      <c r="Q193" s="353"/>
    </row>
    <row r="194" spans="1:17" x14ac:dyDescent="0.25">
      <c r="A194" s="360" t="s">
        <v>4112</v>
      </c>
      <c r="B194" s="348"/>
      <c r="C194" s="348"/>
      <c r="D194" s="348"/>
      <c r="E194" s="348"/>
      <c r="F194" s="348"/>
      <c r="G194" s="348"/>
      <c r="H194" s="348"/>
      <c r="I194" s="348"/>
      <c r="J194" s="348"/>
      <c r="K194" s="348"/>
      <c r="L194" s="348"/>
      <c r="M194" s="348"/>
      <c r="N194" s="348"/>
      <c r="O194" s="348">
        <v>28659377.275800012</v>
      </c>
      <c r="P194" s="348">
        <v>28697.084800000001</v>
      </c>
      <c r="Q194" s="353"/>
    </row>
    <row r="195" spans="1:17" x14ac:dyDescent="0.25">
      <c r="A195" s="360" t="s">
        <v>1089</v>
      </c>
      <c r="B195" s="348"/>
      <c r="C195" s="348"/>
      <c r="D195" s="348"/>
      <c r="E195" s="348"/>
      <c r="F195" s="348"/>
      <c r="G195" s="348"/>
      <c r="H195" s="348"/>
      <c r="I195" s="348"/>
      <c r="J195" s="348"/>
      <c r="K195" s="348"/>
      <c r="L195" s="348"/>
      <c r="M195" s="348"/>
      <c r="N195" s="348"/>
      <c r="O195" s="348">
        <v>6075548.6351000005</v>
      </c>
      <c r="P195" s="348">
        <v>4782.7936</v>
      </c>
      <c r="Q195" s="353"/>
    </row>
    <row r="196" spans="1:17" x14ac:dyDescent="0.25">
      <c r="A196" s="360" t="s">
        <v>4197</v>
      </c>
      <c r="B196" s="348"/>
      <c r="C196" s="348"/>
      <c r="D196" s="348"/>
      <c r="E196" s="348"/>
      <c r="F196" s="348"/>
      <c r="G196" s="348"/>
      <c r="H196" s="348"/>
      <c r="I196" s="348"/>
      <c r="J196" s="348"/>
      <c r="K196" s="348"/>
      <c r="L196" s="348"/>
      <c r="M196" s="348"/>
      <c r="N196" s="348"/>
      <c r="O196" s="348">
        <v>22368139.146099947</v>
      </c>
      <c r="P196" s="348">
        <v>176282.27310000002</v>
      </c>
      <c r="Q196" s="353">
        <v>8749.7178000000004</v>
      </c>
    </row>
    <row r="197" spans="1:17" x14ac:dyDescent="0.25">
      <c r="A197" s="360" t="s">
        <v>2596</v>
      </c>
      <c r="B197" s="348"/>
      <c r="C197" s="348"/>
      <c r="D197" s="348"/>
      <c r="E197" s="348"/>
      <c r="F197" s="348"/>
      <c r="G197" s="348"/>
      <c r="H197" s="348"/>
      <c r="I197" s="348"/>
      <c r="J197" s="348"/>
      <c r="K197" s="348"/>
      <c r="L197" s="348"/>
      <c r="M197" s="348"/>
      <c r="N197" s="348"/>
      <c r="O197" s="348">
        <v>22284151.907099999</v>
      </c>
      <c r="P197" s="348">
        <v>16549.044999999998</v>
      </c>
      <c r="Q197" s="353"/>
    </row>
    <row r="198" spans="1:17" x14ac:dyDescent="0.25">
      <c r="A198" s="360" t="s">
        <v>3534</v>
      </c>
      <c r="B198" s="348"/>
      <c r="C198" s="348"/>
      <c r="D198" s="348"/>
      <c r="E198" s="348"/>
      <c r="F198" s="348"/>
      <c r="G198" s="348"/>
      <c r="H198" s="348"/>
      <c r="I198" s="348"/>
      <c r="J198" s="348"/>
      <c r="K198" s="348"/>
      <c r="L198" s="348"/>
      <c r="M198" s="348"/>
      <c r="N198" s="348"/>
      <c r="O198" s="348">
        <v>7321451.4582999926</v>
      </c>
      <c r="P198" s="348">
        <v>4865.9715999999999</v>
      </c>
      <c r="Q198" s="353">
        <v>2196.6187999999997</v>
      </c>
    </row>
    <row r="199" spans="1:17" x14ac:dyDescent="0.25">
      <c r="A199" s="360" t="s">
        <v>4193</v>
      </c>
      <c r="B199" s="348"/>
      <c r="C199" s="348"/>
      <c r="D199" s="348"/>
      <c r="E199" s="348"/>
      <c r="F199" s="348"/>
      <c r="G199" s="348"/>
      <c r="H199" s="348"/>
      <c r="I199" s="348"/>
      <c r="J199" s="348"/>
      <c r="K199" s="348"/>
      <c r="L199" s="348"/>
      <c r="M199" s="348"/>
      <c r="N199" s="348"/>
      <c r="O199" s="348">
        <v>6588445.2851999803</v>
      </c>
      <c r="P199" s="348"/>
      <c r="Q199" s="353"/>
    </row>
    <row r="200" spans="1:17" x14ac:dyDescent="0.25">
      <c r="A200" s="360" t="s">
        <v>2598</v>
      </c>
      <c r="B200" s="348"/>
      <c r="C200" s="348"/>
      <c r="D200" s="348"/>
      <c r="E200" s="348"/>
      <c r="F200" s="348"/>
      <c r="G200" s="348"/>
      <c r="H200" s="348"/>
      <c r="I200" s="348"/>
      <c r="J200" s="348"/>
      <c r="K200" s="348"/>
      <c r="L200" s="348"/>
      <c r="M200" s="348"/>
      <c r="N200" s="348"/>
      <c r="O200" s="348">
        <v>6908346.2648999961</v>
      </c>
      <c r="P200" s="348">
        <v>4323.0654000000004</v>
      </c>
      <c r="Q200" s="353"/>
    </row>
    <row r="201" spans="1:17" x14ac:dyDescent="0.25">
      <c r="A201" s="360" t="s">
        <v>618</v>
      </c>
      <c r="B201" s="348"/>
      <c r="C201" s="348"/>
      <c r="D201" s="348"/>
      <c r="E201" s="348"/>
      <c r="F201" s="348"/>
      <c r="G201" s="348"/>
      <c r="H201" s="348"/>
      <c r="I201" s="348"/>
      <c r="J201" s="348"/>
      <c r="K201" s="348"/>
      <c r="L201" s="348"/>
      <c r="M201" s="348"/>
      <c r="N201" s="348"/>
      <c r="O201" s="348">
        <v>17340118.79679998</v>
      </c>
      <c r="P201" s="348">
        <v>8929.0812000000005</v>
      </c>
      <c r="Q201" s="353">
        <v>2927.5740999999998</v>
      </c>
    </row>
    <row r="202" spans="1:17" x14ac:dyDescent="0.25">
      <c r="A202" s="360" t="s">
        <v>2349</v>
      </c>
      <c r="B202" s="348"/>
      <c r="C202" s="348"/>
      <c r="D202" s="348"/>
      <c r="E202" s="348"/>
      <c r="F202" s="348"/>
      <c r="G202" s="348"/>
      <c r="H202" s="348"/>
      <c r="I202" s="348"/>
      <c r="J202" s="348"/>
      <c r="K202" s="348"/>
      <c r="L202" s="348"/>
      <c r="M202" s="348"/>
      <c r="N202" s="348"/>
      <c r="O202" s="348">
        <v>11359938.373100007</v>
      </c>
      <c r="P202" s="348"/>
      <c r="Q202" s="353"/>
    </row>
    <row r="203" spans="1:17" x14ac:dyDescent="0.25">
      <c r="A203" s="360" t="s">
        <v>2350</v>
      </c>
      <c r="B203" s="348"/>
      <c r="C203" s="348"/>
      <c r="D203" s="348"/>
      <c r="E203" s="348"/>
      <c r="F203" s="348"/>
      <c r="G203" s="348"/>
      <c r="H203" s="348"/>
      <c r="I203" s="348"/>
      <c r="J203" s="348"/>
      <c r="K203" s="348"/>
      <c r="L203" s="348"/>
      <c r="M203" s="348"/>
      <c r="N203" s="348"/>
      <c r="O203" s="348">
        <v>8875220.5280999858</v>
      </c>
      <c r="P203" s="348">
        <v>4330.1751000000004</v>
      </c>
      <c r="Q203" s="353"/>
    </row>
    <row r="204" spans="1:17" x14ac:dyDescent="0.25">
      <c r="A204" s="360" t="s">
        <v>4199</v>
      </c>
      <c r="B204" s="348"/>
      <c r="C204" s="348"/>
      <c r="D204" s="348"/>
      <c r="E204" s="348"/>
      <c r="F204" s="348"/>
      <c r="G204" s="348"/>
      <c r="H204" s="348"/>
      <c r="I204" s="348"/>
      <c r="J204" s="348"/>
      <c r="K204" s="348"/>
      <c r="L204" s="348"/>
      <c r="M204" s="348"/>
      <c r="N204" s="348"/>
      <c r="O204" s="348">
        <v>7796756.5490999976</v>
      </c>
      <c r="P204" s="348">
        <v>4391.1746999999996</v>
      </c>
      <c r="Q204" s="353"/>
    </row>
    <row r="205" spans="1:17" x14ac:dyDescent="0.25">
      <c r="A205" s="360" t="s">
        <v>2592</v>
      </c>
      <c r="B205" s="348"/>
      <c r="C205" s="348"/>
      <c r="D205" s="348"/>
      <c r="E205" s="348"/>
      <c r="F205" s="348"/>
      <c r="G205" s="348"/>
      <c r="H205" s="348"/>
      <c r="I205" s="348"/>
      <c r="J205" s="348"/>
      <c r="K205" s="348"/>
      <c r="L205" s="348"/>
      <c r="M205" s="348"/>
      <c r="N205" s="348"/>
      <c r="O205" s="348">
        <v>23471218.964699995</v>
      </c>
      <c r="P205" s="348">
        <v>61861.02</v>
      </c>
      <c r="Q205" s="353">
        <v>1060.5482999999999</v>
      </c>
    </row>
    <row r="206" spans="1:17" x14ac:dyDescent="0.25">
      <c r="A206" s="360" t="s">
        <v>3127</v>
      </c>
      <c r="B206" s="348"/>
      <c r="C206" s="348"/>
      <c r="D206" s="348"/>
      <c r="E206" s="348"/>
      <c r="F206" s="348"/>
      <c r="G206" s="348"/>
      <c r="H206" s="348"/>
      <c r="I206" s="348"/>
      <c r="J206" s="348"/>
      <c r="K206" s="348"/>
      <c r="L206" s="348"/>
      <c r="M206" s="348"/>
      <c r="N206" s="348"/>
      <c r="O206" s="348">
        <v>62429567.51920002</v>
      </c>
      <c r="P206" s="348">
        <v>16008.0867</v>
      </c>
      <c r="Q206" s="353">
        <v>0</v>
      </c>
    </row>
    <row r="207" spans="1:17" x14ac:dyDescent="0.25">
      <c r="A207" s="360" t="s">
        <v>4105</v>
      </c>
      <c r="B207" s="348"/>
      <c r="C207" s="348"/>
      <c r="D207" s="348"/>
      <c r="E207" s="348"/>
      <c r="F207" s="348"/>
      <c r="G207" s="348"/>
      <c r="H207" s="348"/>
      <c r="I207" s="348"/>
      <c r="J207" s="348"/>
      <c r="K207" s="348"/>
      <c r="L207" s="348"/>
      <c r="M207" s="348"/>
      <c r="N207" s="348"/>
      <c r="O207" s="348">
        <v>28900249.754799988</v>
      </c>
      <c r="P207" s="348">
        <v>393.7217</v>
      </c>
      <c r="Q207" s="353">
        <v>2156.6226999999999</v>
      </c>
    </row>
    <row r="208" spans="1:17" x14ac:dyDescent="0.25">
      <c r="A208" s="360" t="s">
        <v>605</v>
      </c>
      <c r="B208" s="348"/>
      <c r="C208" s="348"/>
      <c r="D208" s="348"/>
      <c r="E208" s="348"/>
      <c r="F208" s="348"/>
      <c r="G208" s="348"/>
      <c r="H208" s="348"/>
      <c r="I208" s="348"/>
      <c r="J208" s="348"/>
      <c r="K208" s="348"/>
      <c r="L208" s="348"/>
      <c r="M208" s="348"/>
      <c r="N208" s="348"/>
      <c r="O208" s="348">
        <v>5585007.6498000054</v>
      </c>
      <c r="P208" s="348">
        <v>4864.1368000000002</v>
      </c>
      <c r="Q208" s="353"/>
    </row>
    <row r="209" spans="1:17" x14ac:dyDescent="0.25">
      <c r="A209" s="360" t="s">
        <v>1091</v>
      </c>
      <c r="B209" s="348"/>
      <c r="C209" s="348"/>
      <c r="D209" s="348"/>
      <c r="E209" s="348"/>
      <c r="F209" s="348"/>
      <c r="G209" s="348"/>
      <c r="H209" s="348"/>
      <c r="I209" s="348"/>
      <c r="J209" s="348"/>
      <c r="K209" s="348"/>
      <c r="L209" s="348"/>
      <c r="M209" s="348"/>
      <c r="N209" s="348"/>
      <c r="O209" s="348">
        <v>71363953.552299842</v>
      </c>
      <c r="P209" s="348">
        <v>1687654.6400999997</v>
      </c>
      <c r="Q209" s="353">
        <v>1769.8983000000001</v>
      </c>
    </row>
    <row r="210" spans="1:17" x14ac:dyDescent="0.25">
      <c r="A210" s="360" t="s">
        <v>4107</v>
      </c>
      <c r="B210" s="348"/>
      <c r="C210" s="348"/>
      <c r="D210" s="348"/>
      <c r="E210" s="348"/>
      <c r="F210" s="348"/>
      <c r="G210" s="348"/>
      <c r="H210" s="348"/>
      <c r="I210" s="348"/>
      <c r="J210" s="348"/>
      <c r="K210" s="348"/>
      <c r="L210" s="348"/>
      <c r="M210" s="348"/>
      <c r="N210" s="348"/>
      <c r="O210" s="348">
        <v>10058227.965700008</v>
      </c>
      <c r="P210" s="348">
        <v>10021.161100000001</v>
      </c>
      <c r="Q210" s="353"/>
    </row>
    <row r="211" spans="1:17" x14ac:dyDescent="0.25">
      <c r="A211" s="360" t="s">
        <v>4192</v>
      </c>
      <c r="B211" s="348"/>
      <c r="C211" s="348"/>
      <c r="D211" s="348"/>
      <c r="E211" s="348"/>
      <c r="F211" s="348"/>
      <c r="G211" s="348"/>
      <c r="H211" s="348"/>
      <c r="I211" s="348"/>
      <c r="J211" s="348"/>
      <c r="K211" s="348"/>
      <c r="L211" s="348"/>
      <c r="M211" s="348"/>
      <c r="N211" s="348"/>
      <c r="O211" s="348">
        <v>59937276.47209999</v>
      </c>
      <c r="P211" s="348">
        <v>26447.3832</v>
      </c>
      <c r="Q211" s="353">
        <v>2753.8290000000002</v>
      </c>
    </row>
    <row r="212" spans="1:17" x14ac:dyDescent="0.25">
      <c r="A212" s="360" t="s">
        <v>4242</v>
      </c>
      <c r="B212" s="348"/>
      <c r="C212" s="348"/>
      <c r="D212" s="348"/>
      <c r="E212" s="348"/>
      <c r="F212" s="348"/>
      <c r="G212" s="348"/>
      <c r="H212" s="348"/>
      <c r="I212" s="348"/>
      <c r="J212" s="348"/>
      <c r="K212" s="348"/>
      <c r="L212" s="348"/>
      <c r="M212" s="348"/>
      <c r="N212" s="348"/>
      <c r="O212" s="348">
        <v>1215004.5684</v>
      </c>
      <c r="P212" s="348"/>
      <c r="Q212" s="353">
        <v>1810.0522000000001</v>
      </c>
    </row>
    <row r="213" spans="1:17" x14ac:dyDescent="0.25">
      <c r="A213" s="360" t="s">
        <v>2352</v>
      </c>
      <c r="B213" s="348"/>
      <c r="C213" s="348"/>
      <c r="D213" s="348"/>
      <c r="E213" s="348"/>
      <c r="F213" s="348"/>
      <c r="G213" s="348"/>
      <c r="H213" s="348"/>
      <c r="I213" s="348"/>
      <c r="J213" s="348"/>
      <c r="K213" s="348"/>
      <c r="L213" s="348"/>
      <c r="M213" s="348"/>
      <c r="N213" s="348"/>
      <c r="O213" s="348">
        <v>6875341.4494999917</v>
      </c>
      <c r="P213" s="348"/>
      <c r="Q213" s="353"/>
    </row>
    <row r="214" spans="1:17" x14ac:dyDescent="0.25">
      <c r="A214" s="360" t="s">
        <v>2508</v>
      </c>
      <c r="B214" s="348"/>
      <c r="C214" s="348"/>
      <c r="D214" s="348"/>
      <c r="E214" s="348"/>
      <c r="F214" s="348"/>
      <c r="G214" s="348"/>
      <c r="H214" s="348"/>
      <c r="I214" s="348"/>
      <c r="J214" s="348"/>
      <c r="K214" s="348"/>
      <c r="L214" s="348"/>
      <c r="M214" s="348"/>
      <c r="N214" s="348"/>
      <c r="O214" s="348">
        <v>8295779.2942000059</v>
      </c>
      <c r="P214" s="348">
        <v>1869.4221</v>
      </c>
      <c r="Q214" s="353">
        <v>0</v>
      </c>
    </row>
    <row r="215" spans="1:17" x14ac:dyDescent="0.25">
      <c r="A215" s="360" t="s">
        <v>507</v>
      </c>
      <c r="B215" s="348"/>
      <c r="C215" s="348"/>
      <c r="D215" s="348"/>
      <c r="E215" s="348"/>
      <c r="F215" s="348"/>
      <c r="G215" s="348"/>
      <c r="H215" s="348"/>
      <c r="I215" s="348"/>
      <c r="J215" s="348"/>
      <c r="K215" s="348"/>
      <c r="L215" s="348"/>
      <c r="M215" s="348"/>
      <c r="N215" s="348"/>
      <c r="O215" s="348">
        <v>6173017.3856000034</v>
      </c>
      <c r="P215" s="348"/>
      <c r="Q215" s="353"/>
    </row>
    <row r="216" spans="1:17" x14ac:dyDescent="0.25">
      <c r="A216" s="360" t="s">
        <v>4342</v>
      </c>
      <c r="B216" s="348"/>
      <c r="C216" s="348"/>
      <c r="D216" s="348"/>
      <c r="E216" s="348"/>
      <c r="F216" s="348"/>
      <c r="G216" s="348"/>
      <c r="H216" s="348"/>
      <c r="I216" s="348"/>
      <c r="J216" s="348"/>
      <c r="K216" s="348"/>
      <c r="L216" s="348"/>
      <c r="M216" s="348"/>
      <c r="N216" s="348"/>
      <c r="O216" s="348">
        <v>1848828.0166000018</v>
      </c>
      <c r="P216" s="348"/>
      <c r="Q216" s="353"/>
    </row>
    <row r="217" spans="1:17" x14ac:dyDescent="0.25">
      <c r="A217" s="360" t="s">
        <v>3838</v>
      </c>
      <c r="B217" s="348"/>
      <c r="C217" s="348"/>
      <c r="D217" s="348"/>
      <c r="E217" s="348"/>
      <c r="F217" s="348"/>
      <c r="G217" s="348"/>
      <c r="H217" s="348"/>
      <c r="I217" s="348"/>
      <c r="J217" s="348"/>
      <c r="K217" s="348"/>
      <c r="L217" s="348"/>
      <c r="M217" s="348"/>
      <c r="N217" s="348"/>
      <c r="O217" s="348">
        <v>5990506.7355999937</v>
      </c>
      <c r="P217" s="348">
        <v>17612.514800000001</v>
      </c>
      <c r="Q217" s="353"/>
    </row>
    <row r="218" spans="1:17" x14ac:dyDescent="0.25">
      <c r="A218" s="360" t="s">
        <v>1090</v>
      </c>
      <c r="B218" s="348"/>
      <c r="C218" s="348"/>
      <c r="D218" s="348"/>
      <c r="E218" s="348"/>
      <c r="F218" s="348"/>
      <c r="G218" s="348"/>
      <c r="H218" s="348"/>
      <c r="I218" s="348"/>
      <c r="J218" s="348"/>
      <c r="K218" s="348"/>
      <c r="L218" s="348"/>
      <c r="M218" s="348"/>
      <c r="N218" s="348"/>
      <c r="O218" s="348">
        <v>7278305.1998999976</v>
      </c>
      <c r="P218" s="348"/>
      <c r="Q218" s="353"/>
    </row>
    <row r="219" spans="1:17" x14ac:dyDescent="0.25">
      <c r="A219" s="360" t="s">
        <v>4343</v>
      </c>
      <c r="B219" s="348"/>
      <c r="C219" s="348"/>
      <c r="D219" s="348"/>
      <c r="E219" s="348"/>
      <c r="F219" s="348"/>
      <c r="G219" s="348"/>
      <c r="H219" s="348"/>
      <c r="I219" s="348"/>
      <c r="J219" s="348"/>
      <c r="K219" s="348"/>
      <c r="L219" s="348"/>
      <c r="M219" s="348"/>
      <c r="N219" s="348"/>
      <c r="O219" s="348">
        <v>577156.9262999997</v>
      </c>
      <c r="P219" s="348"/>
      <c r="Q219" s="353"/>
    </row>
    <row r="220" spans="1:17" x14ac:dyDescent="0.25">
      <c r="A220" s="360" t="s">
        <v>3538</v>
      </c>
      <c r="B220" s="348"/>
      <c r="C220" s="348"/>
      <c r="D220" s="348"/>
      <c r="E220" s="348"/>
      <c r="F220" s="348"/>
      <c r="G220" s="348"/>
      <c r="H220" s="348"/>
      <c r="I220" s="348"/>
      <c r="J220" s="348"/>
      <c r="K220" s="348"/>
      <c r="L220" s="348"/>
      <c r="M220" s="348"/>
      <c r="N220" s="348"/>
      <c r="O220" s="348">
        <v>4321448.1829999993</v>
      </c>
      <c r="P220" s="348">
        <v>2659.6318000000001</v>
      </c>
      <c r="Q220" s="353"/>
    </row>
    <row r="221" spans="1:17" x14ac:dyDescent="0.25">
      <c r="A221" s="360" t="s">
        <v>4344</v>
      </c>
      <c r="B221" s="348"/>
      <c r="C221" s="348"/>
      <c r="D221" s="348"/>
      <c r="E221" s="348"/>
      <c r="F221" s="348"/>
      <c r="G221" s="348"/>
      <c r="H221" s="348"/>
      <c r="I221" s="348"/>
      <c r="J221" s="348"/>
      <c r="K221" s="348"/>
      <c r="L221" s="348"/>
      <c r="M221" s="348"/>
      <c r="N221" s="348"/>
      <c r="O221" s="348">
        <v>430181.58609999996</v>
      </c>
      <c r="P221" s="348"/>
      <c r="Q221" s="353"/>
    </row>
    <row r="222" spans="1:17" x14ac:dyDescent="0.25">
      <c r="A222" s="360" t="s">
        <v>2351</v>
      </c>
      <c r="B222" s="348"/>
      <c r="C222" s="348"/>
      <c r="D222" s="348"/>
      <c r="E222" s="348"/>
      <c r="F222" s="348"/>
      <c r="G222" s="348"/>
      <c r="H222" s="348"/>
      <c r="I222" s="348"/>
      <c r="J222" s="348"/>
      <c r="K222" s="348"/>
      <c r="L222" s="348"/>
      <c r="M222" s="348"/>
      <c r="N222" s="348"/>
      <c r="O222" s="348">
        <v>4699469.3455000017</v>
      </c>
      <c r="P222" s="348"/>
      <c r="Q222" s="353"/>
    </row>
    <row r="223" spans="1:17" x14ac:dyDescent="0.25">
      <c r="A223" s="360" t="s">
        <v>3837</v>
      </c>
      <c r="B223" s="348"/>
      <c r="C223" s="348"/>
      <c r="D223" s="348"/>
      <c r="E223" s="348"/>
      <c r="F223" s="348"/>
      <c r="G223" s="348"/>
      <c r="H223" s="348"/>
      <c r="I223" s="348"/>
      <c r="J223" s="348"/>
      <c r="K223" s="348"/>
      <c r="L223" s="348"/>
      <c r="M223" s="348"/>
      <c r="N223" s="348"/>
      <c r="O223" s="348">
        <v>7151414.3782999935</v>
      </c>
      <c r="P223" s="348"/>
      <c r="Q223" s="353"/>
    </row>
    <row r="224" spans="1:17" x14ac:dyDescent="0.25">
      <c r="A224" s="360" t="s">
        <v>496</v>
      </c>
      <c r="B224" s="348"/>
      <c r="C224" s="348"/>
      <c r="D224" s="348"/>
      <c r="E224" s="348"/>
      <c r="F224" s="348"/>
      <c r="G224" s="348"/>
      <c r="H224" s="348"/>
      <c r="I224" s="348"/>
      <c r="J224" s="348"/>
      <c r="K224" s="348"/>
      <c r="L224" s="348"/>
      <c r="M224" s="348"/>
      <c r="N224" s="348"/>
      <c r="O224" s="348">
        <v>4511154.312900003</v>
      </c>
      <c r="P224" s="348">
        <v>360.50839999999999</v>
      </c>
      <c r="Q224" s="353"/>
    </row>
    <row r="225" spans="1:17" x14ac:dyDescent="0.25">
      <c r="A225" s="360" t="s">
        <v>4345</v>
      </c>
      <c r="B225" s="348"/>
      <c r="C225" s="348"/>
      <c r="D225" s="348"/>
      <c r="E225" s="348"/>
      <c r="F225" s="348"/>
      <c r="G225" s="348"/>
      <c r="H225" s="348"/>
      <c r="I225" s="348"/>
      <c r="J225" s="348"/>
      <c r="K225" s="348"/>
      <c r="L225" s="348"/>
      <c r="M225" s="348"/>
      <c r="N225" s="348"/>
      <c r="O225" s="348">
        <v>513603.78469999949</v>
      </c>
      <c r="P225" s="348"/>
      <c r="Q225" s="353"/>
    </row>
    <row r="226" spans="1:17" x14ac:dyDescent="0.25">
      <c r="A226" s="360" t="s">
        <v>4346</v>
      </c>
      <c r="B226" s="348"/>
      <c r="C226" s="348"/>
      <c r="D226" s="348"/>
      <c r="E226" s="348"/>
      <c r="F226" s="348"/>
      <c r="G226" s="348"/>
      <c r="H226" s="348"/>
      <c r="I226" s="348"/>
      <c r="J226" s="348"/>
      <c r="K226" s="348"/>
      <c r="L226" s="348"/>
      <c r="M226" s="348"/>
      <c r="N226" s="348"/>
      <c r="O226" s="348">
        <v>1024327.5878000004</v>
      </c>
      <c r="P226" s="348"/>
      <c r="Q226" s="353"/>
    </row>
    <row r="227" spans="1:17" x14ac:dyDescent="0.25">
      <c r="A227" s="360" t="s">
        <v>606</v>
      </c>
      <c r="B227" s="348"/>
      <c r="C227" s="348"/>
      <c r="D227" s="348"/>
      <c r="E227" s="348"/>
      <c r="F227" s="348"/>
      <c r="G227" s="348"/>
      <c r="H227" s="348"/>
      <c r="I227" s="348"/>
      <c r="J227" s="348"/>
      <c r="K227" s="348"/>
      <c r="L227" s="348"/>
      <c r="M227" s="348"/>
      <c r="N227" s="348"/>
      <c r="O227" s="348">
        <v>21830305.043200023</v>
      </c>
      <c r="P227" s="348">
        <v>18182.635300000002</v>
      </c>
      <c r="Q227" s="353">
        <v>0</v>
      </c>
    </row>
    <row r="228" spans="1:17" x14ac:dyDescent="0.25">
      <c r="A228" s="360" t="s">
        <v>4202</v>
      </c>
      <c r="B228" s="348"/>
      <c r="C228" s="348"/>
      <c r="D228" s="348"/>
      <c r="E228" s="348"/>
      <c r="F228" s="348"/>
      <c r="G228" s="348"/>
      <c r="H228" s="348"/>
      <c r="I228" s="348"/>
      <c r="J228" s="348"/>
      <c r="K228" s="348"/>
      <c r="L228" s="348"/>
      <c r="M228" s="348"/>
      <c r="N228" s="348"/>
      <c r="O228" s="348">
        <v>2724311.0231999974</v>
      </c>
      <c r="P228" s="348"/>
      <c r="Q228" s="353"/>
    </row>
    <row r="229" spans="1:17" x14ac:dyDescent="0.25">
      <c r="A229" s="360" t="s">
        <v>4248</v>
      </c>
      <c r="B229" s="348"/>
      <c r="C229" s="348"/>
      <c r="D229" s="348"/>
      <c r="E229" s="348"/>
      <c r="F229" s="348"/>
      <c r="G229" s="348"/>
      <c r="H229" s="348"/>
      <c r="I229" s="348"/>
      <c r="J229" s="348"/>
      <c r="K229" s="348"/>
      <c r="L229" s="348"/>
      <c r="M229" s="348"/>
      <c r="N229" s="348"/>
      <c r="O229" s="348">
        <v>86810.363399999958</v>
      </c>
      <c r="P229" s="348"/>
      <c r="Q229" s="353"/>
    </row>
    <row r="230" spans="1:17" x14ac:dyDescent="0.25">
      <c r="A230" s="360" t="s">
        <v>2348</v>
      </c>
      <c r="B230" s="348"/>
      <c r="C230" s="348"/>
      <c r="D230" s="348"/>
      <c r="E230" s="348"/>
      <c r="F230" s="348"/>
      <c r="G230" s="348"/>
      <c r="H230" s="348"/>
      <c r="I230" s="348"/>
      <c r="J230" s="348"/>
      <c r="K230" s="348"/>
      <c r="L230" s="348"/>
      <c r="M230" s="348"/>
      <c r="N230" s="348"/>
      <c r="O230" s="348">
        <v>14189845.519300016</v>
      </c>
      <c r="P230" s="348">
        <v>696.45079999999996</v>
      </c>
      <c r="Q230" s="353">
        <v>1394.921</v>
      </c>
    </row>
    <row r="231" spans="1:17" x14ac:dyDescent="0.25">
      <c r="A231" s="360" t="s">
        <v>4206</v>
      </c>
      <c r="B231" s="348"/>
      <c r="C231" s="348"/>
      <c r="D231" s="348"/>
      <c r="E231" s="348"/>
      <c r="F231" s="348"/>
      <c r="G231" s="348"/>
      <c r="H231" s="348"/>
      <c r="I231" s="348"/>
      <c r="J231" s="348"/>
      <c r="K231" s="348"/>
      <c r="L231" s="348"/>
      <c r="M231" s="348"/>
      <c r="N231" s="348"/>
      <c r="O231" s="348">
        <v>792444.73090000008</v>
      </c>
      <c r="P231" s="348"/>
      <c r="Q231" s="353"/>
    </row>
    <row r="232" spans="1:17" x14ac:dyDescent="0.25">
      <c r="A232" s="360" t="s">
        <v>4194</v>
      </c>
      <c r="B232" s="348"/>
      <c r="C232" s="348"/>
      <c r="D232" s="348"/>
      <c r="E232" s="348"/>
      <c r="F232" s="348"/>
      <c r="G232" s="348"/>
      <c r="H232" s="348"/>
      <c r="I232" s="348"/>
      <c r="J232" s="348"/>
      <c r="K232" s="348"/>
      <c r="L232" s="348"/>
      <c r="M232" s="348"/>
      <c r="N232" s="348"/>
      <c r="O232" s="348">
        <v>5071283.087099988</v>
      </c>
      <c r="P232" s="348">
        <v>292007.32880000002</v>
      </c>
      <c r="Q232" s="353"/>
    </row>
    <row r="233" spans="1:17" x14ac:dyDescent="0.25">
      <c r="A233" s="360" t="s">
        <v>4347</v>
      </c>
      <c r="B233" s="348"/>
      <c r="C233" s="348"/>
      <c r="D233" s="348"/>
      <c r="E233" s="348"/>
      <c r="F233" s="348"/>
      <c r="G233" s="348"/>
      <c r="H233" s="348"/>
      <c r="I233" s="348"/>
      <c r="J233" s="348"/>
      <c r="K233" s="348"/>
      <c r="L233" s="348"/>
      <c r="M233" s="348"/>
      <c r="N233" s="348"/>
      <c r="O233" s="348">
        <v>117379.6586</v>
      </c>
      <c r="P233" s="348"/>
      <c r="Q233" s="353"/>
    </row>
    <row r="234" spans="1:17" x14ac:dyDescent="0.25">
      <c r="A234" s="360" t="s">
        <v>4279</v>
      </c>
      <c r="B234" s="348"/>
      <c r="C234" s="348"/>
      <c r="D234" s="348"/>
      <c r="E234" s="348"/>
      <c r="F234" s="348"/>
      <c r="G234" s="348"/>
      <c r="H234" s="348"/>
      <c r="I234" s="348"/>
      <c r="J234" s="348"/>
      <c r="K234" s="348"/>
      <c r="L234" s="348"/>
      <c r="M234" s="348"/>
      <c r="N234" s="348"/>
      <c r="O234" s="348">
        <v>1334947.9713000006</v>
      </c>
      <c r="P234" s="348"/>
      <c r="Q234" s="353"/>
    </row>
    <row r="235" spans="1:17" x14ac:dyDescent="0.25">
      <c r="A235" s="360" t="s">
        <v>4348</v>
      </c>
      <c r="B235" s="348"/>
      <c r="C235" s="348"/>
      <c r="D235" s="348"/>
      <c r="E235" s="348"/>
      <c r="F235" s="348"/>
      <c r="G235" s="348"/>
      <c r="H235" s="348"/>
      <c r="I235" s="348"/>
      <c r="J235" s="348"/>
      <c r="K235" s="348"/>
      <c r="L235" s="348"/>
      <c r="M235" s="348"/>
      <c r="N235" s="348"/>
      <c r="O235" s="348">
        <v>674170.3125</v>
      </c>
      <c r="P235" s="348"/>
      <c r="Q235" s="353"/>
    </row>
    <row r="236" spans="1:17" x14ac:dyDescent="0.25">
      <c r="A236" s="360" t="s">
        <v>4195</v>
      </c>
      <c r="B236" s="348"/>
      <c r="C236" s="348"/>
      <c r="D236" s="348"/>
      <c r="E236" s="348"/>
      <c r="F236" s="348"/>
      <c r="G236" s="348"/>
      <c r="H236" s="348"/>
      <c r="I236" s="348"/>
      <c r="J236" s="348"/>
      <c r="K236" s="348"/>
      <c r="L236" s="348"/>
      <c r="M236" s="348"/>
      <c r="N236" s="348"/>
      <c r="O236" s="348">
        <v>8091124.0689000031</v>
      </c>
      <c r="P236" s="348"/>
      <c r="Q236" s="353"/>
    </row>
    <row r="237" spans="1:17" x14ac:dyDescent="0.25">
      <c r="A237" s="360" t="s">
        <v>1383</v>
      </c>
      <c r="B237" s="348"/>
      <c r="C237" s="348"/>
      <c r="D237" s="348"/>
      <c r="E237" s="348"/>
      <c r="F237" s="348"/>
      <c r="G237" s="348"/>
      <c r="H237" s="348"/>
      <c r="I237" s="348"/>
      <c r="J237" s="348"/>
      <c r="K237" s="348"/>
      <c r="L237" s="348"/>
      <c r="M237" s="348"/>
      <c r="N237" s="348"/>
      <c r="O237" s="348">
        <v>8643599.1451999918</v>
      </c>
      <c r="P237" s="348">
        <v>7156.2451000000001</v>
      </c>
      <c r="Q237" s="353"/>
    </row>
    <row r="238" spans="1:17" x14ac:dyDescent="0.25">
      <c r="A238" s="360" t="s">
        <v>2593</v>
      </c>
      <c r="B238" s="348"/>
      <c r="C238" s="348"/>
      <c r="D238" s="348"/>
      <c r="E238" s="348"/>
      <c r="F238" s="348"/>
      <c r="G238" s="348"/>
      <c r="H238" s="348"/>
      <c r="I238" s="348"/>
      <c r="J238" s="348"/>
      <c r="K238" s="348"/>
      <c r="L238" s="348"/>
      <c r="M238" s="348"/>
      <c r="N238" s="348"/>
      <c r="O238" s="348">
        <v>75470515.807700112</v>
      </c>
      <c r="P238" s="348">
        <v>5834.3279999999995</v>
      </c>
      <c r="Q238" s="353">
        <v>2017.7096999999999</v>
      </c>
    </row>
    <row r="239" spans="1:17" x14ac:dyDescent="0.25">
      <c r="A239" s="360" t="s">
        <v>4243</v>
      </c>
      <c r="B239" s="348"/>
      <c r="C239" s="348"/>
      <c r="D239" s="348"/>
      <c r="E239" s="348"/>
      <c r="F239" s="348"/>
      <c r="G239" s="348"/>
      <c r="H239" s="348"/>
      <c r="I239" s="348"/>
      <c r="J239" s="348"/>
      <c r="K239" s="348"/>
      <c r="L239" s="348"/>
      <c r="M239" s="348"/>
      <c r="N239" s="348"/>
      <c r="O239" s="348">
        <v>1330642.8994000005</v>
      </c>
      <c r="P239" s="348"/>
      <c r="Q239" s="353"/>
    </row>
    <row r="240" spans="1:17" x14ac:dyDescent="0.25">
      <c r="A240" s="360" t="s">
        <v>2911</v>
      </c>
      <c r="B240" s="348"/>
      <c r="C240" s="348"/>
      <c r="D240" s="348"/>
      <c r="E240" s="348"/>
      <c r="F240" s="348"/>
      <c r="G240" s="348"/>
      <c r="H240" s="348"/>
      <c r="I240" s="348"/>
      <c r="J240" s="348"/>
      <c r="K240" s="348"/>
      <c r="L240" s="348"/>
      <c r="M240" s="348"/>
      <c r="N240" s="348"/>
      <c r="O240" s="348">
        <v>1613388.8109000006</v>
      </c>
      <c r="P240" s="348"/>
      <c r="Q240" s="353"/>
    </row>
    <row r="241" spans="1:17" x14ac:dyDescent="0.25">
      <c r="A241" s="360" t="s">
        <v>3311</v>
      </c>
      <c r="B241" s="348"/>
      <c r="C241" s="348"/>
      <c r="D241" s="348"/>
      <c r="E241" s="348"/>
      <c r="F241" s="348"/>
      <c r="G241" s="348"/>
      <c r="H241" s="348"/>
      <c r="I241" s="348"/>
      <c r="J241" s="348"/>
      <c r="K241" s="348"/>
      <c r="L241" s="348"/>
      <c r="M241" s="348"/>
      <c r="N241" s="348"/>
      <c r="O241" s="348">
        <v>896202.80489999964</v>
      </c>
      <c r="P241" s="348"/>
      <c r="Q241" s="353"/>
    </row>
    <row r="242" spans="1:17" x14ac:dyDescent="0.25">
      <c r="A242" s="360" t="s">
        <v>607</v>
      </c>
      <c r="B242" s="348"/>
      <c r="C242" s="348"/>
      <c r="D242" s="348"/>
      <c r="E242" s="348"/>
      <c r="F242" s="348"/>
      <c r="G242" s="348"/>
      <c r="H242" s="348"/>
      <c r="I242" s="348"/>
      <c r="J242" s="348"/>
      <c r="K242" s="348"/>
      <c r="L242" s="348"/>
      <c r="M242" s="348"/>
      <c r="N242" s="348"/>
      <c r="O242" s="348">
        <v>5054346.7253999971</v>
      </c>
      <c r="P242" s="348"/>
      <c r="Q242" s="353"/>
    </row>
    <row r="243" spans="1:17" x14ac:dyDescent="0.25">
      <c r="A243" s="360" t="s">
        <v>3308</v>
      </c>
      <c r="B243" s="348"/>
      <c r="C243" s="348"/>
      <c r="D243" s="348"/>
      <c r="E243" s="348"/>
      <c r="F243" s="348"/>
      <c r="G243" s="348"/>
      <c r="H243" s="348"/>
      <c r="I243" s="348"/>
      <c r="J243" s="348"/>
      <c r="K243" s="348"/>
      <c r="L243" s="348"/>
      <c r="M243" s="348"/>
      <c r="N243" s="348"/>
      <c r="O243" s="348">
        <v>47949859.830700137</v>
      </c>
      <c r="P243" s="348">
        <v>138851.34940000001</v>
      </c>
      <c r="Q243" s="353"/>
    </row>
    <row r="244" spans="1:17" x14ac:dyDescent="0.25">
      <c r="A244" s="360" t="s">
        <v>853</v>
      </c>
      <c r="B244" s="348"/>
      <c r="C244" s="348"/>
      <c r="D244" s="348"/>
      <c r="E244" s="348"/>
      <c r="F244" s="348"/>
      <c r="G244" s="348"/>
      <c r="H244" s="348"/>
      <c r="I244" s="348"/>
      <c r="J244" s="348"/>
      <c r="K244" s="348"/>
      <c r="L244" s="348"/>
      <c r="M244" s="348"/>
      <c r="N244" s="348"/>
      <c r="O244" s="348">
        <v>9259577.6267999951</v>
      </c>
      <c r="P244" s="348">
        <v>112171.34</v>
      </c>
      <c r="Q244" s="353"/>
    </row>
    <row r="245" spans="1:17" x14ac:dyDescent="0.25">
      <c r="A245" s="360" t="s">
        <v>4349</v>
      </c>
      <c r="B245" s="348"/>
      <c r="C245" s="348"/>
      <c r="D245" s="348"/>
      <c r="E245" s="348"/>
      <c r="F245" s="348"/>
      <c r="G245" s="348"/>
      <c r="H245" s="348"/>
      <c r="I245" s="348"/>
      <c r="J245" s="348"/>
      <c r="K245" s="348"/>
      <c r="L245" s="348"/>
      <c r="M245" s="348"/>
      <c r="N245" s="348"/>
      <c r="O245" s="348">
        <v>539521.2002000002</v>
      </c>
      <c r="P245" s="348"/>
      <c r="Q245" s="353"/>
    </row>
    <row r="246" spans="1:17" x14ac:dyDescent="0.25">
      <c r="A246" s="360" t="s">
        <v>4190</v>
      </c>
      <c r="B246" s="348"/>
      <c r="C246" s="348"/>
      <c r="D246" s="348"/>
      <c r="E246" s="348"/>
      <c r="F246" s="348"/>
      <c r="G246" s="348"/>
      <c r="H246" s="348"/>
      <c r="I246" s="348"/>
      <c r="J246" s="348"/>
      <c r="K246" s="348"/>
      <c r="L246" s="348"/>
      <c r="M246" s="348"/>
      <c r="N246" s="348"/>
      <c r="O246" s="348">
        <v>7515331.4636000032</v>
      </c>
      <c r="P246" s="348">
        <v>12655.6062</v>
      </c>
      <c r="Q246" s="353">
        <v>0</v>
      </c>
    </row>
    <row r="247" spans="1:17" x14ac:dyDescent="0.25">
      <c r="A247" s="360" t="s">
        <v>4350</v>
      </c>
      <c r="B247" s="348"/>
      <c r="C247" s="348"/>
      <c r="D247" s="348"/>
      <c r="E247" s="348"/>
      <c r="F247" s="348"/>
      <c r="G247" s="348"/>
      <c r="H247" s="348"/>
      <c r="I247" s="348"/>
      <c r="J247" s="348"/>
      <c r="K247" s="348"/>
      <c r="L247" s="348"/>
      <c r="M247" s="348"/>
      <c r="N247" s="348"/>
      <c r="O247" s="348">
        <v>108689.08299999998</v>
      </c>
      <c r="P247" s="348"/>
      <c r="Q247" s="353"/>
    </row>
    <row r="248" spans="1:17" x14ac:dyDescent="0.25">
      <c r="A248" s="360" t="s">
        <v>4200</v>
      </c>
      <c r="B248" s="348"/>
      <c r="C248" s="348"/>
      <c r="D248" s="348"/>
      <c r="E248" s="348"/>
      <c r="F248" s="348"/>
      <c r="G248" s="348"/>
      <c r="H248" s="348"/>
      <c r="I248" s="348"/>
      <c r="J248" s="348"/>
      <c r="K248" s="348"/>
      <c r="L248" s="348"/>
      <c r="M248" s="348"/>
      <c r="N248" s="348"/>
      <c r="O248" s="348">
        <v>2163792.5787000004</v>
      </c>
      <c r="P248" s="348">
        <v>13537.378199999999</v>
      </c>
      <c r="Q248" s="353"/>
    </row>
    <row r="249" spans="1:17" x14ac:dyDescent="0.25">
      <c r="A249" s="360" t="s">
        <v>4198</v>
      </c>
      <c r="B249" s="348"/>
      <c r="C249" s="348"/>
      <c r="D249" s="348"/>
      <c r="E249" s="348"/>
      <c r="F249" s="348"/>
      <c r="G249" s="348"/>
      <c r="H249" s="348"/>
      <c r="I249" s="348"/>
      <c r="J249" s="348"/>
      <c r="K249" s="348"/>
      <c r="L249" s="348"/>
      <c r="M249" s="348"/>
      <c r="N249" s="348"/>
      <c r="O249" s="348">
        <v>814281.22390000091</v>
      </c>
      <c r="P249" s="348"/>
      <c r="Q249" s="353"/>
    </row>
    <row r="250" spans="1:17" x14ac:dyDescent="0.25">
      <c r="A250" s="360" t="s">
        <v>4189</v>
      </c>
      <c r="B250" s="348"/>
      <c r="C250" s="348"/>
      <c r="D250" s="348"/>
      <c r="E250" s="348"/>
      <c r="F250" s="348"/>
      <c r="G250" s="348"/>
      <c r="H250" s="348"/>
      <c r="I250" s="348"/>
      <c r="J250" s="348"/>
      <c r="K250" s="348"/>
      <c r="L250" s="348"/>
      <c r="M250" s="348"/>
      <c r="N250" s="348"/>
      <c r="O250" s="348">
        <v>5076840.4142999984</v>
      </c>
      <c r="P250" s="348">
        <v>1455.3641</v>
      </c>
      <c r="Q250" s="353"/>
    </row>
    <row r="251" spans="1:17" x14ac:dyDescent="0.25">
      <c r="A251" s="360" t="s">
        <v>3531</v>
      </c>
      <c r="B251" s="348"/>
      <c r="C251" s="348"/>
      <c r="D251" s="348"/>
      <c r="E251" s="348"/>
      <c r="F251" s="348"/>
      <c r="G251" s="348"/>
      <c r="H251" s="348"/>
      <c r="I251" s="348"/>
      <c r="J251" s="348"/>
      <c r="K251" s="348"/>
      <c r="L251" s="348"/>
      <c r="M251" s="348"/>
      <c r="N251" s="348"/>
      <c r="O251" s="348">
        <v>7019861.2765999977</v>
      </c>
      <c r="P251" s="348">
        <v>51106.33</v>
      </c>
      <c r="Q251" s="353">
        <v>0</v>
      </c>
    </row>
    <row r="252" spans="1:17" x14ac:dyDescent="0.25">
      <c r="A252" s="360" t="s">
        <v>4351</v>
      </c>
      <c r="B252" s="348"/>
      <c r="C252" s="348"/>
      <c r="D252" s="348"/>
      <c r="E252" s="348"/>
      <c r="F252" s="348"/>
      <c r="G252" s="348"/>
      <c r="H252" s="348"/>
      <c r="I252" s="348"/>
      <c r="J252" s="348"/>
      <c r="K252" s="348"/>
      <c r="L252" s="348"/>
      <c r="M252" s="348"/>
      <c r="N252" s="348"/>
      <c r="O252" s="348">
        <v>434341.26379999984</v>
      </c>
      <c r="P252" s="348"/>
      <c r="Q252" s="353"/>
    </row>
    <row r="253" spans="1:17" x14ac:dyDescent="0.25">
      <c r="A253" s="360" t="s">
        <v>4244</v>
      </c>
      <c r="B253" s="348"/>
      <c r="C253" s="348"/>
      <c r="D253" s="348"/>
      <c r="E253" s="348"/>
      <c r="F253" s="348"/>
      <c r="G253" s="348"/>
      <c r="H253" s="348"/>
      <c r="I253" s="348"/>
      <c r="J253" s="348"/>
      <c r="K253" s="348"/>
      <c r="L253" s="348"/>
      <c r="M253" s="348"/>
      <c r="N253" s="348"/>
      <c r="O253" s="348">
        <v>985804.60239999974</v>
      </c>
      <c r="P253" s="348"/>
      <c r="Q253" s="353"/>
    </row>
    <row r="254" spans="1:17" x14ac:dyDescent="0.25">
      <c r="A254" s="360" t="s">
        <v>4352</v>
      </c>
      <c r="B254" s="348"/>
      <c r="C254" s="348"/>
      <c r="D254" s="348"/>
      <c r="E254" s="348"/>
      <c r="F254" s="348"/>
      <c r="G254" s="348"/>
      <c r="H254" s="348"/>
      <c r="I254" s="348"/>
      <c r="J254" s="348"/>
      <c r="K254" s="348"/>
      <c r="L254" s="348"/>
      <c r="M254" s="348"/>
      <c r="N254" s="348"/>
      <c r="O254" s="348">
        <v>3820.4328</v>
      </c>
      <c r="P254" s="348"/>
      <c r="Q254" s="353"/>
    </row>
    <row r="255" spans="1:17" x14ac:dyDescent="0.25">
      <c r="A255" s="360" t="s">
        <v>4353</v>
      </c>
      <c r="B255" s="348"/>
      <c r="C255" s="348"/>
      <c r="D255" s="348"/>
      <c r="E255" s="348"/>
      <c r="F255" s="348"/>
      <c r="G255" s="348"/>
      <c r="H255" s="348"/>
      <c r="I255" s="348"/>
      <c r="J255" s="348"/>
      <c r="K255" s="348"/>
      <c r="L255" s="348"/>
      <c r="M255" s="348"/>
      <c r="N255" s="348"/>
      <c r="O255" s="348">
        <v>183181.53459999993</v>
      </c>
      <c r="P255" s="348"/>
      <c r="Q255" s="353"/>
    </row>
    <row r="256" spans="1:17" x14ac:dyDescent="0.25">
      <c r="A256" s="360" t="s">
        <v>4247</v>
      </c>
      <c r="B256" s="348"/>
      <c r="C256" s="348"/>
      <c r="D256" s="348"/>
      <c r="E256" s="348"/>
      <c r="F256" s="348"/>
      <c r="G256" s="348"/>
      <c r="H256" s="348"/>
      <c r="I256" s="348"/>
      <c r="J256" s="348"/>
      <c r="K256" s="348"/>
      <c r="L256" s="348"/>
      <c r="M256" s="348"/>
      <c r="N256" s="348"/>
      <c r="O256" s="348">
        <v>1068737.1522999995</v>
      </c>
      <c r="P256" s="348"/>
      <c r="Q256" s="353"/>
    </row>
    <row r="257" spans="1:17" x14ac:dyDescent="0.25">
      <c r="A257" s="360" t="s">
        <v>4354</v>
      </c>
      <c r="B257" s="348"/>
      <c r="C257" s="348"/>
      <c r="D257" s="348"/>
      <c r="E257" s="348"/>
      <c r="F257" s="348"/>
      <c r="G257" s="348"/>
      <c r="H257" s="348"/>
      <c r="I257" s="348"/>
      <c r="J257" s="348"/>
      <c r="K257" s="348"/>
      <c r="L257" s="348"/>
      <c r="M257" s="348"/>
      <c r="N257" s="348"/>
      <c r="O257" s="348">
        <v>326365.44169999997</v>
      </c>
      <c r="P257" s="348"/>
      <c r="Q257" s="353"/>
    </row>
    <row r="258" spans="1:17" x14ac:dyDescent="0.25">
      <c r="A258" s="360" t="s">
        <v>4355</v>
      </c>
      <c r="B258" s="348"/>
      <c r="C258" s="348"/>
      <c r="D258" s="348"/>
      <c r="E258" s="348"/>
      <c r="F258" s="348"/>
      <c r="G258" s="348"/>
      <c r="H258" s="348"/>
      <c r="I258" s="348"/>
      <c r="J258" s="348"/>
      <c r="K258" s="348"/>
      <c r="L258" s="348"/>
      <c r="M258" s="348"/>
      <c r="N258" s="348"/>
      <c r="O258" s="348">
        <v>321919.32259999996</v>
      </c>
      <c r="P258" s="348"/>
      <c r="Q258" s="353"/>
    </row>
    <row r="259" spans="1:17" x14ac:dyDescent="0.25">
      <c r="A259" s="360" t="s">
        <v>4245</v>
      </c>
      <c r="B259" s="348"/>
      <c r="C259" s="348"/>
      <c r="D259" s="348"/>
      <c r="E259" s="348"/>
      <c r="F259" s="348"/>
      <c r="G259" s="348"/>
      <c r="H259" s="348"/>
      <c r="I259" s="348"/>
      <c r="J259" s="348"/>
      <c r="K259" s="348"/>
      <c r="L259" s="348"/>
      <c r="M259" s="348"/>
      <c r="N259" s="348"/>
      <c r="O259" s="348">
        <v>614075.56330000015</v>
      </c>
      <c r="P259" s="348"/>
      <c r="Q259" s="353"/>
    </row>
    <row r="260" spans="1:17" x14ac:dyDescent="0.25">
      <c r="A260" s="360" t="s">
        <v>4240</v>
      </c>
      <c r="B260" s="348"/>
      <c r="C260" s="348"/>
      <c r="D260" s="348"/>
      <c r="E260" s="348"/>
      <c r="F260" s="348"/>
      <c r="G260" s="348"/>
      <c r="H260" s="348"/>
      <c r="I260" s="348"/>
      <c r="J260" s="348"/>
      <c r="K260" s="348"/>
      <c r="L260" s="348"/>
      <c r="M260" s="348"/>
      <c r="N260" s="348"/>
      <c r="O260" s="348">
        <v>1489446.3562999989</v>
      </c>
      <c r="P260" s="348">
        <v>0</v>
      </c>
      <c r="Q260" s="353"/>
    </row>
    <row r="261" spans="1:17" x14ac:dyDescent="0.25">
      <c r="A261" s="360" t="s">
        <v>4356</v>
      </c>
      <c r="B261" s="348"/>
      <c r="C261" s="348"/>
      <c r="D261" s="348"/>
      <c r="E261" s="348"/>
      <c r="F261" s="348"/>
      <c r="G261" s="348"/>
      <c r="H261" s="348"/>
      <c r="I261" s="348"/>
      <c r="J261" s="348"/>
      <c r="K261" s="348"/>
      <c r="L261" s="348"/>
      <c r="M261" s="348"/>
      <c r="N261" s="348"/>
      <c r="O261" s="348">
        <v>397093.94519999984</v>
      </c>
      <c r="P261" s="348"/>
      <c r="Q261" s="353"/>
    </row>
    <row r="262" spans="1:17" x14ac:dyDescent="0.25">
      <c r="A262" s="360" t="s">
        <v>4357</v>
      </c>
      <c r="B262" s="348"/>
      <c r="C262" s="348"/>
      <c r="D262" s="348"/>
      <c r="E262" s="348"/>
      <c r="F262" s="348"/>
      <c r="G262" s="348"/>
      <c r="H262" s="348"/>
      <c r="I262" s="348"/>
      <c r="J262" s="348"/>
      <c r="K262" s="348"/>
      <c r="L262" s="348"/>
      <c r="M262" s="348"/>
      <c r="N262" s="348"/>
      <c r="O262" s="348">
        <v>170446.35959999997</v>
      </c>
      <c r="P262" s="348"/>
      <c r="Q262" s="353"/>
    </row>
    <row r="263" spans="1:17" x14ac:dyDescent="0.25">
      <c r="A263" s="360" t="s">
        <v>4100</v>
      </c>
      <c r="B263" s="348"/>
      <c r="C263" s="348"/>
      <c r="D263" s="348"/>
      <c r="E263" s="348"/>
      <c r="F263" s="348"/>
      <c r="G263" s="348"/>
      <c r="H263" s="348"/>
      <c r="I263" s="348"/>
      <c r="J263" s="348"/>
      <c r="K263" s="348"/>
      <c r="L263" s="348"/>
      <c r="M263" s="348"/>
      <c r="N263" s="348"/>
      <c r="O263" s="348">
        <v>2352499.7893999997</v>
      </c>
      <c r="P263" s="348"/>
      <c r="Q263" s="353"/>
    </row>
    <row r="264" spans="1:17" x14ac:dyDescent="0.25">
      <c r="A264" s="360" t="s">
        <v>4358</v>
      </c>
      <c r="B264" s="348"/>
      <c r="C264" s="348"/>
      <c r="D264" s="348"/>
      <c r="E264" s="348"/>
      <c r="F264" s="348"/>
      <c r="G264" s="348"/>
      <c r="H264" s="348"/>
      <c r="I264" s="348"/>
      <c r="J264" s="348"/>
      <c r="K264" s="348"/>
      <c r="L264" s="348"/>
      <c r="M264" s="348"/>
      <c r="N264" s="348"/>
      <c r="O264" s="348">
        <v>800799.91810000001</v>
      </c>
      <c r="P264" s="348"/>
      <c r="Q264" s="353"/>
    </row>
    <row r="265" spans="1:17" x14ac:dyDescent="0.25">
      <c r="A265" s="360" t="s">
        <v>4241</v>
      </c>
      <c r="B265" s="348"/>
      <c r="C265" s="348"/>
      <c r="D265" s="348"/>
      <c r="E265" s="348"/>
      <c r="F265" s="348"/>
      <c r="G265" s="348"/>
      <c r="H265" s="348"/>
      <c r="I265" s="348"/>
      <c r="J265" s="348"/>
      <c r="K265" s="348"/>
      <c r="L265" s="348"/>
      <c r="M265" s="348"/>
      <c r="N265" s="348"/>
      <c r="O265" s="348">
        <v>385977.25339999999</v>
      </c>
      <c r="P265" s="348"/>
      <c r="Q265" s="353"/>
    </row>
    <row r="266" spans="1:17" x14ac:dyDescent="0.25">
      <c r="A266" s="360" t="s">
        <v>4359</v>
      </c>
      <c r="B266" s="348"/>
      <c r="C266" s="348"/>
      <c r="D266" s="348"/>
      <c r="E266" s="348"/>
      <c r="F266" s="348"/>
      <c r="G266" s="348"/>
      <c r="H266" s="348"/>
      <c r="I266" s="348"/>
      <c r="J266" s="348"/>
      <c r="K266" s="348"/>
      <c r="L266" s="348"/>
      <c r="M266" s="348"/>
      <c r="N266" s="348"/>
      <c r="O266" s="348">
        <v>716399.7448000001</v>
      </c>
      <c r="P266" s="348"/>
      <c r="Q266" s="353"/>
    </row>
    <row r="267" spans="1:17" x14ac:dyDescent="0.25">
      <c r="A267" s="360" t="s">
        <v>4249</v>
      </c>
      <c r="B267" s="348"/>
      <c r="C267" s="348"/>
      <c r="D267" s="348"/>
      <c r="E267" s="348"/>
      <c r="F267" s="348"/>
      <c r="G267" s="348"/>
      <c r="H267" s="348"/>
      <c r="I267" s="348"/>
      <c r="J267" s="348"/>
      <c r="K267" s="348"/>
      <c r="L267" s="348"/>
      <c r="M267" s="348"/>
      <c r="N267" s="348"/>
      <c r="O267" s="348">
        <v>502847.38729999994</v>
      </c>
      <c r="P267" s="348"/>
      <c r="Q267" s="353"/>
    </row>
    <row r="268" spans="1:17" x14ac:dyDescent="0.25">
      <c r="A268" s="360" t="s">
        <v>1305</v>
      </c>
      <c r="B268" s="348"/>
      <c r="C268" s="348"/>
      <c r="D268" s="348"/>
      <c r="E268" s="348"/>
      <c r="F268" s="348"/>
      <c r="G268" s="348"/>
      <c r="H268" s="348"/>
      <c r="I268" s="348"/>
      <c r="J268" s="348"/>
      <c r="K268" s="348"/>
      <c r="L268" s="348"/>
      <c r="M268" s="348"/>
      <c r="N268" s="348"/>
      <c r="O268" s="348">
        <v>1119178.6985999998</v>
      </c>
      <c r="P268" s="348">
        <v>0</v>
      </c>
      <c r="Q268" s="353">
        <v>0</v>
      </c>
    </row>
    <row r="269" spans="1:17" x14ac:dyDescent="0.25">
      <c r="A269" s="360" t="s">
        <v>4360</v>
      </c>
      <c r="B269" s="348"/>
      <c r="C269" s="348"/>
      <c r="D269" s="348"/>
      <c r="E269" s="348"/>
      <c r="F269" s="348"/>
      <c r="G269" s="348"/>
      <c r="H269" s="348"/>
      <c r="I269" s="348"/>
      <c r="J269" s="348"/>
      <c r="K269" s="348"/>
      <c r="L269" s="348"/>
      <c r="M269" s="348"/>
      <c r="N269" s="348"/>
      <c r="O269" s="348">
        <v>31040.521099999998</v>
      </c>
      <c r="P269" s="348"/>
      <c r="Q269" s="353"/>
    </row>
    <row r="270" spans="1:17" x14ac:dyDescent="0.25">
      <c r="A270" s="360" t="s">
        <v>4361</v>
      </c>
      <c r="B270" s="348"/>
      <c r="C270" s="348"/>
      <c r="D270" s="348"/>
      <c r="E270" s="348"/>
      <c r="F270" s="348"/>
      <c r="G270" s="348"/>
      <c r="H270" s="348"/>
      <c r="I270" s="348"/>
      <c r="J270" s="348"/>
      <c r="K270" s="348"/>
      <c r="L270" s="348"/>
      <c r="M270" s="348"/>
      <c r="N270" s="348"/>
      <c r="O270" s="348">
        <v>651923.1381000001</v>
      </c>
      <c r="P270" s="348">
        <v>14.025499999999999</v>
      </c>
      <c r="Q270" s="353"/>
    </row>
    <row r="271" spans="1:17" x14ac:dyDescent="0.25">
      <c r="A271" s="360" t="s">
        <v>4246</v>
      </c>
      <c r="B271" s="348"/>
      <c r="C271" s="348"/>
      <c r="D271" s="348"/>
      <c r="E271" s="348"/>
      <c r="F271" s="348"/>
      <c r="G271" s="348"/>
      <c r="H271" s="348"/>
      <c r="I271" s="348"/>
      <c r="J271" s="348"/>
      <c r="K271" s="348"/>
      <c r="L271" s="348"/>
      <c r="M271" s="348"/>
      <c r="N271" s="348"/>
      <c r="O271" s="348">
        <v>311029.57439999998</v>
      </c>
      <c r="P271" s="348"/>
      <c r="Q271" s="353"/>
    </row>
    <row r="272" spans="1:17" x14ac:dyDescent="0.25">
      <c r="A272" s="360" t="s">
        <v>2918</v>
      </c>
      <c r="B272" s="348"/>
      <c r="C272" s="348"/>
      <c r="D272" s="348"/>
      <c r="E272" s="348"/>
      <c r="F272" s="348"/>
      <c r="G272" s="348"/>
      <c r="H272" s="348"/>
      <c r="I272" s="348"/>
      <c r="J272" s="348"/>
      <c r="K272" s="348"/>
      <c r="L272" s="348"/>
      <c r="M272" s="348"/>
      <c r="N272" s="348"/>
      <c r="O272" s="348">
        <v>286203.34309999994</v>
      </c>
      <c r="P272" s="348"/>
      <c r="Q272" s="353"/>
    </row>
    <row r="273" spans="1:17" x14ac:dyDescent="0.25">
      <c r="A273" s="360" t="s">
        <v>4191</v>
      </c>
      <c r="B273" s="348"/>
      <c r="C273" s="348"/>
      <c r="D273" s="348"/>
      <c r="E273" s="348"/>
      <c r="F273" s="348"/>
      <c r="G273" s="348"/>
      <c r="H273" s="348"/>
      <c r="I273" s="348"/>
      <c r="J273" s="348"/>
      <c r="K273" s="348"/>
      <c r="L273" s="348"/>
      <c r="M273" s="348"/>
      <c r="N273" s="348"/>
      <c r="O273" s="348">
        <v>729716.41499999946</v>
      </c>
      <c r="P273" s="348"/>
      <c r="Q273" s="353"/>
    </row>
    <row r="274" spans="1:17" x14ac:dyDescent="0.25">
      <c r="A274" s="360" t="s">
        <v>4362</v>
      </c>
      <c r="B274" s="348"/>
      <c r="C274" s="348"/>
      <c r="D274" s="348"/>
      <c r="E274" s="348"/>
      <c r="F274" s="348"/>
      <c r="G274" s="348"/>
      <c r="H274" s="348"/>
      <c r="I274" s="348"/>
      <c r="J274" s="348"/>
      <c r="K274" s="348"/>
      <c r="L274" s="348"/>
      <c r="M274" s="348"/>
      <c r="N274" s="348"/>
      <c r="O274" s="348">
        <v>267412.52319999994</v>
      </c>
      <c r="P274" s="348"/>
      <c r="Q274" s="353"/>
    </row>
    <row r="275" spans="1:17" x14ac:dyDescent="0.25">
      <c r="A275" s="360" t="s">
        <v>4363</v>
      </c>
      <c r="B275" s="348"/>
      <c r="C275" s="348"/>
      <c r="D275" s="348"/>
      <c r="E275" s="348"/>
      <c r="F275" s="348"/>
      <c r="G275" s="348"/>
      <c r="H275" s="348"/>
      <c r="I275" s="348"/>
      <c r="J275" s="348"/>
      <c r="K275" s="348"/>
      <c r="L275" s="348"/>
      <c r="M275" s="348"/>
      <c r="N275" s="348"/>
      <c r="O275" s="348">
        <v>451109.09159999981</v>
      </c>
      <c r="P275" s="348"/>
      <c r="Q275" s="353"/>
    </row>
    <row r="276" spans="1:17" x14ac:dyDescent="0.25">
      <c r="A276" s="360" t="s">
        <v>4364</v>
      </c>
      <c r="B276" s="348"/>
      <c r="C276" s="348"/>
      <c r="D276" s="348"/>
      <c r="E276" s="348"/>
      <c r="F276" s="348"/>
      <c r="G276" s="348"/>
      <c r="H276" s="348"/>
      <c r="I276" s="348"/>
      <c r="J276" s="348"/>
      <c r="K276" s="348"/>
      <c r="L276" s="348"/>
      <c r="M276" s="348"/>
      <c r="N276" s="348"/>
      <c r="O276" s="348">
        <v>292571.72770000022</v>
      </c>
      <c r="P276" s="348"/>
      <c r="Q276" s="353"/>
    </row>
    <row r="277" spans="1:17" x14ac:dyDescent="0.25">
      <c r="A277" s="360" t="s">
        <v>4196</v>
      </c>
      <c r="B277" s="348"/>
      <c r="C277" s="348"/>
      <c r="D277" s="348"/>
      <c r="E277" s="348"/>
      <c r="F277" s="348"/>
      <c r="G277" s="348"/>
      <c r="H277" s="348"/>
      <c r="I277" s="348"/>
      <c r="J277" s="348"/>
      <c r="K277" s="348"/>
      <c r="L277" s="348"/>
      <c r="M277" s="348"/>
      <c r="N277" s="348"/>
      <c r="O277" s="348">
        <v>194380.3741000001</v>
      </c>
      <c r="P277" s="348"/>
      <c r="Q277" s="353"/>
    </row>
    <row r="278" spans="1:17" x14ac:dyDescent="0.25">
      <c r="A278" s="360" t="s">
        <v>2929</v>
      </c>
      <c r="B278" s="348"/>
      <c r="C278" s="348"/>
      <c r="D278" s="348"/>
      <c r="E278" s="348"/>
      <c r="F278" s="348"/>
      <c r="G278" s="348"/>
      <c r="H278" s="348"/>
      <c r="I278" s="348"/>
      <c r="J278" s="348"/>
      <c r="K278" s="348"/>
      <c r="L278" s="348"/>
      <c r="M278" s="348"/>
      <c r="N278" s="348"/>
      <c r="O278" s="348">
        <v>446998.79920000018</v>
      </c>
      <c r="P278" s="348"/>
      <c r="Q278" s="353"/>
    </row>
    <row r="279" spans="1:17" x14ac:dyDescent="0.25">
      <c r="A279" s="360" t="s">
        <v>4365</v>
      </c>
      <c r="B279" s="348"/>
      <c r="C279" s="348"/>
      <c r="D279" s="348"/>
      <c r="E279" s="348"/>
      <c r="F279" s="348"/>
      <c r="G279" s="348"/>
      <c r="H279" s="348"/>
      <c r="I279" s="348"/>
      <c r="J279" s="348"/>
      <c r="K279" s="348"/>
      <c r="L279" s="348"/>
      <c r="M279" s="348"/>
      <c r="N279" s="348"/>
      <c r="O279" s="348">
        <v>64733.709300000002</v>
      </c>
      <c r="P279" s="348"/>
      <c r="Q279" s="353"/>
    </row>
    <row r="280" spans="1:17" x14ac:dyDescent="0.25">
      <c r="A280" s="360" t="s">
        <v>4366</v>
      </c>
      <c r="B280" s="348"/>
      <c r="C280" s="348"/>
      <c r="D280" s="348"/>
      <c r="E280" s="348"/>
      <c r="F280" s="348"/>
      <c r="G280" s="348"/>
      <c r="H280" s="348"/>
      <c r="I280" s="348"/>
      <c r="J280" s="348"/>
      <c r="K280" s="348"/>
      <c r="L280" s="348"/>
      <c r="M280" s="348"/>
      <c r="N280" s="348"/>
      <c r="O280" s="348">
        <v>600570.85840000026</v>
      </c>
      <c r="P280" s="348"/>
      <c r="Q280" s="353"/>
    </row>
    <row r="281" spans="1:17" x14ac:dyDescent="0.25">
      <c r="A281" s="360" t="s">
        <v>4367</v>
      </c>
      <c r="B281" s="348"/>
      <c r="C281" s="348"/>
      <c r="D281" s="348"/>
      <c r="E281" s="348"/>
      <c r="F281" s="348"/>
      <c r="G281" s="348"/>
      <c r="H281" s="348"/>
      <c r="I281" s="348"/>
      <c r="J281" s="348"/>
      <c r="K281" s="348"/>
      <c r="L281" s="348"/>
      <c r="M281" s="348"/>
      <c r="N281" s="348"/>
      <c r="O281" s="348">
        <v>865192.37230000005</v>
      </c>
      <c r="P281" s="348"/>
      <c r="Q281" s="353"/>
    </row>
    <row r="282" spans="1:17" x14ac:dyDescent="0.25">
      <c r="A282" s="360" t="s">
        <v>4368</v>
      </c>
      <c r="B282" s="348"/>
      <c r="C282" s="348"/>
      <c r="D282" s="348"/>
      <c r="E282" s="348"/>
      <c r="F282" s="348"/>
      <c r="G282" s="348"/>
      <c r="H282" s="348"/>
      <c r="I282" s="348"/>
      <c r="J282" s="348"/>
      <c r="K282" s="348"/>
      <c r="L282" s="348"/>
      <c r="M282" s="348"/>
      <c r="N282" s="348"/>
      <c r="O282" s="348">
        <v>9206.7362000000012</v>
      </c>
      <c r="P282" s="348"/>
      <c r="Q282" s="353"/>
    </row>
    <row r="283" spans="1:17" x14ac:dyDescent="0.25">
      <c r="A283" s="360" t="s">
        <v>4369</v>
      </c>
      <c r="B283" s="348"/>
      <c r="C283" s="348"/>
      <c r="D283" s="348"/>
      <c r="E283" s="348"/>
      <c r="F283" s="348"/>
      <c r="G283" s="348"/>
      <c r="H283" s="348"/>
      <c r="I283" s="348"/>
      <c r="J283" s="348"/>
      <c r="K283" s="348"/>
      <c r="L283" s="348"/>
      <c r="M283" s="348"/>
      <c r="N283" s="348"/>
      <c r="O283" s="348">
        <v>81417.356100000005</v>
      </c>
      <c r="P283" s="348"/>
      <c r="Q283" s="353"/>
    </row>
    <row r="284" spans="1:17" x14ac:dyDescent="0.25">
      <c r="A284" s="360" t="s">
        <v>4252</v>
      </c>
      <c r="B284" s="348"/>
      <c r="C284" s="348"/>
      <c r="D284" s="348"/>
      <c r="E284" s="348"/>
      <c r="F284" s="348"/>
      <c r="G284" s="348"/>
      <c r="H284" s="348"/>
      <c r="I284" s="348"/>
      <c r="J284" s="348"/>
      <c r="K284" s="348"/>
      <c r="L284" s="348"/>
      <c r="M284" s="348"/>
      <c r="N284" s="348"/>
      <c r="O284" s="348">
        <v>1888685.9893000002</v>
      </c>
      <c r="P284" s="348"/>
      <c r="Q284" s="353">
        <v>90.423400000000001</v>
      </c>
    </row>
    <row r="285" spans="1:17" x14ac:dyDescent="0.25">
      <c r="A285" s="360" t="s">
        <v>4370</v>
      </c>
      <c r="B285" s="348"/>
      <c r="C285" s="348"/>
      <c r="D285" s="348"/>
      <c r="E285" s="348"/>
      <c r="F285" s="348"/>
      <c r="G285" s="348"/>
      <c r="H285" s="348"/>
      <c r="I285" s="348"/>
      <c r="J285" s="348"/>
      <c r="K285" s="348"/>
      <c r="L285" s="348"/>
      <c r="M285" s="348"/>
      <c r="N285" s="348"/>
      <c r="O285" s="348">
        <v>2019.3467000000001</v>
      </c>
      <c r="P285" s="348"/>
      <c r="Q285" s="353"/>
    </row>
    <row r="286" spans="1:17" x14ac:dyDescent="0.25">
      <c r="A286" s="360" t="s">
        <v>4250</v>
      </c>
      <c r="B286" s="348"/>
      <c r="C286" s="348"/>
      <c r="D286" s="348"/>
      <c r="E286" s="348"/>
      <c r="F286" s="348"/>
      <c r="G286" s="348"/>
      <c r="H286" s="348"/>
      <c r="I286" s="348"/>
      <c r="J286" s="348"/>
      <c r="K286" s="348"/>
      <c r="L286" s="348"/>
      <c r="M286" s="348"/>
      <c r="N286" s="348"/>
      <c r="O286" s="348">
        <v>940724.55530000001</v>
      </c>
      <c r="P286" s="348">
        <v>0</v>
      </c>
      <c r="Q286" s="353">
        <v>0</v>
      </c>
    </row>
    <row r="287" spans="1:17" x14ac:dyDescent="0.25">
      <c r="A287" s="360" t="s">
        <v>4371</v>
      </c>
      <c r="B287" s="348"/>
      <c r="C287" s="348"/>
      <c r="D287" s="348"/>
      <c r="E287" s="348"/>
      <c r="F287" s="348"/>
      <c r="G287" s="348"/>
      <c r="H287" s="348"/>
      <c r="I287" s="348"/>
      <c r="J287" s="348"/>
      <c r="K287" s="348"/>
      <c r="L287" s="348"/>
      <c r="M287" s="348"/>
      <c r="N287" s="348"/>
      <c r="O287" s="348">
        <v>2918.8517999999999</v>
      </c>
      <c r="P287" s="348"/>
      <c r="Q287" s="353"/>
    </row>
    <row r="288" spans="1:17" x14ac:dyDescent="0.25">
      <c r="A288" s="360" t="s">
        <v>4372</v>
      </c>
      <c r="B288" s="348"/>
      <c r="C288" s="348"/>
      <c r="D288" s="348"/>
      <c r="E288" s="348"/>
      <c r="F288" s="348"/>
      <c r="G288" s="348"/>
      <c r="H288" s="348"/>
      <c r="I288" s="348"/>
      <c r="J288" s="348"/>
      <c r="K288" s="348"/>
      <c r="L288" s="348"/>
      <c r="M288" s="348"/>
      <c r="N288" s="348"/>
      <c r="O288" s="348">
        <v>3414.402</v>
      </c>
      <c r="P288" s="348"/>
      <c r="Q288" s="353"/>
    </row>
    <row r="289" spans="1:17" x14ac:dyDescent="0.25">
      <c r="A289" s="360" t="s">
        <v>4373</v>
      </c>
      <c r="B289" s="348"/>
      <c r="C289" s="348"/>
      <c r="D289" s="348"/>
      <c r="E289" s="348"/>
      <c r="F289" s="348"/>
      <c r="G289" s="348"/>
      <c r="H289" s="348"/>
      <c r="I289" s="348"/>
      <c r="J289" s="348"/>
      <c r="K289" s="348"/>
      <c r="L289" s="348"/>
      <c r="M289" s="348"/>
      <c r="N289" s="348"/>
      <c r="O289" s="348">
        <v>3975.0095000000001</v>
      </c>
      <c r="P289" s="348"/>
      <c r="Q289" s="353"/>
    </row>
    <row r="290" spans="1:17" x14ac:dyDescent="0.25">
      <c r="A290" s="360" t="s">
        <v>4374</v>
      </c>
      <c r="B290" s="348"/>
      <c r="C290" s="348"/>
      <c r="D290" s="348"/>
      <c r="E290" s="348"/>
      <c r="F290" s="348"/>
      <c r="G290" s="348"/>
      <c r="H290" s="348"/>
      <c r="I290" s="348"/>
      <c r="J290" s="348"/>
      <c r="K290" s="348"/>
      <c r="L290" s="348"/>
      <c r="M290" s="348"/>
      <c r="N290" s="348"/>
      <c r="O290" s="348">
        <v>4769.1575000000003</v>
      </c>
      <c r="P290" s="348"/>
      <c r="Q290" s="353"/>
    </row>
    <row r="291" spans="1:17" x14ac:dyDescent="0.25">
      <c r="A291" s="360" t="s">
        <v>4375</v>
      </c>
      <c r="B291" s="348"/>
      <c r="C291" s="348"/>
      <c r="D291" s="348"/>
      <c r="E291" s="348"/>
      <c r="F291" s="348"/>
      <c r="G291" s="348"/>
      <c r="H291" s="348"/>
      <c r="I291" s="348"/>
      <c r="J291" s="348"/>
      <c r="K291" s="348"/>
      <c r="L291" s="348"/>
      <c r="M291" s="348"/>
      <c r="N291" s="348"/>
      <c r="O291" s="348">
        <v>2519.0726</v>
      </c>
      <c r="P291" s="348"/>
      <c r="Q291" s="353"/>
    </row>
    <row r="292" spans="1:17" x14ac:dyDescent="0.25">
      <c r="A292" s="360" t="s">
        <v>822</v>
      </c>
      <c r="B292" s="348"/>
      <c r="C292" s="348"/>
      <c r="D292" s="348"/>
      <c r="E292" s="348"/>
      <c r="F292" s="348"/>
      <c r="G292" s="348"/>
      <c r="H292" s="348"/>
      <c r="I292" s="348"/>
      <c r="J292" s="348"/>
      <c r="K292" s="348"/>
      <c r="L292" s="348"/>
      <c r="M292" s="348"/>
      <c r="N292" s="348"/>
      <c r="O292" s="348">
        <v>7276724.5966000026</v>
      </c>
      <c r="P292" s="348"/>
      <c r="Q292" s="353"/>
    </row>
    <row r="293" spans="1:17" x14ac:dyDescent="0.25">
      <c r="A293" s="360" t="s">
        <v>4376</v>
      </c>
      <c r="B293" s="348"/>
      <c r="C293" s="348"/>
      <c r="D293" s="348"/>
      <c r="E293" s="348"/>
      <c r="F293" s="348"/>
      <c r="G293" s="348"/>
      <c r="H293" s="348"/>
      <c r="I293" s="348"/>
      <c r="J293" s="348"/>
      <c r="K293" s="348"/>
      <c r="L293" s="348"/>
      <c r="M293" s="348"/>
      <c r="N293" s="348"/>
      <c r="O293" s="348">
        <v>679.21609999999998</v>
      </c>
      <c r="P293" s="348"/>
      <c r="Q293" s="353"/>
    </row>
    <row r="294" spans="1:17" x14ac:dyDescent="0.25">
      <c r="A294" s="360" t="s">
        <v>4377</v>
      </c>
      <c r="B294" s="348"/>
      <c r="C294" s="348"/>
      <c r="D294" s="348"/>
      <c r="E294" s="348"/>
      <c r="F294" s="348"/>
      <c r="G294" s="348"/>
      <c r="H294" s="348"/>
      <c r="I294" s="348"/>
      <c r="J294" s="348"/>
      <c r="K294" s="348"/>
      <c r="L294" s="348"/>
      <c r="M294" s="348"/>
      <c r="N294" s="348"/>
      <c r="O294" s="348">
        <v>7200.6032999999998</v>
      </c>
      <c r="P294" s="348"/>
      <c r="Q294" s="353"/>
    </row>
    <row r="295" spans="1:17" x14ac:dyDescent="0.25">
      <c r="A295" s="360" t="s">
        <v>2937</v>
      </c>
      <c r="B295" s="348"/>
      <c r="C295" s="348"/>
      <c r="D295" s="348"/>
      <c r="E295" s="348"/>
      <c r="F295" s="348"/>
      <c r="G295" s="348"/>
      <c r="H295" s="348"/>
      <c r="I295" s="348"/>
      <c r="J295" s="348"/>
      <c r="K295" s="348"/>
      <c r="L295" s="348"/>
      <c r="M295" s="348"/>
      <c r="N295" s="348"/>
      <c r="O295" s="348">
        <v>118077.15320000003</v>
      </c>
      <c r="P295" s="348"/>
      <c r="Q295" s="353"/>
    </row>
    <row r="296" spans="1:17" x14ac:dyDescent="0.25">
      <c r="A296" s="360" t="s">
        <v>4378</v>
      </c>
      <c r="B296" s="348"/>
      <c r="C296" s="348"/>
      <c r="D296" s="348"/>
      <c r="E296" s="348"/>
      <c r="F296" s="348"/>
      <c r="G296" s="348"/>
      <c r="H296" s="348"/>
      <c r="I296" s="348"/>
      <c r="J296" s="348"/>
      <c r="K296" s="348"/>
      <c r="L296" s="348"/>
      <c r="M296" s="348"/>
      <c r="N296" s="348"/>
      <c r="O296" s="348">
        <v>5284.4956000000002</v>
      </c>
      <c r="P296" s="348">
        <v>0</v>
      </c>
      <c r="Q296" s="353"/>
    </row>
    <row r="297" spans="1:17" x14ac:dyDescent="0.25">
      <c r="A297" s="360" t="s">
        <v>4253</v>
      </c>
      <c r="B297" s="348"/>
      <c r="C297" s="348"/>
      <c r="D297" s="348"/>
      <c r="E297" s="348"/>
      <c r="F297" s="348"/>
      <c r="G297" s="348"/>
      <c r="H297" s="348"/>
      <c r="I297" s="348"/>
      <c r="J297" s="348"/>
      <c r="K297" s="348"/>
      <c r="L297" s="348"/>
      <c r="M297" s="348"/>
      <c r="N297" s="348"/>
      <c r="O297" s="348">
        <v>1937.8434999999999</v>
      </c>
      <c r="P297" s="348">
        <v>0</v>
      </c>
      <c r="Q297" s="353">
        <v>0</v>
      </c>
    </row>
    <row r="298" spans="1:17" x14ac:dyDescent="0.25">
      <c r="A298" s="360" t="s">
        <v>4379</v>
      </c>
      <c r="B298" s="348"/>
      <c r="C298" s="348"/>
      <c r="D298" s="348"/>
      <c r="E298" s="348"/>
      <c r="F298" s="348"/>
      <c r="G298" s="348"/>
      <c r="H298" s="348"/>
      <c r="I298" s="348"/>
      <c r="J298" s="348"/>
      <c r="K298" s="348"/>
      <c r="L298" s="348"/>
      <c r="M298" s="348"/>
      <c r="N298" s="348"/>
      <c r="O298" s="348">
        <v>0</v>
      </c>
      <c r="P298" s="348"/>
      <c r="Q298" s="353"/>
    </row>
    <row r="299" spans="1:17" x14ac:dyDescent="0.25">
      <c r="A299" s="360" t="s">
        <v>4380</v>
      </c>
      <c r="B299" s="348"/>
      <c r="C299" s="348"/>
      <c r="D299" s="348"/>
      <c r="E299" s="348"/>
      <c r="F299" s="348"/>
      <c r="G299" s="348"/>
      <c r="H299" s="348"/>
      <c r="I299" s="348"/>
      <c r="J299" s="348"/>
      <c r="K299" s="348"/>
      <c r="L299" s="348"/>
      <c r="M299" s="348"/>
      <c r="N299" s="348"/>
      <c r="O299" s="348">
        <v>525.25959999999998</v>
      </c>
      <c r="P299" s="348"/>
      <c r="Q299" s="353"/>
    </row>
    <row r="300" spans="1:17" x14ac:dyDescent="0.25">
      <c r="A300" s="360" t="s">
        <v>4251</v>
      </c>
      <c r="B300" s="348"/>
      <c r="C300" s="348"/>
      <c r="D300" s="348"/>
      <c r="E300" s="348"/>
      <c r="F300" s="348"/>
      <c r="G300" s="348"/>
      <c r="H300" s="348"/>
      <c r="I300" s="348"/>
      <c r="J300" s="348"/>
      <c r="K300" s="348"/>
      <c r="L300" s="348"/>
      <c r="M300" s="348"/>
      <c r="N300" s="348"/>
      <c r="O300" s="348">
        <v>125156.1474</v>
      </c>
      <c r="P300" s="348"/>
      <c r="Q300" s="353">
        <v>0</v>
      </c>
    </row>
    <row r="301" spans="1:17" x14ac:dyDescent="0.25">
      <c r="A301" s="360" t="s">
        <v>4381</v>
      </c>
      <c r="B301" s="348"/>
      <c r="C301" s="348"/>
      <c r="D301" s="348"/>
      <c r="E301" s="348"/>
      <c r="F301" s="348"/>
      <c r="G301" s="348"/>
      <c r="H301" s="348"/>
      <c r="I301" s="348"/>
      <c r="J301" s="348"/>
      <c r="K301" s="348"/>
      <c r="L301" s="348"/>
      <c r="M301" s="348"/>
      <c r="N301" s="348"/>
      <c r="O301" s="348">
        <v>24606.9689</v>
      </c>
      <c r="P301" s="348"/>
      <c r="Q301" s="353"/>
    </row>
    <row r="302" spans="1:17" x14ac:dyDescent="0.25">
      <c r="A302" s="360" t="s">
        <v>4382</v>
      </c>
      <c r="B302" s="348"/>
      <c r="C302" s="348"/>
      <c r="D302" s="348"/>
      <c r="E302" s="348"/>
      <c r="F302" s="348"/>
      <c r="G302" s="348"/>
      <c r="H302" s="348"/>
      <c r="I302" s="348"/>
      <c r="J302" s="348"/>
      <c r="K302" s="348"/>
      <c r="L302" s="348"/>
      <c r="M302" s="348"/>
      <c r="N302" s="348"/>
      <c r="O302" s="348">
        <v>408.58960000000002</v>
      </c>
      <c r="P302" s="348"/>
      <c r="Q302" s="353">
        <v>0.24410000000000001</v>
      </c>
    </row>
    <row r="303" spans="1:17" x14ac:dyDescent="0.25">
      <c r="A303" s="360" t="s">
        <v>4383</v>
      </c>
      <c r="B303" s="348"/>
      <c r="C303" s="348"/>
      <c r="D303" s="348"/>
      <c r="E303" s="348"/>
      <c r="F303" s="348"/>
      <c r="G303" s="348"/>
      <c r="H303" s="348"/>
      <c r="I303" s="348"/>
      <c r="J303" s="348"/>
      <c r="K303" s="348"/>
      <c r="L303" s="348"/>
      <c r="M303" s="348"/>
      <c r="N303" s="348"/>
      <c r="O303" s="348">
        <v>0</v>
      </c>
      <c r="P303" s="348"/>
      <c r="Q303" s="353"/>
    </row>
    <row r="304" spans="1:17" x14ac:dyDescent="0.25">
      <c r="A304" s="360" t="s">
        <v>4205</v>
      </c>
      <c r="B304" s="348"/>
      <c r="C304" s="348"/>
      <c r="D304" s="348"/>
      <c r="E304" s="348"/>
      <c r="F304" s="348"/>
      <c r="G304" s="348"/>
      <c r="H304" s="348"/>
      <c r="I304" s="348"/>
      <c r="J304" s="348"/>
      <c r="K304" s="348"/>
      <c r="L304" s="348"/>
      <c r="M304" s="348"/>
      <c r="N304" s="348"/>
      <c r="O304" s="348">
        <v>3474460.0236999998</v>
      </c>
      <c r="P304" s="348"/>
      <c r="Q304" s="353"/>
    </row>
    <row r="305" spans="1:17" x14ac:dyDescent="0.25">
      <c r="A305" s="360" t="s">
        <v>4384</v>
      </c>
      <c r="B305" s="348"/>
      <c r="C305" s="348"/>
      <c r="D305" s="348"/>
      <c r="E305" s="348"/>
      <c r="F305" s="348"/>
      <c r="G305" s="348"/>
      <c r="H305" s="348"/>
      <c r="I305" s="348"/>
      <c r="J305" s="348"/>
      <c r="K305" s="348"/>
      <c r="L305" s="348"/>
      <c r="M305" s="348"/>
      <c r="N305" s="348"/>
      <c r="O305" s="348">
        <v>0</v>
      </c>
      <c r="P305" s="348"/>
      <c r="Q305" s="353"/>
    </row>
    <row r="306" spans="1:17" x14ac:dyDescent="0.25">
      <c r="A306" s="360" t="s">
        <v>1141</v>
      </c>
      <c r="B306" s="348"/>
      <c r="C306" s="348"/>
      <c r="D306" s="348"/>
      <c r="E306" s="348"/>
      <c r="F306" s="348"/>
      <c r="G306" s="348"/>
      <c r="H306" s="348"/>
      <c r="I306" s="348"/>
      <c r="J306" s="348"/>
      <c r="K306" s="348"/>
      <c r="L306" s="348"/>
      <c r="M306" s="348"/>
      <c r="N306" s="348"/>
      <c r="O306" s="348">
        <v>3977840.8101999988</v>
      </c>
      <c r="P306" s="348"/>
      <c r="Q306" s="353"/>
    </row>
    <row r="307" spans="1:17" x14ac:dyDescent="0.25">
      <c r="A307" s="360" t="s">
        <v>826</v>
      </c>
      <c r="B307" s="348"/>
      <c r="C307" s="348"/>
      <c r="D307" s="348"/>
      <c r="E307" s="348"/>
      <c r="F307" s="348"/>
      <c r="G307" s="348"/>
      <c r="H307" s="348"/>
      <c r="I307" s="348"/>
      <c r="J307" s="348"/>
      <c r="K307" s="348"/>
      <c r="L307" s="348"/>
      <c r="M307" s="348"/>
      <c r="N307" s="348"/>
      <c r="O307" s="348">
        <v>4460599.119199994</v>
      </c>
      <c r="P307" s="348"/>
      <c r="Q307" s="353"/>
    </row>
    <row r="308" spans="1:17" x14ac:dyDescent="0.25">
      <c r="A308" s="360" t="s">
        <v>612</v>
      </c>
      <c r="B308" s="348"/>
      <c r="C308" s="348"/>
      <c r="D308" s="348"/>
      <c r="E308" s="348"/>
      <c r="F308" s="348"/>
      <c r="G308" s="348"/>
      <c r="H308" s="348"/>
      <c r="I308" s="348"/>
      <c r="J308" s="348"/>
      <c r="K308" s="348"/>
      <c r="L308" s="348"/>
      <c r="M308" s="348"/>
      <c r="N308" s="348"/>
      <c r="O308" s="348">
        <v>4883287.4659000058</v>
      </c>
      <c r="P308" s="348"/>
      <c r="Q308" s="353"/>
    </row>
    <row r="309" spans="1:17" x14ac:dyDescent="0.25">
      <c r="A309" s="360" t="s">
        <v>1047</v>
      </c>
      <c r="B309" s="348"/>
      <c r="C309" s="348"/>
      <c r="D309" s="348"/>
      <c r="E309" s="348"/>
      <c r="F309" s="348"/>
      <c r="G309" s="348"/>
      <c r="H309" s="348"/>
      <c r="I309" s="348"/>
      <c r="J309" s="348"/>
      <c r="K309" s="348"/>
      <c r="L309" s="348"/>
      <c r="M309" s="348"/>
      <c r="N309" s="348"/>
      <c r="O309" s="348">
        <v>2895041.1322000045</v>
      </c>
      <c r="P309" s="348"/>
      <c r="Q309" s="353"/>
    </row>
    <row r="310" spans="1:17" x14ac:dyDescent="0.25">
      <c r="A310" s="360" t="s">
        <v>828</v>
      </c>
      <c r="B310" s="348"/>
      <c r="C310" s="348"/>
      <c r="D310" s="348"/>
      <c r="E310" s="348"/>
      <c r="F310" s="348"/>
      <c r="G310" s="348"/>
      <c r="H310" s="348"/>
      <c r="I310" s="348"/>
      <c r="J310" s="348"/>
      <c r="K310" s="348"/>
      <c r="L310" s="348"/>
      <c r="M310" s="348"/>
      <c r="N310" s="348"/>
      <c r="O310" s="348">
        <v>2585758.6526999967</v>
      </c>
      <c r="P310" s="348"/>
      <c r="Q310" s="353"/>
    </row>
    <row r="311" spans="1:17" x14ac:dyDescent="0.25">
      <c r="A311" s="360" t="s">
        <v>4207</v>
      </c>
      <c r="B311" s="348"/>
      <c r="C311" s="348"/>
      <c r="D311" s="348"/>
      <c r="E311" s="348"/>
      <c r="F311" s="348"/>
      <c r="G311" s="348"/>
      <c r="H311" s="348"/>
      <c r="I311" s="348"/>
      <c r="J311" s="348"/>
      <c r="K311" s="348"/>
      <c r="L311" s="348"/>
      <c r="M311" s="348"/>
      <c r="N311" s="348"/>
      <c r="O311" s="348">
        <v>5609535.1321999915</v>
      </c>
      <c r="P311" s="348"/>
      <c r="Q311" s="353"/>
    </row>
    <row r="312" spans="1:17" x14ac:dyDescent="0.25">
      <c r="A312" s="360" t="s">
        <v>613</v>
      </c>
      <c r="B312" s="348"/>
      <c r="C312" s="348"/>
      <c r="D312" s="348"/>
      <c r="E312" s="348"/>
      <c r="F312" s="348"/>
      <c r="G312" s="348"/>
      <c r="H312" s="348"/>
      <c r="I312" s="348"/>
      <c r="J312" s="348"/>
      <c r="K312" s="348"/>
      <c r="L312" s="348"/>
      <c r="M312" s="348"/>
      <c r="N312" s="348"/>
      <c r="O312" s="348">
        <v>2066544.3487999993</v>
      </c>
      <c r="P312" s="348"/>
      <c r="Q312" s="353"/>
    </row>
    <row r="313" spans="1:17" x14ac:dyDescent="0.25">
      <c r="A313" s="360" t="s">
        <v>614</v>
      </c>
      <c r="B313" s="348"/>
      <c r="C313" s="348"/>
      <c r="D313" s="348"/>
      <c r="E313" s="348"/>
      <c r="F313" s="348"/>
      <c r="G313" s="348"/>
      <c r="H313" s="348"/>
      <c r="I313" s="348"/>
      <c r="J313" s="348"/>
      <c r="K313" s="348"/>
      <c r="L313" s="348"/>
      <c r="M313" s="348"/>
      <c r="N313" s="348"/>
      <c r="O313" s="348">
        <v>250177.52350000007</v>
      </c>
      <c r="P313" s="348"/>
      <c r="Q313" s="353"/>
    </row>
    <row r="314" spans="1:17" x14ac:dyDescent="0.25">
      <c r="A314" s="360" t="s">
        <v>827</v>
      </c>
      <c r="B314" s="348"/>
      <c r="C314" s="348"/>
      <c r="D314" s="348"/>
      <c r="E314" s="348"/>
      <c r="F314" s="348"/>
      <c r="G314" s="348"/>
      <c r="H314" s="348"/>
      <c r="I314" s="348"/>
      <c r="J314" s="348"/>
      <c r="K314" s="348"/>
      <c r="L314" s="348"/>
      <c r="M314" s="348"/>
      <c r="N314" s="348"/>
      <c r="O314" s="348">
        <v>3518077.0494000018</v>
      </c>
      <c r="P314" s="348"/>
      <c r="Q314" s="353"/>
    </row>
    <row r="315" spans="1:17" x14ac:dyDescent="0.25">
      <c r="A315" s="360" t="s">
        <v>4385</v>
      </c>
      <c r="B315" s="348"/>
      <c r="C315" s="348"/>
      <c r="D315" s="348"/>
      <c r="E315" s="348"/>
      <c r="F315" s="348"/>
      <c r="G315" s="348"/>
      <c r="H315" s="348"/>
      <c r="I315" s="348"/>
      <c r="J315" s="348"/>
      <c r="K315" s="348"/>
      <c r="L315" s="348"/>
      <c r="M315" s="348"/>
      <c r="N315" s="348"/>
      <c r="O315" s="348">
        <v>116924.08469999999</v>
      </c>
      <c r="P315" s="348"/>
      <c r="Q315" s="353"/>
    </row>
    <row r="316" spans="1:17" x14ac:dyDescent="0.25">
      <c r="A316" s="360" t="s">
        <v>4386</v>
      </c>
      <c r="B316" s="348"/>
      <c r="C316" s="348"/>
      <c r="D316" s="348"/>
      <c r="E316" s="348"/>
      <c r="F316" s="348"/>
      <c r="G316" s="348"/>
      <c r="H316" s="348"/>
      <c r="I316" s="348"/>
      <c r="J316" s="348"/>
      <c r="K316" s="348"/>
      <c r="L316" s="348"/>
      <c r="M316" s="348"/>
      <c r="N316" s="348"/>
      <c r="O316" s="348">
        <v>274943.64359999984</v>
      </c>
      <c r="P316" s="348"/>
      <c r="Q316" s="353"/>
    </row>
    <row r="317" spans="1:17" x14ac:dyDescent="0.25">
      <c r="A317" s="360" t="s">
        <v>825</v>
      </c>
      <c r="B317" s="348"/>
      <c r="C317" s="348"/>
      <c r="D317" s="348"/>
      <c r="E317" s="348"/>
      <c r="F317" s="348"/>
      <c r="G317" s="348"/>
      <c r="H317" s="348"/>
      <c r="I317" s="348"/>
      <c r="J317" s="348"/>
      <c r="K317" s="348"/>
      <c r="L317" s="348"/>
      <c r="M317" s="348"/>
      <c r="N317" s="348"/>
      <c r="O317" s="348">
        <v>594101.02250000008</v>
      </c>
      <c r="P317" s="348"/>
      <c r="Q317" s="353"/>
    </row>
    <row r="318" spans="1:17" x14ac:dyDescent="0.25">
      <c r="A318" s="360" t="s">
        <v>4387</v>
      </c>
      <c r="B318" s="348"/>
      <c r="C318" s="348"/>
      <c r="D318" s="348"/>
      <c r="E318" s="348"/>
      <c r="F318" s="348"/>
      <c r="G318" s="348"/>
      <c r="H318" s="348"/>
      <c r="I318" s="348"/>
      <c r="J318" s="348"/>
      <c r="K318" s="348"/>
      <c r="L318" s="348"/>
      <c r="M318" s="348"/>
      <c r="N318" s="348"/>
      <c r="O318" s="348">
        <v>109258.48700000001</v>
      </c>
      <c r="P318" s="348"/>
      <c r="Q318" s="353"/>
    </row>
    <row r="319" spans="1:17" x14ac:dyDescent="0.25">
      <c r="A319" s="360" t="s">
        <v>4388</v>
      </c>
      <c r="B319" s="348"/>
      <c r="C319" s="348"/>
      <c r="D319" s="348"/>
      <c r="E319" s="348"/>
      <c r="F319" s="348"/>
      <c r="G319" s="348"/>
      <c r="H319" s="348"/>
      <c r="I319" s="348"/>
      <c r="J319" s="348"/>
      <c r="K319" s="348"/>
      <c r="L319" s="348"/>
      <c r="M319" s="348"/>
      <c r="N319" s="348"/>
      <c r="O319" s="348">
        <v>87080.101799999989</v>
      </c>
      <c r="P319" s="348"/>
      <c r="Q319" s="353"/>
    </row>
    <row r="320" spans="1:17" x14ac:dyDescent="0.25">
      <c r="A320" s="360" t="s">
        <v>4119</v>
      </c>
      <c r="B320" s="348"/>
      <c r="C320" s="348"/>
      <c r="D320" s="348"/>
      <c r="E320" s="348"/>
      <c r="F320" s="348"/>
      <c r="G320" s="348"/>
      <c r="H320" s="348"/>
      <c r="I320" s="348"/>
      <c r="J320" s="348"/>
      <c r="K320" s="348"/>
      <c r="L320" s="348"/>
      <c r="M320" s="348"/>
      <c r="N320" s="348"/>
      <c r="O320" s="348">
        <v>105157.80989999998</v>
      </c>
      <c r="P320" s="348"/>
      <c r="Q320" s="353"/>
    </row>
    <row r="321" spans="1:17" x14ac:dyDescent="0.25">
      <c r="A321" s="360" t="s">
        <v>615</v>
      </c>
      <c r="B321" s="348"/>
      <c r="C321" s="348"/>
      <c r="D321" s="348"/>
      <c r="E321" s="348"/>
      <c r="F321" s="348"/>
      <c r="G321" s="348"/>
      <c r="H321" s="348"/>
      <c r="I321" s="348"/>
      <c r="J321" s="348"/>
      <c r="K321" s="348"/>
      <c r="L321" s="348"/>
      <c r="M321" s="348"/>
      <c r="N321" s="348"/>
      <c r="O321" s="348">
        <v>46607.58249999999</v>
      </c>
      <c r="P321" s="348"/>
      <c r="Q321" s="353"/>
    </row>
    <row r="322" spans="1:17" x14ac:dyDescent="0.25">
      <c r="A322" s="360" t="s">
        <v>3551</v>
      </c>
      <c r="B322" s="348"/>
      <c r="C322" s="348"/>
      <c r="D322" s="348"/>
      <c r="E322" s="348"/>
      <c r="F322" s="348"/>
      <c r="G322" s="348"/>
      <c r="H322" s="348"/>
      <c r="I322" s="348"/>
      <c r="J322" s="348"/>
      <c r="K322" s="348"/>
      <c r="L322" s="348"/>
      <c r="M322" s="348"/>
      <c r="N322" s="348"/>
      <c r="O322" s="348">
        <v>46194.535400000001</v>
      </c>
      <c r="P322" s="348"/>
      <c r="Q322" s="353"/>
    </row>
    <row r="323" spans="1:17" x14ac:dyDescent="0.25">
      <c r="A323" s="360" t="s">
        <v>4389</v>
      </c>
      <c r="B323" s="348"/>
      <c r="C323" s="348"/>
      <c r="D323" s="348"/>
      <c r="E323" s="348"/>
      <c r="F323" s="348"/>
      <c r="G323" s="348"/>
      <c r="H323" s="348"/>
      <c r="I323" s="348"/>
      <c r="J323" s="348"/>
      <c r="K323" s="348"/>
      <c r="L323" s="348"/>
      <c r="M323" s="348"/>
      <c r="N323" s="348"/>
      <c r="O323" s="348">
        <v>0</v>
      </c>
      <c r="P323" s="348"/>
      <c r="Q323" s="353"/>
    </row>
    <row r="324" spans="1:17" x14ac:dyDescent="0.25">
      <c r="A324" s="360" t="s">
        <v>1309</v>
      </c>
      <c r="B324" s="348"/>
      <c r="C324" s="348"/>
      <c r="D324" s="348"/>
      <c r="E324" s="348"/>
      <c r="F324" s="348"/>
      <c r="G324" s="348"/>
      <c r="H324" s="348"/>
      <c r="I324" s="348"/>
      <c r="J324" s="348"/>
      <c r="K324" s="348"/>
      <c r="L324" s="348"/>
      <c r="M324" s="348"/>
      <c r="N324" s="348"/>
      <c r="O324" s="348">
        <v>0</v>
      </c>
      <c r="P324" s="348"/>
      <c r="Q324" s="353"/>
    </row>
    <row r="325" spans="1:17" x14ac:dyDescent="0.25">
      <c r="A325" s="360" t="s">
        <v>829</v>
      </c>
      <c r="B325" s="348"/>
      <c r="C325" s="348"/>
      <c r="D325" s="348"/>
      <c r="E325" s="348"/>
      <c r="F325" s="348"/>
      <c r="G325" s="348"/>
      <c r="H325" s="348"/>
      <c r="I325" s="348"/>
      <c r="J325" s="348"/>
      <c r="K325" s="348"/>
      <c r="L325" s="348"/>
      <c r="M325" s="348"/>
      <c r="N325" s="348"/>
      <c r="O325" s="348">
        <v>57828883.564999916</v>
      </c>
      <c r="P325" s="348">
        <v>6544.2979999999998</v>
      </c>
      <c r="Q325" s="353">
        <v>1333.0407</v>
      </c>
    </row>
    <row r="326" spans="1:17" x14ac:dyDescent="0.25">
      <c r="A326" s="360" t="s">
        <v>2545</v>
      </c>
      <c r="B326" s="348"/>
      <c r="C326" s="348"/>
      <c r="D326" s="348"/>
      <c r="E326" s="348"/>
      <c r="F326" s="348"/>
      <c r="G326" s="348"/>
      <c r="H326" s="348"/>
      <c r="I326" s="348"/>
      <c r="J326" s="348"/>
      <c r="K326" s="348"/>
      <c r="L326" s="348"/>
      <c r="M326" s="348"/>
      <c r="N326" s="348"/>
      <c r="O326" s="348">
        <v>8899225.1374999918</v>
      </c>
      <c r="P326" s="348"/>
      <c r="Q326" s="353"/>
    </row>
    <row r="327" spans="1:17" x14ac:dyDescent="0.25">
      <c r="A327" s="360" t="s">
        <v>4254</v>
      </c>
      <c r="B327" s="348"/>
      <c r="C327" s="348"/>
      <c r="D327" s="348"/>
      <c r="E327" s="348"/>
      <c r="F327" s="348"/>
      <c r="G327" s="348"/>
      <c r="H327" s="348"/>
      <c r="I327" s="348"/>
      <c r="J327" s="348"/>
      <c r="K327" s="348"/>
      <c r="L327" s="348"/>
      <c r="M327" s="348"/>
      <c r="N327" s="348"/>
      <c r="O327" s="348">
        <v>847907.95440000016</v>
      </c>
      <c r="P327" s="348"/>
      <c r="Q327" s="353"/>
    </row>
    <row r="328" spans="1:17" x14ac:dyDescent="0.25">
      <c r="A328" s="360" t="s">
        <v>830</v>
      </c>
      <c r="B328" s="348"/>
      <c r="C328" s="348"/>
      <c r="D328" s="348"/>
      <c r="E328" s="348"/>
      <c r="F328" s="348"/>
      <c r="G328" s="348"/>
      <c r="H328" s="348"/>
      <c r="I328" s="348"/>
      <c r="J328" s="348"/>
      <c r="K328" s="348"/>
      <c r="L328" s="348"/>
      <c r="M328" s="348"/>
      <c r="N328" s="348"/>
      <c r="O328" s="348">
        <v>16558074.36970002</v>
      </c>
      <c r="P328" s="348"/>
      <c r="Q328" s="353"/>
    </row>
    <row r="329" spans="1:17" x14ac:dyDescent="0.25">
      <c r="A329" s="360" t="s">
        <v>831</v>
      </c>
      <c r="B329" s="348"/>
      <c r="C329" s="348"/>
      <c r="D329" s="348"/>
      <c r="E329" s="348"/>
      <c r="F329" s="348"/>
      <c r="G329" s="348"/>
      <c r="H329" s="348"/>
      <c r="I329" s="348"/>
      <c r="J329" s="348"/>
      <c r="K329" s="348"/>
      <c r="L329" s="348"/>
      <c r="M329" s="348"/>
      <c r="N329" s="348"/>
      <c r="O329" s="348">
        <v>10604813.182899991</v>
      </c>
      <c r="P329" s="348"/>
      <c r="Q329" s="353"/>
    </row>
    <row r="330" spans="1:17" x14ac:dyDescent="0.25">
      <c r="A330" s="360" t="s">
        <v>859</v>
      </c>
      <c r="B330" s="348"/>
      <c r="C330" s="348"/>
      <c r="D330" s="348"/>
      <c r="E330" s="348"/>
      <c r="F330" s="348"/>
      <c r="G330" s="348"/>
      <c r="H330" s="348"/>
      <c r="I330" s="348"/>
      <c r="J330" s="348"/>
      <c r="K330" s="348"/>
      <c r="L330" s="348"/>
      <c r="M330" s="348"/>
      <c r="N330" s="348"/>
      <c r="O330" s="348">
        <v>3703582.8988000033</v>
      </c>
      <c r="P330" s="348"/>
      <c r="Q330" s="353"/>
    </row>
    <row r="331" spans="1:17" x14ac:dyDescent="0.25">
      <c r="A331" s="360" t="s">
        <v>832</v>
      </c>
      <c r="B331" s="348"/>
      <c r="C331" s="348"/>
      <c r="D331" s="348"/>
      <c r="E331" s="348"/>
      <c r="F331" s="348"/>
      <c r="G331" s="348"/>
      <c r="H331" s="348"/>
      <c r="I331" s="348"/>
      <c r="J331" s="348"/>
      <c r="K331" s="348"/>
      <c r="L331" s="348"/>
      <c r="M331" s="348"/>
      <c r="N331" s="348"/>
      <c r="O331" s="348">
        <v>15940084.10479999</v>
      </c>
      <c r="P331" s="348"/>
      <c r="Q331" s="353"/>
    </row>
    <row r="332" spans="1:17" x14ac:dyDescent="0.25">
      <c r="A332" s="360" t="s">
        <v>29</v>
      </c>
      <c r="B332" s="348"/>
      <c r="C332" s="348"/>
      <c r="D332" s="348"/>
      <c r="E332" s="348"/>
      <c r="F332" s="348"/>
      <c r="G332" s="348"/>
      <c r="H332" s="348"/>
      <c r="I332" s="348"/>
      <c r="J332" s="348"/>
      <c r="K332" s="348"/>
      <c r="L332" s="348"/>
      <c r="M332" s="348"/>
      <c r="N332" s="348"/>
      <c r="O332" s="348">
        <v>9218.1352999999981</v>
      </c>
      <c r="P332" s="348"/>
      <c r="Q332" s="353"/>
    </row>
    <row r="333" spans="1:17" x14ac:dyDescent="0.25">
      <c r="A333" s="360" t="s">
        <v>1143</v>
      </c>
      <c r="B333" s="348"/>
      <c r="C333" s="348"/>
      <c r="D333" s="348"/>
      <c r="E333" s="348"/>
      <c r="F333" s="348"/>
      <c r="G333" s="348"/>
      <c r="H333" s="348"/>
      <c r="I333" s="348"/>
      <c r="J333" s="348"/>
      <c r="K333" s="348"/>
      <c r="L333" s="348"/>
      <c r="M333" s="348"/>
      <c r="N333" s="348"/>
      <c r="O333" s="348">
        <v>7601215.5864999909</v>
      </c>
      <c r="P333" s="348"/>
      <c r="Q333" s="353"/>
    </row>
    <row r="334" spans="1:17" x14ac:dyDescent="0.25">
      <c r="A334" s="360" t="s">
        <v>4255</v>
      </c>
      <c r="B334" s="348"/>
      <c r="C334" s="348"/>
      <c r="D334" s="348"/>
      <c r="E334" s="348"/>
      <c r="F334" s="348"/>
      <c r="G334" s="348"/>
      <c r="H334" s="348"/>
      <c r="I334" s="348"/>
      <c r="J334" s="348"/>
      <c r="K334" s="348"/>
      <c r="L334" s="348"/>
      <c r="M334" s="348"/>
      <c r="N334" s="348"/>
      <c r="O334" s="348">
        <v>2026323.3502000018</v>
      </c>
      <c r="P334" s="348"/>
      <c r="Q334" s="353"/>
    </row>
    <row r="335" spans="1:17" x14ac:dyDescent="0.25">
      <c r="A335" s="360" t="s">
        <v>185</v>
      </c>
      <c r="B335" s="348"/>
      <c r="C335" s="348"/>
      <c r="D335" s="348"/>
      <c r="E335" s="348"/>
      <c r="F335" s="348"/>
      <c r="G335" s="348"/>
      <c r="H335" s="348"/>
      <c r="I335" s="348"/>
      <c r="J335" s="348"/>
      <c r="K335" s="348"/>
      <c r="L335" s="348"/>
      <c r="M335" s="348"/>
      <c r="N335" s="348"/>
      <c r="O335" s="348">
        <v>6826373.9057000037</v>
      </c>
      <c r="P335" s="348"/>
      <c r="Q335" s="353"/>
    </row>
    <row r="336" spans="1:17" x14ac:dyDescent="0.25">
      <c r="A336" s="360" t="s">
        <v>1142</v>
      </c>
      <c r="B336" s="348"/>
      <c r="C336" s="348"/>
      <c r="D336" s="348"/>
      <c r="E336" s="348"/>
      <c r="F336" s="348"/>
      <c r="G336" s="348"/>
      <c r="H336" s="348"/>
      <c r="I336" s="348"/>
      <c r="J336" s="348"/>
      <c r="K336" s="348"/>
      <c r="L336" s="348"/>
      <c r="M336" s="348"/>
      <c r="N336" s="348"/>
      <c r="O336" s="348">
        <v>3975324.6354999999</v>
      </c>
      <c r="P336" s="348"/>
      <c r="Q336" s="353"/>
    </row>
    <row r="337" spans="1:17" x14ac:dyDescent="0.25">
      <c r="A337" s="360" t="s">
        <v>617</v>
      </c>
      <c r="B337" s="348"/>
      <c r="C337" s="348"/>
      <c r="D337" s="348"/>
      <c r="E337" s="348"/>
      <c r="F337" s="348"/>
      <c r="G337" s="348"/>
      <c r="H337" s="348"/>
      <c r="I337" s="348"/>
      <c r="J337" s="348"/>
      <c r="K337" s="348"/>
      <c r="L337" s="348"/>
      <c r="M337" s="348"/>
      <c r="N337" s="348"/>
      <c r="O337" s="348">
        <v>4368984.6900000051</v>
      </c>
      <c r="P337" s="348"/>
      <c r="Q337" s="353"/>
    </row>
    <row r="338" spans="1:17" x14ac:dyDescent="0.25">
      <c r="A338" s="360" t="s">
        <v>616</v>
      </c>
      <c r="B338" s="348"/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  <c r="N338" s="348"/>
      <c r="O338" s="348">
        <v>1446099.0851999996</v>
      </c>
      <c r="P338" s="348"/>
      <c r="Q338" s="353"/>
    </row>
    <row r="339" spans="1:17" x14ac:dyDescent="0.25">
      <c r="A339" s="360" t="s">
        <v>4390</v>
      </c>
      <c r="B339" s="348"/>
      <c r="C339" s="348"/>
      <c r="D339" s="348"/>
      <c r="E339" s="348"/>
      <c r="F339" s="348"/>
      <c r="G339" s="348"/>
      <c r="H339" s="348"/>
      <c r="I339" s="348"/>
      <c r="J339" s="348"/>
      <c r="K339" s="348"/>
      <c r="L339" s="348"/>
      <c r="M339" s="348"/>
      <c r="N339" s="348"/>
      <c r="O339" s="348">
        <v>98327.403900000019</v>
      </c>
      <c r="P339" s="348"/>
      <c r="Q339" s="353"/>
    </row>
    <row r="340" spans="1:17" x14ac:dyDescent="0.25">
      <c r="A340" s="360" t="s">
        <v>4173</v>
      </c>
      <c r="B340" s="348"/>
      <c r="C340" s="348"/>
      <c r="D340" s="348"/>
      <c r="E340" s="348"/>
      <c r="F340" s="348"/>
      <c r="G340" s="348"/>
      <c r="H340" s="348"/>
      <c r="I340" s="348"/>
      <c r="J340" s="348"/>
      <c r="K340" s="348"/>
      <c r="L340" s="348"/>
      <c r="M340" s="348"/>
      <c r="N340" s="348"/>
      <c r="O340" s="348">
        <v>0</v>
      </c>
      <c r="P340" s="348"/>
      <c r="Q340" s="353"/>
    </row>
    <row r="341" spans="1:17" x14ac:dyDescent="0.25">
      <c r="A341" s="360" t="s">
        <v>4391</v>
      </c>
      <c r="B341" s="348"/>
      <c r="C341" s="348"/>
      <c r="D341" s="348"/>
      <c r="E341" s="348"/>
      <c r="F341" s="348"/>
      <c r="G341" s="348"/>
      <c r="H341" s="348"/>
      <c r="I341" s="348"/>
      <c r="J341" s="348"/>
      <c r="K341" s="348"/>
      <c r="L341" s="348"/>
      <c r="M341" s="348"/>
      <c r="N341" s="348"/>
      <c r="O341" s="348">
        <v>901.32629999999995</v>
      </c>
      <c r="P341" s="348"/>
      <c r="Q341" s="353"/>
    </row>
    <row r="342" spans="1:17" x14ac:dyDescent="0.25">
      <c r="A342" s="360" t="s">
        <v>4175</v>
      </c>
      <c r="B342" s="348"/>
      <c r="C342" s="348"/>
      <c r="D342" s="348"/>
      <c r="E342" s="348"/>
      <c r="F342" s="348"/>
      <c r="G342" s="348"/>
      <c r="H342" s="348"/>
      <c r="I342" s="348"/>
      <c r="J342" s="348"/>
      <c r="K342" s="348"/>
      <c r="L342" s="348"/>
      <c r="M342" s="348"/>
      <c r="N342" s="348"/>
      <c r="O342" s="348">
        <v>187273.17019999996</v>
      </c>
      <c r="P342" s="348"/>
      <c r="Q342" s="353"/>
    </row>
    <row r="343" spans="1:17" x14ac:dyDescent="0.25">
      <c r="A343" s="360" t="s">
        <v>4476</v>
      </c>
      <c r="B343" s="348"/>
      <c r="C343" s="348"/>
      <c r="D343" s="348"/>
      <c r="E343" s="348"/>
      <c r="F343" s="348"/>
      <c r="G343" s="348"/>
      <c r="H343" s="348"/>
      <c r="I343" s="348"/>
      <c r="J343" s="348"/>
      <c r="K343" s="348"/>
      <c r="L343" s="348"/>
      <c r="M343" s="348"/>
      <c r="N343" s="348"/>
      <c r="O343" s="348">
        <v>0</v>
      </c>
      <c r="P343" s="348"/>
      <c r="Q343" s="353"/>
    </row>
    <row r="344" spans="1:17" x14ac:dyDescent="0.25">
      <c r="A344" s="360" t="s">
        <v>833</v>
      </c>
      <c r="B344" s="348"/>
      <c r="C344" s="348"/>
      <c r="D344" s="348"/>
      <c r="E344" s="348"/>
      <c r="F344" s="348"/>
      <c r="G344" s="348"/>
      <c r="H344" s="348"/>
      <c r="I344" s="348"/>
      <c r="J344" s="348"/>
      <c r="K344" s="348"/>
      <c r="L344" s="348"/>
      <c r="M344" s="348"/>
      <c r="N344" s="348"/>
      <c r="O344" s="348">
        <v>58487.840300000003</v>
      </c>
      <c r="P344" s="348"/>
      <c r="Q344" s="353"/>
    </row>
    <row r="345" spans="1:17" x14ac:dyDescent="0.25">
      <c r="A345" s="360" t="s">
        <v>4392</v>
      </c>
      <c r="B345" s="348"/>
      <c r="C345" s="348"/>
      <c r="D345" s="348"/>
      <c r="E345" s="348"/>
      <c r="F345" s="348"/>
      <c r="G345" s="348"/>
      <c r="H345" s="348"/>
      <c r="I345" s="348"/>
      <c r="J345" s="348"/>
      <c r="K345" s="348"/>
      <c r="L345" s="348"/>
      <c r="M345" s="348"/>
      <c r="N345" s="348"/>
      <c r="O345" s="348">
        <v>41808.212199999994</v>
      </c>
      <c r="P345" s="348"/>
      <c r="Q345" s="353"/>
    </row>
    <row r="346" spans="1:17" x14ac:dyDescent="0.25">
      <c r="A346" s="360" t="s">
        <v>4393</v>
      </c>
      <c r="B346" s="348"/>
      <c r="C346" s="348"/>
      <c r="D346" s="348"/>
      <c r="E346" s="348"/>
      <c r="F346" s="348"/>
      <c r="G346" s="348"/>
      <c r="H346" s="348"/>
      <c r="I346" s="348"/>
      <c r="J346" s="348"/>
      <c r="K346" s="348"/>
      <c r="L346" s="348"/>
      <c r="M346" s="348"/>
      <c r="N346" s="348"/>
      <c r="O346" s="348">
        <v>0</v>
      </c>
      <c r="P346" s="348"/>
      <c r="Q346" s="353"/>
    </row>
    <row r="347" spans="1:17" x14ac:dyDescent="0.25">
      <c r="A347" s="360" t="s">
        <v>4174</v>
      </c>
      <c r="B347" s="348"/>
      <c r="C347" s="348"/>
      <c r="D347" s="348"/>
      <c r="E347" s="348"/>
      <c r="F347" s="348"/>
      <c r="G347" s="348"/>
      <c r="H347" s="348"/>
      <c r="I347" s="348"/>
      <c r="J347" s="348"/>
      <c r="K347" s="348"/>
      <c r="L347" s="348"/>
      <c r="M347" s="348"/>
      <c r="N347" s="348"/>
      <c r="O347" s="348">
        <v>0</v>
      </c>
      <c r="P347" s="348"/>
      <c r="Q347" s="353"/>
    </row>
    <row r="348" spans="1:17" x14ac:dyDescent="0.25">
      <c r="A348" s="360" t="s">
        <v>4394</v>
      </c>
      <c r="B348" s="348"/>
      <c r="C348" s="348"/>
      <c r="D348" s="348"/>
      <c r="E348" s="348"/>
      <c r="F348" s="348"/>
      <c r="G348" s="348"/>
      <c r="H348" s="348"/>
      <c r="I348" s="348"/>
      <c r="J348" s="348"/>
      <c r="K348" s="348"/>
      <c r="L348" s="348"/>
      <c r="M348" s="348"/>
      <c r="N348" s="348"/>
      <c r="O348" s="348">
        <v>11730</v>
      </c>
      <c r="P348" s="348"/>
      <c r="Q348" s="353"/>
    </row>
    <row r="349" spans="1:17" x14ac:dyDescent="0.25">
      <c r="A349" s="360" t="s">
        <v>4395</v>
      </c>
      <c r="B349" s="348"/>
      <c r="C349" s="348"/>
      <c r="D349" s="348"/>
      <c r="E349" s="348"/>
      <c r="F349" s="348"/>
      <c r="G349" s="348"/>
      <c r="H349" s="348"/>
      <c r="I349" s="348"/>
      <c r="J349" s="348"/>
      <c r="K349" s="348"/>
      <c r="L349" s="348"/>
      <c r="M349" s="348"/>
      <c r="N349" s="348"/>
      <c r="O349" s="348">
        <v>2158.8471</v>
      </c>
      <c r="P349" s="348"/>
      <c r="Q349" s="353"/>
    </row>
    <row r="350" spans="1:17" x14ac:dyDescent="0.25">
      <c r="A350" s="360" t="s">
        <v>1144</v>
      </c>
      <c r="B350" s="348"/>
      <c r="C350" s="348"/>
      <c r="D350" s="348"/>
      <c r="E350" s="348"/>
      <c r="F350" s="348"/>
      <c r="G350" s="348"/>
      <c r="H350" s="348"/>
      <c r="I350" s="348"/>
      <c r="J350" s="348"/>
      <c r="K350" s="348"/>
      <c r="L350" s="348"/>
      <c r="M350" s="348"/>
      <c r="N350" s="348"/>
      <c r="O350" s="348">
        <v>3604721.1441000029</v>
      </c>
      <c r="P350" s="348"/>
      <c r="Q350" s="353"/>
    </row>
    <row r="351" spans="1:17" x14ac:dyDescent="0.25">
      <c r="A351" s="360" t="s">
        <v>4396</v>
      </c>
      <c r="B351" s="348"/>
      <c r="C351" s="348"/>
      <c r="D351" s="348"/>
      <c r="E351" s="348"/>
      <c r="F351" s="348"/>
      <c r="G351" s="348"/>
      <c r="H351" s="348"/>
      <c r="I351" s="348"/>
      <c r="J351" s="348"/>
      <c r="K351" s="348"/>
      <c r="L351" s="348"/>
      <c r="M351" s="348"/>
      <c r="N351" s="348"/>
      <c r="O351" s="348">
        <v>0</v>
      </c>
      <c r="P351" s="348"/>
      <c r="Q351" s="353"/>
    </row>
    <row r="352" spans="1:17" x14ac:dyDescent="0.25">
      <c r="A352" s="360" t="s">
        <v>1145</v>
      </c>
      <c r="B352" s="348"/>
      <c r="C352" s="348"/>
      <c r="D352" s="348"/>
      <c r="E352" s="348"/>
      <c r="F352" s="348"/>
      <c r="G352" s="348"/>
      <c r="H352" s="348"/>
      <c r="I352" s="348"/>
      <c r="J352" s="348"/>
      <c r="K352" s="348"/>
      <c r="L352" s="348"/>
      <c r="M352" s="348"/>
      <c r="N352" s="348"/>
      <c r="O352" s="348">
        <v>30479918.345899992</v>
      </c>
      <c r="P352" s="348"/>
      <c r="Q352" s="353"/>
    </row>
    <row r="353" spans="1:17" x14ac:dyDescent="0.25">
      <c r="A353" s="360" t="s">
        <v>4397</v>
      </c>
      <c r="B353" s="348"/>
      <c r="C353" s="348"/>
      <c r="D353" s="348"/>
      <c r="E353" s="348"/>
      <c r="F353" s="348"/>
      <c r="G353" s="348"/>
      <c r="H353" s="348"/>
      <c r="I353" s="348"/>
      <c r="J353" s="348"/>
      <c r="K353" s="348"/>
      <c r="L353" s="348"/>
      <c r="M353" s="348"/>
      <c r="N353" s="348"/>
      <c r="O353" s="348">
        <v>757031.2510000004</v>
      </c>
      <c r="P353" s="348"/>
      <c r="Q353" s="353"/>
    </row>
    <row r="354" spans="1:17" x14ac:dyDescent="0.25">
      <c r="A354" s="360" t="s">
        <v>4398</v>
      </c>
      <c r="B354" s="348"/>
      <c r="C354" s="348"/>
      <c r="D354" s="348"/>
      <c r="E354" s="348"/>
      <c r="F354" s="348"/>
      <c r="G354" s="348"/>
      <c r="H354" s="348"/>
      <c r="I354" s="348"/>
      <c r="J354" s="348"/>
      <c r="K354" s="348"/>
      <c r="L354" s="348"/>
      <c r="M354" s="348"/>
      <c r="N354" s="348"/>
      <c r="O354" s="348">
        <v>417865.82560000004</v>
      </c>
      <c r="P354" s="348"/>
      <c r="Q354" s="353"/>
    </row>
    <row r="355" spans="1:17" x14ac:dyDescent="0.25">
      <c r="A355" s="360" t="s">
        <v>23</v>
      </c>
      <c r="B355" s="348"/>
      <c r="C355" s="348"/>
      <c r="D355" s="348"/>
      <c r="E355" s="348"/>
      <c r="F355" s="348"/>
      <c r="G355" s="348"/>
      <c r="H355" s="348"/>
      <c r="I355" s="348"/>
      <c r="J355" s="348"/>
      <c r="K355" s="348"/>
      <c r="L355" s="348"/>
      <c r="M355" s="348"/>
      <c r="N355" s="348"/>
      <c r="O355" s="348">
        <v>548870.55099999998</v>
      </c>
      <c r="P355" s="348"/>
      <c r="Q355" s="353"/>
    </row>
    <row r="356" spans="1:17" x14ac:dyDescent="0.25">
      <c r="A356" s="360" t="s">
        <v>4399</v>
      </c>
      <c r="B356" s="348"/>
      <c r="C356" s="348"/>
      <c r="D356" s="348"/>
      <c r="E356" s="348"/>
      <c r="F356" s="348"/>
      <c r="G356" s="348"/>
      <c r="H356" s="348"/>
      <c r="I356" s="348"/>
      <c r="J356" s="348"/>
      <c r="K356" s="348"/>
      <c r="L356" s="348"/>
      <c r="M356" s="348"/>
      <c r="N356" s="348"/>
      <c r="O356" s="348">
        <v>707034.62380000041</v>
      </c>
      <c r="P356" s="348"/>
      <c r="Q356" s="353"/>
    </row>
    <row r="357" spans="1:17" x14ac:dyDescent="0.25">
      <c r="A357" s="360" t="s">
        <v>4400</v>
      </c>
      <c r="B357" s="348"/>
      <c r="C357" s="348"/>
      <c r="D357" s="348"/>
      <c r="E357" s="348"/>
      <c r="F357" s="348"/>
      <c r="G357" s="348"/>
      <c r="H357" s="348"/>
      <c r="I357" s="348"/>
      <c r="J357" s="348"/>
      <c r="K357" s="348"/>
      <c r="L357" s="348"/>
      <c r="M357" s="348"/>
      <c r="N357" s="348"/>
      <c r="O357" s="348">
        <v>100010.05739999999</v>
      </c>
      <c r="P357" s="348"/>
      <c r="Q357" s="353"/>
    </row>
    <row r="358" spans="1:17" x14ac:dyDescent="0.25">
      <c r="A358" s="360" t="s">
        <v>4176</v>
      </c>
      <c r="B358" s="348"/>
      <c r="C358" s="348"/>
      <c r="D358" s="348"/>
      <c r="E358" s="348"/>
      <c r="F358" s="348"/>
      <c r="G358" s="348"/>
      <c r="H358" s="348"/>
      <c r="I358" s="348"/>
      <c r="J358" s="348"/>
      <c r="K358" s="348"/>
      <c r="L358" s="348"/>
      <c r="M358" s="348"/>
      <c r="N358" s="348"/>
      <c r="O358" s="348">
        <v>0</v>
      </c>
      <c r="P358" s="348"/>
      <c r="Q358" s="353"/>
    </row>
    <row r="359" spans="1:17" x14ac:dyDescent="0.25">
      <c r="A359" s="360" t="s">
        <v>4401</v>
      </c>
      <c r="B359" s="348"/>
      <c r="C359" s="348"/>
      <c r="D359" s="348"/>
      <c r="E359" s="348"/>
      <c r="F359" s="348"/>
      <c r="G359" s="348"/>
      <c r="H359" s="348"/>
      <c r="I359" s="348"/>
      <c r="J359" s="348"/>
      <c r="K359" s="348"/>
      <c r="L359" s="348"/>
      <c r="M359" s="348"/>
      <c r="N359" s="348"/>
      <c r="O359" s="348">
        <v>0</v>
      </c>
      <c r="P359" s="348"/>
      <c r="Q359" s="353"/>
    </row>
    <row r="360" spans="1:17" x14ac:dyDescent="0.25">
      <c r="A360" s="360" t="s">
        <v>515</v>
      </c>
      <c r="B360" s="348"/>
      <c r="C360" s="348"/>
      <c r="D360" s="348"/>
      <c r="E360" s="348"/>
      <c r="F360" s="348"/>
      <c r="G360" s="348"/>
      <c r="H360" s="348"/>
      <c r="I360" s="348"/>
      <c r="J360" s="348"/>
      <c r="K360" s="348"/>
      <c r="L360" s="348"/>
      <c r="M360" s="348"/>
      <c r="N360" s="348"/>
      <c r="O360" s="348">
        <v>10104719.544699989</v>
      </c>
      <c r="P360" s="348">
        <v>2784.2384999999999</v>
      </c>
      <c r="Q360" s="353"/>
    </row>
    <row r="361" spans="1:17" x14ac:dyDescent="0.25">
      <c r="A361" s="360" t="s">
        <v>514</v>
      </c>
      <c r="B361" s="348"/>
      <c r="C361" s="348"/>
      <c r="D361" s="348"/>
      <c r="E361" s="348"/>
      <c r="F361" s="348"/>
      <c r="G361" s="348"/>
      <c r="H361" s="348"/>
      <c r="I361" s="348"/>
      <c r="J361" s="348"/>
      <c r="K361" s="348"/>
      <c r="L361" s="348"/>
      <c r="M361" s="348"/>
      <c r="N361" s="348"/>
      <c r="O361" s="348">
        <v>27285286.336899977</v>
      </c>
      <c r="P361" s="348">
        <v>0</v>
      </c>
      <c r="Q361" s="353">
        <v>0</v>
      </c>
    </row>
    <row r="362" spans="1:17" x14ac:dyDescent="0.25">
      <c r="A362" s="360" t="s">
        <v>4402</v>
      </c>
      <c r="B362" s="348"/>
      <c r="C362" s="348"/>
      <c r="D362" s="348"/>
      <c r="E362" s="348"/>
      <c r="F362" s="348"/>
      <c r="G362" s="348"/>
      <c r="H362" s="348"/>
      <c r="I362" s="348"/>
      <c r="J362" s="348"/>
      <c r="K362" s="348"/>
      <c r="L362" s="348"/>
      <c r="M362" s="348"/>
      <c r="N362" s="348"/>
      <c r="O362" s="348">
        <v>188518.88329999999</v>
      </c>
      <c r="P362" s="348"/>
      <c r="Q362" s="353"/>
    </row>
    <row r="363" spans="1:17" x14ac:dyDescent="0.25">
      <c r="A363" s="360" t="s">
        <v>4256</v>
      </c>
      <c r="B363" s="348"/>
      <c r="C363" s="348"/>
      <c r="D363" s="348"/>
      <c r="E363" s="348"/>
      <c r="F363" s="348"/>
      <c r="G363" s="348"/>
      <c r="H363" s="348"/>
      <c r="I363" s="348"/>
      <c r="J363" s="348"/>
      <c r="K363" s="348"/>
      <c r="L363" s="348"/>
      <c r="M363" s="348"/>
      <c r="N363" s="348"/>
      <c r="O363" s="348">
        <v>9309.1391999999996</v>
      </c>
      <c r="P363" s="348"/>
      <c r="Q363" s="353"/>
    </row>
    <row r="364" spans="1:17" x14ac:dyDescent="0.25">
      <c r="A364" s="360" t="s">
        <v>4403</v>
      </c>
      <c r="B364" s="348"/>
      <c r="C364" s="348"/>
      <c r="D364" s="348"/>
      <c r="E364" s="348"/>
      <c r="F364" s="348"/>
      <c r="G364" s="348"/>
      <c r="H364" s="348"/>
      <c r="I364" s="348"/>
      <c r="J364" s="348"/>
      <c r="K364" s="348"/>
      <c r="L364" s="348"/>
      <c r="M364" s="348"/>
      <c r="N364" s="348"/>
      <c r="O364" s="348">
        <v>1995834.6324999998</v>
      </c>
      <c r="P364" s="348"/>
      <c r="Q364" s="353"/>
    </row>
    <row r="365" spans="1:17" x14ac:dyDescent="0.25">
      <c r="A365" s="360" t="s">
        <v>4404</v>
      </c>
      <c r="B365" s="348"/>
      <c r="C365" s="348"/>
      <c r="D365" s="348"/>
      <c r="E365" s="348"/>
      <c r="F365" s="348"/>
      <c r="G365" s="348"/>
      <c r="H365" s="348"/>
      <c r="I365" s="348"/>
      <c r="J365" s="348"/>
      <c r="K365" s="348"/>
      <c r="L365" s="348"/>
      <c r="M365" s="348"/>
      <c r="N365" s="348"/>
      <c r="O365" s="348">
        <v>410933.10890000017</v>
      </c>
      <c r="P365" s="348"/>
      <c r="Q365" s="353"/>
    </row>
    <row r="366" spans="1:17" x14ac:dyDescent="0.25">
      <c r="A366" s="360" t="s">
        <v>4405</v>
      </c>
      <c r="B366" s="348"/>
      <c r="C366" s="348"/>
      <c r="D366" s="348"/>
      <c r="E366" s="348"/>
      <c r="F366" s="348"/>
      <c r="G366" s="348"/>
      <c r="H366" s="348"/>
      <c r="I366" s="348"/>
      <c r="J366" s="348"/>
      <c r="K366" s="348"/>
      <c r="L366" s="348"/>
      <c r="M366" s="348"/>
      <c r="N366" s="348"/>
      <c r="O366" s="348">
        <v>329851.15490000002</v>
      </c>
      <c r="P366" s="348"/>
      <c r="Q366" s="353"/>
    </row>
    <row r="367" spans="1:17" x14ac:dyDescent="0.25">
      <c r="A367" s="360" t="s">
        <v>1249</v>
      </c>
      <c r="B367" s="348"/>
      <c r="C367" s="348"/>
      <c r="D367" s="348"/>
      <c r="E367" s="348"/>
      <c r="F367" s="348"/>
      <c r="G367" s="348"/>
      <c r="H367" s="348"/>
      <c r="I367" s="348"/>
      <c r="J367" s="348"/>
      <c r="K367" s="348"/>
      <c r="L367" s="348"/>
      <c r="M367" s="348"/>
      <c r="N367" s="348"/>
      <c r="O367" s="348">
        <v>621.00450000000001</v>
      </c>
      <c r="P367" s="348"/>
      <c r="Q367" s="353">
        <v>0</v>
      </c>
    </row>
    <row r="368" spans="1:17" x14ac:dyDescent="0.25">
      <c r="A368" s="360" t="s">
        <v>4406</v>
      </c>
      <c r="B368" s="348"/>
      <c r="C368" s="348"/>
      <c r="D368" s="348"/>
      <c r="E368" s="348"/>
      <c r="F368" s="348"/>
      <c r="G368" s="348"/>
      <c r="H368" s="348"/>
      <c r="I368" s="348"/>
      <c r="J368" s="348"/>
      <c r="K368" s="348"/>
      <c r="L368" s="348"/>
      <c r="M368" s="348"/>
      <c r="N368" s="348"/>
      <c r="O368" s="348">
        <v>5674.6422000000002</v>
      </c>
      <c r="P368" s="348"/>
      <c r="Q368" s="353"/>
    </row>
    <row r="369" spans="1:17" x14ac:dyDescent="0.25">
      <c r="A369" s="360" t="s">
        <v>4407</v>
      </c>
      <c r="B369" s="348"/>
      <c r="C369" s="348"/>
      <c r="D369" s="348"/>
      <c r="E369" s="348"/>
      <c r="F369" s="348"/>
      <c r="G369" s="348"/>
      <c r="H369" s="348"/>
      <c r="I369" s="348"/>
      <c r="J369" s="348"/>
      <c r="K369" s="348"/>
      <c r="L369" s="348"/>
      <c r="M369" s="348"/>
      <c r="N369" s="348"/>
      <c r="O369" s="348">
        <v>0</v>
      </c>
      <c r="P369" s="348"/>
      <c r="Q369" s="353"/>
    </row>
    <row r="370" spans="1:17" x14ac:dyDescent="0.25">
      <c r="A370" s="360" t="s">
        <v>4177</v>
      </c>
      <c r="B370" s="348"/>
      <c r="C370" s="348"/>
      <c r="D370" s="348"/>
      <c r="E370" s="348"/>
      <c r="F370" s="348"/>
      <c r="G370" s="348"/>
      <c r="H370" s="348"/>
      <c r="I370" s="348"/>
      <c r="J370" s="348"/>
      <c r="K370" s="348"/>
      <c r="L370" s="348"/>
      <c r="M370" s="348"/>
      <c r="N370" s="348"/>
      <c r="O370" s="348">
        <v>0</v>
      </c>
      <c r="P370" s="348"/>
      <c r="Q370" s="353"/>
    </row>
    <row r="371" spans="1:17" x14ac:dyDescent="0.25">
      <c r="A371" s="360" t="s">
        <v>1248</v>
      </c>
      <c r="B371" s="348"/>
      <c r="C371" s="348"/>
      <c r="D371" s="348"/>
      <c r="E371" s="348"/>
      <c r="F371" s="348"/>
      <c r="G371" s="348"/>
      <c r="H371" s="348"/>
      <c r="I371" s="348"/>
      <c r="J371" s="348"/>
      <c r="K371" s="348"/>
      <c r="L371" s="348"/>
      <c r="M371" s="348"/>
      <c r="N371" s="348"/>
      <c r="O371" s="348">
        <v>15237.6659</v>
      </c>
      <c r="P371" s="348"/>
      <c r="Q371" s="353"/>
    </row>
    <row r="372" spans="1:17" x14ac:dyDescent="0.25">
      <c r="A372" s="360" t="s">
        <v>834</v>
      </c>
      <c r="B372" s="348"/>
      <c r="C372" s="348"/>
      <c r="D372" s="348"/>
      <c r="E372" s="348"/>
      <c r="F372" s="348"/>
      <c r="G372" s="348"/>
      <c r="H372" s="348"/>
      <c r="I372" s="348"/>
      <c r="J372" s="348"/>
      <c r="K372" s="348"/>
      <c r="L372" s="348"/>
      <c r="M372" s="348"/>
      <c r="N372" s="348"/>
      <c r="O372" s="348">
        <v>30081080.596000046</v>
      </c>
      <c r="P372" s="348">
        <v>8416.3996999999999</v>
      </c>
      <c r="Q372" s="353"/>
    </row>
    <row r="373" spans="1:17" x14ac:dyDescent="0.25">
      <c r="A373" s="360" t="s">
        <v>4408</v>
      </c>
      <c r="B373" s="348"/>
      <c r="C373" s="348"/>
      <c r="D373" s="348"/>
      <c r="E373" s="348"/>
      <c r="F373" s="348"/>
      <c r="G373" s="348"/>
      <c r="H373" s="348"/>
      <c r="I373" s="348"/>
      <c r="J373" s="348"/>
      <c r="K373" s="348"/>
      <c r="L373" s="348"/>
      <c r="M373" s="348"/>
      <c r="N373" s="348"/>
      <c r="O373" s="348">
        <v>699967.1203999999</v>
      </c>
      <c r="P373" s="348"/>
      <c r="Q373" s="353"/>
    </row>
    <row r="374" spans="1:17" x14ac:dyDescent="0.25">
      <c r="A374" s="360" t="s">
        <v>4258</v>
      </c>
      <c r="B374" s="348"/>
      <c r="C374" s="348"/>
      <c r="D374" s="348"/>
      <c r="E374" s="348"/>
      <c r="F374" s="348"/>
      <c r="G374" s="348"/>
      <c r="H374" s="348"/>
      <c r="I374" s="348"/>
      <c r="J374" s="348"/>
      <c r="K374" s="348"/>
      <c r="L374" s="348"/>
      <c r="M374" s="348"/>
      <c r="N374" s="348"/>
      <c r="O374" s="348">
        <v>10228573.669299986</v>
      </c>
      <c r="P374" s="348">
        <v>5954.85</v>
      </c>
      <c r="Q374" s="353"/>
    </row>
    <row r="375" spans="1:17" x14ac:dyDescent="0.25">
      <c r="A375" s="360" t="s">
        <v>860</v>
      </c>
      <c r="B375" s="348"/>
      <c r="C375" s="348"/>
      <c r="D375" s="348"/>
      <c r="E375" s="348"/>
      <c r="F375" s="348"/>
      <c r="G375" s="348"/>
      <c r="H375" s="348"/>
      <c r="I375" s="348"/>
      <c r="J375" s="348"/>
      <c r="K375" s="348"/>
      <c r="L375" s="348"/>
      <c r="M375" s="348"/>
      <c r="N375" s="348"/>
      <c r="O375" s="348">
        <v>6230722.751299995</v>
      </c>
      <c r="P375" s="348"/>
      <c r="Q375" s="353"/>
    </row>
    <row r="376" spans="1:17" x14ac:dyDescent="0.25">
      <c r="A376" s="360" t="s">
        <v>4208</v>
      </c>
      <c r="B376" s="348"/>
      <c r="C376" s="348"/>
      <c r="D376" s="348"/>
      <c r="E376" s="348"/>
      <c r="F376" s="348"/>
      <c r="G376" s="348"/>
      <c r="H376" s="348"/>
      <c r="I376" s="348"/>
      <c r="J376" s="348"/>
      <c r="K376" s="348"/>
      <c r="L376" s="348"/>
      <c r="M376" s="348"/>
      <c r="N376" s="348"/>
      <c r="O376" s="348">
        <v>4749780.5134999938</v>
      </c>
      <c r="P376" s="348"/>
      <c r="Q376" s="353"/>
    </row>
    <row r="377" spans="1:17" x14ac:dyDescent="0.25">
      <c r="A377" s="360" t="s">
        <v>4409</v>
      </c>
      <c r="B377" s="348"/>
      <c r="C377" s="348"/>
      <c r="D377" s="348"/>
      <c r="E377" s="348"/>
      <c r="F377" s="348"/>
      <c r="G377" s="348"/>
      <c r="H377" s="348"/>
      <c r="I377" s="348"/>
      <c r="J377" s="348"/>
      <c r="K377" s="348"/>
      <c r="L377" s="348"/>
      <c r="M377" s="348"/>
      <c r="N377" s="348"/>
      <c r="O377" s="348">
        <v>707111.13909999991</v>
      </c>
      <c r="P377" s="348"/>
      <c r="Q377" s="353"/>
    </row>
    <row r="378" spans="1:17" x14ac:dyDescent="0.25">
      <c r="A378" s="360" t="s">
        <v>4257</v>
      </c>
      <c r="B378" s="348"/>
      <c r="C378" s="348"/>
      <c r="D378" s="348"/>
      <c r="E378" s="348"/>
      <c r="F378" s="348"/>
      <c r="G378" s="348"/>
      <c r="H378" s="348"/>
      <c r="I378" s="348"/>
      <c r="J378" s="348"/>
      <c r="K378" s="348"/>
      <c r="L378" s="348"/>
      <c r="M378" s="348"/>
      <c r="N378" s="348"/>
      <c r="O378" s="348">
        <v>705545.30040000041</v>
      </c>
      <c r="P378" s="348"/>
      <c r="Q378" s="353"/>
    </row>
    <row r="379" spans="1:17" x14ac:dyDescent="0.25">
      <c r="A379" s="360" t="s">
        <v>4410</v>
      </c>
      <c r="B379" s="348"/>
      <c r="C379" s="348"/>
      <c r="D379" s="348"/>
      <c r="E379" s="348"/>
      <c r="F379" s="348"/>
      <c r="G379" s="348"/>
      <c r="H379" s="348"/>
      <c r="I379" s="348"/>
      <c r="J379" s="348"/>
      <c r="K379" s="348"/>
      <c r="L379" s="348"/>
      <c r="M379" s="348"/>
      <c r="N379" s="348"/>
      <c r="O379" s="348">
        <v>56719.7788</v>
      </c>
      <c r="P379" s="348"/>
      <c r="Q379" s="353"/>
    </row>
    <row r="380" spans="1:17" x14ac:dyDescent="0.25">
      <c r="A380" s="360" t="s">
        <v>4411</v>
      </c>
      <c r="B380" s="348"/>
      <c r="C380" s="348"/>
      <c r="D380" s="348"/>
      <c r="E380" s="348"/>
      <c r="F380" s="348"/>
      <c r="G380" s="348"/>
      <c r="H380" s="348"/>
      <c r="I380" s="348"/>
      <c r="J380" s="348"/>
      <c r="K380" s="348"/>
      <c r="L380" s="348"/>
      <c r="M380" s="348"/>
      <c r="N380" s="348"/>
      <c r="O380" s="348">
        <v>1282802.0143000004</v>
      </c>
      <c r="P380" s="348"/>
      <c r="Q380" s="353"/>
    </row>
    <row r="381" spans="1:17" x14ac:dyDescent="0.25">
      <c r="A381" s="360" t="s">
        <v>4412</v>
      </c>
      <c r="B381" s="348"/>
      <c r="C381" s="348"/>
      <c r="D381" s="348"/>
      <c r="E381" s="348"/>
      <c r="F381" s="348"/>
      <c r="G381" s="348"/>
      <c r="H381" s="348"/>
      <c r="I381" s="348"/>
      <c r="J381" s="348"/>
      <c r="K381" s="348"/>
      <c r="L381" s="348"/>
      <c r="M381" s="348"/>
      <c r="N381" s="348"/>
      <c r="O381" s="348">
        <v>42740.258999999991</v>
      </c>
      <c r="P381" s="348"/>
      <c r="Q381" s="353"/>
    </row>
    <row r="382" spans="1:17" x14ac:dyDescent="0.25">
      <c r="A382" s="360" t="s">
        <v>4413</v>
      </c>
      <c r="B382" s="348"/>
      <c r="C382" s="348"/>
      <c r="D382" s="348"/>
      <c r="E382" s="348"/>
      <c r="F382" s="348"/>
      <c r="G382" s="348"/>
      <c r="H382" s="348"/>
      <c r="I382" s="348"/>
      <c r="J382" s="348"/>
      <c r="K382" s="348"/>
      <c r="L382" s="348"/>
      <c r="M382" s="348"/>
      <c r="N382" s="348"/>
      <c r="O382" s="348">
        <v>33410.018199999999</v>
      </c>
      <c r="P382" s="348"/>
      <c r="Q382" s="353"/>
    </row>
    <row r="383" spans="1:17" x14ac:dyDescent="0.25">
      <c r="A383" s="360" t="s">
        <v>4209</v>
      </c>
      <c r="B383" s="348"/>
      <c r="C383" s="348"/>
      <c r="D383" s="348"/>
      <c r="E383" s="348"/>
      <c r="F383" s="348"/>
      <c r="G383" s="348"/>
      <c r="H383" s="348"/>
      <c r="I383" s="348"/>
      <c r="J383" s="348"/>
      <c r="K383" s="348"/>
      <c r="L383" s="348"/>
      <c r="M383" s="348"/>
      <c r="N383" s="348"/>
      <c r="O383" s="348">
        <v>139192.27849999996</v>
      </c>
      <c r="P383" s="348"/>
      <c r="Q383" s="353"/>
    </row>
    <row r="384" spans="1:17" x14ac:dyDescent="0.25">
      <c r="A384" s="360" t="s">
        <v>4414</v>
      </c>
      <c r="B384" s="348"/>
      <c r="C384" s="348"/>
      <c r="D384" s="348"/>
      <c r="E384" s="348"/>
      <c r="F384" s="348"/>
      <c r="G384" s="348"/>
      <c r="H384" s="348"/>
      <c r="I384" s="348"/>
      <c r="J384" s="348"/>
      <c r="K384" s="348"/>
      <c r="L384" s="348"/>
      <c r="M384" s="348"/>
      <c r="N384" s="348"/>
      <c r="O384" s="348">
        <v>0</v>
      </c>
      <c r="P384" s="348"/>
      <c r="Q384" s="353"/>
    </row>
    <row r="385" spans="1:17" x14ac:dyDescent="0.25">
      <c r="A385" s="360" t="s">
        <v>4415</v>
      </c>
      <c r="B385" s="348"/>
      <c r="C385" s="348"/>
      <c r="D385" s="348"/>
      <c r="E385" s="348"/>
      <c r="F385" s="348"/>
      <c r="G385" s="348"/>
      <c r="H385" s="348"/>
      <c r="I385" s="348"/>
      <c r="J385" s="348"/>
      <c r="K385" s="348"/>
      <c r="L385" s="348"/>
      <c r="M385" s="348"/>
      <c r="N385" s="348"/>
      <c r="O385" s="348">
        <v>1881.9416000000001</v>
      </c>
      <c r="P385" s="348"/>
      <c r="Q385" s="353"/>
    </row>
    <row r="386" spans="1:17" x14ac:dyDescent="0.25">
      <c r="A386" s="360" t="s">
        <v>4416</v>
      </c>
      <c r="B386" s="348"/>
      <c r="C386" s="348"/>
      <c r="D386" s="348"/>
      <c r="E386" s="348"/>
      <c r="F386" s="348"/>
      <c r="G386" s="348"/>
      <c r="H386" s="348"/>
      <c r="I386" s="348"/>
      <c r="J386" s="348"/>
      <c r="K386" s="348"/>
      <c r="L386" s="348"/>
      <c r="M386" s="348"/>
      <c r="N386" s="348"/>
      <c r="O386" s="348">
        <v>12372.654200000001</v>
      </c>
      <c r="P386" s="348"/>
      <c r="Q386" s="353"/>
    </row>
    <row r="387" spans="1:17" x14ac:dyDescent="0.25">
      <c r="A387" s="360" t="s">
        <v>516</v>
      </c>
      <c r="B387" s="348"/>
      <c r="C387" s="348"/>
      <c r="D387" s="348"/>
      <c r="E387" s="348"/>
      <c r="F387" s="348"/>
      <c r="G387" s="348"/>
      <c r="H387" s="348"/>
      <c r="I387" s="348"/>
      <c r="J387" s="348"/>
      <c r="K387" s="348"/>
      <c r="L387" s="348"/>
      <c r="M387" s="348"/>
      <c r="N387" s="348"/>
      <c r="O387" s="348">
        <v>21500084.773000028</v>
      </c>
      <c r="P387" s="348"/>
      <c r="Q387" s="353">
        <v>840.2595</v>
      </c>
    </row>
    <row r="388" spans="1:17" x14ac:dyDescent="0.25">
      <c r="A388" s="360" t="s">
        <v>712</v>
      </c>
      <c r="B388" s="348"/>
      <c r="C388" s="348"/>
      <c r="D388" s="348"/>
      <c r="E388" s="348"/>
      <c r="F388" s="348"/>
      <c r="G388" s="348"/>
      <c r="H388" s="348"/>
      <c r="I388" s="348"/>
      <c r="J388" s="348"/>
      <c r="K388" s="348"/>
      <c r="L388" s="348"/>
      <c r="M388" s="348"/>
      <c r="N388" s="348"/>
      <c r="O388" s="348">
        <v>6074870.6023000022</v>
      </c>
      <c r="P388" s="348"/>
      <c r="Q388" s="353"/>
    </row>
    <row r="389" spans="1:17" x14ac:dyDescent="0.25">
      <c r="A389" s="360" t="s">
        <v>4259</v>
      </c>
      <c r="B389" s="348"/>
      <c r="C389" s="348"/>
      <c r="D389" s="348"/>
      <c r="E389" s="348"/>
      <c r="F389" s="348"/>
      <c r="G389" s="348"/>
      <c r="H389" s="348"/>
      <c r="I389" s="348"/>
      <c r="J389" s="348"/>
      <c r="K389" s="348"/>
      <c r="L389" s="348"/>
      <c r="M389" s="348"/>
      <c r="N389" s="348"/>
      <c r="O389" s="348">
        <v>735565.87660000019</v>
      </c>
      <c r="P389" s="348"/>
      <c r="Q389" s="353"/>
    </row>
    <row r="390" spans="1:17" x14ac:dyDescent="0.25">
      <c r="A390" s="360" t="s">
        <v>4160</v>
      </c>
      <c r="B390" s="348"/>
      <c r="C390" s="348"/>
      <c r="D390" s="348"/>
      <c r="E390" s="348"/>
      <c r="F390" s="348"/>
      <c r="G390" s="348"/>
      <c r="H390" s="348"/>
      <c r="I390" s="348"/>
      <c r="J390" s="348"/>
      <c r="K390" s="348"/>
      <c r="L390" s="348"/>
      <c r="M390" s="348"/>
      <c r="N390" s="348"/>
      <c r="O390" s="348">
        <v>1016532.9249000006</v>
      </c>
      <c r="P390" s="348"/>
      <c r="Q390" s="353"/>
    </row>
    <row r="391" spans="1:17" x14ac:dyDescent="0.25">
      <c r="A391" s="360" t="s">
        <v>171</v>
      </c>
      <c r="B391" s="348"/>
      <c r="C391" s="348"/>
      <c r="D391" s="348"/>
      <c r="E391" s="348"/>
      <c r="F391" s="348"/>
      <c r="G391" s="348"/>
      <c r="H391" s="348"/>
      <c r="I391" s="348"/>
      <c r="J391" s="348"/>
      <c r="K391" s="348"/>
      <c r="L391" s="348"/>
      <c r="M391" s="348"/>
      <c r="N391" s="348"/>
      <c r="O391" s="348">
        <v>1091.8186000000001</v>
      </c>
      <c r="P391" s="348"/>
      <c r="Q391" s="353"/>
    </row>
    <row r="392" spans="1:17" x14ac:dyDescent="0.25">
      <c r="A392" s="360" t="s">
        <v>4417</v>
      </c>
      <c r="B392" s="348"/>
      <c r="C392" s="348"/>
      <c r="D392" s="348"/>
      <c r="E392" s="348"/>
      <c r="F392" s="348"/>
      <c r="G392" s="348"/>
      <c r="H392" s="348"/>
      <c r="I392" s="348"/>
      <c r="J392" s="348"/>
      <c r="K392" s="348"/>
      <c r="L392" s="348"/>
      <c r="M392" s="348"/>
      <c r="N392" s="348"/>
      <c r="O392" s="348">
        <v>5644.5663000000004</v>
      </c>
      <c r="P392" s="348"/>
      <c r="Q392" s="353"/>
    </row>
    <row r="393" spans="1:17" x14ac:dyDescent="0.25">
      <c r="A393" s="360" t="s">
        <v>4418</v>
      </c>
      <c r="B393" s="348"/>
      <c r="C393" s="348"/>
      <c r="D393" s="348"/>
      <c r="E393" s="348"/>
      <c r="F393" s="348"/>
      <c r="G393" s="348"/>
      <c r="H393" s="348"/>
      <c r="I393" s="348"/>
      <c r="J393" s="348"/>
      <c r="K393" s="348"/>
      <c r="L393" s="348"/>
      <c r="M393" s="348"/>
      <c r="N393" s="348"/>
      <c r="O393" s="348">
        <v>0</v>
      </c>
      <c r="P393" s="348"/>
      <c r="Q393" s="353"/>
    </row>
    <row r="394" spans="1:17" x14ac:dyDescent="0.25">
      <c r="A394" s="360" t="s">
        <v>4210</v>
      </c>
      <c r="B394" s="348"/>
      <c r="C394" s="348"/>
      <c r="D394" s="348"/>
      <c r="E394" s="348"/>
      <c r="F394" s="348"/>
      <c r="G394" s="348"/>
      <c r="H394" s="348"/>
      <c r="I394" s="348"/>
      <c r="J394" s="348"/>
      <c r="K394" s="348"/>
      <c r="L394" s="348"/>
      <c r="M394" s="348"/>
      <c r="N394" s="348"/>
      <c r="O394" s="348">
        <v>4950227.5870000068</v>
      </c>
      <c r="P394" s="348">
        <v>0</v>
      </c>
      <c r="Q394" s="353"/>
    </row>
    <row r="395" spans="1:17" x14ac:dyDescent="0.25">
      <c r="A395" s="360" t="s">
        <v>940</v>
      </c>
      <c r="B395" s="348"/>
      <c r="C395" s="348"/>
      <c r="D395" s="348"/>
      <c r="E395" s="348"/>
      <c r="F395" s="348"/>
      <c r="G395" s="348"/>
      <c r="H395" s="348"/>
      <c r="I395" s="348"/>
      <c r="J395" s="348"/>
      <c r="K395" s="348"/>
      <c r="L395" s="348"/>
      <c r="M395" s="348"/>
      <c r="N395" s="348"/>
      <c r="O395" s="348">
        <v>7213848.0591000123</v>
      </c>
      <c r="P395" s="348"/>
      <c r="Q395" s="353"/>
    </row>
    <row r="396" spans="1:17" x14ac:dyDescent="0.25">
      <c r="A396" s="360" t="s">
        <v>340</v>
      </c>
      <c r="B396" s="348"/>
      <c r="C396" s="348"/>
      <c r="D396" s="348"/>
      <c r="E396" s="348"/>
      <c r="F396" s="348"/>
      <c r="G396" s="348"/>
      <c r="H396" s="348"/>
      <c r="I396" s="348"/>
      <c r="J396" s="348"/>
      <c r="K396" s="348"/>
      <c r="L396" s="348"/>
      <c r="M396" s="348"/>
      <c r="N396" s="348"/>
      <c r="O396" s="348">
        <v>7912251.2458000034</v>
      </c>
      <c r="P396" s="348"/>
      <c r="Q396" s="353"/>
    </row>
    <row r="397" spans="1:17" x14ac:dyDescent="0.25">
      <c r="A397" s="360" t="s">
        <v>4419</v>
      </c>
      <c r="B397" s="348"/>
      <c r="C397" s="348"/>
      <c r="D397" s="348"/>
      <c r="E397" s="348"/>
      <c r="F397" s="348"/>
      <c r="G397" s="348"/>
      <c r="H397" s="348"/>
      <c r="I397" s="348"/>
      <c r="J397" s="348"/>
      <c r="K397" s="348"/>
      <c r="L397" s="348"/>
      <c r="M397" s="348"/>
      <c r="N397" s="348"/>
      <c r="O397" s="348">
        <v>123824.72199999999</v>
      </c>
      <c r="P397" s="348"/>
      <c r="Q397" s="353"/>
    </row>
    <row r="398" spans="1:17" x14ac:dyDescent="0.25">
      <c r="A398" s="360" t="s">
        <v>2563</v>
      </c>
      <c r="B398" s="348"/>
      <c r="C398" s="348"/>
      <c r="D398" s="348"/>
      <c r="E398" s="348"/>
      <c r="F398" s="348"/>
      <c r="G398" s="348"/>
      <c r="H398" s="348"/>
      <c r="I398" s="348"/>
      <c r="J398" s="348"/>
      <c r="K398" s="348"/>
      <c r="L398" s="348"/>
      <c r="M398" s="348"/>
      <c r="N398" s="348"/>
      <c r="O398" s="348">
        <v>3434103.8063000045</v>
      </c>
      <c r="P398" s="348"/>
      <c r="Q398" s="353"/>
    </row>
    <row r="399" spans="1:17" x14ac:dyDescent="0.25">
      <c r="A399" s="360" t="s">
        <v>133</v>
      </c>
      <c r="B399" s="348"/>
      <c r="C399" s="348"/>
      <c r="D399" s="348"/>
      <c r="E399" s="348"/>
      <c r="F399" s="348"/>
      <c r="G399" s="348"/>
      <c r="H399" s="348"/>
      <c r="I399" s="348"/>
      <c r="J399" s="348"/>
      <c r="K399" s="348"/>
      <c r="L399" s="348"/>
      <c r="M399" s="348"/>
      <c r="N399" s="348"/>
      <c r="O399" s="348">
        <v>28650459.74710004</v>
      </c>
      <c r="P399" s="348">
        <v>948.22280000000001</v>
      </c>
      <c r="Q399" s="353">
        <v>698.78359999999998</v>
      </c>
    </row>
    <row r="400" spans="1:17" x14ac:dyDescent="0.25">
      <c r="A400" s="360" t="s">
        <v>2415</v>
      </c>
      <c r="B400" s="348"/>
      <c r="C400" s="348"/>
      <c r="D400" s="348"/>
      <c r="E400" s="348"/>
      <c r="F400" s="348"/>
      <c r="G400" s="348"/>
      <c r="H400" s="348"/>
      <c r="I400" s="348"/>
      <c r="J400" s="348"/>
      <c r="K400" s="348"/>
      <c r="L400" s="348"/>
      <c r="M400" s="348"/>
      <c r="N400" s="348"/>
      <c r="O400" s="348">
        <v>1474047.2539999993</v>
      </c>
      <c r="P400" s="348"/>
      <c r="Q400" s="353"/>
    </row>
    <row r="401" spans="1:17" x14ac:dyDescent="0.25">
      <c r="A401" s="360" t="s">
        <v>837</v>
      </c>
      <c r="B401" s="348"/>
      <c r="C401" s="348"/>
      <c r="D401" s="348"/>
      <c r="E401" s="348"/>
      <c r="F401" s="348"/>
      <c r="G401" s="348"/>
      <c r="H401" s="348"/>
      <c r="I401" s="348"/>
      <c r="J401" s="348"/>
      <c r="K401" s="348"/>
      <c r="L401" s="348"/>
      <c r="M401" s="348"/>
      <c r="N401" s="348"/>
      <c r="O401" s="348">
        <v>46405713.929199956</v>
      </c>
      <c r="P401" s="348">
        <v>17551.210999999999</v>
      </c>
      <c r="Q401" s="353">
        <v>1852.6860000000001</v>
      </c>
    </row>
    <row r="402" spans="1:17" x14ac:dyDescent="0.25">
      <c r="A402" s="360" t="s">
        <v>132</v>
      </c>
      <c r="B402" s="348"/>
      <c r="C402" s="348"/>
      <c r="D402" s="348"/>
      <c r="E402" s="348"/>
      <c r="F402" s="348"/>
      <c r="G402" s="348"/>
      <c r="H402" s="348"/>
      <c r="I402" s="348"/>
      <c r="J402" s="348"/>
      <c r="K402" s="348"/>
      <c r="L402" s="348"/>
      <c r="M402" s="348"/>
      <c r="N402" s="348"/>
      <c r="O402" s="348">
        <v>8733935.9636999927</v>
      </c>
      <c r="P402" s="348">
        <v>1044.8040000000001</v>
      </c>
      <c r="Q402" s="353"/>
    </row>
    <row r="403" spans="1:17" x14ac:dyDescent="0.25">
      <c r="A403" s="360" t="s">
        <v>611</v>
      </c>
      <c r="B403" s="348"/>
      <c r="C403" s="348"/>
      <c r="D403" s="348"/>
      <c r="E403" s="348"/>
      <c r="F403" s="348"/>
      <c r="G403" s="348"/>
      <c r="H403" s="348"/>
      <c r="I403" s="348"/>
      <c r="J403" s="348"/>
      <c r="K403" s="348"/>
      <c r="L403" s="348"/>
      <c r="M403" s="348"/>
      <c r="N403" s="348"/>
      <c r="O403" s="348">
        <v>3868990.1185999978</v>
      </c>
      <c r="P403" s="348"/>
      <c r="Q403" s="353"/>
    </row>
    <row r="404" spans="1:17" x14ac:dyDescent="0.25">
      <c r="A404" s="360" t="s">
        <v>341</v>
      </c>
      <c r="B404" s="348"/>
      <c r="C404" s="348"/>
      <c r="D404" s="348"/>
      <c r="E404" s="348"/>
      <c r="F404" s="348"/>
      <c r="G404" s="348"/>
      <c r="H404" s="348"/>
      <c r="I404" s="348"/>
      <c r="J404" s="348"/>
      <c r="K404" s="348"/>
      <c r="L404" s="348"/>
      <c r="M404" s="348"/>
      <c r="N404" s="348"/>
      <c r="O404" s="348">
        <v>7038257.2496000119</v>
      </c>
      <c r="P404" s="348">
        <v>3979.2941000000001</v>
      </c>
      <c r="Q404" s="353"/>
    </row>
    <row r="405" spans="1:17" x14ac:dyDescent="0.25">
      <c r="A405" s="360" t="s">
        <v>4212</v>
      </c>
      <c r="B405" s="348"/>
      <c r="C405" s="348"/>
      <c r="D405" s="348"/>
      <c r="E405" s="348"/>
      <c r="F405" s="348"/>
      <c r="G405" s="348"/>
      <c r="H405" s="348"/>
      <c r="I405" s="348"/>
      <c r="J405" s="348"/>
      <c r="K405" s="348"/>
      <c r="L405" s="348"/>
      <c r="M405" s="348"/>
      <c r="N405" s="348"/>
      <c r="O405" s="348">
        <v>6047213.6267999876</v>
      </c>
      <c r="P405" s="348"/>
      <c r="Q405" s="353"/>
    </row>
    <row r="406" spans="1:17" x14ac:dyDescent="0.25">
      <c r="A406" s="360" t="s">
        <v>4420</v>
      </c>
      <c r="B406" s="348"/>
      <c r="C406" s="348"/>
      <c r="D406" s="348"/>
      <c r="E406" s="348"/>
      <c r="F406" s="348"/>
      <c r="G406" s="348"/>
      <c r="H406" s="348"/>
      <c r="I406" s="348"/>
      <c r="J406" s="348"/>
      <c r="K406" s="348"/>
      <c r="L406" s="348"/>
      <c r="M406" s="348"/>
      <c r="N406" s="348"/>
      <c r="O406" s="348">
        <v>567581.28150000004</v>
      </c>
      <c r="P406" s="348"/>
      <c r="Q406" s="353"/>
    </row>
    <row r="407" spans="1:17" x14ac:dyDescent="0.25">
      <c r="A407" s="360" t="s">
        <v>601</v>
      </c>
      <c r="B407" s="348"/>
      <c r="C407" s="348"/>
      <c r="D407" s="348"/>
      <c r="E407" s="348"/>
      <c r="F407" s="348"/>
      <c r="G407" s="348"/>
      <c r="H407" s="348"/>
      <c r="I407" s="348"/>
      <c r="J407" s="348"/>
      <c r="K407" s="348"/>
      <c r="L407" s="348"/>
      <c r="M407" s="348"/>
      <c r="N407" s="348"/>
      <c r="O407" s="348">
        <v>9257729.6374000069</v>
      </c>
      <c r="P407" s="348">
        <v>0.995</v>
      </c>
      <c r="Q407" s="353">
        <v>2485.2345999999998</v>
      </c>
    </row>
    <row r="408" spans="1:17" x14ac:dyDescent="0.25">
      <c r="A408" s="360" t="s">
        <v>938</v>
      </c>
      <c r="B408" s="348"/>
      <c r="C408" s="348"/>
      <c r="D408" s="348"/>
      <c r="E408" s="348"/>
      <c r="F408" s="348"/>
      <c r="G408" s="348"/>
      <c r="H408" s="348"/>
      <c r="I408" s="348"/>
      <c r="J408" s="348"/>
      <c r="K408" s="348"/>
      <c r="L408" s="348"/>
      <c r="M408" s="348"/>
      <c r="N408" s="348"/>
      <c r="O408" s="348">
        <v>5549058.6409000084</v>
      </c>
      <c r="P408" s="348"/>
      <c r="Q408" s="353"/>
    </row>
    <row r="409" spans="1:17" x14ac:dyDescent="0.25">
      <c r="A409" s="360" t="s">
        <v>4178</v>
      </c>
      <c r="B409" s="348"/>
      <c r="C409" s="348"/>
      <c r="D409" s="348"/>
      <c r="E409" s="348"/>
      <c r="F409" s="348"/>
      <c r="G409" s="348"/>
      <c r="H409" s="348"/>
      <c r="I409" s="348"/>
      <c r="J409" s="348"/>
      <c r="K409" s="348"/>
      <c r="L409" s="348"/>
      <c r="M409" s="348"/>
      <c r="N409" s="348"/>
      <c r="O409" s="348">
        <v>961608.21050000063</v>
      </c>
      <c r="P409" s="348"/>
      <c r="Q409" s="353"/>
    </row>
    <row r="410" spans="1:17" x14ac:dyDescent="0.25">
      <c r="A410" s="360" t="s">
        <v>610</v>
      </c>
      <c r="B410" s="348"/>
      <c r="C410" s="348"/>
      <c r="D410" s="348"/>
      <c r="E410" s="348"/>
      <c r="F410" s="348"/>
      <c r="G410" s="348"/>
      <c r="H410" s="348"/>
      <c r="I410" s="348"/>
      <c r="J410" s="348"/>
      <c r="K410" s="348"/>
      <c r="L410" s="348"/>
      <c r="M410" s="348"/>
      <c r="N410" s="348"/>
      <c r="O410" s="348">
        <v>4305497.4033999918</v>
      </c>
      <c r="P410" s="348"/>
      <c r="Q410" s="353"/>
    </row>
    <row r="411" spans="1:17" x14ac:dyDescent="0.25">
      <c r="A411" s="360" t="s">
        <v>835</v>
      </c>
      <c r="B411" s="348"/>
      <c r="C411" s="348"/>
      <c r="D411" s="348"/>
      <c r="E411" s="348"/>
      <c r="F411" s="348"/>
      <c r="G411" s="348"/>
      <c r="H411" s="348"/>
      <c r="I411" s="348"/>
      <c r="J411" s="348"/>
      <c r="K411" s="348"/>
      <c r="L411" s="348"/>
      <c r="M411" s="348"/>
      <c r="N411" s="348"/>
      <c r="O411" s="348">
        <v>8754320.7207999881</v>
      </c>
      <c r="P411" s="348">
        <v>10.5642</v>
      </c>
      <c r="Q411" s="353">
        <v>0</v>
      </c>
    </row>
    <row r="412" spans="1:17" x14ac:dyDescent="0.25">
      <c r="A412" s="360" t="s">
        <v>4260</v>
      </c>
      <c r="B412" s="348"/>
      <c r="C412" s="348"/>
      <c r="D412" s="348"/>
      <c r="E412" s="348"/>
      <c r="F412" s="348"/>
      <c r="G412" s="348"/>
      <c r="H412" s="348"/>
      <c r="I412" s="348"/>
      <c r="J412" s="348"/>
      <c r="K412" s="348"/>
      <c r="L412" s="348"/>
      <c r="M412" s="348"/>
      <c r="N412" s="348"/>
      <c r="O412" s="348">
        <v>2281205.7206000015</v>
      </c>
      <c r="P412" s="348">
        <v>0</v>
      </c>
      <c r="Q412" s="353">
        <v>0</v>
      </c>
    </row>
    <row r="413" spans="1:17" x14ac:dyDescent="0.25">
      <c r="A413" s="360" t="s">
        <v>3579</v>
      </c>
      <c r="B413" s="348"/>
      <c r="C413" s="348"/>
      <c r="D413" s="348"/>
      <c r="E413" s="348"/>
      <c r="F413" s="348"/>
      <c r="G413" s="348"/>
      <c r="H413" s="348"/>
      <c r="I413" s="348"/>
      <c r="J413" s="348"/>
      <c r="K413" s="348"/>
      <c r="L413" s="348"/>
      <c r="M413" s="348"/>
      <c r="N413" s="348"/>
      <c r="O413" s="348">
        <v>917519.80180000025</v>
      </c>
      <c r="P413" s="348"/>
      <c r="Q413" s="353"/>
    </row>
    <row r="414" spans="1:17" x14ac:dyDescent="0.25">
      <c r="A414" s="360" t="s">
        <v>4214</v>
      </c>
      <c r="B414" s="348"/>
      <c r="C414" s="348"/>
      <c r="D414" s="348"/>
      <c r="E414" s="348"/>
      <c r="F414" s="348"/>
      <c r="G414" s="348"/>
      <c r="H414" s="348"/>
      <c r="I414" s="348"/>
      <c r="J414" s="348"/>
      <c r="K414" s="348"/>
      <c r="L414" s="348"/>
      <c r="M414" s="348"/>
      <c r="N414" s="348"/>
      <c r="O414" s="348">
        <v>1489248.414899999</v>
      </c>
      <c r="P414" s="348"/>
      <c r="Q414" s="353"/>
    </row>
    <row r="415" spans="1:17" x14ac:dyDescent="0.25">
      <c r="A415" s="360" t="s">
        <v>4421</v>
      </c>
      <c r="B415" s="348"/>
      <c r="C415" s="348"/>
      <c r="D415" s="348"/>
      <c r="E415" s="348"/>
      <c r="F415" s="348"/>
      <c r="G415" s="348"/>
      <c r="H415" s="348"/>
      <c r="I415" s="348"/>
      <c r="J415" s="348"/>
      <c r="K415" s="348"/>
      <c r="L415" s="348"/>
      <c r="M415" s="348"/>
      <c r="N415" s="348"/>
      <c r="O415" s="348">
        <v>2849999.1277000029</v>
      </c>
      <c r="P415" s="348">
        <v>6296.3834999999999</v>
      </c>
      <c r="Q415" s="353">
        <v>12056.1494</v>
      </c>
    </row>
    <row r="416" spans="1:17" x14ac:dyDescent="0.25">
      <c r="A416" s="360" t="s">
        <v>4211</v>
      </c>
      <c r="B416" s="348"/>
      <c r="C416" s="348"/>
      <c r="D416" s="348"/>
      <c r="E416" s="348"/>
      <c r="F416" s="348"/>
      <c r="G416" s="348"/>
      <c r="H416" s="348"/>
      <c r="I416" s="348"/>
      <c r="J416" s="348"/>
      <c r="K416" s="348"/>
      <c r="L416" s="348"/>
      <c r="M416" s="348"/>
      <c r="N416" s="348"/>
      <c r="O416" s="348">
        <v>4588779.5377000002</v>
      </c>
      <c r="P416" s="348"/>
      <c r="Q416" s="353"/>
    </row>
    <row r="417" spans="1:17" x14ac:dyDescent="0.25">
      <c r="A417" s="360" t="s">
        <v>4262</v>
      </c>
      <c r="B417" s="348"/>
      <c r="C417" s="348"/>
      <c r="D417" s="348"/>
      <c r="E417" s="348"/>
      <c r="F417" s="348"/>
      <c r="G417" s="348"/>
      <c r="H417" s="348"/>
      <c r="I417" s="348"/>
      <c r="J417" s="348"/>
      <c r="K417" s="348"/>
      <c r="L417" s="348"/>
      <c r="M417" s="348"/>
      <c r="N417" s="348"/>
      <c r="O417" s="348">
        <v>2193665.4085000008</v>
      </c>
      <c r="P417" s="348"/>
      <c r="Q417" s="353"/>
    </row>
    <row r="418" spans="1:17" x14ac:dyDescent="0.25">
      <c r="A418" s="360" t="s">
        <v>608</v>
      </c>
      <c r="B418" s="348"/>
      <c r="C418" s="348"/>
      <c r="D418" s="348"/>
      <c r="E418" s="348"/>
      <c r="F418" s="348"/>
      <c r="G418" s="348"/>
      <c r="H418" s="348"/>
      <c r="I418" s="348"/>
      <c r="J418" s="348"/>
      <c r="K418" s="348"/>
      <c r="L418" s="348"/>
      <c r="M418" s="348"/>
      <c r="N418" s="348"/>
      <c r="O418" s="348">
        <v>8136016.3894000091</v>
      </c>
      <c r="P418" s="348">
        <v>3591.9940000000001</v>
      </c>
      <c r="Q418" s="353">
        <v>5068.4332000000004</v>
      </c>
    </row>
    <row r="419" spans="1:17" x14ac:dyDescent="0.25">
      <c r="A419" s="360" t="s">
        <v>609</v>
      </c>
      <c r="B419" s="348"/>
      <c r="C419" s="348"/>
      <c r="D419" s="348"/>
      <c r="E419" s="348"/>
      <c r="F419" s="348"/>
      <c r="G419" s="348"/>
      <c r="H419" s="348"/>
      <c r="I419" s="348"/>
      <c r="J419" s="348"/>
      <c r="K419" s="348"/>
      <c r="L419" s="348"/>
      <c r="M419" s="348"/>
      <c r="N419" s="348"/>
      <c r="O419" s="348">
        <v>5094099.1329000005</v>
      </c>
      <c r="P419" s="348"/>
      <c r="Q419" s="353"/>
    </row>
    <row r="420" spans="1:17" x14ac:dyDescent="0.25">
      <c r="A420" s="360" t="s">
        <v>3022</v>
      </c>
      <c r="B420" s="348"/>
      <c r="C420" s="348"/>
      <c r="D420" s="348"/>
      <c r="E420" s="348"/>
      <c r="F420" s="348"/>
      <c r="G420" s="348"/>
      <c r="H420" s="348"/>
      <c r="I420" s="348"/>
      <c r="J420" s="348"/>
      <c r="K420" s="348"/>
      <c r="L420" s="348"/>
      <c r="M420" s="348"/>
      <c r="N420" s="348"/>
      <c r="O420" s="348">
        <v>5381441.8007999994</v>
      </c>
      <c r="P420" s="348"/>
      <c r="Q420" s="353"/>
    </row>
    <row r="421" spans="1:17" x14ac:dyDescent="0.25">
      <c r="A421" s="360" t="s">
        <v>836</v>
      </c>
      <c r="B421" s="348"/>
      <c r="C421" s="348"/>
      <c r="D421" s="348"/>
      <c r="E421" s="348"/>
      <c r="F421" s="348"/>
      <c r="G421" s="348"/>
      <c r="H421" s="348"/>
      <c r="I421" s="348"/>
      <c r="J421" s="348"/>
      <c r="K421" s="348"/>
      <c r="L421" s="348"/>
      <c r="M421" s="348"/>
      <c r="N421" s="348"/>
      <c r="O421" s="348">
        <v>36876819.539800107</v>
      </c>
      <c r="P421" s="348">
        <v>8714.5815000000002</v>
      </c>
      <c r="Q421" s="353">
        <v>27.647400000000001</v>
      </c>
    </row>
    <row r="422" spans="1:17" x14ac:dyDescent="0.25">
      <c r="A422" s="360" t="s">
        <v>495</v>
      </c>
      <c r="B422" s="348"/>
      <c r="C422" s="348"/>
      <c r="D422" s="348"/>
      <c r="E422" s="348"/>
      <c r="F422" s="348"/>
      <c r="G422" s="348"/>
      <c r="H422" s="348"/>
      <c r="I422" s="348"/>
      <c r="J422" s="348"/>
      <c r="K422" s="348"/>
      <c r="L422" s="348"/>
      <c r="M422" s="348"/>
      <c r="N422" s="348"/>
      <c r="O422" s="348">
        <v>11722992.782999987</v>
      </c>
      <c r="P422" s="348">
        <v>27052.826700000001</v>
      </c>
      <c r="Q422" s="353">
        <v>300.87540000000001</v>
      </c>
    </row>
    <row r="423" spans="1:17" x14ac:dyDescent="0.25">
      <c r="A423" s="360" t="s">
        <v>4278</v>
      </c>
      <c r="B423" s="348"/>
      <c r="C423" s="348"/>
      <c r="D423" s="348"/>
      <c r="E423" s="348"/>
      <c r="F423" s="348"/>
      <c r="G423" s="348"/>
      <c r="H423" s="348"/>
      <c r="I423" s="348"/>
      <c r="J423" s="348"/>
      <c r="K423" s="348"/>
      <c r="L423" s="348"/>
      <c r="M423" s="348"/>
      <c r="N423" s="348"/>
      <c r="O423" s="348">
        <v>184547.71559999997</v>
      </c>
      <c r="P423" s="348"/>
      <c r="Q423" s="353"/>
    </row>
    <row r="424" spans="1:17" x14ac:dyDescent="0.25">
      <c r="A424" s="360" t="s">
        <v>4213</v>
      </c>
      <c r="B424" s="348"/>
      <c r="C424" s="348"/>
      <c r="D424" s="348"/>
      <c r="E424" s="348"/>
      <c r="F424" s="348"/>
      <c r="G424" s="348"/>
      <c r="H424" s="348"/>
      <c r="I424" s="348"/>
      <c r="J424" s="348"/>
      <c r="K424" s="348"/>
      <c r="L424" s="348"/>
      <c r="M424" s="348"/>
      <c r="N424" s="348"/>
      <c r="O424" s="348">
        <v>706169.67329999991</v>
      </c>
      <c r="P424" s="348"/>
      <c r="Q424" s="353"/>
    </row>
    <row r="425" spans="1:17" x14ac:dyDescent="0.25">
      <c r="A425" s="360" t="s">
        <v>713</v>
      </c>
      <c r="B425" s="348"/>
      <c r="C425" s="348"/>
      <c r="D425" s="348"/>
      <c r="E425" s="348"/>
      <c r="F425" s="348"/>
      <c r="G425" s="348"/>
      <c r="H425" s="348"/>
      <c r="I425" s="348"/>
      <c r="J425" s="348"/>
      <c r="K425" s="348"/>
      <c r="L425" s="348"/>
      <c r="M425" s="348"/>
      <c r="N425" s="348"/>
      <c r="O425" s="348">
        <v>3371610.1315000034</v>
      </c>
      <c r="P425" s="348"/>
      <c r="Q425" s="353"/>
    </row>
    <row r="426" spans="1:17" x14ac:dyDescent="0.25">
      <c r="A426" s="360" t="s">
        <v>939</v>
      </c>
      <c r="B426" s="348"/>
      <c r="C426" s="348"/>
      <c r="D426" s="348"/>
      <c r="E426" s="348"/>
      <c r="F426" s="348"/>
      <c r="G426" s="348"/>
      <c r="H426" s="348"/>
      <c r="I426" s="348"/>
      <c r="J426" s="348"/>
      <c r="K426" s="348"/>
      <c r="L426" s="348"/>
      <c r="M426" s="348"/>
      <c r="N426" s="348"/>
      <c r="O426" s="348">
        <v>5490955.2046999997</v>
      </c>
      <c r="P426" s="348"/>
      <c r="Q426" s="353"/>
    </row>
    <row r="427" spans="1:17" x14ac:dyDescent="0.25">
      <c r="A427" s="360" t="s">
        <v>714</v>
      </c>
      <c r="B427" s="348"/>
      <c r="C427" s="348"/>
      <c r="D427" s="348"/>
      <c r="E427" s="348"/>
      <c r="F427" s="348"/>
      <c r="G427" s="348"/>
      <c r="H427" s="348"/>
      <c r="I427" s="348"/>
      <c r="J427" s="348"/>
      <c r="K427" s="348"/>
      <c r="L427" s="348"/>
      <c r="M427" s="348"/>
      <c r="N427" s="348"/>
      <c r="O427" s="348">
        <v>6549492.7547999918</v>
      </c>
      <c r="P427" s="348"/>
      <c r="Q427" s="353"/>
    </row>
    <row r="428" spans="1:17" x14ac:dyDescent="0.25">
      <c r="A428" s="360" t="s">
        <v>4422</v>
      </c>
      <c r="B428" s="348"/>
      <c r="C428" s="348"/>
      <c r="D428" s="348"/>
      <c r="E428" s="348"/>
      <c r="F428" s="348"/>
      <c r="G428" s="348"/>
      <c r="H428" s="348"/>
      <c r="I428" s="348"/>
      <c r="J428" s="348"/>
      <c r="K428" s="348"/>
      <c r="L428" s="348"/>
      <c r="M428" s="348"/>
      <c r="N428" s="348"/>
      <c r="O428" s="348">
        <v>554553.41260000004</v>
      </c>
      <c r="P428" s="348"/>
      <c r="Q428" s="353"/>
    </row>
    <row r="429" spans="1:17" x14ac:dyDescent="0.25">
      <c r="A429" s="360" t="s">
        <v>4215</v>
      </c>
      <c r="B429" s="348"/>
      <c r="C429" s="348"/>
      <c r="D429" s="348"/>
      <c r="E429" s="348"/>
      <c r="F429" s="348"/>
      <c r="G429" s="348"/>
      <c r="H429" s="348"/>
      <c r="I429" s="348"/>
      <c r="J429" s="348"/>
      <c r="K429" s="348"/>
      <c r="L429" s="348"/>
      <c r="M429" s="348"/>
      <c r="N429" s="348"/>
      <c r="O429" s="348">
        <v>3771155.278100003</v>
      </c>
      <c r="P429" s="348">
        <v>0</v>
      </c>
      <c r="Q429" s="353"/>
    </row>
    <row r="430" spans="1:17" x14ac:dyDescent="0.25">
      <c r="A430" s="360" t="s">
        <v>4423</v>
      </c>
      <c r="B430" s="348"/>
      <c r="C430" s="348"/>
      <c r="D430" s="348"/>
      <c r="E430" s="348"/>
      <c r="F430" s="348"/>
      <c r="G430" s="348"/>
      <c r="H430" s="348"/>
      <c r="I430" s="348"/>
      <c r="J430" s="348"/>
      <c r="K430" s="348"/>
      <c r="L430" s="348"/>
      <c r="M430" s="348"/>
      <c r="N430" s="348"/>
      <c r="O430" s="348">
        <v>306420.40360000002</v>
      </c>
      <c r="P430" s="348"/>
      <c r="Q430" s="353"/>
    </row>
    <row r="431" spans="1:17" x14ac:dyDescent="0.25">
      <c r="A431" s="360" t="s">
        <v>4263</v>
      </c>
      <c r="B431" s="348"/>
      <c r="C431" s="348"/>
      <c r="D431" s="348"/>
      <c r="E431" s="348"/>
      <c r="F431" s="348"/>
      <c r="G431" s="348"/>
      <c r="H431" s="348"/>
      <c r="I431" s="348"/>
      <c r="J431" s="348"/>
      <c r="K431" s="348"/>
      <c r="L431" s="348"/>
      <c r="M431" s="348"/>
      <c r="N431" s="348"/>
      <c r="O431" s="348">
        <v>471995.32359999995</v>
      </c>
      <c r="P431" s="348"/>
      <c r="Q431" s="353"/>
    </row>
    <row r="432" spans="1:17" x14ac:dyDescent="0.25">
      <c r="A432" s="360" t="s">
        <v>4179</v>
      </c>
      <c r="B432" s="348"/>
      <c r="C432" s="348"/>
      <c r="D432" s="348"/>
      <c r="E432" s="348"/>
      <c r="F432" s="348"/>
      <c r="G432" s="348"/>
      <c r="H432" s="348"/>
      <c r="I432" s="348"/>
      <c r="J432" s="348"/>
      <c r="K432" s="348"/>
      <c r="L432" s="348"/>
      <c r="M432" s="348"/>
      <c r="N432" s="348"/>
      <c r="O432" s="348">
        <v>6515.7469000000001</v>
      </c>
      <c r="P432" s="348"/>
      <c r="Q432" s="353"/>
    </row>
    <row r="433" spans="1:17" x14ac:dyDescent="0.25">
      <c r="A433" s="360" t="s">
        <v>4424</v>
      </c>
      <c r="B433" s="348"/>
      <c r="C433" s="348"/>
      <c r="D433" s="348"/>
      <c r="E433" s="348"/>
      <c r="F433" s="348"/>
      <c r="G433" s="348"/>
      <c r="H433" s="348"/>
      <c r="I433" s="348"/>
      <c r="J433" s="348"/>
      <c r="K433" s="348"/>
      <c r="L433" s="348"/>
      <c r="M433" s="348"/>
      <c r="N433" s="348"/>
      <c r="O433" s="348">
        <v>0</v>
      </c>
      <c r="P433" s="348"/>
      <c r="Q433" s="353"/>
    </row>
    <row r="434" spans="1:17" x14ac:dyDescent="0.25">
      <c r="A434" s="360" t="s">
        <v>4425</v>
      </c>
      <c r="B434" s="348"/>
      <c r="C434" s="348"/>
      <c r="D434" s="348"/>
      <c r="E434" s="348"/>
      <c r="F434" s="348"/>
      <c r="G434" s="348"/>
      <c r="H434" s="348"/>
      <c r="I434" s="348"/>
      <c r="J434" s="348"/>
      <c r="K434" s="348"/>
      <c r="L434" s="348"/>
      <c r="M434" s="348"/>
      <c r="N434" s="348"/>
      <c r="O434" s="348">
        <v>95704.5</v>
      </c>
      <c r="P434" s="348"/>
      <c r="Q434" s="353"/>
    </row>
    <row r="435" spans="1:17" x14ac:dyDescent="0.25">
      <c r="A435" s="360" t="s">
        <v>4426</v>
      </c>
      <c r="B435" s="348"/>
      <c r="C435" s="348"/>
      <c r="D435" s="348"/>
      <c r="E435" s="348"/>
      <c r="F435" s="348"/>
      <c r="G435" s="348"/>
      <c r="H435" s="348"/>
      <c r="I435" s="348"/>
      <c r="J435" s="348"/>
      <c r="K435" s="348"/>
      <c r="L435" s="348"/>
      <c r="M435" s="348"/>
      <c r="N435" s="348"/>
      <c r="O435" s="348">
        <v>300.09660000000002</v>
      </c>
      <c r="P435" s="348"/>
      <c r="Q435" s="353"/>
    </row>
    <row r="436" spans="1:17" x14ac:dyDescent="0.25">
      <c r="A436" s="360" t="s">
        <v>4427</v>
      </c>
      <c r="B436" s="348"/>
      <c r="C436" s="348"/>
      <c r="D436" s="348"/>
      <c r="E436" s="348"/>
      <c r="F436" s="348"/>
      <c r="G436" s="348"/>
      <c r="H436" s="348"/>
      <c r="I436" s="348"/>
      <c r="J436" s="348"/>
      <c r="K436" s="348"/>
      <c r="L436" s="348"/>
      <c r="M436" s="348"/>
      <c r="N436" s="348"/>
      <c r="O436" s="348">
        <v>52665.594899999996</v>
      </c>
      <c r="P436" s="348"/>
      <c r="Q436" s="353"/>
    </row>
    <row r="437" spans="1:17" x14ac:dyDescent="0.25">
      <c r="A437" s="360" t="s">
        <v>4428</v>
      </c>
      <c r="B437" s="348"/>
      <c r="C437" s="348"/>
      <c r="D437" s="348"/>
      <c r="E437" s="348"/>
      <c r="F437" s="348"/>
      <c r="G437" s="348"/>
      <c r="H437" s="348"/>
      <c r="I437" s="348"/>
      <c r="J437" s="348"/>
      <c r="K437" s="348"/>
      <c r="L437" s="348"/>
      <c r="M437" s="348"/>
      <c r="N437" s="348"/>
      <c r="O437" s="348">
        <v>2603.4657000000002</v>
      </c>
      <c r="P437" s="348"/>
      <c r="Q437" s="353"/>
    </row>
    <row r="438" spans="1:17" x14ac:dyDescent="0.25">
      <c r="A438" s="360" t="s">
        <v>4429</v>
      </c>
      <c r="B438" s="348"/>
      <c r="C438" s="348"/>
      <c r="D438" s="348"/>
      <c r="E438" s="348"/>
      <c r="F438" s="348"/>
      <c r="G438" s="348"/>
      <c r="H438" s="348"/>
      <c r="I438" s="348"/>
      <c r="J438" s="348"/>
      <c r="K438" s="348"/>
      <c r="L438" s="348"/>
      <c r="M438" s="348"/>
      <c r="N438" s="348"/>
      <c r="O438" s="348">
        <v>0</v>
      </c>
      <c r="P438" s="348"/>
      <c r="Q438" s="353"/>
    </row>
    <row r="439" spans="1:17" x14ac:dyDescent="0.25">
      <c r="A439" s="360" t="s">
        <v>4430</v>
      </c>
      <c r="B439" s="348"/>
      <c r="C439" s="348"/>
      <c r="D439" s="348"/>
      <c r="E439" s="348"/>
      <c r="F439" s="348"/>
      <c r="G439" s="348"/>
      <c r="H439" s="348"/>
      <c r="I439" s="348"/>
      <c r="J439" s="348"/>
      <c r="K439" s="348"/>
      <c r="L439" s="348"/>
      <c r="M439" s="348"/>
      <c r="N439" s="348"/>
      <c r="O439" s="348">
        <v>2845.0119</v>
      </c>
      <c r="P439" s="348"/>
      <c r="Q439" s="353"/>
    </row>
    <row r="440" spans="1:17" x14ac:dyDescent="0.25">
      <c r="A440" s="360" t="s">
        <v>170</v>
      </c>
      <c r="B440" s="348"/>
      <c r="C440" s="348"/>
      <c r="D440" s="348"/>
      <c r="E440" s="348"/>
      <c r="F440" s="348"/>
      <c r="G440" s="348"/>
      <c r="H440" s="348"/>
      <c r="I440" s="348"/>
      <c r="J440" s="348"/>
      <c r="K440" s="348"/>
      <c r="L440" s="348"/>
      <c r="M440" s="348"/>
      <c r="N440" s="348"/>
      <c r="O440" s="348">
        <v>8793.8814000000002</v>
      </c>
      <c r="P440" s="348">
        <v>0</v>
      </c>
      <c r="Q440" s="353"/>
    </row>
    <row r="441" spans="1:17" x14ac:dyDescent="0.25">
      <c r="A441" s="360" t="s">
        <v>4431</v>
      </c>
      <c r="B441" s="348"/>
      <c r="C441" s="348"/>
      <c r="D441" s="348"/>
      <c r="E441" s="348"/>
      <c r="F441" s="348"/>
      <c r="G441" s="348"/>
      <c r="H441" s="348"/>
      <c r="I441" s="348"/>
      <c r="J441" s="348"/>
      <c r="K441" s="348"/>
      <c r="L441" s="348"/>
      <c r="M441" s="348"/>
      <c r="N441" s="348"/>
      <c r="O441" s="348">
        <v>0</v>
      </c>
      <c r="P441" s="348"/>
      <c r="Q441" s="353"/>
    </row>
    <row r="442" spans="1:17" x14ac:dyDescent="0.25">
      <c r="A442" s="360" t="s">
        <v>4432</v>
      </c>
      <c r="B442" s="348"/>
      <c r="C442" s="348"/>
      <c r="D442" s="348"/>
      <c r="E442" s="348"/>
      <c r="F442" s="348"/>
      <c r="G442" s="348"/>
      <c r="H442" s="348"/>
      <c r="I442" s="348"/>
      <c r="J442" s="348"/>
      <c r="K442" s="348"/>
      <c r="L442" s="348"/>
      <c r="M442" s="348"/>
      <c r="N442" s="348"/>
      <c r="O442" s="348">
        <v>37521.061800000003</v>
      </c>
      <c r="P442" s="348"/>
      <c r="Q442" s="353"/>
    </row>
    <row r="443" spans="1:17" x14ac:dyDescent="0.25">
      <c r="A443" s="360" t="s">
        <v>4433</v>
      </c>
      <c r="B443" s="348"/>
      <c r="C443" s="348"/>
      <c r="D443" s="348"/>
      <c r="E443" s="348"/>
      <c r="F443" s="348"/>
      <c r="G443" s="348"/>
      <c r="H443" s="348"/>
      <c r="I443" s="348"/>
      <c r="J443" s="348"/>
      <c r="K443" s="348"/>
      <c r="L443" s="348"/>
      <c r="M443" s="348"/>
      <c r="N443" s="348"/>
      <c r="O443" s="348">
        <v>26099.472099999999</v>
      </c>
      <c r="P443" s="348"/>
      <c r="Q443" s="353"/>
    </row>
    <row r="444" spans="1:17" x14ac:dyDescent="0.25">
      <c r="A444" s="360" t="s">
        <v>4434</v>
      </c>
      <c r="B444" s="348"/>
      <c r="C444" s="348"/>
      <c r="D444" s="348"/>
      <c r="E444" s="348"/>
      <c r="F444" s="348"/>
      <c r="G444" s="348"/>
      <c r="H444" s="348"/>
      <c r="I444" s="348"/>
      <c r="J444" s="348"/>
      <c r="K444" s="348"/>
      <c r="L444" s="348"/>
      <c r="M444" s="348"/>
      <c r="N444" s="348"/>
      <c r="O444" s="348">
        <v>12427.445300000001</v>
      </c>
      <c r="P444" s="348"/>
      <c r="Q444" s="353"/>
    </row>
    <row r="445" spans="1:17" x14ac:dyDescent="0.25">
      <c r="A445" s="360" t="s">
        <v>4216</v>
      </c>
      <c r="B445" s="348"/>
      <c r="C445" s="348"/>
      <c r="D445" s="348"/>
      <c r="E445" s="348"/>
      <c r="F445" s="348"/>
      <c r="G445" s="348"/>
      <c r="H445" s="348"/>
      <c r="I445" s="348"/>
      <c r="J445" s="348"/>
      <c r="K445" s="348"/>
      <c r="L445" s="348"/>
      <c r="M445" s="348"/>
      <c r="N445" s="348"/>
      <c r="O445" s="348">
        <v>8594957.9990000073</v>
      </c>
      <c r="P445" s="348"/>
      <c r="Q445" s="353"/>
    </row>
    <row r="446" spans="1:17" x14ac:dyDescent="0.25">
      <c r="A446" s="360" t="s">
        <v>4266</v>
      </c>
      <c r="B446" s="348"/>
      <c r="C446" s="348"/>
      <c r="D446" s="348"/>
      <c r="E446" s="348"/>
      <c r="F446" s="348"/>
      <c r="G446" s="348"/>
      <c r="H446" s="348"/>
      <c r="I446" s="348"/>
      <c r="J446" s="348"/>
      <c r="K446" s="348"/>
      <c r="L446" s="348"/>
      <c r="M446" s="348"/>
      <c r="N446" s="348"/>
      <c r="O446" s="348">
        <v>1660550.5147000006</v>
      </c>
      <c r="P446" s="348"/>
      <c r="Q446" s="353"/>
    </row>
    <row r="447" spans="1:17" x14ac:dyDescent="0.25">
      <c r="A447" s="360" t="s">
        <v>3594</v>
      </c>
      <c r="B447" s="348"/>
      <c r="C447" s="348"/>
      <c r="D447" s="348"/>
      <c r="E447" s="348"/>
      <c r="F447" s="348"/>
      <c r="G447" s="348"/>
      <c r="H447" s="348"/>
      <c r="I447" s="348"/>
      <c r="J447" s="348"/>
      <c r="K447" s="348"/>
      <c r="L447" s="348"/>
      <c r="M447" s="348"/>
      <c r="N447" s="348"/>
      <c r="O447" s="348">
        <v>6865291.5052999984</v>
      </c>
      <c r="P447" s="348"/>
      <c r="Q447" s="353"/>
    </row>
    <row r="448" spans="1:17" x14ac:dyDescent="0.25">
      <c r="A448" s="360" t="s">
        <v>286</v>
      </c>
      <c r="B448" s="348"/>
      <c r="C448" s="348"/>
      <c r="D448" s="348"/>
      <c r="E448" s="348"/>
      <c r="F448" s="348"/>
      <c r="G448" s="348"/>
      <c r="H448" s="348"/>
      <c r="I448" s="348"/>
      <c r="J448" s="348"/>
      <c r="K448" s="348"/>
      <c r="L448" s="348"/>
      <c r="M448" s="348"/>
      <c r="N448" s="348"/>
      <c r="O448" s="348">
        <v>3132493.4081999981</v>
      </c>
      <c r="P448" s="348"/>
      <c r="Q448" s="353"/>
    </row>
    <row r="449" spans="1:17" x14ac:dyDescent="0.25">
      <c r="A449" s="360" t="s">
        <v>134</v>
      </c>
      <c r="B449" s="348"/>
      <c r="C449" s="348"/>
      <c r="D449" s="348"/>
      <c r="E449" s="348"/>
      <c r="F449" s="348"/>
      <c r="G449" s="348"/>
      <c r="H449" s="348"/>
      <c r="I449" s="348"/>
      <c r="J449" s="348"/>
      <c r="K449" s="348"/>
      <c r="L449" s="348"/>
      <c r="M449" s="348"/>
      <c r="N449" s="348"/>
      <c r="O449" s="348">
        <v>41246555.640599906</v>
      </c>
      <c r="P449" s="348">
        <v>454102.43060000002</v>
      </c>
      <c r="Q449" s="353">
        <v>1202.5972999999999</v>
      </c>
    </row>
    <row r="450" spans="1:17" x14ac:dyDescent="0.25">
      <c r="A450" s="360" t="s">
        <v>136</v>
      </c>
      <c r="B450" s="348"/>
      <c r="C450" s="348"/>
      <c r="D450" s="348"/>
      <c r="E450" s="348"/>
      <c r="F450" s="348"/>
      <c r="G450" s="348"/>
      <c r="H450" s="348"/>
      <c r="I450" s="348"/>
      <c r="J450" s="348"/>
      <c r="K450" s="348"/>
      <c r="L450" s="348"/>
      <c r="M450" s="348"/>
      <c r="N450" s="348"/>
      <c r="O450" s="348">
        <v>17434089.207400028</v>
      </c>
      <c r="P450" s="348"/>
      <c r="Q450" s="353"/>
    </row>
    <row r="451" spans="1:17" x14ac:dyDescent="0.25">
      <c r="A451" s="360" t="s">
        <v>137</v>
      </c>
      <c r="B451" s="348"/>
      <c r="C451" s="348"/>
      <c r="D451" s="348"/>
      <c r="E451" s="348"/>
      <c r="F451" s="348"/>
      <c r="G451" s="348"/>
      <c r="H451" s="348"/>
      <c r="I451" s="348"/>
      <c r="J451" s="348"/>
      <c r="K451" s="348"/>
      <c r="L451" s="348"/>
      <c r="M451" s="348"/>
      <c r="N451" s="348"/>
      <c r="O451" s="348">
        <v>14927971.762400012</v>
      </c>
      <c r="P451" s="348"/>
      <c r="Q451" s="353"/>
    </row>
    <row r="452" spans="1:17" x14ac:dyDescent="0.25">
      <c r="A452" s="360" t="s">
        <v>2745</v>
      </c>
      <c r="B452" s="348"/>
      <c r="C452" s="348"/>
      <c r="D452" s="348"/>
      <c r="E452" s="348"/>
      <c r="F452" s="348"/>
      <c r="G452" s="348"/>
      <c r="H452" s="348"/>
      <c r="I452" s="348"/>
      <c r="J452" s="348"/>
      <c r="K452" s="348"/>
      <c r="L452" s="348"/>
      <c r="M452" s="348"/>
      <c r="N452" s="348"/>
      <c r="O452" s="348">
        <v>25319624.032399934</v>
      </c>
      <c r="P452" s="348">
        <v>376068.38</v>
      </c>
      <c r="Q452" s="353">
        <v>11966.4676</v>
      </c>
    </row>
    <row r="453" spans="1:17" x14ac:dyDescent="0.25">
      <c r="A453" s="360" t="s">
        <v>703</v>
      </c>
      <c r="B453" s="348"/>
      <c r="C453" s="348"/>
      <c r="D453" s="348"/>
      <c r="E453" s="348"/>
      <c r="F453" s="348"/>
      <c r="G453" s="348"/>
      <c r="H453" s="348"/>
      <c r="I453" s="348"/>
      <c r="J453" s="348"/>
      <c r="K453" s="348"/>
      <c r="L453" s="348"/>
      <c r="M453" s="348"/>
      <c r="N453" s="348"/>
      <c r="O453" s="348">
        <v>9599651.8289999925</v>
      </c>
      <c r="P453" s="348"/>
      <c r="Q453" s="353"/>
    </row>
    <row r="454" spans="1:17" x14ac:dyDescent="0.25">
      <c r="A454" s="360" t="s">
        <v>3040</v>
      </c>
      <c r="B454" s="348"/>
      <c r="C454" s="348"/>
      <c r="D454" s="348"/>
      <c r="E454" s="348"/>
      <c r="F454" s="348"/>
      <c r="G454" s="348"/>
      <c r="H454" s="348"/>
      <c r="I454" s="348"/>
      <c r="J454" s="348"/>
      <c r="K454" s="348"/>
      <c r="L454" s="348"/>
      <c r="M454" s="348"/>
      <c r="N454" s="348"/>
      <c r="O454" s="348">
        <v>2548615.3967999974</v>
      </c>
      <c r="P454" s="348"/>
      <c r="Q454" s="353"/>
    </row>
    <row r="455" spans="1:17" x14ac:dyDescent="0.25">
      <c r="A455" s="360" t="s">
        <v>3839</v>
      </c>
      <c r="B455" s="348"/>
      <c r="C455" s="348"/>
      <c r="D455" s="348"/>
      <c r="E455" s="348"/>
      <c r="F455" s="348"/>
      <c r="G455" s="348"/>
      <c r="H455" s="348"/>
      <c r="I455" s="348"/>
      <c r="J455" s="348"/>
      <c r="K455" s="348"/>
      <c r="L455" s="348"/>
      <c r="M455" s="348"/>
      <c r="N455" s="348"/>
      <c r="O455" s="348">
        <v>10491258.277900007</v>
      </c>
      <c r="P455" s="348"/>
      <c r="Q455" s="353"/>
    </row>
    <row r="456" spans="1:17" x14ac:dyDescent="0.25">
      <c r="A456" s="360" t="s">
        <v>4268</v>
      </c>
      <c r="B456" s="348"/>
      <c r="C456" s="348"/>
      <c r="D456" s="348"/>
      <c r="E456" s="348"/>
      <c r="F456" s="348"/>
      <c r="G456" s="348"/>
      <c r="H456" s="348"/>
      <c r="I456" s="348"/>
      <c r="J456" s="348"/>
      <c r="K456" s="348"/>
      <c r="L456" s="348"/>
      <c r="M456" s="348"/>
      <c r="N456" s="348"/>
      <c r="O456" s="348">
        <v>2037311.2323</v>
      </c>
      <c r="P456" s="348"/>
      <c r="Q456" s="353"/>
    </row>
    <row r="457" spans="1:17" x14ac:dyDescent="0.25">
      <c r="A457" s="360" t="s">
        <v>880</v>
      </c>
      <c r="B457" s="348"/>
      <c r="C457" s="348"/>
      <c r="D457" s="348"/>
      <c r="E457" s="348"/>
      <c r="F457" s="348"/>
      <c r="G457" s="348"/>
      <c r="H457" s="348"/>
      <c r="I457" s="348"/>
      <c r="J457" s="348"/>
      <c r="K457" s="348"/>
      <c r="L457" s="348"/>
      <c r="M457" s="348"/>
      <c r="N457" s="348"/>
      <c r="O457" s="348">
        <v>8471881.0726000015</v>
      </c>
      <c r="P457" s="348"/>
      <c r="Q457" s="353"/>
    </row>
    <row r="458" spans="1:17" x14ac:dyDescent="0.25">
      <c r="A458" s="360" t="s">
        <v>847</v>
      </c>
      <c r="B458" s="348"/>
      <c r="C458" s="348"/>
      <c r="D458" s="348"/>
      <c r="E458" s="348"/>
      <c r="F458" s="348"/>
      <c r="G458" s="348"/>
      <c r="H458" s="348"/>
      <c r="I458" s="348"/>
      <c r="J458" s="348"/>
      <c r="K458" s="348"/>
      <c r="L458" s="348"/>
      <c r="M458" s="348"/>
      <c r="N458" s="348"/>
      <c r="O458" s="348">
        <v>4336379.0271999966</v>
      </c>
      <c r="P458" s="348"/>
      <c r="Q458" s="353"/>
    </row>
    <row r="459" spans="1:17" x14ac:dyDescent="0.25">
      <c r="A459" s="360" t="s">
        <v>4265</v>
      </c>
      <c r="B459" s="348"/>
      <c r="C459" s="348"/>
      <c r="D459" s="348"/>
      <c r="E459" s="348"/>
      <c r="F459" s="348"/>
      <c r="G459" s="348"/>
      <c r="H459" s="348"/>
      <c r="I459" s="348"/>
      <c r="J459" s="348"/>
      <c r="K459" s="348"/>
      <c r="L459" s="348"/>
      <c r="M459" s="348"/>
      <c r="N459" s="348"/>
      <c r="O459" s="348">
        <v>2069225.661800001</v>
      </c>
      <c r="P459" s="348"/>
      <c r="Q459" s="353"/>
    </row>
    <row r="460" spans="1:17" x14ac:dyDescent="0.25">
      <c r="A460" s="360" t="s">
        <v>2371</v>
      </c>
      <c r="B460" s="348"/>
      <c r="C460" s="348"/>
      <c r="D460" s="348"/>
      <c r="E460" s="348"/>
      <c r="F460" s="348"/>
      <c r="G460" s="348"/>
      <c r="H460" s="348"/>
      <c r="I460" s="348"/>
      <c r="J460" s="348"/>
      <c r="K460" s="348"/>
      <c r="L460" s="348"/>
      <c r="M460" s="348"/>
      <c r="N460" s="348"/>
      <c r="O460" s="348">
        <v>8796154.1423000097</v>
      </c>
      <c r="P460" s="348"/>
      <c r="Q460" s="353"/>
    </row>
    <row r="461" spans="1:17" x14ac:dyDescent="0.25">
      <c r="A461" s="360" t="s">
        <v>3031</v>
      </c>
      <c r="B461" s="348"/>
      <c r="C461" s="348"/>
      <c r="D461" s="348"/>
      <c r="E461" s="348"/>
      <c r="F461" s="348"/>
      <c r="G461" s="348"/>
      <c r="H461" s="348"/>
      <c r="I461" s="348"/>
      <c r="J461" s="348"/>
      <c r="K461" s="348"/>
      <c r="L461" s="348"/>
      <c r="M461" s="348"/>
      <c r="N461" s="348"/>
      <c r="O461" s="348">
        <v>4219427.885499998</v>
      </c>
      <c r="P461" s="348"/>
      <c r="Q461" s="353"/>
    </row>
    <row r="462" spans="1:17" x14ac:dyDescent="0.25">
      <c r="A462" s="360" t="s">
        <v>4267</v>
      </c>
      <c r="B462" s="348"/>
      <c r="C462" s="348"/>
      <c r="D462" s="348"/>
      <c r="E462" s="348"/>
      <c r="F462" s="348"/>
      <c r="G462" s="348"/>
      <c r="H462" s="348"/>
      <c r="I462" s="348"/>
      <c r="J462" s="348"/>
      <c r="K462" s="348"/>
      <c r="L462" s="348"/>
      <c r="M462" s="348"/>
      <c r="N462" s="348"/>
      <c r="O462" s="348">
        <v>2446254.4133999972</v>
      </c>
      <c r="P462" s="348"/>
      <c r="Q462" s="353"/>
    </row>
    <row r="463" spans="1:17" x14ac:dyDescent="0.25">
      <c r="A463" s="360" t="s">
        <v>4435</v>
      </c>
      <c r="B463" s="348"/>
      <c r="C463" s="348"/>
      <c r="D463" s="348"/>
      <c r="E463" s="348"/>
      <c r="F463" s="348"/>
      <c r="G463" s="348"/>
      <c r="H463" s="348"/>
      <c r="I463" s="348"/>
      <c r="J463" s="348"/>
      <c r="K463" s="348"/>
      <c r="L463" s="348"/>
      <c r="M463" s="348"/>
      <c r="N463" s="348"/>
      <c r="O463" s="348">
        <v>1191396.4916000005</v>
      </c>
      <c r="P463" s="348"/>
      <c r="Q463" s="353"/>
    </row>
    <row r="464" spans="1:17" x14ac:dyDescent="0.25">
      <c r="A464" s="360" t="s">
        <v>711</v>
      </c>
      <c r="B464" s="348"/>
      <c r="C464" s="348"/>
      <c r="D464" s="348"/>
      <c r="E464" s="348"/>
      <c r="F464" s="348"/>
      <c r="G464" s="348"/>
      <c r="H464" s="348"/>
      <c r="I464" s="348"/>
      <c r="J464" s="348"/>
      <c r="K464" s="348"/>
      <c r="L464" s="348"/>
      <c r="M464" s="348"/>
      <c r="N464" s="348"/>
      <c r="O464" s="348">
        <v>4463759.5677000051</v>
      </c>
      <c r="P464" s="348"/>
      <c r="Q464" s="353"/>
    </row>
    <row r="465" spans="1:17" x14ac:dyDescent="0.25">
      <c r="A465" s="360" t="s">
        <v>242</v>
      </c>
      <c r="B465" s="348"/>
      <c r="C465" s="348"/>
      <c r="D465" s="348"/>
      <c r="E465" s="348"/>
      <c r="F465" s="348"/>
      <c r="G465" s="348"/>
      <c r="H465" s="348"/>
      <c r="I465" s="348"/>
      <c r="J465" s="348"/>
      <c r="K465" s="348"/>
      <c r="L465" s="348"/>
      <c r="M465" s="348"/>
      <c r="N465" s="348"/>
      <c r="O465" s="348">
        <v>8556015.823200006</v>
      </c>
      <c r="P465" s="348"/>
      <c r="Q465" s="353"/>
    </row>
    <row r="466" spans="1:17" x14ac:dyDescent="0.25">
      <c r="A466" s="360" t="s">
        <v>4264</v>
      </c>
      <c r="B466" s="348"/>
      <c r="C466" s="348"/>
      <c r="D466" s="348"/>
      <c r="E466" s="348"/>
      <c r="F466" s="348"/>
      <c r="G466" s="348"/>
      <c r="H466" s="348"/>
      <c r="I466" s="348"/>
      <c r="J466" s="348"/>
      <c r="K466" s="348"/>
      <c r="L466" s="348"/>
      <c r="M466" s="348"/>
      <c r="N466" s="348"/>
      <c r="O466" s="348">
        <v>1327225.0807999996</v>
      </c>
      <c r="P466" s="348"/>
      <c r="Q466" s="353"/>
    </row>
    <row r="467" spans="1:17" x14ac:dyDescent="0.25">
      <c r="A467" s="360" t="s">
        <v>92</v>
      </c>
      <c r="B467" s="348"/>
      <c r="C467" s="348"/>
      <c r="D467" s="348"/>
      <c r="E467" s="348"/>
      <c r="F467" s="348"/>
      <c r="G467" s="348"/>
      <c r="H467" s="348"/>
      <c r="I467" s="348"/>
      <c r="J467" s="348"/>
      <c r="K467" s="348"/>
      <c r="L467" s="348"/>
      <c r="M467" s="348"/>
      <c r="N467" s="348"/>
      <c r="O467" s="348">
        <v>5454816.104500005</v>
      </c>
      <c r="P467" s="348"/>
      <c r="Q467" s="353"/>
    </row>
    <row r="468" spans="1:17" x14ac:dyDescent="0.25">
      <c r="A468" s="360" t="s">
        <v>861</v>
      </c>
      <c r="B468" s="348"/>
      <c r="C468" s="348"/>
      <c r="D468" s="348"/>
      <c r="E468" s="348"/>
      <c r="F468" s="348"/>
      <c r="G468" s="348"/>
      <c r="H468" s="348"/>
      <c r="I468" s="348"/>
      <c r="J468" s="348"/>
      <c r="K468" s="348"/>
      <c r="L468" s="348"/>
      <c r="M468" s="348"/>
      <c r="N468" s="348"/>
      <c r="O468" s="348">
        <v>6515105.0672000078</v>
      </c>
      <c r="P468" s="348"/>
      <c r="Q468" s="353"/>
    </row>
    <row r="469" spans="1:17" x14ac:dyDescent="0.25">
      <c r="A469" s="360" t="s">
        <v>848</v>
      </c>
      <c r="B469" s="348"/>
      <c r="C469" s="348"/>
      <c r="D469" s="348"/>
      <c r="E469" s="348"/>
      <c r="F469" s="348"/>
      <c r="G469" s="348"/>
      <c r="H469" s="348"/>
      <c r="I469" s="348"/>
      <c r="J469" s="348"/>
      <c r="K469" s="348"/>
      <c r="L469" s="348"/>
      <c r="M469" s="348"/>
      <c r="N469" s="348"/>
      <c r="O469" s="348">
        <v>9123397.5609000176</v>
      </c>
      <c r="P469" s="348"/>
      <c r="Q469" s="353"/>
    </row>
    <row r="470" spans="1:17" x14ac:dyDescent="0.25">
      <c r="A470" s="360" t="s">
        <v>135</v>
      </c>
      <c r="B470" s="348"/>
      <c r="C470" s="348"/>
      <c r="D470" s="348"/>
      <c r="E470" s="348"/>
      <c r="F470" s="348"/>
      <c r="G470" s="348"/>
      <c r="H470" s="348"/>
      <c r="I470" s="348"/>
      <c r="J470" s="348"/>
      <c r="K470" s="348"/>
      <c r="L470" s="348"/>
      <c r="M470" s="348"/>
      <c r="N470" s="348"/>
      <c r="O470" s="348">
        <v>10719043.82299999</v>
      </c>
      <c r="P470" s="348"/>
      <c r="Q470" s="353"/>
    </row>
    <row r="471" spans="1:17" x14ac:dyDescent="0.25">
      <c r="A471" s="360" t="s">
        <v>2023</v>
      </c>
      <c r="B471" s="348"/>
      <c r="C471" s="348"/>
      <c r="D471" s="348"/>
      <c r="E471" s="348"/>
      <c r="F471" s="348"/>
      <c r="G471" s="348"/>
      <c r="H471" s="348"/>
      <c r="I471" s="348"/>
      <c r="J471" s="348"/>
      <c r="K471" s="348"/>
      <c r="L471" s="348"/>
      <c r="M471" s="348"/>
      <c r="N471" s="348"/>
      <c r="O471" s="348">
        <v>5710601.8823999967</v>
      </c>
      <c r="P471" s="348"/>
      <c r="Q471" s="353"/>
    </row>
    <row r="472" spans="1:17" x14ac:dyDescent="0.25">
      <c r="A472" s="360" t="s">
        <v>1384</v>
      </c>
      <c r="B472" s="348"/>
      <c r="C472" s="348"/>
      <c r="D472" s="348"/>
      <c r="E472" s="348"/>
      <c r="F472" s="348"/>
      <c r="G472" s="348"/>
      <c r="H472" s="348"/>
      <c r="I472" s="348"/>
      <c r="J472" s="348"/>
      <c r="K472" s="348"/>
      <c r="L472" s="348"/>
      <c r="M472" s="348"/>
      <c r="N472" s="348"/>
      <c r="O472" s="348">
        <v>3669280.9804000002</v>
      </c>
      <c r="P472" s="348"/>
      <c r="Q472" s="353"/>
    </row>
    <row r="473" spans="1:17" x14ac:dyDescent="0.25">
      <c r="A473" s="360" t="s">
        <v>704</v>
      </c>
      <c r="B473" s="348"/>
      <c r="C473" s="348"/>
      <c r="D473" s="348"/>
      <c r="E473" s="348"/>
      <c r="F473" s="348"/>
      <c r="G473" s="348"/>
      <c r="H473" s="348"/>
      <c r="I473" s="348"/>
      <c r="J473" s="348"/>
      <c r="K473" s="348"/>
      <c r="L473" s="348"/>
      <c r="M473" s="348"/>
      <c r="N473" s="348"/>
      <c r="O473" s="348">
        <v>6068830.0328999963</v>
      </c>
      <c r="P473" s="348"/>
      <c r="Q473" s="353"/>
    </row>
    <row r="474" spans="1:17" x14ac:dyDescent="0.25">
      <c r="A474" s="360" t="s">
        <v>4218</v>
      </c>
      <c r="B474" s="348"/>
      <c r="C474" s="348"/>
      <c r="D474" s="348"/>
      <c r="E474" s="348"/>
      <c r="F474" s="348"/>
      <c r="G474" s="348"/>
      <c r="H474" s="348"/>
      <c r="I474" s="348"/>
      <c r="J474" s="348"/>
      <c r="K474" s="348"/>
      <c r="L474" s="348"/>
      <c r="M474" s="348"/>
      <c r="N474" s="348"/>
      <c r="O474" s="348">
        <v>1257282.1205000004</v>
      </c>
      <c r="P474" s="348"/>
      <c r="Q474" s="353"/>
    </row>
    <row r="475" spans="1:17" x14ac:dyDescent="0.25">
      <c r="A475" s="360" t="s">
        <v>138</v>
      </c>
      <c r="B475" s="348"/>
      <c r="C475" s="348"/>
      <c r="D475" s="348"/>
      <c r="E475" s="348"/>
      <c r="F475" s="348"/>
      <c r="G475" s="348"/>
      <c r="H475" s="348"/>
      <c r="I475" s="348"/>
      <c r="J475" s="348"/>
      <c r="K475" s="348"/>
      <c r="L475" s="348"/>
      <c r="M475" s="348"/>
      <c r="N475" s="348"/>
      <c r="O475" s="348">
        <v>8233131.2518999977</v>
      </c>
      <c r="P475" s="348"/>
      <c r="Q475" s="353"/>
    </row>
    <row r="476" spans="1:17" x14ac:dyDescent="0.25">
      <c r="A476" s="360" t="s">
        <v>4269</v>
      </c>
      <c r="B476" s="348"/>
      <c r="C476" s="348"/>
      <c r="D476" s="348"/>
      <c r="E476" s="348"/>
      <c r="F476" s="348"/>
      <c r="G476" s="348"/>
      <c r="H476" s="348"/>
      <c r="I476" s="348"/>
      <c r="J476" s="348"/>
      <c r="K476" s="348"/>
      <c r="L476" s="348"/>
      <c r="M476" s="348"/>
      <c r="N476" s="348"/>
      <c r="O476" s="348">
        <v>941605.73769999982</v>
      </c>
      <c r="P476" s="348"/>
      <c r="Q476" s="353"/>
    </row>
    <row r="477" spans="1:17" x14ac:dyDescent="0.25">
      <c r="A477" s="360" t="s">
        <v>4436</v>
      </c>
      <c r="B477" s="348"/>
      <c r="C477" s="348"/>
      <c r="D477" s="348"/>
      <c r="E477" s="348"/>
      <c r="F477" s="348"/>
      <c r="G477" s="348"/>
      <c r="H477" s="348"/>
      <c r="I477" s="348"/>
      <c r="J477" s="348"/>
      <c r="K477" s="348"/>
      <c r="L477" s="348"/>
      <c r="M477" s="348"/>
      <c r="N477" s="348"/>
      <c r="O477" s="348">
        <v>220366.60399999999</v>
      </c>
      <c r="P477" s="348"/>
      <c r="Q477" s="353"/>
    </row>
    <row r="478" spans="1:17" x14ac:dyDescent="0.25">
      <c r="A478" s="360" t="s">
        <v>4271</v>
      </c>
      <c r="B478" s="348"/>
      <c r="C478" s="348"/>
      <c r="D478" s="348"/>
      <c r="E478" s="348"/>
      <c r="F478" s="348"/>
      <c r="G478" s="348"/>
      <c r="H478" s="348"/>
      <c r="I478" s="348"/>
      <c r="J478" s="348"/>
      <c r="K478" s="348"/>
      <c r="L478" s="348"/>
      <c r="M478" s="348"/>
      <c r="N478" s="348"/>
      <c r="O478" s="348">
        <v>2911681.8689000015</v>
      </c>
      <c r="P478" s="348"/>
      <c r="Q478" s="353"/>
    </row>
    <row r="479" spans="1:17" x14ac:dyDescent="0.25">
      <c r="A479" s="360" t="s">
        <v>4437</v>
      </c>
      <c r="B479" s="348"/>
      <c r="C479" s="348"/>
      <c r="D479" s="348"/>
      <c r="E479" s="348"/>
      <c r="F479" s="348"/>
      <c r="G479" s="348"/>
      <c r="H479" s="348"/>
      <c r="I479" s="348"/>
      <c r="J479" s="348"/>
      <c r="K479" s="348"/>
      <c r="L479" s="348"/>
      <c r="M479" s="348"/>
      <c r="N479" s="348"/>
      <c r="O479" s="348">
        <v>69257.053599999985</v>
      </c>
      <c r="P479" s="348"/>
      <c r="Q479" s="353"/>
    </row>
    <row r="480" spans="1:17" x14ac:dyDescent="0.25">
      <c r="A480" s="360" t="s">
        <v>4438</v>
      </c>
      <c r="B480" s="348"/>
      <c r="C480" s="348"/>
      <c r="D480" s="348"/>
      <c r="E480" s="348"/>
      <c r="F480" s="348"/>
      <c r="G480" s="348"/>
      <c r="H480" s="348"/>
      <c r="I480" s="348"/>
      <c r="J480" s="348"/>
      <c r="K480" s="348"/>
      <c r="L480" s="348"/>
      <c r="M480" s="348"/>
      <c r="N480" s="348"/>
      <c r="O480" s="348">
        <v>173926.0858</v>
      </c>
      <c r="P480" s="348"/>
      <c r="Q480" s="353"/>
    </row>
    <row r="481" spans="1:17" x14ac:dyDescent="0.25">
      <c r="A481" s="360" t="s">
        <v>4439</v>
      </c>
      <c r="B481" s="348"/>
      <c r="C481" s="348"/>
      <c r="D481" s="348"/>
      <c r="E481" s="348"/>
      <c r="F481" s="348"/>
      <c r="G481" s="348"/>
      <c r="H481" s="348"/>
      <c r="I481" s="348"/>
      <c r="J481" s="348"/>
      <c r="K481" s="348"/>
      <c r="L481" s="348"/>
      <c r="M481" s="348"/>
      <c r="N481" s="348"/>
      <c r="O481" s="348">
        <v>12991.8886</v>
      </c>
      <c r="P481" s="348"/>
      <c r="Q481" s="353"/>
    </row>
    <row r="482" spans="1:17" x14ac:dyDescent="0.25">
      <c r="A482" s="360" t="s">
        <v>4440</v>
      </c>
      <c r="B482" s="348"/>
      <c r="C482" s="348"/>
      <c r="D482" s="348"/>
      <c r="E482" s="348"/>
      <c r="F482" s="348"/>
      <c r="G482" s="348"/>
      <c r="H482" s="348"/>
      <c r="I482" s="348"/>
      <c r="J482" s="348"/>
      <c r="K482" s="348"/>
      <c r="L482" s="348"/>
      <c r="M482" s="348"/>
      <c r="N482" s="348"/>
      <c r="O482" s="348">
        <v>127125.31710000004</v>
      </c>
      <c r="P482" s="348"/>
      <c r="Q482" s="353"/>
    </row>
    <row r="483" spans="1:17" x14ac:dyDescent="0.25">
      <c r="A483" s="360" t="s">
        <v>4441</v>
      </c>
      <c r="B483" s="348"/>
      <c r="C483" s="348"/>
      <c r="D483" s="348"/>
      <c r="E483" s="348"/>
      <c r="F483" s="348"/>
      <c r="G483" s="348"/>
      <c r="H483" s="348"/>
      <c r="I483" s="348"/>
      <c r="J483" s="348"/>
      <c r="K483" s="348"/>
      <c r="L483" s="348"/>
      <c r="M483" s="348"/>
      <c r="N483" s="348"/>
      <c r="O483" s="348">
        <v>101673.06459999997</v>
      </c>
      <c r="P483" s="348"/>
      <c r="Q483" s="353"/>
    </row>
    <row r="484" spans="1:17" x14ac:dyDescent="0.25">
      <c r="A484" s="360" t="s">
        <v>4442</v>
      </c>
      <c r="B484" s="348"/>
      <c r="C484" s="348"/>
      <c r="D484" s="348"/>
      <c r="E484" s="348"/>
      <c r="F484" s="348"/>
      <c r="G484" s="348"/>
      <c r="H484" s="348"/>
      <c r="I484" s="348"/>
      <c r="J484" s="348"/>
      <c r="K484" s="348"/>
      <c r="L484" s="348"/>
      <c r="M484" s="348"/>
      <c r="N484" s="348"/>
      <c r="O484" s="348">
        <v>129495.56790000001</v>
      </c>
      <c r="P484" s="348"/>
      <c r="Q484" s="353"/>
    </row>
    <row r="485" spans="1:17" x14ac:dyDescent="0.25">
      <c r="A485" s="360" t="s">
        <v>4443</v>
      </c>
      <c r="B485" s="348"/>
      <c r="C485" s="348"/>
      <c r="D485" s="348"/>
      <c r="E485" s="348"/>
      <c r="F485" s="348"/>
      <c r="G485" s="348"/>
      <c r="H485" s="348"/>
      <c r="I485" s="348"/>
      <c r="J485" s="348"/>
      <c r="K485" s="348"/>
      <c r="L485" s="348"/>
      <c r="M485" s="348"/>
      <c r="N485" s="348"/>
      <c r="O485" s="348">
        <v>57912.525799999996</v>
      </c>
      <c r="P485" s="348"/>
      <c r="Q485" s="353"/>
    </row>
    <row r="486" spans="1:17" x14ac:dyDescent="0.25">
      <c r="A486" s="360" t="s">
        <v>603</v>
      </c>
      <c r="B486" s="348"/>
      <c r="C486" s="348"/>
      <c r="D486" s="348"/>
      <c r="E486" s="348"/>
      <c r="F486" s="348"/>
      <c r="G486" s="348"/>
      <c r="H486" s="348"/>
      <c r="I486" s="348"/>
      <c r="J486" s="348"/>
      <c r="K486" s="348"/>
      <c r="L486" s="348"/>
      <c r="M486" s="348"/>
      <c r="N486" s="348"/>
      <c r="O486" s="348">
        <v>298739.27709999995</v>
      </c>
      <c r="P486" s="348"/>
      <c r="Q486" s="353"/>
    </row>
    <row r="487" spans="1:17" x14ac:dyDescent="0.25">
      <c r="A487" s="360" t="s">
        <v>4444</v>
      </c>
      <c r="B487" s="348"/>
      <c r="C487" s="348"/>
      <c r="D487" s="348"/>
      <c r="E487" s="348"/>
      <c r="F487" s="348"/>
      <c r="G487" s="348"/>
      <c r="H487" s="348"/>
      <c r="I487" s="348"/>
      <c r="J487" s="348"/>
      <c r="K487" s="348"/>
      <c r="L487" s="348"/>
      <c r="M487" s="348"/>
      <c r="N487" s="348"/>
      <c r="O487" s="348">
        <v>242191.44580000007</v>
      </c>
      <c r="P487" s="348"/>
      <c r="Q487" s="353"/>
    </row>
    <row r="488" spans="1:17" x14ac:dyDescent="0.25">
      <c r="A488" s="360" t="s">
        <v>4445</v>
      </c>
      <c r="B488" s="348"/>
      <c r="C488" s="348"/>
      <c r="D488" s="348"/>
      <c r="E488" s="348"/>
      <c r="F488" s="348"/>
      <c r="G488" s="348"/>
      <c r="H488" s="348"/>
      <c r="I488" s="348"/>
      <c r="J488" s="348"/>
      <c r="K488" s="348"/>
      <c r="L488" s="348"/>
      <c r="M488" s="348"/>
      <c r="N488" s="348"/>
      <c r="O488" s="348">
        <v>110560.1541</v>
      </c>
      <c r="P488" s="348"/>
      <c r="Q488" s="353"/>
    </row>
    <row r="489" spans="1:17" x14ac:dyDescent="0.25">
      <c r="A489" s="360" t="s">
        <v>4219</v>
      </c>
      <c r="B489" s="348"/>
      <c r="C489" s="348"/>
      <c r="D489" s="348"/>
      <c r="E489" s="348"/>
      <c r="F489" s="348"/>
      <c r="G489" s="348"/>
      <c r="H489" s="348"/>
      <c r="I489" s="348"/>
      <c r="J489" s="348"/>
      <c r="K489" s="348"/>
      <c r="L489" s="348"/>
      <c r="M489" s="348"/>
      <c r="N489" s="348"/>
      <c r="O489" s="348">
        <v>1848652.2477000002</v>
      </c>
      <c r="P489" s="348"/>
      <c r="Q489" s="353"/>
    </row>
    <row r="490" spans="1:17" x14ac:dyDescent="0.25">
      <c r="A490" s="360" t="s">
        <v>4446</v>
      </c>
      <c r="B490" s="348"/>
      <c r="C490" s="348"/>
      <c r="D490" s="348"/>
      <c r="E490" s="348"/>
      <c r="F490" s="348"/>
      <c r="G490" s="348"/>
      <c r="H490" s="348"/>
      <c r="I490" s="348"/>
      <c r="J490" s="348"/>
      <c r="K490" s="348"/>
      <c r="L490" s="348"/>
      <c r="M490" s="348"/>
      <c r="N490" s="348"/>
      <c r="O490" s="348">
        <v>1200</v>
      </c>
      <c r="P490" s="348"/>
      <c r="Q490" s="353"/>
    </row>
    <row r="491" spans="1:17" x14ac:dyDescent="0.25">
      <c r="A491" s="360" t="s">
        <v>4447</v>
      </c>
      <c r="B491" s="348"/>
      <c r="C491" s="348"/>
      <c r="D491" s="348"/>
      <c r="E491" s="348"/>
      <c r="F491" s="348"/>
      <c r="G491" s="348"/>
      <c r="H491" s="348"/>
      <c r="I491" s="348"/>
      <c r="J491" s="348"/>
      <c r="K491" s="348"/>
      <c r="L491" s="348"/>
      <c r="M491" s="348"/>
      <c r="N491" s="348"/>
      <c r="O491" s="348">
        <v>203859.17989999999</v>
      </c>
      <c r="P491" s="348"/>
      <c r="Q491" s="353"/>
    </row>
    <row r="492" spans="1:17" x14ac:dyDescent="0.25">
      <c r="A492" s="360" t="s">
        <v>4448</v>
      </c>
      <c r="B492" s="348"/>
      <c r="C492" s="348"/>
      <c r="D492" s="348"/>
      <c r="E492" s="348"/>
      <c r="F492" s="348"/>
      <c r="G492" s="348"/>
      <c r="H492" s="348"/>
      <c r="I492" s="348"/>
      <c r="J492" s="348"/>
      <c r="K492" s="348"/>
      <c r="L492" s="348"/>
      <c r="M492" s="348"/>
      <c r="N492" s="348"/>
      <c r="O492" s="348">
        <v>216918.50440000001</v>
      </c>
      <c r="P492" s="348"/>
      <c r="Q492" s="353"/>
    </row>
    <row r="493" spans="1:17" x14ac:dyDescent="0.25">
      <c r="A493" s="360" t="s">
        <v>4449</v>
      </c>
      <c r="B493" s="348"/>
      <c r="C493" s="348"/>
      <c r="D493" s="348"/>
      <c r="E493" s="348"/>
      <c r="F493" s="348"/>
      <c r="G493" s="348"/>
      <c r="H493" s="348"/>
      <c r="I493" s="348"/>
      <c r="J493" s="348"/>
      <c r="K493" s="348"/>
      <c r="L493" s="348"/>
      <c r="M493" s="348"/>
      <c r="N493" s="348"/>
      <c r="O493" s="348">
        <v>3815.6632</v>
      </c>
      <c r="P493" s="348"/>
      <c r="Q493" s="353"/>
    </row>
    <row r="494" spans="1:17" x14ac:dyDescent="0.25">
      <c r="A494" s="360" t="s">
        <v>4272</v>
      </c>
      <c r="B494" s="348"/>
      <c r="C494" s="348"/>
      <c r="D494" s="348"/>
      <c r="E494" s="348"/>
      <c r="F494" s="348"/>
      <c r="G494" s="348"/>
      <c r="H494" s="348"/>
      <c r="I494" s="348"/>
      <c r="J494" s="348"/>
      <c r="K494" s="348"/>
      <c r="L494" s="348"/>
      <c r="M494" s="348"/>
      <c r="N494" s="348"/>
      <c r="O494" s="348">
        <v>33043.916700000002</v>
      </c>
      <c r="P494" s="348"/>
      <c r="Q494" s="353"/>
    </row>
    <row r="495" spans="1:17" x14ac:dyDescent="0.25">
      <c r="A495" s="360" t="s">
        <v>4217</v>
      </c>
      <c r="B495" s="348"/>
      <c r="C495" s="348"/>
      <c r="D495" s="348"/>
      <c r="E495" s="348"/>
      <c r="F495" s="348"/>
      <c r="G495" s="348"/>
      <c r="H495" s="348"/>
      <c r="I495" s="348"/>
      <c r="J495" s="348"/>
      <c r="K495" s="348"/>
      <c r="L495" s="348"/>
      <c r="M495" s="348"/>
      <c r="N495" s="348"/>
      <c r="O495" s="348">
        <v>1346373.208399999</v>
      </c>
      <c r="P495" s="348"/>
      <c r="Q495" s="353"/>
    </row>
    <row r="496" spans="1:17" x14ac:dyDescent="0.25">
      <c r="A496" s="360" t="s">
        <v>4450</v>
      </c>
      <c r="B496" s="348"/>
      <c r="C496" s="348"/>
      <c r="D496" s="348"/>
      <c r="E496" s="348"/>
      <c r="F496" s="348"/>
      <c r="G496" s="348"/>
      <c r="H496" s="348"/>
      <c r="I496" s="348"/>
      <c r="J496" s="348"/>
      <c r="K496" s="348"/>
      <c r="L496" s="348"/>
      <c r="M496" s="348"/>
      <c r="N496" s="348"/>
      <c r="O496" s="348">
        <v>5726.2819</v>
      </c>
      <c r="P496" s="348"/>
      <c r="Q496" s="353"/>
    </row>
    <row r="497" spans="1:17" x14ac:dyDescent="0.25">
      <c r="A497" s="360" t="s">
        <v>4451</v>
      </c>
      <c r="B497" s="348"/>
      <c r="C497" s="348"/>
      <c r="D497" s="348"/>
      <c r="E497" s="348"/>
      <c r="F497" s="348"/>
      <c r="G497" s="348"/>
      <c r="H497" s="348"/>
      <c r="I497" s="348"/>
      <c r="J497" s="348"/>
      <c r="K497" s="348"/>
      <c r="L497" s="348"/>
      <c r="M497" s="348"/>
      <c r="N497" s="348"/>
      <c r="O497" s="348">
        <v>0</v>
      </c>
      <c r="P497" s="348"/>
      <c r="Q497" s="353"/>
    </row>
    <row r="498" spans="1:17" x14ac:dyDescent="0.25">
      <c r="A498" s="360" t="s">
        <v>4452</v>
      </c>
      <c r="B498" s="348"/>
      <c r="C498" s="348"/>
      <c r="D498" s="348"/>
      <c r="E498" s="348"/>
      <c r="F498" s="348"/>
      <c r="G498" s="348"/>
      <c r="H498" s="348"/>
      <c r="I498" s="348"/>
      <c r="J498" s="348"/>
      <c r="K498" s="348"/>
      <c r="L498" s="348"/>
      <c r="M498" s="348"/>
      <c r="N498" s="348"/>
      <c r="O498" s="348">
        <v>41870.060899999997</v>
      </c>
      <c r="P498" s="348"/>
      <c r="Q498" s="353"/>
    </row>
    <row r="499" spans="1:17" x14ac:dyDescent="0.25">
      <c r="A499" s="360" t="s">
        <v>4453</v>
      </c>
      <c r="B499" s="348"/>
      <c r="C499" s="348"/>
      <c r="D499" s="348"/>
      <c r="E499" s="348"/>
      <c r="F499" s="348"/>
      <c r="G499" s="348"/>
      <c r="H499" s="348"/>
      <c r="I499" s="348"/>
      <c r="J499" s="348"/>
      <c r="K499" s="348"/>
      <c r="L499" s="348"/>
      <c r="M499" s="348"/>
      <c r="N499" s="348"/>
      <c r="O499" s="348">
        <v>0</v>
      </c>
      <c r="P499" s="348"/>
      <c r="Q499" s="353"/>
    </row>
    <row r="500" spans="1:17" x14ac:dyDescent="0.25">
      <c r="A500" s="360" t="s">
        <v>4270</v>
      </c>
      <c r="B500" s="348"/>
      <c r="C500" s="348"/>
      <c r="D500" s="348"/>
      <c r="E500" s="348"/>
      <c r="F500" s="348"/>
      <c r="G500" s="348"/>
      <c r="H500" s="348"/>
      <c r="I500" s="348"/>
      <c r="J500" s="348"/>
      <c r="K500" s="348"/>
      <c r="L500" s="348"/>
      <c r="M500" s="348"/>
      <c r="N500" s="348"/>
      <c r="O500" s="348">
        <v>404103.90399999992</v>
      </c>
      <c r="P500" s="348"/>
      <c r="Q500" s="353"/>
    </row>
    <row r="501" spans="1:17" x14ac:dyDescent="0.25">
      <c r="A501" s="360" t="s">
        <v>4454</v>
      </c>
      <c r="B501" s="348"/>
      <c r="C501" s="348"/>
      <c r="D501" s="348"/>
      <c r="E501" s="348"/>
      <c r="F501" s="348"/>
      <c r="G501" s="348"/>
      <c r="H501" s="348"/>
      <c r="I501" s="348"/>
      <c r="J501" s="348"/>
      <c r="K501" s="348"/>
      <c r="L501" s="348"/>
      <c r="M501" s="348"/>
      <c r="N501" s="348"/>
      <c r="O501" s="348">
        <v>0</v>
      </c>
      <c r="P501" s="348"/>
      <c r="Q501" s="353"/>
    </row>
    <row r="502" spans="1:17" x14ac:dyDescent="0.25">
      <c r="A502" s="360" t="s">
        <v>4455</v>
      </c>
      <c r="B502" s="348"/>
      <c r="C502" s="348"/>
      <c r="D502" s="348"/>
      <c r="E502" s="348"/>
      <c r="F502" s="348"/>
      <c r="G502" s="348"/>
      <c r="H502" s="348"/>
      <c r="I502" s="348"/>
      <c r="J502" s="348"/>
      <c r="K502" s="348"/>
      <c r="L502" s="348"/>
      <c r="M502" s="348"/>
      <c r="N502" s="348"/>
      <c r="O502" s="348">
        <v>896052.65760000015</v>
      </c>
      <c r="P502" s="348"/>
      <c r="Q502" s="353"/>
    </row>
    <row r="503" spans="1:17" x14ac:dyDescent="0.25">
      <c r="A503" s="360" t="s">
        <v>4456</v>
      </c>
      <c r="B503" s="348"/>
      <c r="C503" s="348"/>
      <c r="D503" s="348"/>
      <c r="E503" s="348"/>
      <c r="F503" s="348"/>
      <c r="G503" s="348"/>
      <c r="H503" s="348"/>
      <c r="I503" s="348"/>
      <c r="J503" s="348"/>
      <c r="K503" s="348"/>
      <c r="L503" s="348"/>
      <c r="M503" s="348"/>
      <c r="N503" s="348"/>
      <c r="O503" s="348">
        <v>44081.6535</v>
      </c>
      <c r="P503" s="348"/>
      <c r="Q503" s="353"/>
    </row>
    <row r="504" spans="1:17" x14ac:dyDescent="0.25">
      <c r="A504" s="360" t="s">
        <v>4457</v>
      </c>
      <c r="B504" s="348"/>
      <c r="C504" s="348"/>
      <c r="D504" s="348"/>
      <c r="E504" s="348"/>
      <c r="F504" s="348"/>
      <c r="G504" s="348"/>
      <c r="H504" s="348"/>
      <c r="I504" s="348"/>
      <c r="J504" s="348"/>
      <c r="K504" s="348"/>
      <c r="L504" s="348"/>
      <c r="M504" s="348"/>
      <c r="N504" s="348"/>
      <c r="O504" s="348">
        <v>1689.4835</v>
      </c>
      <c r="P504" s="348">
        <v>0</v>
      </c>
      <c r="Q504" s="353"/>
    </row>
    <row r="505" spans="1:17" x14ac:dyDescent="0.25">
      <c r="A505" s="360" t="s">
        <v>4458</v>
      </c>
      <c r="B505" s="348"/>
      <c r="C505" s="348"/>
      <c r="D505" s="348"/>
      <c r="E505" s="348"/>
      <c r="F505" s="348"/>
      <c r="G505" s="348"/>
      <c r="H505" s="348"/>
      <c r="I505" s="348"/>
      <c r="J505" s="348"/>
      <c r="K505" s="348"/>
      <c r="L505" s="348"/>
      <c r="M505" s="348"/>
      <c r="N505" s="348"/>
      <c r="O505" s="348">
        <v>82618.934399999998</v>
      </c>
      <c r="P505" s="348"/>
      <c r="Q505" s="353"/>
    </row>
    <row r="506" spans="1:17" x14ac:dyDescent="0.25">
      <c r="A506" s="360" t="s">
        <v>1310</v>
      </c>
      <c r="B506" s="348"/>
      <c r="C506" s="348"/>
      <c r="D506" s="348"/>
      <c r="E506" s="348"/>
      <c r="F506" s="348"/>
      <c r="G506" s="348"/>
      <c r="H506" s="348"/>
      <c r="I506" s="348"/>
      <c r="J506" s="348"/>
      <c r="K506" s="348"/>
      <c r="L506" s="348"/>
      <c r="M506" s="348"/>
      <c r="N506" s="348"/>
      <c r="O506" s="348">
        <v>3523.1672000000003</v>
      </c>
      <c r="P506" s="348"/>
      <c r="Q506" s="353"/>
    </row>
    <row r="507" spans="1:17" x14ac:dyDescent="0.25">
      <c r="A507" s="360" t="s">
        <v>4459</v>
      </c>
      <c r="B507" s="348"/>
      <c r="C507" s="348"/>
      <c r="D507" s="348"/>
      <c r="E507" s="348"/>
      <c r="F507" s="348"/>
      <c r="G507" s="348"/>
      <c r="H507" s="348"/>
      <c r="I507" s="348"/>
      <c r="J507" s="348"/>
      <c r="K507" s="348"/>
      <c r="L507" s="348"/>
      <c r="M507" s="348"/>
      <c r="N507" s="348"/>
      <c r="O507" s="348">
        <v>578478.6446</v>
      </c>
      <c r="P507" s="348"/>
      <c r="Q507" s="353"/>
    </row>
    <row r="508" spans="1:17" x14ac:dyDescent="0.25">
      <c r="A508" s="360" t="s">
        <v>705</v>
      </c>
      <c r="B508" s="348"/>
      <c r="C508" s="348"/>
      <c r="D508" s="348"/>
      <c r="E508" s="348"/>
      <c r="F508" s="348"/>
      <c r="G508" s="348"/>
      <c r="H508" s="348"/>
      <c r="I508" s="348"/>
      <c r="J508" s="348"/>
      <c r="K508" s="348"/>
      <c r="L508" s="348"/>
      <c r="M508" s="348"/>
      <c r="N508" s="348"/>
      <c r="O508" s="348">
        <v>7406994.0444000037</v>
      </c>
      <c r="P508" s="348"/>
      <c r="Q508" s="353"/>
    </row>
    <row r="509" spans="1:17" x14ac:dyDescent="0.25">
      <c r="A509" s="360" t="s">
        <v>709</v>
      </c>
      <c r="B509" s="348"/>
      <c r="C509" s="348"/>
      <c r="D509" s="348"/>
      <c r="E509" s="348"/>
      <c r="F509" s="348"/>
      <c r="G509" s="348"/>
      <c r="H509" s="348"/>
      <c r="I509" s="348"/>
      <c r="J509" s="348"/>
      <c r="K509" s="348"/>
      <c r="L509" s="348"/>
      <c r="M509" s="348"/>
      <c r="N509" s="348"/>
      <c r="O509" s="348">
        <v>2538346.9807999963</v>
      </c>
      <c r="P509" s="348"/>
      <c r="Q509" s="353"/>
    </row>
    <row r="510" spans="1:17" x14ac:dyDescent="0.25">
      <c r="A510" s="360" t="s">
        <v>710</v>
      </c>
      <c r="B510" s="348"/>
      <c r="C510" s="348"/>
      <c r="D510" s="348"/>
      <c r="E510" s="348"/>
      <c r="F510" s="348"/>
      <c r="G510" s="348"/>
      <c r="H510" s="348"/>
      <c r="I510" s="348"/>
      <c r="J510" s="348"/>
      <c r="K510" s="348"/>
      <c r="L510" s="348"/>
      <c r="M510" s="348"/>
      <c r="N510" s="348"/>
      <c r="O510" s="348">
        <v>10249843.422299981</v>
      </c>
      <c r="P510" s="348"/>
      <c r="Q510" s="353"/>
    </row>
    <row r="511" spans="1:17" x14ac:dyDescent="0.25">
      <c r="A511" s="360" t="s">
        <v>706</v>
      </c>
      <c r="B511" s="348"/>
      <c r="C511" s="348"/>
      <c r="D511" s="348"/>
      <c r="E511" s="348"/>
      <c r="F511" s="348"/>
      <c r="G511" s="348"/>
      <c r="H511" s="348"/>
      <c r="I511" s="348"/>
      <c r="J511" s="348"/>
      <c r="K511" s="348"/>
      <c r="L511" s="348"/>
      <c r="M511" s="348"/>
      <c r="N511" s="348"/>
      <c r="O511" s="348">
        <v>8605590.4394000061</v>
      </c>
      <c r="P511" s="348"/>
      <c r="Q511" s="353"/>
    </row>
    <row r="512" spans="1:17" x14ac:dyDescent="0.25">
      <c r="A512" s="360" t="s">
        <v>707</v>
      </c>
      <c r="B512" s="348"/>
      <c r="C512" s="348"/>
      <c r="D512" s="348"/>
      <c r="E512" s="348"/>
      <c r="F512" s="348"/>
      <c r="G512" s="348"/>
      <c r="H512" s="348"/>
      <c r="I512" s="348"/>
      <c r="J512" s="348"/>
      <c r="K512" s="348"/>
      <c r="L512" s="348"/>
      <c r="M512" s="348"/>
      <c r="N512" s="348"/>
      <c r="O512" s="348">
        <v>1174493.6157000007</v>
      </c>
      <c r="P512" s="348"/>
      <c r="Q512" s="353"/>
    </row>
    <row r="513" spans="1:17" x14ac:dyDescent="0.25">
      <c r="A513" s="360" t="s">
        <v>517</v>
      </c>
      <c r="B513" s="348"/>
      <c r="C513" s="348"/>
      <c r="D513" s="348"/>
      <c r="E513" s="348"/>
      <c r="F513" s="348"/>
      <c r="G513" s="348"/>
      <c r="H513" s="348"/>
      <c r="I513" s="348"/>
      <c r="J513" s="348"/>
      <c r="K513" s="348"/>
      <c r="L513" s="348"/>
      <c r="M513" s="348"/>
      <c r="N513" s="348"/>
      <c r="O513" s="348">
        <v>10641206.701600019</v>
      </c>
      <c r="P513" s="348">
        <v>5638.0998</v>
      </c>
      <c r="Q513" s="353"/>
    </row>
    <row r="514" spans="1:17" x14ac:dyDescent="0.25">
      <c r="A514" s="360" t="s">
        <v>4180</v>
      </c>
      <c r="B514" s="348"/>
      <c r="C514" s="348"/>
      <c r="D514" s="348"/>
      <c r="E514" s="348"/>
      <c r="F514" s="348"/>
      <c r="G514" s="348"/>
      <c r="H514" s="348"/>
      <c r="I514" s="348"/>
      <c r="J514" s="348"/>
      <c r="K514" s="348"/>
      <c r="L514" s="348"/>
      <c r="M514" s="348"/>
      <c r="N514" s="348"/>
      <c r="O514" s="348">
        <v>0</v>
      </c>
      <c r="P514" s="348"/>
      <c r="Q514" s="353"/>
    </row>
    <row r="515" spans="1:17" x14ac:dyDescent="0.25">
      <c r="A515" s="360" t="s">
        <v>1133</v>
      </c>
      <c r="B515" s="348"/>
      <c r="C515" s="348"/>
      <c r="D515" s="348"/>
      <c r="E515" s="348"/>
      <c r="F515" s="348"/>
      <c r="G515" s="348"/>
      <c r="H515" s="348"/>
      <c r="I515" s="348"/>
      <c r="J515" s="348"/>
      <c r="K515" s="348"/>
      <c r="L515" s="348"/>
      <c r="M515" s="348"/>
      <c r="N515" s="348"/>
      <c r="O515" s="348">
        <v>5650978.4140000017</v>
      </c>
      <c r="P515" s="348"/>
      <c r="Q515" s="353"/>
    </row>
    <row r="516" spans="1:17" x14ac:dyDescent="0.25">
      <c r="A516" s="360" t="s">
        <v>708</v>
      </c>
      <c r="B516" s="348"/>
      <c r="C516" s="348"/>
      <c r="D516" s="348"/>
      <c r="E516" s="348"/>
      <c r="F516" s="348"/>
      <c r="G516" s="348"/>
      <c r="H516" s="348"/>
      <c r="I516" s="348"/>
      <c r="J516" s="348"/>
      <c r="K516" s="348"/>
      <c r="L516" s="348"/>
      <c r="M516" s="348"/>
      <c r="N516" s="348"/>
      <c r="O516" s="348">
        <v>2252410.801599998</v>
      </c>
      <c r="P516" s="348"/>
      <c r="Q516" s="353"/>
    </row>
    <row r="517" spans="1:17" x14ac:dyDescent="0.25">
      <c r="A517" s="360" t="s">
        <v>3608</v>
      </c>
      <c r="B517" s="348"/>
      <c r="C517" s="348"/>
      <c r="D517" s="348"/>
      <c r="E517" s="348"/>
      <c r="F517" s="348"/>
      <c r="G517" s="348"/>
      <c r="H517" s="348"/>
      <c r="I517" s="348"/>
      <c r="J517" s="348"/>
      <c r="K517" s="348"/>
      <c r="L517" s="348"/>
      <c r="M517" s="348"/>
      <c r="N517" s="348"/>
      <c r="O517" s="348">
        <v>1202788.8905999996</v>
      </c>
      <c r="P517" s="348"/>
      <c r="Q517" s="353"/>
    </row>
    <row r="518" spans="1:17" x14ac:dyDescent="0.25">
      <c r="A518" s="360" t="s">
        <v>4460</v>
      </c>
      <c r="B518" s="348"/>
      <c r="C518" s="348"/>
      <c r="D518" s="348"/>
      <c r="E518" s="348"/>
      <c r="F518" s="348"/>
      <c r="G518" s="348"/>
      <c r="H518" s="348"/>
      <c r="I518" s="348"/>
      <c r="J518" s="348"/>
      <c r="K518" s="348"/>
      <c r="L518" s="348"/>
      <c r="M518" s="348"/>
      <c r="N518" s="348"/>
      <c r="O518" s="348">
        <v>28405.631800000003</v>
      </c>
      <c r="P518" s="348"/>
      <c r="Q518" s="353"/>
    </row>
    <row r="519" spans="1:17" x14ac:dyDescent="0.25">
      <c r="A519" s="360" t="s">
        <v>4461</v>
      </c>
      <c r="B519" s="348"/>
      <c r="C519" s="348"/>
      <c r="D519" s="348"/>
      <c r="E519" s="348"/>
      <c r="F519" s="348"/>
      <c r="G519" s="348"/>
      <c r="H519" s="348"/>
      <c r="I519" s="348"/>
      <c r="J519" s="348"/>
      <c r="K519" s="348"/>
      <c r="L519" s="348"/>
      <c r="M519" s="348"/>
      <c r="N519" s="348"/>
      <c r="O519" s="348">
        <v>401591.61350000015</v>
      </c>
      <c r="P519" s="348"/>
      <c r="Q519" s="353"/>
    </row>
    <row r="520" spans="1:17" x14ac:dyDescent="0.25">
      <c r="A520" s="360" t="s">
        <v>1134</v>
      </c>
      <c r="B520" s="348"/>
      <c r="C520" s="348"/>
      <c r="D520" s="348"/>
      <c r="E520" s="348"/>
      <c r="F520" s="348"/>
      <c r="G520" s="348"/>
      <c r="H520" s="348"/>
      <c r="I520" s="348"/>
      <c r="J520" s="348"/>
      <c r="K520" s="348"/>
      <c r="L520" s="348"/>
      <c r="M520" s="348"/>
      <c r="N520" s="348"/>
      <c r="O520" s="348">
        <v>2264231.5205999962</v>
      </c>
      <c r="P520" s="348"/>
      <c r="Q520" s="353"/>
    </row>
    <row r="521" spans="1:17" x14ac:dyDescent="0.25">
      <c r="A521" s="360" t="s">
        <v>3597</v>
      </c>
      <c r="B521" s="348"/>
      <c r="C521" s="348"/>
      <c r="D521" s="348"/>
      <c r="E521" s="348"/>
      <c r="F521" s="348"/>
      <c r="G521" s="348"/>
      <c r="H521" s="348"/>
      <c r="I521" s="348"/>
      <c r="J521" s="348"/>
      <c r="K521" s="348"/>
      <c r="L521" s="348"/>
      <c r="M521" s="348"/>
      <c r="N521" s="348"/>
      <c r="O521" s="348">
        <v>273678.82089999993</v>
      </c>
      <c r="P521" s="348"/>
      <c r="Q521" s="353"/>
    </row>
    <row r="522" spans="1:17" x14ac:dyDescent="0.25">
      <c r="A522" s="360" t="s">
        <v>4273</v>
      </c>
      <c r="B522" s="348"/>
      <c r="C522" s="348"/>
      <c r="D522" s="348"/>
      <c r="E522" s="348"/>
      <c r="F522" s="348"/>
      <c r="G522" s="348"/>
      <c r="H522" s="348"/>
      <c r="I522" s="348"/>
      <c r="J522" s="348"/>
      <c r="K522" s="348"/>
      <c r="L522" s="348"/>
      <c r="M522" s="348"/>
      <c r="N522" s="348"/>
      <c r="O522" s="348">
        <v>855862.74849999999</v>
      </c>
      <c r="P522" s="348"/>
      <c r="Q522" s="353"/>
    </row>
    <row r="523" spans="1:17" x14ac:dyDescent="0.25">
      <c r="A523" s="360" t="s">
        <v>4275</v>
      </c>
      <c r="B523" s="348"/>
      <c r="C523" s="348"/>
      <c r="D523" s="348"/>
      <c r="E523" s="348"/>
      <c r="F523" s="348"/>
      <c r="G523" s="348"/>
      <c r="H523" s="348"/>
      <c r="I523" s="348"/>
      <c r="J523" s="348"/>
      <c r="K523" s="348"/>
      <c r="L523" s="348"/>
      <c r="M523" s="348"/>
      <c r="N523" s="348"/>
      <c r="O523" s="348">
        <v>85327.401799999978</v>
      </c>
      <c r="P523" s="348"/>
      <c r="Q523" s="353"/>
    </row>
    <row r="524" spans="1:17" x14ac:dyDescent="0.25">
      <c r="A524" s="360" t="s">
        <v>3605</v>
      </c>
      <c r="B524" s="348"/>
      <c r="C524" s="348"/>
      <c r="D524" s="348"/>
      <c r="E524" s="348"/>
      <c r="F524" s="348"/>
      <c r="G524" s="348"/>
      <c r="H524" s="348"/>
      <c r="I524" s="348"/>
      <c r="J524" s="348"/>
      <c r="K524" s="348"/>
      <c r="L524" s="348"/>
      <c r="M524" s="348"/>
      <c r="N524" s="348"/>
      <c r="O524" s="348">
        <v>13909.663200000001</v>
      </c>
      <c r="P524" s="348"/>
      <c r="Q524" s="353"/>
    </row>
    <row r="525" spans="1:17" x14ac:dyDescent="0.25">
      <c r="A525" s="360" t="s">
        <v>4274</v>
      </c>
      <c r="B525" s="348"/>
      <c r="C525" s="348"/>
      <c r="D525" s="348"/>
      <c r="E525" s="348"/>
      <c r="F525" s="348"/>
      <c r="G525" s="348"/>
      <c r="H525" s="348"/>
      <c r="I525" s="348"/>
      <c r="J525" s="348"/>
      <c r="K525" s="348"/>
      <c r="L525" s="348"/>
      <c r="M525" s="348"/>
      <c r="N525" s="348"/>
      <c r="O525" s="348">
        <v>200111.08350000001</v>
      </c>
      <c r="P525" s="348"/>
      <c r="Q525" s="353"/>
    </row>
    <row r="526" spans="1:17" x14ac:dyDescent="0.25">
      <c r="A526" s="360" t="s">
        <v>1340</v>
      </c>
      <c r="B526" s="348"/>
      <c r="C526" s="348"/>
      <c r="D526" s="348"/>
      <c r="E526" s="348"/>
      <c r="F526" s="348"/>
      <c r="G526" s="348"/>
      <c r="H526" s="348"/>
      <c r="I526" s="348"/>
      <c r="J526" s="348"/>
      <c r="K526" s="348"/>
      <c r="L526" s="348"/>
      <c r="M526" s="348"/>
      <c r="N526" s="348"/>
      <c r="O526" s="348">
        <v>3.3069999999999999</v>
      </c>
      <c r="P526" s="348"/>
      <c r="Q526" s="353"/>
    </row>
    <row r="527" spans="1:17" x14ac:dyDescent="0.25">
      <c r="A527" s="360" t="s">
        <v>4462</v>
      </c>
      <c r="B527" s="348"/>
      <c r="C527" s="348"/>
      <c r="D527" s="348"/>
      <c r="E527" s="348"/>
      <c r="F527" s="348"/>
      <c r="G527" s="348"/>
      <c r="H527" s="348"/>
      <c r="I527" s="348"/>
      <c r="J527" s="348"/>
      <c r="K527" s="348"/>
      <c r="L527" s="348"/>
      <c r="M527" s="348"/>
      <c r="N527" s="348"/>
      <c r="O527" s="348">
        <v>0</v>
      </c>
      <c r="P527" s="348"/>
      <c r="Q527" s="353"/>
    </row>
    <row r="528" spans="1:17" x14ac:dyDescent="0.25">
      <c r="A528" s="360" t="s">
        <v>518</v>
      </c>
      <c r="B528" s="348"/>
      <c r="C528" s="348"/>
      <c r="D528" s="348"/>
      <c r="E528" s="348"/>
      <c r="F528" s="348"/>
      <c r="G528" s="348"/>
      <c r="H528" s="348"/>
      <c r="I528" s="348"/>
      <c r="J528" s="348"/>
      <c r="K528" s="348"/>
      <c r="L528" s="348"/>
      <c r="M528" s="348"/>
      <c r="N528" s="348"/>
      <c r="O528" s="348">
        <v>3790746.5206999998</v>
      </c>
      <c r="P528" s="348"/>
      <c r="Q528" s="353"/>
    </row>
    <row r="529" spans="1:17" x14ac:dyDescent="0.25">
      <c r="A529" s="360" t="s">
        <v>1135</v>
      </c>
      <c r="B529" s="348"/>
      <c r="C529" s="348"/>
      <c r="D529" s="348"/>
      <c r="E529" s="348"/>
      <c r="F529" s="348"/>
      <c r="G529" s="348"/>
      <c r="H529" s="348"/>
      <c r="I529" s="348"/>
      <c r="J529" s="348"/>
      <c r="K529" s="348"/>
      <c r="L529" s="348"/>
      <c r="M529" s="348"/>
      <c r="N529" s="348"/>
      <c r="O529" s="348">
        <v>21473207.28439999</v>
      </c>
      <c r="P529" s="348">
        <v>0</v>
      </c>
      <c r="Q529" s="353">
        <v>0</v>
      </c>
    </row>
    <row r="530" spans="1:17" x14ac:dyDescent="0.25">
      <c r="A530" s="360" t="s">
        <v>4276</v>
      </c>
      <c r="B530" s="348"/>
      <c r="C530" s="348"/>
      <c r="D530" s="348"/>
      <c r="E530" s="348"/>
      <c r="F530" s="348"/>
      <c r="G530" s="348"/>
      <c r="H530" s="348"/>
      <c r="I530" s="348"/>
      <c r="J530" s="348"/>
      <c r="K530" s="348"/>
      <c r="L530" s="348"/>
      <c r="M530" s="348"/>
      <c r="N530" s="348"/>
      <c r="O530" s="348">
        <v>1308390.1526000015</v>
      </c>
      <c r="P530" s="348"/>
      <c r="Q530" s="353"/>
    </row>
    <row r="531" spans="1:17" x14ac:dyDescent="0.25">
      <c r="A531" s="360" t="s">
        <v>4463</v>
      </c>
      <c r="B531" s="348"/>
      <c r="C531" s="348"/>
      <c r="D531" s="348"/>
      <c r="E531" s="348"/>
      <c r="F531" s="348"/>
      <c r="G531" s="348"/>
      <c r="H531" s="348"/>
      <c r="I531" s="348"/>
      <c r="J531" s="348"/>
      <c r="K531" s="348"/>
      <c r="L531" s="348"/>
      <c r="M531" s="348"/>
      <c r="N531" s="348"/>
      <c r="O531" s="348">
        <v>1205995.8977000001</v>
      </c>
      <c r="P531" s="348"/>
      <c r="Q531" s="353"/>
    </row>
    <row r="532" spans="1:17" x14ac:dyDescent="0.25">
      <c r="A532" s="360" t="s">
        <v>602</v>
      </c>
      <c r="B532" s="348"/>
      <c r="C532" s="348"/>
      <c r="D532" s="348"/>
      <c r="E532" s="348"/>
      <c r="F532" s="348"/>
      <c r="G532" s="348"/>
      <c r="H532" s="348"/>
      <c r="I532" s="348"/>
      <c r="J532" s="348"/>
      <c r="K532" s="348"/>
      <c r="L532" s="348"/>
      <c r="M532" s="348"/>
      <c r="N532" s="348"/>
      <c r="O532" s="348">
        <v>10353034.16160001</v>
      </c>
      <c r="P532" s="348"/>
      <c r="Q532" s="353"/>
    </row>
    <row r="533" spans="1:17" x14ac:dyDescent="0.25">
      <c r="A533" s="360" t="s">
        <v>2209</v>
      </c>
      <c r="B533" s="348"/>
      <c r="C533" s="348"/>
      <c r="D533" s="348"/>
      <c r="E533" s="348"/>
      <c r="F533" s="348"/>
      <c r="G533" s="348"/>
      <c r="H533" s="348"/>
      <c r="I533" s="348"/>
      <c r="J533" s="348"/>
      <c r="K533" s="348"/>
      <c r="L533" s="348"/>
      <c r="M533" s="348"/>
      <c r="N533" s="348"/>
      <c r="O533" s="348">
        <v>2081474.8551000021</v>
      </c>
      <c r="P533" s="348"/>
      <c r="Q533" s="353"/>
    </row>
    <row r="534" spans="1:17" x14ac:dyDescent="0.25">
      <c r="A534" s="360" t="s">
        <v>506</v>
      </c>
      <c r="B534" s="348"/>
      <c r="C534" s="348"/>
      <c r="D534" s="348"/>
      <c r="E534" s="348"/>
      <c r="F534" s="348"/>
      <c r="G534" s="348"/>
      <c r="H534" s="348"/>
      <c r="I534" s="348"/>
      <c r="J534" s="348"/>
      <c r="K534" s="348"/>
      <c r="L534" s="348"/>
      <c r="M534" s="348"/>
      <c r="N534" s="348"/>
      <c r="O534" s="348">
        <v>2927840.4764000028</v>
      </c>
      <c r="P534" s="348"/>
      <c r="Q534" s="353"/>
    </row>
    <row r="535" spans="1:17" x14ac:dyDescent="0.25">
      <c r="A535" s="360" t="s">
        <v>4220</v>
      </c>
      <c r="B535" s="348"/>
      <c r="C535" s="348"/>
      <c r="D535" s="348"/>
      <c r="E535" s="348"/>
      <c r="F535" s="348"/>
      <c r="G535" s="348"/>
      <c r="H535" s="348"/>
      <c r="I535" s="348"/>
      <c r="J535" s="348"/>
      <c r="K535" s="348"/>
      <c r="L535" s="348"/>
      <c r="M535" s="348"/>
      <c r="N535" s="348"/>
      <c r="O535" s="348">
        <v>859730.76120000007</v>
      </c>
      <c r="P535" s="348"/>
      <c r="Q535" s="353"/>
    </row>
    <row r="536" spans="1:17" x14ac:dyDescent="0.25">
      <c r="A536" s="360" t="s">
        <v>4464</v>
      </c>
      <c r="B536" s="348"/>
      <c r="C536" s="348"/>
      <c r="D536" s="348"/>
      <c r="E536" s="348"/>
      <c r="F536" s="348"/>
      <c r="G536" s="348"/>
      <c r="H536" s="348"/>
      <c r="I536" s="348"/>
      <c r="J536" s="348"/>
      <c r="K536" s="348"/>
      <c r="L536" s="348"/>
      <c r="M536" s="348"/>
      <c r="N536" s="348"/>
      <c r="O536" s="348">
        <v>54644.54250000001</v>
      </c>
      <c r="P536" s="348"/>
      <c r="Q536" s="353"/>
    </row>
    <row r="537" spans="1:17" x14ac:dyDescent="0.25">
      <c r="A537" s="360" t="s">
        <v>4465</v>
      </c>
      <c r="B537" s="348"/>
      <c r="C537" s="348"/>
      <c r="D537" s="348"/>
      <c r="E537" s="348"/>
      <c r="F537" s="348"/>
      <c r="G537" s="348"/>
      <c r="H537" s="348"/>
      <c r="I537" s="348"/>
      <c r="J537" s="348"/>
      <c r="K537" s="348"/>
      <c r="L537" s="348"/>
      <c r="M537" s="348"/>
      <c r="N537" s="348"/>
      <c r="O537" s="348">
        <v>520290.72240000014</v>
      </c>
      <c r="P537" s="348"/>
      <c r="Q537" s="353"/>
    </row>
    <row r="538" spans="1:17" x14ac:dyDescent="0.25">
      <c r="A538" s="360" t="s">
        <v>4466</v>
      </c>
      <c r="B538" s="348"/>
      <c r="C538" s="348"/>
      <c r="D538" s="348"/>
      <c r="E538" s="348"/>
      <c r="F538" s="348"/>
      <c r="G538" s="348"/>
      <c r="H538" s="348"/>
      <c r="I538" s="348"/>
      <c r="J538" s="348"/>
      <c r="K538" s="348"/>
      <c r="L538" s="348"/>
      <c r="M538" s="348"/>
      <c r="N538" s="348"/>
      <c r="O538" s="348">
        <v>393381.06029999984</v>
      </c>
      <c r="P538" s="348"/>
      <c r="Q538" s="353"/>
    </row>
    <row r="539" spans="1:17" x14ac:dyDescent="0.25">
      <c r="A539" s="360" t="s">
        <v>4467</v>
      </c>
      <c r="B539" s="348"/>
      <c r="C539" s="348"/>
      <c r="D539" s="348"/>
      <c r="E539" s="348"/>
      <c r="F539" s="348"/>
      <c r="G539" s="348"/>
      <c r="H539" s="348"/>
      <c r="I539" s="348"/>
      <c r="J539" s="348"/>
      <c r="K539" s="348"/>
      <c r="L539" s="348"/>
      <c r="M539" s="348"/>
      <c r="N539" s="348"/>
      <c r="O539" s="348">
        <v>8388.7878000000001</v>
      </c>
      <c r="P539" s="348"/>
      <c r="Q539" s="353"/>
    </row>
    <row r="540" spans="1:17" x14ac:dyDescent="0.25">
      <c r="A540" s="360" t="s">
        <v>4181</v>
      </c>
      <c r="B540" s="348"/>
      <c r="C540" s="348"/>
      <c r="D540" s="348"/>
      <c r="E540" s="348"/>
      <c r="F540" s="348"/>
      <c r="G540" s="348"/>
      <c r="H540" s="348"/>
      <c r="I540" s="348"/>
      <c r="J540" s="348"/>
      <c r="K540" s="348"/>
      <c r="L540" s="348"/>
      <c r="M540" s="348"/>
      <c r="N540" s="348"/>
      <c r="O540" s="348">
        <v>0</v>
      </c>
      <c r="P540" s="348"/>
      <c r="Q540" s="353"/>
    </row>
    <row r="541" spans="1:17" x14ac:dyDescent="0.25">
      <c r="A541" s="360" t="s">
        <v>4468</v>
      </c>
      <c r="B541" s="348"/>
      <c r="C541" s="348"/>
      <c r="D541" s="348"/>
      <c r="E541" s="348"/>
      <c r="F541" s="348"/>
      <c r="G541" s="348"/>
      <c r="H541" s="348"/>
      <c r="I541" s="348"/>
      <c r="J541" s="348"/>
      <c r="K541" s="348"/>
      <c r="L541" s="348"/>
      <c r="M541" s="348"/>
      <c r="N541" s="348"/>
      <c r="O541" s="348">
        <v>3221.1387</v>
      </c>
      <c r="P541" s="348"/>
      <c r="Q541" s="353">
        <v>83.742900000000006</v>
      </c>
    </row>
    <row r="542" spans="1:17" x14ac:dyDescent="0.25">
      <c r="A542" s="360" t="s">
        <v>167</v>
      </c>
      <c r="B542" s="348"/>
      <c r="C542" s="348"/>
      <c r="D542" s="348"/>
      <c r="E542" s="348"/>
      <c r="F542" s="348"/>
      <c r="G542" s="348"/>
      <c r="H542" s="348"/>
      <c r="I542" s="348"/>
      <c r="J542" s="348"/>
      <c r="K542" s="348"/>
      <c r="L542" s="348"/>
      <c r="M542" s="348"/>
      <c r="N542" s="348"/>
      <c r="O542" s="348">
        <v>5.2378</v>
      </c>
      <c r="P542" s="348"/>
      <c r="Q542" s="353"/>
    </row>
    <row r="543" spans="1:17" x14ac:dyDescent="0.25">
      <c r="A543" s="360" t="s">
        <v>494</v>
      </c>
      <c r="B543" s="348"/>
      <c r="C543" s="348"/>
      <c r="D543" s="348"/>
      <c r="E543" s="348"/>
      <c r="F543" s="348"/>
      <c r="G543" s="348"/>
      <c r="H543" s="348"/>
      <c r="I543" s="348"/>
      <c r="J543" s="348"/>
      <c r="K543" s="348"/>
      <c r="L543" s="348"/>
      <c r="M543" s="348"/>
      <c r="N543" s="348"/>
      <c r="O543" s="348">
        <v>14980879.616999986</v>
      </c>
      <c r="P543" s="348"/>
      <c r="Q543" s="353"/>
    </row>
    <row r="544" spans="1:17" x14ac:dyDescent="0.25">
      <c r="A544" s="360" t="s">
        <v>4161</v>
      </c>
      <c r="B544" s="348"/>
      <c r="C544" s="348"/>
      <c r="D544" s="348"/>
      <c r="E544" s="348"/>
      <c r="F544" s="348"/>
      <c r="G544" s="348"/>
      <c r="H544" s="348"/>
      <c r="I544" s="348"/>
      <c r="J544" s="348"/>
      <c r="K544" s="348"/>
      <c r="L544" s="348"/>
      <c r="M544" s="348"/>
      <c r="N544" s="348"/>
      <c r="O544" s="348">
        <v>1387865.1849000009</v>
      </c>
      <c r="P544" s="348"/>
      <c r="Q544" s="353"/>
    </row>
    <row r="545" spans="1:17" x14ac:dyDescent="0.25">
      <c r="A545" s="360" t="s">
        <v>3429</v>
      </c>
      <c r="B545" s="348"/>
      <c r="C545" s="348"/>
      <c r="D545" s="348"/>
      <c r="E545" s="348"/>
      <c r="F545" s="348"/>
      <c r="G545" s="348"/>
      <c r="H545" s="348"/>
      <c r="I545" s="348"/>
      <c r="J545" s="348"/>
      <c r="K545" s="348"/>
      <c r="L545" s="348"/>
      <c r="M545" s="348"/>
      <c r="N545" s="348"/>
      <c r="O545" s="348">
        <v>3949415.7821000014</v>
      </c>
      <c r="P545" s="348"/>
      <c r="Q545" s="353"/>
    </row>
    <row r="546" spans="1:17" x14ac:dyDescent="0.25">
      <c r="A546" s="360" t="s">
        <v>4221</v>
      </c>
      <c r="B546" s="348"/>
      <c r="C546" s="348"/>
      <c r="D546" s="348"/>
      <c r="E546" s="348"/>
      <c r="F546" s="348"/>
      <c r="G546" s="348"/>
      <c r="H546" s="348"/>
      <c r="I546" s="348"/>
      <c r="J546" s="348"/>
      <c r="K546" s="348"/>
      <c r="L546" s="348"/>
      <c r="M546" s="348"/>
      <c r="N546" s="348"/>
      <c r="O546" s="348">
        <v>1936089.4153999984</v>
      </c>
      <c r="P546" s="348"/>
      <c r="Q546" s="353"/>
    </row>
    <row r="547" spans="1:17" x14ac:dyDescent="0.25">
      <c r="A547" s="360" t="s">
        <v>2210</v>
      </c>
      <c r="B547" s="348"/>
      <c r="C547" s="348"/>
      <c r="D547" s="348"/>
      <c r="E547" s="348"/>
      <c r="F547" s="348"/>
      <c r="G547" s="348"/>
      <c r="H547" s="348"/>
      <c r="I547" s="348"/>
      <c r="J547" s="348"/>
      <c r="K547" s="348"/>
      <c r="L547" s="348"/>
      <c r="M547" s="348"/>
      <c r="N547" s="348"/>
      <c r="O547" s="348">
        <v>2132649.8496999973</v>
      </c>
      <c r="P547" s="348"/>
      <c r="Q547" s="353"/>
    </row>
    <row r="548" spans="1:17" x14ac:dyDescent="0.25">
      <c r="A548" s="360" t="s">
        <v>3618</v>
      </c>
      <c r="B548" s="348"/>
      <c r="C548" s="348"/>
      <c r="D548" s="348"/>
      <c r="E548" s="348"/>
      <c r="F548" s="348"/>
      <c r="G548" s="348"/>
      <c r="H548" s="348"/>
      <c r="I548" s="348"/>
      <c r="J548" s="348"/>
      <c r="K548" s="348"/>
      <c r="L548" s="348"/>
      <c r="M548" s="348"/>
      <c r="N548" s="348"/>
      <c r="O548" s="348">
        <v>2296570.7528999997</v>
      </c>
      <c r="P548" s="348"/>
      <c r="Q548" s="353"/>
    </row>
    <row r="549" spans="1:17" x14ac:dyDescent="0.25">
      <c r="A549" s="360" t="s">
        <v>1136</v>
      </c>
      <c r="B549" s="348"/>
      <c r="C549" s="348"/>
      <c r="D549" s="348"/>
      <c r="E549" s="348"/>
      <c r="F549" s="348"/>
      <c r="G549" s="348"/>
      <c r="H549" s="348"/>
      <c r="I549" s="348"/>
      <c r="J549" s="348"/>
      <c r="K549" s="348"/>
      <c r="L549" s="348"/>
      <c r="M549" s="348"/>
      <c r="N549" s="348"/>
      <c r="O549" s="348">
        <v>3008646.6098999986</v>
      </c>
      <c r="P549" s="348"/>
      <c r="Q549" s="353"/>
    </row>
    <row r="550" spans="1:17" x14ac:dyDescent="0.25">
      <c r="A550" s="360" t="s">
        <v>4182</v>
      </c>
      <c r="B550" s="348"/>
      <c r="C550" s="348"/>
      <c r="D550" s="348"/>
      <c r="E550" s="348"/>
      <c r="F550" s="348"/>
      <c r="G550" s="348"/>
      <c r="H550" s="348"/>
      <c r="I550" s="348"/>
      <c r="J550" s="348"/>
      <c r="K550" s="348"/>
      <c r="L550" s="348"/>
      <c r="M550" s="348"/>
      <c r="N550" s="348"/>
      <c r="O550" s="348">
        <v>1541.4833000000001</v>
      </c>
      <c r="P550" s="348"/>
      <c r="Q550" s="353"/>
    </row>
    <row r="551" spans="1:17" x14ac:dyDescent="0.25">
      <c r="A551" s="360" t="s">
        <v>4469</v>
      </c>
      <c r="B551" s="348"/>
      <c r="C551" s="348"/>
      <c r="D551" s="348"/>
      <c r="E551" s="348"/>
      <c r="F551" s="348"/>
      <c r="G551" s="348"/>
      <c r="H551" s="348"/>
      <c r="I551" s="348"/>
      <c r="J551" s="348"/>
      <c r="K551" s="348"/>
      <c r="L551" s="348"/>
      <c r="M551" s="348"/>
      <c r="N551" s="348"/>
      <c r="O551" s="348">
        <v>643648.43140000058</v>
      </c>
      <c r="P551" s="348"/>
      <c r="Q551" s="353"/>
    </row>
    <row r="552" spans="1:17" x14ac:dyDescent="0.25">
      <c r="A552" s="360" t="s">
        <v>168</v>
      </c>
      <c r="B552" s="348"/>
      <c r="C552" s="348"/>
      <c r="D552" s="348"/>
      <c r="E552" s="348"/>
      <c r="F552" s="348"/>
      <c r="G552" s="348"/>
      <c r="H552" s="348"/>
      <c r="I552" s="348"/>
      <c r="J552" s="348"/>
      <c r="K552" s="348"/>
      <c r="L552" s="348"/>
      <c r="M552" s="348"/>
      <c r="N552" s="348"/>
      <c r="O552" s="348">
        <v>232.58850000000001</v>
      </c>
      <c r="P552" s="348"/>
      <c r="Q552" s="353"/>
    </row>
    <row r="553" spans="1:17" x14ac:dyDescent="0.25">
      <c r="A553" s="360" t="s">
        <v>4470</v>
      </c>
      <c r="B553" s="348"/>
      <c r="C553" s="348"/>
      <c r="D553" s="348"/>
      <c r="E553" s="348"/>
      <c r="F553" s="348"/>
      <c r="G553" s="348"/>
      <c r="H553" s="348"/>
      <c r="I553" s="348"/>
      <c r="J553" s="348"/>
      <c r="K553" s="348"/>
      <c r="L553" s="348"/>
      <c r="M553" s="348"/>
      <c r="N553" s="348"/>
      <c r="O553" s="348">
        <v>0</v>
      </c>
      <c r="P553" s="348"/>
      <c r="Q553" s="353"/>
    </row>
    <row r="554" spans="1:17" x14ac:dyDescent="0.25">
      <c r="A554" s="360" t="s">
        <v>4471</v>
      </c>
      <c r="B554" s="348"/>
      <c r="C554" s="348"/>
      <c r="D554" s="348"/>
      <c r="E554" s="348"/>
      <c r="F554" s="348"/>
      <c r="G554" s="348"/>
      <c r="H554" s="348"/>
      <c r="I554" s="348"/>
      <c r="J554" s="348"/>
      <c r="K554" s="348"/>
      <c r="L554" s="348"/>
      <c r="M554" s="348"/>
      <c r="N554" s="348"/>
      <c r="O554" s="348">
        <v>0</v>
      </c>
      <c r="P554" s="348"/>
      <c r="Q554" s="353"/>
    </row>
    <row r="555" spans="1:17" x14ac:dyDescent="0.25">
      <c r="A555" s="360" t="s">
        <v>3437</v>
      </c>
      <c r="B555" s="348"/>
      <c r="C555" s="348"/>
      <c r="D555" s="348"/>
      <c r="E555" s="348"/>
      <c r="F555" s="348"/>
      <c r="G555" s="348"/>
      <c r="H555" s="348"/>
      <c r="I555" s="348"/>
      <c r="J555" s="348"/>
      <c r="K555" s="348"/>
      <c r="L555" s="348"/>
      <c r="M555" s="348"/>
      <c r="N555" s="348"/>
      <c r="O555" s="348">
        <v>1625345.0793999995</v>
      </c>
      <c r="P555" s="348"/>
      <c r="Q555" s="353"/>
    </row>
    <row r="556" spans="1:17" x14ac:dyDescent="0.25">
      <c r="A556" s="360" t="s">
        <v>4472</v>
      </c>
      <c r="B556" s="348"/>
      <c r="C556" s="348"/>
      <c r="D556" s="348"/>
      <c r="E556" s="348"/>
      <c r="F556" s="348"/>
      <c r="G556" s="348"/>
      <c r="H556" s="348"/>
      <c r="I556" s="348"/>
      <c r="J556" s="348"/>
      <c r="K556" s="348"/>
      <c r="L556" s="348"/>
      <c r="M556" s="348"/>
      <c r="N556" s="348"/>
      <c r="O556" s="348">
        <v>821901.85709999956</v>
      </c>
      <c r="P556" s="348"/>
      <c r="Q556" s="353"/>
    </row>
    <row r="557" spans="1:17" x14ac:dyDescent="0.25">
      <c r="A557" s="360" t="s">
        <v>509</v>
      </c>
      <c r="B557" s="348"/>
      <c r="C557" s="348"/>
      <c r="D557" s="348"/>
      <c r="E557" s="348"/>
      <c r="F557" s="348"/>
      <c r="G557" s="348"/>
      <c r="H557" s="348"/>
      <c r="I557" s="348"/>
      <c r="J557" s="348"/>
      <c r="K557" s="348"/>
      <c r="L557" s="348"/>
      <c r="M557" s="348"/>
      <c r="N557" s="348"/>
      <c r="O557" s="348">
        <v>2544756.3521999968</v>
      </c>
      <c r="P557" s="348"/>
      <c r="Q557" s="353"/>
    </row>
    <row r="558" spans="1:17" x14ac:dyDescent="0.25">
      <c r="A558" s="360" t="s">
        <v>4162</v>
      </c>
      <c r="B558" s="348"/>
      <c r="C558" s="348"/>
      <c r="D558" s="348"/>
      <c r="E558" s="348"/>
      <c r="F558" s="348"/>
      <c r="G558" s="348"/>
      <c r="H558" s="348"/>
      <c r="I558" s="348"/>
      <c r="J558" s="348"/>
      <c r="K558" s="348"/>
      <c r="L558" s="348"/>
      <c r="M558" s="348"/>
      <c r="N558" s="348"/>
      <c r="O558" s="348">
        <v>2458662.0271000015</v>
      </c>
      <c r="P558" s="348"/>
      <c r="Q558" s="353"/>
    </row>
    <row r="559" spans="1:17" x14ac:dyDescent="0.25">
      <c r="A559" s="360" t="s">
        <v>1137</v>
      </c>
      <c r="B559" s="348"/>
      <c r="C559" s="348"/>
      <c r="D559" s="348"/>
      <c r="E559" s="348"/>
      <c r="F559" s="348"/>
      <c r="G559" s="348"/>
      <c r="H559" s="348"/>
      <c r="I559" s="348"/>
      <c r="J559" s="348"/>
      <c r="K559" s="348"/>
      <c r="L559" s="348"/>
      <c r="M559" s="348"/>
      <c r="N559" s="348"/>
      <c r="O559" s="348">
        <v>35554238.853199869</v>
      </c>
      <c r="P559" s="348">
        <v>7297964.4699999997</v>
      </c>
      <c r="Q559" s="353"/>
    </row>
    <row r="560" spans="1:17" x14ac:dyDescent="0.25">
      <c r="A560" s="360" t="s">
        <v>3109</v>
      </c>
      <c r="B560" s="348"/>
      <c r="C560" s="348"/>
      <c r="D560" s="348"/>
      <c r="E560" s="348"/>
      <c r="F560" s="348"/>
      <c r="G560" s="348"/>
      <c r="H560" s="348"/>
      <c r="I560" s="348"/>
      <c r="J560" s="348"/>
      <c r="K560" s="348"/>
      <c r="L560" s="348"/>
      <c r="M560" s="348"/>
      <c r="N560" s="348"/>
      <c r="O560" s="348">
        <v>6462589.544799991</v>
      </c>
      <c r="P560" s="348">
        <v>23286.394</v>
      </c>
      <c r="Q560" s="353"/>
    </row>
    <row r="561" spans="1:17" x14ac:dyDescent="0.25">
      <c r="A561" s="360" t="s">
        <v>1385</v>
      </c>
      <c r="B561" s="348"/>
      <c r="C561" s="348"/>
      <c r="D561" s="348"/>
      <c r="E561" s="348"/>
      <c r="F561" s="348"/>
      <c r="G561" s="348"/>
      <c r="H561" s="348"/>
      <c r="I561" s="348"/>
      <c r="J561" s="348"/>
      <c r="K561" s="348"/>
      <c r="L561" s="348"/>
      <c r="M561" s="348"/>
      <c r="N561" s="348"/>
      <c r="O561" s="348">
        <v>6084566.0194000015</v>
      </c>
      <c r="P561" s="348"/>
      <c r="Q561" s="353"/>
    </row>
    <row r="562" spans="1:17" x14ac:dyDescent="0.25">
      <c r="A562" s="360" t="s">
        <v>2044</v>
      </c>
      <c r="B562" s="348"/>
      <c r="C562" s="348"/>
      <c r="D562" s="348"/>
      <c r="E562" s="348"/>
      <c r="F562" s="348"/>
      <c r="G562" s="348"/>
      <c r="H562" s="348"/>
      <c r="I562" s="348"/>
      <c r="J562" s="348"/>
      <c r="K562" s="348"/>
      <c r="L562" s="348"/>
      <c r="M562" s="348"/>
      <c r="N562" s="348"/>
      <c r="O562" s="348">
        <v>6061090.0441000089</v>
      </c>
      <c r="P562" s="348"/>
      <c r="Q562" s="353">
        <v>14.8323</v>
      </c>
    </row>
    <row r="563" spans="1:17" x14ac:dyDescent="0.25">
      <c r="A563" s="360" t="s">
        <v>2042</v>
      </c>
      <c r="B563" s="348"/>
      <c r="C563" s="348"/>
      <c r="D563" s="348"/>
      <c r="E563" s="348"/>
      <c r="F563" s="348"/>
      <c r="G563" s="348"/>
      <c r="H563" s="348"/>
      <c r="I563" s="348"/>
      <c r="J563" s="348"/>
      <c r="K563" s="348"/>
      <c r="L563" s="348"/>
      <c r="M563" s="348"/>
      <c r="N563" s="348"/>
      <c r="O563" s="348">
        <v>3291393.9968999987</v>
      </c>
      <c r="P563" s="348"/>
      <c r="Q563" s="353"/>
    </row>
    <row r="564" spans="1:17" x14ac:dyDescent="0.25">
      <c r="A564" s="360" t="s">
        <v>1138</v>
      </c>
      <c r="B564" s="348"/>
      <c r="C564" s="348"/>
      <c r="D564" s="348"/>
      <c r="E564" s="348"/>
      <c r="F564" s="348"/>
      <c r="G564" s="348"/>
      <c r="H564" s="348"/>
      <c r="I564" s="348"/>
      <c r="J564" s="348"/>
      <c r="K564" s="348"/>
      <c r="L564" s="348"/>
      <c r="M564" s="348"/>
      <c r="N564" s="348"/>
      <c r="O564" s="348">
        <v>2641359.2415000019</v>
      </c>
      <c r="P564" s="348"/>
      <c r="Q564" s="353">
        <v>4522.5167999999994</v>
      </c>
    </row>
    <row r="565" spans="1:17" x14ac:dyDescent="0.25">
      <c r="A565" s="360" t="s">
        <v>4473</v>
      </c>
      <c r="B565" s="348"/>
      <c r="C565" s="348"/>
      <c r="D565" s="348"/>
      <c r="E565" s="348"/>
      <c r="F565" s="348"/>
      <c r="G565" s="348"/>
      <c r="H565" s="348"/>
      <c r="I565" s="348"/>
      <c r="J565" s="348"/>
      <c r="K565" s="348"/>
      <c r="L565" s="348"/>
      <c r="M565" s="348"/>
      <c r="N565" s="348"/>
      <c r="O565" s="348">
        <v>450653.80870000029</v>
      </c>
      <c r="P565" s="348"/>
      <c r="Q565" s="353"/>
    </row>
    <row r="566" spans="1:17" x14ac:dyDescent="0.25">
      <c r="A566" s="360" t="s">
        <v>3623</v>
      </c>
      <c r="B566" s="348"/>
      <c r="C566" s="348"/>
      <c r="D566" s="348"/>
      <c r="E566" s="348"/>
      <c r="F566" s="348"/>
      <c r="G566" s="348"/>
      <c r="H566" s="348"/>
      <c r="I566" s="348"/>
      <c r="J566" s="348"/>
      <c r="K566" s="348"/>
      <c r="L566" s="348"/>
      <c r="M566" s="348"/>
      <c r="N566" s="348"/>
      <c r="O566" s="348">
        <v>2801041.0579000008</v>
      </c>
      <c r="P566" s="348"/>
      <c r="Q566" s="353"/>
    </row>
    <row r="567" spans="1:17" x14ac:dyDescent="0.25">
      <c r="A567" s="360" t="s">
        <v>4474</v>
      </c>
      <c r="B567" s="348"/>
      <c r="C567" s="348"/>
      <c r="D567" s="348"/>
      <c r="E567" s="348"/>
      <c r="F567" s="348"/>
      <c r="G567" s="348"/>
      <c r="H567" s="348"/>
      <c r="I567" s="348"/>
      <c r="J567" s="348"/>
      <c r="K567" s="348"/>
      <c r="L567" s="348"/>
      <c r="M567" s="348"/>
      <c r="N567" s="348"/>
      <c r="O567" s="348">
        <v>67347.304799999998</v>
      </c>
      <c r="P567" s="348"/>
      <c r="Q567" s="353"/>
    </row>
    <row r="568" spans="1:17" x14ac:dyDescent="0.25">
      <c r="A568" s="360" t="s">
        <v>4475</v>
      </c>
      <c r="B568" s="348"/>
      <c r="C568" s="348"/>
      <c r="D568" s="348"/>
      <c r="E568" s="348"/>
      <c r="F568" s="348"/>
      <c r="G568" s="348"/>
      <c r="H568" s="348"/>
      <c r="I568" s="348"/>
      <c r="J568" s="348"/>
      <c r="K568" s="348"/>
      <c r="L568" s="348"/>
      <c r="M568" s="348"/>
      <c r="N568" s="348"/>
      <c r="O568" s="348">
        <v>0</v>
      </c>
      <c r="P568" s="348"/>
      <c r="Q568" s="353"/>
    </row>
    <row r="569" spans="1:17" x14ac:dyDescent="0.25">
      <c r="A569" s="360" t="s">
        <v>4277</v>
      </c>
      <c r="B569" s="348"/>
      <c r="C569" s="348"/>
      <c r="D569" s="348"/>
      <c r="E569" s="348"/>
      <c r="F569" s="348"/>
      <c r="G569" s="348"/>
      <c r="H569" s="348"/>
      <c r="I569" s="348"/>
      <c r="J569" s="348"/>
      <c r="K569" s="348"/>
      <c r="L569" s="348"/>
      <c r="M569" s="348"/>
      <c r="N569" s="348"/>
      <c r="O569" s="348">
        <v>4316082.5564000094</v>
      </c>
      <c r="P569" s="348"/>
      <c r="Q569" s="353"/>
    </row>
    <row r="570" spans="1:17" x14ac:dyDescent="0.25">
      <c r="A570" s="360" t="s">
        <v>505</v>
      </c>
      <c r="B570" s="348"/>
      <c r="C570" s="348"/>
      <c r="D570" s="348"/>
      <c r="E570" s="348"/>
      <c r="F570" s="348"/>
      <c r="G570" s="348"/>
      <c r="H570" s="348"/>
      <c r="I570" s="348"/>
      <c r="J570" s="348"/>
      <c r="K570" s="348"/>
      <c r="L570" s="348"/>
      <c r="M570" s="348"/>
      <c r="N570" s="348"/>
      <c r="O570" s="348">
        <v>7087149.407999997</v>
      </c>
      <c r="P570" s="348"/>
      <c r="Q570" s="353"/>
    </row>
    <row r="571" spans="1:17" x14ac:dyDescent="0.25">
      <c r="A571" s="360" t="s">
        <v>2211</v>
      </c>
      <c r="B571" s="348"/>
      <c r="C571" s="348"/>
      <c r="D571" s="348"/>
      <c r="E571" s="348"/>
      <c r="F571" s="348"/>
      <c r="G571" s="348"/>
      <c r="H571" s="348"/>
      <c r="I571" s="348"/>
      <c r="J571" s="348"/>
      <c r="K571" s="348"/>
      <c r="L571" s="348"/>
      <c r="M571" s="348"/>
      <c r="N571" s="348"/>
      <c r="O571" s="348">
        <v>3730072.5693000047</v>
      </c>
      <c r="P571" s="348"/>
      <c r="Q571" s="353"/>
    </row>
    <row r="572" spans="1:17" x14ac:dyDescent="0.25">
      <c r="A572" s="360" t="s">
        <v>3448</v>
      </c>
      <c r="B572" s="348"/>
      <c r="C572" s="348"/>
      <c r="D572" s="348"/>
      <c r="E572" s="348"/>
      <c r="F572" s="348"/>
      <c r="G572" s="348"/>
      <c r="H572" s="348"/>
      <c r="I572" s="348"/>
      <c r="J572" s="348"/>
      <c r="K572" s="348"/>
      <c r="L572" s="348"/>
      <c r="M572" s="348"/>
      <c r="N572" s="348"/>
      <c r="O572" s="348">
        <v>3625516.3813</v>
      </c>
      <c r="P572" s="348"/>
      <c r="Q572" s="353"/>
    </row>
    <row r="573" spans="1:17" ht="13.8" thickBot="1" x14ac:dyDescent="0.3">
      <c r="A573" s="361" t="s">
        <v>2750</v>
      </c>
      <c r="B573" s="355"/>
      <c r="C573" s="355"/>
      <c r="D573" s="355"/>
      <c r="E573" s="355"/>
      <c r="F573" s="355"/>
      <c r="G573" s="355"/>
      <c r="H573" s="355"/>
      <c r="I573" s="355"/>
      <c r="J573" s="355"/>
      <c r="K573" s="355"/>
      <c r="L573" s="355"/>
      <c r="M573" s="355"/>
      <c r="N573" s="355"/>
      <c r="O573" s="355">
        <v>1824297.3416999988</v>
      </c>
      <c r="P573" s="355"/>
      <c r="Q573" s="356"/>
    </row>
    <row r="575" spans="1:17" x14ac:dyDescent="0.25">
      <c r="D575" s="306"/>
      <c r="E575" s="306"/>
      <c r="F575" s="306"/>
    </row>
    <row r="577" spans="1:52" s="4" customFormat="1" x14ac:dyDescent="0.25">
      <c r="A577" s="365" t="s">
        <v>4642</v>
      </c>
      <c r="B577" s="366"/>
      <c r="C577" s="367"/>
      <c r="D577" s="366"/>
      <c r="E577" s="367"/>
      <c r="F577" s="366"/>
      <c r="G577" s="367"/>
      <c r="H577" s="366"/>
      <c r="I577" s="367"/>
      <c r="J577" s="366"/>
      <c r="K577" s="367"/>
      <c r="L577" s="366"/>
      <c r="M577" s="367"/>
      <c r="N577" s="26"/>
      <c r="O577" s="26"/>
      <c r="P577" s="26"/>
      <c r="Q577" s="26"/>
      <c r="R577" s="26"/>
      <c r="S577" s="26"/>
      <c r="T577" s="26"/>
      <c r="U577" s="26"/>
      <c r="V577" s="247"/>
      <c r="W577" s="244"/>
      <c r="X577" s="209"/>
      <c r="Y577" s="26"/>
      <c r="Z577" s="209"/>
      <c r="AA577" s="26"/>
      <c r="AB577" s="26"/>
      <c r="AC577" s="26"/>
      <c r="AD577" s="26"/>
      <c r="AE577" s="26"/>
      <c r="AF577" s="26"/>
      <c r="AG577" s="26"/>
      <c r="AH577" s="26"/>
      <c r="AI577" s="215"/>
      <c r="AJ577" s="212"/>
      <c r="AK577" s="26"/>
      <c r="AL577" s="26"/>
      <c r="AM577" s="26"/>
      <c r="AN577" s="26"/>
      <c r="AO577" s="26"/>
      <c r="AP577" s="26"/>
      <c r="AQ577" s="26"/>
      <c r="AR577" s="26"/>
      <c r="AS577" s="26"/>
      <c r="AT577" s="26"/>
      <c r="AU577" s="26"/>
      <c r="AV577" s="26"/>
      <c r="AZ577" s="26"/>
    </row>
    <row r="578" spans="1:52" x14ac:dyDescent="0.25">
      <c r="A578" s="365" t="s">
        <v>4641</v>
      </c>
      <c r="B578" s="366"/>
      <c r="C578" s="367"/>
      <c r="D578" s="366"/>
      <c r="E578" s="367"/>
      <c r="F578" s="366"/>
      <c r="G578" s="367"/>
      <c r="H578" s="366"/>
      <c r="I578" s="367"/>
      <c r="J578" s="366"/>
      <c r="K578" s="367"/>
      <c r="L578" s="366"/>
      <c r="M578" s="367"/>
    </row>
    <row r="579" spans="1:52" x14ac:dyDescent="0.25">
      <c r="A579" s="365" t="s">
        <v>4643</v>
      </c>
      <c r="B579" s="366"/>
      <c r="C579" s="367"/>
      <c r="D579" s="366"/>
      <c r="E579" s="367"/>
      <c r="F579" s="366"/>
      <c r="G579" s="367"/>
      <c r="H579" s="366"/>
      <c r="I579" s="367"/>
      <c r="J579" s="366"/>
      <c r="K579" s="367"/>
      <c r="L579" s="366"/>
      <c r="M579" s="367"/>
    </row>
    <row r="580" spans="1:52" x14ac:dyDescent="0.25">
      <c r="A580" s="359" t="s">
        <v>4557</v>
      </c>
      <c r="G580">
        <v>51998640.759999998</v>
      </c>
    </row>
    <row r="582" spans="1:52" x14ac:dyDescent="0.25">
      <c r="K582" s="36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20</vt:i4>
      </vt:variant>
    </vt:vector>
  </HeadingPairs>
  <TitlesOfParts>
    <vt:vector size="29" baseType="lpstr">
      <vt:lpstr>Настройки</vt:lpstr>
      <vt:lpstr>Список</vt:lpstr>
      <vt:lpstr>Счета</vt:lpstr>
      <vt:lpstr>РВПС</vt:lpstr>
      <vt:lpstr>Отделения</vt:lpstr>
      <vt:lpstr>RVPS</vt:lpstr>
      <vt:lpstr>7-24</vt:lpstr>
      <vt:lpstr>7-100</vt:lpstr>
      <vt:lpstr>ОстВК</vt:lpstr>
      <vt:lpstr>SIM_P01_3A</vt:lpstr>
      <vt:lpstr>SIM_P01_3B</vt:lpstr>
      <vt:lpstr>SIM_P01_3C</vt:lpstr>
      <vt:lpstr>SIM_P01_3D</vt:lpstr>
      <vt:lpstr>SIM_P04_3A</vt:lpstr>
      <vt:lpstr>SIM_P04_3B</vt:lpstr>
      <vt:lpstr>SIM_P04_3C</vt:lpstr>
      <vt:lpstr>SIM_P04_3D</vt:lpstr>
      <vt:lpstr>SIM_S04_3A</vt:lpstr>
      <vt:lpstr>SIM_S04_3B</vt:lpstr>
      <vt:lpstr>SIM_S04_3C</vt:lpstr>
      <vt:lpstr>SIM_S04_3D</vt:lpstr>
      <vt:lpstr>SIM_V01_3A</vt:lpstr>
      <vt:lpstr>SIM_V01_3B</vt:lpstr>
      <vt:lpstr>SIM_V01_3C</vt:lpstr>
      <vt:lpstr>SIM_V01_3D</vt:lpstr>
      <vt:lpstr>SIM_V04_3A</vt:lpstr>
      <vt:lpstr>SIM_V04_3B</vt:lpstr>
      <vt:lpstr>SIM_V04_3C</vt:lpstr>
      <vt:lpstr>SIM_V04_3D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Ashcheulova Olga</cp:lastModifiedBy>
  <cp:lastPrinted>2012-12-04T02:18:27Z</cp:lastPrinted>
  <dcterms:created xsi:type="dcterms:W3CDTF">1996-10-08T23:32:33Z</dcterms:created>
  <dcterms:modified xsi:type="dcterms:W3CDTF">2019-01-26T07:17:43Z</dcterms:modified>
</cp:coreProperties>
</file>