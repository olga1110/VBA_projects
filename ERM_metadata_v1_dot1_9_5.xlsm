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J:\Макросы_25_01\"/>
    </mc:Choice>
  </mc:AlternateContent>
  <bookViews>
    <workbookView xWindow="0" yWindow="780" windowWidth="25440" windowHeight="11652" tabRatio="988"/>
  </bookViews>
  <sheets>
    <sheet name="ERM_TABLE" sheetId="9" r:id="rId1"/>
    <sheet name="ERM_TABLE_ATTR" sheetId="11" r:id="rId2"/>
    <sheet name="ERM_DOMAIN" sheetId="12" r:id="rId3"/>
    <sheet name="ERM_TABLE_VIEW " sheetId="47" r:id="rId4"/>
    <sheet name="SEC_GRP_TAB_ATTR" sheetId="23" r:id="rId5"/>
    <sheet name="SEC_GRP" sheetId="24" r:id="rId6"/>
    <sheet name="TAB_SEC_GRP" sheetId="25" r:id="rId7"/>
    <sheet name="SEC_ROLE" sheetId="26" r:id="rId8"/>
    <sheet name="USR_GRP_SEC_GRP" sheetId="27" r:id="rId9"/>
    <sheet name="USR_USR_GRP" sheetId="29" r:id="rId10"/>
    <sheet name="USR_GRP" sheetId="28" r:id="rId11"/>
    <sheet name="SEC_ROLES_PRIV" sheetId="30" r:id="rId12"/>
    <sheet name="SEC_PRIV" sheetId="31" r:id="rId13"/>
    <sheet name="USR" sheetId="32" r:id="rId14"/>
    <sheet name="JOIN_ATTR" sheetId="33" r:id="rId15"/>
    <sheet name="JOIN_LIST" sheetId="34" r:id="rId16"/>
    <sheet name="ETL_PROC" sheetId="37" r:id="rId17"/>
    <sheet name="ETL_PROC_PARAM" sheetId="38" r:id="rId18"/>
    <sheet name="TEMPLATES_WIDE" sheetId="6" state="hidden" r:id="rId19"/>
    <sheet name="JOIN_PART" sheetId="45" r:id="rId20"/>
    <sheet name="JOIN_PART_EXP" sheetId="46" r:id="rId21"/>
    <sheet name="TEMPLATES" sheetId="4" r:id="rId22"/>
    <sheet name="LST" sheetId="2" r:id="rId23"/>
    <sheet name="Лист1" sheetId="43" r:id="rId24"/>
    <sheet name="ChangeLog" sheetId="17" state="hidden" r:id="rId25"/>
    <sheet name="Скрипт" sheetId="3" state="hidden" r:id="rId26"/>
    <sheet name="Скрипт_очистки" sheetId="16" state="hidden" r:id="rId27"/>
    <sheet name="Security" sheetId="39" state="hidden" r:id="rId28"/>
    <sheet name="View" sheetId="40" state="hidden" r:id="rId29"/>
    <sheet name="ETL" sheetId="41" state="hidden" r:id="rId30"/>
    <sheet name="Лист2" sheetId="44" r:id="rId31"/>
  </sheets>
  <functionGroups builtInGroupCount="18"/>
  <definedNames>
    <definedName name="_A">TEMPLATES!$B$8</definedName>
    <definedName name="_S">TEMPLATES!$B$7</definedName>
    <definedName name="_T">TEMPLATES!$B$9</definedName>
    <definedName name="_xlnm._FilterDatabase" localSheetId="24">ChangeLog!$A$10:$E$11</definedName>
    <definedName name="_xlnm._FilterDatabase" localSheetId="2" hidden="1">ERM_DOMAIN!$A$1:$I$39</definedName>
    <definedName name="_xlnm._FilterDatabase" localSheetId="0" hidden="1">ERM_TABLE!$A$2:$H$180</definedName>
    <definedName name="_xlnm._FilterDatabase" localSheetId="1" hidden="1">ERM_TABLE_ATTR!$A$1:$S$2005</definedName>
    <definedName name="_xlnm._FilterDatabase" localSheetId="3" hidden="1">'ERM_TABLE_VIEW '!$A$1:$F$1</definedName>
    <definedName name="_xlnm._FilterDatabase" localSheetId="16" hidden="1">ETL_PROC!$A$1:$I$1</definedName>
    <definedName name="_xlnm._FilterDatabase" localSheetId="17" hidden="1">ETL_PROC_PARAM!$A$1:$H$1</definedName>
    <definedName name="_xlnm._FilterDatabase" localSheetId="14" hidden="1">JOIN_ATTR!$A$1:$E$2</definedName>
    <definedName name="_xlnm._FilterDatabase" localSheetId="15" hidden="1">JOIN_LIST!$A$1:$C$1</definedName>
    <definedName name="_xlnm._FilterDatabase" localSheetId="19" hidden="1">JOIN_PART!$A$1:$E$1</definedName>
    <definedName name="_xlnm._FilterDatabase" localSheetId="20" hidden="1">JOIN_PART_EXP!$A$1:$E$1</definedName>
    <definedName name="_xlnm._FilterDatabase" localSheetId="5" hidden="1">SEC_GRP!$A$1:$F$1</definedName>
    <definedName name="_xlnm._FilterDatabase" localSheetId="4" hidden="1">SEC_GRP_TAB_ATTR!$A$1:$D$105</definedName>
    <definedName name="_xlnm._FilterDatabase" localSheetId="12" hidden="1">SEC_PRIV!$A$1:$C$1</definedName>
    <definedName name="_xlnm._FilterDatabase" localSheetId="7" hidden="1">SEC_ROLE!$A$1:$F$1</definedName>
    <definedName name="_xlnm._FilterDatabase" localSheetId="11" hidden="1">SEC_ROLES_PRIV!$A$1:$D$1</definedName>
    <definedName name="_xlnm._FilterDatabase" localSheetId="6" hidden="1">TAB_SEC_GRP!$A$1:$E$1</definedName>
    <definedName name="_xlnm._FilterDatabase" localSheetId="21" hidden="1">TEMPLATES!$A$27:$E$92</definedName>
    <definedName name="_xlnm._FilterDatabase" localSheetId="13" hidden="1">USR!$A$1:$G$1</definedName>
    <definedName name="_xlnm._FilterDatabase" localSheetId="10" hidden="1">USR_GRP!$A$1:$F$1</definedName>
    <definedName name="_xlnm._FilterDatabase" localSheetId="8" hidden="1">USR_GRP_SEC_GRP!$A$1:$F$1</definedName>
    <definedName name="_xlnm._FilterDatabase" localSheetId="9" hidden="1">USR_USR_GRP!$A$1:$D$1</definedName>
    <definedName name="ATTR_NAME">ERM_TABLE_ATTR!$D$2:$F$1070</definedName>
    <definedName name="BUILD_LIST">TEMPLATES!$B$15</definedName>
    <definedName name="DATATYPES_DBMS" comment="Допустимые типы данных Teradata для определения бизнес-типов данных">LST!$AN$2:$AN$14</definedName>
    <definedName name="DATATYPES_DEFAULT_FORMAT" comment="Типы данных Teradata с соответствующими форматами по-умолчанию">LST!$AN$2:$AQ$14</definedName>
    <definedName name="DBCONFIG_SH">TEMPLATES!$B$10</definedName>
    <definedName name="DBPARAM_SH">TEMPLATES!$B$12</definedName>
    <definedName name="DEF_FIELDS" comment="Список полей по-умолчанию">LST!$AN$17:$AN$22</definedName>
    <definedName name="DEF_FIELDS_DOMAIN" comment="Типы данных обязательных полей">LST!$AN$17:$AP$22</definedName>
    <definedName name="DEF_MAX_DT" comment="Максимальная дата по-умолчанию в формате Excel">LST!$AL$5</definedName>
    <definedName name="DEF_MAX_DT_DBMS" comment="Максимальная дата по-умолчанию в формате Teradata">LST!$AL$2</definedName>
    <definedName name="DEF_MIN_DT" comment="Минимальная дата по-умолчанию в формате Excel">LST!$AK$5</definedName>
    <definedName name="DEF_MIN_DT_DBMS" comment="Минимальная дата по-умолчанию в формате Teradata">LST!$AK$2</definedName>
    <definedName name="delete_sec">TEMPLATES!$A$91:$B$91</definedName>
    <definedName name="DICT" comment="Технический код справочника" localSheetId="19">ERM_TABLE!#REF!</definedName>
    <definedName name="DICT" comment="Технический код справочника" localSheetId="20">ERM_TABLE!#REF!</definedName>
    <definedName name="DICT" comment="Технический код справочника">ERM_TABLE!#REF!</definedName>
    <definedName name="DICT_ALL" comment="Весь массив данных по справочникам" localSheetId="19">ERM_TABLE!#REF!</definedName>
    <definedName name="DICT_ALL" comment="Весь массив данных по справочникам" localSheetId="20">ERM_TABLE!#REF!</definedName>
    <definedName name="DICT_ALL" comment="Весь массив данных по справочникам">ERM_TABLE!#REF!</definedName>
    <definedName name="DICT_ATTR" comment="Для поиска связанных атрибутов" localSheetId="19">ERM_TABLE_ATTR!#REF!</definedName>
    <definedName name="DICT_ATTR" comment="Для поиска связанных атрибутов" localSheetId="20">ERM_TABLE_ATTR!#REF!</definedName>
    <definedName name="DICT_ATTR" comment="Для поиска связанных атрибутов">ERM_TABLE_ATTR!#REF!</definedName>
    <definedName name="DICT_ATTR_ALL" comment="Весь массив данных по атрибутам справочников" localSheetId="19">ERM_TABLE_ATTR!#REF!</definedName>
    <definedName name="DICT_ATTR_ALL" comment="Весь массив данных по атрибутам справочников" localSheetId="20">ERM_TABLE_ATTR!#REF!</definedName>
    <definedName name="DICT_ATTR_ALL" comment="Весь массив данных по атрибутам справочников">ERM_TABLE_ATTR!#REF!</definedName>
    <definedName name="DICT_DOMAIN_ALL" comment="Весь массив данных по типам данных">ERM_DOMAIN!$A$2:$I$39</definedName>
    <definedName name="DICT_ETL_KEY_ALL" comment="Весь массив данных по ключам оригинальных наборов" localSheetId="19">#REF!</definedName>
    <definedName name="DICT_ETL_KEY_ALL" comment="Весь массив данных по ключам оригинальных наборов" localSheetId="20">#REF!</definedName>
    <definedName name="DICT_ETL_KEY_ALL" comment="Весь массив данных по ключам оригинальных наборов">#REF!</definedName>
    <definedName name="DICT_ETL_SET_ALL" comment="Весь массив данных по оригинальным наборам" localSheetId="19">#REF!</definedName>
    <definedName name="DICT_ETL_SET_ALL" comment="Весь массив данных по оригинальным наборам" localSheetId="20">#REF!</definedName>
    <definedName name="DICT_ETL_SET_ALL" comment="Весь массив данных по оригинальным наборам">#REF!</definedName>
    <definedName name="DICT_MAT_TEMPLATES" comment="Шаблоны создания таблицы для материализованной плоской иерерахии">TEMPLATES_WIDE!$C$37:$V$37</definedName>
    <definedName name="DICT_NM" comment="Типы данных таблиц">"ERM_DOMAIN!$A$2:$B$23"</definedName>
    <definedName name="DICT_PART_VIEWS">TEMPLATES_WIDE!$C$61:$V$92</definedName>
    <definedName name="DICT_TEMPLATES" comment="Шаблоны создания таблиц (используется в макросе)">TEMPLATES_WIDE!$C$4:$V$35</definedName>
    <definedName name="DICT_TEMPLATES_ATTR_META" comment="Запросы для вставки метаданных для типовых полей">TEMPLATES_WIDE!$B$53:$R$58</definedName>
    <definedName name="DICT_TYPES" comment="Для определения координат нужного шаблона в макросе">LST!$C$3:$AG$22</definedName>
    <definedName name="DICT_TYPES_LOOKUP">TEMPLATES_WIDE!$C$3:$R$3</definedName>
    <definedName name="DOMAIN" comment="Идентификатор бизнес-типа данных">ERM_DOMAIN!$A$2:$A$21</definedName>
    <definedName name="drop_view_block">TEMPLATES!$A$92:$B$92</definedName>
    <definedName name="ERM_ATTR_COLLECTION_ALL">#REF!</definedName>
    <definedName name="ERM_DOMAIN" comment="Идентификатор и наименование бизнес-типа данных">ERM_DOMAIN!$A$2:$B$56</definedName>
    <definedName name="ERM_DOMAIN_ALL">ERM_DOMAIN!$A$2:$I$56</definedName>
    <definedName name="ERM_DOMAIN_NM">ERM_DOMAIN!$A$2:$B$56</definedName>
    <definedName name="ERM_TABLE_ALL">ERM_TABLE!$A$3:$H$180</definedName>
    <definedName name="ERM_TABLE_ATTR_ALL">ERM_TABLE_ATTR!$A$2:$R$2005</definedName>
    <definedName name="ERM_TABLE_NM" comment="Технический код и наименование таблицы">ERM_TABLE!$B$3:$C$180</definedName>
    <definedName name="ERM_TABLE_VIEW">'ERM_TABLE_VIEW '!$A$2:$F$4</definedName>
    <definedName name="ETL_DROP">TEMPLATES!$A$93:$B$93</definedName>
    <definedName name="ETL_PROC_ALL">ETL_PROC!$A$2:$I$6</definedName>
    <definedName name="ETL_PROC_PARAM_ALL">ETL_PROC_PARAM!$A$2:$H$6</definedName>
    <definedName name="EXCEL_BUG_DT" comment="Ссылка на &quot;волшебную&quot; дату, с которой у Excel до сих пор проблемы">LST!$AK$8</definedName>
    <definedName name="FLAT_HIER">LST!$A$15</definedName>
    <definedName name="HLEV_ALL" comment="Весь массив данных по уровням" localSheetId="19">#REF!</definedName>
    <definedName name="HLEV_ALL" comment="Весь массив данных по уровням" localSheetId="20">#REF!</definedName>
    <definedName name="HLEV_ALL" comment="Весь массив данных по уровням">#REF!</definedName>
    <definedName name="INFO_SYSTEM_CD_ALL" localSheetId="19">#REF!</definedName>
    <definedName name="INFO_SYSTEM_CD_ALL" localSheetId="20">#REF!</definedName>
    <definedName name="INFO_SYSTEM_CD_ALL">#REF!</definedName>
    <definedName name="INSERT_attr">TEMPLATES!$A$89:$B$89</definedName>
    <definedName name="INSERT_domain">TEMPLATES!#REF!</definedName>
    <definedName name="INSERT_table">TEMPLATES!$A$85:$B$88</definedName>
    <definedName name="JOIN_ATTR_ALL">JOIN_ATTR!$A$2:$E$26</definedName>
    <definedName name="JOIN_LIST_ALL" localSheetId="19">JOIN_PART!$A$2:$C$2</definedName>
    <definedName name="JOIN_LIST_ALL" localSheetId="20">JOIN_PART_EXP!$A$2:$C$2</definedName>
    <definedName name="JOIN_LIST_ALL">JOIN_LIST!$A$2:$C$2</definedName>
    <definedName name="JOIN_PART_ALL" localSheetId="20">JOIN_PART_EXP!$A$2:$E$15</definedName>
    <definedName name="JOIN_PART_ALL">JOIN_PART!$A$2:$E$15</definedName>
    <definedName name="JOIN_PART_EXP_ALL">JOIN_PART_EXP!$A$2:$E$27</definedName>
    <definedName name="K_SELECT">TEMPLATES!$B$16</definedName>
    <definedName name="LOGON_BTEQ">TEMPLATES!$B$13</definedName>
    <definedName name="LU" comment="Список выбора значения роли L/U">LST!$AI$11:$AI$13</definedName>
    <definedName name="MAIN_BTEQ">TEMPLATES!$B$14</definedName>
    <definedName name="MAIN_SH">TEMPLATES!$B$11</definedName>
    <definedName name="MAT_FIELDS_DOMAIN" comment="Типы данных полей в материализованой плоской иерархии" localSheetId="19">LST!#REF!</definedName>
    <definedName name="MAT_FIELDS_DOMAIN" comment="Типы данных полей в материализованой плоской иерархии" localSheetId="20">LST!#REF!</definedName>
    <definedName name="MAT_FIELDS_DOMAIN" comment="Типы данных полей в материализованой плоской иерархии">LST!#REF!</definedName>
    <definedName name="MAT_VIEW_TEMPLATE">TEMPLATES!$B$9</definedName>
    <definedName name="META_SCRIPTS">LST!$A$28:$B$30</definedName>
    <definedName name="METADATA_DROP">TEMPLATES!$A$31:$B$56</definedName>
    <definedName name="METADATA_INSERT">TEMPLATES!$A$85:$B$89</definedName>
    <definedName name="METADATA_TAB">TEMPLATES!$A$57:$C$80</definedName>
    <definedName name="MetadataModel">LST!$A$34:$B$36</definedName>
    <definedName name="PARTITION">LST!$AK$14:$AK$15</definedName>
    <definedName name="PLUS" comment="Списко допустимых значений для поля-отметки генератции скриптов">LST!$AI$7:$AI$8</definedName>
    <definedName name="PRIV_NAME_ALL" comment="Наименование привилегии">SEC_PRIV!$A$2:$C$14</definedName>
    <definedName name="PROTECTED_MODE">LST!$AK$11</definedName>
    <definedName name="Q_VIEW_TEMPLATE">TEMPLATES!$B$3</definedName>
    <definedName name="ROLE_NAME">SEC_ROLE!$A$2:$D$15</definedName>
    <definedName name="SCHEMA_SYSDBA" comment="SYSDBAN">LST!$A$12</definedName>
    <definedName name="SCRIPT_PARTS">LST!$A$39:$B$49</definedName>
    <definedName name="SCRIPT_PARTS_FICT">LST!$AS$1:$AT$8</definedName>
    <definedName name="sec_grp">SEC_GRP!$A$2:$C$2</definedName>
    <definedName name="SEC_GRP_ALL" comment="Группа доступа">SEC_GRP!$A$2:$F$2</definedName>
    <definedName name="SEC_GRP_TAB_ATR_ALL" comment="Привязка атрибута к группе доступа">SEC_GRP_TAB_ATTR!$A$2:$D$2</definedName>
    <definedName name="SEC_ROLE_ALL">SEC_ROLE!$A$2:$F$15</definedName>
    <definedName name="SEC_ROLES_PRIV_ALL">SEC_ROLES_PRIV!$A$2:$D$27</definedName>
    <definedName name="set_antepost_flag">LST!$B$50</definedName>
    <definedName name="set_insert_flag">LST!$D$48</definedName>
    <definedName name="set_jazz_build">LST!$A$20</definedName>
    <definedName name="set_jazz_no">LST!$A$18</definedName>
    <definedName name="SRD_PREF_1">LST!$A$6</definedName>
    <definedName name="STD_VIEW_COLUMNS" comment="Перечень полей в стандартных представлениях 1-го уровня">TEMPLATES_WIDE!$C$40:$V$47</definedName>
    <definedName name="TAB_SEC_GRP">TAB_SEC_GRP!$A$2:$E$183</definedName>
    <definedName name="templates_meta">TEMPLATES!$A$28:$C$88</definedName>
    <definedName name="UNION_LIST_ALL">#REF!</definedName>
    <definedName name="USR_ALL">USR!$A$2:$G$6</definedName>
    <definedName name="USR_GRP_ALL">USR_GRP!$A$2:$F$6</definedName>
    <definedName name="USR_GRP_NAME">USR_GRP!$A$2:$C$6</definedName>
    <definedName name="USR_GRP_SEC_GRP_ALL">USR_GRP_SEC_GRP!$A$2:$F$30</definedName>
    <definedName name="USR_NAME">USR!$A$2:$C$6</definedName>
    <definedName name="USR_USR_GRP_ALL">USR_USR_GRP!$A$2:$D$6</definedName>
    <definedName name="V_K_PATCH">TEMPLATES!$B$18</definedName>
    <definedName name="V_PATCH">TEMPLATES!$B$19</definedName>
    <definedName name="V_PATCH_RDM">TEMPLATES!$B$20</definedName>
    <definedName name="V_PATCH_UNILOAD">TEMPLATES!$B$22</definedName>
    <definedName name="V_PATCH_UNISAVE">TEMPLATES!$B$21</definedName>
    <definedName name="V_SELECT">TEMPLATES!$B$17</definedName>
    <definedName name="V_VIEW_TEMPLATE" comment="Шаблон стандартного V-представления">TEMPLATES!$B$1</definedName>
    <definedName name="VIEW_LOG">TEMPLATES!$A$81:$C$84</definedName>
    <definedName name="W_VIEW_TEMPLATE">TEMPLATES!$B$4</definedName>
    <definedName name="X_VIEW_TEMPLATE">TEMPLATES!$B$5</definedName>
    <definedName name="Y_VIEW_TEMPLATE">TEMPLATES!$B$6</definedName>
    <definedName name="YN" comment="Список выбора значения флага Y/N">LST!$AI$2:$AI$4</definedName>
    <definedName name="Z_VIEW_TEMPLATE" comment="Шаблон стандартного  Z-представления">TEMPLATES!$B$2</definedName>
    <definedName name="Z_VIEW_XREF_TEMPLATE">TEMPLATES!$B$7</definedName>
    <definedName name="Z_VIEW_XREF_TEMPLATE_DT">TEMPLATES!$B$8</definedName>
  </definedNames>
  <calcPr calcId="162913"/>
</workbook>
</file>

<file path=xl/calcChain.xml><?xml version="1.0" encoding="utf-8"?>
<calcChain xmlns="http://schemas.openxmlformats.org/spreadsheetml/2006/main">
  <c r="D153" i="25" l="1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D5" i="27" l="1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6" i="27"/>
  <c r="F27" i="27"/>
  <c r="F28" i="27"/>
  <c r="F29" i="27"/>
  <c r="F30" i="27"/>
  <c r="B5" i="27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2" i="23"/>
  <c r="D2" i="23"/>
  <c r="I2002" i="11" l="1"/>
  <c r="I2003" i="11"/>
  <c r="I2004" i="11"/>
  <c r="I2005" i="11"/>
  <c r="B2002" i="11"/>
  <c r="B2003" i="11"/>
  <c r="B2004" i="11"/>
  <c r="B2005" i="11"/>
  <c r="S1718" i="11" l="1"/>
  <c r="S1719" i="11"/>
  <c r="S1720" i="11"/>
  <c r="S1721" i="11"/>
  <c r="S1722" i="11"/>
  <c r="S1723" i="11"/>
  <c r="S1724" i="11"/>
  <c r="S1725" i="11"/>
  <c r="S1726" i="11"/>
  <c r="S1727" i="11"/>
  <c r="S1728" i="11"/>
  <c r="S1729" i="11"/>
  <c r="S1730" i="11"/>
  <c r="S1731" i="11"/>
  <c r="S1732" i="11"/>
  <c r="S1733" i="11"/>
  <c r="S1734" i="11"/>
  <c r="S1735" i="11"/>
  <c r="S1736" i="11"/>
  <c r="S1737" i="11"/>
  <c r="S1738" i="11"/>
  <c r="S1739" i="11"/>
  <c r="S1740" i="11"/>
  <c r="S1741" i="11"/>
  <c r="S1742" i="11"/>
  <c r="S1743" i="11"/>
  <c r="S1744" i="11"/>
  <c r="S1745" i="11"/>
  <c r="S1746" i="11"/>
  <c r="S1747" i="11"/>
  <c r="S1748" i="11"/>
  <c r="S1749" i="11"/>
  <c r="S1750" i="11"/>
  <c r="S1751" i="11"/>
  <c r="S1752" i="11"/>
  <c r="S1753" i="11"/>
  <c r="S1754" i="11"/>
  <c r="S1755" i="11"/>
  <c r="S1756" i="11"/>
  <c r="S1757" i="11"/>
  <c r="S1758" i="11"/>
  <c r="S1759" i="11"/>
  <c r="S1760" i="11"/>
  <c r="S1761" i="11"/>
  <c r="S1762" i="11"/>
  <c r="S1763" i="11"/>
  <c r="S1764" i="11"/>
  <c r="S1765" i="11"/>
  <c r="S1766" i="11"/>
  <c r="S1767" i="11"/>
  <c r="S1768" i="11"/>
  <c r="S1769" i="11"/>
  <c r="S1770" i="11"/>
  <c r="S1771" i="11"/>
  <c r="S1772" i="11"/>
  <c r="S1773" i="11"/>
  <c r="S1774" i="11"/>
  <c r="S1775" i="11"/>
  <c r="S1776" i="11"/>
  <c r="S1777" i="11"/>
  <c r="S1778" i="11"/>
  <c r="S1779" i="11"/>
  <c r="S1780" i="11"/>
  <c r="S1781" i="11"/>
  <c r="S1782" i="11"/>
  <c r="S1783" i="11"/>
  <c r="S1784" i="11"/>
  <c r="S1785" i="11"/>
  <c r="S1786" i="11"/>
  <c r="S1787" i="11"/>
  <c r="S1788" i="11"/>
  <c r="S1789" i="11"/>
  <c r="S1790" i="11"/>
  <c r="S1791" i="11"/>
  <c r="S1792" i="11"/>
  <c r="S1793" i="11"/>
  <c r="S1794" i="11"/>
  <c r="S1795" i="11"/>
  <c r="S1796" i="11"/>
  <c r="S1797" i="11"/>
  <c r="S1798" i="11"/>
  <c r="S1799" i="11"/>
  <c r="S1800" i="11"/>
  <c r="S1801" i="11"/>
  <c r="S1802" i="11"/>
  <c r="S1803" i="11"/>
  <c r="S1804" i="11"/>
  <c r="S1805" i="11"/>
  <c r="S1806" i="11"/>
  <c r="S1807" i="11"/>
  <c r="S1808" i="11"/>
  <c r="S1809" i="11"/>
  <c r="S1810" i="11"/>
  <c r="S1811" i="11"/>
  <c r="S1812" i="11"/>
  <c r="S1813" i="11"/>
  <c r="S1814" i="11"/>
  <c r="S1815" i="11"/>
  <c r="S1816" i="11"/>
  <c r="S1817" i="11"/>
  <c r="S1818" i="11"/>
  <c r="S1819" i="11"/>
  <c r="S1820" i="11"/>
  <c r="S1821" i="11"/>
  <c r="S1822" i="11"/>
  <c r="S1823" i="11"/>
  <c r="S1824" i="11"/>
  <c r="S1825" i="11"/>
  <c r="S1826" i="11"/>
  <c r="S1827" i="11"/>
  <c r="S1828" i="11"/>
  <c r="S1829" i="11"/>
  <c r="S1830" i="11"/>
  <c r="S1831" i="11"/>
  <c r="S1832" i="11"/>
  <c r="S1833" i="11"/>
  <c r="S1834" i="11"/>
  <c r="S1835" i="11"/>
  <c r="S1836" i="11"/>
  <c r="S1837" i="11"/>
  <c r="S1838" i="11"/>
  <c r="S1839" i="11"/>
  <c r="S1840" i="11"/>
  <c r="S1841" i="11"/>
  <c r="S1842" i="11"/>
  <c r="S1843" i="11"/>
  <c r="S1844" i="11"/>
  <c r="S1845" i="11"/>
  <c r="S1846" i="11"/>
  <c r="S1847" i="11"/>
  <c r="S1848" i="11"/>
  <c r="S1849" i="11"/>
  <c r="S1850" i="11"/>
  <c r="S1851" i="11"/>
  <c r="S1852" i="11"/>
  <c r="S1853" i="11"/>
  <c r="S1854" i="11"/>
  <c r="S1855" i="11"/>
  <c r="S1856" i="11"/>
  <c r="S1857" i="11"/>
  <c r="S1858" i="11"/>
  <c r="S1859" i="11"/>
  <c r="S1860" i="11"/>
  <c r="S1861" i="11"/>
  <c r="S1862" i="11"/>
  <c r="S1863" i="11"/>
  <c r="S1864" i="11"/>
  <c r="S1865" i="11"/>
  <c r="S1866" i="11"/>
  <c r="S1867" i="11"/>
  <c r="S1868" i="11"/>
  <c r="S1869" i="11"/>
  <c r="S1870" i="11"/>
  <c r="S1871" i="11"/>
  <c r="S1872" i="11"/>
  <c r="S1873" i="11"/>
  <c r="S1874" i="11"/>
  <c r="S1875" i="11"/>
  <c r="S1876" i="11"/>
  <c r="S1877" i="11"/>
  <c r="S1878" i="11"/>
  <c r="S1879" i="11"/>
  <c r="S1880" i="11"/>
  <c r="S1881" i="11"/>
  <c r="S1882" i="11"/>
  <c r="S1883" i="11"/>
  <c r="S1884" i="11"/>
  <c r="S1885" i="11"/>
  <c r="S1886" i="11"/>
  <c r="S1887" i="11"/>
  <c r="S1888" i="11"/>
  <c r="S1889" i="11"/>
  <c r="S1890" i="11"/>
  <c r="S1891" i="11"/>
  <c r="S1892" i="11"/>
  <c r="S1893" i="11"/>
  <c r="S1894" i="11"/>
  <c r="S1895" i="11"/>
  <c r="S1896" i="11"/>
  <c r="S1897" i="11"/>
  <c r="S1898" i="11"/>
  <c r="S1899" i="11"/>
  <c r="S1900" i="11"/>
  <c r="S1901" i="11"/>
  <c r="S1902" i="11"/>
  <c r="S1903" i="11"/>
  <c r="S1904" i="11"/>
  <c r="S1905" i="11"/>
  <c r="S1906" i="11"/>
  <c r="S1907" i="11"/>
  <c r="S1908" i="11"/>
  <c r="S1909" i="11"/>
  <c r="S1910" i="11"/>
  <c r="S1911" i="11"/>
  <c r="S1912" i="11"/>
  <c r="S1913" i="11"/>
  <c r="S1914" i="11"/>
  <c r="S1915" i="11"/>
  <c r="S1916" i="11"/>
  <c r="S1917" i="11"/>
  <c r="S1918" i="11"/>
  <c r="S1919" i="11"/>
  <c r="S1920" i="11"/>
  <c r="S1921" i="11"/>
  <c r="S1922" i="11"/>
  <c r="S1923" i="11"/>
  <c r="S1924" i="11"/>
  <c r="S1925" i="11"/>
  <c r="S1926" i="11"/>
  <c r="S1927" i="11"/>
  <c r="S1928" i="11"/>
  <c r="S1929" i="11"/>
  <c r="S1930" i="11"/>
  <c r="S1931" i="11"/>
  <c r="S1932" i="11"/>
  <c r="S1933" i="11"/>
  <c r="S1934" i="11"/>
  <c r="S1935" i="11"/>
  <c r="S1936" i="11"/>
  <c r="S1937" i="11"/>
  <c r="S1938" i="11"/>
  <c r="S1939" i="11"/>
  <c r="S1940" i="11"/>
  <c r="S1941" i="11"/>
  <c r="S1942" i="11"/>
  <c r="S1943" i="11"/>
  <c r="S1944" i="11"/>
  <c r="S1945" i="11"/>
  <c r="S1946" i="11"/>
  <c r="S1947" i="11"/>
  <c r="S1948" i="11"/>
  <c r="S1949" i="11"/>
  <c r="S1950" i="11"/>
  <c r="S1951" i="11"/>
  <c r="S1952" i="11"/>
  <c r="S1953" i="11"/>
  <c r="S1954" i="11"/>
  <c r="S1955" i="11"/>
  <c r="S1956" i="11"/>
  <c r="S1957" i="11"/>
  <c r="S1958" i="11"/>
  <c r="S1959" i="11"/>
  <c r="S1960" i="11"/>
  <c r="S1961" i="11"/>
  <c r="S1962" i="11"/>
  <c r="S1963" i="11"/>
  <c r="S1964" i="11"/>
  <c r="S1965" i="11"/>
  <c r="S1966" i="11"/>
  <c r="S1967" i="11"/>
  <c r="S1968" i="11"/>
  <c r="S1969" i="11"/>
  <c r="S1970" i="11"/>
  <c r="S1971" i="11"/>
  <c r="S1972" i="11"/>
  <c r="S1973" i="11"/>
  <c r="S1974" i="11"/>
  <c r="S1975" i="11"/>
  <c r="S1976" i="11"/>
  <c r="S1977" i="11"/>
  <c r="S1978" i="11"/>
  <c r="S1979" i="11"/>
  <c r="S1980" i="11"/>
  <c r="S1981" i="11"/>
  <c r="S1982" i="11"/>
  <c r="S1983" i="11"/>
  <c r="S1984" i="11"/>
  <c r="S1985" i="11"/>
  <c r="S1986" i="11"/>
  <c r="S1987" i="11"/>
  <c r="S1988" i="11"/>
  <c r="S1989" i="11"/>
  <c r="S1990" i="11"/>
  <c r="S1991" i="11"/>
  <c r="S1992" i="11"/>
  <c r="S1993" i="11"/>
  <c r="S1994" i="11"/>
  <c r="S1995" i="11"/>
  <c r="S1996" i="11"/>
  <c r="S1997" i="11"/>
  <c r="S1998" i="11"/>
  <c r="S1999" i="11"/>
  <c r="S2000" i="11"/>
  <c r="S2001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B1624" i="11"/>
  <c r="B1625" i="11"/>
  <c r="B1626" i="11"/>
  <c r="B1627" i="11"/>
  <c r="B1628" i="11"/>
  <c r="B1629" i="11"/>
  <c r="B1630" i="11"/>
  <c r="B1631" i="11"/>
  <c r="B1632" i="11"/>
  <c r="B1633" i="11"/>
  <c r="B1634" i="11"/>
  <c r="B1635" i="11"/>
  <c r="B1636" i="11"/>
  <c r="B1637" i="11"/>
  <c r="B1638" i="11"/>
  <c r="B1639" i="11"/>
  <c r="B1640" i="11"/>
  <c r="B1641" i="11"/>
  <c r="B1642" i="11"/>
  <c r="B1643" i="11"/>
  <c r="B1644" i="11"/>
  <c r="B1645" i="11"/>
  <c r="B1646" i="11"/>
  <c r="B1647" i="11"/>
  <c r="B1648" i="11"/>
  <c r="B1649" i="11"/>
  <c r="B1650" i="11"/>
  <c r="B1651" i="11"/>
  <c r="B1652" i="11"/>
  <c r="B1653" i="11"/>
  <c r="B1654" i="11"/>
  <c r="B1655" i="11"/>
  <c r="B1656" i="11"/>
  <c r="B1657" i="11"/>
  <c r="B1658" i="11"/>
  <c r="B1659" i="11"/>
  <c r="B1660" i="11"/>
  <c r="B1661" i="11"/>
  <c r="B1662" i="11"/>
  <c r="B1663" i="11"/>
  <c r="B1664" i="11"/>
  <c r="B1665" i="11"/>
  <c r="B1666" i="11"/>
  <c r="B1667" i="11"/>
  <c r="B1668" i="11"/>
  <c r="B1669" i="11"/>
  <c r="B1670" i="11"/>
  <c r="B1671" i="11"/>
  <c r="B1672" i="11"/>
  <c r="B1673" i="11"/>
  <c r="B1674" i="11"/>
  <c r="B1675" i="11"/>
  <c r="B1676" i="11"/>
  <c r="B1677" i="11"/>
  <c r="B1678" i="11"/>
  <c r="B1679" i="11"/>
  <c r="B1680" i="11"/>
  <c r="B1681" i="11"/>
  <c r="B1682" i="11"/>
  <c r="B1683" i="11"/>
  <c r="B1684" i="11"/>
  <c r="B1685" i="11"/>
  <c r="B1686" i="11"/>
  <c r="B1687" i="11"/>
  <c r="B1688" i="11"/>
  <c r="B1689" i="11"/>
  <c r="B1690" i="11"/>
  <c r="B1691" i="11"/>
  <c r="B1692" i="11"/>
  <c r="B1693" i="11"/>
  <c r="B1694" i="11"/>
  <c r="B1695" i="11"/>
  <c r="B1696" i="11"/>
  <c r="B1697" i="11"/>
  <c r="B1698" i="11"/>
  <c r="B1699" i="11"/>
  <c r="B1700" i="11"/>
  <c r="B1701" i="11"/>
  <c r="B1702" i="11"/>
  <c r="B1703" i="11"/>
  <c r="B1704" i="11"/>
  <c r="B1705" i="11"/>
  <c r="B1706" i="11"/>
  <c r="B1707" i="11"/>
  <c r="B1708" i="11"/>
  <c r="B1709" i="11"/>
  <c r="B1710" i="11"/>
  <c r="B1711" i="11"/>
  <c r="B1712" i="11"/>
  <c r="B1713" i="11"/>
  <c r="B1714" i="11"/>
  <c r="B1715" i="11"/>
  <c r="B1716" i="11"/>
  <c r="B1717" i="11"/>
  <c r="B1718" i="11"/>
  <c r="B1719" i="11"/>
  <c r="B1720" i="11"/>
  <c r="B1721" i="11"/>
  <c r="B1722" i="11"/>
  <c r="B1723" i="11"/>
  <c r="B1724" i="11"/>
  <c r="B1725" i="11"/>
  <c r="B1726" i="11"/>
  <c r="B1727" i="11"/>
  <c r="B1728" i="11"/>
  <c r="B1729" i="11"/>
  <c r="B1730" i="11"/>
  <c r="B1731" i="11"/>
  <c r="B1732" i="11"/>
  <c r="B1733" i="11"/>
  <c r="B1734" i="11"/>
  <c r="B1735" i="11"/>
  <c r="B1736" i="11"/>
  <c r="B1737" i="11"/>
  <c r="B1738" i="11"/>
  <c r="B1739" i="11"/>
  <c r="B1740" i="11"/>
  <c r="B1741" i="11"/>
  <c r="B1742" i="11"/>
  <c r="B1743" i="11"/>
  <c r="B1744" i="11"/>
  <c r="B1745" i="11"/>
  <c r="B1746" i="11"/>
  <c r="B1747" i="11"/>
  <c r="B1748" i="11"/>
  <c r="B1749" i="11"/>
  <c r="B1750" i="11"/>
  <c r="B1751" i="11"/>
  <c r="B1752" i="11"/>
  <c r="B1753" i="11"/>
  <c r="B1754" i="11"/>
  <c r="B1755" i="11"/>
  <c r="B1756" i="11"/>
  <c r="B1757" i="11"/>
  <c r="B1758" i="11"/>
  <c r="B1759" i="11"/>
  <c r="B1760" i="11"/>
  <c r="B1761" i="11"/>
  <c r="B1762" i="11"/>
  <c r="B1763" i="11"/>
  <c r="B1764" i="11"/>
  <c r="B1765" i="11"/>
  <c r="B1766" i="11"/>
  <c r="B1767" i="11"/>
  <c r="B1768" i="11"/>
  <c r="B1769" i="11"/>
  <c r="B1770" i="11"/>
  <c r="B1771" i="11"/>
  <c r="B1772" i="11"/>
  <c r="B1773" i="11"/>
  <c r="B1774" i="11"/>
  <c r="B1775" i="11"/>
  <c r="B1776" i="11"/>
  <c r="B1777" i="11"/>
  <c r="B1778" i="11"/>
  <c r="B1779" i="11"/>
  <c r="B1780" i="11"/>
  <c r="B1781" i="11"/>
  <c r="B1782" i="11"/>
  <c r="B1783" i="11"/>
  <c r="B1784" i="11"/>
  <c r="B1785" i="11"/>
  <c r="B1786" i="11"/>
  <c r="B1787" i="11"/>
  <c r="B1788" i="11"/>
  <c r="B1789" i="11"/>
  <c r="B1790" i="11"/>
  <c r="B1791" i="11"/>
  <c r="B1792" i="11"/>
  <c r="B1793" i="11"/>
  <c r="B1794" i="11"/>
  <c r="B1795" i="11"/>
  <c r="B1796" i="11"/>
  <c r="B1797" i="11"/>
  <c r="B1798" i="11"/>
  <c r="B1799" i="11"/>
  <c r="B1800" i="11"/>
  <c r="B1801" i="11"/>
  <c r="B1802" i="11"/>
  <c r="B1803" i="11"/>
  <c r="B1804" i="11"/>
  <c r="B1805" i="11"/>
  <c r="B1806" i="11"/>
  <c r="B1807" i="11"/>
  <c r="B1808" i="11"/>
  <c r="B1809" i="11"/>
  <c r="B1810" i="11"/>
  <c r="B1811" i="11"/>
  <c r="B1812" i="11"/>
  <c r="B1813" i="11"/>
  <c r="B1814" i="11"/>
  <c r="B1815" i="11"/>
  <c r="B1816" i="11"/>
  <c r="B1817" i="11"/>
  <c r="B1818" i="11"/>
  <c r="B1819" i="11"/>
  <c r="B1820" i="11"/>
  <c r="B1821" i="11"/>
  <c r="B1822" i="11"/>
  <c r="B1823" i="11"/>
  <c r="B1824" i="11"/>
  <c r="B1825" i="11"/>
  <c r="B1826" i="11"/>
  <c r="B1827" i="11"/>
  <c r="B1828" i="11"/>
  <c r="B1829" i="11"/>
  <c r="B1830" i="11"/>
  <c r="B1831" i="11"/>
  <c r="B1832" i="11"/>
  <c r="B1833" i="11"/>
  <c r="B1834" i="11"/>
  <c r="B1835" i="11"/>
  <c r="B1836" i="11"/>
  <c r="B1837" i="11"/>
  <c r="B1838" i="11"/>
  <c r="B1839" i="11"/>
  <c r="B1840" i="11"/>
  <c r="B1841" i="11"/>
  <c r="B1842" i="11"/>
  <c r="B1843" i="11"/>
  <c r="B1844" i="11"/>
  <c r="B1845" i="11"/>
  <c r="B1846" i="11"/>
  <c r="B1847" i="11"/>
  <c r="B1848" i="11"/>
  <c r="B1849" i="11"/>
  <c r="B1850" i="11"/>
  <c r="B1851" i="11"/>
  <c r="B1852" i="11"/>
  <c r="B1853" i="11"/>
  <c r="B1854" i="11"/>
  <c r="B1855" i="11"/>
  <c r="B1856" i="11"/>
  <c r="B1857" i="11"/>
  <c r="B1858" i="11"/>
  <c r="B1859" i="11"/>
  <c r="B1860" i="11"/>
  <c r="B1861" i="11"/>
  <c r="B1862" i="11"/>
  <c r="B1863" i="11"/>
  <c r="B1864" i="11"/>
  <c r="B1865" i="11"/>
  <c r="B1866" i="11"/>
  <c r="B1867" i="11"/>
  <c r="B1868" i="11"/>
  <c r="B1869" i="11"/>
  <c r="B1870" i="11"/>
  <c r="B1871" i="11"/>
  <c r="B1872" i="11"/>
  <c r="B1873" i="11"/>
  <c r="B1874" i="11"/>
  <c r="B1875" i="11"/>
  <c r="B1876" i="11"/>
  <c r="B1877" i="11"/>
  <c r="B1878" i="11"/>
  <c r="B1879" i="11"/>
  <c r="B1880" i="11"/>
  <c r="B1881" i="11"/>
  <c r="B1882" i="11"/>
  <c r="B1883" i="11"/>
  <c r="B1884" i="11"/>
  <c r="B1885" i="11"/>
  <c r="B1886" i="11"/>
  <c r="B1887" i="11"/>
  <c r="B1888" i="11"/>
  <c r="B1889" i="11"/>
  <c r="B1890" i="11"/>
  <c r="B1891" i="11"/>
  <c r="B1892" i="11"/>
  <c r="B1893" i="11"/>
  <c r="B1894" i="11"/>
  <c r="B1895" i="11"/>
  <c r="B1896" i="11"/>
  <c r="B1897" i="11"/>
  <c r="B1898" i="11"/>
  <c r="B1899" i="11"/>
  <c r="B1900" i="11"/>
  <c r="B1901" i="11"/>
  <c r="B1902" i="11"/>
  <c r="B1903" i="11"/>
  <c r="B1904" i="11"/>
  <c r="B1905" i="11"/>
  <c r="B1906" i="11"/>
  <c r="B1907" i="11"/>
  <c r="B1908" i="11"/>
  <c r="B1909" i="11"/>
  <c r="B1910" i="11"/>
  <c r="B1911" i="11"/>
  <c r="B1912" i="11"/>
  <c r="B1913" i="11"/>
  <c r="B1914" i="11"/>
  <c r="B1915" i="11"/>
  <c r="B1916" i="11"/>
  <c r="B1917" i="11"/>
  <c r="B1918" i="11"/>
  <c r="B1919" i="11"/>
  <c r="B1920" i="11"/>
  <c r="B1921" i="11"/>
  <c r="B1922" i="11"/>
  <c r="B1923" i="11"/>
  <c r="B1924" i="11"/>
  <c r="B1925" i="11"/>
  <c r="B1926" i="11"/>
  <c r="B1927" i="11"/>
  <c r="B1928" i="11"/>
  <c r="B1929" i="11"/>
  <c r="B1930" i="11"/>
  <c r="B1931" i="11"/>
  <c r="B1932" i="11"/>
  <c r="B1933" i="11"/>
  <c r="B1934" i="11"/>
  <c r="B1935" i="11"/>
  <c r="B1936" i="11"/>
  <c r="B1937" i="11"/>
  <c r="B1938" i="11"/>
  <c r="B1939" i="11"/>
  <c r="B1940" i="11"/>
  <c r="B1941" i="11"/>
  <c r="B1942" i="11"/>
  <c r="B1943" i="11"/>
  <c r="B1944" i="11"/>
  <c r="B1945" i="11"/>
  <c r="B1946" i="11"/>
  <c r="B1947" i="11"/>
  <c r="B1948" i="11"/>
  <c r="B1949" i="11"/>
  <c r="B1950" i="11"/>
  <c r="B1951" i="11"/>
  <c r="B1952" i="11"/>
  <c r="B1953" i="11"/>
  <c r="B1954" i="11"/>
  <c r="B1955" i="11"/>
  <c r="B1956" i="11"/>
  <c r="B1957" i="11"/>
  <c r="B1958" i="11"/>
  <c r="B1959" i="11"/>
  <c r="B1960" i="11"/>
  <c r="B1961" i="11"/>
  <c r="B1962" i="11"/>
  <c r="B1963" i="11"/>
  <c r="B1964" i="11"/>
  <c r="B1965" i="11"/>
  <c r="B1966" i="11"/>
  <c r="B1967" i="11"/>
  <c r="B1968" i="11"/>
  <c r="B1969" i="11"/>
  <c r="B1970" i="11"/>
  <c r="B1971" i="11"/>
  <c r="B1972" i="11"/>
  <c r="B1973" i="11"/>
  <c r="B1974" i="11"/>
  <c r="B1975" i="11"/>
  <c r="B1976" i="11"/>
  <c r="B1977" i="11"/>
  <c r="B1978" i="11"/>
  <c r="B1979" i="11"/>
  <c r="B1980" i="11"/>
  <c r="B1981" i="11"/>
  <c r="B1982" i="11"/>
  <c r="B1983" i="11"/>
  <c r="B1984" i="11"/>
  <c r="B1985" i="11"/>
  <c r="B1986" i="11"/>
  <c r="B1987" i="11"/>
  <c r="B1988" i="11"/>
  <c r="B1989" i="11"/>
  <c r="B1990" i="11"/>
  <c r="B1991" i="11"/>
  <c r="B1992" i="11"/>
  <c r="B1993" i="11"/>
  <c r="B1994" i="11"/>
  <c r="B1995" i="11"/>
  <c r="B1996" i="11"/>
  <c r="B1997" i="11"/>
  <c r="B1998" i="11"/>
  <c r="B1999" i="11"/>
  <c r="B2000" i="11"/>
  <c r="B2001" i="11"/>
  <c r="I1718" i="11"/>
  <c r="I1719" i="11"/>
  <c r="I1720" i="11"/>
  <c r="I1721" i="11"/>
  <c r="I1722" i="11"/>
  <c r="I1723" i="11"/>
  <c r="I1724" i="11"/>
  <c r="I1725" i="11"/>
  <c r="I1726" i="11"/>
  <c r="I1727" i="11"/>
  <c r="I1728" i="11"/>
  <c r="I1729" i="11"/>
  <c r="I1730" i="11"/>
  <c r="I1731" i="11"/>
  <c r="I1732" i="11"/>
  <c r="I1733" i="11"/>
  <c r="I1734" i="11"/>
  <c r="I1735" i="11"/>
  <c r="I1736" i="11"/>
  <c r="I1737" i="11"/>
  <c r="I1738" i="11"/>
  <c r="I1739" i="11"/>
  <c r="I1740" i="11"/>
  <c r="I1741" i="11"/>
  <c r="I1742" i="11"/>
  <c r="I1743" i="11"/>
  <c r="I1744" i="11"/>
  <c r="I1745" i="11"/>
  <c r="I1746" i="11"/>
  <c r="I1747" i="11"/>
  <c r="I1748" i="11"/>
  <c r="I1749" i="11"/>
  <c r="I1750" i="11"/>
  <c r="I1751" i="11"/>
  <c r="I1752" i="11"/>
  <c r="I1753" i="11"/>
  <c r="I1754" i="11"/>
  <c r="I1755" i="11"/>
  <c r="I1756" i="11"/>
  <c r="I1757" i="11"/>
  <c r="I1758" i="11"/>
  <c r="I1759" i="11"/>
  <c r="I1760" i="11"/>
  <c r="I1761" i="11"/>
  <c r="I1762" i="11"/>
  <c r="I1763" i="11"/>
  <c r="I1764" i="11"/>
  <c r="I1765" i="11"/>
  <c r="I1766" i="11"/>
  <c r="I1767" i="11"/>
  <c r="I1768" i="11"/>
  <c r="I1769" i="11"/>
  <c r="I1770" i="11"/>
  <c r="I1771" i="11"/>
  <c r="I1772" i="11"/>
  <c r="I1773" i="11"/>
  <c r="I1774" i="11"/>
  <c r="I1775" i="11"/>
  <c r="I1776" i="11"/>
  <c r="I1777" i="11"/>
  <c r="I1778" i="11"/>
  <c r="I1779" i="11"/>
  <c r="I1780" i="11"/>
  <c r="I1781" i="11"/>
  <c r="I1782" i="11"/>
  <c r="I1783" i="11"/>
  <c r="I1784" i="11"/>
  <c r="I1785" i="11"/>
  <c r="I1786" i="11"/>
  <c r="I1787" i="11"/>
  <c r="I1788" i="11"/>
  <c r="I1789" i="11"/>
  <c r="I1790" i="11"/>
  <c r="I1791" i="11"/>
  <c r="I1792" i="11"/>
  <c r="I1793" i="11"/>
  <c r="I1794" i="11"/>
  <c r="I1795" i="11"/>
  <c r="I1796" i="11"/>
  <c r="I1797" i="11"/>
  <c r="I1798" i="11"/>
  <c r="I1799" i="11"/>
  <c r="I1800" i="11"/>
  <c r="I1801" i="11"/>
  <c r="I1802" i="11"/>
  <c r="I1803" i="11"/>
  <c r="I1804" i="11"/>
  <c r="I1805" i="11"/>
  <c r="I1806" i="11"/>
  <c r="I1807" i="11"/>
  <c r="I1808" i="11"/>
  <c r="I1809" i="11"/>
  <c r="I1810" i="11"/>
  <c r="I1811" i="11"/>
  <c r="I1812" i="11"/>
  <c r="I1813" i="11"/>
  <c r="I1814" i="11"/>
  <c r="I1815" i="11"/>
  <c r="I1816" i="11"/>
  <c r="I1817" i="11"/>
  <c r="I1818" i="11"/>
  <c r="I1819" i="11"/>
  <c r="I1820" i="11"/>
  <c r="I1821" i="11"/>
  <c r="I1822" i="11"/>
  <c r="I1823" i="11"/>
  <c r="I1824" i="11"/>
  <c r="I1825" i="11"/>
  <c r="I1826" i="11"/>
  <c r="I1827" i="11"/>
  <c r="I1828" i="11"/>
  <c r="I1829" i="11"/>
  <c r="I1830" i="11"/>
  <c r="I1831" i="11"/>
  <c r="I1832" i="11"/>
  <c r="I1833" i="11"/>
  <c r="I1834" i="11"/>
  <c r="I1835" i="11"/>
  <c r="I1836" i="11"/>
  <c r="I1837" i="11"/>
  <c r="I1838" i="11"/>
  <c r="I1839" i="11"/>
  <c r="I1840" i="11"/>
  <c r="I1841" i="11"/>
  <c r="I1842" i="11"/>
  <c r="I1843" i="11"/>
  <c r="I1844" i="11"/>
  <c r="I1845" i="11"/>
  <c r="I1846" i="11"/>
  <c r="I1847" i="11"/>
  <c r="I1848" i="11"/>
  <c r="I1849" i="11"/>
  <c r="I1850" i="11"/>
  <c r="I1851" i="11"/>
  <c r="I1852" i="11"/>
  <c r="I1853" i="11"/>
  <c r="I1854" i="11"/>
  <c r="I1855" i="11"/>
  <c r="I1856" i="11"/>
  <c r="I1857" i="11"/>
  <c r="I1858" i="11"/>
  <c r="I1859" i="11"/>
  <c r="I1860" i="11"/>
  <c r="I1861" i="11"/>
  <c r="I1862" i="11"/>
  <c r="I1863" i="11"/>
  <c r="I1864" i="11"/>
  <c r="I1865" i="11"/>
  <c r="I1866" i="11"/>
  <c r="I1867" i="11"/>
  <c r="I1868" i="11"/>
  <c r="I1869" i="11"/>
  <c r="I1870" i="11"/>
  <c r="I1871" i="11"/>
  <c r="I1872" i="11"/>
  <c r="I1873" i="11"/>
  <c r="I1874" i="11"/>
  <c r="I1875" i="11"/>
  <c r="I1876" i="11"/>
  <c r="I1877" i="11"/>
  <c r="I1878" i="11"/>
  <c r="I1879" i="11"/>
  <c r="I1880" i="11"/>
  <c r="I1881" i="11"/>
  <c r="I1882" i="11"/>
  <c r="I1883" i="11"/>
  <c r="I1884" i="11"/>
  <c r="I1885" i="11"/>
  <c r="I1886" i="11"/>
  <c r="I1887" i="11"/>
  <c r="I1888" i="11"/>
  <c r="I1889" i="11"/>
  <c r="I1890" i="11"/>
  <c r="I1891" i="11"/>
  <c r="I1892" i="11"/>
  <c r="I1893" i="11"/>
  <c r="I1894" i="11"/>
  <c r="I1895" i="11"/>
  <c r="I1896" i="11"/>
  <c r="I1897" i="11"/>
  <c r="I1898" i="11"/>
  <c r="I1899" i="11"/>
  <c r="I1900" i="11"/>
  <c r="I1901" i="11"/>
  <c r="I1902" i="11"/>
  <c r="I1903" i="11"/>
  <c r="I1904" i="11"/>
  <c r="I1905" i="11"/>
  <c r="I1906" i="11"/>
  <c r="I1907" i="11"/>
  <c r="I1908" i="11"/>
  <c r="I1909" i="11"/>
  <c r="I1910" i="11"/>
  <c r="I1911" i="11"/>
  <c r="I1912" i="11"/>
  <c r="I1913" i="11"/>
  <c r="I1914" i="11"/>
  <c r="I1915" i="11"/>
  <c r="I1916" i="11"/>
  <c r="I1917" i="11"/>
  <c r="I1918" i="11"/>
  <c r="I1919" i="11"/>
  <c r="I1920" i="11"/>
  <c r="I1921" i="11"/>
  <c r="I1922" i="11"/>
  <c r="I1923" i="11"/>
  <c r="I1924" i="11"/>
  <c r="I1925" i="11"/>
  <c r="I1926" i="11"/>
  <c r="I1927" i="11"/>
  <c r="I1928" i="11"/>
  <c r="I1929" i="11"/>
  <c r="I1930" i="11"/>
  <c r="I1931" i="11"/>
  <c r="I1932" i="11"/>
  <c r="I1933" i="11"/>
  <c r="I1934" i="11"/>
  <c r="I1935" i="11"/>
  <c r="I1936" i="11"/>
  <c r="I1937" i="11"/>
  <c r="I1938" i="11"/>
  <c r="I1939" i="11"/>
  <c r="I1940" i="11"/>
  <c r="I1941" i="11"/>
  <c r="I1942" i="11"/>
  <c r="I1943" i="11"/>
  <c r="I1944" i="11"/>
  <c r="I1945" i="11"/>
  <c r="I1946" i="11"/>
  <c r="I1947" i="11"/>
  <c r="I1948" i="11"/>
  <c r="I1949" i="11"/>
  <c r="I1950" i="11"/>
  <c r="I1951" i="11"/>
  <c r="I1952" i="11"/>
  <c r="I1953" i="11"/>
  <c r="I1954" i="11"/>
  <c r="I1955" i="11"/>
  <c r="I1956" i="11"/>
  <c r="I1957" i="11"/>
  <c r="I1958" i="11"/>
  <c r="I1959" i="11"/>
  <c r="I1960" i="11"/>
  <c r="I1961" i="11"/>
  <c r="I1962" i="11"/>
  <c r="I1963" i="11"/>
  <c r="I1964" i="11"/>
  <c r="I1965" i="11"/>
  <c r="I1966" i="11"/>
  <c r="I1967" i="11"/>
  <c r="I1968" i="11"/>
  <c r="I1969" i="11"/>
  <c r="I1970" i="11"/>
  <c r="I1971" i="11"/>
  <c r="I1972" i="11"/>
  <c r="I1973" i="11"/>
  <c r="I1974" i="11"/>
  <c r="I1975" i="11"/>
  <c r="I1976" i="11"/>
  <c r="I1977" i="11"/>
  <c r="I1978" i="11"/>
  <c r="I1979" i="11"/>
  <c r="I1980" i="11"/>
  <c r="I1981" i="11"/>
  <c r="I1982" i="11"/>
  <c r="I1983" i="11"/>
  <c r="I1984" i="11"/>
  <c r="I1985" i="11"/>
  <c r="I1986" i="11"/>
  <c r="I1987" i="11"/>
  <c r="I1988" i="11"/>
  <c r="I1989" i="11"/>
  <c r="I1990" i="11"/>
  <c r="I1991" i="11"/>
  <c r="I1992" i="11"/>
  <c r="I1993" i="11"/>
  <c r="I1994" i="11"/>
  <c r="I1995" i="11"/>
  <c r="I1996" i="11"/>
  <c r="I1997" i="11"/>
  <c r="I1998" i="11"/>
  <c r="I1999" i="11"/>
  <c r="I2000" i="11"/>
  <c r="I2001" i="11"/>
  <c r="S3" i="11" l="1"/>
  <c r="S4" i="11"/>
  <c r="S5" i="1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S151" i="11"/>
  <c r="S152" i="11"/>
  <c r="S153" i="11"/>
  <c r="S154" i="11"/>
  <c r="S155" i="11"/>
  <c r="S156" i="11"/>
  <c r="S157" i="11"/>
  <c r="S158" i="11"/>
  <c r="S159" i="11"/>
  <c r="S160" i="11"/>
  <c r="S161" i="11"/>
  <c r="S162" i="11"/>
  <c r="S163" i="11"/>
  <c r="S164" i="11"/>
  <c r="S165" i="11"/>
  <c r="S166" i="11"/>
  <c r="S167" i="11"/>
  <c r="S168" i="11"/>
  <c r="S169" i="11"/>
  <c r="S170" i="11"/>
  <c r="S171" i="11"/>
  <c r="S172" i="11"/>
  <c r="S173" i="11"/>
  <c r="S174" i="11"/>
  <c r="S175" i="11"/>
  <c r="S176" i="11"/>
  <c r="S177" i="11"/>
  <c r="S178" i="11"/>
  <c r="S179" i="11"/>
  <c r="S180" i="11"/>
  <c r="S181" i="11"/>
  <c r="S182" i="11"/>
  <c r="S183" i="11"/>
  <c r="S184" i="11"/>
  <c r="S185" i="11"/>
  <c r="S186" i="11"/>
  <c r="S187" i="11"/>
  <c r="S188" i="11"/>
  <c r="S189" i="11"/>
  <c r="S190" i="11"/>
  <c r="S191" i="11"/>
  <c r="S192" i="11"/>
  <c r="S193" i="11"/>
  <c r="S194" i="11"/>
  <c r="S195" i="11"/>
  <c r="S196" i="11"/>
  <c r="S197" i="11"/>
  <c r="S198" i="11"/>
  <c r="S199" i="11"/>
  <c r="S200" i="11"/>
  <c r="S201" i="11"/>
  <c r="S202" i="11"/>
  <c r="S203" i="11"/>
  <c r="S204" i="11"/>
  <c r="S205" i="11"/>
  <c r="S206" i="11"/>
  <c r="S207" i="11"/>
  <c r="S208" i="11"/>
  <c r="S209" i="11"/>
  <c r="S210" i="11"/>
  <c r="S211" i="11"/>
  <c r="S212" i="11"/>
  <c r="S213" i="11"/>
  <c r="S214" i="11"/>
  <c r="S215" i="11"/>
  <c r="S216" i="11"/>
  <c r="S217" i="11"/>
  <c r="S218" i="11"/>
  <c r="S219" i="11"/>
  <c r="S220" i="11"/>
  <c r="S221" i="11"/>
  <c r="S222" i="11"/>
  <c r="S223" i="11"/>
  <c r="S224" i="11"/>
  <c r="S225" i="11"/>
  <c r="S226" i="11"/>
  <c r="S227" i="11"/>
  <c r="S228" i="11"/>
  <c r="S229" i="11"/>
  <c r="S230" i="11"/>
  <c r="S231" i="11"/>
  <c r="S232" i="11"/>
  <c r="S233" i="11"/>
  <c r="S234" i="11"/>
  <c r="S235" i="11"/>
  <c r="S236" i="11"/>
  <c r="S237" i="11"/>
  <c r="S238" i="11"/>
  <c r="S239" i="11"/>
  <c r="S240" i="11"/>
  <c r="S241" i="11"/>
  <c r="S242" i="11"/>
  <c r="S243" i="11"/>
  <c r="S244" i="11"/>
  <c r="S245" i="11"/>
  <c r="S246" i="11"/>
  <c r="S247" i="11"/>
  <c r="S248" i="11"/>
  <c r="S249" i="11"/>
  <c r="S250" i="11"/>
  <c r="S251" i="11"/>
  <c r="S252" i="11"/>
  <c r="S253" i="11"/>
  <c r="S254" i="11"/>
  <c r="S255" i="11"/>
  <c r="S256" i="11"/>
  <c r="S257" i="11"/>
  <c r="S258" i="11"/>
  <c r="S259" i="11"/>
  <c r="S260" i="11"/>
  <c r="S261" i="11"/>
  <c r="S262" i="11"/>
  <c r="S263" i="11"/>
  <c r="S264" i="11"/>
  <c r="S265" i="11"/>
  <c r="S266" i="11"/>
  <c r="S267" i="11"/>
  <c r="S268" i="11"/>
  <c r="S269" i="11"/>
  <c r="S270" i="11"/>
  <c r="S271" i="11"/>
  <c r="S272" i="11"/>
  <c r="S273" i="11"/>
  <c r="S274" i="11"/>
  <c r="S275" i="11"/>
  <c r="S276" i="11"/>
  <c r="S277" i="11"/>
  <c r="S278" i="11"/>
  <c r="S279" i="11"/>
  <c r="S280" i="11"/>
  <c r="S281" i="11"/>
  <c r="S282" i="11"/>
  <c r="S283" i="11"/>
  <c r="S284" i="11"/>
  <c r="S285" i="11"/>
  <c r="S286" i="11"/>
  <c r="S287" i="11"/>
  <c r="S288" i="11"/>
  <c r="S289" i="11"/>
  <c r="S290" i="11"/>
  <c r="S291" i="11"/>
  <c r="S292" i="11"/>
  <c r="S293" i="11"/>
  <c r="S294" i="11"/>
  <c r="S295" i="11"/>
  <c r="S296" i="11"/>
  <c r="S297" i="11"/>
  <c r="S298" i="11"/>
  <c r="S299" i="11"/>
  <c r="S300" i="11"/>
  <c r="S301" i="11"/>
  <c r="S302" i="11"/>
  <c r="S303" i="11"/>
  <c r="S304" i="11"/>
  <c r="S305" i="11"/>
  <c r="S306" i="11"/>
  <c r="S307" i="11"/>
  <c r="S308" i="11"/>
  <c r="S309" i="11"/>
  <c r="S310" i="11"/>
  <c r="S311" i="11"/>
  <c r="S312" i="11"/>
  <c r="S313" i="11"/>
  <c r="S314" i="11"/>
  <c r="S315" i="11"/>
  <c r="S316" i="11"/>
  <c r="S317" i="11"/>
  <c r="S318" i="11"/>
  <c r="S319" i="11"/>
  <c r="S320" i="11"/>
  <c r="S321" i="11"/>
  <c r="S322" i="11"/>
  <c r="S323" i="11"/>
  <c r="S324" i="11"/>
  <c r="S325" i="11"/>
  <c r="S326" i="11"/>
  <c r="S327" i="11"/>
  <c r="S328" i="11"/>
  <c r="S329" i="11"/>
  <c r="S330" i="11"/>
  <c r="S331" i="11"/>
  <c r="S332" i="11"/>
  <c r="S333" i="11"/>
  <c r="S334" i="11"/>
  <c r="S335" i="11"/>
  <c r="S336" i="11"/>
  <c r="S337" i="11"/>
  <c r="S338" i="11"/>
  <c r="S339" i="11"/>
  <c r="S340" i="11"/>
  <c r="S341" i="11"/>
  <c r="S342" i="11"/>
  <c r="S343" i="11"/>
  <c r="S344" i="11"/>
  <c r="S345" i="11"/>
  <c r="S346" i="11"/>
  <c r="S347" i="11"/>
  <c r="S348" i="11"/>
  <c r="S349" i="11"/>
  <c r="S350" i="11"/>
  <c r="S351" i="11"/>
  <c r="S352" i="11"/>
  <c r="S353" i="11"/>
  <c r="S354" i="11"/>
  <c r="S355" i="11"/>
  <c r="S356" i="11"/>
  <c r="S357" i="11"/>
  <c r="S358" i="11"/>
  <c r="S359" i="11"/>
  <c r="S360" i="11"/>
  <c r="S361" i="11"/>
  <c r="S362" i="11"/>
  <c r="S363" i="11"/>
  <c r="S364" i="11"/>
  <c r="S365" i="11"/>
  <c r="S366" i="11"/>
  <c r="S367" i="11"/>
  <c r="S368" i="11"/>
  <c r="S369" i="11"/>
  <c r="S370" i="11"/>
  <c r="S371" i="11"/>
  <c r="S372" i="11"/>
  <c r="S373" i="11"/>
  <c r="S374" i="11"/>
  <c r="S375" i="11"/>
  <c r="S376" i="11"/>
  <c r="S377" i="11"/>
  <c r="S378" i="11"/>
  <c r="S379" i="11"/>
  <c r="S380" i="11"/>
  <c r="S381" i="11"/>
  <c r="S382" i="11"/>
  <c r="S383" i="11"/>
  <c r="S384" i="11"/>
  <c r="S385" i="11"/>
  <c r="S386" i="11"/>
  <c r="S387" i="11"/>
  <c r="S388" i="11"/>
  <c r="S389" i="11"/>
  <c r="S390" i="11"/>
  <c r="S391" i="11"/>
  <c r="S392" i="11"/>
  <c r="S393" i="11"/>
  <c r="S394" i="11"/>
  <c r="S395" i="11"/>
  <c r="S396" i="11"/>
  <c r="S397" i="11"/>
  <c r="S398" i="11"/>
  <c r="S399" i="11"/>
  <c r="S400" i="11"/>
  <c r="S401" i="11"/>
  <c r="S402" i="11"/>
  <c r="S403" i="11"/>
  <c r="S404" i="11"/>
  <c r="S405" i="11"/>
  <c r="S406" i="11"/>
  <c r="S407" i="11"/>
  <c r="S408" i="11"/>
  <c r="S409" i="11"/>
  <c r="S410" i="11"/>
  <c r="S411" i="11"/>
  <c r="S412" i="11"/>
  <c r="S413" i="11"/>
  <c r="S414" i="11"/>
  <c r="S415" i="11"/>
  <c r="S416" i="11"/>
  <c r="S417" i="11"/>
  <c r="S418" i="11"/>
  <c r="S419" i="11"/>
  <c r="S420" i="11"/>
  <c r="S421" i="11"/>
  <c r="S422" i="11"/>
  <c r="S423" i="11"/>
  <c r="S424" i="11"/>
  <c r="S425" i="11"/>
  <c r="S426" i="11"/>
  <c r="S427" i="11"/>
  <c r="S428" i="11"/>
  <c r="S429" i="11"/>
  <c r="S430" i="11"/>
  <c r="S431" i="11"/>
  <c r="S432" i="11"/>
  <c r="S433" i="11"/>
  <c r="S434" i="11"/>
  <c r="S435" i="11"/>
  <c r="S436" i="11"/>
  <c r="S437" i="11"/>
  <c r="S438" i="11"/>
  <c r="S439" i="11"/>
  <c r="S440" i="11"/>
  <c r="S441" i="11"/>
  <c r="S442" i="11"/>
  <c r="S443" i="11"/>
  <c r="S444" i="11"/>
  <c r="S445" i="11"/>
  <c r="S446" i="11"/>
  <c r="S447" i="11"/>
  <c r="S448" i="11"/>
  <c r="S449" i="11"/>
  <c r="S450" i="11"/>
  <c r="S451" i="11"/>
  <c r="S452" i="11"/>
  <c r="S453" i="11"/>
  <c r="S454" i="11"/>
  <c r="S455" i="11"/>
  <c r="S456" i="11"/>
  <c r="S457" i="11"/>
  <c r="S458" i="11"/>
  <c r="S459" i="11"/>
  <c r="S460" i="11"/>
  <c r="S461" i="11"/>
  <c r="S462" i="11"/>
  <c r="S463" i="11"/>
  <c r="S464" i="11"/>
  <c r="S465" i="11"/>
  <c r="S466" i="11"/>
  <c r="S467" i="11"/>
  <c r="S468" i="11"/>
  <c r="S469" i="11"/>
  <c r="S470" i="11"/>
  <c r="S471" i="11"/>
  <c r="S472" i="11"/>
  <c r="S473" i="11"/>
  <c r="S474" i="11"/>
  <c r="S475" i="11"/>
  <c r="S476" i="11"/>
  <c r="S477" i="11"/>
  <c r="S478" i="11"/>
  <c r="S479" i="11"/>
  <c r="S480" i="11"/>
  <c r="S481" i="11"/>
  <c r="S482" i="11"/>
  <c r="S483" i="11"/>
  <c r="S484" i="11"/>
  <c r="S485" i="11"/>
  <c r="S486" i="11"/>
  <c r="S487" i="11"/>
  <c r="S488" i="11"/>
  <c r="S489" i="11"/>
  <c r="S490" i="11"/>
  <c r="S491" i="11"/>
  <c r="S492" i="11"/>
  <c r="S493" i="11"/>
  <c r="S494" i="11"/>
  <c r="S495" i="11"/>
  <c r="S496" i="11"/>
  <c r="S497" i="11"/>
  <c r="S498" i="11"/>
  <c r="S499" i="11"/>
  <c r="S500" i="11"/>
  <c r="S501" i="11"/>
  <c r="S502" i="11"/>
  <c r="S503" i="11"/>
  <c r="S504" i="11"/>
  <c r="S505" i="11"/>
  <c r="S506" i="11"/>
  <c r="S507" i="11"/>
  <c r="S508" i="11"/>
  <c r="S509" i="11"/>
  <c r="S510" i="11"/>
  <c r="S511" i="11"/>
  <c r="S512" i="11"/>
  <c r="S513" i="11"/>
  <c r="S514" i="11"/>
  <c r="S515" i="11"/>
  <c r="S516" i="11"/>
  <c r="S517" i="11"/>
  <c r="S518" i="11"/>
  <c r="S519" i="11"/>
  <c r="S520" i="11"/>
  <c r="S521" i="11"/>
  <c r="S522" i="11"/>
  <c r="S523" i="11"/>
  <c r="S524" i="11"/>
  <c r="S525" i="11"/>
  <c r="S526" i="11"/>
  <c r="S527" i="11"/>
  <c r="S528" i="11"/>
  <c r="S529" i="11"/>
  <c r="S530" i="11"/>
  <c r="S531" i="11"/>
  <c r="S532" i="11"/>
  <c r="S533" i="11"/>
  <c r="S534" i="11"/>
  <c r="S535" i="11"/>
  <c r="S536" i="11"/>
  <c r="S537" i="11"/>
  <c r="S538" i="11"/>
  <c r="S539" i="11"/>
  <c r="S540" i="11"/>
  <c r="S541" i="11"/>
  <c r="S542" i="11"/>
  <c r="S543" i="11"/>
  <c r="S544" i="11"/>
  <c r="S545" i="11"/>
  <c r="S546" i="11"/>
  <c r="S547" i="11"/>
  <c r="S548" i="11"/>
  <c r="S549" i="11"/>
  <c r="S550" i="11"/>
  <c r="S551" i="11"/>
  <c r="S552" i="11"/>
  <c r="S553" i="11"/>
  <c r="S554" i="11"/>
  <c r="S555" i="11"/>
  <c r="S556" i="11"/>
  <c r="S557" i="11"/>
  <c r="S558" i="11"/>
  <c r="S559" i="11"/>
  <c r="S560" i="11"/>
  <c r="S561" i="11"/>
  <c r="S562" i="11"/>
  <c r="S563" i="11"/>
  <c r="S564" i="11"/>
  <c r="S565" i="11"/>
  <c r="S566" i="11"/>
  <c r="S567" i="11"/>
  <c r="S568" i="11"/>
  <c r="S569" i="11"/>
  <c r="S570" i="11"/>
  <c r="S571" i="11"/>
  <c r="S572" i="11"/>
  <c r="S573" i="11"/>
  <c r="S574" i="11"/>
  <c r="S575" i="11"/>
  <c r="S576" i="11"/>
  <c r="S577" i="11"/>
  <c r="S578" i="11"/>
  <c r="S579" i="11"/>
  <c r="S580" i="11"/>
  <c r="S581" i="11"/>
  <c r="S582" i="11"/>
  <c r="S583" i="11"/>
  <c r="S584" i="11"/>
  <c r="S585" i="11"/>
  <c r="S586" i="11"/>
  <c r="S587" i="11"/>
  <c r="S588" i="11"/>
  <c r="S589" i="11"/>
  <c r="S590" i="11"/>
  <c r="S591" i="11"/>
  <c r="S592" i="11"/>
  <c r="S593" i="11"/>
  <c r="S594" i="11"/>
  <c r="S595" i="11"/>
  <c r="S596" i="11"/>
  <c r="S597" i="11"/>
  <c r="S598" i="11"/>
  <c r="S599" i="11"/>
  <c r="S600" i="11"/>
  <c r="S601" i="11"/>
  <c r="S602" i="11"/>
  <c r="S603" i="11"/>
  <c r="S604" i="11"/>
  <c r="S605" i="11"/>
  <c r="S606" i="11"/>
  <c r="S607" i="11"/>
  <c r="S608" i="11"/>
  <c r="S609" i="11"/>
  <c r="S610" i="11"/>
  <c r="S611" i="11"/>
  <c r="S612" i="11"/>
  <c r="S613" i="11"/>
  <c r="S614" i="11"/>
  <c r="S615" i="11"/>
  <c r="S616" i="11"/>
  <c r="S617" i="11"/>
  <c r="S618" i="11"/>
  <c r="S619" i="11"/>
  <c r="S620" i="11"/>
  <c r="S621" i="11"/>
  <c r="S622" i="11"/>
  <c r="S623" i="11"/>
  <c r="S624" i="11"/>
  <c r="S625" i="11"/>
  <c r="S626" i="11"/>
  <c r="S627" i="11"/>
  <c r="S628" i="11"/>
  <c r="S629" i="11"/>
  <c r="S630" i="11"/>
  <c r="S631" i="11"/>
  <c r="S632" i="11"/>
  <c r="S633" i="11"/>
  <c r="S634" i="11"/>
  <c r="S635" i="11"/>
  <c r="S636" i="11"/>
  <c r="S637" i="11"/>
  <c r="S638" i="11"/>
  <c r="S639" i="11"/>
  <c r="S640" i="11"/>
  <c r="S641" i="11"/>
  <c r="S642" i="11"/>
  <c r="S643" i="11"/>
  <c r="S644" i="11"/>
  <c r="S645" i="11"/>
  <c r="S646" i="11"/>
  <c r="S647" i="11"/>
  <c r="S648" i="11"/>
  <c r="S649" i="11"/>
  <c r="S650" i="11"/>
  <c r="S651" i="11"/>
  <c r="S652" i="11"/>
  <c r="S653" i="11"/>
  <c r="S654" i="11"/>
  <c r="S655" i="11"/>
  <c r="S656" i="11"/>
  <c r="S657" i="11"/>
  <c r="S658" i="11"/>
  <c r="S659" i="11"/>
  <c r="S660" i="11"/>
  <c r="S661" i="11"/>
  <c r="S662" i="11"/>
  <c r="S663" i="11"/>
  <c r="S664" i="11"/>
  <c r="S665" i="11"/>
  <c r="S666" i="11"/>
  <c r="S667" i="11"/>
  <c r="S668" i="11"/>
  <c r="S669" i="11"/>
  <c r="S670" i="11"/>
  <c r="S671" i="11"/>
  <c r="S672" i="11"/>
  <c r="S673" i="11"/>
  <c r="S674" i="11"/>
  <c r="S675" i="11"/>
  <c r="S676" i="11"/>
  <c r="S677" i="11"/>
  <c r="S678" i="11"/>
  <c r="S679" i="11"/>
  <c r="S680" i="11"/>
  <c r="S681" i="11"/>
  <c r="S682" i="11"/>
  <c r="S683" i="11"/>
  <c r="S684" i="11"/>
  <c r="S685" i="11"/>
  <c r="S686" i="11"/>
  <c r="S687" i="11"/>
  <c r="S688" i="11"/>
  <c r="S689" i="11"/>
  <c r="S690" i="11"/>
  <c r="S691" i="11"/>
  <c r="S692" i="11"/>
  <c r="S693" i="11"/>
  <c r="S694" i="11"/>
  <c r="S695" i="11"/>
  <c r="S696" i="11"/>
  <c r="S697" i="11"/>
  <c r="S698" i="11"/>
  <c r="S699" i="11"/>
  <c r="S700" i="11"/>
  <c r="S701" i="11"/>
  <c r="S702" i="11"/>
  <c r="S703" i="11"/>
  <c r="S704" i="11"/>
  <c r="S705" i="11"/>
  <c r="S706" i="11"/>
  <c r="S707" i="11"/>
  <c r="S708" i="11"/>
  <c r="S709" i="11"/>
  <c r="S710" i="11"/>
  <c r="S711" i="11"/>
  <c r="S712" i="11"/>
  <c r="S713" i="11"/>
  <c r="S714" i="11"/>
  <c r="S715" i="11"/>
  <c r="S716" i="11"/>
  <c r="S717" i="11"/>
  <c r="S718" i="11"/>
  <c r="S719" i="11"/>
  <c r="S720" i="11"/>
  <c r="S721" i="11"/>
  <c r="S722" i="11"/>
  <c r="S723" i="11"/>
  <c r="S724" i="11"/>
  <c r="S725" i="11"/>
  <c r="S726" i="11"/>
  <c r="S727" i="11"/>
  <c r="S728" i="11"/>
  <c r="S729" i="11"/>
  <c r="S730" i="11"/>
  <c r="S731" i="11"/>
  <c r="S732" i="11"/>
  <c r="S733" i="11"/>
  <c r="S734" i="11"/>
  <c r="S735" i="11"/>
  <c r="S736" i="11"/>
  <c r="S737" i="11"/>
  <c r="S738" i="11"/>
  <c r="S739" i="11"/>
  <c r="S740" i="11"/>
  <c r="S741" i="11"/>
  <c r="S742" i="11"/>
  <c r="S743" i="11"/>
  <c r="S744" i="11"/>
  <c r="S745" i="11"/>
  <c r="S746" i="11"/>
  <c r="S747" i="11"/>
  <c r="S748" i="11"/>
  <c r="S749" i="11"/>
  <c r="S750" i="11"/>
  <c r="S751" i="11"/>
  <c r="S752" i="11"/>
  <c r="S753" i="11"/>
  <c r="S754" i="11"/>
  <c r="S755" i="11"/>
  <c r="S756" i="11"/>
  <c r="S757" i="11"/>
  <c r="S758" i="11"/>
  <c r="S759" i="11"/>
  <c r="S760" i="11"/>
  <c r="S761" i="11"/>
  <c r="S762" i="11"/>
  <c r="S763" i="11"/>
  <c r="S764" i="11"/>
  <c r="S765" i="11"/>
  <c r="S766" i="11"/>
  <c r="S767" i="11"/>
  <c r="S768" i="11"/>
  <c r="S769" i="11"/>
  <c r="S770" i="11"/>
  <c r="S771" i="11"/>
  <c r="S772" i="11"/>
  <c r="S773" i="11"/>
  <c r="S774" i="11"/>
  <c r="S775" i="11"/>
  <c r="S776" i="11"/>
  <c r="S777" i="11"/>
  <c r="S778" i="11"/>
  <c r="S779" i="11"/>
  <c r="S780" i="11"/>
  <c r="S781" i="11"/>
  <c r="S782" i="11"/>
  <c r="S783" i="11"/>
  <c r="S784" i="11"/>
  <c r="S785" i="11"/>
  <c r="S786" i="11"/>
  <c r="S787" i="11"/>
  <c r="S788" i="11"/>
  <c r="S789" i="11"/>
  <c r="S790" i="11"/>
  <c r="S791" i="11"/>
  <c r="S792" i="11"/>
  <c r="S793" i="11"/>
  <c r="S794" i="11"/>
  <c r="S795" i="11"/>
  <c r="S796" i="11"/>
  <c r="S797" i="11"/>
  <c r="S798" i="11"/>
  <c r="S799" i="11"/>
  <c r="S800" i="11"/>
  <c r="S801" i="11"/>
  <c r="S802" i="11"/>
  <c r="S803" i="11"/>
  <c r="S804" i="11"/>
  <c r="S805" i="11"/>
  <c r="S806" i="11"/>
  <c r="S807" i="11"/>
  <c r="S808" i="11"/>
  <c r="S809" i="11"/>
  <c r="S810" i="11"/>
  <c r="S811" i="11"/>
  <c r="S812" i="11"/>
  <c r="S813" i="11"/>
  <c r="S814" i="11"/>
  <c r="S815" i="11"/>
  <c r="S816" i="11"/>
  <c r="S817" i="11"/>
  <c r="S818" i="11"/>
  <c r="S819" i="11"/>
  <c r="S820" i="11"/>
  <c r="S821" i="11"/>
  <c r="S822" i="11"/>
  <c r="S823" i="11"/>
  <c r="S824" i="11"/>
  <c r="S825" i="11"/>
  <c r="S826" i="11"/>
  <c r="S827" i="11"/>
  <c r="S828" i="11"/>
  <c r="S829" i="11"/>
  <c r="S830" i="11"/>
  <c r="S831" i="11"/>
  <c r="S832" i="11"/>
  <c r="S833" i="11"/>
  <c r="S834" i="11"/>
  <c r="S835" i="11"/>
  <c r="S836" i="11"/>
  <c r="S837" i="11"/>
  <c r="S838" i="11"/>
  <c r="S839" i="11"/>
  <c r="S840" i="11"/>
  <c r="S841" i="11"/>
  <c r="S842" i="11"/>
  <c r="S843" i="11"/>
  <c r="S844" i="11"/>
  <c r="S845" i="11"/>
  <c r="S846" i="11"/>
  <c r="S847" i="11"/>
  <c r="S848" i="11"/>
  <c r="S849" i="11"/>
  <c r="S850" i="11"/>
  <c r="S851" i="11"/>
  <c r="S852" i="11"/>
  <c r="S853" i="11"/>
  <c r="S854" i="11"/>
  <c r="S855" i="11"/>
  <c r="S856" i="11"/>
  <c r="S857" i="11"/>
  <c r="S858" i="11"/>
  <c r="S859" i="11"/>
  <c r="S860" i="11"/>
  <c r="S861" i="11"/>
  <c r="S862" i="11"/>
  <c r="S863" i="11"/>
  <c r="S864" i="11"/>
  <c r="S865" i="11"/>
  <c r="S866" i="11"/>
  <c r="S867" i="11"/>
  <c r="S868" i="11"/>
  <c r="S869" i="11"/>
  <c r="S870" i="11"/>
  <c r="S871" i="11"/>
  <c r="S872" i="11"/>
  <c r="S873" i="11"/>
  <c r="S874" i="11"/>
  <c r="S875" i="11"/>
  <c r="S876" i="11"/>
  <c r="S877" i="11"/>
  <c r="S878" i="11"/>
  <c r="S879" i="11"/>
  <c r="S880" i="11"/>
  <c r="S881" i="11"/>
  <c r="S882" i="11"/>
  <c r="S883" i="11"/>
  <c r="S884" i="11"/>
  <c r="S885" i="11"/>
  <c r="S886" i="11"/>
  <c r="S887" i="11"/>
  <c r="S888" i="11"/>
  <c r="S889" i="11"/>
  <c r="S890" i="11"/>
  <c r="S891" i="11"/>
  <c r="S892" i="11"/>
  <c r="S893" i="11"/>
  <c r="S894" i="11"/>
  <c r="S895" i="11"/>
  <c r="S896" i="11"/>
  <c r="S897" i="11"/>
  <c r="S898" i="11"/>
  <c r="S899" i="11"/>
  <c r="S900" i="11"/>
  <c r="S901" i="11"/>
  <c r="S902" i="11"/>
  <c r="S903" i="11"/>
  <c r="S904" i="11"/>
  <c r="S905" i="11"/>
  <c r="S906" i="11"/>
  <c r="S907" i="11"/>
  <c r="S908" i="11"/>
  <c r="S909" i="11"/>
  <c r="S910" i="11"/>
  <c r="S911" i="11"/>
  <c r="S912" i="11"/>
  <c r="S913" i="11"/>
  <c r="S914" i="11"/>
  <c r="S915" i="11"/>
  <c r="S916" i="11"/>
  <c r="S917" i="11"/>
  <c r="S918" i="11"/>
  <c r="S919" i="11"/>
  <c r="S920" i="11"/>
  <c r="S921" i="11"/>
  <c r="S922" i="11"/>
  <c r="S923" i="11"/>
  <c r="S924" i="11"/>
  <c r="S925" i="11"/>
  <c r="S926" i="11"/>
  <c r="S927" i="11"/>
  <c r="S928" i="11"/>
  <c r="S929" i="11"/>
  <c r="S930" i="11"/>
  <c r="S931" i="11"/>
  <c r="S932" i="11"/>
  <c r="S933" i="11"/>
  <c r="S934" i="11"/>
  <c r="S935" i="11"/>
  <c r="S936" i="11"/>
  <c r="S937" i="11"/>
  <c r="S938" i="11"/>
  <c r="S939" i="11"/>
  <c r="S940" i="11"/>
  <c r="S941" i="11"/>
  <c r="S942" i="11"/>
  <c r="S943" i="11"/>
  <c r="S944" i="11"/>
  <c r="S945" i="11"/>
  <c r="S946" i="11"/>
  <c r="S947" i="11"/>
  <c r="S948" i="11"/>
  <c r="S949" i="11"/>
  <c r="S950" i="11"/>
  <c r="S951" i="11"/>
  <c r="S952" i="11"/>
  <c r="S953" i="11"/>
  <c r="S954" i="11"/>
  <c r="S955" i="11"/>
  <c r="S956" i="11"/>
  <c r="S957" i="11"/>
  <c r="S958" i="11"/>
  <c r="S959" i="11"/>
  <c r="S960" i="11"/>
  <c r="S961" i="11"/>
  <c r="S962" i="11"/>
  <c r="S963" i="11"/>
  <c r="S964" i="11"/>
  <c r="S965" i="11"/>
  <c r="S966" i="11"/>
  <c r="S967" i="11"/>
  <c r="S968" i="11"/>
  <c r="S969" i="11"/>
  <c r="S970" i="11"/>
  <c r="S971" i="11"/>
  <c r="S972" i="11"/>
  <c r="S973" i="11"/>
  <c r="S974" i="11"/>
  <c r="S975" i="11"/>
  <c r="S976" i="11"/>
  <c r="S977" i="11"/>
  <c r="S978" i="11"/>
  <c r="S979" i="11"/>
  <c r="S980" i="11"/>
  <c r="S981" i="11"/>
  <c r="S982" i="11"/>
  <c r="S983" i="11"/>
  <c r="S984" i="11"/>
  <c r="S985" i="11"/>
  <c r="S986" i="11"/>
  <c r="S987" i="11"/>
  <c r="S988" i="11"/>
  <c r="S989" i="11"/>
  <c r="S990" i="11"/>
  <c r="S991" i="11"/>
  <c r="S992" i="11"/>
  <c r="S993" i="11"/>
  <c r="S994" i="11"/>
  <c r="S995" i="11"/>
  <c r="S996" i="11"/>
  <c r="S997" i="11"/>
  <c r="S998" i="11"/>
  <c r="S999" i="11"/>
  <c r="S1000" i="11"/>
  <c r="S1001" i="11"/>
  <c r="S1002" i="11"/>
  <c r="S1003" i="11"/>
  <c r="S1004" i="11"/>
  <c r="S1005" i="11"/>
  <c r="S1006" i="11"/>
  <c r="S1007" i="11"/>
  <c r="S1008" i="11"/>
  <c r="S1009" i="11"/>
  <c r="S1010" i="11"/>
  <c r="S1011" i="11"/>
  <c r="S1012" i="11"/>
  <c r="S1013" i="11"/>
  <c r="S1014" i="11"/>
  <c r="S1015" i="11"/>
  <c r="S1016" i="11"/>
  <c r="S1017" i="11"/>
  <c r="S1018" i="11"/>
  <c r="S1019" i="11"/>
  <c r="S1020" i="11"/>
  <c r="S1021" i="11"/>
  <c r="S1022" i="11"/>
  <c r="S1023" i="11"/>
  <c r="S1024" i="11"/>
  <c r="S1025" i="11"/>
  <c r="S1026" i="11"/>
  <c r="S1027" i="11"/>
  <c r="S1028" i="11"/>
  <c r="S1029" i="11"/>
  <c r="S1030" i="11"/>
  <c r="S1031" i="11"/>
  <c r="S1032" i="11"/>
  <c r="S1033" i="11"/>
  <c r="S1034" i="11"/>
  <c r="S1035" i="11"/>
  <c r="S1036" i="11"/>
  <c r="S1037" i="11"/>
  <c r="S1038" i="11"/>
  <c r="S1039" i="11"/>
  <c r="S1040" i="11"/>
  <c r="S1041" i="11"/>
  <c r="S1042" i="11"/>
  <c r="S1043" i="11"/>
  <c r="S1044" i="11"/>
  <c r="S1045" i="11"/>
  <c r="S1046" i="11"/>
  <c r="S1047" i="11"/>
  <c r="S1048" i="11"/>
  <c r="S1049" i="11"/>
  <c r="S1050" i="11"/>
  <c r="S1051" i="11"/>
  <c r="S1052" i="11"/>
  <c r="S1053" i="11"/>
  <c r="S1054" i="11"/>
  <c r="S1055" i="11"/>
  <c r="S1056" i="11"/>
  <c r="S1057" i="11"/>
  <c r="S1058" i="11"/>
  <c r="S1059" i="11"/>
  <c r="S1060" i="11"/>
  <c r="S1061" i="11"/>
  <c r="S1062" i="11"/>
  <c r="S1063" i="11"/>
  <c r="S1064" i="11"/>
  <c r="S1065" i="11"/>
  <c r="S1066" i="11"/>
  <c r="S1067" i="11"/>
  <c r="S1068" i="11"/>
  <c r="S1069" i="11"/>
  <c r="S1070" i="11"/>
  <c r="S1071" i="11"/>
  <c r="S1072" i="11"/>
  <c r="S1073" i="11"/>
  <c r="S1074" i="11"/>
  <c r="S1075" i="11"/>
  <c r="S1076" i="11"/>
  <c r="S1077" i="11"/>
  <c r="S1078" i="11"/>
  <c r="S1079" i="11"/>
  <c r="S1080" i="11"/>
  <c r="S1081" i="11"/>
  <c r="S1082" i="11"/>
  <c r="S1083" i="11"/>
  <c r="S1084" i="11"/>
  <c r="S1085" i="11"/>
  <c r="S1086" i="11"/>
  <c r="S1087" i="11"/>
  <c r="S1088" i="11"/>
  <c r="S1089" i="11"/>
  <c r="S1090" i="11"/>
  <c r="S1091" i="11"/>
  <c r="S1092" i="11"/>
  <c r="S1093" i="11"/>
  <c r="S1094" i="11"/>
  <c r="S1095" i="11"/>
  <c r="S1096" i="11"/>
  <c r="S1097" i="11"/>
  <c r="S1098" i="11"/>
  <c r="S1099" i="11"/>
  <c r="S1100" i="11"/>
  <c r="S1101" i="11"/>
  <c r="S1102" i="11"/>
  <c r="S1103" i="11"/>
  <c r="S1104" i="11"/>
  <c r="S1105" i="11"/>
  <c r="S1106" i="11"/>
  <c r="S1107" i="11"/>
  <c r="S1108" i="11"/>
  <c r="S1109" i="11"/>
  <c r="S1110" i="11"/>
  <c r="S1111" i="11"/>
  <c r="S1112" i="11"/>
  <c r="S1113" i="11"/>
  <c r="S1114" i="11"/>
  <c r="S1115" i="11"/>
  <c r="S1116" i="11"/>
  <c r="S1117" i="11"/>
  <c r="S1118" i="11"/>
  <c r="S1119" i="11"/>
  <c r="S1120" i="11"/>
  <c r="S1121" i="11"/>
  <c r="S1122" i="11"/>
  <c r="S1123" i="11"/>
  <c r="S1124" i="11"/>
  <c r="S1125" i="11"/>
  <c r="S1126" i="11"/>
  <c r="S1127" i="11"/>
  <c r="S1128" i="11"/>
  <c r="S1129" i="11"/>
  <c r="S1130" i="11"/>
  <c r="S1131" i="11"/>
  <c r="S1132" i="11"/>
  <c r="S1133" i="11"/>
  <c r="S1134" i="11"/>
  <c r="S1135" i="11"/>
  <c r="S1136" i="11"/>
  <c r="S1137" i="11"/>
  <c r="S1138" i="11"/>
  <c r="S1139" i="11"/>
  <c r="S1140" i="11"/>
  <c r="S1141" i="11"/>
  <c r="S1142" i="11"/>
  <c r="S1143" i="11"/>
  <c r="S1144" i="11"/>
  <c r="S1145" i="11"/>
  <c r="S1146" i="11"/>
  <c r="S1147" i="11"/>
  <c r="S1148" i="11"/>
  <c r="S1149" i="11"/>
  <c r="S1150" i="11"/>
  <c r="S1151" i="11"/>
  <c r="S1152" i="11"/>
  <c r="S1153" i="11"/>
  <c r="S1154" i="11"/>
  <c r="S1155" i="11"/>
  <c r="S1156" i="11"/>
  <c r="S1157" i="11"/>
  <c r="S1158" i="11"/>
  <c r="S1159" i="11"/>
  <c r="S1160" i="11"/>
  <c r="S1161" i="11"/>
  <c r="S1162" i="11"/>
  <c r="S1163" i="11"/>
  <c r="S1164" i="11"/>
  <c r="S1165" i="11"/>
  <c r="S1166" i="11"/>
  <c r="S1167" i="11"/>
  <c r="S1168" i="11"/>
  <c r="S1169" i="11"/>
  <c r="S1170" i="11"/>
  <c r="S1171" i="11"/>
  <c r="S1172" i="11"/>
  <c r="S1173" i="11"/>
  <c r="S1174" i="11"/>
  <c r="S1175" i="11"/>
  <c r="S1176" i="11"/>
  <c r="S1177" i="11"/>
  <c r="S1178" i="11"/>
  <c r="S1179" i="11"/>
  <c r="S1180" i="11"/>
  <c r="S1181" i="11"/>
  <c r="S1182" i="11"/>
  <c r="S1183" i="11"/>
  <c r="S1184" i="11"/>
  <c r="S1185" i="11"/>
  <c r="S1186" i="11"/>
  <c r="S1187" i="11"/>
  <c r="S1188" i="11"/>
  <c r="S1189" i="11"/>
  <c r="S1190" i="11"/>
  <c r="S1191" i="11"/>
  <c r="S1192" i="11"/>
  <c r="S1193" i="11"/>
  <c r="S1194" i="11"/>
  <c r="S1195" i="11"/>
  <c r="S1196" i="11"/>
  <c r="S1197" i="11"/>
  <c r="S1198" i="11"/>
  <c r="S1199" i="11"/>
  <c r="S1200" i="11"/>
  <c r="S1201" i="11"/>
  <c r="S1202" i="11"/>
  <c r="S1203" i="11"/>
  <c r="S1204" i="11"/>
  <c r="S1205" i="11"/>
  <c r="S1206" i="11"/>
  <c r="S1207" i="11"/>
  <c r="S1208" i="11"/>
  <c r="S1209" i="11"/>
  <c r="S1210" i="11"/>
  <c r="S1211" i="11"/>
  <c r="S1212" i="11"/>
  <c r="S1213" i="11"/>
  <c r="S1214" i="11"/>
  <c r="S1215" i="11"/>
  <c r="S1216" i="11"/>
  <c r="S1217" i="11"/>
  <c r="S1218" i="11"/>
  <c r="S1219" i="11"/>
  <c r="S1220" i="11"/>
  <c r="S1221" i="11"/>
  <c r="S1222" i="11"/>
  <c r="S1223" i="11"/>
  <c r="S1224" i="11"/>
  <c r="S1225" i="11"/>
  <c r="S1226" i="11"/>
  <c r="S1227" i="11"/>
  <c r="S1228" i="11"/>
  <c r="S1229" i="11"/>
  <c r="S1230" i="11"/>
  <c r="S1231" i="11"/>
  <c r="S1232" i="11"/>
  <c r="S1233" i="11"/>
  <c r="S1234" i="11"/>
  <c r="S1235" i="11"/>
  <c r="S1236" i="11"/>
  <c r="S1237" i="11"/>
  <c r="S1238" i="11"/>
  <c r="S1239" i="11"/>
  <c r="S1240" i="11"/>
  <c r="S1241" i="11"/>
  <c r="S1242" i="11"/>
  <c r="S1243" i="11"/>
  <c r="S1244" i="11"/>
  <c r="S1245" i="11"/>
  <c r="S1246" i="11"/>
  <c r="S1247" i="11"/>
  <c r="S1248" i="11"/>
  <c r="S1249" i="11"/>
  <c r="S1250" i="11"/>
  <c r="S1251" i="11"/>
  <c r="S1252" i="11"/>
  <c r="S1253" i="11"/>
  <c r="S1254" i="11"/>
  <c r="S1255" i="11"/>
  <c r="S1256" i="11"/>
  <c r="S1257" i="11"/>
  <c r="S1258" i="11"/>
  <c r="S1259" i="11"/>
  <c r="S1260" i="11"/>
  <c r="S1261" i="11"/>
  <c r="S1262" i="11"/>
  <c r="S1263" i="11"/>
  <c r="S1264" i="11"/>
  <c r="S1265" i="11"/>
  <c r="S1266" i="11"/>
  <c r="S1267" i="11"/>
  <c r="S1268" i="11"/>
  <c r="S1269" i="11"/>
  <c r="S1270" i="11"/>
  <c r="S1271" i="11"/>
  <c r="S1272" i="11"/>
  <c r="S1273" i="11"/>
  <c r="S1274" i="11"/>
  <c r="S1275" i="11"/>
  <c r="S1276" i="11"/>
  <c r="S1277" i="11"/>
  <c r="S1278" i="11"/>
  <c r="S1279" i="11"/>
  <c r="S1280" i="11"/>
  <c r="S1281" i="11"/>
  <c r="S1282" i="11"/>
  <c r="S1283" i="11"/>
  <c r="S1284" i="11"/>
  <c r="S1285" i="11"/>
  <c r="S1286" i="11"/>
  <c r="S1287" i="11"/>
  <c r="S1288" i="11"/>
  <c r="S1289" i="11"/>
  <c r="S1290" i="11"/>
  <c r="S1291" i="11"/>
  <c r="S1292" i="11"/>
  <c r="S1293" i="11"/>
  <c r="S1294" i="11"/>
  <c r="S1295" i="11"/>
  <c r="S1296" i="11"/>
  <c r="S1297" i="11"/>
  <c r="S1298" i="11"/>
  <c r="S1299" i="11"/>
  <c r="S1300" i="11"/>
  <c r="S1301" i="11"/>
  <c r="S1302" i="11"/>
  <c r="S1303" i="11"/>
  <c r="S1304" i="11"/>
  <c r="S1305" i="11"/>
  <c r="S1306" i="11"/>
  <c r="S1307" i="11"/>
  <c r="S1308" i="11"/>
  <c r="S1309" i="11"/>
  <c r="S1310" i="11"/>
  <c r="S1311" i="11"/>
  <c r="S1312" i="11"/>
  <c r="S1313" i="11"/>
  <c r="S1314" i="11"/>
  <c r="S1315" i="11"/>
  <c r="S1316" i="11"/>
  <c r="S1317" i="11"/>
  <c r="S1318" i="11"/>
  <c r="S1319" i="11"/>
  <c r="S1320" i="11"/>
  <c r="S1321" i="11"/>
  <c r="S1322" i="11"/>
  <c r="S1323" i="11"/>
  <c r="S1324" i="11"/>
  <c r="S1325" i="11"/>
  <c r="S1326" i="11"/>
  <c r="S1327" i="11"/>
  <c r="S1328" i="11"/>
  <c r="S1329" i="11"/>
  <c r="S1330" i="11"/>
  <c r="S1331" i="11"/>
  <c r="S1332" i="11"/>
  <c r="S1333" i="11"/>
  <c r="S1334" i="11"/>
  <c r="S1335" i="11"/>
  <c r="S1336" i="11"/>
  <c r="S1337" i="11"/>
  <c r="S1338" i="11"/>
  <c r="S1339" i="11"/>
  <c r="S1340" i="11"/>
  <c r="S1341" i="11"/>
  <c r="S1342" i="11"/>
  <c r="S1343" i="11"/>
  <c r="S1344" i="11"/>
  <c r="S1345" i="11"/>
  <c r="S1346" i="11"/>
  <c r="S1347" i="11"/>
  <c r="S1348" i="11"/>
  <c r="S1349" i="11"/>
  <c r="S1350" i="11"/>
  <c r="S1351" i="11"/>
  <c r="S1352" i="11"/>
  <c r="S1353" i="11"/>
  <c r="S1354" i="11"/>
  <c r="S1355" i="11"/>
  <c r="S1356" i="11"/>
  <c r="S1357" i="11"/>
  <c r="S1358" i="11"/>
  <c r="S1359" i="11"/>
  <c r="S1360" i="11"/>
  <c r="S1361" i="11"/>
  <c r="S1362" i="11"/>
  <c r="S1363" i="11"/>
  <c r="S1364" i="11"/>
  <c r="S1365" i="11"/>
  <c r="S1366" i="11"/>
  <c r="S1367" i="11"/>
  <c r="S1368" i="11"/>
  <c r="S1369" i="11"/>
  <c r="S1370" i="11"/>
  <c r="S1371" i="11"/>
  <c r="S1372" i="11"/>
  <c r="S1373" i="11"/>
  <c r="S1374" i="11"/>
  <c r="S1375" i="11"/>
  <c r="S1376" i="11"/>
  <c r="S1377" i="11"/>
  <c r="S1378" i="11"/>
  <c r="S1379" i="11"/>
  <c r="S1380" i="11"/>
  <c r="S1381" i="11"/>
  <c r="S1382" i="11"/>
  <c r="S1383" i="11"/>
  <c r="S1384" i="11"/>
  <c r="S1385" i="11"/>
  <c r="S1386" i="11"/>
  <c r="S1387" i="11"/>
  <c r="S1388" i="11"/>
  <c r="S1389" i="11"/>
  <c r="S1390" i="11"/>
  <c r="S1391" i="11"/>
  <c r="S1392" i="11"/>
  <c r="S1393" i="11"/>
  <c r="S1394" i="11"/>
  <c r="S1395" i="11"/>
  <c r="S1396" i="11"/>
  <c r="S1397" i="11"/>
  <c r="S1398" i="11"/>
  <c r="S1399" i="11"/>
  <c r="S1400" i="11"/>
  <c r="S1401" i="11"/>
  <c r="S1402" i="11"/>
  <c r="S1403" i="11"/>
  <c r="S1404" i="11"/>
  <c r="S1405" i="11"/>
  <c r="S1406" i="11"/>
  <c r="S1407" i="11"/>
  <c r="S1408" i="11"/>
  <c r="S1409" i="11"/>
  <c r="S1410" i="11"/>
  <c r="S1411" i="11"/>
  <c r="S1412" i="11"/>
  <c r="S1413" i="11"/>
  <c r="S1414" i="11"/>
  <c r="S1415" i="11"/>
  <c r="S1416" i="11"/>
  <c r="S1417" i="11"/>
  <c r="S1418" i="11"/>
  <c r="S1419" i="11"/>
  <c r="S1420" i="11"/>
  <c r="S1421" i="11"/>
  <c r="S1422" i="11"/>
  <c r="S1423" i="11"/>
  <c r="S1424" i="11"/>
  <c r="S1425" i="11"/>
  <c r="S1426" i="11"/>
  <c r="S1427" i="11"/>
  <c r="S1428" i="11"/>
  <c r="S1429" i="11"/>
  <c r="S1430" i="11"/>
  <c r="S1431" i="11"/>
  <c r="S1432" i="11"/>
  <c r="S1433" i="11"/>
  <c r="S1434" i="11"/>
  <c r="S1435" i="11"/>
  <c r="S1436" i="11"/>
  <c r="S1437" i="11"/>
  <c r="S1438" i="11"/>
  <c r="S1439" i="11"/>
  <c r="S1440" i="11"/>
  <c r="S1441" i="11"/>
  <c r="S1442" i="11"/>
  <c r="S1443" i="11"/>
  <c r="S1444" i="11"/>
  <c r="S1445" i="11"/>
  <c r="S1446" i="11"/>
  <c r="S1447" i="11"/>
  <c r="S1448" i="11"/>
  <c r="S1449" i="11"/>
  <c r="S1450" i="11"/>
  <c r="S1451" i="11"/>
  <c r="S1452" i="11"/>
  <c r="S1453" i="11"/>
  <c r="S1454" i="11"/>
  <c r="S1455" i="11"/>
  <c r="S1456" i="11"/>
  <c r="S1457" i="11"/>
  <c r="S1458" i="11"/>
  <c r="S1459" i="11"/>
  <c r="S1460" i="11"/>
  <c r="S1461" i="11"/>
  <c r="S1462" i="11"/>
  <c r="S1463" i="11"/>
  <c r="S1464" i="11"/>
  <c r="S1465" i="11"/>
  <c r="S1466" i="11"/>
  <c r="S1467" i="11"/>
  <c r="S1468" i="11"/>
  <c r="S1469" i="11"/>
  <c r="S1470" i="11"/>
  <c r="S1471" i="11"/>
  <c r="S1472" i="11"/>
  <c r="S1473" i="11"/>
  <c r="S1474" i="11"/>
  <c r="S1475" i="11"/>
  <c r="S1476" i="11"/>
  <c r="S1477" i="11"/>
  <c r="S1478" i="11"/>
  <c r="S1479" i="11"/>
  <c r="S1480" i="11"/>
  <c r="S1481" i="11"/>
  <c r="S1482" i="11"/>
  <c r="S1483" i="11"/>
  <c r="S1484" i="11"/>
  <c r="S1485" i="11"/>
  <c r="S1486" i="11"/>
  <c r="S1487" i="11"/>
  <c r="S1488" i="11"/>
  <c r="S1489" i="11"/>
  <c r="S1490" i="11"/>
  <c r="S1491" i="11"/>
  <c r="S1492" i="11"/>
  <c r="S1493" i="11"/>
  <c r="S1494" i="11"/>
  <c r="S1495" i="11"/>
  <c r="S1496" i="11"/>
  <c r="S1497" i="11"/>
  <c r="S1498" i="11"/>
  <c r="S1499" i="11"/>
  <c r="S1500" i="11"/>
  <c r="S1501" i="11"/>
  <c r="S1502" i="11"/>
  <c r="S1503" i="11"/>
  <c r="S1504" i="11"/>
  <c r="S1505" i="11"/>
  <c r="S1506" i="11"/>
  <c r="S1507" i="11"/>
  <c r="S1508" i="11"/>
  <c r="S1509" i="11"/>
  <c r="S1510" i="11"/>
  <c r="S1511" i="11"/>
  <c r="S1512" i="11"/>
  <c r="S1513" i="11"/>
  <c r="S1514" i="11"/>
  <c r="S1515" i="11"/>
  <c r="S1516" i="11"/>
  <c r="S1517" i="11"/>
  <c r="S1518" i="11"/>
  <c r="S1519" i="11"/>
  <c r="S1520" i="11"/>
  <c r="S1521" i="11"/>
  <c r="S1522" i="11"/>
  <c r="S1523" i="11"/>
  <c r="S1524" i="11"/>
  <c r="S1525" i="11"/>
  <c r="S1526" i="11"/>
  <c r="S1527" i="11"/>
  <c r="S1528" i="11"/>
  <c r="S1529" i="11"/>
  <c r="S1530" i="11"/>
  <c r="S1531" i="11"/>
  <c r="S1532" i="11"/>
  <c r="S1533" i="11"/>
  <c r="S1534" i="11"/>
  <c r="S1535" i="11"/>
  <c r="S1536" i="11"/>
  <c r="S1537" i="11"/>
  <c r="S1538" i="11"/>
  <c r="S1539" i="11"/>
  <c r="S1540" i="11"/>
  <c r="S1541" i="11"/>
  <c r="S1542" i="11"/>
  <c r="S1543" i="11"/>
  <c r="S1544" i="11"/>
  <c r="S1545" i="11"/>
  <c r="S1546" i="11"/>
  <c r="S1547" i="11"/>
  <c r="S1548" i="11"/>
  <c r="S1549" i="11"/>
  <c r="S1550" i="11"/>
  <c r="S1551" i="11"/>
  <c r="S1552" i="11"/>
  <c r="S1553" i="11"/>
  <c r="S1554" i="11"/>
  <c r="S1555" i="11"/>
  <c r="S1556" i="11"/>
  <c r="S1557" i="11"/>
  <c r="S1558" i="11"/>
  <c r="S1559" i="11"/>
  <c r="S1560" i="11"/>
  <c r="S1561" i="11"/>
  <c r="S1562" i="11"/>
  <c r="S1563" i="11"/>
  <c r="S1564" i="11"/>
  <c r="S1565" i="11"/>
  <c r="S1566" i="11"/>
  <c r="S1567" i="11"/>
  <c r="S1568" i="11"/>
  <c r="S1569" i="11"/>
  <c r="S1570" i="11"/>
  <c r="S1571" i="11"/>
  <c r="S1572" i="11"/>
  <c r="S1573" i="11"/>
  <c r="S1574" i="11"/>
  <c r="S1575" i="11"/>
  <c r="S1576" i="11"/>
  <c r="S1577" i="11"/>
  <c r="S1578" i="11"/>
  <c r="S1579" i="11"/>
  <c r="S1580" i="11"/>
  <c r="S1581" i="11"/>
  <c r="S1582" i="11"/>
  <c r="S1583" i="11"/>
  <c r="S1584" i="11"/>
  <c r="S1585" i="11"/>
  <c r="S1586" i="11"/>
  <c r="S1587" i="11"/>
  <c r="S1588" i="11"/>
  <c r="S1589" i="11"/>
  <c r="S1590" i="11"/>
  <c r="S1591" i="11"/>
  <c r="S1592" i="11"/>
  <c r="S1593" i="11"/>
  <c r="S1594" i="11"/>
  <c r="S1595" i="11"/>
  <c r="S1596" i="11"/>
  <c r="S1597" i="11"/>
  <c r="S1598" i="11"/>
  <c r="S1599" i="11"/>
  <c r="S1600" i="11"/>
  <c r="S1601" i="11"/>
  <c r="S1602" i="11"/>
  <c r="S1603" i="11"/>
  <c r="S1604" i="11"/>
  <c r="S1605" i="11"/>
  <c r="S1606" i="11"/>
  <c r="S1607" i="11"/>
  <c r="S1608" i="11"/>
  <c r="S1609" i="11"/>
  <c r="S1610" i="11"/>
  <c r="S1611" i="11"/>
  <c r="S1612" i="11"/>
  <c r="S1613" i="11"/>
  <c r="S1614" i="11"/>
  <c r="S1615" i="11"/>
  <c r="S1616" i="11"/>
  <c r="S1617" i="11"/>
  <c r="S1618" i="11"/>
  <c r="S1619" i="11"/>
  <c r="S1620" i="11"/>
  <c r="S1621" i="11"/>
  <c r="S1622" i="11"/>
  <c r="S1623" i="11"/>
  <c r="S1624" i="11"/>
  <c r="S1625" i="11"/>
  <c r="S1626" i="11"/>
  <c r="S1627" i="11"/>
  <c r="S1628" i="11"/>
  <c r="S1629" i="11"/>
  <c r="S1630" i="11"/>
  <c r="S1631" i="11"/>
  <c r="S1632" i="11"/>
  <c r="S1633" i="11"/>
  <c r="S1634" i="11"/>
  <c r="S1635" i="11"/>
  <c r="S1636" i="11"/>
  <c r="S1637" i="11"/>
  <c r="S1638" i="11"/>
  <c r="S1639" i="11"/>
  <c r="S1640" i="11"/>
  <c r="S1641" i="11"/>
  <c r="S1642" i="11"/>
  <c r="S1643" i="11"/>
  <c r="S1644" i="11"/>
  <c r="S1645" i="11"/>
  <c r="S1646" i="11"/>
  <c r="S1647" i="11"/>
  <c r="S1648" i="11"/>
  <c r="S1649" i="11"/>
  <c r="S1650" i="11"/>
  <c r="S1651" i="11"/>
  <c r="S1652" i="11"/>
  <c r="S1653" i="11"/>
  <c r="S1654" i="11"/>
  <c r="S1655" i="11"/>
  <c r="S1656" i="11"/>
  <c r="S1657" i="11"/>
  <c r="S1658" i="11"/>
  <c r="S1659" i="11"/>
  <c r="S1660" i="11"/>
  <c r="S1661" i="11"/>
  <c r="S1662" i="11"/>
  <c r="S1663" i="11"/>
  <c r="S1664" i="11"/>
  <c r="S1665" i="11"/>
  <c r="S1666" i="11"/>
  <c r="S1667" i="11"/>
  <c r="S1668" i="11"/>
  <c r="S1669" i="11"/>
  <c r="S1670" i="11"/>
  <c r="S1671" i="11"/>
  <c r="S1672" i="11"/>
  <c r="S1673" i="11"/>
  <c r="S1674" i="11"/>
  <c r="S1675" i="11"/>
  <c r="S1676" i="11"/>
  <c r="S1677" i="11"/>
  <c r="S1678" i="11"/>
  <c r="S1679" i="11"/>
  <c r="S1680" i="11"/>
  <c r="S1681" i="11"/>
  <c r="S1682" i="11"/>
  <c r="S1683" i="11"/>
  <c r="S1684" i="11"/>
  <c r="S1685" i="11"/>
  <c r="S1686" i="11"/>
  <c r="S1687" i="11"/>
  <c r="S1688" i="11"/>
  <c r="S1689" i="11"/>
  <c r="S1690" i="11"/>
  <c r="S1691" i="11"/>
  <c r="S1692" i="11"/>
  <c r="S1693" i="11"/>
  <c r="S1694" i="11"/>
  <c r="S1695" i="11"/>
  <c r="S1696" i="11"/>
  <c r="S1697" i="11"/>
  <c r="S1698" i="11"/>
  <c r="S1699" i="11"/>
  <c r="S1700" i="11"/>
  <c r="S1701" i="11"/>
  <c r="S1702" i="11"/>
  <c r="S1703" i="11"/>
  <c r="S1704" i="11"/>
  <c r="S1705" i="11"/>
  <c r="S1706" i="11"/>
  <c r="S1707" i="11"/>
  <c r="S1708" i="11"/>
  <c r="S1709" i="11"/>
  <c r="S1710" i="11"/>
  <c r="S1711" i="11"/>
  <c r="S1712" i="11"/>
  <c r="S1713" i="11"/>
  <c r="S1714" i="11"/>
  <c r="S1715" i="11"/>
  <c r="S1716" i="11"/>
  <c r="S1717" i="11"/>
  <c r="S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810" i="11"/>
  <c r="I811" i="11"/>
  <c r="I812" i="11"/>
  <c r="I813" i="11"/>
  <c r="I814" i="11"/>
  <c r="I815" i="11"/>
  <c r="I816" i="11"/>
  <c r="I817" i="11"/>
  <c r="I818" i="11"/>
  <c r="I819" i="11"/>
  <c r="I820" i="11"/>
  <c r="I821" i="11"/>
  <c r="I822" i="11"/>
  <c r="I823" i="11"/>
  <c r="I824" i="11"/>
  <c r="I825" i="11"/>
  <c r="I826" i="11"/>
  <c r="I827" i="11"/>
  <c r="I828" i="11"/>
  <c r="I829" i="11"/>
  <c r="I830" i="11"/>
  <c r="I831" i="11"/>
  <c r="I832" i="11"/>
  <c r="I833" i="11"/>
  <c r="I834" i="11"/>
  <c r="I835" i="11"/>
  <c r="I836" i="11"/>
  <c r="I837" i="11"/>
  <c r="I838" i="11"/>
  <c r="I839" i="11"/>
  <c r="I840" i="11"/>
  <c r="I841" i="11"/>
  <c r="I842" i="11"/>
  <c r="I843" i="11"/>
  <c r="I844" i="11"/>
  <c r="I845" i="11"/>
  <c r="I846" i="11"/>
  <c r="I847" i="11"/>
  <c r="I848" i="11"/>
  <c r="I849" i="11"/>
  <c r="I850" i="11"/>
  <c r="I851" i="11"/>
  <c r="I852" i="11"/>
  <c r="I853" i="11"/>
  <c r="I854" i="11"/>
  <c r="I855" i="11"/>
  <c r="I856" i="11"/>
  <c r="I857" i="11"/>
  <c r="I858" i="11"/>
  <c r="I859" i="11"/>
  <c r="I860" i="11"/>
  <c r="I861" i="11"/>
  <c r="I862" i="11"/>
  <c r="I863" i="11"/>
  <c r="I864" i="11"/>
  <c r="I865" i="11"/>
  <c r="I866" i="11"/>
  <c r="I867" i="11"/>
  <c r="I868" i="11"/>
  <c r="I869" i="11"/>
  <c r="I870" i="11"/>
  <c r="I871" i="11"/>
  <c r="I872" i="11"/>
  <c r="I873" i="11"/>
  <c r="I874" i="11"/>
  <c r="I875" i="11"/>
  <c r="I876" i="11"/>
  <c r="I877" i="11"/>
  <c r="I878" i="11"/>
  <c r="I879" i="11"/>
  <c r="I880" i="11"/>
  <c r="I881" i="11"/>
  <c r="I882" i="11"/>
  <c r="I883" i="11"/>
  <c r="I884" i="11"/>
  <c r="I885" i="11"/>
  <c r="I886" i="11"/>
  <c r="I887" i="11"/>
  <c r="I888" i="11"/>
  <c r="I889" i="11"/>
  <c r="I890" i="11"/>
  <c r="I891" i="11"/>
  <c r="I892" i="11"/>
  <c r="I893" i="11"/>
  <c r="I894" i="11"/>
  <c r="I895" i="11"/>
  <c r="I896" i="11"/>
  <c r="I897" i="11"/>
  <c r="I898" i="11"/>
  <c r="I899" i="11"/>
  <c r="I900" i="11"/>
  <c r="I901" i="11"/>
  <c r="I902" i="11"/>
  <c r="I903" i="11"/>
  <c r="I904" i="11"/>
  <c r="I905" i="11"/>
  <c r="I906" i="11"/>
  <c r="I907" i="11"/>
  <c r="I908" i="11"/>
  <c r="I909" i="11"/>
  <c r="I910" i="11"/>
  <c r="I911" i="11"/>
  <c r="I912" i="11"/>
  <c r="I913" i="11"/>
  <c r="I914" i="11"/>
  <c r="I915" i="11"/>
  <c r="I916" i="11"/>
  <c r="I917" i="11"/>
  <c r="I918" i="11"/>
  <c r="I919" i="11"/>
  <c r="I920" i="11"/>
  <c r="I921" i="11"/>
  <c r="I922" i="11"/>
  <c r="I923" i="11"/>
  <c r="I924" i="11"/>
  <c r="I925" i="11"/>
  <c r="I926" i="11"/>
  <c r="I927" i="11"/>
  <c r="I928" i="11"/>
  <c r="I929" i="11"/>
  <c r="I930" i="11"/>
  <c r="I931" i="11"/>
  <c r="I932" i="11"/>
  <c r="I933" i="11"/>
  <c r="I934" i="11"/>
  <c r="I935" i="11"/>
  <c r="I936" i="11"/>
  <c r="I937" i="11"/>
  <c r="I938" i="11"/>
  <c r="I939" i="11"/>
  <c r="I940" i="11"/>
  <c r="I941" i="11"/>
  <c r="I942" i="11"/>
  <c r="I943" i="11"/>
  <c r="I944" i="11"/>
  <c r="I945" i="11"/>
  <c r="I946" i="11"/>
  <c r="I947" i="11"/>
  <c r="I948" i="11"/>
  <c r="I949" i="11"/>
  <c r="I950" i="11"/>
  <c r="I951" i="11"/>
  <c r="I952" i="11"/>
  <c r="I953" i="11"/>
  <c r="I954" i="11"/>
  <c r="I955" i="11"/>
  <c r="I956" i="11"/>
  <c r="I957" i="11"/>
  <c r="I958" i="11"/>
  <c r="I959" i="11"/>
  <c r="I960" i="11"/>
  <c r="I961" i="11"/>
  <c r="I962" i="11"/>
  <c r="I963" i="11"/>
  <c r="I964" i="11"/>
  <c r="I965" i="11"/>
  <c r="I966" i="11"/>
  <c r="I967" i="11"/>
  <c r="I968" i="11"/>
  <c r="I969" i="11"/>
  <c r="I970" i="11"/>
  <c r="I971" i="11"/>
  <c r="I972" i="11"/>
  <c r="I973" i="11"/>
  <c r="I974" i="11"/>
  <c r="I975" i="11"/>
  <c r="I976" i="11"/>
  <c r="I977" i="11"/>
  <c r="I978" i="11"/>
  <c r="I979" i="11"/>
  <c r="I980" i="11"/>
  <c r="I981" i="11"/>
  <c r="I982" i="11"/>
  <c r="I983" i="11"/>
  <c r="I984" i="11"/>
  <c r="I985" i="11"/>
  <c r="I986" i="11"/>
  <c r="I987" i="11"/>
  <c r="I988" i="11"/>
  <c r="I989" i="11"/>
  <c r="I990" i="11"/>
  <c r="I991" i="11"/>
  <c r="I992" i="11"/>
  <c r="I993" i="11"/>
  <c r="I994" i="11"/>
  <c r="I995" i="11"/>
  <c r="I996" i="11"/>
  <c r="I997" i="11"/>
  <c r="I998" i="11"/>
  <c r="I999" i="11"/>
  <c r="I1000" i="11"/>
  <c r="I1001" i="11"/>
  <c r="I1002" i="11"/>
  <c r="I1003" i="11"/>
  <c r="I1004" i="11"/>
  <c r="I1005" i="11"/>
  <c r="I1006" i="11"/>
  <c r="I1007" i="11"/>
  <c r="I1008" i="11"/>
  <c r="I1009" i="11"/>
  <c r="I1010" i="11"/>
  <c r="I1011" i="11"/>
  <c r="I1012" i="11"/>
  <c r="I1013" i="11"/>
  <c r="I1014" i="11"/>
  <c r="I1015" i="11"/>
  <c r="I1016" i="11"/>
  <c r="I1017" i="11"/>
  <c r="I1018" i="11"/>
  <c r="I1019" i="11"/>
  <c r="I1020" i="11"/>
  <c r="I1021" i="11"/>
  <c r="I1022" i="11"/>
  <c r="I1023" i="11"/>
  <c r="I1024" i="11"/>
  <c r="I1025" i="11"/>
  <c r="I1026" i="11"/>
  <c r="I1027" i="11"/>
  <c r="I1028" i="11"/>
  <c r="I1029" i="11"/>
  <c r="I1030" i="11"/>
  <c r="I1031" i="11"/>
  <c r="I1032" i="11"/>
  <c r="I1033" i="11"/>
  <c r="I1034" i="11"/>
  <c r="I1035" i="11"/>
  <c r="I1036" i="11"/>
  <c r="I1037" i="11"/>
  <c r="I1038" i="11"/>
  <c r="I1039" i="11"/>
  <c r="I1040" i="11"/>
  <c r="I1041" i="11"/>
  <c r="I1042" i="11"/>
  <c r="I1043" i="11"/>
  <c r="I1044" i="11"/>
  <c r="I1045" i="11"/>
  <c r="I1046" i="11"/>
  <c r="I1047" i="11"/>
  <c r="I1048" i="11"/>
  <c r="I1049" i="11"/>
  <c r="I1050" i="11"/>
  <c r="I1051" i="11"/>
  <c r="I1052" i="11"/>
  <c r="I1053" i="11"/>
  <c r="I1054" i="11"/>
  <c r="I1055" i="11"/>
  <c r="I1056" i="11"/>
  <c r="I1057" i="11"/>
  <c r="I1058" i="11"/>
  <c r="I1059" i="11"/>
  <c r="I1060" i="11"/>
  <c r="I1061" i="11"/>
  <c r="I1062" i="11"/>
  <c r="I1063" i="11"/>
  <c r="I1064" i="11"/>
  <c r="I1065" i="11"/>
  <c r="I1066" i="11"/>
  <c r="I1067" i="11"/>
  <c r="I1068" i="11"/>
  <c r="I1069" i="11"/>
  <c r="I1070" i="11"/>
  <c r="I1071" i="11"/>
  <c r="I1072" i="11"/>
  <c r="I1073" i="11"/>
  <c r="I1074" i="11"/>
  <c r="I1075" i="11"/>
  <c r="I1076" i="11"/>
  <c r="I1077" i="11"/>
  <c r="I1078" i="11"/>
  <c r="I1079" i="11"/>
  <c r="I1080" i="11"/>
  <c r="I1081" i="11"/>
  <c r="I1082" i="11"/>
  <c r="I1083" i="11"/>
  <c r="I1084" i="11"/>
  <c r="I1085" i="11"/>
  <c r="I1086" i="11"/>
  <c r="I1087" i="11"/>
  <c r="I1088" i="11"/>
  <c r="I1089" i="11"/>
  <c r="I1090" i="11"/>
  <c r="I1091" i="11"/>
  <c r="I1092" i="11"/>
  <c r="I1093" i="11"/>
  <c r="I1094" i="11"/>
  <c r="I1095" i="11"/>
  <c r="I1096" i="11"/>
  <c r="I1097" i="11"/>
  <c r="I1098" i="11"/>
  <c r="I1099" i="11"/>
  <c r="I1100" i="11"/>
  <c r="I1101" i="11"/>
  <c r="I1102" i="11"/>
  <c r="I1103" i="11"/>
  <c r="I1104" i="11"/>
  <c r="I1105" i="11"/>
  <c r="I1106" i="11"/>
  <c r="I1107" i="11"/>
  <c r="I1108" i="11"/>
  <c r="I1109" i="11"/>
  <c r="I1110" i="11"/>
  <c r="I1111" i="11"/>
  <c r="I1112" i="11"/>
  <c r="I1113" i="11"/>
  <c r="I1114" i="11"/>
  <c r="I1115" i="11"/>
  <c r="I1116" i="11"/>
  <c r="I1117" i="11"/>
  <c r="I1118" i="11"/>
  <c r="I1119" i="11"/>
  <c r="I1120" i="11"/>
  <c r="I1121" i="11"/>
  <c r="I1122" i="11"/>
  <c r="I1123" i="11"/>
  <c r="I1124" i="11"/>
  <c r="I1125" i="11"/>
  <c r="I1126" i="11"/>
  <c r="I1127" i="11"/>
  <c r="I1128" i="11"/>
  <c r="I1129" i="11"/>
  <c r="I1130" i="11"/>
  <c r="I1131" i="11"/>
  <c r="I1132" i="11"/>
  <c r="I1133" i="11"/>
  <c r="I1134" i="11"/>
  <c r="I1135" i="11"/>
  <c r="I1136" i="11"/>
  <c r="I1137" i="11"/>
  <c r="I1138" i="11"/>
  <c r="I1139" i="11"/>
  <c r="I1140" i="11"/>
  <c r="I1141" i="11"/>
  <c r="I1142" i="11"/>
  <c r="I1143" i="11"/>
  <c r="I1144" i="11"/>
  <c r="I1145" i="11"/>
  <c r="I1146" i="11"/>
  <c r="I1147" i="11"/>
  <c r="I1148" i="11"/>
  <c r="I1149" i="11"/>
  <c r="I1150" i="11"/>
  <c r="I1151" i="11"/>
  <c r="I1152" i="11"/>
  <c r="I1153" i="11"/>
  <c r="I1154" i="11"/>
  <c r="I1155" i="11"/>
  <c r="I1156" i="11"/>
  <c r="I1157" i="11"/>
  <c r="I1158" i="11"/>
  <c r="I1159" i="11"/>
  <c r="I1160" i="11"/>
  <c r="I1161" i="11"/>
  <c r="I1162" i="11"/>
  <c r="I1163" i="11"/>
  <c r="I1164" i="11"/>
  <c r="I1165" i="11"/>
  <c r="I1166" i="11"/>
  <c r="I1167" i="11"/>
  <c r="I1168" i="11"/>
  <c r="I1169" i="11"/>
  <c r="I1170" i="11"/>
  <c r="I1171" i="11"/>
  <c r="I1172" i="11"/>
  <c r="I1173" i="11"/>
  <c r="I1174" i="11"/>
  <c r="I1175" i="11"/>
  <c r="I1176" i="11"/>
  <c r="I1177" i="11"/>
  <c r="I1178" i="11"/>
  <c r="I1179" i="11"/>
  <c r="I1180" i="11"/>
  <c r="I1181" i="11"/>
  <c r="I1182" i="11"/>
  <c r="I1183" i="11"/>
  <c r="I1184" i="11"/>
  <c r="I1185" i="11"/>
  <c r="I1186" i="11"/>
  <c r="I1187" i="11"/>
  <c r="I1188" i="11"/>
  <c r="I1189" i="11"/>
  <c r="I1190" i="11"/>
  <c r="I1191" i="11"/>
  <c r="I1192" i="11"/>
  <c r="I1193" i="11"/>
  <c r="I1194" i="11"/>
  <c r="I1195" i="11"/>
  <c r="I1196" i="11"/>
  <c r="I1197" i="11"/>
  <c r="I1198" i="11"/>
  <c r="I1199" i="11"/>
  <c r="I1200" i="11"/>
  <c r="I1201" i="11"/>
  <c r="I1202" i="11"/>
  <c r="I1203" i="11"/>
  <c r="I1204" i="11"/>
  <c r="I1205" i="11"/>
  <c r="I1206" i="11"/>
  <c r="I1207" i="11"/>
  <c r="I1208" i="11"/>
  <c r="I1209" i="11"/>
  <c r="I1210" i="11"/>
  <c r="I1211" i="11"/>
  <c r="I1212" i="11"/>
  <c r="I1213" i="11"/>
  <c r="I1214" i="11"/>
  <c r="I1215" i="11"/>
  <c r="I1216" i="11"/>
  <c r="I1217" i="11"/>
  <c r="I1218" i="11"/>
  <c r="I1219" i="11"/>
  <c r="I1220" i="11"/>
  <c r="I1221" i="11"/>
  <c r="I1222" i="11"/>
  <c r="I1223" i="11"/>
  <c r="I1224" i="11"/>
  <c r="I1225" i="11"/>
  <c r="I1226" i="11"/>
  <c r="I1227" i="11"/>
  <c r="I1228" i="11"/>
  <c r="I1229" i="11"/>
  <c r="I1230" i="11"/>
  <c r="I1231" i="11"/>
  <c r="I1232" i="11"/>
  <c r="I1233" i="11"/>
  <c r="I1234" i="11"/>
  <c r="I1235" i="11"/>
  <c r="I1236" i="11"/>
  <c r="I1237" i="11"/>
  <c r="I1238" i="11"/>
  <c r="I1239" i="11"/>
  <c r="I1240" i="11"/>
  <c r="I1241" i="11"/>
  <c r="I1242" i="11"/>
  <c r="I1243" i="11"/>
  <c r="I1244" i="11"/>
  <c r="I1245" i="11"/>
  <c r="I1246" i="11"/>
  <c r="I1247" i="11"/>
  <c r="I1248" i="11"/>
  <c r="I1249" i="11"/>
  <c r="I1250" i="11"/>
  <c r="I1251" i="11"/>
  <c r="I1252" i="11"/>
  <c r="I1253" i="11"/>
  <c r="I1254" i="11"/>
  <c r="I1255" i="11"/>
  <c r="I1256" i="11"/>
  <c r="I1257" i="11"/>
  <c r="I1258" i="11"/>
  <c r="I1259" i="11"/>
  <c r="I1260" i="11"/>
  <c r="I1261" i="11"/>
  <c r="I1262" i="11"/>
  <c r="I1263" i="11"/>
  <c r="I1264" i="11"/>
  <c r="I1265" i="11"/>
  <c r="I1266" i="11"/>
  <c r="I1267" i="11"/>
  <c r="I1268" i="11"/>
  <c r="I1269" i="11"/>
  <c r="I1270" i="11"/>
  <c r="I1271" i="11"/>
  <c r="I1272" i="11"/>
  <c r="I1273" i="11"/>
  <c r="I1274" i="11"/>
  <c r="I1275" i="11"/>
  <c r="I1276" i="11"/>
  <c r="I1277" i="11"/>
  <c r="I1278" i="11"/>
  <c r="I1279" i="11"/>
  <c r="I1280" i="11"/>
  <c r="I1281" i="11"/>
  <c r="I1282" i="11"/>
  <c r="I1283" i="11"/>
  <c r="I1284" i="11"/>
  <c r="I1285" i="11"/>
  <c r="I1286" i="11"/>
  <c r="I1287" i="11"/>
  <c r="I1288" i="11"/>
  <c r="I1289" i="11"/>
  <c r="I1290" i="11"/>
  <c r="I1291" i="11"/>
  <c r="I1292" i="11"/>
  <c r="I1293" i="11"/>
  <c r="I1294" i="11"/>
  <c r="I1295" i="11"/>
  <c r="I1296" i="11"/>
  <c r="I1297" i="11"/>
  <c r="I1298" i="11"/>
  <c r="I1299" i="11"/>
  <c r="I1300" i="11"/>
  <c r="I1301" i="11"/>
  <c r="I1302" i="11"/>
  <c r="I1303" i="11"/>
  <c r="I1304" i="11"/>
  <c r="I1305" i="11"/>
  <c r="I1306" i="11"/>
  <c r="I1307" i="11"/>
  <c r="I1308" i="11"/>
  <c r="I1309" i="11"/>
  <c r="I1310" i="11"/>
  <c r="I1311" i="11"/>
  <c r="I1312" i="11"/>
  <c r="I1313" i="11"/>
  <c r="I1314" i="11"/>
  <c r="I1315" i="11"/>
  <c r="I1316" i="11"/>
  <c r="I1317" i="11"/>
  <c r="I1318" i="11"/>
  <c r="I1319" i="11"/>
  <c r="I1320" i="11"/>
  <c r="I1321" i="11"/>
  <c r="I1322" i="11"/>
  <c r="I1323" i="11"/>
  <c r="I1324" i="11"/>
  <c r="I1325" i="11"/>
  <c r="I1326" i="11"/>
  <c r="I1327" i="11"/>
  <c r="I1328" i="11"/>
  <c r="I1329" i="11"/>
  <c r="I1330" i="11"/>
  <c r="I1331" i="11"/>
  <c r="I1332" i="11"/>
  <c r="I1333" i="11"/>
  <c r="I1334" i="11"/>
  <c r="I1335" i="11"/>
  <c r="I1336" i="11"/>
  <c r="I1337" i="11"/>
  <c r="I1338" i="11"/>
  <c r="I1339" i="11"/>
  <c r="I1340" i="11"/>
  <c r="I1341" i="11"/>
  <c r="I1342" i="11"/>
  <c r="I1343" i="11"/>
  <c r="I1344" i="11"/>
  <c r="I1345" i="11"/>
  <c r="I1346" i="11"/>
  <c r="I1347" i="11"/>
  <c r="I1348" i="11"/>
  <c r="I1349" i="11"/>
  <c r="I1350" i="11"/>
  <c r="I1351" i="11"/>
  <c r="I1352" i="11"/>
  <c r="I1353" i="11"/>
  <c r="I1354" i="11"/>
  <c r="I1355" i="11"/>
  <c r="I1356" i="11"/>
  <c r="I1357" i="11"/>
  <c r="I1358" i="11"/>
  <c r="I1359" i="11"/>
  <c r="I1360" i="11"/>
  <c r="I1361" i="11"/>
  <c r="I1362" i="11"/>
  <c r="I1363" i="11"/>
  <c r="I1364" i="11"/>
  <c r="I1365" i="11"/>
  <c r="I1366" i="11"/>
  <c r="I1367" i="11"/>
  <c r="I1368" i="11"/>
  <c r="I1369" i="11"/>
  <c r="I1370" i="11"/>
  <c r="I1371" i="11"/>
  <c r="I1372" i="11"/>
  <c r="I1373" i="11"/>
  <c r="I1374" i="11"/>
  <c r="I1375" i="11"/>
  <c r="I1376" i="11"/>
  <c r="I1377" i="11"/>
  <c r="I1378" i="11"/>
  <c r="I1379" i="11"/>
  <c r="I1380" i="11"/>
  <c r="I1381" i="11"/>
  <c r="I1382" i="11"/>
  <c r="I1383" i="11"/>
  <c r="I1384" i="11"/>
  <c r="I1385" i="11"/>
  <c r="I1386" i="11"/>
  <c r="I1387" i="11"/>
  <c r="I1388" i="11"/>
  <c r="I1389" i="11"/>
  <c r="I1390" i="11"/>
  <c r="I1391" i="11"/>
  <c r="I1392" i="11"/>
  <c r="I1393" i="11"/>
  <c r="I1394" i="11"/>
  <c r="I1395" i="11"/>
  <c r="I1396" i="11"/>
  <c r="I1397" i="11"/>
  <c r="I1398" i="11"/>
  <c r="I1399" i="11"/>
  <c r="I1400" i="11"/>
  <c r="I1401" i="11"/>
  <c r="I1402" i="11"/>
  <c r="I1403" i="11"/>
  <c r="I1404" i="11"/>
  <c r="I1405" i="11"/>
  <c r="I1406" i="11"/>
  <c r="I1407" i="11"/>
  <c r="I1408" i="11"/>
  <c r="I1409" i="11"/>
  <c r="I1410" i="11"/>
  <c r="I1411" i="11"/>
  <c r="I1412" i="11"/>
  <c r="I1413" i="11"/>
  <c r="I1414" i="11"/>
  <c r="I1415" i="11"/>
  <c r="I1416" i="11"/>
  <c r="I1417" i="11"/>
  <c r="I1418" i="11"/>
  <c r="I1419" i="11"/>
  <c r="I1420" i="11"/>
  <c r="I1421" i="11"/>
  <c r="I1422" i="11"/>
  <c r="I1423" i="11"/>
  <c r="I1424" i="11"/>
  <c r="I1425" i="11"/>
  <c r="I1426" i="11"/>
  <c r="I1427" i="11"/>
  <c r="I1428" i="11"/>
  <c r="I1429" i="11"/>
  <c r="I1430" i="11"/>
  <c r="I1431" i="11"/>
  <c r="I1432" i="11"/>
  <c r="I1433" i="11"/>
  <c r="I1434" i="11"/>
  <c r="I1435" i="11"/>
  <c r="I1436" i="11"/>
  <c r="I1437" i="11"/>
  <c r="I1438" i="11"/>
  <c r="I1439" i="11"/>
  <c r="I1440" i="11"/>
  <c r="I1441" i="11"/>
  <c r="I1442" i="11"/>
  <c r="I1443" i="11"/>
  <c r="I1444" i="11"/>
  <c r="I1445" i="11"/>
  <c r="I1446" i="11"/>
  <c r="I1447" i="11"/>
  <c r="I1448" i="11"/>
  <c r="I1449" i="11"/>
  <c r="I1450" i="11"/>
  <c r="I1451" i="11"/>
  <c r="I1452" i="11"/>
  <c r="I1453" i="11"/>
  <c r="I1454" i="11"/>
  <c r="I1455" i="11"/>
  <c r="I1456" i="11"/>
  <c r="I1457" i="11"/>
  <c r="I1458" i="11"/>
  <c r="I1459" i="11"/>
  <c r="I1460" i="11"/>
  <c r="I1461" i="11"/>
  <c r="I1462" i="11"/>
  <c r="I1463" i="11"/>
  <c r="I1464" i="11"/>
  <c r="I1465" i="11"/>
  <c r="I1466" i="11"/>
  <c r="I1467" i="11"/>
  <c r="I1468" i="11"/>
  <c r="I1469" i="11"/>
  <c r="I1470" i="11"/>
  <c r="I1471" i="11"/>
  <c r="I1472" i="11"/>
  <c r="I1473" i="11"/>
  <c r="I1474" i="11"/>
  <c r="I1475" i="11"/>
  <c r="I1476" i="11"/>
  <c r="I1477" i="11"/>
  <c r="I1478" i="11"/>
  <c r="I1479" i="11"/>
  <c r="I1480" i="11"/>
  <c r="I1481" i="11"/>
  <c r="I1482" i="11"/>
  <c r="I1483" i="11"/>
  <c r="I1484" i="11"/>
  <c r="I1485" i="11"/>
  <c r="I1486" i="11"/>
  <c r="I1487" i="11"/>
  <c r="I1488" i="11"/>
  <c r="I1489" i="11"/>
  <c r="I1490" i="11"/>
  <c r="I1491" i="11"/>
  <c r="I1492" i="11"/>
  <c r="I1493" i="11"/>
  <c r="I1494" i="11"/>
  <c r="I1495" i="11"/>
  <c r="I1496" i="11"/>
  <c r="I1497" i="11"/>
  <c r="I1498" i="11"/>
  <c r="I1499" i="11"/>
  <c r="I1500" i="11"/>
  <c r="I1501" i="11"/>
  <c r="I1502" i="11"/>
  <c r="I1503" i="11"/>
  <c r="I1504" i="11"/>
  <c r="I1505" i="11"/>
  <c r="I1506" i="11"/>
  <c r="I1507" i="11"/>
  <c r="I1508" i="11"/>
  <c r="I1509" i="11"/>
  <c r="I1510" i="11"/>
  <c r="I1511" i="11"/>
  <c r="I1512" i="11"/>
  <c r="I1513" i="11"/>
  <c r="I1514" i="11"/>
  <c r="I1515" i="11"/>
  <c r="I1516" i="11"/>
  <c r="I1517" i="11"/>
  <c r="I1518" i="11"/>
  <c r="I1519" i="11"/>
  <c r="I1520" i="11"/>
  <c r="I1521" i="11"/>
  <c r="I1522" i="11"/>
  <c r="I1523" i="11"/>
  <c r="I1524" i="11"/>
  <c r="I1525" i="11"/>
  <c r="I1526" i="11"/>
  <c r="I1527" i="11"/>
  <c r="I1528" i="11"/>
  <c r="I1529" i="11"/>
  <c r="I1530" i="11"/>
  <c r="I1531" i="11"/>
  <c r="I1532" i="11"/>
  <c r="I1533" i="11"/>
  <c r="I1534" i="11"/>
  <c r="I1535" i="11"/>
  <c r="I1536" i="11"/>
  <c r="I1537" i="11"/>
  <c r="I1538" i="11"/>
  <c r="I1539" i="11"/>
  <c r="I1540" i="11"/>
  <c r="I1541" i="11"/>
  <c r="I1542" i="11"/>
  <c r="I1543" i="11"/>
  <c r="I1544" i="11"/>
  <c r="I1545" i="11"/>
  <c r="I1546" i="11"/>
  <c r="I1547" i="11"/>
  <c r="I1548" i="11"/>
  <c r="I1549" i="11"/>
  <c r="I1550" i="11"/>
  <c r="I1551" i="11"/>
  <c r="I1552" i="11"/>
  <c r="I1553" i="11"/>
  <c r="I1554" i="11"/>
  <c r="I1555" i="11"/>
  <c r="I1556" i="11"/>
  <c r="I1557" i="11"/>
  <c r="I1558" i="11"/>
  <c r="I1559" i="11"/>
  <c r="I1560" i="11"/>
  <c r="I1561" i="11"/>
  <c r="I1562" i="11"/>
  <c r="I1563" i="11"/>
  <c r="I1564" i="11"/>
  <c r="I1565" i="11"/>
  <c r="I1566" i="11"/>
  <c r="I1567" i="11"/>
  <c r="I1568" i="11"/>
  <c r="I1569" i="11"/>
  <c r="I1570" i="11"/>
  <c r="I1571" i="11"/>
  <c r="I1572" i="11"/>
  <c r="I1573" i="11"/>
  <c r="I1574" i="11"/>
  <c r="I1575" i="11"/>
  <c r="I1576" i="11"/>
  <c r="I1577" i="11"/>
  <c r="I1578" i="11"/>
  <c r="I1579" i="11"/>
  <c r="I1580" i="11"/>
  <c r="I1581" i="11"/>
  <c r="I1582" i="11"/>
  <c r="I1583" i="11"/>
  <c r="I1584" i="11"/>
  <c r="I1585" i="11"/>
  <c r="I1586" i="11"/>
  <c r="I1587" i="11"/>
  <c r="I1588" i="11"/>
  <c r="I1589" i="11"/>
  <c r="I1590" i="11"/>
  <c r="I1591" i="11"/>
  <c r="I1592" i="11"/>
  <c r="I1593" i="11"/>
  <c r="I1594" i="11"/>
  <c r="I1595" i="11"/>
  <c r="I1596" i="11"/>
  <c r="I1597" i="11"/>
  <c r="I1598" i="11"/>
  <c r="I1599" i="11"/>
  <c r="I1600" i="11"/>
  <c r="I1601" i="11"/>
  <c r="I1602" i="11"/>
  <c r="I1603" i="11"/>
  <c r="I1604" i="11"/>
  <c r="I1605" i="11"/>
  <c r="I1606" i="11"/>
  <c r="I1607" i="11"/>
  <c r="I1608" i="11"/>
  <c r="I1609" i="11"/>
  <c r="I1610" i="11"/>
  <c r="I1611" i="11"/>
  <c r="I1612" i="11"/>
  <c r="I1613" i="11"/>
  <c r="I1614" i="11"/>
  <c r="I1615" i="11"/>
  <c r="I1616" i="11"/>
  <c r="I1617" i="11"/>
  <c r="I1618" i="11"/>
  <c r="I1619" i="11"/>
  <c r="I1620" i="11"/>
  <c r="I1621" i="11"/>
  <c r="I1622" i="11"/>
  <c r="I1623" i="11"/>
  <c r="I1624" i="11"/>
  <c r="I1625" i="11"/>
  <c r="I1626" i="11"/>
  <c r="I1627" i="11"/>
  <c r="I1628" i="11"/>
  <c r="I1629" i="11"/>
  <c r="I1630" i="11"/>
  <c r="I1631" i="11"/>
  <c r="I1632" i="11"/>
  <c r="I1633" i="11"/>
  <c r="I1634" i="11"/>
  <c r="I1635" i="11"/>
  <c r="I1636" i="11"/>
  <c r="I1637" i="11"/>
  <c r="I1638" i="11"/>
  <c r="I1639" i="11"/>
  <c r="I1640" i="11"/>
  <c r="I1641" i="11"/>
  <c r="I1642" i="11"/>
  <c r="I1643" i="11"/>
  <c r="I1644" i="11"/>
  <c r="I1645" i="11"/>
  <c r="I1646" i="11"/>
  <c r="I1647" i="11"/>
  <c r="I1648" i="11"/>
  <c r="I1649" i="11"/>
  <c r="I1650" i="11"/>
  <c r="I1651" i="11"/>
  <c r="I1652" i="11"/>
  <c r="I1653" i="11"/>
  <c r="I1654" i="11"/>
  <c r="I1655" i="11"/>
  <c r="I1656" i="11"/>
  <c r="I1657" i="11"/>
  <c r="I1658" i="11"/>
  <c r="I1659" i="11"/>
  <c r="I1660" i="11"/>
  <c r="I1661" i="11"/>
  <c r="I1662" i="11"/>
  <c r="I1663" i="11"/>
  <c r="I1664" i="11"/>
  <c r="I1665" i="11"/>
  <c r="I1666" i="11"/>
  <c r="I1667" i="11"/>
  <c r="I1668" i="11"/>
  <c r="I1669" i="11"/>
  <c r="I1670" i="11"/>
  <c r="I1671" i="11"/>
  <c r="I1672" i="11"/>
  <c r="I1673" i="11"/>
  <c r="I1674" i="11"/>
  <c r="I1675" i="11"/>
  <c r="I1676" i="11"/>
  <c r="I1677" i="11"/>
  <c r="I1678" i="11"/>
  <c r="I1679" i="11"/>
  <c r="I1680" i="11"/>
  <c r="I1681" i="11"/>
  <c r="I1682" i="11"/>
  <c r="I1683" i="11"/>
  <c r="I1684" i="11"/>
  <c r="I1685" i="11"/>
  <c r="I1686" i="11"/>
  <c r="I1687" i="11"/>
  <c r="I1688" i="11"/>
  <c r="I1689" i="11"/>
  <c r="I1690" i="11"/>
  <c r="I1691" i="11"/>
  <c r="I1692" i="11"/>
  <c r="I1693" i="11"/>
  <c r="I1694" i="11"/>
  <c r="I1695" i="11"/>
  <c r="I1696" i="11"/>
  <c r="I1697" i="11"/>
  <c r="I1698" i="11"/>
  <c r="I1699" i="11"/>
  <c r="I1700" i="11"/>
  <c r="I1701" i="11"/>
  <c r="I1702" i="11"/>
  <c r="I1703" i="11"/>
  <c r="I1704" i="11"/>
  <c r="I1705" i="11"/>
  <c r="I1706" i="11"/>
  <c r="I1707" i="11"/>
  <c r="I1708" i="11"/>
  <c r="I1709" i="11"/>
  <c r="I1710" i="11"/>
  <c r="I1711" i="11"/>
  <c r="I1712" i="11"/>
  <c r="I1713" i="11"/>
  <c r="I1714" i="11"/>
  <c r="I1715" i="11"/>
  <c r="I1716" i="11"/>
  <c r="I1717" i="11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I2" i="11" l="1"/>
  <c r="D27" i="30" l="1"/>
  <c r="B27" i="30"/>
  <c r="D26" i="30"/>
  <c r="B26" i="30"/>
  <c r="D25" i="30"/>
  <c r="B25" i="30"/>
  <c r="D24" i="30"/>
  <c r="B24" i="30"/>
  <c r="D23" i="30"/>
  <c r="B23" i="30"/>
  <c r="D22" i="30"/>
  <c r="B22" i="30"/>
  <c r="D21" i="30"/>
  <c r="B21" i="30"/>
  <c r="D20" i="30"/>
  <c r="B20" i="30"/>
  <c r="D19" i="30"/>
  <c r="B19" i="30"/>
  <c r="D18" i="30"/>
  <c r="B18" i="30"/>
  <c r="D17" i="30"/>
  <c r="B17" i="30"/>
  <c r="D16" i="30"/>
  <c r="B16" i="30"/>
  <c r="D15" i="30"/>
  <c r="B15" i="30"/>
  <c r="D14" i="30"/>
  <c r="B14" i="30"/>
  <c r="D13" i="30"/>
  <c r="B13" i="30"/>
  <c r="D12" i="30"/>
  <c r="B12" i="30"/>
  <c r="D11" i="30"/>
  <c r="B11" i="30"/>
  <c r="D10" i="30"/>
  <c r="B10" i="30"/>
  <c r="D9" i="30"/>
  <c r="B9" i="30"/>
  <c r="D8" i="30"/>
  <c r="B8" i="30"/>
  <c r="D7" i="30"/>
  <c r="B7" i="30"/>
  <c r="D6" i="30"/>
  <c r="B6" i="30"/>
  <c r="D5" i="30"/>
  <c r="B5" i="30"/>
  <c r="D4" i="30"/>
  <c r="B4" i="30"/>
  <c r="D3" i="30"/>
  <c r="B3" i="30"/>
  <c r="D2" i="30"/>
  <c r="B2" i="30"/>
  <c r="D6" i="29"/>
  <c r="B6" i="29"/>
  <c r="D5" i="29"/>
  <c r="B5" i="29"/>
  <c r="D4" i="29"/>
  <c r="B4" i="29"/>
  <c r="D3" i="29"/>
  <c r="B3" i="29"/>
  <c r="D2" i="29"/>
  <c r="B2" i="29"/>
  <c r="F4" i="27"/>
  <c r="D4" i="27"/>
  <c r="B4" i="27"/>
  <c r="F3" i="27"/>
  <c r="D3" i="27"/>
  <c r="B3" i="27"/>
  <c r="F2" i="27"/>
  <c r="D2" i="27"/>
  <c r="B2" i="27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D121" i="25" l="1"/>
  <c r="B121" i="25"/>
  <c r="D120" i="25"/>
  <c r="B120" i="25"/>
  <c r="D119" i="25"/>
  <c r="B119" i="25"/>
  <c r="D118" i="25"/>
  <c r="B118" i="25"/>
  <c r="D117" i="25"/>
  <c r="B117" i="25"/>
  <c r="D116" i="25"/>
  <c r="B116" i="25"/>
  <c r="D115" i="25"/>
  <c r="B115" i="25"/>
  <c r="D114" i="25"/>
  <c r="B114" i="25"/>
  <c r="D113" i="25"/>
  <c r="B113" i="25"/>
  <c r="D112" i="25"/>
  <c r="B112" i="25"/>
  <c r="D111" i="25"/>
  <c r="B111" i="25"/>
  <c r="D110" i="25"/>
  <c r="B110" i="25"/>
  <c r="D109" i="25"/>
  <c r="B109" i="25"/>
  <c r="D108" i="25"/>
  <c r="B108" i="25"/>
  <c r="D107" i="25"/>
  <c r="B107" i="25"/>
  <c r="D106" i="25"/>
  <c r="B106" i="25"/>
  <c r="D105" i="25"/>
  <c r="B105" i="25"/>
  <c r="D104" i="25"/>
  <c r="B104" i="25"/>
  <c r="D103" i="25"/>
  <c r="B103" i="25"/>
  <c r="D102" i="25"/>
  <c r="B102" i="25"/>
  <c r="D101" i="25"/>
  <c r="B101" i="25"/>
  <c r="D100" i="25"/>
  <c r="B100" i="25"/>
  <c r="D99" i="25"/>
  <c r="B99" i="25"/>
  <c r="D98" i="25"/>
  <c r="B98" i="25"/>
  <c r="D97" i="25"/>
  <c r="B97" i="25"/>
  <c r="D96" i="25"/>
  <c r="B96" i="25"/>
  <c r="D95" i="25"/>
  <c r="B95" i="25"/>
  <c r="D94" i="25"/>
  <c r="B94" i="25"/>
  <c r="D93" i="25"/>
  <c r="B93" i="25"/>
  <c r="D92" i="25"/>
  <c r="B92" i="25"/>
  <c r="D91" i="25"/>
  <c r="B91" i="25"/>
  <c r="D90" i="25"/>
  <c r="B90" i="25"/>
  <c r="D89" i="25"/>
  <c r="B89" i="25"/>
  <c r="D88" i="25"/>
  <c r="B88" i="25"/>
  <c r="D87" i="25"/>
  <c r="B87" i="25"/>
  <c r="D86" i="25"/>
  <c r="B86" i="25"/>
  <c r="D85" i="25"/>
  <c r="B85" i="25"/>
  <c r="D84" i="25"/>
  <c r="B84" i="25"/>
  <c r="D83" i="25"/>
  <c r="B83" i="25"/>
  <c r="D82" i="25"/>
  <c r="B82" i="25"/>
  <c r="D81" i="25"/>
  <c r="B81" i="25"/>
  <c r="D80" i="25"/>
  <c r="B80" i="25"/>
  <c r="D79" i="25"/>
  <c r="B79" i="25"/>
  <c r="D78" i="25"/>
  <c r="B78" i="25"/>
  <c r="D77" i="25"/>
  <c r="B77" i="25"/>
  <c r="D76" i="25"/>
  <c r="B76" i="25"/>
  <c r="D75" i="25"/>
  <c r="B75" i="25"/>
  <c r="D74" i="25"/>
  <c r="B74" i="25"/>
  <c r="D73" i="25"/>
  <c r="B73" i="25"/>
  <c r="D72" i="25"/>
  <c r="B72" i="25"/>
  <c r="D71" i="25"/>
  <c r="B71" i="25"/>
  <c r="D70" i="25"/>
  <c r="B70" i="25"/>
  <c r="D69" i="25"/>
  <c r="B69" i="25"/>
  <c r="D68" i="25"/>
  <c r="B68" i="25"/>
  <c r="D67" i="25"/>
  <c r="B67" i="25"/>
  <c r="D66" i="25"/>
  <c r="B66" i="25"/>
  <c r="D65" i="25"/>
  <c r="B65" i="25"/>
  <c r="D64" i="25"/>
  <c r="B64" i="25"/>
  <c r="D63" i="25"/>
  <c r="B63" i="25"/>
  <c r="D62" i="25"/>
  <c r="B62" i="25"/>
  <c r="D61" i="25"/>
  <c r="B61" i="25"/>
  <c r="D60" i="25"/>
  <c r="B60" i="25"/>
  <c r="D59" i="25"/>
  <c r="B59" i="25"/>
  <c r="D58" i="25"/>
  <c r="B58" i="25"/>
  <c r="D57" i="25"/>
  <c r="B57" i="25"/>
  <c r="D56" i="25"/>
  <c r="B56" i="25"/>
  <c r="D55" i="25"/>
  <c r="B55" i="25"/>
  <c r="D54" i="25"/>
  <c r="B54" i="25"/>
  <c r="D53" i="25"/>
  <c r="B53" i="25"/>
  <c r="D52" i="25"/>
  <c r="B52" i="25"/>
  <c r="D51" i="25"/>
  <c r="B51" i="25"/>
  <c r="D50" i="25"/>
  <c r="B50" i="25"/>
  <c r="D49" i="25"/>
  <c r="B49" i="25"/>
  <c r="D48" i="25"/>
  <c r="B48" i="25"/>
  <c r="D47" i="25"/>
  <c r="B47" i="25"/>
  <c r="D46" i="25"/>
  <c r="B46" i="25"/>
  <c r="D45" i="25"/>
  <c r="B45" i="25"/>
  <c r="D44" i="25"/>
  <c r="B44" i="25"/>
  <c r="D43" i="25"/>
  <c r="B43" i="25"/>
  <c r="D42" i="25"/>
  <c r="B42" i="25"/>
  <c r="D41" i="25"/>
  <c r="B41" i="25"/>
  <c r="D40" i="25"/>
  <c r="B40" i="25"/>
  <c r="D39" i="25"/>
  <c r="B39" i="25"/>
  <c r="D38" i="25"/>
  <c r="B38" i="25"/>
  <c r="D37" i="25"/>
  <c r="B37" i="25"/>
  <c r="D36" i="25"/>
  <c r="B36" i="25"/>
  <c r="D35" i="25"/>
  <c r="B35" i="25"/>
  <c r="D34" i="25"/>
  <c r="B34" i="25"/>
  <c r="D33" i="25"/>
  <c r="B33" i="25"/>
  <c r="D32" i="25"/>
  <c r="B32" i="25"/>
  <c r="D31" i="25"/>
  <c r="B31" i="25"/>
  <c r="D30" i="25"/>
  <c r="B30" i="25"/>
  <c r="D29" i="25"/>
  <c r="B29" i="25"/>
  <c r="D28" i="25"/>
  <c r="B28" i="25"/>
  <c r="D27" i="25"/>
  <c r="B27" i="25"/>
  <c r="D26" i="25"/>
  <c r="B26" i="25"/>
  <c r="D25" i="25"/>
  <c r="B25" i="25"/>
  <c r="D24" i="25"/>
  <c r="B24" i="25"/>
  <c r="D23" i="25"/>
  <c r="B23" i="25"/>
  <c r="D22" i="25"/>
  <c r="B22" i="25"/>
  <c r="D21" i="25"/>
  <c r="B21" i="25"/>
  <c r="D20" i="25"/>
  <c r="B20" i="25"/>
  <c r="D19" i="25"/>
  <c r="B19" i="25"/>
  <c r="D18" i="25"/>
  <c r="B18" i="25"/>
  <c r="D17" i="25"/>
  <c r="B17" i="25"/>
  <c r="D16" i="25"/>
  <c r="B16" i="25"/>
  <c r="D15" i="25"/>
  <c r="B15" i="25"/>
  <c r="D14" i="25"/>
  <c r="B14" i="25"/>
  <c r="D13" i="25"/>
  <c r="B13" i="25"/>
  <c r="D12" i="25"/>
  <c r="B12" i="25"/>
  <c r="D11" i="25"/>
  <c r="B11" i="25"/>
  <c r="D10" i="25"/>
  <c r="B10" i="25"/>
  <c r="D9" i="25"/>
  <c r="B9" i="25"/>
  <c r="D8" i="25"/>
  <c r="B8" i="25"/>
  <c r="D7" i="25"/>
  <c r="B7" i="25"/>
  <c r="D6" i="25"/>
  <c r="B6" i="25"/>
  <c r="D5" i="25"/>
  <c r="B5" i="25"/>
  <c r="D4" i="25"/>
  <c r="B4" i="25"/>
  <c r="D3" i="25"/>
  <c r="B3" i="25"/>
  <c r="D2" i="25"/>
  <c r="B2" i="25"/>
  <c r="F2" i="29" l="1"/>
  <c r="C46" i="4" l="1"/>
  <c r="B46" i="4"/>
  <c r="A22" i="2" l="1"/>
  <c r="B56" i="4" l="1"/>
  <c r="B55" i="4"/>
  <c r="B54" i="4"/>
  <c r="B53" i="4"/>
  <c r="C53" i="4"/>
  <c r="C54" i="4"/>
  <c r="C55" i="4"/>
  <c r="C56" i="4"/>
  <c r="C52" i="4"/>
  <c r="B52" i="4"/>
  <c r="C51" i="4"/>
  <c r="B51" i="4"/>
  <c r="B50" i="4" l="1"/>
  <c r="B49" i="4"/>
  <c r="B48" i="4"/>
  <c r="B47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C50" i="4" l="1"/>
  <c r="C42" i="4" l="1"/>
  <c r="C41" i="4" l="1"/>
  <c r="C39" i="4"/>
  <c r="C44" i="4"/>
  <c r="C43" i="4"/>
  <c r="C45" i="4"/>
  <c r="C35" i="4"/>
  <c r="C34" i="4"/>
  <c r="C38" i="4"/>
  <c r="C33" i="4"/>
  <c r="C37" i="4"/>
  <c r="C32" i="4"/>
  <c r="C31" i="4"/>
  <c r="C47" i="4"/>
  <c r="AP19" i="2" l="1"/>
  <c r="AP18" i="2"/>
  <c r="AP17" i="2"/>
  <c r="AP22" i="2" l="1"/>
  <c r="AP21" i="2"/>
  <c r="AP20" i="2"/>
  <c r="C49" i="4" l="1"/>
  <c r="C40" i="4"/>
  <c r="C36" i="4"/>
  <c r="C48" i="4"/>
  <c r="D96" i="6" l="1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S96" i="6"/>
  <c r="T96" i="6"/>
  <c r="U96" i="6"/>
  <c r="V96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S97" i="6"/>
  <c r="T97" i="6"/>
  <c r="U97" i="6"/>
  <c r="V97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S98" i="6"/>
  <c r="T98" i="6"/>
  <c r="U98" i="6"/>
  <c r="V98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S99" i="6"/>
  <c r="T99" i="6"/>
  <c r="U99" i="6"/>
  <c r="V99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96" i="6"/>
  <c r="C129" i="6"/>
  <c r="AP8" i="2" l="1"/>
  <c r="AP7" i="2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1" i="6"/>
  <c r="B2" i="6" s="1"/>
</calcChain>
</file>

<file path=xl/comments1.xml><?xml version="1.0" encoding="utf-8"?>
<comments xmlns="http://schemas.openxmlformats.org/spreadsheetml/2006/main">
  <authors>
    <author>Ashcheulova, Olga S.</author>
  </authors>
  <commentList>
    <comment ref="A33" authorId="0" shapeId="0">
      <text>
        <r>
          <rPr>
            <sz val="9"/>
            <color indexed="81"/>
            <rFont val="Tahoma"/>
            <family val="2"/>
            <charset val="204"/>
          </rPr>
          <t xml:space="preserve">Необходимо вначале заполнить таблицы ERM_TABLE, ERM_TABLE_ATTR
(команда создать скрипт справочников -&gt; внесение в метаданные )
</t>
        </r>
      </text>
    </comment>
    <comment ref="C48" authorId="0" shapeId="0">
      <text>
        <r>
          <rPr>
            <sz val="9"/>
            <color indexed="81"/>
            <rFont val="Tahoma"/>
            <family val="2"/>
            <charset val="204"/>
          </rPr>
          <t xml:space="preserve">Плюс ("+") в ячейке справа (D33) означает, что в данную таблицу будет выполнена вставка данных с листа "ERM_ATTR_COLLECTION"
</t>
        </r>
      </text>
    </comment>
  </commentList>
</comments>
</file>

<file path=xl/sharedStrings.xml><?xml version="1.0" encoding="utf-8"?>
<sst xmlns="http://schemas.openxmlformats.org/spreadsheetml/2006/main" count="32730" uniqueCount="2633">
  <si>
    <t>Y</t>
  </si>
  <si>
    <t>N</t>
  </si>
  <si>
    <t>MK</t>
  </si>
  <si>
    <t>MAST</t>
  </si>
  <si>
    <t>XREF</t>
  </si>
  <si>
    <t>HIER</t>
  </si>
  <si>
    <t>HLEV</t>
  </si>
  <si>
    <t>HSCN</t>
  </si>
  <si>
    <t>HTOL</t>
  </si>
  <si>
    <t>MSCN</t>
  </si>
  <si>
    <t>v-view</t>
  </si>
  <si>
    <t>z-view</t>
  </si>
  <si>
    <t>INTEGER</t>
  </si>
  <si>
    <t>BIGINT</t>
  </si>
  <si>
    <t>TIMESTAMP</t>
  </si>
  <si>
    <t>DATE</t>
  </si>
  <si>
    <t>VARCHAR</t>
  </si>
  <si>
    <t>Индекс столбца  →</t>
  </si>
  <si>
    <t>Сформировать скрипт</t>
  </si>
  <si>
    <t>+</t>
  </si>
  <si>
    <t>DATE '1900-01-01'</t>
  </si>
  <si>
    <t>DATE '9999-12-31'</t>
  </si>
  <si>
    <t>Дата начала действия
(START_DT)</t>
  </si>
  <si>
    <t>Дата окончания действия
(END_DT)</t>
  </si>
  <si>
    <t>Описание
(DESCR)</t>
  </si>
  <si>
    <t>Физическое имя поля
(ATTR_PHYS_NM)</t>
  </si>
  <si>
    <t>Номер по порядку
(SORT_ORD)</t>
  </si>
  <si>
    <t>Допустимы пустые значения ?
(NULL_FLAG)</t>
  </si>
  <si>
    <t>Формат отображения
(DISP_FMT)</t>
  </si>
  <si>
    <t>Маска редактирования
(EDIT_MASK)</t>
  </si>
  <si>
    <t>Идентификатор
(DOMAIN_ID)</t>
  </si>
  <si>
    <t>Наименование
(NM)</t>
  </si>
  <si>
    <t>Тип данных СУБД
(DATATYPE)</t>
  </si>
  <si>
    <t>Точность
(DATADEC)</t>
  </si>
  <si>
    <t>Длина
(DATALEN)</t>
  </si>
  <si>
    <t>Верхнее числовое значение
(UPR_NVAL)</t>
  </si>
  <si>
    <t>Нижнее числовое значение
(LWR_NVAL)</t>
  </si>
  <si>
    <t>Верхнее значение даты
(UPR_DVAL)</t>
  </si>
  <si>
    <t>Нижнее значение даты
(LWR_DVAL)</t>
  </si>
  <si>
    <t>SMALLINT</t>
  </si>
  <si>
    <t>DECIMAL</t>
  </si>
  <si>
    <r>
      <t xml:space="preserve">Тип справочника </t>
    </r>
    <r>
      <rPr>
        <b/>
        <sz val="10"/>
        <color rgb="FFFF0000"/>
        <rFont val="Calibri"/>
        <family val="2"/>
        <charset val="204"/>
      </rPr>
      <t>→</t>
    </r>
  </si>
  <si>
    <t>DEF_MIN_DT_DBMS</t>
  </si>
  <si>
    <t>DEF_MAX_DT_DBMS</t>
  </si>
  <si>
    <t>DEF_MIN_DT</t>
  </si>
  <si>
    <t>DEF_MAX_DT</t>
  </si>
  <si>
    <t>PLUS</t>
  </si>
  <si>
    <t>DATATYPES_DBMS</t>
  </si>
  <si>
    <t>YN</t>
  </si>
  <si>
    <t>CODE</t>
  </si>
  <si>
    <t>NM</t>
  </si>
  <si>
    <t>START_DT</t>
  </si>
  <si>
    <t>END_DT</t>
  </si>
  <si>
    <t>MSCN_ID</t>
  </si>
  <si>
    <t>L</t>
  </si>
  <si>
    <t>U</t>
  </si>
  <si>
    <t>S</t>
  </si>
  <si>
    <t>A</t>
  </si>
  <si>
    <t>T</t>
  </si>
  <si>
    <t>Атрибуты</t>
  </si>
  <si>
    <t>HIER_FLAG="Y"
MSCN_FLAG="Y"
HSCN_FLAG="N"
XREF_FLAG="N"
HIST_FLAG="Y"
MK_FLAG="Y"</t>
  </si>
  <si>
    <t>HIER_FLAG="N"
MSCN_FLAG="N"
HSCN_FLAG="N"
XREF_FLAG="N"
HIST_FLAG="N"
MK_FLAG="Y"</t>
  </si>
  <si>
    <t>HIER_FLAG="N"
MSCN_FLAG="N"
HSCN_FLAG="N"
XREF_FLAG="N"
HIST_FLAG="Y"
MK_FLAG="Y"</t>
  </si>
  <si>
    <t>HIER_FLAG="N"
MSCN_FLAG="N"
HSCN_FLAG="N"
XREF_FLAG="Y"
HIST_FLAG="N"
MK_FLAG="Y"</t>
  </si>
  <si>
    <t>HIER_FLAG="N"
MSCN_FLAG="N"
HSCN_FLAG="N"
XREF_FLAG="Y"
HIST_FLAG="Y"
MK_FLAG="Y"</t>
  </si>
  <si>
    <t>HIER_FLAG="N"
MSCN_FLAG="Y"
HSCN_FLAG="N"
XREF_FLAG="N"
HIST_FLAG="N"
MK_FLAG="Y"</t>
  </si>
  <si>
    <t>HIER_FLAG="N"
MSCN_FLAG="Y"
HSCN_FLAG="N"
XREF_FLAG="N"
HIST_FLAG="Y"
MK_FLAG="Y"</t>
  </si>
  <si>
    <t>HIER_FLAG="Y"
MSCN_FLAG="N"
HSCN_FLAG="N"
XREF_FLAG="N"
HIST_FLAG="N"
MK_FLAG="Y"</t>
  </si>
  <si>
    <t>HIER_FLAG="Y"
MSCN_FLAG="N"
HSCN_FLAG="N"
XREF_FLAG="N"
HIST_FLAG="Y"
MK_FLAG="Y"</t>
  </si>
  <si>
    <t>HIER_FLAG="Y"
MSCN_FLAG="N"
HSCN_FLAG="N"
XREF_FLAG="Y"
HIST_FLAG="N"
MK_FLAG="Y"</t>
  </si>
  <si>
    <t>HIER_FLAG="Y"
MSCN_FLAG="N"
HSCN_FLAG="N"
XREF_FLAG="Y"
HIST_FLAG="Y"
MK_FLAG="Y"</t>
  </si>
  <si>
    <t>HIER_FLAG="Y"
MSCN_FLAG="N"
HSCN_FLAG="Y"
XREF_FLAG="N"
HIST_FLAG="N"
MK_FLAG="Y"</t>
  </si>
  <si>
    <t>HIER_FLAG="Y"
MSCN_FLAG="N"
HSCN_FLAG="Y"
XREF_FLAG="N"
HIST_FLAG="Y"
MK_FLAG="Y"</t>
  </si>
  <si>
    <t>HIER_FLAG="Y"
MSCN_FLAG="N"
HSCN_FLAG="Y"
XREF_FLAG="Y"
HIST_FLAG="N"
MK_FLAG="Y"</t>
  </si>
  <si>
    <t>HIER_FLAG="Y"
MSCN_FLAG="N"
HSCN_FLAG="Y"
XREF_FLAG="Y"
HIST_FLAG="Y"
MK_FLAG="Y"</t>
  </si>
  <si>
    <t>HIER_FLAG="Y"
MSCN_FLAG="Y"
HSCN_FLAG="N"
XREF_FLAG="N"
HIST_FLAG="N"
MK_FLAG="Y"</t>
  </si>
  <si>
    <t>HIER_FLAG="N"
MSCN_FLAG="N"
HSCN_FLAG="N"
XREF_FLAG="N"
HIST_FLAG="N"
MK_FLAG="N"</t>
  </si>
  <si>
    <t>HIER_FLAG="N"
MSCN_FLAG="N"
HSCN_FLAG="N"
XREF_FLAG="N"
HIST_FLAG="Y"
MK_FLAG="N"</t>
  </si>
  <si>
    <t>HIER_FLAG="N"
MSCN_FLAG="Y"
HSCN_FLAG="N"
XREF_FLAG="N"
HIST_FLAG="N"
MK_FLAG="N"</t>
  </si>
  <si>
    <t>HIER_FLAG="N"
MSCN_FLAG="Y"
HSCN_FLAG="N"
XREF_FLAG="N"
HIST_FLAG="Y"
MK_FLAG="N"</t>
  </si>
  <si>
    <t>EXCEL_BUG_DT</t>
  </si>
  <si>
    <t>Справочник</t>
  </si>
  <si>
    <t>insert into %SCHEMA%DICT_ATTR (DICT_CODE, ATTR_PHYS_NM, NM, DESCR, DOMAIN_ID, NULL_FLAG, DISP_LENGTH, SORT_ORD, DISP_FMT, EDIT_MASK, REL_DICT_CODE, REL_DICT_ATTR, REL_DISP_ATTR, RANGE_ROLE)
values ('%DICT_CODE%', 'MSCN_ID', 'ID сценария', NULL, 8, 'N', 10, %SORT_ORD%, NULL, NULL, NULL, NULL, NULL, NULL);</t>
  </si>
  <si>
    <t>insert into %SCHEMA%DICT_ATTR (DICT_CODE, ATTR_PHYS_NM, NM, DESCR, DOMAIN_ID, NULL_FLAG, DISP_LENGTH, SORT_ORD, DISP_FMT, EDIT_MASK, REL_DICT_CODE, REL_DICT_ATTR, REL_DISP_ATTR, RANGE_ROLE)
values ('%DICT_CODE%', 'MK', 'Мастер-ключ', NULL, 8, 'N', 10, %SORT_ORD%, NULL, NULL, NULL, NULL, NULL, NULL);</t>
  </si>
  <si>
    <t>insert into %SCHEMA%DICT_ATTR (DICT_CODE, ATTR_PHYS_NM, NM, DESCR, DOMAIN_ID, NULL_FLAG, DISP_LENGTH, SORT_ORD, DISP_FMT, EDIT_MASK, REL_DICT_CODE, REL_DICT_ATTR, REL_DISP_ATTR, RANGE_ROLE)
values ('%DICT_CODE%', 'CODE', 'Код', NULL, 10, 'N', 10, %SORT_ORD%, NULL, NULL, NULL, NULL, NULL, NULL);</t>
  </si>
  <si>
    <t>insert into %SCHEMA%DICT_ATTR (DICT_CODE, ATTR_PHYS_NM, NM, DESCR, DOMAIN_ID, NULL_FLAG, DISP_LENGTH, SORT_ORD, DISP_FMT, EDIT_MASK, REL_DICT_CODE, REL_DICT_ATTR, REL_DISP_ATTR, RANGE_ROLE)
values (%DICT_CODE%', 'CODE', 'Код', NULL, 10, 'N', 10, %SORT_ORD%, NULL, NULL, NULL, NULL, NULL, NULL);</t>
  </si>
  <si>
    <t>insert into %SCHEMA%DICT_ATTR (DICT_CODE, ATTR_PHYS_NM, NM, DESCR, DOMAIN_ID, NULL_FLAG, DISP_LENGTH, SORT_ORD, DISP_FMT, EDIT_MASK, REL_DICT_CODE, REL_DICT_ATTR, REL_DISP_ATTR, RANGE_ROLE)
values ('%DICT_CODE%', 'NM', 'Наименование', NULL, 4, 'N', 32, %SORT_ORD%, NULL, NULL, NULL, NULL, NULL, NULL);</t>
  </si>
  <si>
    <t>insert into %SCHEMA%DICT_ATTR (DICT_CODE, ATTR_PHYS_NM, NM, DESCR, DOMAIN_ID, NULL_FLAG, DISP_LENGTH, SORT_ORD, DISP_FMT, EDIT_MASK, REL_DICT_CODE, REL_DICT_ATTR, REL_DISP_ATTR, RANGE_ROLE)
values ('%DICT_CODE%', 'START_DT', 'Дата начала действия', NULL, 2, 'N', 8, %SORT_ORD%, 'dd.mm.yyyy', NULL, NULL, NULL, NULL, NULL);</t>
  </si>
  <si>
    <t>insert into %SCHEMA%DICT_ATTR (DICT_CODE, ATTR_PHYS_NM, NM, DESCR, DOMAIN_ID, NULL_FLAG, DISP_LENGTH, SORT_ORD, DISP_FMT, EDIT_MASK, REL_DICT_CODE, REL_DICT_ATTR, REL_DISP_ATTR, RANGE_ROLE)
values ('%DICT_CODE%', 'END_DT', 'Дата окончания', NULL, 2, 'N', 8, %SORT_ORD%, 'dd.mm.yyyy', NULL, NULL, NULL, NULL, NULL);</t>
  </si>
  <si>
    <t>Table</t>
  </si>
  <si>
    <t>MK, GUID</t>
  </si>
  <si>
    <t>MSCN_ID, NM, GUID</t>
  </si>
  <si>
    <t>MK, START_DT, END_DT, MSCN_ID, CODE, NM, GUID</t>
  </si>
  <si>
    <t>HLEV_ID, NM, GUID</t>
  </si>
  <si>
    <t>HSCN_ID, NM, GUID</t>
  </si>
  <si>
    <t>CHLD_MK, START_DT, END_DT, PRNT_MK, HLEV_ID, GUID</t>
  </si>
  <si>
    <t>HSCN_ID, HLEV_ID, GUID</t>
  </si>
  <si>
    <t>MK, CODE, NM, GUID</t>
  </si>
  <si>
    <t>MK, START_DT, END_DT, CODE, NM, GUID</t>
  </si>
  <si>
    <t>MK, MSCN_ID, CODE, NM, GUID</t>
  </si>
  <si>
    <t>START_DT, END_DT, CODE, NM, GUID</t>
  </si>
  <si>
    <t>CODE, NM, GUID</t>
  </si>
  <si>
    <t>MSCN_ID, CODE, NM, GUID</t>
  </si>
  <si>
    <t>START_DT, END_DT, MSCN_ID, CODE, NM, GUID</t>
  </si>
  <si>
    <t>CHLD_MK, PRNT_MK, HLEV_ID, GUID</t>
  </si>
  <si>
    <t>CHLD_MK, HSCN_ID, PRNT_MK, HLEV_ID, GUID</t>
  </si>
  <si>
    <t>CHLD_MK, HSCN_ID, START_DT, END_DT, PRNT_MK, HLEV_ID, GUID</t>
  </si>
  <si>
    <t>DATATYPES_DEFAULT_FORMAT</t>
  </si>
  <si>
    <t>FORMAT 'YYYY-MM-DD'</t>
  </si>
  <si>
    <t>FORMAT 'YYYY-MM-DD HH:MI:SS'</t>
  </si>
  <si>
    <t>CHARACTER SET UNICODE NOT CASESPECIFIC</t>
  </si>
  <si>
    <t>MAT</t>
  </si>
  <si>
    <t>CREATE MULTISET TABLE %SCHEMA%%DICT_CODE%_MAT,
     FALLBACK, NO BEFORE JOURNAL, NO AFTER JOURNAL, CHECKSUM = DEFAULT
     (
      %ADD_FIELD_SCRIPT%
     );</t>
  </si>
  <si>
    <t>PROTECTED_MODE</t>
  </si>
  <si>
    <t>MK, LINK_FLAG, GUID</t>
  </si>
  <si>
    <t>DATATYPES_DEFAULT_VALUE</t>
  </si>
  <si>
    <t>'?'</t>
  </si>
  <si>
    <t>LU</t>
  </si>
  <si>
    <t>D</t>
  </si>
  <si>
    <t>Тип</t>
  </si>
  <si>
    <t>MK, TGT_ID, START_DT, END_DT, GUID</t>
  </si>
  <si>
    <t>CREATE MULTISET TABLE %SCHEMA%%DICT_CODE%_MAST,
     FALLBACK, NO BEFORE JOURNAL, NO AFTER JOURNAL, CHECKSUM = DEFAULT
     (
      %ADD_FIELD_SCRIPT%
      GUID BIGINT NOT NULL
     )
PRIMARY INDEX (MK)
UNIQUE INDEX PMAST%DICT_CODE% (MK, MSCN_ID, START_DT)
INDEX IMAST%DICT_CODE% (MSCN_ID)
UNIQUE INDEX GMAST%DICT_CODE% (GUID);</t>
  </si>
  <si>
    <t>CREATE MULTISET TABLE %SCHEMA%%DICT_CODE%_MAST,
     FALLBACK, NO BEFORE JOURNAL, NO AFTER JOURNAL, CHECKSUM = DEFAULT
     (
      %ADD_FIELD_SCRIPT%
      GUID BIGINT NOT NULL
     )
PRIMARY INDEX (MK)
UNIQUE INDEX PMAST%DICT_CODE% (MK, MSCN_ID)
INDEX IMAST%DICT_CODE% (MSCN_ID)
UNIQUE INDEX GMAST%DICT_CODE% (GUID);</t>
  </si>
  <si>
    <t>CREATE MULTISET TABLE %SCHEMA%%DICT_CODE%_MAST,
     FALLBACK, NO BEFORE JOURNAL, NO AFTER JOURNAL, CHECKSUM = DEFAULT
     (
      %ADD_FIELD_SCRIPT%
      GUID BIGINT NOT NULL
     )
PRIMARY INDEX (MK)
UNIQUE INDEX PMAST%DICT_CODE% (MK, START_DT)
UNIQUE INDEX GMAST%DICT_CODE% (GUID);</t>
  </si>
  <si>
    <t>insert into DICT_ATTR (DICT_CODE, ATTR_PHYS_NM, NM, DESCR, DOMAIN_ID, NULL_FLAG, DISP_LENGTH, SORT_ORD, DISP_FMT, EDIT_MASK, REL_DICT_CODE, REL_DICT_ATTR, REL_DISP_ATTR, RANGE_ROLE)
values ('%DICT_CODE%', 'MK', 'Мастер-ключ', NULL, 8, 'N', 10, %SORT_ORD%, NULL, NULL, NULL, NULL, NULL, NULL);</t>
  </si>
  <si>
    <t>Имя администратора БД (RDM_SYSDBA)</t>
  </si>
  <si>
    <t>Основные таблицы</t>
  </si>
  <si>
    <t>Теневые таблицы (суффикс _S)</t>
  </si>
  <si>
    <t>Временные таблицы (суффикс _T)</t>
  </si>
  <si>
    <t>Таблицы аудита (суффикс _A)</t>
  </si>
  <si>
    <t>Прочее (внесение в метаданные и т.п.)</t>
  </si>
  <si>
    <t>Команды удаления справочников</t>
  </si>
  <si>
    <t>V-представления (суффикс _V)</t>
  </si>
  <si>
    <t>Z-представления (суффикс _Z)</t>
  </si>
  <si>
    <t>dbconfig.sh</t>
  </si>
  <si>
    <t xml:space="preserve">PATCH_ROOT_DIRECTORY=`pwd`
PRJ_NAME=`ls *runme* | cut -f1,2,3 -d-`
DEPLOY_LOG_FILE=${PATCH_ROOT_DIRECTORY}/log/${PRJ_NAME}.log
. ./dbconfig.sh
cd ./temp_patch/td
bteq -c utf8 &lt; ./scripts/00.rdm-1.0-001.01.bteq &gt; ${DEPLOY_LOG_FILE}
echo "Script execution is finished."
</t>
  </si>
  <si>
    <t>main_sh</t>
  </si>
  <si>
    <t xml:space="preserve">ORIG_PREFIX="PRDN_"
TARGET_PREFIX="PRD11_"
FILE_TYPES="sql sh cmd bteq"
REPLACED_PAIRS="sysdbaN=sysdba11 LOAD_RDM_USER_GROUP=GRP_USR_LOAD RDM_EXPORT_USER_GROUP=GRP_USR_APP"
</t>
  </si>
  <si>
    <t>dbparam_sh</t>
  </si>
  <si>
    <t>logon_bteq</t>
  </si>
  <si>
    <t>main_bteq</t>
  </si>
  <si>
    <t>build_list</t>
  </si>
  <si>
    <t>CREATE MULTISET TABLE %SCHEMA%%DICT_CODE%_HIER,
     FALLBACK, NO BEFORE JOURNAL, NO AFTER JOURNAL, CHECKSUM = DEFAULT
     (
      START_DT DATE FORMAT 'YYYY-MM-DD' NOT NULL,
      END_DT DATE FORMAT 'YYYY-MM-DD' NOT NULL,
      CHLD_MK INTEGER NOT NULL,
      PRNT_MK INTEGER NOT NULL,
      HLEV_ID INTEGER NOT NULL,
      GUID BIGINT NOT NULL
     )
PRIMARY INDEX (CHLD_MK)
INDEX RHIER%DICT_CODE% (PRNT_MK)
INDEX LHIER%DICT_CODE% (HLEV_ID)
UNIQUE INDEX PHIER%DICT_CODE% (CHLD_MK, START_DT)
UNIQUE INDEX GHIER%DICT_CODE% (GUID);</t>
  </si>
  <si>
    <t>CREATE MULTISET TABLE %SCHEMA%%DICT_CODE%_HIER,
     FALLBACK, NO BEFORE JOURNAL, NO AFTER JOURNAL, CHECKSUM = DEFAULT
     (
      HSCN_ID INTEGER NOT NULL,
      CHLD_MK INTEGER NOT NULL,
      PRNT_MK INTEGER NOT NULL,
      HLEV_ID INTEGER NOT NULL,
      GUID BIGINT NOT NULL
     )
PRIMARY INDEX (CHLD_MK)
INDEX RHIER%DICT_CODE% (PRNT_MK)
INDEX LHIER%DICT_CODE% (HLEV_ID)
UNIQUE INDEX PHIER%DICT_CODE% (HSCN_ID, CHLD_MK)
UNIQUE INDEX GHIER%DICT_CODE% (GUID);</t>
  </si>
  <si>
    <t>CREATE MULTISET TABLE %SCHEMA%%DICT_CODE%_HTOL,
     FALLBACK, NO BEFORE JOURNAL, NO AFTER JOURNAL, CHECKSUM = DEFAULT
     (
      HSCN_ID INTEGER NOT NULL,
      HLEV_ID INTEGER NOT NULL,
      GUID BIGINT NOT NULL
     )
PRIMARY INDEX (HSCN_ID)
UNIQUE INDEX PHTOL%DICT_CODE% (HSCN_ID, HLEV_ID)
INDEX LHTOL%DICT_CODE% (HLEV_ID)
UNIQUE INDEX GHTOL%DICT_CODE% (GUID);</t>
  </si>
  <si>
    <t>CREATE MULTISET TABLE %SCHEMA%%DICT_CODE%_HIER,
     FALLBACK, NO BEFORE JOURNAL, NO AFTER JOURNAL, CHECKSUM = DEFAULT
     (
      HSCN_ID INTEGER NOT NULL,
      START_DT DATE FORMAT 'YYYY-MM-DD' NOT NULL,
      END_DT DATE FORMAT 'YYYY-MM-DD' NOT NULL,
      CHLD_MK INTEGER NOT NULL,
      PRNT_MK INTEGER NOT NULL,
      HLEV_ID INTEGER NOT NULL,
      GUID BIGINT NOT NULL
     )
PRIMARY INDEX (CHLD_MK)
INDEX RHIER%DICT_CODE% (PRNT_MK)
INDEX LHIER%DICT_CODE% (HLEV_ID)
UNIQUE INDEX PHIER%DICT_CODE% (HSCN_ID, CHLD_MK, START_DT)
UNIQUE INDEX GHIER%DICT_CODE% (GUID);</t>
  </si>
  <si>
    <t>CREATE MULTISET TABLE %SCHEMA%%DICT_CODE%_XREF,
     FALLBACK, NO BEFORE JOURNAL, NO AFTER JOURNAL, CHECKSUM = DEFAULT
     (
      TGT_ID BIGINT NOT NULL,
      MK INTEGER NOT NULL,
      START_DT DATE FORMAT 'YYYY-MM-DD' NOT NULL DEFAULT DATE '1900-01-01',
      END_DT DATE FORMAT 'YYYY-MM-DD' NOT NULL DEFAULT DATE '9999-12-31',
      GUID BIGINT NOT NULL
     )
PRIMARY INDEX MXREF%DICT_CODE% (TGT_ID)
--INDEX PXREF%DICT_CODE% (TGT_ID)
UNIQUE INDEX PKXR%DICT_CODE% (TGT_ID, START_DT)
UNIQUE INDEX GKXR%DICT_CODE% (GUID);</t>
  </si>
  <si>
    <t>Изменения</t>
  </si>
  <si>
    <t>CREATE MULTISET TABLE %SCHEMA%%DICT_CODE%_MK,
     FALLBACK, NO BEFORE JOURNAL, NO AFTER JOURNAL, CHECKSUM = DEFAULT
     (
      MK INTEGER NOT NULL,
      GUID BIGINT NOT NULL
     )
UNIQUE PRIMARY INDEX PMK%DICT_CODE% (MK)
UNIQUE INDEX GMK%DICT_CODE% (GUID);</t>
  </si>
  <si>
    <t>CREATE MULTISET TABLE %SCHEMA%%DICT_CODE%_MK,
     FALLBACK, NO BEFORE JOURNAL, NO AFTER JOURNAL, CHECKSUM = DEFAULT
     (
      MK INTEGER NOT NULL,
      LINK_FLAG CHAR(1) NOT NULL,
      GUID BIGINT NOT NULL
     )
UNIQUE PRIMARY INDEX PMK%DICT_CODE% (MK)
UNIQUE INDEX GMK%DICT_CODE% (GUID);</t>
  </si>
  <si>
    <t>CREATE MULTISET TABLE %SCHEMA%%DICT_CODE%_MSCN,
     FALLBACK, NO BEFORE JOURNAL, NO AFTER JOURNAL, CHECKSUM = DEFAULT
     (
      MSCN_ID INTEGER NOT NULL,
      NM VARCHAR(255) CHARACTER SET UNICODE NOT CASESPECIFIC NOT NULL,
      GUID BIGINT NOT NULL
     )
UNIQUE PRIMARY INDEX PMSCN%DICT_CODE% (MSCN_ID)
UNIQUE INDEX GMSCN%DICT_CODE% (GUID);</t>
  </si>
  <si>
    <t>CREATE MULTISET TABLE %SCHEMA%%DICT_CODE%_MAST,
     FALLBACK, NO BEFORE JOURNAL, NO AFTER JOURNAL, CHECKSUM = DEFAULT
     (
      %ADD_FIELD_SCRIPT%
      GUID BIGINT NOT NULL
     )
UNIQUE PRIMARY INDEX (MK)
UNIQUE INDEX GMAST%DICT_CODE% (GUID);</t>
  </si>
  <si>
    <t>CREATE MULTISET TABLE %SCHEMA%%DICT_CODE%_HLEV,
     FALLBACK, NO BEFORE JOURNAL, NO AFTER JOURNAL, CHECKSUM = DEFAULT
     (
      HLEV_ID INTEGER NOT NULL,
      NM VARCHAR(255) CHARACTER SET UNICODE NOT CASESPECIFIC NOT NULL,
      GUID BIGINT NOT NULL
     )
UNIQUE PRIMARY INDEX PHLEV%DICT_CODE% (HLEV_ID)
UNIQUE INDEX GHLEV%DICT_CODE% (GUID);</t>
  </si>
  <si>
    <t>CREATE MULTISET TABLE %SCHEMA%%DICT_CODE%_HSCN,
     FALLBACK, NO BEFORE JOURNAL, NO AFTER JOURNAL, CHECKSUM = DEFAULT
     (
      HSCN_ID INTEGER NOT NULL,
      NM VARCHAR(255) CHARACTER SET UNICODE NOT CASESPECIFIC NOT NULL,
      GUID BIGINT NOT NULL
     )
UNIQUE PRIMARY INDEX PHSCN%DICT_CODE% (HSCN_ID)
UNIQUE INDEX GHSCN%DICT_CODE% (GUID);</t>
  </si>
  <si>
    <t>CREATE MULTISET TABLE %SCHEMA%%DICT_CODE%_HIER,
     FALLBACK, NO BEFORE JOURNAL, NO AFTER JOURNAL, CHECKSUM = DEFAULT
     (
      CHLD_MK INTEGER NOT NULL,
      PRNT_MK INTEGER NOT NULL,
      HLEV_ID INTEGER NOT NULL,
      GUID BIGINT NOT NULL
     )
UNIQUE PRIMARY INDEX (CHLD_MK)
INDEX RHIER%DICT_CODE% (PRNT_MK)
INDEX LHIER%DICT_CODE% (HLEV_ID)
UNIQUE INDEX GHIER%DICT_CODE% (GUID);</t>
  </si>
  <si>
    <t>CREATE MULTISET TABLE %SCHEMA%%DICT_CODE%_MK_A,
     FALLBACK, NO BEFORE JOURNAL, NO AFTER JOURNAL, CHECKSUM = DEFAULT
     (
      MK INTEGER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PMK%DICT_CODE%_A (MK)
INDEX GMK%DICT_CODE%_A (GUID);</t>
  </si>
  <si>
    <t>CREATE MULTISET TABLE %SCHEMA%%DICT_CODE%_MK_A,
     FALLBACK, NO BEFORE JOURNAL, NO AFTER JOURNAL, CHECKSUM = DEFAULT
     (
      MK INTEGER NOT NULL,
      LINK_FLAG CHAR(1)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PMK%DICT_CODE%_A (MK)
INDEX GMK%DICT_CODE%_A (GUID);</t>
  </si>
  <si>
    <t>CREATE MULTISET TABLE %SCHEMA%%DICT_CODE%_MSCN_A,
     FALLBACK, NO BEFORE JOURNAL, NO AFTER JOURNAL, CHECKSUM = DEFAULT
     (
      MSCN_ID INTEGER NOT NULL,
      NM VARCHAR(255) CHARACTER SET UNICODE NOT CASESPECIFIC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PMSCN%DICT_CODE%_A (MSCN_ID)
INDEX GMSCN%DICT_CODE%_A (GUID);</t>
  </si>
  <si>
    <t>CREATE MULTISET TABLE %SCHEMA%%DICT_CODE%_MAST_A,
     FALLBACK, NO BEFORE JOURNAL, NO AFTER JOURNAL, CHECKSUM = DEFAULT
     (
      %ADD_FIELD_SCRIPT%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(MK)
INDEX GMAST%DICT_CODE%_A (GUID);</t>
  </si>
  <si>
    <t>CREATE MULTISET TABLE %SCHEMA%%DICT_CODE%_MAST_A,
     FALLBACK, NO BEFORE JOURNAL, NO AFTER JOURNAL, CHECKSUM = DEFAULT
     (
      %ADD_FIELD_SCRIPT%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(MK)
INDEX PMAST%DICT_CODE%_A (MK, START_DT)
INDEX GMAST%DICT_CODE%_A (GUID);</t>
  </si>
  <si>
    <t>CREATE MULTISET TABLE %SCHEMA%%DICT_CODE%_MAST_A,
     FALLBACK, NO BEFORE JOURNAL, NO AFTER JOURNAL, CHECKSUM = DEFAULT
     (
      %ADD_FIELD_SCRIPT%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(MK)
INDEX PMAST%DICT_CODE%_A (MK, MSCN_ID)
INDEX IMAST%DICT_CODE%_A (MSCN_ID)
INDEX GMAST%DICT_CODE%_A (GUID);</t>
  </si>
  <si>
    <t>CREATE MULTISET TABLE %SCHEMA%%DICT_CODE%_MAST_A,
     FALLBACK, NO BEFORE JOURNAL, NO AFTER JOURNAL, CHECKSUM = DEFAULT
     (
      %ADD_FIELD_SCRIPT%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(MK)
INDEX PMAST%DICT_CODE%_A (MK, MSCN_ID, START_DT)
INDEX IMAST%DICT_CODE%_A (MSCN_ID)
INDEX GMAST%DICT_CODE%_A (GUID);</t>
  </si>
  <si>
    <t>CREATE MULTISET TABLE %SCHEMA%%DICT_CODE%_XREF_A,
     FALLBACK, NO BEFORE JOURNAL, NO AFTER JOURNAL, CHECKSUM = DEFAULT
     (
      TGT_ID BIGINT NOT NULL,
      MK INTEGER NOT NULL,
      START_DT DATE FORMAT 'YYYY-MM-DD' NOT NULL DEFAULT DATE '1900-01-01',
      END_DT DATE FORMAT 'YYYY-MM-DD' NOT NULL DEFAULT DATE '9999-12-31',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MXREF%DICT_CODE%_A (TGT_ID)
--INDEX PXREF%DICT_CODE%_A (TGT_ID)
INDEX PKXR%DICT_CODE%_A (TGT_ID, START_DT)
INDEX STMP%DICT_CODE%_A (RDM$VALIDFROM)
INDEX GKXR%DICT_CODE%_A (GUID);</t>
  </si>
  <si>
    <t>CREATE MULTISET TABLE %SCHEMA%%DICT_CODE%_HLEV_A,
     FALLBACK, NO BEFORE JOURNAL, NO AFTER JOURNAL, CHECKSUM = DEFAULT
     (
      HLEV_ID INTEGER NOT NULL,
      NM VARCHAR(255) CHARACTER SET UNICODE NOT CASESPECIFIC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PHLEV%DICT_CODE%_A (HLEV_ID)
INDEX GHLEV%DICT_CODE%_A (GUID);</t>
  </si>
  <si>
    <t>CREATE MULTISET TABLE %SCHEMA%%DICT_CODE%_HSCN_A,
     FALLBACK, NO BEFORE JOURNAL, NO AFTER JOURNAL, CHECKSUM = DEFAULT
     (
      HSCN_ID INTEGER NOT NULL,
      NM VARCHAR(255) CHARACTER SET UNICODE NOT CASESPECIFIC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PHSCN%DICT_CODE%_A (HSCN_ID)
INDEX GHSCN%DICT_CODE%_A (GUID);</t>
  </si>
  <si>
    <t>CREATE MULTISET TABLE %SCHEMA%%DICT_CODE%_HIER_A,
     FALLBACK, NO BEFORE JOURNAL, NO AFTER JOURNAL, CHECKSUM = DEFAULT
     (
      CHLD_MK INTEGER NOT NULL,
      PRNT_MK INTEGER NOT NULL,
      HLEV_ID INTEGER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(CHLD_MK)
INDEX RHIER%DICT_CODE%_A (PRNT_MK)
INDEX LHIER%DICT_CODE%_A (HLEV_ID)
INDEX GHIER%DICT_CODE%_A (GUID);</t>
  </si>
  <si>
    <t>CREATE MULTISET TABLE %SCHEMA%%DICT_CODE%_HIER_A,
     FALLBACK, NO BEFORE JOURNAL, NO AFTER JOURNAL, CHECKSUM = DEFAULT
     (
      START_DT DATE FORMAT 'YYYY-MM-DD' NOT NULL,
      END_DT DATE FORMAT 'YYYY-MM-DD' NOT NULL,
      CHLD_MK INTEGER NOT NULL,
      PRNT_MK INTEGER NOT NULL,
      HLEV_ID INTEGER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(CHLD_MK)
INDEX RHIER%DICT_CODE%_A (PRNT_MK)
INDEX LHIER%DICT_CODE%_A (HLEV_ID)
INDEX PHIER%DICT_CODE%_A (CHLD_MK, START_DT)
INDEX GHIER%DICT_CODE%_A (GUID);</t>
  </si>
  <si>
    <t>CREATE MULTISET TABLE %SCHEMA%%DICT_CODE%_HIER_A,
     FALLBACK, NO BEFORE JOURNAL, NO AFTER JOURNAL, CHECKSUM = DEFAULT
     (
      HSCN_ID INTEGER NOT NULL,
      CHLD_MK INTEGER NOT NULL,
      PRNT_MK INTEGER NOT NULL,
      HLEV_ID INTEGER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(CHLD_MK)
INDEX RHIER%DICT_CODE%_A (PRNT_MK)
INDEX LHIER%DICT_CODE%_A (HLEV_ID)
INDEX PHIER%DICT_CODE%_A (HSCN_ID, CHLD_MK)
INDEX GHIER%DICT_CODE%_A (GUID);</t>
  </si>
  <si>
    <t>CREATE MULTISET TABLE %SCHEMA%%DICT_CODE%_HIER_A,
     FALLBACK, NO BEFORE JOURNAL, NO AFTER JOURNAL, CHECKSUM = DEFAULT
     (
      HSCN_ID INTEGER NOT NULL,
      START_DT DATE FORMAT 'YYYY-MM-DD' NOT NULL,
      END_DT DATE FORMAT 'YYYY-MM-DD' NOT NULL,
      CHLD_MK INTEGER NOT NULL,
      PRNT_MK INTEGER NOT NULL,
      HLEV_ID INTEGER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(CHLD_MK)
INDEX RHIER%DICT_CODE%_A (PRNT_MK)
INDEX LHIER%DICT_CODE%_A (HLEV_ID)
INDEX PHIER%DICT_CODE%_A (HSCN_ID, CHLD_MK, START_DT)
INDEX GHIER%DICT_CODE%_A (GUID);</t>
  </si>
  <si>
    <t>CREATE MULTISET TABLE %SCHEMA%%DICT_CODE%_HTOL_A,
     FALLBACK, NO BEFORE JOURNAL, NO AFTER JOURNAL, CHECKSUM = DEFAULT
     (
      HSCN_ID INTEGER NOT NULL,
      HLEV_ID INTEGER NOT NULL,
      GUID BIGINT NOT NULL,
      MODIFY_USR_ID INTEGER NOT NULL DEFAULT 0,
      APPROVE_USR_ID INTEGER NOT NULL DEFAULT 0,
      RDM$OPC CHAR(1) CHARACTER SET UNICODE NOT CASESPECIFIC NOT NULL,
      RDM$VALIDFROM TIMESTAMP(6) FORMAT 'YYYY-MM-DDHH:MI:SS' NOT NULL
     )
PRIMARY INDEX (HSCN_ID)
INDEX PHTOL%DICT_CODE%_A (HSCN_ID, HLEV_ID)
INDEX LHTOL%DICT_CODE%_A (HLEV_ID)
INDEX GHTOL%DICT_CODE%_A (GUID);</t>
  </si>
  <si>
    <t>CREATE MULTISET TABLE %SCHEMA%%DICT_CODE%_MK_S,
     FALLBACK, NO BEFORE JOURNAL, NO AFTER JOURNAL, CHECKSUM = DEFAULT
     (
      MK INTEGER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PMK%DICT_CODE%_S (MK)
INDEX GMK%DICT_CODE%_S (GUID);</t>
  </si>
  <si>
    <t>CREATE MULTISET TABLE %SCHEMA%%DICT_CODE%_MK_S,
     FALLBACK, NO BEFORE JOURNAL, NO AFTER JOURNAL, CHECKSUM = DEFAULT
     (
      MK INTEGER NOT NULL,
      LINK_FLAG CHAR(1)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PMK%DICT_CODE%_S (MK)
INDEX GMK%DICT_CODE%_S (GUID);</t>
  </si>
  <si>
    <t>CREATE MULTISET TABLE %SCHEMA%%DICT_CODE%_MK_T,
     FALLBACK, NO BEFORE JOURNAL, NO AFTER JOURNAL, CHECKSUM = DEFAULT
     (
      MK INTEGER NOT NULL,
      RDM$VALIDFROM TIMESTAMP(6) FORMAT 'YYYY-MM-DDHH:MI:SS' NOT NULL,
      RDM$RANK DECIMAL(5,0) NOT NULL
     )
PRIMARY INDEX PMK%DICT_CODE%_T (MK);</t>
  </si>
  <si>
    <t>CREATE MULTISET TABLE %SCHEMA%%DICT_CODE%_MK_T,
     FALLBACK, NO BEFORE JOURNAL, NO AFTER JOURNAL, CHECKSUM = DEFAULT
     (
      MK INTEGER NOT NULL,
      LINK_FLAG CHAR(1) NOT NULL,
      RDM$VALIDFROM TIMESTAMP(6) FORMAT 'YYYY-MM-DDHH:MI:SS' NOT NULL,
      RDM$RANK DECIMAL(5,0) NOT NULL
     )
PRIMARY INDEX PMK%DICT_CODE%_T (MK);</t>
  </si>
  <si>
    <t>CREATE MULTISET TABLE %SCHEMA%%DICT_CODE%_MSCN_S,
     FALLBACK, NO BEFORE JOURNAL, NO AFTER JOURNAL, CHECKSUM = DEFAULT
     (
      MSCN_ID INTEGER NOT NULL,
      NM VARCHAR(255) CHARACTER SET UNICODE NOT CASESPECIFIC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PMSCN%DICT_CODE%_S (MSCN_ID)
INDEX GMSCN%DICT_CODE%_S (GUID);</t>
  </si>
  <si>
    <t>CREATE MULTISET TABLE %SCHEMA%%DICT_CODE%_MSCN_T,
     FALLBACK, NO BEFORE JOURNAL, NO AFTER JOURNAL, CHECKSUM = DEFAULT
     (
      MSCN_ID INTEGER NOT NULL,
      NM VARCHAR(255) CHARACTER SET UNICODE NOT CASESPECIFIC NOT NULL,
      RDM$VALIDFROM TIMESTAMP(6) FORMAT 'YYYY-MM-DDHH:MI:SS' NOT NULL,
      RDM$RANK DECIMAL(5,0) NOT NULL
     )
PRIMARY INDEX PMSCN%DICT_CODE%_T (MSCN_ID);</t>
  </si>
  <si>
    <t>CREATE MULTISET TABLE %SCHEMA%%DICT_CODE%_MAST_S,
     FALLBACK, NO BEFORE JOURNAL, NO AFTER JOURNAL, CHECKSUM = DEFAULT
     (
      %ADD_FIELD_SCRIPT%
      GUID BIGINT NOT NULL,
      RDM$OPC CHAR(1) CHARACTER SET UNICODE NOT CASESPECIFIC NOT NULL,
      RDM$VALIDFROM TIMESTAMP(6) FORMAT 'YYYY-MM-DDHH:MI:SS' NOT NULL,
      RDM$RANK DECIMAL(5,0) NOT NULL,
      MODIFY_USR_ID INTEGER NOT NULL DEFAULT 0
     )
PRIMARY INDEX (MK)
INDEX GMAST%DICT_CODE%_S (GUID);</t>
  </si>
  <si>
    <t>CREATE MULTISET TABLE %SCHEMA%%DICT_CODE%_MAST_S,
     FALLBACK, NO BEFORE JOURNAL, NO AFTER JOURNAL, CHECKSUM = DEFAULT
     (
      %ADD_FIELD_SCRIPT%
      GUID BIGINT NOT NULL,
      RDM$OPC CHAR(1) CHARACTER SET UNICODE NOT CASESPECIFIC NOT NULL,
      RDM$VALIDFROM TIMESTAMP(6) FORMAT 'YYYY-MM-DDHH:MI:SS' NOT NULL,
      RDM$RANK DECIMAL(5,0) NOT NULL,
      MODIFY_USR_ID INTEGER NOT NULL DEFAULT 0
     )
PRIMARY INDEX (MK)
INDEX PMAST%DICT_CODE%_S (MK, START_DT)
INDEX GMAST%DICT_CODE%_S (GUID);</t>
  </si>
  <si>
    <t>CREATE MULTISET TABLE %SCHEMA%%DICT_CODE%_MAST_S,
     FALLBACK, NO BEFORE JOURNAL, NO AFTER JOURNAL, CHECKSUM = DEFAULT
     (
      %ADD_FIELD_SCRIPT%
      GUID BIGINT NOT NULL,
      RDM$OPC CHAR(1) CHARACTER SET UNICODE NOT CASESPECIFIC NOT NULL,
      RDM$VALIDFROM TIMESTAMP(6) FORMAT 'YYYY-MM-DDHH:MI:SS' NOT NULL,
      RDM$RANK DECIMAL(5,0) NOT NULL,
      MODIFY_USR_ID INTEGER NOT NULL DEFAULT 0
     )
PRIMARY INDEX (MK)
INDEX PMAST%DICT_CODE%_S (MK, MSCN_ID)
INDEX IMAST%DICT_CODE%_S (MSCN_ID)
INDEX GMAST%DICT_CODE%_S (GUID);</t>
  </si>
  <si>
    <t>CREATE MULTISET TABLE %SCHEMA%%DICT_CODE%_MAST_S,
     FALLBACK, NO BEFORE JOURNAL, NO AFTER JOURNAL, CHECKSUM = DEFAULT
     (
      %ADD_FIELD_SCRIPT%
      GUID BIGINT NOT NULL,
      RDM$OPC CHAR(1) CHARACTER SET UNICODE NOT CASESPECIFIC NOT NULL,
      RDM$VALIDFROM TIMESTAMP(6) FORMAT 'YYYY-MM-DDHH:MI:SS' NOT NULL,
      RDM$RANK DECIMAL(5,0) NOT NULL,
      MODIFY_USR_ID INTEGER NOT NULL DEFAULT 0
     )
PRIMARY INDEX (MK)
INDEX PMAST%DICT_CODE%_S (MK, MSCN_ID, START_DT)
INDEX IMAST%DICT_CODE%_S (MSCN_ID)
INDEX GMAST%DICT_CODE%_S (GUID);</t>
  </si>
  <si>
    <t>CREATE MULTISET TABLE %SCHEMA%%DICT_CODE%_MAST_S,
     FALLBACK, NO BEFORE JOURNAL, NO AFTER JOURNAL, CHECKSUM = DEFAULT
     (
      %ADD_FIELD_SCRIPT%
      GUID BIGINT NOT NULL,
      RDM$OPC CHAR(1) CHARACTER SET UNICODE NOT CASESPECIFIC NOT NULL,
      RDM$VALIDFROM TIMESTAMP(6) FORMAT 'YYYY-MM-DDHH:MI:SS' NOT NULL,
      RDM$RANK DECIMAL(5,0) NOT NULL,
      MODIFY_USR_ID INTEGER NOT NULL DEFAULT 0
     )
PRIMARY INDEX (MK)
INDEX PMAST%DICT_CODE% (MK, START_DT)
INDEX GMAST%DICT_CODE% (GUID);</t>
  </si>
  <si>
    <t>CREATE MULTISET TABLE %SCHEMA%%DICT_CODE%_MAST_T,
     FALLBACK, NO BEFORE JOURNAL, NO AFTER JOURNAL, CHECKSUM = DEFAULT
     (
      %ADD_FIELD_SCRIPT%
      RDM$VALIDFROM TIMESTAMP(6) FORMAT 'YYYY-MM-DDHH:MI:SS' NOT NULL,
      RDM$RANK DECIMAL(5,0) NOT NULL
     )
PRIMARY INDEX (MK);</t>
  </si>
  <si>
    <t>CREATE MULTISET TABLE %SCHEMA%%DICT_CODE%_MAST_T,
     FALLBACK, NO BEFORE JOURNAL, NO AFTER JOURNAL, CHECKSUM = DEFAULT
     (
      %ADD_FIELD_SCRIPT%
      RDM$VALIDFROM TIMESTAMP(6) FORMAT 'YYYY-MM-DDHH:MI:SS' NOT NULL,
      RDM$RANK DECIMAL(5,0) NOT NULL
     )
PRIMARY INDEX (MK)
INDEX PMAST%DICT_CODE%_T (MK, START_DT);</t>
  </si>
  <si>
    <t>CREATE MULTISET TABLE %SCHEMA%%DICT_CODE%_MAST_T,
     FALLBACK, NO BEFORE JOURNAL, NO AFTER JOURNAL, CHECKSUM = DEFAULT
     (
      %ADD_FIELD_SCRIPT%
      RDM$VALIDFROM TIMESTAMP(6) FORMAT 'YYYY-MM-DDHH:MI:SS' NOT NULL,
      RDM$RANK DECIMAL(5,0) NOT NULL
     )
PRIMARY INDEX (MK)
INDEX PMAST%DICT_CODE%_T (MK, MSCN_ID)
INDEX IMAST%DICT_CODE%_T (MSCN_ID);</t>
  </si>
  <si>
    <t>CREATE MULTISET TABLE %SCHEMA%%DICT_CODE%_MAST_T,
     FALLBACK, NO BEFORE JOURNAL, NO AFTER JOURNAL, CHECKSUM = DEFAULT
     (
      %ADD_FIELD_SCRIPT%
      RDM$VALIDFROM TIMESTAMP(6) FORMAT 'YYYY-MM-DDHH:MI:SS' NOT NULL,
      RDM$RANK DECIMAL(5,0) NOT NULL
     )
PRIMARY INDEX (MK)
INDEX PMAST%DICT_CODE%_T (MK, MSCN_ID, START_DT)
INDEX IMAST%DICT_CODE%_T (MSCN_ID);</t>
  </si>
  <si>
    <t>CREATE MULTISET TABLE %SCHEMA%%DICT_CODE%_XREF_S,
     FALLBACK, NO BEFORE JOURNAL, NO AFTER JOURNAL, CHECKSUM = DEFAULT
     (
      TGT_ID BIGINT NOT NULL,
      MK INTEGER NOT NULL,
      START_DT DATE FORMAT 'YYYY-MM-DD' NOT NULL DEFAULT DATE '1900-01-01',
      END_DT DATE FORMAT 'YYYY-MM-DD' NOT NULL DEFAULT DATE '9999-12-31',
      GUID BIGINT NOT NULL,
      RDM$OPC CHAR(1) CHARACTER SET UNICODE NOT CASESPECIFIC NOT NULL,
      RDM$VALIDFROM TIMESTAMP(6) FORMAT 'YYYY-MM-DDHH:MI:SS' NOT NULL,
      RDM$RANK DECIMAL(5,0) NOT NULL,
      MODIFY_USR_ID INTEGER NOT NULL DEFAULT 0
     )
PRIMARY INDEX MXREF%DICT_CODE%_S (TGT_ID)
--INDEX PXREF%DICT_CODE%_S (TGT_ID)
INDEX PKXR%DICT_CODE%_S (TGT_ID, START_DT)
INDEX GKXR%DICT_CODE%_S (GUID);</t>
  </si>
  <si>
    <t>CREATE MULTISET TABLE %SCHEMA%%DICT_CODE%_XREF_T,
     FALLBACK, NO BEFORE JOURNAL, NO AFTER JOURNAL, CHECKSUM = DEFAULT
     (
      TGT_ORIG VARCHAR(512) CHARACTER SET UNICODE NOT CASESPECIFIC NOT NULL,
      MK INTEGER NOT NULL,
      TGT_ID BIGINT,
      START_DT DATE FORMAT 'YYYY-MM-DD' NOT NULL DEFAULT DATE '1900-01-01',
      END_DT DATE FORMAT 'YYYY-MM-DD' NOT NULL DEFAULT DATE '9999-12-31',
      RDM$VALIDFROM TIMESTAMP(6) FORMAT 'YYYY-MM-DDHH:MI:SS' NOT NULL,
      RDM$RANK DECIMAL(5,0) NOT NULL
     )
PRIMARY INDEX MXREF%DICT_CODE%_T (TGT_ORIG)
INDEX PKXR%DICT_CODE%_T (TGT_ORIG, START_DT);</t>
  </si>
  <si>
    <t>CREATE MULTISET TABLE %SCHEMA%%DICT_CODE%_HLEV_S,
     FALLBACK, NO BEFORE JOURNAL, NO AFTER JOURNAL, CHECKSUM = DEFAULT
     (
      HLEV_ID INTEGER NOT NULL,
      NM VARCHAR(255) CHARACTER SET UNICODE NOT CASESPECIFIC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PHLEV%DICT_CODE%_S (HLEV_ID)
INDEX GHLEV%DICT_CODE%_S (GUID);</t>
  </si>
  <si>
    <t>CREATE MULTISET TABLE %SCHEMA%%DICT_CODE%_HLEV_T,
     FALLBACK, NO BEFORE JOURNAL, NO AFTER JOURNAL, CHECKSUM = DEFAULT
     (
      HLEV_ID INTEGER NOT NULL,
      NM VARCHAR(255) CHARACTER SET UNICODE NOT CASESPECIFIC NOT NULL,
      RDM$VALIDFROM TIMESTAMP(6) FORMAT 'YYYY-MM-DDHH:MI:SS' NOT NULL,
      RDM$RANK DECIMAL(5,0) NOT NULL
     )
PRIMARY INDEX PHLEV%DICT_CODE%_T (HLEV_ID);</t>
  </si>
  <si>
    <t>CREATE MULTISET TABLE %SCHEMA%%DICT_CODE%_HSCN_S,
     FALLBACK, NO BEFORE JOURNAL, NO AFTER JOURNAL, CHECKSUM = DEFAULT
     (
      HSCN_ID INTEGER NOT NULL,
      NM VARCHAR(255) CHARACTER SET UNICODE NOT CASESPECIFIC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PHSCN%DICT_CODE%_S (HSCN_ID)
INDEX GHSCN%DICT_CODE%_S (GUID);</t>
  </si>
  <si>
    <t>CREATE MULTISET TABLE %SCHEMA%%DICT_CODE%_HSCN_T,
     FALLBACK, NO BEFORE JOURNAL, NO AFTER JOURNAL, CHECKSUM = DEFAULT
     (
      HSCN_ID INTEGER NOT NULL,
      NM VARCHAR(255) CHARACTER SET UNICODE NOT CASESPECIFIC NOT NULL,
      RDM$VALIDFROM TIMESTAMP(6) FORMAT 'YYYY-MM-DDHH:MI:SS' NOT NULL,
      RDM$RANK DECIMAL(5,0) NOT NULL
     )
PRIMARY INDEX PHSCN%DICT_CODE%_T (HSCN_ID);</t>
  </si>
  <si>
    <t>CREATE MULTISET TABLE %SCHEMA%%DICT_CODE%_HIER_S,
     FALLBACK, NO BEFORE JOURNAL, NO AFTER JOURNAL, CHECKSUM = DEFAULT
     (
      CHLD_MK INTEGER NOT NULL,
      PRNT_MK INTEGER NOT NULL,
      HLEV_ID INTEGER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(CHLD_MK)
INDEX RHIER%DICT_CODE%_S (PRNT_MK)
INDEX LHIER%DICT_CODE%_S (HLEV_ID)
INDEX GHIER%DICT_CODE%_S (GUID);</t>
  </si>
  <si>
    <t>CREATE MULTISET TABLE %SCHEMA%%DICT_CODE%_HIER_S,
     FALLBACK, NO BEFORE JOURNAL, NO AFTER JOURNAL, CHECKSUM = DEFAULT
     (
      START_DT DATE FORMAT 'YYYY-MM-DD' NOT NULL,
      END_DT DATE FORMAT 'YYYY-MM-DD' NOT NULL,
      CHLD_MK INTEGER NOT NULL,
      PRNT_MK INTEGER NOT NULL,
      HLEV_ID INTEGER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(CHLD_MK)
INDEX RHIER%DICT_CODE%_S (PRNT_MK)
INDEX LHIER%DICT_CODE%_S (HLEV_ID)
INDEX PHIER%DICT_CODE%_S (CHLD_MK, START_DT)
INDEX GHIER%DICT_CODE%_S (GUID);</t>
  </si>
  <si>
    <t>CREATE MULTISET TABLE %SCHEMA%%DICT_CODE%_HIER_S,
     FALLBACK, NO BEFORE JOURNAL, NO AFTER JOURNAL, CHECKSUM = DEFAULT
     (
      HSCN_ID INTEGER NOT NULL,
      CHLD_MK INTEGER NOT NULL,
      PRNT_MK INTEGER NOT NULL,
      HLEV_ID INTEGER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(CHLD_MK)
INDEX RHIER%DICT_CODE%_S (PRNT_MK)
INDEX LHIER%DICT_CODE%_S (HLEV_ID)
INDEX PHIER%DICT_CODE%_S (HSCN_ID, CHLD_MK)
INDEX GHIER%DICT_CODE%_S (GUID);</t>
  </si>
  <si>
    <t>CREATE MULTISET TABLE %SCHEMA%%DICT_CODE%_HIER_S,
     FALLBACK, NO BEFORE JOURNAL, NO AFTER JOURNAL, CHECKSUM = DEFAULT
     (
      HSCN_ID INTEGER NOT NULL,
      START_DT DATE FORMAT 'YYYY-MM-DD' NOT NULL,
      END_DT DATE FORMAT 'YYYY-MM-DD' NOT NULL,
      CHLD_MK INTEGER NOT NULL,
      PRNT_MK INTEGER NOT NULL,
      HLEV_ID INTEGER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(CHLD_MK)
INDEX RHIER%DICT_CODE%_S (PRNT_MK)
INDEX LHIER%DICT_CODE%_S (HLEV_ID)
INDEX PHIER%DICT_CODE%_S (HSCN_ID, CHLD_MK, START_DT)
INDEX GHIER%DICT_CODE%_S (GUID);</t>
  </si>
  <si>
    <t>CREATE MULTISET TABLE %SCHEMA%%DICT_CODE%_HIER_T,
     FALLBACK, NO BEFORE JOURNAL, NO AFTER JOURNAL, CHECKSUM = DEFAULT
     (
      CHLD_MK INTEGER NOT NULL,
      PRNT_MK INTEGER NOT NULL,
      HLEV_ID INTEGER NOT NULL,
      RDM$VALIDFROM TIMESTAMP(6) FORMAT 'YYYY-MM-DDHH:MI:SS' NOT NULL,
      RDM$RANK DECIMAL(5,0) NOT NULL
     )
PRIMARY INDEX (CHLD_MK)
INDEX RHIER%DICT_CODE%_T (PRNT_MK)
INDEX LHIER%DICT_CODE%_T (HLEV_ID);</t>
  </si>
  <si>
    <t>CREATE MULTISET TABLE %SCHEMA%%DICT_CODE%_HIER_T,
     FALLBACK, NO BEFORE JOURNAL, NO AFTER JOURNAL, CHECKSUM = DEFAULT
     (
      START_DT DATE FORMAT 'YYYY-MM-DD' NOT NULL,
      END_DT DATE FORMAT 'YYYY-MM-DD' NOT NULL,
      CHLD_MK INTEGER NOT NULL,
      PRNT_MK INTEGER NOT NULL,
      HLEV_ID INTEGER NOT NULL,
      RDM$VALIDFROM TIMESTAMP(6) FORMAT 'YYYY-MM-DDHH:MI:SS' NOT NULL,
      RDM$RANK DECIMAL(5,0) NOT NULL
     )
PRIMARY INDEX (CHLD_MK)
INDEX RHIER%DICT_CODE%_T (PRNT_MK)
INDEX LHIER%DICT_CODE%_T (HLEV_ID)
INDEX PHIER%DICT_CODE%_T (CHLD_MK, START_DT);</t>
  </si>
  <si>
    <t>CREATE MULTISET TABLE %SCHEMA%%DICT_CODE%_HIER_T,
     FALLBACK, NO BEFORE JOURNAL, NO AFTER JOURNAL, CHECKSUM = DEFAULT
     (
      HSCN_ID INTEGER NOT NULL,
      CHLD_MK INTEGER NOT NULL,
      PRNT_MK INTEGER NOT NULL,
      HLEV_ID INTEGER NOT NULL,
      RDM$VALIDFROM TIMESTAMP(6) FORMAT 'YYYY-MM-DDHH:MI:SS' NOT NULL,
      RDM$RANK DECIMAL(5,0) NOT NULL
     )
PRIMARY INDEX (CHLD_MK)
INDEX RHIER%DICT_CODE%_T (PRNT_MK)
INDEX LHIER%DICT_CODE%_T (HLEV_ID)
INDEX PHIER%DICT_CODE%_T (HSCN_ID, CHLD_MK);</t>
  </si>
  <si>
    <t>CREATE MULTISET TABLE %SCHEMA%%DICT_CODE%_HIER_T,
     FALLBACK, NO BEFORE JOURNAL, NO AFTER JOURNAL, CHECKSUM = DEFAULT
     (
      HSCN_ID INTEGER NOT NULL,
      START_DT DATE FORMAT 'YYYY-MM-DD' NOT NULL,
      END_DT DATE FORMAT 'YYYY-MM-DD' NOT NULL,
      CHLD_MK INTEGER NOT NULL,
      PRNT_MK INTEGER NOT NULL,
      HLEV_ID INTEGER NOT NULL,
      RDM$VALIDFROM TIMESTAMP(6) FORMAT 'YYYY-MM-DDHH:MI:SS' NOT NULL,
      RDM$RANK DECIMAL(5,0) NOT NULL
     )
PRIMARY INDEX (CHLD_MK)
INDEX RHIER%DICT_CODE%_T (PRNT_MK)
INDEX LHIER%DICT_CODE%_T (HLEV_ID)
INDEX PHIER%DICT_CODE%_T (HSCN_ID, CHLD_MK, START_DT);</t>
  </si>
  <si>
    <t>CREATE MULTISET TABLE %SCHEMA%%DICT_CODE%_HTOL_S,
     FALLBACK, NO BEFORE JOURNAL, NO AFTER JOURNAL, CHECKSUM = DEFAULT
     (
      HSCN_ID INTEGER NOT NULL,
      HLEV_ID INTEGER NOT NULL,
      GUID BIGINT NOT NULL,
      RDM$OPC CHAR(1) CHARACTER SET UNICODE NOT CASESPECIFIC NOT NULL,
      RDM$VALIDFROM TIMESTAMP(6) FORMAT 'YYYY-MM-DDHH:MI:SS' NOT NULL,
      RDM$RANK DECIMAL(5,0) NOT NULL,
      MODIFY_USR_ID INTEGER NOT NULL DEFAULT 0
     )
PRIMARY INDEX (HSCN_ID)
INDEX PHTOL%DICT_CODE%_S (HSCN_ID, HLEV_ID)
INDEX LHTOL%DICT_CODE%_S (HLEV_ID)
INDEX GHTOL%DICT_CODE%_S (GUID);</t>
  </si>
  <si>
    <t>CREATE MULTISET TABLE %SCHEMA%%DICT_CODE%_HTOL_T,
     FALLBACK, NO BEFORE JOURNAL, NO AFTER JOURNAL, CHECKSUM = DEFAULT
     (
      HSCN_ID INTEGER NOT NULL,
      HLEV_ID INTEGER NOT NULL,
      RDM$VALIDFROM TIMESTAMP(6) FORMAT 'YYYY-MM-DDHH:MI:SS' NOT NULL,
      RDM$RANK DECIMAL(5,0) NOT NULL
     )
PRIMARY INDEX (HSCN_ID)
INDEX PHTOL%DICT_CODE%_T (HSCN_ID, HLEV_ID)
INDEX LHTOL%DICT_CODE%_T (HLEV_ID);</t>
  </si>
  <si>
    <t>Скрипт для генерации представлений в разделе (R1+2+3) при разделении на разделы</t>
  </si>
  <si>
    <t>REPLACE VIEW %SCHEMA%%DICT_CODE%_MK AS
LOCKING ROW FOR ACCESS
SELECT MK, GUID
FROM %SCHEMA_1%%DICT_CODE%_MK;</t>
  </si>
  <si>
    <t>REPLACE VIEW %SCHEMA%%DICT_CODE%_MK AS
LOCKING ROW FOR ACCESS
SELECT MK, LINK_FLAG, GUID
FROM %SCHEMA_1%%DICT_CODE%_MK;</t>
  </si>
  <si>
    <t>REPLACE VIEW %SCHEMA%%DICT_CODE%_MK_S AS
LOCKING ROW FOR ACCESS
SELECT MK, GUID, RDM$OPC, RDM$VALIDFROM, RDM$RANK, MODIFY_USR_ID
FROM %SCHEMA_1%%DICT_CODE%_MK_S;</t>
  </si>
  <si>
    <t>REPLACE VIEW %SCHEMA%%DICT_CODE%_MK_S AS
LOCKING ROW FOR ACCESS
SELECT MK, LINK_FLAG, GUID, RDM$OPC, RDM$VALIDFROM, RDM$RANK, MODIFY_USR_ID
FROM %SCHEMA_1%%DICT_CODE%_MK_S;</t>
  </si>
  <si>
    <t>REPLACE VIEW %SCHEMA%%DICT_CODE%_MK_A AS
LOCKING ROW FOR ACCESS
SELECT MK, GUID, MODIFY_USR_ID, APPROVE_USR_ID, RDM$OPC, RDM$VALIDFROM
FROM %SCHEMA_1%%DICT_CODE%_MK_A;</t>
  </si>
  <si>
    <t>REPLACE VIEW %SCHEMA%%DICT_CODE%_MK_A AS
LOCKING ROW FOR ACCESS
SELECT MK, LINK_FLAG, GUID, MODIFY_USR_ID, APPROVE_USR_ID, RDM$OPC, RDM$VALIDFROM
FROM %SCHEMA_1%%DICT_CODE%_MK_A;</t>
  </si>
  <si>
    <t>REPLACE VIEW %SCHEMA%%DICT_CODE%_MSCN AS
LOCKING ROW FOR ACCESS
SELECT MSCN_ID, NM, GUID
FROM %SCHEMA_1%%DICT_CODE%_MSCN;</t>
  </si>
  <si>
    <t>REPLACE VIEW %SCHEMA%%DICT_CODE%_MSCN_S AS
LOCKING ROW FOR ACCESS
SELECT MSCN_ID, NM, GUID, RDM$OPC, RDM$VALIDFROM, RDM$RANK, MODIFY_USR_ID
FROM %SCHEMA_1%%DICT_CODE%_MSCN_S;</t>
  </si>
  <si>
    <t>REPLACE VIEW %SCHEMA%%DICT_CODE%_MSCN_T AS
LOCKING ROW FOR ACCESS
SELECT MSCN_ID, NM, RDM$VALIDFROM, RDM$RANK
FROM %SCHEMA_1%%DICT_CODE%_MSCN_T;</t>
  </si>
  <si>
    <t>REPLACE VIEW %SCHEMA%%DICT_CODE%_MAST AS
LOCKING ROW FOR ACCESS
SELECT %ADD_FIELD_SCRIPT%, GUID
FROM %SCHEMA_1%%DICT_CODE%_MAST;</t>
  </si>
  <si>
    <t>REPLACE VIEW %SCHEMA%%DICT_CODE%_MAST_S AS
LOCKING ROW FOR ACCESS
SELECT %ADD_FIELD_SCRIPT%, GUID, RDM$OPC, RDM$VALIDFROM, RDM$RANK, MODIFY_USR_ID
FROM %SCHEMA_1%%DICT_CODE%_MAST_S;</t>
  </si>
  <si>
    <t>REPLACE VIEW %SCHEMA%%DICT_CODE%_MAST_T AS
LOCKING ROW FOR ACCESS
SELECT %ADD_FIELD_SCRIPT%, RDM$VALIDFROM, RDM$RANK
FROM %SCHEMA_1%%DICT_CODE%_MAST_T;</t>
  </si>
  <si>
    <t>REPLACE VIEW %SCHEMA%%DICT_CODE%_HLEV AS
LOCKING ROW FOR ACCESS
SELECT HLEV_ID, NM, GUID
FROM %SCHEMA_1%%DICT_CODE%_HLEV;</t>
  </si>
  <si>
    <t>REPLACE VIEW %SCHEMA%%DICT_CODE%_HLEV_S AS
LOCKING ROW FOR ACCESS
SELECT HLEV_ID, NM, GUID, RDM$OPC, RDM$VALIDFROM, RDM$RANK, MODIFY_USR_ID
FROM %SCHEMA_1%%DICT_CODE%_HLEV_S;</t>
  </si>
  <si>
    <t>REPLACE VIEW %SCHEMA%%DICT_CODE%_HLEV_A AS
LOCKING ROW FOR ACCESS
SELECT HLEV_ID, NM, GUID, MODIFY_USR_ID, APPROVE_USR_ID, RDM$OPC, RDM$VALIDFROM
FROM %SCHEMA_1%%DICT_CODE%_HLEV_A;</t>
  </si>
  <si>
    <t>REPLACE VIEW %SCHEMA%%DICT_CODE%_HLEV_T AS
LOCKING ROW FOR ACCESS
SELECT HLEV_ID, NM, RDM$VALIDFROM, RDM$RANK
FROM %SCHEMA_1%%DICT_CODE%_HLEV_T;</t>
  </si>
  <si>
    <t>REPLACE VIEW %SCHEMA%%DICT_CODE%_HSCN AS
LOCKING ROW FOR ACCESS
SELECT HSCN_ID, NM, GUID
FROM %SCHEMA_1%%DICT_CODE%_HSCN;</t>
  </si>
  <si>
    <t>REPLACE VIEW %SCHEMA%%DICT_CODE%_HSCN_A AS
LOCKING ROW FOR ACCESS
SELECT HSCN_ID, NM, GUID, MODIFY_USR_ID, APPROVE_USR_ID, RDM$OPC, RDM$VALIDFROM
FROM %SCHEMA_1%%DICT_CODE%_HSCN_A;</t>
  </si>
  <si>
    <t>REPLACE VIEW %SCHEMA%%DICT_CODE%_HIER AS
LOCKING ROW FOR ACCESS
SELECT CHLD_MK, PRNT_MK, HLEV_ID, GUID
FROM %SCHEMA_1%%DICT_CODE%_HIER;</t>
  </si>
  <si>
    <t>REPLACE VIEW %SCHEMA%%DICT_CODE%_HIER AS
LOCKING ROW FOR ACCESS
SELECT START_DT, END_DT, CHLD_MK, PRNT_MK, HLEV_ID, GUID
FROM %SCHEMA_1%%DICT_CODE%_HIER;</t>
  </si>
  <si>
    <t>REPLACE VIEW %SCHEMA%%DICT_CODE%_HIER AS
LOCKING ROW FOR ACCESS
SELECT HSCN_ID, CHLD_MK, PRNT_MK, HLEV_ID, GUID
FROM %SCHEMA_1%%DICT_CODE%_HIER;</t>
  </si>
  <si>
    <t>REPLACE VIEW %SCHEMA%%DICT_CODE%_HIER AS
LOCKING ROW FOR ACCESS
SELECT HSCN_ID, START_DT, END_DT, CHLD_MK, PRNT_MK, HLEV_ID, GUID
FROM %SCHEMA_1%%DICT_CODE%_HIER;</t>
  </si>
  <si>
    <t>REPLACE VIEW %SCHEMA%%DICT_CODE%_HIER_T AS
LOCKING ROW FOR ACCESS
SELECT CHLD_MK, PRNT_MK, HLEV_ID, RDM$VALIDFROM, RDM$RANK
FROM %SCHEMA_1%%DICT_CODE%_HIER_T;</t>
  </si>
  <si>
    <t>REPLACE VIEW %SCHEMA%%DICT_CODE%_HIER_T AS
LOCKING ROW FOR ACCESS
SELECT START_DT, END_DT, CHLD_MK, PRNT_MK, HLEV_ID, RDM$VALIDFROM, RDM$RANK
FROM %SCHEMA_1%%DICT_CODE%_HIER_T;</t>
  </si>
  <si>
    <t>REPLACE VIEW %SCHEMA%%DICT_CODE%_HIER_T AS
LOCKING ROW FOR ACCESS
SELECT HSCN_ID, CHLD_MK, PRNT_MK, HLEV_ID, RDM$VALIDFROM, RDM$RANK
FROM %SCHEMA_1%%DICT_CODE%_HIER_T;</t>
  </si>
  <si>
    <t>REPLACE VIEW %SCHEMA%%DICT_CODE%_HIER_T AS
LOCKING ROW FOR ACCESS
SELECT HSCN_ID, START_DT, END_DT, CHLD_MK, PRNT_MK, HLEV_ID, RDM$VALIDFROM, RDM$RANK
FROM %SCHEMA_1%%DICT_CODE%_HIER_T;</t>
  </si>
  <si>
    <t>REPLACE VIEW %SCHEMA%%DICT_CODE%_HTOL AS
LOCKING ROW FOR ACCESS
SELECT HSCN_ID, HLEV_ID, GUID
FROM %SCHEMA_1%%DICT_CODE%_HTOL;</t>
  </si>
  <si>
    <t>REPLACE VIEW %SCHEMA%%DICT_CODE%_HTOL_T AS
LOCKING ROW FOR ACCESS
SELECT HSCN_ID, HLEV_ID, RDM$VALIDFROM, RDM$RANK
FROM %SCHEMA_1%%DICT_CODE%_HTOL_T;</t>
  </si>
  <si>
    <t>R1+2+3</t>
  </si>
  <si>
    <t>PARTITION</t>
  </si>
  <si>
    <t>R5+</t>
  </si>
  <si>
    <t>k-select (R5 ~&gt; R6-7)</t>
  </si>
  <si>
    <t>v-select (R5 ~&gt; R6-7)</t>
  </si>
  <si>
    <t>REPLACE VIEW %SCHEMA%%DICT_CODE%_MK_T AS
LOCKING ROW FOR ACCESS
SELECT MK, LINK_FLAG, RDM$VALIDFROM, RDM$RANK
FROM %SCHEMA_1%%DICT_CODE%_MK_T;</t>
  </si>
  <si>
    <t/>
  </si>
  <si>
    <t>REPLACE VIEW %SCHEMA%%DICT_CODE%_MK_T AS
LOCKING ROW FOR ACCESS
SELECT MK, RDM$VALIDFROM, RDM$RANK
FROM %SCHEMA_1%%DICT_CODE%_MK_T;</t>
  </si>
  <si>
    <t>Автоматизируем создание вьюшек R1+2+3</t>
  </si>
  <si>
    <t>REPLACE VIEW %SCHEMA%%DICT_CODE%_MSCN_A AS
LOCKING ROW FOR ACCESS
SELECT MSCN_ID, NM, GUID, MODIFY_USR_ID, APPROVE_USR_ID, RDM$OPC, RDM$VALIDFROM
FROM %SCHEMA_1%%DICT_CODE%_MSCN_A;</t>
  </si>
  <si>
    <t>REPLACE VIEW %SCHEMA%%DICT_CODE%_HSCN_S AS
LOCKING ROW FOR ACCESS
SELECT HSCN_ID, NM, GUID, RDM$OPC, RDM$VALIDFROM, RDM$RANK, MODIFY_USR_ID
FROM %SCHEMA_1%%DICT_CODE%_HSCN_S;</t>
  </si>
  <si>
    <t>REPLACE VIEW %SCHEMA%%DICT_CODE%_HSCN_T AS
LOCKING ROW FOR ACCESS
SELECT HSCN_ID, NM, RDM$VALIDFROM, RDM$RANK
FROM %SCHEMA_1%%DICT_CODE%_HSCN_T;</t>
  </si>
  <si>
    <t>REPLACE VIEW %SCHEMA%%DICT_CODE%_HIER_S AS
LOCKING ROW FOR ACCESS
SELECT CHLD_MK, PRNT_MK, HLEV_ID, GUID, RDM$OPC, RDM$VALIDFROM, RDM$RANK, MODIFY_USR_ID
FROM %SCHEMA_1%%DICT_CODE%_HIER_S;</t>
  </si>
  <si>
    <t>REPLACE VIEW %SCHEMA%%DICT_CODE%_HIER_S AS
LOCKING ROW FOR ACCESS
SELECT START_DT, END_DT, CHLD_MK, PRNT_MK, HLEV_ID, GUID, RDM$OPC, RDM$VALIDFROM, RDM$RANK, MODIFY_USR_ID
FROM %SCHEMA_1%%DICT_CODE%_HIER_S;</t>
  </si>
  <si>
    <t>REPLACE VIEW %SCHEMA%%DICT_CODE%_HIER_S AS
LOCKING ROW FOR ACCESS
SELECT HSCN_ID, CHLD_MK, PRNT_MK, HLEV_ID, GUID, RDM$OPC, RDM$VALIDFROM, RDM$RANK, MODIFY_USR_ID
FROM %SCHEMA_1%%DICT_CODE%_HIER_S;</t>
  </si>
  <si>
    <t>REPLACE VIEW %SCHEMA%%DICT_CODE%_HIER_S AS
LOCKING ROW FOR ACCESS
SELECT HSCN_ID, START_DT, END_DT, CHLD_MK, PRNT_MK, HLEV_ID, GUID, RDM$OPC, RDM$VALIDFROM, RDM$RANK, MODIFY_USR_ID
FROM %SCHEMA_1%%DICT_CODE%_HIER_S;</t>
  </si>
  <si>
    <t>REPLACE VIEW %SCHEMA%%DICT_CODE%_HIER_A AS
LOCKING ROW FOR ACCESS
SELECT CHLD_MK, PRNT_MK, HLEV_ID, GUID, MODIFY_USR_ID, APPROVE_USR_ID, RDM$OPC, RDM$VALIDFROM
FROM %SCHEMA_1%%DICT_CODE%_HIER_A;</t>
  </si>
  <si>
    <t>REPLACE VIEW %SCHEMA%%DICT_CODE%_HIER_A AS
LOCKING ROW FOR ACCESS
SELECT START_DT, END_DT, CHLD_MK, PRNT_MK, HLEV_ID, GUID, MODIFY_USR_ID, APPROVE_USR_ID, RDM$OPC, RDM$VALIDFROM
FROM %SCHEMA_1%%DICT_CODE%_HIER_A;</t>
  </si>
  <si>
    <t>REPLACE VIEW %SCHEMA%%DICT_CODE%_HIER_A AS
LOCKING ROW FOR ACCESS
SELECT HSCN_ID, CHLD_MK, PRNT_MK, HLEV_ID, GUID, MODIFY_USR_ID, APPROVE_USR_ID, RDM$OPC, RDM$VALIDFROM
FROM %SCHEMA_1%%DICT_CODE%_HIER_A;</t>
  </si>
  <si>
    <t>REPLACE VIEW %SCHEMA%%DICT_CODE%_HIER_A AS
LOCKING ROW FOR ACCESS
SELECT HSCN_ID, START_DT, END_DT, CHLD_MK, PRNT_MK, HLEV_ID, GUID, MODIFY_USR_ID, APPROVE_USR_ID, RDM$OPC, RDM$VALIDFROM
FROM %SCHEMA_1%%DICT_CODE%_HIER_A;</t>
  </si>
  <si>
    <t>REPLACE VIEW %SCHEMA%%DICT_CODE%_HTOL_S AS
LOCKING ROW FOR ACCESS
SELECT HSCN_ID, HLEV_ID, GUID, RDM$OPC, RDM$VALIDFROM, RDM$RANK, MODIFY_USR_ID
FROM %SCHEMA_1%%DICT_CODE%_HTOL_S;</t>
  </si>
  <si>
    <t>REPLACE VIEW %SCHEMA%%DICT_CODE%_HTOL_A AS
LOCKING ROW FOR ACCESS
SELECT HSCN_ID, HLEV_ID, GUID, MODIFY_USR_ID, APPROVE_USR_ID, RDM$OPC, RDM$VALIDFROM
FROM %SCHEMA_1%%DICT_CODE%_HTOL_A;</t>
  </si>
  <si>
    <t>REPLACE VIEW %SCHEMA%%DICT_CODE%_MAST_A AS
LOCKING ROW FOR ACCESS
SELECT %ADD_FIELD_SCRIPT%, GUID, MODIFY_USR_ID, APPROVE_USR_ID, RDM$OPC, RDM$VALIDFROM
FROM %SCHEMA_1%%DICT_CODE%_MAST_A;</t>
  </si>
  <si>
    <t xml:space="preserve">SELECT %NKXX_COL_NM_LIST%TGT_ID, SRC_KEY_ID, INFO_SYSTEM_TYPE_CD, INFO_SYSTEM_INST_CD 
FROM %SRD_PREF%%INFO_SYSTEM_CD%DB_TMD.%K_TAB%
</t>
  </si>
  <si>
    <t>TIME</t>
  </si>
  <si>
    <t>BYTEINT</t>
  </si>
  <si>
    <t>CHAR</t>
  </si>
  <si>
    <t>BYTE</t>
  </si>
  <si>
    <t>FLOAT</t>
  </si>
  <si>
    <t>FORMAT 'HH:MI:SS'</t>
  </si>
  <si>
    <t>TIME '00:00:00'</t>
  </si>
  <si>
    <t>V_K_PATCH</t>
  </si>
  <si>
    <t>V_PATCH</t>
  </si>
  <si>
    <t>V_PATCH_RDM</t>
  </si>
  <si>
    <t>- справочники проекта Xbank</t>
  </si>
  <si>
    <t>- ОВФЛ</t>
  </si>
  <si>
    <t>- ТБО</t>
  </si>
  <si>
    <t>- КЮЛ</t>
  </si>
  <si>
    <t>- MIS ОБ</t>
  </si>
  <si>
    <t>V_PATCH_UNISAVE</t>
  </si>
  <si>
    <t>V_PATCH_UNILOAD</t>
  </si>
  <si>
    <t>Тип скрипта</t>
  </si>
  <si>
    <t>Метаданные</t>
  </si>
  <si>
    <t>Текст скрипта</t>
  </si>
  <si>
    <t>DATABASE</t>
  </si>
  <si>
    <t>ROLE</t>
  </si>
  <si>
    <t>USER</t>
  </si>
  <si>
    <t>TABLE</t>
  </si>
  <si>
    <t>Имя скрипта</t>
  </si>
  <si>
    <t>SCRIPTS</t>
  </si>
  <si>
    <t>USR</t>
  </si>
  <si>
    <t>SEC_GRP</t>
  </si>
  <si>
    <t>Префикс билда для JAZZ</t>
  </si>
  <si>
    <t>Номер дефекта для JAZZ</t>
  </si>
  <si>
    <t>r6.rdm2</t>
  </si>
  <si>
    <t>Таблица</t>
  </si>
  <si>
    <t>DELETE FROM %schema%.USR;</t>
  </si>
  <si>
    <t>Default field</t>
  </si>
  <si>
    <t>Default DOMAIN_ID</t>
  </si>
  <si>
    <t>Default DOMAIN name</t>
  </si>
  <si>
    <t>ВД МРБ</t>
  </si>
  <si>
    <t>ДЮЛ-Т</t>
  </si>
  <si>
    <t>ОФЛ</t>
  </si>
  <si>
    <t>ВД CRM</t>
  </si>
  <si>
    <t>sysdbaN</t>
  </si>
  <si>
    <t>Версия метаданных</t>
  </si>
  <si>
    <t>Версия Генератора</t>
  </si>
  <si>
    <t>Дата изменения</t>
  </si>
  <si>
    <t>Автор изменений</t>
  </si>
  <si>
    <t>Префикс среды 
(&lt;preffix&gt;_)</t>
  </si>
  <si>
    <t>DB_ERM</t>
  </si>
  <si>
    <t>ERM_TABLE</t>
  </si>
  <si>
    <t>ERM_TABLE_ATTR</t>
  </si>
  <si>
    <t xml:space="preserve">SELECT 1 FROM DBC.Databases WHERE TRIM (DatabaseName) = '%schema%';
.IF ACTIVITYCOUNT &lt;&gt; 0 then .GOTO Step_1
CREATE DATABASE %schema% FROM %schema_grp_rdm% AS PERM = 20000000000 SPOOL = 10000000000;
.LABEL Step_1 </t>
  </si>
  <si>
    <t xml:space="preserve">SELECT 1 FROM DBC.Roles WHERE TRIM (RoleName) = '%erm_role_user%';
.IF ACTIVITYCOUNT &lt;&gt; 0 then .GOTO Step_1
CREATE ROLE %erm_role_user%;
.LABEL Step_1
GRANT SELECT, INSERT, DELETE, UPDATE, EXECUTE PROCEDURE, DROP TABLE, CREATE TABLE ON %schema% TO %erm_role_user%;
</t>
  </si>
  <si>
    <t>ERM_DOMAIN</t>
  </si>
  <si>
    <t>SEC_GRP_TAB_ATTR</t>
  </si>
  <si>
    <t>TAB_SEC_GRP</t>
  </si>
  <si>
    <t>SEC_ROLE</t>
  </si>
  <si>
    <t>USR_GRP_SEC_GRP</t>
  </si>
  <si>
    <t>USR_GRP</t>
  </si>
  <si>
    <t>USR_USR_GRP</t>
  </si>
  <si>
    <t>SEC_ROLES_PRIV</t>
  </si>
  <si>
    <t xml:space="preserve"> </t>
  </si>
  <si>
    <t>SEC_PRIV</t>
  </si>
  <si>
    <t>JOIN_LIST</t>
  </si>
  <si>
    <t>JOIN_STRUCT</t>
  </si>
  <si>
    <t>JOIN_ATTR</t>
  </si>
  <si>
    <t>ETL_PROC_PARAM</t>
  </si>
  <si>
    <t>ETL_PROC</t>
  </si>
  <si>
    <t>db_erm.usr</t>
  </si>
  <si>
    <t>SELECT 1 FROM DBC.Databases WHERE TRIM (DatabaseName) = '%schema_erm_user%';
.IF ACTIVITYCOUNT &lt;&gt; 0 then .GOTO Step_1
CREATE USER %schema_erm_user% FROM GRP_USR_APP AS PASSWORD = %schema_erm_user% PERM = 0 SPOOL = 10000000000 DEFAULT DATABASE = "%schema%";
.LABEL Step_1
GRANT %erm_role_user% TO %schema_erm_user%;
MODIFY USER %schema_erm_user% AS DEFAULT ROLE = %erm_role_user%;</t>
  </si>
  <si>
    <t>rl_erm_user</t>
  </si>
  <si>
    <t>erm_user</t>
  </si>
  <si>
    <t>Код таблицы
(TAB_CODE)</t>
  </si>
  <si>
    <t>Тип таблицы
(Tab_Type)</t>
  </si>
  <si>
    <t>Схема/БД
(scheme_db)</t>
  </si>
  <si>
    <t>ERM_LOG</t>
  </si>
  <si>
    <t>D_EXPOSURE_ACCOUNT</t>
  </si>
  <si>
    <t>1900-01-01</t>
  </si>
  <si>
    <t>9999-12-31</t>
  </si>
  <si>
    <t>D_EXPOSURE_FACILITY</t>
  </si>
  <si>
    <t>D_COUNTERPARTY_MART</t>
  </si>
  <si>
    <t>Название таблицы</t>
  </si>
  <si>
    <t>Наименование атрибута
(NM)</t>
  </si>
  <si>
    <t>Название типа данных</t>
  </si>
  <si>
    <t>Отображаемая ширина
(DISP_LENGTH)</t>
  </si>
  <si>
    <t>Флаг видимости
(VISIBLE)</t>
  </si>
  <si>
    <t>PD_PCT</t>
  </si>
  <si>
    <t>LOCAL_CP_CLASS2</t>
  </si>
  <si>
    <t>LOCAL_CP_CLASS1</t>
  </si>
  <si>
    <t>Тип данных. 
ID типа данных
(DOMAIN_ID)</t>
  </si>
  <si>
    <t>Признак первичного ключа
(IS_PK)</t>
  </si>
  <si>
    <t>ID атрибута
(ATTR_ID)</t>
  </si>
  <si>
    <t>ID группы доступа 
(SEC_GRP_ID)</t>
  </si>
  <si>
    <t>ALL FEATURE</t>
  </si>
  <si>
    <t xml:space="preserve">ID группы доступа
(SEC_GRP_ID)
</t>
  </si>
  <si>
    <t>Код
(CODE)</t>
  </si>
  <si>
    <t xml:space="preserve">Дата окончания действия
(END_DT)
</t>
  </si>
  <si>
    <t xml:space="preserve">Код таблицы
(TAB_CODE)
</t>
  </si>
  <si>
    <t xml:space="preserve">Условие отбора
(SQL_WHERE)
</t>
  </si>
  <si>
    <t>ID роли
(ROLE_ID)</t>
  </si>
  <si>
    <t>ID группы пользователей
(GRP_ID)</t>
  </si>
  <si>
    <t>ID группы доступа
(SEC_GRP_ID)</t>
  </si>
  <si>
    <t>ID  пользователя
(USR_ID)</t>
  </si>
  <si>
    <t xml:space="preserve">ID группы доступа
(GRP_ID)
</t>
  </si>
  <si>
    <t>Главный ответственный за качество данных</t>
  </si>
  <si>
    <t>Аналитики</t>
  </si>
  <si>
    <t>Суперпользователи</t>
  </si>
  <si>
    <t>Ответственный за качество данных</t>
  </si>
  <si>
    <t>Администраторы</t>
  </si>
  <si>
    <t>ID привилегии
(PRIV_ID)</t>
  </si>
  <si>
    <t>Код
(PRIV_CODE)</t>
  </si>
  <si>
    <t>ID пользователя
(USR_ID)</t>
  </si>
  <si>
    <t>Логин
(LOGIN)</t>
  </si>
  <si>
    <t>Пароль
(PASSWD)</t>
  </si>
  <si>
    <t>3a50b6fe40c1be38b20cd6e46949a1</t>
  </si>
  <si>
    <t>admin</t>
  </si>
  <si>
    <t>Администратор</t>
  </si>
  <si>
    <t>Условие отбора
(SQL_WHERE)</t>
  </si>
  <si>
    <t>Тип соединения
(JOIN_TYPE)</t>
  </si>
  <si>
    <t>LEFT</t>
  </si>
  <si>
    <t xml:space="preserve">ID процесса
(EP_ID)
</t>
  </si>
  <si>
    <t>Тип
(ET_TYPE)</t>
  </si>
  <si>
    <t>Папка
(IPC_FOLDER)</t>
  </si>
  <si>
    <t>Сессия
(IPC_SESSION)</t>
  </si>
  <si>
    <t>Схема/БД
(SCHEME_DB)</t>
  </si>
  <si>
    <t xml:space="preserve">Дата окончания
(END_DT) </t>
  </si>
  <si>
    <t xml:space="preserve">Дата начала
(START_DT)
</t>
  </si>
  <si>
    <t>ID параметра
(PARAM_ID)</t>
  </si>
  <si>
    <t>ID процесса
(EP_ID)</t>
  </si>
  <si>
    <t>Значение по умолчанию
(DEF_VAL)</t>
  </si>
  <si>
    <t>Тип данных
(DATA_TYPE)</t>
  </si>
  <si>
    <t xml:space="preserve">Описание
(DESCR)
</t>
  </si>
  <si>
    <t>_S</t>
  </si>
  <si>
    <t>_A</t>
  </si>
  <si>
    <t>_T</t>
  </si>
  <si>
    <t>D_DIC_PRIN_PM_SCHED_TYPE</t>
  </si>
  <si>
    <t>D_CP_UNIF_BTH</t>
  </si>
  <si>
    <t>D_COLLATERAL_ORIG</t>
  </si>
  <si>
    <t>D_DIC_FLOATING_RATE</t>
  </si>
  <si>
    <t>D_CLAIM_REL_BH</t>
  </si>
  <si>
    <t>D_CLAIM_ORIG_BTH</t>
  </si>
  <si>
    <t>D_INT_ORG_BTH</t>
  </si>
  <si>
    <t>D_MAP_CND_FIN2EF_OFFBAL</t>
  </si>
  <si>
    <t>D_DIC_ECAP_SEGMENT</t>
  </si>
  <si>
    <t>D_DIC_BUSINESS_SEGMENT</t>
  </si>
  <si>
    <t>D_CP_GROUP_ORIG</t>
  </si>
  <si>
    <t>D_COLLATERAL_ORIG_BH</t>
  </si>
  <si>
    <t>D_DIC_EQUITY_INV_TYPE</t>
  </si>
  <si>
    <t>Тип финансового вложения</t>
  </si>
  <si>
    <t>D_CP_ORIG</t>
  </si>
  <si>
    <t>D_CLAIM_ORIG</t>
  </si>
  <si>
    <t>D_DIC_RISK_FACTOR</t>
  </si>
  <si>
    <t>D_CP_GROUP_ORIG_BTH</t>
  </si>
  <si>
    <t>D_CLAIM_ORIG_X_COLLT_ORIG_BH</t>
  </si>
  <si>
    <t>D_MAP_CRM2CM_IND</t>
  </si>
  <si>
    <t>D_CLAIM_EXPOSURE_BTH</t>
  </si>
  <si>
    <t>D_DIC_NACE_INDUSTRY</t>
  </si>
  <si>
    <t>D_DIC_COLLATERAL_PRIORITY</t>
  </si>
  <si>
    <t>D_DIC_ECAP_INDUSTRY</t>
  </si>
  <si>
    <t>D_CP_ORIG_BH</t>
  </si>
  <si>
    <t>D_INT_ORG</t>
  </si>
  <si>
    <t>D_DIC_COUNTRY</t>
  </si>
  <si>
    <t>D_DIC_COUNTRY_MATURITY_CLASS</t>
  </si>
  <si>
    <t>D_DIC_REGLTRY_CP_TYPE</t>
  </si>
  <si>
    <t>D_MAP_ENTITY_SYSTEM_ID</t>
  </si>
  <si>
    <t>D_DIC_REP_CLASS</t>
  </si>
  <si>
    <t>D_DIC_CCF_TYPE</t>
  </si>
  <si>
    <t>D_CLAIM_ORIG_STL1_BTH</t>
  </si>
  <si>
    <t>D_LOG</t>
  </si>
  <si>
    <t>D_MAP_FIN2CP_CPTY_TP</t>
  </si>
  <si>
    <t>D_INT_ORG_ASSOC_BTH</t>
  </si>
  <si>
    <t>D_MAP_FIN2I_REG_PROD_CD</t>
  </si>
  <si>
    <t>D_MAP_FIN2I_REP_CLASS</t>
  </si>
  <si>
    <t>D_CP_ORIG_X_CP_UNIF_BH</t>
  </si>
  <si>
    <t>Бизнес-дата окончания записи</t>
  </si>
  <si>
    <t>LOAN_REGIME_CD</t>
  </si>
  <si>
    <t>LOAN_REGIME_NM</t>
  </si>
  <si>
    <t>RECORD_UPDATE_TS</t>
  </si>
  <si>
    <t>Дата последнего обновления записи (для отладки)</t>
  </si>
  <si>
    <t>Идентификатор сессии расчета Витрины</t>
  </si>
  <si>
    <t>Дата начала валидности</t>
  </si>
  <si>
    <t>ID</t>
  </si>
  <si>
    <t>PRIORITY</t>
  </si>
  <si>
    <t>Приоритет правила</t>
  </si>
  <si>
    <t>SOURCE_PD_RATING_GRADE</t>
  </si>
  <si>
    <t>PD_TTC_PCT</t>
  </si>
  <si>
    <t>RECORD_CLOSE_TS</t>
  </si>
  <si>
    <t>Дата прекращения технической валидности записи</t>
  </si>
  <si>
    <t>RECORD_CREATE_TS</t>
  </si>
  <si>
    <t>Дата начала технической валидности</t>
  </si>
  <si>
    <t>REP_CLASS_CD</t>
  </si>
  <si>
    <t>Код класса актива</t>
  </si>
  <si>
    <t>REP_CLASS_ID</t>
  </si>
  <si>
    <t>Порядковый номер строки в справочнике</t>
  </si>
  <si>
    <t>BUSINESS_BLOCK_NM</t>
  </si>
  <si>
    <t>Наименование блока, к которому относится класс</t>
  </si>
  <si>
    <t>SUBCLASS_CD</t>
  </si>
  <si>
    <t>Наименование субкласса</t>
  </si>
  <si>
    <t>BUSINESS_BLOCK_REP_NM</t>
  </si>
  <si>
    <t>Наименование блока, к которому относится класс, отображаемое в отчетах</t>
  </si>
  <si>
    <t>CONFIGURATION_CD</t>
  </si>
  <si>
    <t>Идентификатор конфигурации СУККР</t>
  </si>
  <si>
    <t>FLOATING_RATE_BASE</t>
  </si>
  <si>
    <t>Наименование типа базы ставки</t>
  </si>
  <si>
    <t>FLOATING_RATE_TERM</t>
  </si>
  <si>
    <t>Период по ставке</t>
  </si>
  <si>
    <t>FLOATING_RATE_ID</t>
  </si>
  <si>
    <t>Бизнес-ключ в справочнике</t>
  </si>
  <si>
    <t>FLOATING_RATE_CURRENCY_ID</t>
  </si>
  <si>
    <t>CTRY_STRAT_IMPORTANCE_CLASS_ID</t>
  </si>
  <si>
    <t>CTRY_STRAT_IMPORTANCE_CLASS_CD</t>
  </si>
  <si>
    <t>CTRY_STRAT_IMPORTANCE_CLASS_NM</t>
  </si>
  <si>
    <t>CTRY_STRAT_IMPORTANCE_REP_NM</t>
  </si>
  <si>
    <t>SOURCE_CP_TYPE_ID</t>
  </si>
  <si>
    <t>Тип контрагента</t>
  </si>
  <si>
    <t>Класс актива</t>
  </si>
  <si>
    <t>SOURCE_IND_LET</t>
  </si>
  <si>
    <t>Буква индустрии</t>
  </si>
  <si>
    <t>CP_TYPE_ID</t>
  </si>
  <si>
    <t>INDUSTRY_CD</t>
  </si>
  <si>
    <t>INDUSTRY_DSC</t>
  </si>
  <si>
    <t>ECAP_PARAM_INDUSTRY_ID</t>
  </si>
  <si>
    <t>TGT_INDUSTRY_NM</t>
  </si>
  <si>
    <t>CTRY_MATURITY_CLASS_ID</t>
  </si>
  <si>
    <t>Идентификатор класса развитости страны</t>
  </si>
  <si>
    <t>CTRY_MATURITY_CLASS_NM</t>
  </si>
  <si>
    <t>Наименование класса развитости страны</t>
  </si>
  <si>
    <t>CTRY_MATURITY_CLASS_REP_NM</t>
  </si>
  <si>
    <t>Наименование класса развитости страны для отчетов</t>
  </si>
  <si>
    <t>CTRY_MATURITY_CLASS_CD</t>
  </si>
  <si>
    <t>Код класса развитости страны</t>
  </si>
  <si>
    <t>CHECK_CLASS_CD</t>
  </si>
  <si>
    <t>PARAM_VALIDITY_DT</t>
  </si>
  <si>
    <t>Код сегмента для расчета ECAP</t>
  </si>
  <si>
    <t>REGLTRY_CP_TYPE_ID</t>
  </si>
  <si>
    <t>EXPOSURE_TYPE_CD</t>
  </si>
  <si>
    <t>EXPOSURE_TYPE_NM</t>
  </si>
  <si>
    <t>EXPOSURE_TYPE_ID</t>
  </si>
  <si>
    <t>COLLATERAL_ORIG_ID</t>
  </si>
  <si>
    <t>Ключ  обеспечения</t>
  </si>
  <si>
    <t>VALIDITY_DT</t>
  </si>
  <si>
    <t>Бизнес-дата</t>
  </si>
  <si>
    <t>CONTRACT_NO</t>
  </si>
  <si>
    <t>Номер договора</t>
  </si>
  <si>
    <t>COLLATERAL_TYPE_ID</t>
  </si>
  <si>
    <t>Бизнес-ключ типа обеспечения</t>
  </si>
  <si>
    <t>RUN_ID</t>
  </si>
  <si>
    <t>BALANCE_VALUE_RUB_AMT</t>
  </si>
  <si>
    <t>Текущая балансовая стоимость обеспечения в рублях</t>
  </si>
  <si>
    <t>OWNER_CP_ORIG_ID</t>
  </si>
  <si>
    <t>Ссылка на владельца обеспечения</t>
  </si>
  <si>
    <t>MARKET_VALUE_RUB_AMT</t>
  </si>
  <si>
    <t>Рыночная стоимость обеспечения в рублях</t>
  </si>
  <si>
    <t>OKVED_INDUSTRY_CD</t>
  </si>
  <si>
    <t>OKVED_INDUSTRY_DSC</t>
  </si>
  <si>
    <t>OKVED_INDUSTRY_ID</t>
  </si>
  <si>
    <t>Мастер-ключ записи ОКВЭД в RDM</t>
  </si>
  <si>
    <t>SOURCE_DEAL_TYPE</t>
  </si>
  <si>
    <t>Тип продукта</t>
  </si>
  <si>
    <t>REGLTRY_PRODUCT_TYPE_ID</t>
  </si>
  <si>
    <t>Прямое соответствие регуляторного класса продукта</t>
  </si>
  <si>
    <t>SOURCE_CRM_SEGMENT</t>
  </si>
  <si>
    <t>SOURCE_REVENUE_TO</t>
  </si>
  <si>
    <t>ECAP_SEGMENT_ID</t>
  </si>
  <si>
    <t>SK</t>
  </si>
  <si>
    <t>LGD longrun</t>
  </si>
  <si>
    <t>LGD default</t>
  </si>
  <si>
    <t>LGD downturn</t>
  </si>
  <si>
    <t>SESSION_ID</t>
  </si>
  <si>
    <t>Дата валидности</t>
  </si>
  <si>
    <t>SESSION_NAME</t>
  </si>
  <si>
    <t>CP_GROUP_ORIG_ID</t>
  </si>
  <si>
    <t>Бизнес-ключ неунифицированной группы контрагента</t>
  </si>
  <si>
    <t>SRC_SYS_KEY</t>
  </si>
  <si>
    <t>Уникальный идентификатор группы из системы-источника</t>
  </si>
  <si>
    <t>SRC_SYS_ID</t>
  </si>
  <si>
    <t>Бизнес-ключ системы источника</t>
  </si>
  <si>
    <t>PYMNT_CAT_CD</t>
  </si>
  <si>
    <t>PYMNT_CAT_DSC</t>
  </si>
  <si>
    <t>PYMNT_CAT_ID</t>
  </si>
  <si>
    <t>INT_ORG_ID</t>
  </si>
  <si>
    <t>Бизнес-ключ подразделения</t>
  </si>
  <si>
    <t>Ключ в системе-источнике</t>
  </si>
  <si>
    <t>SRC_SYS_KEY_ID</t>
  </si>
  <si>
    <t>Числовой ключ в системе-источнике</t>
  </si>
  <si>
    <t>Бизнес-ключ системы-источника</t>
  </si>
  <si>
    <t>NACE_INDUSTRY_ID</t>
  </si>
  <si>
    <t>NACE_INDUSTRY_GROUP_CD</t>
  </si>
  <si>
    <t>Код группы индустрии</t>
  </si>
  <si>
    <t>NACE_INDUSTRY_CD</t>
  </si>
  <si>
    <t>Код индустрии по ISIC</t>
  </si>
  <si>
    <t>NACE_INDUSTRY_NM</t>
  </si>
  <si>
    <t>Наименование индустрии по ISIC</t>
  </si>
  <si>
    <t>UNDERW_PROCEDURE_CD</t>
  </si>
  <si>
    <t>UNDERW_PROCEDURE_DSC</t>
  </si>
  <si>
    <t>UNDERW_PROCEDURE_ID</t>
  </si>
  <si>
    <t>Бизнес-ключ регламента</t>
  </si>
  <si>
    <t>Идентификатор расчета витрины</t>
  </si>
  <si>
    <t>Бизнес-ключ унифицированного контрагента</t>
  </si>
  <si>
    <t>LGD_LONGRUN_PCT</t>
  </si>
  <si>
    <t>LGD_INDEFAULT_PCT</t>
  </si>
  <si>
    <t>COLLATERAL_TYPE_CD</t>
  </si>
  <si>
    <t>COLLATERAL_TYPE_NM</t>
  </si>
  <si>
    <t>PRIN_PM_SCHED_TYPE_ID</t>
  </si>
  <si>
    <t>RISK_FACTOR_ID</t>
  </si>
  <si>
    <t>CCF_TYPE_CD</t>
  </si>
  <si>
    <t>Код условного обязательства</t>
  </si>
  <si>
    <t>CCF_TYPE_DSC</t>
  </si>
  <si>
    <t>Описание условного обязательства</t>
  </si>
  <si>
    <t>CCF_SET_CD</t>
  </si>
  <si>
    <t>CCF_TYPE_NM</t>
  </si>
  <si>
    <t>Наименование условного обязательства</t>
  </si>
  <si>
    <t>ECAP_CCF_PCT</t>
  </si>
  <si>
    <t>Значение коэффициента кредитной конверсии для условного обязательства</t>
  </si>
  <si>
    <t>Комментарий</t>
  </si>
  <si>
    <t>Текстовое значение наименования модели пула</t>
  </si>
  <si>
    <t>IN_DEFAULT_FLG_IND</t>
  </si>
  <si>
    <t>ECAP_INDUSTRY_ID</t>
  </si>
  <si>
    <t>USE_ASSETS_FOR_SIZE_IND</t>
  </si>
  <si>
    <t>ECAP_INDUSTRY_CD</t>
  </si>
  <si>
    <t>Код индустрии для отражения в отчетах по ECAP</t>
  </si>
  <si>
    <t>ECAP_INDUSTRY_NM</t>
  </si>
  <si>
    <t>ECAP_INDUSTRY_REP_NM</t>
  </si>
  <si>
    <t>Наименовании индустрии для отчетов по ECAP, отображаемое в отчетах</t>
  </si>
  <si>
    <t>ECAP_INDUSTRY_ENG_NM</t>
  </si>
  <si>
    <t>Наименование индустрии на английском языке</t>
  </si>
  <si>
    <t>COLLATERAL_PRIORITY_CD</t>
  </si>
  <si>
    <t>COLLATERAL_PRIORITY_ID</t>
  </si>
  <si>
    <t>Бизнес-идентификатор приоритетности обеспечения</t>
  </si>
  <si>
    <t>CP_ORIG_ID</t>
  </si>
  <si>
    <t>Бизнес-ключ неунифицированного контрагента</t>
  </si>
  <si>
    <t>CP_UNIF_ID</t>
  </si>
  <si>
    <t>Уникальный идентификатор сессии загрузки</t>
  </si>
  <si>
    <t>CLAIM_ORIG_ID</t>
  </si>
  <si>
    <t>Бизнес-код сделки</t>
  </si>
  <si>
    <t>BALANCE_ITEM</t>
  </si>
  <si>
    <t>Статья баланса</t>
  </si>
  <si>
    <t>ISSUER_CP_ORIG_ID</t>
  </si>
  <si>
    <t>Бизнес-ключ эмитента</t>
  </si>
  <si>
    <t>LOAN_ENHANCEMENT_LEVEL</t>
  </si>
  <si>
    <t>Уровень кредита</t>
  </si>
  <si>
    <t>DILUTION_EXPECTED_LOSS_PCT</t>
  </si>
  <si>
    <t>Вероятные потери</t>
  </si>
  <si>
    <t>IN_DEFAULT_IND</t>
  </si>
  <si>
    <t>Флаг дефолта по сделке</t>
  </si>
  <si>
    <t>L100_BOUND_EQUITY_IND</t>
  </si>
  <si>
    <t>Флаг применения нижней границы для финансовых вложений в капитал</t>
  </si>
  <si>
    <t>LIMIT_TYPE</t>
  </si>
  <si>
    <t>Тип лимита</t>
  </si>
  <si>
    <t>LOCAL_EXP_CLASS</t>
  </si>
  <si>
    <t>Классификация сделки в рамках дочернего банка</t>
  </si>
  <si>
    <t>MATURITY_DT</t>
  </si>
  <si>
    <t>Дата погашения</t>
  </si>
  <si>
    <t>PROVISION_RUB_AMT</t>
  </si>
  <si>
    <t>Сумма резервов по сделке</t>
  </si>
  <si>
    <t>SECURITIZATION_POOL_ID</t>
  </si>
  <si>
    <t>Бизнес-ключ пула, включающего секьюритизационные обязательства</t>
  </si>
  <si>
    <t>THICKNESS_PCT</t>
  </si>
  <si>
    <t>Thickness</t>
  </si>
  <si>
    <t>RATING_GRADE</t>
  </si>
  <si>
    <t>CLAIM_ORIG_SK</t>
  </si>
  <si>
    <t>Суррогатный ключ сделки</t>
  </si>
  <si>
    <t>CURRENCY_ID</t>
  </si>
  <si>
    <t>Мастер-ключ валюты сделки в RDM</t>
  </si>
  <si>
    <t>IS_POOL_IND</t>
  </si>
  <si>
    <t>Признак, что пул, а не самостоятельная сделка</t>
  </si>
  <si>
    <t>CONTRACT_MIXED_ID</t>
  </si>
  <si>
    <t>Уникальный идентификатор сделки ДмиКР</t>
  </si>
  <si>
    <t>UNUSED_LIMIT_RUB_AMT</t>
  </si>
  <si>
    <t>Сумма неиспользованного лимита в руб.</t>
  </si>
  <si>
    <t>UNUSED_LIMIT_CCY_AMT</t>
  </si>
  <si>
    <t>Сумма неиспользованного лимита в валюте кредита</t>
  </si>
  <si>
    <t>IN_PAST_DUE_IND</t>
  </si>
  <si>
    <t>Флаг просрочки по сделке</t>
  </si>
  <si>
    <t>INCEPTION_DT</t>
  </si>
  <si>
    <t>Дата заключения сделки</t>
  </si>
  <si>
    <t>MIN_MATURITY_IND</t>
  </si>
  <si>
    <t>Флаг применения границы в один день для срока погашения</t>
  </si>
  <si>
    <t>PAST_DUE_DAYS_CNT</t>
  </si>
  <si>
    <t>Число дней просрочки</t>
  </si>
  <si>
    <t>CONTRACT_SIGNATURE_DT</t>
  </si>
  <si>
    <t>Дата подписания контракта</t>
  </si>
  <si>
    <t>FLOATING_RATE_IND</t>
  </si>
  <si>
    <t>Флаг плавающей ставки по договору</t>
  </si>
  <si>
    <t>FLOATING_RATE_MULTIPLIER</t>
  </si>
  <si>
    <t>Мультипликатор плавающей ставки</t>
  </si>
  <si>
    <t>FLOATING_RATE_MARGIN_PCT</t>
  </si>
  <si>
    <t>Процентная ставка в рамках плавающей ставки</t>
  </si>
  <si>
    <t>Бизнес-ключ типа плавающей ставки</t>
  </si>
  <si>
    <t>LOAN_QUALITY_CATEGORY</t>
  </si>
  <si>
    <t>Категория качества долга</t>
  </si>
  <si>
    <t>LOAN_SERVICE_CONDITIONS</t>
  </si>
  <si>
    <t>Категория обслуживания долга</t>
  </si>
  <si>
    <t>LOAN_RESTRUCTURED_IND</t>
  </si>
  <si>
    <t>Флаг реструктуризации долга</t>
  </si>
  <si>
    <t>RATING_GRADE_CHANGED_IND</t>
  </si>
  <si>
    <t>PROVISION_CCY_AMT</t>
  </si>
  <si>
    <t>Сумма резервов по сделке в валюте</t>
  </si>
  <si>
    <t>IFRS_PROVISION_CCY_AMT</t>
  </si>
  <si>
    <t>Сумма резервов по сделке в валюте по МСФО</t>
  </si>
  <si>
    <t>IFRS_PROVISION_RUB_AMT</t>
  </si>
  <si>
    <t>Сумма резервов по сделке в рублях по МСФО</t>
  </si>
  <si>
    <t>FIRST_PAST_DUE_DT</t>
  </si>
  <si>
    <t>Дата возникновения первой просрочки по договору (за весь срок договора с учетом реструктуризаций и пролонгаций)</t>
  </si>
  <si>
    <t>ACTUAL_RESERVE_RATE_PCT</t>
  </si>
  <si>
    <t>Эффективная ставка резервирования по договору</t>
  </si>
  <si>
    <t>RATING_GRADE_ESTABLISHED_DT</t>
  </si>
  <si>
    <t>F26_LOAN_PURPOSE_ID</t>
  </si>
  <si>
    <t>Ссылка на справочник Назначения бизнес-плана</t>
  </si>
  <si>
    <t>F26_LOAN_REGIME_ID</t>
  </si>
  <si>
    <t>Ссылка на справочник Типа режима кредитования</t>
  </si>
  <si>
    <t>F26_LOAN_TYPE_ID</t>
  </si>
  <si>
    <t>Ссылка на справочник Типа кредита по форме 2.6</t>
  </si>
  <si>
    <t>Ссылка на справочник Типа графика платежей по основному долгу</t>
  </si>
  <si>
    <t>F26_INT_PM_FREQ_ID</t>
  </si>
  <si>
    <t>Ссылка на справочник Типа частоты платежей по процентам</t>
  </si>
  <si>
    <t>POLICY_CD</t>
  </si>
  <si>
    <t>Бизнес-код регламента выдачи кредита (ДО)</t>
  </si>
  <si>
    <t>LOAN_EXTENDED_IND</t>
  </si>
  <si>
    <t>Флаг пролонгации договора</t>
  </si>
  <si>
    <t>LOAN_EXTENDED_CNT</t>
  </si>
  <si>
    <t>Число фактов увеличения срока по договору</t>
  </si>
  <si>
    <t>LOAN_RESTRUCTURED_CNT</t>
  </si>
  <si>
    <t>Дата изменения договора</t>
  </si>
  <si>
    <t>LOAN_LAST_RESTRUCTURED_DT</t>
  </si>
  <si>
    <t>Дата последней реструктуризации</t>
  </si>
  <si>
    <t>LOAN_LAST_EXTENDED_DT</t>
  </si>
  <si>
    <t>Дата последней пролонгации</t>
  </si>
  <si>
    <t>EQUITY_INV_TYPE_ID</t>
  </si>
  <si>
    <t>Бизнес-ключ типа финансового вложения</t>
  </si>
  <si>
    <t>PREV_RATING_GRADE</t>
  </si>
  <si>
    <t>Предыдущий рейтинг</t>
  </si>
  <si>
    <t>PREV_RATING_GRADE_ESTBL_DT</t>
  </si>
  <si>
    <t>DEAL_ID_IN_CRM</t>
  </si>
  <si>
    <t>BUSINESS_SEGMENT_ID</t>
  </si>
  <si>
    <t>Бизнес-ключ бизнес сегмента</t>
  </si>
  <si>
    <t>CALCULATED_RESERVE_RATE_PCT</t>
  </si>
  <si>
    <t>Расчетная ставка резервирования</t>
  </si>
  <si>
    <t>Бизнес-ключ неунифицированного подразделения или банка</t>
  </si>
  <si>
    <t>IN_PAST_DUE_FLG_IND</t>
  </si>
  <si>
    <t>Прямое соответствие значения флага просрочки от наименования модели пула</t>
  </si>
  <si>
    <t>Код индустрии для расчета экономического капитала</t>
  </si>
  <si>
    <t>Код индустрии для отображения в отчете при расчете ECAP</t>
  </si>
  <si>
    <t>Бизнес-ключ требования</t>
  </si>
  <si>
    <t>LGD_DOWNTURN_PCT</t>
  </si>
  <si>
    <t>PD_PIT_PCT</t>
  </si>
  <si>
    <t>Индикатор пула</t>
  </si>
  <si>
    <t>Количество дней просрочки</t>
  </si>
  <si>
    <t>Дата определения рейтинга</t>
  </si>
  <si>
    <t>Бизнес-ключ класса актива</t>
  </si>
  <si>
    <t>REG_LGD_PCT</t>
  </si>
  <si>
    <t>Регуляторный LGD</t>
  </si>
  <si>
    <t>REG_PD_PCT</t>
  </si>
  <si>
    <t>Регуляторный PD</t>
  </si>
  <si>
    <t>Дата определения предыдущего рейтинга</t>
  </si>
  <si>
    <t>CP_UNIF_SK</t>
  </si>
  <si>
    <t>Идентификатор workflow</t>
  </si>
  <si>
    <t>PM_FREQ_CD</t>
  </si>
  <si>
    <t>PM_FREQ_NM</t>
  </si>
  <si>
    <t>ANNUAL_SALES_RUB_AMT</t>
  </si>
  <si>
    <t>CP_MIXED_ID</t>
  </si>
  <si>
    <t>CP_NM</t>
  </si>
  <si>
    <t>Наименование контрагента</t>
  </si>
  <si>
    <t>TOTAL_ASSETS_RUB_AMT</t>
  </si>
  <si>
    <t>STOCK_EXCHANGE_TRADING_IND</t>
  </si>
  <si>
    <t>CBRF_IND</t>
  </si>
  <si>
    <t>COUNTRY_ID</t>
  </si>
  <si>
    <t>Бизнес-ключ страны</t>
  </si>
  <si>
    <t>EFF_COUNTRY_ID</t>
  </si>
  <si>
    <t>CP_LIMIT_CURRENCY_ID</t>
  </si>
  <si>
    <t>Бизнес-ключ группы контрагента</t>
  </si>
  <si>
    <t>CP_RELATION_TYPE_ID</t>
  </si>
  <si>
    <t>Бизнес-ключ индустрии для отображения в отчетах по расчету экономического капитала</t>
  </si>
  <si>
    <t>CP_FIN_POS_ID</t>
  </si>
  <si>
    <t>EFF_CITY</t>
  </si>
  <si>
    <t>Эффективный город размещения контрагента</t>
  </si>
  <si>
    <t>CP_ID_IN_CRM</t>
  </si>
  <si>
    <t>CRM ID</t>
  </si>
  <si>
    <t>CP_INN_VALID_IND</t>
  </si>
  <si>
    <t>Расчетный индикатор валидности ИНН</t>
  </si>
  <si>
    <t>CP_KPP</t>
  </si>
  <si>
    <t>КПП контрагента</t>
  </si>
  <si>
    <t>SBER_AFFILIATION_IND</t>
  </si>
  <si>
    <t>Индикатор аффилированности к СБ РФ</t>
  </si>
  <si>
    <t>OWNERSHIP_TYPE</t>
  </si>
  <si>
    <t>Тип организационно-правовой формы</t>
  </si>
  <si>
    <t>CP_LIMIT_CCY_AMT</t>
  </si>
  <si>
    <t>CP_LIMIT_ESTABLISHED_DT</t>
  </si>
  <si>
    <t>CP_LIMIT_EXPIRATION_DT</t>
  </si>
  <si>
    <t>Бизнес-ключ индустрии по классификации NACE</t>
  </si>
  <si>
    <t>Индикатор необходимости использования размера активов для определения размера контрагента</t>
  </si>
  <si>
    <t>BASEL3_ADJ_IND</t>
  </si>
  <si>
    <t>Флаг применения коэффициента по Базель III</t>
  </si>
  <si>
    <t>RETAIL_POOL_IND</t>
  </si>
  <si>
    <t>SMB_IND</t>
  </si>
  <si>
    <t>PREV_RATING_GRADE_ESTB_DT</t>
  </si>
  <si>
    <t>CRM_SEGMENT_NM</t>
  </si>
  <si>
    <t>REGLTRY_CP_TYPE_CD</t>
  </si>
  <si>
    <t>Сопоставимый регуляторный тип контрагента</t>
  </si>
  <si>
    <t>REGLTRY_CP_TYPE_NM</t>
  </si>
  <si>
    <t>Описание класса</t>
  </si>
  <si>
    <t>REGLTRY_CP_TYPE_REP_NM</t>
  </si>
  <si>
    <t>Описание класса для отчетов</t>
  </si>
  <si>
    <t>CP_CLASS_NM</t>
  </si>
  <si>
    <t>Техническое наименование класса</t>
  </si>
  <si>
    <t>CP_CLASS_REP_NM</t>
  </si>
  <si>
    <t>Наименование класса для отображения в отчетах</t>
  </si>
  <si>
    <t>CP_SUBCLASS_NM</t>
  </si>
  <si>
    <t>Субкласс контрагента</t>
  </si>
  <si>
    <t>CP_SUBCLASS_REP_NM</t>
  </si>
  <si>
    <t>Наименование субкласса для отражения в отчетах</t>
  </si>
  <si>
    <t>BASELI_CP_CD</t>
  </si>
  <si>
    <t>Классификация в соответствии с Базельским соглашением</t>
  </si>
  <si>
    <t>REGLTRY_CP_TYPE_DSC</t>
  </si>
  <si>
    <t>LOAN_PURPOSE_CD</t>
  </si>
  <si>
    <t>LOAN_PURPOSE_NM</t>
  </si>
  <si>
    <t>EQUITY_INV_TYPE_CD</t>
  </si>
  <si>
    <t>Код типа финансового вложения</t>
  </si>
  <si>
    <t>EQUITY_INV_TYPE_NM</t>
  </si>
  <si>
    <t>Наименование типа финансового вложения</t>
  </si>
  <si>
    <t>EQUITY_INV_TYPE_REP_NM</t>
  </si>
  <si>
    <t>Наименование типа финансового вложения для отчетов</t>
  </si>
  <si>
    <t>EQUITY_INV_TYPE_DSC</t>
  </si>
  <si>
    <t>Бизнес-ключ обеспечения</t>
  </si>
  <si>
    <t>Бизнес-ключ приоритета обеспечения</t>
  </si>
  <si>
    <t>SOURCE_OFFBALANCE_TYPE</t>
  </si>
  <si>
    <t>Тип внебалансового обязательства</t>
  </si>
  <si>
    <t>CASHFLOW_DT</t>
  </si>
  <si>
    <t>CASHFLOW_RUB_AMT</t>
  </si>
  <si>
    <t>CASHFLOW_NUM</t>
  </si>
  <si>
    <t>PARENT_CLAIM_ORIG_ID</t>
  </si>
  <si>
    <t>Бизнес-ключ родительской сделки</t>
  </si>
  <si>
    <t>CHILD_CLAIM_ORIG_ID</t>
  </si>
  <si>
    <t>Ссылка на дочернее требование</t>
  </si>
  <si>
    <t>CLAIM_REL_TYPE</t>
  </si>
  <si>
    <t>Тип отношения между сделками</t>
  </si>
  <si>
    <t>LOAN_TYPE_CD</t>
  </si>
  <si>
    <t>LOAN_TYPE_NM</t>
  </si>
  <si>
    <t>SOURCE_EFFECTIVE_MATURITY</t>
  </si>
  <si>
    <t>Эффективный срок погашения</t>
  </si>
  <si>
    <t>CONFIG_SET_CD</t>
  </si>
  <si>
    <t>Код конфигурационного набора</t>
  </si>
  <si>
    <t>RISK_FACTOR_NM</t>
  </si>
  <si>
    <t>Наименование риск-фактора</t>
  </si>
  <si>
    <t>RISK_FACTOR_REP_NM</t>
  </si>
  <si>
    <t>Наименование риск-фактора для отчетов</t>
  </si>
  <si>
    <t>RISK_FACTOR_MEAN</t>
  </si>
  <si>
    <t>Среднее значение риск-фактора</t>
  </si>
  <si>
    <t>RISK_FACTOR_STD_DEV</t>
  </si>
  <si>
    <t>Стандартное отклонение риск-фактора</t>
  </si>
  <si>
    <t>COLL_FACTOR_IND</t>
  </si>
  <si>
    <t>COLL_WT</t>
  </si>
  <si>
    <t>IMP_SAMPLE_MEAN_SHIFT</t>
  </si>
  <si>
    <t>RISK_FACTOR_ROLE_CD</t>
  </si>
  <si>
    <t>Роль риск-фактора</t>
  </si>
  <si>
    <t>RISK_FACTOR_MEASURE_TYPE_CD</t>
  </si>
  <si>
    <t>Тип измерения риск-фактора</t>
  </si>
  <si>
    <t>Бизнес-ключ риск-фактора</t>
  </si>
  <si>
    <t>Ключ неунифицированного обеспечения</t>
  </si>
  <si>
    <t>Ключ системы источника</t>
  </si>
  <si>
    <t>FIN_POS_CD</t>
  </si>
  <si>
    <t>FIN_POS_NM</t>
  </si>
  <si>
    <t>Эффективный срок до погашения</t>
  </si>
  <si>
    <t>Тип портфеля</t>
  </si>
  <si>
    <t>Рейтинг контрагента</t>
  </si>
  <si>
    <t>INT_ORG_HIER_SCEN_DSC</t>
  </si>
  <si>
    <t>INT_ORG_HIER_SCEN_ID</t>
  </si>
  <si>
    <t>Тип развития страны</t>
  </si>
  <si>
    <t>Тип стратегической значимости страны</t>
  </si>
  <si>
    <t>SOURCE_PORT_TYPE</t>
  </si>
  <si>
    <t>Прямое соответствие класса продукта</t>
  </si>
  <si>
    <t>SOURCE_MODEL</t>
  </si>
  <si>
    <t>SRC_SYS_DSC</t>
  </si>
  <si>
    <t>CP_GROUP_ORIG_SK</t>
  </si>
  <si>
    <t>Технический ключ неунифицированной группы контрагента</t>
  </si>
  <si>
    <t>CP_GROUP_NM</t>
  </si>
  <si>
    <t>Наименование группы контрагента</t>
  </si>
  <si>
    <t>CP_GROUP_TYPE</t>
  </si>
  <si>
    <t>Тип группы контрагента</t>
  </si>
  <si>
    <t>Мастер-ключ эффективной страны группы контрагента в RDM</t>
  </si>
  <si>
    <t>Мастер-ключ страны группы контрагента в RDM</t>
  </si>
  <si>
    <t>Наименование города</t>
  </si>
  <si>
    <t>Бизнес-ключ кода индустрии по NACE</t>
  </si>
  <si>
    <t>Тип правовой формы контрагента</t>
  </si>
  <si>
    <t>CP_GROUP_LIMIT_CCY_AMT</t>
  </si>
  <si>
    <t>Размер лимита группы контрагента в валюте</t>
  </si>
  <si>
    <t>CP_GROUP_LIMIT_ESTABLISHED_DT</t>
  </si>
  <si>
    <t>Дата утверждения лимита группы контрагента</t>
  </si>
  <si>
    <t>CP_GROUP_LIMIT_EXPIRATION_DT</t>
  </si>
  <si>
    <t>Дата закрытия лимита группы контрагента</t>
  </si>
  <si>
    <t>CP_GROUP_LIMIT_CURRENCY_ID</t>
  </si>
  <si>
    <t>Мастер-ключ валюты лимита в RDM</t>
  </si>
  <si>
    <t>ИНН из системы-источника или выгрузки</t>
  </si>
  <si>
    <t>CRM_ID из системы-источника или выгрузки</t>
  </si>
  <si>
    <t>SOURCE_FIN_CP_ID</t>
  </si>
  <si>
    <t>Идентификатор контрагента из выгрузки с финансовых рынков</t>
  </si>
  <si>
    <t>CBRF_FLAG_IND</t>
  </si>
  <si>
    <t>Прямое соответствие флага ЦБ РФ</t>
  </si>
  <si>
    <t>SOURCE_ECAP_INDUSTRY_ID</t>
  </si>
  <si>
    <t>SOURCE_INN</t>
  </si>
  <si>
    <t>LEVEL</t>
  </si>
  <si>
    <t>INT_ORG_CD</t>
  </si>
  <si>
    <t>PARENT_INT_ORG_ID</t>
  </si>
  <si>
    <t>Ключ бизнес-сегмента</t>
  </si>
  <si>
    <t>Бизнес-ключ оригинального контрагента</t>
  </si>
  <si>
    <t>Уникальный идентификатор контрагента из системы-источника</t>
  </si>
  <si>
    <t>Уникальный числовой идентификатор контрагента из системы-источника</t>
  </si>
  <si>
    <t>EAD_NOCCF_RUB_AMT</t>
  </si>
  <si>
    <t>EAD до применения CCF в рублях</t>
  </si>
  <si>
    <t>EAD_NOCCF_CCY_AMT</t>
  </si>
  <si>
    <t>EAD до применения CCF в валюте сделки</t>
  </si>
  <si>
    <t>EFF_MATURITY_YEAR</t>
  </si>
  <si>
    <t>Ссылка на договор/сделку/актив</t>
  </si>
  <si>
    <t>Бизнес-дата среза</t>
  </si>
  <si>
    <t>CLAIM_EXPOSURE_SK</t>
  </si>
  <si>
    <t>Суррогатный ключ технической истории по риску</t>
  </si>
  <si>
    <t>Ссылка на справочник типа риска СУККР Account/Instrument</t>
  </si>
  <si>
    <t>CCF_TYPE_ID</t>
  </si>
  <si>
    <t>PD_MODEL_RATING_GRADE</t>
  </si>
  <si>
    <t>INT_ORG_NM</t>
  </si>
  <si>
    <t>Наименование подразделения</t>
  </si>
  <si>
    <t>CITY</t>
  </si>
  <si>
    <t>Город</t>
  </si>
  <si>
    <t>Ключ неунифицированного контрагента</t>
  </si>
  <si>
    <t>Годовые продажи контрагента</t>
  </si>
  <si>
    <t>Иной помимо предусмотренных уникальный идентификатор контрагента</t>
  </si>
  <si>
    <t>Общие активы контрагента</t>
  </si>
  <si>
    <t>PD through the cycle контрагента</t>
  </si>
  <si>
    <t>PD Point In Time контрагента</t>
  </si>
  <si>
    <t>Флаг котируемости контрагента на фондовой бирже</t>
  </si>
  <si>
    <t>Флаг дефолта контрагента</t>
  </si>
  <si>
    <t>Флаг Центрального Банка РФ</t>
  </si>
  <si>
    <t>Мастер-ключ страны контрагента в RDM</t>
  </si>
  <si>
    <t>Мастер-ключ текущей страны контрагента в RDM</t>
  </si>
  <si>
    <t>Мастер-ключ валюты отчетности в RDM</t>
  </si>
  <si>
    <t>Ссылка на справочник типов взаимоотношения с контрагентом</t>
  </si>
  <si>
    <t>Бизнес-ключ индустрии, применяемой для параметризации при расчете экономического капитала</t>
  </si>
  <si>
    <t>Ссылка на справочник финансового положения контрагента</t>
  </si>
  <si>
    <t>CRM id контрагента</t>
  </si>
  <si>
    <t>Индикатор валидности ИНН</t>
  </si>
  <si>
    <t>Аффилированность к СБ РФ</t>
  </si>
  <si>
    <t>Размер лимита контрагента в валюте</t>
  </si>
  <si>
    <t>Дата утверждения лимита контрагента</t>
  </si>
  <si>
    <t>Дата закрытия лимита контрагента</t>
  </si>
  <si>
    <t>Бизнес-ключ кода индустрии по ISIC</t>
  </si>
  <si>
    <t>Дата расчета рейтинга контрагента</t>
  </si>
  <si>
    <t>Индикатор использования активов для определения размера компании</t>
  </si>
  <si>
    <t>N/A</t>
  </si>
  <si>
    <t>Флаг фиктивного контрагента для розничного пула</t>
  </si>
  <si>
    <t>Классификация, используемая дочерними банками 1</t>
  </si>
  <si>
    <t>Классификация, используемая дочерними банками 2</t>
  </si>
  <si>
    <t>Количество дней задержки по обязательствам контрагента</t>
  </si>
  <si>
    <t>Признак СМП из ф.2.6</t>
  </si>
  <si>
    <t>Бизнес-ключ сделки</t>
  </si>
  <si>
    <t>Уникальный числовой идентификатор из системе-источника</t>
  </si>
  <si>
    <t>COUNTRY_CD</t>
  </si>
  <si>
    <t>COUNTRY_NM</t>
  </si>
  <si>
    <t>REGLTRY_PRODUCT_TYPE_CD</t>
  </si>
  <si>
    <t>REGLTRY_PRODUCT_TYPE_DSC</t>
  </si>
  <si>
    <t>REGLTRY_PRODUCT_TYPE_REP_DSC</t>
  </si>
  <si>
    <t>STD_PRODUCT_CLASS_NM</t>
  </si>
  <si>
    <t>STD_PRODUCT_SUBCLASS_NM</t>
  </si>
  <si>
    <t>IRB_PRODUCT_CLASS_NM</t>
  </si>
  <si>
    <t>IRB_PRODUCT_CLASS_REP_NM</t>
  </si>
  <si>
    <t>IRB_PRODUCT_SUBCLASS_NM</t>
  </si>
  <si>
    <t>IRB_PRODUCT_SUBCLASS_REP_NM</t>
  </si>
  <si>
    <t>CURRENCY_ISO_CD</t>
  </si>
  <si>
    <t>CURRENCY_DSC</t>
  </si>
  <si>
    <t>CURRENCY_ISO_NUM</t>
  </si>
  <si>
    <t>SETTING_NM</t>
  </si>
  <si>
    <t>SETTING_DSC</t>
  </si>
  <si>
    <t>PARAMETER_VALUE</t>
  </si>
  <si>
    <t>VERSION</t>
  </si>
  <si>
    <t>X_COUNTERPARTY_TYPE_REP_NM</t>
  </si>
  <si>
    <t>CP_TYPE_DSC</t>
  </si>
  <si>
    <t>Текстовое значение продукта в выгрузке по розничным пулам</t>
  </si>
  <si>
    <t>Прямое сопоставление класса контрагента с текстовым значением продукта в выгрузке</t>
  </si>
  <si>
    <t>Прямое сопоставление класса контрагента для расчета экономического капитала с текстовым значением продукта в выгрузке</t>
  </si>
  <si>
    <t>ENTITY_SYSTEM_CD</t>
  </si>
  <si>
    <t>Код корневого элемента организационной иерархии</t>
  </si>
  <si>
    <t>BUSINESS_ENTITY_DSC</t>
  </si>
  <si>
    <t>Описание организационной сущности</t>
  </si>
  <si>
    <t>INTERNAL_ORG_ORIG_ID</t>
  </si>
  <si>
    <t>Ссылка на соответствующую сущность в структуре INTERNAL_ORG</t>
  </si>
  <si>
    <t>ENTITY_ID</t>
  </si>
  <si>
    <t>ECAP_SEGMENT_CD</t>
  </si>
  <si>
    <t>ECAP_SEGMENT_NM</t>
  </si>
  <si>
    <t>Наименование сегмента для расчета ECAP</t>
  </si>
  <si>
    <t>ECAP_SEGMENT_REP_NM</t>
  </si>
  <si>
    <t>Наименование сегмента для расчета ECAP в отчетах</t>
  </si>
  <si>
    <t>Наименование сущности, для которой актуальна сегментация</t>
  </si>
  <si>
    <t>ECAP_SEGMENT_DSC</t>
  </si>
  <si>
    <t>CP_RELATION_TYPE_CD</t>
  </si>
  <si>
    <t>CP_RELATION_TYPE_NM</t>
  </si>
  <si>
    <t>CP_RELATION_TYPE_DSC</t>
  </si>
  <si>
    <t>CP_RELATION_TYPE_REP_DSC</t>
  </si>
  <si>
    <t>Технический ключ унифицированного контрагента</t>
  </si>
  <si>
    <t>PD контрагента</t>
  </si>
  <si>
    <t>Мастер-ключ эффективной страны контрагента в RDM</t>
  </si>
  <si>
    <t>Бизнес-ключ наименования финансового положения контрагента</t>
  </si>
  <si>
    <t>Бизнес-ключ взаимоотношений с контрагентом</t>
  </si>
  <si>
    <t>Классификация контрагента в рамках дочерней организации (первый уровень)</t>
  </si>
  <si>
    <t>Прямое сопоставление регуляторного кода продукта с текстовым значением продукта в выгрузке</t>
  </si>
  <si>
    <t>Прямое сопоставление класса продукта x_map_rep_class с текстовым значением продукта в выгрузке</t>
  </si>
  <si>
    <t>Ключ страны в RDM</t>
  </si>
  <si>
    <t>COUNTRY_REP_NM</t>
  </si>
  <si>
    <t>Наименование страны для отчетов</t>
  </si>
  <si>
    <t>SUBCLASS_REP_NM</t>
  </si>
  <si>
    <t>Наименование субкласса для отчетов</t>
  </si>
  <si>
    <t xml:space="preserve">CHAR(3) </t>
  </si>
  <si>
    <t>DECIMAL(19, 2)</t>
  </si>
  <si>
    <t xml:space="preserve">VARCHAR(4000) </t>
  </si>
  <si>
    <t xml:space="preserve">VARCHAR(40) </t>
  </si>
  <si>
    <t>DECIMAL(20, 6)</t>
  </si>
  <si>
    <t xml:space="preserve">VARCHAR(1000) </t>
  </si>
  <si>
    <t>TIMESTAMP(6)</t>
  </si>
  <si>
    <t xml:space="preserve">VARCHAR(300) </t>
  </si>
  <si>
    <t xml:space="preserve">CHAR(1) </t>
  </si>
  <si>
    <t>-- Строка: 124</t>
  </si>
  <si>
    <t>-- Строка: 125</t>
  </si>
  <si>
    <t>-- Строка: 126</t>
  </si>
  <si>
    <t>-- Справочник: D_MAP_FIN2I_REG_PROD_CD</t>
  </si>
  <si>
    <t>Метаданные ERM</t>
  </si>
  <si>
    <t>BLOB</t>
  </si>
  <si>
    <t>REPLACE VIEW %SCHEMA%%DICT_CODE%_V AS
 LOCKING TABLE %SCHEMA_VD%%DICT_CODE% FOR ACCESS
 SELECT %FIELD_LIST% FROM %SCHEMA_VD%%DICT_CODE%;</t>
  </si>
  <si>
    <t>-- Строка: 93</t>
  </si>
  <si>
    <t>-- Строка: 94</t>
  </si>
  <si>
    <t>-- Строка: 95</t>
  </si>
  <si>
    <t>-- Строка: 96</t>
  </si>
  <si>
    <t>-- Строка: 97</t>
  </si>
  <si>
    <t>-- Строка: 98</t>
  </si>
  <si>
    <t>-- Строка: 99</t>
  </si>
  <si>
    <t>-- Строка: 100</t>
  </si>
  <si>
    <t>-- Строка: 101</t>
  </si>
  <si>
    <t>-- Строка: 102</t>
  </si>
  <si>
    <t>-- Строка: 103</t>
  </si>
  <si>
    <t>-- Строка: 104</t>
  </si>
  <si>
    <t>-- Строка: 105</t>
  </si>
  <si>
    <t>-- Строка: 106</t>
  </si>
  <si>
    <t>-- Строка: 107</t>
  </si>
  <si>
    <t>-- Строка: 108</t>
  </si>
  <si>
    <t>-- Строка: 109</t>
  </si>
  <si>
    <t>-- Строка: 110</t>
  </si>
  <si>
    <t>-- Строка: 111</t>
  </si>
  <si>
    <t>-- Строка: 112</t>
  </si>
  <si>
    <t>-- Строка: 113</t>
  </si>
  <si>
    <t>-- Строка: 114</t>
  </si>
  <si>
    <t>-- Строка: 115</t>
  </si>
  <si>
    <t>-- Строка: 116</t>
  </si>
  <si>
    <t>-- Строка: 117</t>
  </si>
  <si>
    <t>-- Строка: 118</t>
  </si>
  <si>
    <t>-- Строка: 119</t>
  </si>
  <si>
    <t>-- Строка: 120</t>
  </si>
  <si>
    <t>-- Строка: 121</t>
  </si>
  <si>
    <t>-- Строка: 122</t>
  </si>
  <si>
    <t>-- Справочник: D_INT_ORG_ASSOC_BTH</t>
  </si>
  <si>
    <t>-- Строка: 123</t>
  </si>
  <si>
    <t>V</t>
  </si>
  <si>
    <t>Z</t>
  </si>
  <si>
    <t>MSG4</t>
  </si>
  <si>
    <t>SESSION_NM</t>
  </si>
  <si>
    <t>MSG2</t>
  </si>
  <si>
    <t>WORKFLOW_ID</t>
  </si>
  <si>
    <t>TARGET_TABLE_NM</t>
  </si>
  <si>
    <t>MSG5</t>
  </si>
  <si>
    <t>MSG3</t>
  </si>
  <si>
    <t>MSG1</t>
  </si>
  <si>
    <t>WORKFLOW_NM</t>
  </si>
  <si>
    <t>CALC_ID</t>
  </si>
  <si>
    <t>db_erm.erm_log_ipc</t>
  </si>
  <si>
    <t>db_erm.erm_log_td</t>
  </si>
  <si>
    <t>VIEW</t>
  </si>
  <si>
    <t>db_erm.erm_log_v</t>
  </si>
  <si>
    <t>DELETE FROM %schema%.USR;
INSERT INTO %schema%.USR (USR_ID, LOGIN, NM, DESCR, START_DT, END_DT, PASSWD) VALUES (0,'admin','Администратор',NULL,CAST('1900-01-01'AS DATE FORMAT 'YYYY-MM-DD'),CAST('9999-12-31'AS DATE FORMAT 'YYYY-MM-DD'),'3a50b6fe40c1be38b20cd6e46949a1');</t>
  </si>
  <si>
    <t>-- Строка: 92</t>
  </si>
  <si>
    <t>ERM_LOG_TD</t>
  </si>
  <si>
    <t>ERM_LOG_IPC</t>
  </si>
  <si>
    <t>ERM_LOG_TD_Z</t>
  </si>
  <si>
    <t>ERM_LOG_IPC_Z</t>
  </si>
  <si>
    <t>ERM_LOG_V</t>
  </si>
  <si>
    <t>ERM_LOG_V_Z</t>
  </si>
  <si>
    <t>Создание таблиц/представлений</t>
  </si>
  <si>
    <t>Вставка данных</t>
  </si>
  <si>
    <t>Удаление</t>
  </si>
  <si>
    <t>Наименование атрибута</t>
  </si>
  <si>
    <t xml:space="preserve">Наименование группы доступа
</t>
  </si>
  <si>
    <t>Наименование группы доступа</t>
  </si>
  <si>
    <t>Наименование группы пользователей</t>
  </si>
  <si>
    <t>Наименование пользователя</t>
  </si>
  <si>
    <t>Наименование роли</t>
  </si>
  <si>
    <t>Название роли</t>
  </si>
  <si>
    <t>Наименование привилегии</t>
  </si>
  <si>
    <t>-- Строка: 2</t>
  </si>
  <si>
    <t>-- Строка: 3</t>
  </si>
  <si>
    <t>-- Строка: 4</t>
  </si>
  <si>
    <t>-- Строка: 5</t>
  </si>
  <si>
    <t>-- Строка: 7</t>
  </si>
  <si>
    <t>-- Строка: 8</t>
  </si>
  <si>
    <t>-- Строка: 9</t>
  </si>
  <si>
    <t>-- Строка: 10</t>
  </si>
  <si>
    <t>-- Справочник: D_RCAP_CALC_SESSIONS</t>
  </si>
  <si>
    <t>-- Строка: 11</t>
  </si>
  <si>
    <t>-- Строка: 13</t>
  </si>
  <si>
    <t>-- Строка: 14</t>
  </si>
  <si>
    <t>-- Строка: 15</t>
  </si>
  <si>
    <t>-- Строка: 16</t>
  </si>
  <si>
    <t>-- Строка: 17</t>
  </si>
  <si>
    <t>-- Строка: 18</t>
  </si>
  <si>
    <t>-- Строка: 19</t>
  </si>
  <si>
    <t>-- Строка: 20</t>
  </si>
  <si>
    <t>-- Строка: 21</t>
  </si>
  <si>
    <t>-- Строка: 23</t>
  </si>
  <si>
    <t>-- Строка: 24</t>
  </si>
  <si>
    <t>-- Строка: 25</t>
  </si>
  <si>
    <t>-- Строка: 26</t>
  </si>
  <si>
    <t>-- Строка: 27</t>
  </si>
  <si>
    <t>-- Строка: 28</t>
  </si>
  <si>
    <t>-- Строка: 29</t>
  </si>
  <si>
    <t>-- Строка: 30</t>
  </si>
  <si>
    <t>-- Строка: 31</t>
  </si>
  <si>
    <t>-- Строка: 33</t>
  </si>
  <si>
    <t>-- Строка: 34</t>
  </si>
  <si>
    <t>-- Строка: 35</t>
  </si>
  <si>
    <t>-- Строка: 37</t>
  </si>
  <si>
    <t>-- Строка: 38</t>
  </si>
  <si>
    <t>-- Строка: 39</t>
  </si>
  <si>
    <t>-- Строка: 40</t>
  </si>
  <si>
    <t>-- Строка: 41</t>
  </si>
  <si>
    <t>-- Строка: 42</t>
  </si>
  <si>
    <t>-- Строка: 43</t>
  </si>
  <si>
    <t>-- Строка: 44</t>
  </si>
  <si>
    <t>-- Строка: 45</t>
  </si>
  <si>
    <t>-- Строка: 46</t>
  </si>
  <si>
    <t>-- Строка: 47</t>
  </si>
  <si>
    <t>-- Строка: 48</t>
  </si>
  <si>
    <t>-- Строка: 49</t>
  </si>
  <si>
    <t>-- Строка: 50</t>
  </si>
  <si>
    <t>-- Строка: 51</t>
  </si>
  <si>
    <t>-- Строка: 52</t>
  </si>
  <si>
    <t>-- Строка: 53</t>
  </si>
  <si>
    <t>-- Строка: 54</t>
  </si>
  <si>
    <t>-- Строка: 55</t>
  </si>
  <si>
    <t>-- Строка: 56</t>
  </si>
  <si>
    <t>-- Строка: 57</t>
  </si>
  <si>
    <t>-- Строка: 58</t>
  </si>
  <si>
    <t>-- Строка: 59</t>
  </si>
  <si>
    <t>-- Строка: 60</t>
  </si>
  <si>
    <t>-- Строка: 61</t>
  </si>
  <si>
    <t>-- Строка: 62</t>
  </si>
  <si>
    <t>-- Строка: 63</t>
  </si>
  <si>
    <t>-- Строка: 64</t>
  </si>
  <si>
    <t>-- Строка: 65</t>
  </si>
  <si>
    <t>-- Справочник: D_SA_SESSIONS</t>
  </si>
  <si>
    <t>-- Строка: 66</t>
  </si>
  <si>
    <t>-- Строка: 67</t>
  </si>
  <si>
    <t>-- Строка: 68</t>
  </si>
  <si>
    <t>-- Строка: 69</t>
  </si>
  <si>
    <t>-- Строка: 70</t>
  </si>
  <si>
    <t>-- Строка: 71</t>
  </si>
  <si>
    <t>-- Строка: 72</t>
  </si>
  <si>
    <t>-- Строка: 73</t>
  </si>
  <si>
    <t>-- Строка: 74</t>
  </si>
  <si>
    <t>-- Строка: 75</t>
  </si>
  <si>
    <t>-- Строка: 76</t>
  </si>
  <si>
    <t>-- Строка: 77</t>
  </si>
  <si>
    <t>-- Строка: 78</t>
  </si>
  <si>
    <t>-- Строка: 79</t>
  </si>
  <si>
    <t>-- Строка: 80</t>
  </si>
  <si>
    <t>-- Строка: 81</t>
  </si>
  <si>
    <t>-- Строка: 82</t>
  </si>
  <si>
    <t>-- Строка: 83</t>
  </si>
  <si>
    <t>-- Строка: 85</t>
  </si>
  <si>
    <t>-- Строка: 86</t>
  </si>
  <si>
    <t>-- Строка: 87</t>
  </si>
  <si>
    <t>-- Строка: 88</t>
  </si>
  <si>
    <t>-- Строка: 89</t>
  </si>
  <si>
    <t>-- Строка: 90</t>
  </si>
  <si>
    <t>-- Строка: 91</t>
  </si>
  <si>
    <t>INSERT</t>
  </si>
  <si>
    <t>Генерация скрипта для справочников</t>
  </si>
  <si>
    <t>Security</t>
  </si>
  <si>
    <t>View</t>
  </si>
  <si>
    <t>ETL</t>
  </si>
  <si>
    <t>-- Строка: 1</t>
  </si>
  <si>
    <t>-- Строка: 6</t>
  </si>
  <si>
    <t>-- Строка: 12</t>
  </si>
  <si>
    <t>-- Строка: 22</t>
  </si>
  <si>
    <t>-- Строка: 32</t>
  </si>
  <si>
    <t>-- Строка: 36</t>
  </si>
  <si>
    <t>-- Строка: 84</t>
  </si>
  <si>
    <t>-- Строка: 127</t>
  </si>
  <si>
    <t>-- Строка: 128</t>
  </si>
  <si>
    <t>-- Строка: 129</t>
  </si>
  <si>
    <t>-- Строка: 130</t>
  </si>
  <si>
    <t>-- Строка: 131</t>
  </si>
  <si>
    <t>-- Строка: 132</t>
  </si>
  <si>
    <t>-- Строка: 133</t>
  </si>
  <si>
    <t>-- Строка: 134</t>
  </si>
  <si>
    <t>-- Строка: 135</t>
  </si>
  <si>
    <t>-- Строка: 136</t>
  </si>
  <si>
    <t>-- Строка: 137</t>
  </si>
  <si>
    <t>-- Строка: 138</t>
  </si>
  <si>
    <t>-- Строка: 139</t>
  </si>
  <si>
    <t>-- Строка: 140</t>
  </si>
  <si>
    <t>-- Строка: 141</t>
  </si>
  <si>
    <t>-- Строка: 142</t>
  </si>
  <si>
    <t>-- Строка: 143</t>
  </si>
  <si>
    <t>-- Строка: 144</t>
  </si>
  <si>
    <t>-- Строка: 145</t>
  </si>
  <si>
    <t>-- Строка: 146</t>
  </si>
  <si>
    <t>-- Строка: 147</t>
  </si>
  <si>
    <t>-- Строка: 148</t>
  </si>
  <si>
    <t>-- Строка: 149</t>
  </si>
  <si>
    <t>-- Строка: 150</t>
  </si>
  <si>
    <t>-- Строка: 151</t>
  </si>
  <si>
    <t xml:space="preserve">
-- Очистка таблиц безопасности
/* DELETE FROM %schema%.SEC_GRP_TAB_ATTR;
DELETE FROM %schema%.TAB_SEC_GRP;
DELETE FROM %schema%.USR_GRP_SEC_GRP;
DELETE FROM %schema%.USR_USR_GRP;
DELETE FROM %schema%.SEC_ROLES_PRIV;
DELETE FROM %schema%.SEC_GRP;
DELETE FROM %schema%.SEC_ROLE;
DELETE FROM %schema%.USR_GRP;
DELETE FROM %schema%.SEC_PRIV;
DELETE FROM %schema%.USR;
*/</t>
  </si>
  <si>
    <t>-- Вставка данных в JOIN_LIST</t>
  </si>
  <si>
    <t>-- Вставка данных в JOIN_ATTR</t>
  </si>
  <si>
    <t>-- Вставка данных в UNION_LIST</t>
  </si>
  <si>
    <t>-- Вставка данных в JOIN_STRUCT</t>
  </si>
  <si>
    <t xml:space="preserve">
-- Очистка VIEW
/*
DELETE FROM %schema%.JOIN_ATTR;
DELETE FROM %schema%.JOIN_STRUCT;
DELETE FROM %schema%.JOIN_LIST;
DELETE FROM %schema%.UNION_LIST;
*/
</t>
  </si>
  <si>
    <t>-- Вставка данных в ETL_PROC</t>
  </si>
  <si>
    <t>-- Вставка данных в ETL_PROC_PARAM</t>
  </si>
  <si>
    <t xml:space="preserve">
-- Очистка ETL
/*
DELETE FROM %schema%.ETL_PROC_PARAM;
DELETE FROM %schema%.ETL_PROC;
*/
</t>
  </si>
  <si>
    <t>ID коллекции
(COLLECTION_ID)</t>
  </si>
  <si>
    <t>Связанный атрибут
(DISP_ATTR_ID)</t>
  </si>
  <si>
    <t>Вставить данные
 в ERM_ATTR_COLLECTION?</t>
  </si>
  <si>
    <t>ERM_ATTR_COLLECTION</t>
  </si>
  <si>
    <t>Заполнить таблицы блоков:</t>
  </si>
  <si>
    <t>Заполнить таблицы метаданных</t>
  </si>
  <si>
    <t>-- Скрипт сформирован 04.02.2014 16:11:21</t>
  </si>
  <si>
    <t>insert into PRD50_DB_ERM.JOIN_LIST (J_ID, DESCR, TAB_CODE, sql_where) values (3, 'Соединение D_COUNTERPARTY_MART inner D_EXPOSURE_FACILITY', 'VIEW_1_3_INNER_JOIN', NULL);</t>
  </si>
  <si>
    <t>insert into PRD50_DB_ERM.JOIN_LIST (J_ID, DESCR, TAB_CODE, sql_where) values (1, 'Соединение D_COUNTERPARTY_MART left D_EXPOSURE_ACCOUNT ', 'VIEW_1_LEFT_JOIN', NULL);</t>
  </si>
  <si>
    <t>insert into PRD50_DB_ERM.JOIN_LIST (J_ID, DESCR, TAB_CODE, sql_where) values (4, 'Соединение D_COUNTERPARTY_MART left D_EXPOSURE_ACCOUNT left D_EXPOSURE_FACILITY', 'VIEW_2_LL_JOIN', NULL);</t>
  </si>
  <si>
    <t>insert into PRD50_DB_ERM.JOIN_LIST (J_ID, DESCR, TAB_CODE, sql_where) values (2, 'Соединение D_COUNTERPARTY_MART inner D_EXPOSURE_ACCOUNT', 'VIEW_1_INNER_JOIN', NULL);</t>
  </si>
  <si>
    <t>insert into PRD50_DB_ERM.JOIN_ATTR (J_ID, ATTR_ID, VISIBLE, ORD) values (3, 57, 'Y', 1);</t>
  </si>
  <si>
    <t>insert into PRD50_DB_ERM.JOIN_ATTR (J_ID, ATTR_ID, VISIBLE, ORD) values (3, 137, 'Y', 2);</t>
  </si>
  <si>
    <t>insert into PRD50_DB_ERM.JOIN_ATTR (J_ID, ATTR_ID, VISIBLE, ORD) values (3, 223, 'Y', 4);</t>
  </si>
  <si>
    <t>insert into PRD50_DB_ERM.JOIN_ATTR (J_ID, ATTR_ID, VISIBLE, ORD) values (3, 241, 'Y', 5);</t>
  </si>
  <si>
    <t>insert into PRD50_DB_ERM.JOIN_ATTR (J_ID, ATTR_ID, VISIBLE, ORD) values (3, 226, 'Y', 6);</t>
  </si>
  <si>
    <t>insert into PRD50_DB_ERM.JOIN_ATTR (J_ID, ATTR_ID, VISIBLE, ORD) values (3, 106, 'Y', 7);</t>
  </si>
  <si>
    <t>insert into PRD50_DB_ERM.JOIN_ATTR (J_ID, ATTR_ID, VISIBLE, ORD) values (3, 18, 'Y', 8);</t>
  </si>
  <si>
    <t>insert into PRD50_DB_ERM.JOIN_ATTR (J_ID, ATTR_ID, VISIBLE, ORD) values (1, 57, 'Y', 1);</t>
  </si>
  <si>
    <t>insert into PRD50_DB_ERM.JOIN_ATTR (J_ID, ATTR_ID, VISIBLE, ORD) values (1, 137, 'Y', 2);</t>
  </si>
  <si>
    <t>insert into PRD50_DB_ERM.JOIN_ATTR (J_ID, ATTR_ID, VISIBLE, ORD) values (1, 194, 'Y', 4);</t>
  </si>
  <si>
    <t>insert into PRD50_DB_ERM.JOIN_ATTR (J_ID, ATTR_ID, VISIBLE, ORD) values (1, 201, 'Y', 5);</t>
  </si>
  <si>
    <t>insert into PRD50_DB_ERM.JOIN_ATTR (J_ID, ATTR_ID, VISIBLE, ORD) values (1, 202, 'Y', 6);</t>
  </si>
  <si>
    <t>insert into PRD50_DB_ERM.JOIN_ATTR (J_ID, ATTR_ID, VISIBLE, ORD) values (1, 106, 'Y', 7);</t>
  </si>
  <si>
    <t>insert into PRD50_DB_ERM.JOIN_ATTR (J_ID, ATTR_ID, VISIBLE, ORD) values (1, 18, 'Y', 8);</t>
  </si>
  <si>
    <t>insert into PRD50_DB_ERM.JOIN_ATTR (J_ID, ATTR_ID, VISIBLE, ORD) values (4, 57, 'Y', 1);</t>
  </si>
  <si>
    <t>insert into PRD50_DB_ERM.JOIN_ATTR (J_ID, ATTR_ID, VISIBLE, ORD) values (4, 137, 'Y', 2);</t>
  </si>
  <si>
    <t>insert into PRD50_DB_ERM.JOIN_ATTR (J_ID, ATTR_ID, VISIBLE, ORD) values (4, 194, 'Y', 4);</t>
  </si>
  <si>
    <t>insert into PRD50_DB_ERM.JOIN_ATTR (J_ID, ATTR_ID, VISIBLE, ORD) values (4, 201, 'Y', 5);</t>
  </si>
  <si>
    <t>insert into PRD50_DB_ERM.JOIN_ATTR (J_ID, ATTR_ID, VISIBLE, ORD) values (4, 202, 'Y', 6);</t>
  </si>
  <si>
    <t>insert into PRD50_DB_ERM.JOIN_ATTR (J_ID, ATTR_ID, VISIBLE, ORD) values (4, 106, 'Y', 7);</t>
  </si>
  <si>
    <t>insert into PRD50_DB_ERM.JOIN_ATTR (J_ID, ATTR_ID, VISIBLE, ORD) values (4, 18, 'Y', 8);</t>
  </si>
  <si>
    <t>insert into PRD50_DB_ERM.JOIN_ATTR (J_ID, ATTR_ID, VISIBLE, ORD) values (4, 223, 'Y', 9);</t>
  </si>
  <si>
    <t>insert into PRD50_DB_ERM.JOIN_ATTR (J_ID, ATTR_ID, VISIBLE, ORD) values (4, 241, 'Y', 10);</t>
  </si>
  <si>
    <t>insert into PRD50_DB_ERM.JOIN_ATTR (J_ID, ATTR_ID, VISIBLE, ORD) values (4, 226, 'Y', 11);</t>
  </si>
  <si>
    <t>insert into PRD50_DB_ERM.JOIN_ATTR (J_ID, ATTR_ID, VISIBLE, ORD) values (4, 234, 'Y', 12);</t>
  </si>
  <si>
    <t>insert into PRD50_DB_ERM.JOIN_ATTR (J_ID, ATTR_ID, VISIBLE, ORD) values (2, 57, 'Y', 1);</t>
  </si>
  <si>
    <t>insert into PRD50_DB_ERM.JOIN_ATTR (J_ID, ATTR_ID, VISIBLE, ORD) values (2, 137, 'Y', 2);</t>
  </si>
  <si>
    <t>insert into PRD50_DB_ERM.JOIN_ATTR (J_ID, ATTR_ID, VISIBLE, ORD) values (2, 194, 'Y', 4);</t>
  </si>
  <si>
    <t>insert into PRD50_DB_ERM.JOIN_ATTR (J_ID, ATTR_ID, VISIBLE, ORD) values (2, 201, 'Y', 5);</t>
  </si>
  <si>
    <t>insert into PRD50_DB_ERM.JOIN_ATTR (J_ID, ATTR_ID, VISIBLE, ORD) values (2, 202, 'Y', 6);</t>
  </si>
  <si>
    <t>insert into PRD50_DB_ERM.JOIN_ATTR (J_ID, ATTR_ID, VISIBLE, ORD) values (2, 106, 'Y', 7);</t>
  </si>
  <si>
    <t>insert into PRD50_DB_ERM.JOIN_ATTR (J_ID, ATTR_ID, VISIBLE, ORD) values (2, 18, 'Y', 8);</t>
  </si>
  <si>
    <t>insert into PRD50_DB_ERM.UNION_LIST (UNION_TAB_CODE, UN_ORD, TAB_CODE) values ('VIEW_3U_II_JOIN ', 1, 'VIEW_1_INNER_JOIN');</t>
  </si>
  <si>
    <t>insert into PRD50_DB_ERM.UNION_LIST (UNION_TAB_CODE, UN_ORD, TAB_CODE) values ('VIEW_3U_II_JOIN ', 2, 'VIEW_1_3_INNER_JOIN');</t>
  </si>
  <si>
    <t>insert into PRD50_DB_ERM.JOIN_STRUCT (J_ID, GRP, ORD, SIGN, KEY_RIGHT, KEY_LEFT, TABLE_LEFT, TABLE_RIGHT, JOIN_TYPE) values (3, 1, 1, ' = ', '229', '6', 'D_COUNTERPARTY_MART', 'D_EXPOSURE_FACILITY', 'INNER');</t>
  </si>
  <si>
    <t>insert into PRD50_DB_ERM.JOIN_STRUCT (J_ID, GRP, ORD, SIGN, KEY_RIGHT, KEY_LEFT, TABLE_LEFT, TABLE_RIGHT, JOIN_TYPE) values (3, 1, 2, ' = ', '221', '57', 'D_COUNTERPARTY_MART', 'D_EXPOSURE_FACILITY', 'INNER');</t>
  </si>
  <si>
    <t>insert into PRD50_DB_ERM.JOIN_STRUCT (J_ID, GRP, ORD, SIGN, KEY_RIGHT, KEY_LEFT, TABLE_LEFT, TABLE_RIGHT, JOIN_TYPE) values (1, 1, 1, ' = ', '206', '6', 'D_COUNTERPARTY_MART', 'D_EXPOSURE_ACCOUNT', 'LEFT');</t>
  </si>
  <si>
    <t>insert into PRD50_DB_ERM.JOIN_STRUCT (J_ID, GRP, ORD, SIGN, KEY_RIGHT, KEY_LEFT, TABLE_LEFT, TABLE_RIGHT, JOIN_TYPE) values (1, 1, 2, ' = ', '186', '57', 'D_COUNTERPARTY_MART', 'D_EXPOSURE_ACCOUNT', 'LEFT');</t>
  </si>
  <si>
    <t>insert into PRD50_DB_ERM.JOIN_STRUCT (J_ID, GRP, ORD, SIGN, KEY_RIGHT, KEY_LEFT, TABLE_LEFT, TABLE_RIGHT, JOIN_TYPE) values (4, 1, 1, ' = ', '206', '6', 'D_COUNTERPARTY_MART', 'D_EXPOSURE_ACCOUNT', 'LEFT');</t>
  </si>
  <si>
    <t>insert into PRD50_DB_ERM.JOIN_STRUCT (J_ID, GRP, ORD, SIGN, KEY_RIGHT, KEY_LEFT, TABLE_LEFT, TABLE_RIGHT, JOIN_TYPE) values (4, 1, 2, ' = ', '186', '57', 'D_COUNTERPARTY_MART', 'D_EXPOSURE_ACCOUNT', 'LEFT');</t>
  </si>
  <si>
    <t>insert into PRD50_DB_ERM.JOIN_STRUCT (J_ID, GRP, ORD, SIGN, KEY_RIGHT, KEY_LEFT, TABLE_LEFT, TABLE_RIGHT, JOIN_TYPE) values (4, 2, 1, ' = ', '229', '6', 'D_COUNTERPARTY_MART', 'D_EXPOSURE_FACILITY', 'LEFT');</t>
  </si>
  <si>
    <t>insert into PRD50_DB_ERM.JOIN_STRUCT (J_ID, GRP, ORD, SIGN, KEY_RIGHT, KEY_LEFT, TABLE_LEFT, TABLE_RIGHT, JOIN_TYPE) values (4, 2, 2, ' = ', '221', '57', 'D_COUNTERPARTY_MART', 'D_EXPOSURE_FACILITY', 'LEFT');</t>
  </si>
  <si>
    <t>insert into PRD50_DB_ERM.JOIN_STRUCT (J_ID, GRP, ORD, SIGN, KEY_RIGHT, KEY_LEFT, TABLE_LEFT, TABLE_RIGHT, JOIN_TYPE) values (2, 1, 1, ' = ', '206', '6', 'D_COUNTERPARTY_MART', 'D_EXPOSURE_ACCOUNT', 'INNER');</t>
  </si>
  <si>
    <t>insert into PRD50_DB_ERM.JOIN_STRUCT (J_ID, GRP, ORD, SIGN, KEY_RIGHT, KEY_LEFT, TABLE_LEFT, TABLE_RIGHT, JOIN_TYPE) values (2, 1, 2, ' = ', '186', '57', 'D_COUNTERPARTY_MART', 'D_EXPOSURE_ACCOUNT', 'INNER');</t>
  </si>
  <si>
    <t>-- Скрипт сформирован 04.02.2014 16:11:22</t>
  </si>
  <si>
    <t>insert into PRD50_DB_ERM.ETL_PROC (EP_ID, NM, DESCR, START_DT, END_DT, ET_TYPE,  IPC_FOLDER, IPC_SESSION, SCHEME_DB) values (1, 'ETL1', NULL, CAST('1900-01-01' AS DATE FORMAT 'YYYY-MM-DD'), CAST('9999-12-31' AS DATE FORMAT 'YYYY-MM-DD'), 1, '12','12','PRD50_DB_ERM');</t>
  </si>
  <si>
    <t>insert into PRD50_DB_ERM.ETL_PROC (EP_ID, NM, DESCR, START_DT, END_DT, ET_TYPE,  IPC_FOLDER, IPC_SESSION, SCHEME_DB) values (2, 'ETL2', 'ETL2',CAST('1900-01-01' AS DATE FORMAT 'YYYY-MM-DD'), CAST('9999-12-31' AS DATE FORMAT 'YYYY-MM-DD'), 1, '12','12','PRD50_DB_ERM');</t>
  </si>
  <si>
    <t>insert into PRD50_DB_ERM.ETL_PROC (EP_ID, NM, DESCR, START_DT, END_DT, ET_TYPE,  IPC_FOLDER, IPC_SESSION, SCHEME_DB) values (3, 'ETL3', NULL, CAST('1900-01-01' AS DATE FORMAT 'YYYY-MM-DD'), CAST('9999-12-31' AS DATE FORMAT 'YYYY-MM-DD'), 1, '12','12','PRD50_DB_ERM');</t>
  </si>
  <si>
    <t>insert into PRD50_DB_ERM.ETL_PROC_PARAM (NM, START_DT, END_DT, DESCR, EP_ID, PARAM_ID, DATA_TYPE, DEF_VAL) values ('PARAM1', CAST('1900-01-01' AS DATE FORMAT 'YYYY-MM-DD'), CAST('9999-12-31' AS DATE FORMAT 'YYYY-MM-DD'), 'PARAM1',1, 1, 'VARCHAR', '11' );</t>
  </si>
  <si>
    <t>insert into PRD50_DB_ERM.ETL_PROC_PARAM (NM, START_DT, END_DT, DESCR, EP_ID, PARAM_ID, DATA_TYPE, DEF_VAL) values ('PARAM2', CAST('1900-01-01' AS DATE FORMAT 'YYYY-MM-DD'), CAST('9999-12-31' AS DATE FORMAT 'YYYY-MM-DD'), 'PARAM2',1, 2, 'VARCHAR', '12' );</t>
  </si>
  <si>
    <t>insert into PRD50_DB_ERM.ETL_PROC_PARAM (NM, START_DT, END_DT, DESCR, EP_ID, PARAM_ID, DATA_TYPE, DEF_VAL) values ('PARAM3', CAST('1900-01-01' AS DATE FORMAT 'YYYY-MM-DD'), CAST('9999-12-31' AS DATE FORMAT 'YYYY-MM-DD'), 'PARAM3',2, 3, 'VARCHAR', '13' );</t>
  </si>
  <si>
    <t>insert into PRD50_DB_ERM.ETL_PROC_PARAM (NM, START_DT, END_DT, DESCR, EP_ID, PARAM_ID, DATA_TYPE, DEF_VAL) values ('PARAM4', CAST('1900-01-01' AS DATE FORMAT 'YYYY-MM-DD'), CAST('9999-12-31' AS DATE FORMAT 'YYYY-MM-DD'), 'PARAM4',2, 4, 'VARCHAR', '14' );</t>
  </si>
  <si>
    <t>insert into PRD50_DB_ERM.ETL_PROC_PARAM (NM, START_DT, END_DT, DESCR, EP_ID, PARAM_ID, DATA_TYPE, DEF_VAL) values ('PARAM5', CAST('1900-01-01' AS DATE FORMAT 'YYYY-MM-DD'), CAST('9999-12-31' AS DATE FORMAT 'YYYY-MM-DD'), 'PARAM5',3, 5, 'VARCHAR', '15' );</t>
  </si>
  <si>
    <t>insert into PRD50_DB_ERM.ETL_PROC_PARAM (NM, START_DT, END_DT, DESCR, EP_ID, PARAM_ID, DATA_TYPE, DEF_VAL) values ('PARAM6', CAST('1900-01-01' AS DATE FORMAT 'YYYY-MM-DD'), CAST('9999-12-31' AS DATE FORMAT 'YYYY-MM-DD'), 'PARAM6',3, 6, 'VARCHAR', '16' );</t>
  </si>
  <si>
    <t>x-view</t>
  </si>
  <si>
    <t>X</t>
  </si>
  <si>
    <t>X-представления (суффикс _X)</t>
  </si>
  <si>
    <t>Очистить книгу</t>
  </si>
  <si>
    <t>Импортировать из предыдущей версии</t>
  </si>
  <si>
    <t>ALL</t>
  </si>
  <si>
    <t>Доступны все объекты и функции системы</t>
  </si>
  <si>
    <t>ADMIN</t>
  </si>
  <si>
    <t>SDQR</t>
  </si>
  <si>
    <t>ANALYTICS</t>
  </si>
  <si>
    <t>SADMINS</t>
  </si>
  <si>
    <t>DQR</t>
  </si>
  <si>
    <t>ADMINS</t>
  </si>
  <si>
    <t>USERMANAGE</t>
  </si>
  <si>
    <t>AUDITVIEW</t>
  </si>
  <si>
    <t>APPROVE</t>
  </si>
  <si>
    <t>HISTORYVIEW</t>
  </si>
  <si>
    <t>EXPORT</t>
  </si>
  <si>
    <t>READ</t>
  </si>
  <si>
    <t>IMPORT</t>
  </si>
  <si>
    <t>WRITE</t>
  </si>
  <si>
    <t>Справочник типов графиков платежей для дочерних банков</t>
  </si>
  <si>
    <t xml:space="preserve">   </t>
  </si>
  <si>
    <t>Контрагент унифицированный</t>
  </si>
  <si>
    <t>Правила мэппинга строк из выгрузки из SAS поведенческий скоринг в сущность COUNTERPARTY_MART</t>
  </si>
  <si>
    <t>?</t>
  </si>
  <si>
    <t>Правила определения REP_CLASS в зависимости от типа контрагента по умолчанию</t>
  </si>
  <si>
    <t>Таблица-хаб обеспечений</t>
  </si>
  <si>
    <t>Справочник типов плавающих ставок</t>
  </si>
  <si>
    <t>Таблица отношений сделок</t>
  </si>
  <si>
    <t>Сделка</t>
  </si>
  <si>
    <t>Подразделения</t>
  </si>
  <si>
    <t>Правила определения типа внебалансового обязательства для сделок из выгрузки УМРОГР</t>
  </si>
  <si>
    <t>Данные о сегментах для расчета экономического капитала</t>
  </si>
  <si>
    <t>Правила мэппинга строк из выгрузки из SAS поведенческий скоринг для определния флага просрочки в сущности ISSUE_ACCOUNT</t>
  </si>
  <si>
    <t>Справочник типов бизнес-сегментов</t>
  </si>
  <si>
    <t>Таблица-хаб ГСЗ</t>
  </si>
  <si>
    <t>Обеспечения по сделкам</t>
  </si>
  <si>
    <t>Таблица-хаб контрагента</t>
  </si>
  <si>
    <t>Таблица-хаб сделки</t>
  </si>
  <si>
    <t>Справочник риск-факторов</t>
  </si>
  <si>
    <t>ГСЗ</t>
  </si>
  <si>
    <t>Таблица отношений сделки и обеспечения</t>
  </si>
  <si>
    <t>Правила сопоставления значений индустрии из CRM и индустрий для расчета экономического капитала</t>
  </si>
  <si>
    <t>Рисковые метрики по сделке</t>
  </si>
  <si>
    <t>Справочник классификации индустрий по классификации NACE для дочерних банков</t>
  </si>
  <si>
    <t>Справочник приоритетов обеспечения</t>
  </si>
  <si>
    <t>Список отраслей для построения отчетов по расчету экономического капитала</t>
  </si>
  <si>
    <t>Контрагент оригинальный</t>
  </si>
  <si>
    <t>Таблица-хаб подразделений</t>
  </si>
  <si>
    <t>Справочник стран с параметрами стратегической значимости и уровня развития страны</t>
  </si>
  <si>
    <t>Классы развитости стран</t>
  </si>
  <si>
    <t>Классификатор контрагента</t>
  </si>
  <si>
    <t>Список корневых подразделений (Сбербанк и его дочерние банки)</t>
  </si>
  <si>
    <t>Классификатор актива для отчетности</t>
  </si>
  <si>
    <t>Тип условных обязательств</t>
  </si>
  <si>
    <t>Таблица-саттелит сделки</t>
  </si>
  <si>
    <t>Логи</t>
  </si>
  <si>
    <t>Правила определения типа контрагента по выгрузке УМРОГР</t>
  </si>
  <si>
    <t>Правила проставления флага ЦБ РФ для контрагента</t>
  </si>
  <si>
    <t>Правила мэппинга строк из выгрузки из SAS поведенческий скоринг в сущность ISSUE_ACCOUNT</t>
  </si>
  <si>
    <t>Правила распределения сделок из выгрузки УМРОГР по сущностям ISSUE и EXPOSURE</t>
  </si>
  <si>
    <t>Правила проставления регуляторного класса продукта для таблиц типа ISSUE по данным с финансовых рынков (новый вариант)</t>
  </si>
  <si>
    <t>Правила проставления класса продукта для таблиц типа ISSUE по данным с финансовых рынков (новый вариант)</t>
  </si>
  <si>
    <t>Определение унифицированных контрагентов из оригинальных</t>
  </si>
  <si>
    <t>D_MAP_XCM_CRM_SEG2ERM_CP_SEG</t>
  </si>
  <si>
    <t>D_DYN_SRC_SYS</t>
  </si>
  <si>
    <t>D_DDPL_STATUS</t>
  </si>
  <si>
    <t>D_MAP_N_ERM_SEG2CP</t>
  </si>
  <si>
    <t>D_DDPL_HIGHER_PRIORITY</t>
  </si>
  <si>
    <t>D_DIC_ERM_CP_SEGMENT</t>
  </si>
  <si>
    <t>D_MAP_XCM_CP_TP2E_REP_CLASS</t>
  </si>
  <si>
    <t>D_MAP_SOVER_WHITE_LIST</t>
  </si>
  <si>
    <t>D_MAP_PD_MODEL_PRIORITY</t>
  </si>
  <si>
    <t>D_MAP_N_PD_MDL2CM_ERM_SEG</t>
  </si>
  <si>
    <t>D_DIC_COUNTRY_IMPORT_CLASS</t>
  </si>
  <si>
    <t>D_RDM_UNDERW_PROCEDURE_BTH</t>
  </si>
  <si>
    <t>D_MAP_SAS_PRODUCT2CM</t>
  </si>
  <si>
    <t>D_RDM_PYMNT_CAT_BTH</t>
  </si>
  <si>
    <t>D_DDPL_SUPERGROUP_FINAL</t>
  </si>
  <si>
    <t>D_MAP_SOVER_BLACK_LIST</t>
  </si>
  <si>
    <t>D_MAP_SRC_SYS_PRIORITY</t>
  </si>
  <si>
    <t>D_RDM_CURRENCY_BTH</t>
  </si>
  <si>
    <t>D_DIC_IFRS_CLASS</t>
  </si>
  <si>
    <t>D_MAP_SAS_MODEL2IA</t>
  </si>
  <si>
    <t>D_DYN_CHECK_PARAM</t>
  </si>
  <si>
    <t>D_MAP_CRM_SEGMENT2PRIORITY</t>
  </si>
  <si>
    <t>D_CUST_CASHFLOW_BTH</t>
  </si>
  <si>
    <t>D_MAP_BASEL2_CLASS</t>
  </si>
  <si>
    <t>D_MAP_FLOC_TB2I_INT_ORG</t>
  </si>
  <si>
    <t>D_DDPL_GROUP</t>
  </si>
  <si>
    <t>D_TEST_LOG</t>
  </si>
  <si>
    <t>S071ABCDEF0003_DICT_CURRENCY</t>
  </si>
  <si>
    <t>D_DDPL_SUPERGROUP</t>
  </si>
  <si>
    <t>D_RDM_F26_LOAN_TYPE_BTH</t>
  </si>
  <si>
    <t>D_RDM_F26_INT_PM_FREQ_BTH</t>
  </si>
  <si>
    <t>D_MAP_SETTINGS</t>
  </si>
  <si>
    <t>D_MAP_XCM2I_PD</t>
  </si>
  <si>
    <t>D_RDM_OKVED_INDUSTRY_BTH</t>
  </si>
  <si>
    <t>D_CP_TEMP_GRP_SEL</t>
  </si>
  <si>
    <t>D_RDM_COUNTRY_BTH</t>
  </si>
  <si>
    <t>D_MAP_CND_XCM2ERM_CP_SEG</t>
  </si>
  <si>
    <t>ETL_TASK_PARAM</t>
  </si>
  <si>
    <t>D_MAP_FIN_OFFBAL_TP2E_CCF_TP</t>
  </si>
  <si>
    <t>D_DIC_BASEL2_INT_CLASS</t>
  </si>
  <si>
    <t>S071ABCDEF0002_DOCS_DATA</t>
  </si>
  <si>
    <t>D_DIC_REGLTRY_PRODUCT_TYPE</t>
  </si>
  <si>
    <t>D_DIC_INT_ORG_HIER_SCEN</t>
  </si>
  <si>
    <t>D_PD_DISTRIBUTION_BH</t>
  </si>
  <si>
    <t>D_IMP_F_CRM_BH</t>
  </si>
  <si>
    <t>D_DDPL_RULE</t>
  </si>
  <si>
    <t>D_RDM_COLLATERAL_TYPE_BTH</t>
  </si>
  <si>
    <t>D_MAP_XCM2ECAP_INDUSTRY</t>
  </si>
  <si>
    <t>D_DIC_SUBSIDIARY_LOAN_TYPE</t>
  </si>
  <si>
    <t>D_FIX_EXPOSURE_TYPE</t>
  </si>
  <si>
    <t>D_DYN_CRM_CARD_TYPE</t>
  </si>
  <si>
    <t>D_DIC_ECAP_PARAM_INDUSTRY</t>
  </si>
  <si>
    <t>D_DYN_PD_MODEL</t>
  </si>
  <si>
    <t>D_MAP_CND_N_DUE_DAYS2_RTNG</t>
  </si>
  <si>
    <t>D_SEQUENCE</t>
  </si>
  <si>
    <t>S071ABCDEF0001_DOCS_HEADER</t>
  </si>
  <si>
    <t>D_DDPL_RULE_DETAIL</t>
  </si>
  <si>
    <t>D_RDM_F26_LOAN_REGIME_BTH</t>
  </si>
  <si>
    <t>D_MAP_XCM2I_REG_PROD</t>
  </si>
  <si>
    <t>D_MAP_XCM2ANNUAL_SALES</t>
  </si>
  <si>
    <t>D_MAP_N2CM_CBRF_FLAG</t>
  </si>
  <si>
    <t>D_DIC_CP_RELATION_TYPE</t>
  </si>
  <si>
    <t>D_DIC_CP_TYPE</t>
  </si>
  <si>
    <t>D_DYN_CRM_INDUSTRY</t>
  </si>
  <si>
    <t>D_MAP_FIN2_DSTR</t>
  </si>
  <si>
    <t>D_MAP_CND_FLOC2E_OFFBAL_TYPE</t>
  </si>
  <si>
    <t>D_RDM_F26_LOAN_PURPOSE_BTH</t>
  </si>
  <si>
    <t>D_CP_GROUP_ORIG_STL1_BTH</t>
  </si>
  <si>
    <t>D_MAP_SAS_PRODUCT2IA</t>
  </si>
  <si>
    <t>D_RDM_FIN_POS_BTH</t>
  </si>
  <si>
    <t>D_MAP_CRM_CARD_TYPE2PRIORITY</t>
  </si>
  <si>
    <t>D_MAP_SAS2IANCM_IN_DEF_IND</t>
  </si>
  <si>
    <t>CREATE_DATE</t>
  </si>
  <si>
    <t>PRIN_PM_SCHED_TYPE_CD</t>
  </si>
  <si>
    <t>INT_PROVISION_CCY_AMT</t>
  </si>
  <si>
    <t>1 060</t>
  </si>
  <si>
    <t>TOTAL_ASSETS_CURRENCY_ID</t>
  </si>
  <si>
    <t>CASHFLOW_CCY_AMT</t>
  </si>
  <si>
    <t>SOURCE_ERM_CP_SEGMENT_ID</t>
  </si>
  <si>
    <t>BUSINESS_SEGMENT_NM</t>
  </si>
  <si>
    <t>ERM_CP_SEGMENT_ID</t>
  </si>
  <si>
    <t>ERM_CP_SEGMENT_NM</t>
  </si>
  <si>
    <t>PARAM_DESC</t>
  </si>
  <si>
    <t>1 039</t>
  </si>
  <si>
    <t>USER_NAME</t>
  </si>
  <si>
    <t>TOTAL_ASSETS_CCY_AMT</t>
  </si>
  <si>
    <t>1 018</t>
  </si>
  <si>
    <t>CONTRACT_RUB_AMT</t>
  </si>
  <si>
    <t>SEQUENCE_VAL</t>
  </si>
  <si>
    <t>PARAM_CALC_ID</t>
  </si>
  <si>
    <t>PRIN_PAST_DUE_RUB_AMT</t>
  </si>
  <si>
    <t>INT_PAST_DUE_OFF_BAL_ACC</t>
  </si>
  <si>
    <t>BUSINESS_SEGMENT_DSC</t>
  </si>
  <si>
    <t>ROW_NBR</t>
  </si>
  <si>
    <t>1 058</t>
  </si>
  <si>
    <t>ERM_CP_SEGMENT_DSC</t>
  </si>
  <si>
    <t>TEST_RUN_ID</t>
  </si>
  <si>
    <t>1 037</t>
  </si>
  <si>
    <t>DDPL_STATUS_CD</t>
  </si>
  <si>
    <t>RULE_ID</t>
  </si>
  <si>
    <t>ODS$VALIDFROM</t>
  </si>
  <si>
    <t>1 016</t>
  </si>
  <si>
    <t>DDPL_SUPERGROUP_ID</t>
  </si>
  <si>
    <t>MARKET_VALUE_CCY_AMT</t>
  </si>
  <si>
    <t>SUBSIDIARY_LOAN_TYPE_NM</t>
  </si>
  <si>
    <t>INT_PAST_DUE_BAL_RUB_AMT</t>
  </si>
  <si>
    <t>ODS$OPC</t>
  </si>
  <si>
    <t>1 056</t>
  </si>
  <si>
    <t>PRIN_PAST_DUE_CCY_AMT</t>
  </si>
  <si>
    <t>SOURCE_ECAP_PARAM_INDUSTRY_ID</t>
  </si>
  <si>
    <t>TEST_LOG_ID</t>
  </si>
  <si>
    <t>1 035</t>
  </si>
  <si>
    <t>MODIFY_DATE</t>
  </si>
  <si>
    <t>1 014</t>
  </si>
  <si>
    <t>BASEL2_INT_CLASS_ID</t>
  </si>
  <si>
    <t>EMPLOYEES_CNT</t>
  </si>
  <si>
    <t>EXTRNL_RATING_GRADE</t>
  </si>
  <si>
    <t>BALANCE_VALUE_CCY_AMT</t>
  </si>
  <si>
    <t>SUBSIDIARY_LOAN_TYPE_CD</t>
  </si>
  <si>
    <t>CP_GROUP_ORIG_STL1_SK</t>
  </si>
  <si>
    <t>NAME</t>
  </si>
  <si>
    <t>1 054</t>
  </si>
  <si>
    <t>SOURCE_DEFAULT_OR_NULL_RTNG</t>
  </si>
  <si>
    <t>PRIN_DUE_RUB_AMT</t>
  </si>
  <si>
    <t>SOURCE_RATING</t>
  </si>
  <si>
    <t>1 033</t>
  </si>
  <si>
    <t>COLUMN_TRUNCATE_IND</t>
  </si>
  <si>
    <t>CP_GROUP_ID_IN_CRM</t>
  </si>
  <si>
    <t>INPUT_FILE_NAME</t>
  </si>
  <si>
    <t>1 012</t>
  </si>
  <si>
    <t>SOURCE_CP_NM_BLACK</t>
  </si>
  <si>
    <t>ECAP_INDUSTRY_LETTER_CD</t>
  </si>
  <si>
    <t>COLUMN_NM</t>
  </si>
  <si>
    <t>1 052</t>
  </si>
  <si>
    <t>PRIN_DUE_ACC</t>
  </si>
  <si>
    <t>EVENT_CD</t>
  </si>
  <si>
    <t>1 031</t>
  </si>
  <si>
    <t>CRM_INDUSTRY_CD</t>
  </si>
  <si>
    <t>RATING_ID_IN_CRM</t>
  </si>
  <si>
    <t>CP_INN</t>
  </si>
  <si>
    <t>INFO_SYSTEM_TYPE_CD</t>
  </si>
  <si>
    <t>1 010</t>
  </si>
  <si>
    <t>ELIGIBLE_TREAT_OBLIGOR_IND</t>
  </si>
  <si>
    <t>ANNUAL_SALES_CCY_AMT</t>
  </si>
  <si>
    <t>SOURCE_PD_MODEL_ID</t>
  </si>
  <si>
    <t>SOURCE_CRM_ID</t>
  </si>
  <si>
    <t>1 050</t>
  </si>
  <si>
    <t>IFRS_CLASS_ID</t>
  </si>
  <si>
    <t>TOTAL_ASSETS_RPT_DT</t>
  </si>
  <si>
    <t>1 029</t>
  </si>
  <si>
    <t>SOURCE_EFF_M</t>
  </si>
  <si>
    <t>INDUSTRY_ENG_NM</t>
  </si>
  <si>
    <t>INFO_SYSTEM_ID</t>
  </si>
  <si>
    <t>1 008</t>
  </si>
  <si>
    <t>INT_PROVISION_RUB_AMT</t>
  </si>
  <si>
    <t>PD_MODEL_ID</t>
  </si>
  <si>
    <t>CALC_ID_IN_CRM</t>
  </si>
  <si>
    <t>1 069</t>
  </si>
  <si>
    <t>PROVISION_CURRENCY_ID</t>
  </si>
  <si>
    <t>CRM_INDUSTRY_ID</t>
  </si>
  <si>
    <t>1 048</t>
  </si>
  <si>
    <t>1 027</t>
  </si>
  <si>
    <t>ROWNUM</t>
  </si>
  <si>
    <t>HIGH_PRIORITY_IND</t>
  </si>
  <si>
    <t>1 006</t>
  </si>
  <si>
    <t>ANNUAL_SALES_CURRENCY_ID</t>
  </si>
  <si>
    <t>FORMID</t>
  </si>
  <si>
    <t>CRM_EAD_RUB_AMT</t>
  </si>
  <si>
    <t>1 067</t>
  </si>
  <si>
    <t>SOURCE_CRM_SEGMENT_NM</t>
  </si>
  <si>
    <t>SOURCE_PRODUCT</t>
  </si>
  <si>
    <t>CONTRACT_VALUE_RUB_AMT</t>
  </si>
  <si>
    <t>INT_PAST_DUE_BAL_ACC</t>
  </si>
  <si>
    <t>CHARCODE</t>
  </si>
  <si>
    <t>1 046</t>
  </si>
  <si>
    <t>BASEL2_INT_SUBCLASS_NM</t>
  </si>
  <si>
    <t>1 025</t>
  </si>
  <si>
    <t>SOURCE_CP_NM</t>
  </si>
  <si>
    <t>DDPL_GROUP_ID</t>
  </si>
  <si>
    <t>DOCS_TITLE</t>
  </si>
  <si>
    <t>1 004</t>
  </si>
  <si>
    <t>OLD_FORMAT_SUBSID_RATING_GRADE</t>
  </si>
  <si>
    <t>1 065</t>
  </si>
  <si>
    <t>EAD_RUB_AMT</t>
  </si>
  <si>
    <t>INT_DUE_RUB_AMT</t>
  </si>
  <si>
    <t>WORKFLOW_NAME</t>
  </si>
  <si>
    <t>1 044</t>
  </si>
  <si>
    <t>PRIN_CCY_AMT</t>
  </si>
  <si>
    <t>CRM_CARD_TYPE_ID</t>
  </si>
  <si>
    <t>SOURCE_TB</t>
  </si>
  <si>
    <t>DT</t>
  </si>
  <si>
    <t>LOAN_ORIGINATION_DT</t>
  </si>
  <si>
    <t>1 023</t>
  </si>
  <si>
    <t>ANNUAL_SALES_RPT_DT</t>
  </si>
  <si>
    <t>DOCS_PERIOD</t>
  </si>
  <si>
    <t>1 002</t>
  </si>
  <si>
    <t>1 063</t>
  </si>
  <si>
    <t>COLLATERAL_DISCOUNT</t>
  </si>
  <si>
    <t>COMMENTARY</t>
  </si>
  <si>
    <t>INT_DUE_ACC</t>
  </si>
  <si>
    <t>SRC_SYS_INSTANCE_CD</t>
  </si>
  <si>
    <t>1 042</t>
  </si>
  <si>
    <t>COPY_NUM</t>
  </si>
  <si>
    <t>1 021</t>
  </si>
  <si>
    <t>LOAN_CONTRACT_DT</t>
  </si>
  <si>
    <t>CLAIM_ORIG_STL1_SK</t>
  </si>
  <si>
    <t>DEALID</t>
  </si>
  <si>
    <t>1 000</t>
  </si>
  <si>
    <t>1 061</t>
  </si>
  <si>
    <t>PARAM_NAME</t>
  </si>
  <si>
    <t>1 040</t>
  </si>
  <si>
    <t>CP_PF_RATIO</t>
  </si>
  <si>
    <t>1 019</t>
  </si>
  <si>
    <t>INT_PAST_DUE_OFF_BAL_RUB_AMT</t>
  </si>
  <si>
    <t>TECH</t>
  </si>
  <si>
    <t>PARAM_TECH_TS</t>
  </si>
  <si>
    <t>1 059</t>
  </si>
  <si>
    <t>FOLDER_NAME</t>
  </si>
  <si>
    <t>1 038</t>
  </si>
  <si>
    <t>CP_TYPE_CD</t>
  </si>
  <si>
    <t>1 017</t>
  </si>
  <si>
    <t>DDPL_SUPERGROUP_ID_AUTO</t>
  </si>
  <si>
    <t>MARKET_VALUE_ESTB_DT</t>
  </si>
  <si>
    <t>INT_PAST_DUE_DT</t>
  </si>
  <si>
    <t>SEQUENCE_NM</t>
  </si>
  <si>
    <t>1 057</t>
  </si>
  <si>
    <t>PRIN_PAST_DUE_DT</t>
  </si>
  <si>
    <t>BUSINESS_SEGMENT_CD</t>
  </si>
  <si>
    <t>ERM_CP_SEGMENT_CD</t>
  </si>
  <si>
    <t>TEST_NM</t>
  </si>
  <si>
    <t>1 036</t>
  </si>
  <si>
    <t>SOURCE_DUE_DAYS</t>
  </si>
  <si>
    <t>1 015</t>
  </si>
  <si>
    <t>FULL_COUNTRY_NM</t>
  </si>
  <si>
    <t>EVALUATION_APPROACH</t>
  </si>
  <si>
    <t>INT_PAST_DUE_BAL_CCY_AMT</t>
  </si>
  <si>
    <t>NUMCODE</t>
  </si>
  <si>
    <t>1 055</t>
  </si>
  <si>
    <t>SUBSIDIARY_LOAN_TYPE_ID</t>
  </si>
  <si>
    <t>PRIN_PAST_DUE_ACC</t>
  </si>
  <si>
    <t>ACTUAL_INT_RATE_PCT</t>
  </si>
  <si>
    <t>REP_CLASS_DSC</t>
  </si>
  <si>
    <t>TEST_CD</t>
  </si>
  <si>
    <t>1 034</t>
  </si>
  <si>
    <t>RULE_NM</t>
  </si>
  <si>
    <t>INPUT_PACKAGE_ID</t>
  </si>
  <si>
    <t>1 013</t>
  </si>
  <si>
    <t>BASEL2_CLASS_ID</t>
  </si>
  <si>
    <t>1 053</t>
  </si>
  <si>
    <t>PRIN_DUE_CCY_AMT</t>
  </si>
  <si>
    <t>SOURCE_CP_PF_RATIO</t>
  </si>
  <si>
    <t>MSG</t>
  </si>
  <si>
    <t>1 032</t>
  </si>
  <si>
    <t>INPUT_FILE_ID</t>
  </si>
  <si>
    <t>1 011</t>
  </si>
  <si>
    <t>1 051</t>
  </si>
  <si>
    <t>1 030</t>
  </si>
  <si>
    <t>SOURCE_TYPE</t>
  </si>
  <si>
    <t>ELIGIBLE_TREAT_GUARANTOR_IND</t>
  </si>
  <si>
    <t>INFO_SYSTEM_INST_CD</t>
  </si>
  <si>
    <t>1 009</t>
  </si>
  <si>
    <t>CONTRACT_CCY_AMT</t>
  </si>
  <si>
    <t>INT_ORG_HIER_SCEN_CD</t>
  </si>
  <si>
    <t>1 049</t>
  </si>
  <si>
    <t>GRACE_PERIOD_MONTHS</t>
  </si>
  <si>
    <t>1 028</t>
  </si>
  <si>
    <t>PD_MODEL_CD</t>
  </si>
  <si>
    <t>1 007</t>
  </si>
  <si>
    <t>1 068</t>
  </si>
  <si>
    <t>COUNTRIES</t>
  </si>
  <si>
    <t>1 047</t>
  </si>
  <si>
    <t>IFRS_CLASS_CD</t>
  </si>
  <si>
    <t>1 026</t>
  </si>
  <si>
    <t>SOURCE_CP_NM_WHITE</t>
  </si>
  <si>
    <t>DOCS_YEAR</t>
  </si>
  <si>
    <t>1 005</t>
  </si>
  <si>
    <t>CONTRACT_VALUE_CCY_AMT</t>
  </si>
  <si>
    <t>1 066</t>
  </si>
  <si>
    <t>BASEL2_INT_CLASS_NM</t>
  </si>
  <si>
    <t>WORKLET_INST_NAME</t>
  </si>
  <si>
    <t>1 045</t>
  </si>
  <si>
    <t>FIELD_NAME</t>
  </si>
  <si>
    <t>PRODUCT_ID_IN_CRM</t>
  </si>
  <si>
    <t>X_DEFAULT_REP_CLASS_ID</t>
  </si>
  <si>
    <t>1 024</t>
  </si>
  <si>
    <t>DOCS_STATUS</t>
  </si>
  <si>
    <t>1 003</t>
  </si>
  <si>
    <t>1 064</t>
  </si>
  <si>
    <t>INT_DUE_CCY_AMT</t>
  </si>
  <si>
    <t>SRC_SYS_TYPE_CD</t>
  </si>
  <si>
    <t>APPLICATION_MIXED_ID</t>
  </si>
  <si>
    <t>BASEL2_INT_CLASS_CD</t>
  </si>
  <si>
    <t>FLOATING_RATE_CD</t>
  </si>
  <si>
    <t>WORKFLOW_INST_NAME</t>
  </si>
  <si>
    <t>1 043</t>
  </si>
  <si>
    <t>DOCS_HEADER_ID</t>
  </si>
  <si>
    <t>1 022</t>
  </si>
  <si>
    <t>LOAN_CONTRACT_NO</t>
  </si>
  <si>
    <t>DIVID</t>
  </si>
  <si>
    <t>1 001</t>
  </si>
  <si>
    <t>SOURCE_CRM_INDUSTRY_ID</t>
  </si>
  <si>
    <t>CCF_TYPE_REP_DSC</t>
  </si>
  <si>
    <t>PRIN_PM_SCHED_TYPE_NM</t>
  </si>
  <si>
    <t>INITIAL_MATURITY_DT</t>
  </si>
  <si>
    <t>CRM_CARD_TYPE_CD</t>
  </si>
  <si>
    <t>INT_PAST_DUE_OFF_BAL_CCY_AMT</t>
  </si>
  <si>
    <t>1 062</t>
  </si>
  <si>
    <t>CH</t>
  </si>
  <si>
    <t>1 020</t>
  </si>
  <si>
    <t>PARAM_VAL</t>
  </si>
  <si>
    <t>1 041</t>
  </si>
  <si>
    <t>NEXT_PRIN_DUE_DT</t>
  </si>
  <si>
    <t>SOURCE_CRM_CARD_TYPE_ID</t>
  </si>
  <si>
    <t>CP_TYPE_NM</t>
  </si>
  <si>
    <t>Сообщение</t>
  </si>
  <si>
    <t>Ссылка на справочник типов взаимоотношения с контр</t>
  </si>
  <si>
    <t>Ссылка на справочник финансового положения контраг</t>
  </si>
  <si>
    <t>Код индустрии для отображения в отчете при расчете</t>
  </si>
  <si>
    <t>Уровень логгирования</t>
  </si>
  <si>
    <t>Количество дней задержки по обязательствам контраг</t>
  </si>
  <si>
    <t>Классификация контрагента в рамках дочерней органи</t>
  </si>
  <si>
    <t>Иной помимо предусмотренных уникальный идентификат</t>
  </si>
  <si>
    <t>Наименовании индустрии для отчетов по ECAP, отобра</t>
  </si>
  <si>
    <t>Уникальный числовой идентификатор из системе-источ</t>
  </si>
  <si>
    <t>Ссылка на соответствующую сущность в структуре INT</t>
  </si>
  <si>
    <t>Наименование workflow</t>
  </si>
  <si>
    <t>Уникальный идентификатор группы из системы-источни</t>
  </si>
  <si>
    <t>Бизнес-ключ индустрии для отображения в отчетах по</t>
  </si>
  <si>
    <t>Прямое сопоставление регуляторного кода продукта с</t>
  </si>
  <si>
    <t>Уникальный числовой идентификатор контрагента из с</t>
  </si>
  <si>
    <t>Наименование сессии</t>
  </si>
  <si>
    <t>Ссылка на справочник Типа графика платежей по осно</t>
  </si>
  <si>
    <t>Текстовое значение продукта в выгрузке по розничны</t>
  </si>
  <si>
    <t>Наименование сущности, для которой актуальна сегме</t>
  </si>
  <si>
    <t>Прямое сопоставление класса контрагента для расчет</t>
  </si>
  <si>
    <t xml:space="preserve">Мастер-ключ эффективной страны группы контрагента </t>
  </si>
  <si>
    <t>Бизнес-ключ пула, включающего секьюритизационные о</t>
  </si>
  <si>
    <t>Флаг применения границы в один день для срока пога</t>
  </si>
  <si>
    <t>Технический ключ неунифицированной группы контраге</t>
  </si>
  <si>
    <t>Прямое соответствие значения флага просрочки от на</t>
  </si>
  <si>
    <t>Дата возникновения первой просрочки по договору (з</t>
  </si>
  <si>
    <t>Флаг применения нижней границы для финансовых влож</t>
  </si>
  <si>
    <t>Ссылка на справочник Типа частоты платежей по проц</t>
  </si>
  <si>
    <t>Прямое сопоставление класса продукта x_map_rep_cla</t>
  </si>
  <si>
    <t>Бизнес-ключ индустрии, применяемой для параметриза</t>
  </si>
  <si>
    <t>Индикатор использования активов для определения ра</t>
  </si>
  <si>
    <t>Идентификатор контрагента из выгрузки с финансовых</t>
  </si>
  <si>
    <t>Наименование блока, к которому относится класс, от</t>
  </si>
  <si>
    <t>Ссылка на справочник типа риска СУККР Account/Inst</t>
  </si>
  <si>
    <t>Наименование целевой таблицы</t>
  </si>
  <si>
    <t>Бизнес-код подразделения</t>
  </si>
  <si>
    <t>Бизнес-ключ наименования финансового положения кон</t>
  </si>
  <si>
    <t>Уникальный идентификатор контрагента из системы-ис</t>
  </si>
  <si>
    <t>Идентификатор сессии</t>
  </si>
  <si>
    <t>Бизнес-ключ неунифицированного подразделения или б</t>
  </si>
  <si>
    <t>Классификация в соответствии с Базельским соглашен</t>
  </si>
  <si>
    <t>Значение коэффициента кредитной конверсии для усло</t>
  </si>
  <si>
    <t>Индикатор необходимости использования размера акти</t>
  </si>
  <si>
    <t>Прямое сопоставление класса контрагента с текстовы</t>
  </si>
  <si>
    <t xml:space="preserve">CHAR(6) </t>
  </si>
  <si>
    <t>DECIMAL(38, 0)</t>
  </si>
  <si>
    <t xml:space="preserve">VARCHAR(6) </t>
  </si>
  <si>
    <t>DECIMAL(38, 8)</t>
  </si>
  <si>
    <t xml:space="preserve">VARCHAR(500) </t>
  </si>
  <si>
    <t xml:space="preserve">VARCHAR(3) </t>
  </si>
  <si>
    <t xml:space="preserve">VARCHAR(255) </t>
  </si>
  <si>
    <t xml:space="preserve">VARCHAR(100) </t>
  </si>
  <si>
    <t>Выгрузить в отдельные файлы</t>
  </si>
  <si>
    <t>Создать общий скрипт для всех справочников</t>
  </si>
  <si>
    <t>-- Справочник: D_DDPL_HIGHER_PRIORITY</t>
  </si>
  <si>
    <t>-- Справочник: D_MAP_SOVER_WHITE_LIST</t>
  </si>
  <si>
    <t>-- Справочник: D_MAP_PD_MODEL_PRIORITY</t>
  </si>
  <si>
    <t>-- Справочник: D_MAP_N_PD_MDL2CM_ERM_SEG</t>
  </si>
  <si>
    <t>-- Справочник: D_DIC_COUNTRY_IMPORT_CLASS</t>
  </si>
  <si>
    <t>-- Справочник: D_RDM_UNDERW_PROCEDURE_BTH</t>
  </si>
  <si>
    <t>-- Справочник: D_RDM_PYMNT_CAT_BTH</t>
  </si>
  <si>
    <t>-- Справочник: D_DDPL_SUPERGROUP_FINAL</t>
  </si>
  <si>
    <t>-- Справочник: D_MAP_SOVER_BLACK_LIST</t>
  </si>
  <si>
    <t>-- Справочник: D_MAP_SRC_SYS_PRIORITY</t>
  </si>
  <si>
    <t>-- Справочник: D_RDM_CURRENCY_BTH</t>
  </si>
  <si>
    <t>-- Справочник: D_DIC_IFRS_CLASS</t>
  </si>
  <si>
    <t>-- Справочник: D_DYN_CHECK_PARAM</t>
  </si>
  <si>
    <t>-- Справочник: D_MAP_CRM_SEGMENT2PRIORITY</t>
  </si>
  <si>
    <t>-- Справочник: D_CUST_CASHFLOW_BTH</t>
  </si>
  <si>
    <t>-- Справочник: D_MAP_BASEL2_CLASS</t>
  </si>
  <si>
    <t>-- Справочник: D_MAP_FLOC_TB2I_INT_ORG</t>
  </si>
  <si>
    <t>-- Справочник: D_DDPL_GROUP</t>
  </si>
  <si>
    <t>-- Справочник: D_TEST_LOG</t>
  </si>
  <si>
    <t>-- Справочник: S071ABCDEF0003_DICT_CURRENCY</t>
  </si>
  <si>
    <t>-- Справочник: D_DDPL_SUPERGROUP</t>
  </si>
  <si>
    <t>-- Справочник: D_RDM_F26_LOAN_TYPE_BTH</t>
  </si>
  <si>
    <t>-- Справочник: D_RDM_F26_INT_PM_FREQ_BTH</t>
  </si>
  <si>
    <t>-- Справочник: D_MAP_SETTINGS</t>
  </si>
  <si>
    <t>-- Справочник: D_MAP_XCM2I_PD</t>
  </si>
  <si>
    <t>-- Справочник: D_RDM_OKVED_INDUSTRY_BTH</t>
  </si>
  <si>
    <t>-- Справочник: D_CP_TEMP_GRP_SEL</t>
  </si>
  <si>
    <t>-- Справочник: D_RDM_COUNTRY_BTH</t>
  </si>
  <si>
    <t>-- Справочник: D_MAP_CND_XCM2ERM_CP_SEG</t>
  </si>
  <si>
    <t>-- Справочник: D_MAP_FIN_OFFBAL_TP2E_CCF_TP</t>
  </si>
  <si>
    <t>-- Справочник: D_DIC_BASEL2_INT_CLASS</t>
  </si>
  <si>
    <t>-- Справочник: S071ABCDEF0002_DOCS_DATA</t>
  </si>
  <si>
    <t>-- Справочник: D_DIC_REGLTRY_PRODUCT_TYPE</t>
  </si>
  <si>
    <t>-- Справочник: D_DIC_INT_ORG_HIER_SCEN</t>
  </si>
  <si>
    <t>-- Справочник: D_PD_DISTRIBUTION_BH</t>
  </si>
  <si>
    <t>-- Справочник: D_IMP_F_CRM_BH</t>
  </si>
  <si>
    <t>-- Справочник: D_DDPL_RULE</t>
  </si>
  <si>
    <t>-- Справочник: D_RDM_COLLATERAL_TYPE_BTH</t>
  </si>
  <si>
    <t>-- Справочник: D_MAP_XCM2ECAP_INDUSTRY</t>
  </si>
  <si>
    <t>-- Справочник: D_DIC_SUBSIDIARY_LOAN_TYPE</t>
  </si>
  <si>
    <t>-- Справочник: D_FIX_EXPOSURE_TYPE</t>
  </si>
  <si>
    <t>-- Справочник: D_DYN_CRM_CARD_TYPE</t>
  </si>
  <si>
    <t>-- Справочник: D_DIC_ECAP_PARAM_INDUSTRY</t>
  </si>
  <si>
    <t>-- Справочник: D_DYN_PD_MODEL</t>
  </si>
  <si>
    <t>-- Справочник: D_MAP_CND_N_DUE_DAYS2_RTNG</t>
  </si>
  <si>
    <t>-- Справочник: D_SEQUENCE</t>
  </si>
  <si>
    <t>-- Справочник: S071ABCDEF0001_DOCS_HEADER</t>
  </si>
  <si>
    <t>-- Справочник: D_DDPL_RULE_DETAIL</t>
  </si>
  <si>
    <t>-- Справочник: D_RDM_F26_LOAN_REGIME_BTH</t>
  </si>
  <si>
    <t>-- Справочник: D_MAP_XCM2I_REG_PROD</t>
  </si>
  <si>
    <t>-- Справочник: D_MAP_XCM2ANNUAL_SALES</t>
  </si>
  <si>
    <t>-- Справочник: D_DIC_CP_RELATION_TYPE</t>
  </si>
  <si>
    <t>-- Справочник: D_DIC_CP_TYPE</t>
  </si>
  <si>
    <t>-- Справочник: D_DYN_CRM_INDUSTRY</t>
  </si>
  <si>
    <t>-- Справочник: D_MAP_CND_FLOC2E_OFFBAL_TYPE</t>
  </si>
  <si>
    <t>-- Справочник: D_RDM_F26_LOAN_PURPOSE_BTH</t>
  </si>
  <si>
    <t>-- Справочник: D_CP_GROUP_ORIG_STL1_BTH</t>
  </si>
  <si>
    <t>-- Справочник: D_RDM_FIN_POS_BTH</t>
  </si>
  <si>
    <t>-- Справочник: D_MAP_CRM_CARD_TYPE2PRIORITY</t>
  </si>
  <si>
    <t>-- Справочник: D_MAP_SAS2IANCM_IN_DEF_IND</t>
  </si>
  <si>
    <t>Q</t>
  </si>
  <si>
    <t>W</t>
  </si>
  <si>
    <t>q-view</t>
  </si>
  <si>
    <t>w-view</t>
  </si>
  <si>
    <t>W-представления (суффикс _W)</t>
  </si>
  <si>
    <t>Q-представления (суффикс _Q)</t>
  </si>
  <si>
    <t xml:space="preserve">function log {
   echo "$1" &gt;&gt; $LOG_FILE
}
PATCH_SCRIPT_DIR=`pwd`
DB_CONFIG_FILE_NAME=$(basename $0)
PRJ_NAME=`ls *runme* | cut -f1,2,3 -d-`
LOG_DIR=${PATCH_SCRIPT_DIR}/log
LOG_FILE=${LOG_DIR}/${PRJ_NAME}_dbconfiglog.html
IS_DEBUG_ENABLE="false"
if [ $# -ne "0" ] &amp;&amp; [ $1 == "--debug" ]
then
 IS_DEBUG_ENABLE="true"
fi
if ! [ -d $LOG_DIR ];
then
 log "No found log directory. Try create log directory."
 mkdir $LOG_DIR
 if ! [ -d $LOG_DIR ];
 then
  echo "Fail create log directory."
  exit 111;
 fi
 echo -n " " &gt; $LOG_FILE
fi
log "&lt;HEAD&gt;"
log "  &lt;TITLE&gt;Р&gt;Р_Р_ С_Р_РчР_С&lt; РїС_РчС"РёРєС_Р° Р_РєС_С_Р РчР_РёС_&lt;/TITLE&gt;" &gt;&gt; $LOG_FILE
log "  &lt;META http-equiv='Content-Type'content='text/html; charMULTISET=UTF-8'/&gt;" &gt;&gt; $LOG_FILE
log "&lt;/HEAD&gt;&lt;BODY&gt;`date +"%Y-%m-%d %H-%M"`: Start work\&lt;BR&gt;"
. ./dbparam.sh
if [ $? -ne "0" ] || [ -z "${TARGET_PREFIX}" ] || [ -z "${ORIG_PREFIX}" ] || [ -z "${FILE_TYPES}" ]
then
 log "`date +"%Y-%m-%d %H-%M"`: No MULTISET needed environment prefix. See file dbparam.sh \&lt;br&gt;"
 log "`date +"%Y-%m-%d %H-%M"`: MULTISET parameters in file dbparam.sh and try again \&lt;br&gt;"
 log "`date +"%Y-%m-%d %H-%M"`: Script abandoned \&lt;br&gt;"
 log "Finish work: &lt;br&gt;"
 log date
 log "&lt;/BODY&gt;"
 exit 666
fi
TARGET_DIR=${PATCH_SCRIPT_DIR}/../${PRJ_NAME}
log "`date +"%Y-%m-%d %H-%M"`: Trying create destination directory\&lt;br&gt;"
rm -rf ${TARGET_DIR}
mkdir ${TARGET_DIR}
if [ $? = 0 ]; 
then
 log "`date +"%Y-%m-%d %H-%M"`: Destination directory success created\&lt;br&gt;"
else
 log "`date +"%Y-%m-%d %H-%M"`: Destination directory failed created\&lt;br&gt;"
 log "&lt;/BODY&gt;"
 exit 112
fi
log "`date +"%Y-%m-%d %H-%M"`: Copy original files to: ${TARGET_DIR} \&lt;br&gt;"
rm -rf "${PATCH_SCRIPT_DIR}/temp_patch"
cp -R $PATCH_SCRIPT_DIR $TARGET_DIR
log "`date +"%Y-%m-%d %H-%M"`: Change DB prefix to target environment\&lt;br&gt;"
for FILE_TYPE in ${FILE_TYPES}; do
 log "`date +"%Y-%m-%d %H-%M"`: Change DB prefix to target environment file ${FILE_TYPE}...\&lt;BR&gt;"
 for file in `find $TARGET_DIR -type f \
  \( \
    -path "$TARGET_DIR/log/*" \
   -o -path "$TARGET_DIR/Log/*" \
   -o -path "$TARGET_DIR/LOG/*" \
   -o -path "$TARGET_DIR/docs/*" \
   -o -path "$TARGET_DIR/Docs/*" \
   -o -path "$TARGET_DIR/DOCS/*" \
   -o -path "$TARGET_DIR/*/bin/*" \
   -o -path "$TARGET_DIR/*/Bin/*" \
   -o -path "$TARGET_DIR/*/BIN/*" \
   -prune \
  \) \
  -o \
  \( \
   -name "*.${FILE_TYPE}" \
   \( \
    ! \
    \( \
     -name dbparam.sh \
     -o -name $DB_CONFIG_FILE_NAME \
    \) \
   \) \
 \)` 
do 
 echo "\n" &gt;&gt; ${file}
 sed "s/$ORIG_PREFIX/$TARGET_PREFIX/g" ${file} &gt; ${file}_tmp
 mv ${file}_tmp ${file}
done
done
ecode=$?
if [ $ecode -ne "0" ]; then 
 log "`date +"%Y-%m-%d %H-%M"`: Error occur. Error code = ${ecode}.\&lt;br&gt;"
 log "`date +"%Y-%m-%d %H-%M"`: Script abandoned.\&lt;br&gt;"
 log "`date +"%Y-%m-%d %H-%M"`: Finish work:\&lt;br&gt;" 
 log "&lt;/BODY&gt;"
 exit $ecode
fi
for FILE_TYPE in ${FILE_TYPES}; do
 for PAIR in ${REPLACED_PAIRS}; do
  MULTISET -- `echo $PAIR | tr '='''`
  OLD_VALUE=$1
  NEW_VALUE=$2   
  log "`date +"%Y-%m-%d %H-%M"`: Replace substring from ${OLD_VALUE} to ${NEW_VALUE} in files "${FILE_TYPE}"\&lt;BR&gt;"
  for file in `find $TARGET_DIR -type f \
   \( \
     -path "$TARGET_DIR/log/*" \
    -o -path "$TARGET_DIR/Log/*" \
    -o -path "$TARGET_DIR/LOG/*" \
    -o -path "$TARGET_DIR/docs/*" \
    -o -path "$TARGET_DIR/Docs/*" \
    -o -path "$TARGET_DIR/DOCS/*" \
    -o -path "$TARGET_DIR/*/bin/*" \
    -o -path "$TARGET_DIR/*/Bin/*" \
    -o -path "$TARGET_DIR/*/BIN/*" \
    -prune \
   \) \
   -o \
   \( \
    -name "*.${FILE_TYPE}" \
    \( \
     ! \
     \( \
      -name dbparam.sh \
      -o -name $DB_CONFIG_FILE_NAME \
     \) \
    \) \
  \)`
  do
     echo "\n" &gt;&gt; ${file}
     sed "s/$OLD_VALUE/$NEW_VALUE/g" ${file} &gt; ${file}_tmp
           mv ${file}_tmp ${file}
  done
 done 
done
if [ $IS_DEBUG_ENABLE = "true" ]
then 
 log "`date +"%Y-%m-%d %H-%M"`: Start diff:&lt;br&gt;"
 diff -a --recursive --exclude=log --exclude=Log --exclude=LOG $PATCH_SCRIPT_DIR $TARGET_DIR | 
  sed  "/^. No newline at end of file/d" |
  sed  "s/^[&lt;&gt;](.*)$/&lt;PRE&gt;\1&lt;\/PRE&gt;/Ig" |
  sed  "s/^diff -a .?--recursive.? .?--exclude=log.? .?--exclude=Log.? .?--exclude=LOG.? (.*)$/&lt;BR&gt;&lt;BR&gt;Р_С_Р_РёР·Р_РчР_РчР_Р_С&lt;Рч Р·Р°Р_РчР_С&lt; Р_ С"Р°Р№Р&gt;Р°С:: \1/Ig" | 
  sed  "s/^([0-9]+)c.*$/&lt;BR&gt;РЎС'С_Р_РєР° \1 /Ig" | 
  sed  "s/^([0-9]+),([0-9]+)c.*$/&lt;BR&gt;РЎС'С_Р_РєРё С_ \1 РїР_ \2 /Ig" | 
  sed  "s/^---$/Р·Р°Р_РчР_РчР_Р°\(С&lt;\) Р_Р°:/Ig" |  
  sed  "s/([\t\r\n,\ \-\/\+\*\(])($ORIG_PREFIX)([^\t\r\n,\ \-\/\+\*\(])/\1&lt;FONT color=red&gt;\2&lt;\/FONT&gt;\3/Ig" | 
  sed  "s/([\t\r\n,\ \-\/\+\*\(])($TARGET_PREFIX)([^\t\r\n,\ \-\/\+\*\(])/\1&lt;FONT color=green&gt;\2&lt;\/FONT&gt;\3/Ig" |
     {
         while read LINE ; do
          CURR_LINE=$LINE
          for PAIR in ${REPLACED_PAIRS}; do
     MULTISET -- `echo $PAIR | tr '='''`
     OLD_VALUE=$1
     NEW_VALUE=$2   
     CURR_LINE=`echo $CURR_LINE | sed  "s/$OLD_VALUE/&lt;FONT color=red&gt;$OLD_VALUE&lt;\/FONT&gt;/Ig"`
     CURR_LINE=`echo $CURR_LINE | sed  "s/$NEW_VALUE/&lt;FONT color=green&gt;$NEW_VALUE&lt;\/FONT&gt;/Ig"`
    done
    echo $CURR_LINE &gt;&gt; $LOG_FILE
         done         
     }   
fi
log "`date +"%Y-%m-%d %H-%M"`: Copy result data to patch directory.\&lt;BR&gt;"
mv "${TARGET_DIR}" "${PATCH_SCRIPT_DIR}/temp_patch"
log "`date +"%Y-%m-%d %H-%M"`: Finish work \&lt;BR&gt;"
log "&lt;/BODY&gt;"
</t>
  </si>
  <si>
    <t xml:space="preserve">.MULTISET logonprompt off
.MULTISET ERROROUT STDOUT
.MULTISET WIDTH 20000
.foldline on
.logon prmtd/sysdbaN,&lt;password&gt;
</t>
  </si>
  <si>
    <t xml:space="preserve">.run file=./logon.bteq
.run file=./database/d.vd_rdm.sql
.run file=./database/d.vd_tmd.sql
.run file=./database/d.rdm_module.sql
.run file=./user/u.rdm_user.sql
.run file=./rdm_module/table/t.rdm_module.dict.sql
.run file=./rdm_module/table/t.rdm_module.dict_domain.sql
.run file=./rdm_module/table/t.rdm_module.usr.sql
.run file=./rdm_module/table/t.rdm_module.sec_grp.sql
.run file=./rdm_module/table/t.rdm_module.dict_attr.sql
.run file=./rdm_module/table/t.rdm_module.dict_etl_key.sql
.run file=./rdm_module/table/t.rdm_module.dict_etl_MULTISET.sql
.run file=./rdm_module/table/t.rdm_module.usr_sec_grp.sql
.run file=./rdm_module/table/t.rdm_module.dict_usr.sql
.run file=./rdm_module/table/t.rdm_module.dict_sec_grp.sql
.run file=./scripts/s.rdm_module.dict_domain.sql
.run file=./scripts/s.rdm_module.usr.sql
.run file=./vd_rdm/function/f.vd_rdm.colmax.sql
.run file=./vd_rdm/function/f.vd_rdm.colmin.sql
.compile file=./rdm_module/procedure/p.rdm_module.rdm_xref_fill.sql
.exit
</t>
  </si>
  <si>
    <t>erm_table</t>
  </si>
  <si>
    <t>erm_domain</t>
  </si>
  <si>
    <t>erm_table_attr</t>
  </si>
  <si>
    <t>erm_attr_collection</t>
  </si>
  <si>
    <t>sec_grp</t>
  </si>
  <si>
    <t>sec_grp_tab_attr</t>
  </si>
  <si>
    <t>sec_role</t>
  </si>
  <si>
    <t>usr_grp</t>
  </si>
  <si>
    <t>usr_grp_sec_grp</t>
  </si>
  <si>
    <t>tab_sec_grp</t>
  </si>
  <si>
    <t>usr</t>
  </si>
  <si>
    <t>usr_usr_grp</t>
  </si>
  <si>
    <t>sec_priv</t>
  </si>
  <si>
    <t>sec_roles_priv</t>
  </si>
  <si>
    <t>join_list</t>
  </si>
  <si>
    <t>join_attr</t>
  </si>
  <si>
    <t>etl_proc</t>
  </si>
  <si>
    <t>etl_proc_param</t>
  </si>
  <si>
    <t>erm_log</t>
  </si>
  <si>
    <t>erm_log_ipc</t>
  </si>
  <si>
    <t>erm_log_td</t>
  </si>
  <si>
    <t>Создать общий скрипт платформы</t>
  </si>
  <si>
    <t>Выгрузить скрипты метаданных в отдельные файлы</t>
  </si>
  <si>
    <t xml:space="preserve">./Build-list.txt
./database/d.vd_rdm.sql
./database/d.vd_tmd.sql
./database/d.rdm_module.sql
./user/u.rdm_user.sql
./rdm_module/table/t.rdm_module.dict.sql
./rdm_module/table/t.rdm_module.dict_domain.sql
./rdm_module/table/t.rdm_module.usr.sql
./rdm_module/table/t.rdm_module.sec_grp.sql
./rdm_module/table/t.rdm_module.dict_attr.sql
./rdm_module/table/t.rdm_module.dict_etl_key.sql
./rdm_module/table/t.rdm_module.dict_etl_set.sql
./rdm_module/table/t.rdm_module.usr_sec_grp.sql
./rdm_module/table/t.rdm_module.dict_usr.sql
./rdm_module/table/t.rdm_module.dict_sec_grp.sql
./scripts/s.rdm_module.dict_domain.sql
./scripts/s.rdm_module.usr.sql
./rdm_module/procedure/p.rdm_module.rdm_xref_fill.sql
./vd_rdm/function/f.vd_rdm.colmax.sql
./vd_rdm/function/f.vd_rdm.colmin.sql
</t>
  </si>
  <si>
    <t xml:space="preserve">    CREATE MULTISET TABLE %schema%.SEC_PRIV ,NO FALLBACK ,
     NO BEFORE JOURNAL,
     NO AFTER JOURNAL,
     CHECKSUM = DEFAULT,
     DEFAULT MERGEBLOCKRATIO
     (
      PRIV_ID INTEGER NOT NULL,
      PRIV_CODE VARCHAR(32) CHARACTER SET UNICODE NOT CASESPECIFIC ,
      DESCR VARCHAR(512) CHARACTER SET UNICODE NOT CASESPECIFIC
     )
     PRIMARY INDEX ( PRIV_ID );
    ALTER TABLE %schema%.SEC_PRIV
   ADD CONSTRAINT const  UNIQUE (PRIV_ID) ;
</t>
  </si>
  <si>
    <t>CREATE MULTISET TABLE %schema%.ETL_PROC_PARAM ,NO FALLBACK ,
     NO BEFORE JOURNAL,
     NO AFTER JOURNAL,
     CHECKSUM = DEFAULT,
     DEFAULT MERGEBLOCKRATIO
     (
      PARAM_ID INTEGER  NOT NULL,
      NM VARCHAR(32) CHARACTER SET UNICODE NOT CASESPECIFIC NOT NULL,
      START_DT DATE FORMAT 'YYYY-MM-DD',
      END_DT DATE FORMAT 'YYYY-MM-DD',
      DESCR VARCHAR(512) CHARACTER SET UNICODE NOT CASESPECIFIC ,
      EP_ID INTEGER  NOT NULL,    
      DATA_TYPE CHAR(1) CHARACTER SET UNICODE NOT CASESPECIFIC NOT NULL,
      DEF_VAL VARCHAR(512) CHARACTER SET UNICODE NOT CASESPECIFIC , 
PRIMARY KEY ( PARAM_ID ), 
FOREIGN KEY ( EP_ID ) REFERENCES %schema%.ETL_PROC ( EP_ID ))
PRIMARY INDEX ( NM );</t>
  </si>
  <si>
    <t>SRC_CP_PF_RATIO</t>
  </si>
  <si>
    <t>SRC_DEFAULT_OR_NULL_RTNG</t>
  </si>
  <si>
    <t>SRC_ECAP_INDUSTRY_ID</t>
  </si>
  <si>
    <t>SRC_ECAP_PARAM_INDUSTRY_ID</t>
  </si>
  <si>
    <t>SRC_PD_MODEL_ID</t>
  </si>
  <si>
    <t>D_DATA_LOAD_LOG</t>
  </si>
  <si>
    <t>D_CLAIM_EXPOSURE_STL1_BTH</t>
  </si>
  <si>
    <t>D_MAP_XCP2E_LGD</t>
  </si>
  <si>
    <t>SGPD_FORWARD</t>
  </si>
  <si>
    <t>D_ETL_INPUT_PACKAGE_LOAD_LOG</t>
  </si>
  <si>
    <t>D_FIX_LOAD_MODULE</t>
  </si>
  <si>
    <t>D_MODULE_STATUS</t>
  </si>
  <si>
    <t>SGPD_BACKWARD</t>
  </si>
  <si>
    <t>INPUT_PACKAGE_NAME</t>
  </si>
  <si>
    <t>CLAIM_EXPOSURE_STL1_SK</t>
  </si>
  <si>
    <t>SOURCE_REGLTRY_PRODUCT_TYPE_ID</t>
  </si>
  <si>
    <t>SOURCE_OFF_BAL_SHEET_TYPE_ID</t>
  </si>
  <si>
    <t>SOURCE_CTRY_MATURITY_CLASS_ID</t>
  </si>
  <si>
    <t>DDPL_VISIBILITY_STATUS</t>
  </si>
  <si>
    <t>LOAD_MODULE_DSC</t>
  </si>
  <si>
    <t>SOURCE_CP_COUNTRY_EFF_ID</t>
  </si>
  <si>
    <t>TABLE_NM</t>
  </si>
  <si>
    <t>LOAD_STTS_CD</t>
  </si>
  <si>
    <t>INPUT_PACKAGE_STTS_TS</t>
  </si>
  <si>
    <t>LAYER_CD</t>
  </si>
  <si>
    <t>STATUS_CD</t>
  </si>
  <si>
    <t>MODULE_CD</t>
  </si>
  <si>
    <t>SOURCE_REGLTRY_CP_TYPE_ID</t>
  </si>
  <si>
    <t>SOURCE_IMPORTANCE_CLASS_ID</t>
  </si>
  <si>
    <t>LOAD_MODULE_CD</t>
  </si>
  <si>
    <t>WORKFLOW_RUN_ID</t>
  </si>
  <si>
    <t>SOURCE_due_days</t>
  </si>
  <si>
    <t>SOURCE_crm_id</t>
  </si>
  <si>
    <t>SOURCE_inn</t>
  </si>
  <si>
    <t>SOURCE_Model</t>
  </si>
  <si>
    <t>SOURCE_Rating</t>
  </si>
  <si>
    <t>SOURCE_Product</t>
  </si>
  <si>
    <t>SOURCE_CP_NM_white</t>
  </si>
  <si>
    <t>SOURCE_CP_NM_black</t>
  </si>
  <si>
    <t xml:space="preserve">CHAR(39) </t>
  </si>
  <si>
    <t xml:space="preserve">VARCHAR(32) </t>
  </si>
  <si>
    <t xml:space="preserve">VARCHAR(8) </t>
  </si>
  <si>
    <t xml:space="preserve">CHAR(5) </t>
  </si>
  <si>
    <t>-- Справочник: D_DATA_LOAD_LOG</t>
  </si>
  <si>
    <t>-- Справочник: D_CLAIM_EXPOSURE_STL1_BTH</t>
  </si>
  <si>
    <t>-- Справочник: D_MAP_XCP2E_LGD</t>
  </si>
  <si>
    <t>-- Справочник: SGPD_FORWARD</t>
  </si>
  <si>
    <t>-- Справочник: D_ETL_INPUT_PACKAGE_LOAD_LOG</t>
  </si>
  <si>
    <t>-- Справочник: D_FIX_LOAD_MODULE</t>
  </si>
  <si>
    <t>-- Справочник: D_MODULE_STATUS</t>
  </si>
  <si>
    <t>-- Справочник: SGPD_BACKWARD</t>
  </si>
  <si>
    <t>SELECT 1 FROM DBC.TABLES WHERE TRIM(DatabaseName) = '%SCHEMA%' AND TRIM(TableName) = '%DICT_CODE%_T' AND TableKind = 'T';
.IF ACTIVITYCOUNT = 0 THEN .GOTO %DICT_CODE%_T_NotExists;
DROP TABLE %SCHEMA%%DICT_CODE%_T;
.LABEL %DICT_CODE%_T_NotExists;
CREATE MULTISET TABLE %SCHEMA%%DICT_CODE%_T,
     NO FALLBACK, NO BEFORE JOURNAL, NO AFTER JOURNAL, CHECKSUM = DEFAULT
     (   
         %ADD_FIELD_SCRIPT%
        ERM$SID BIGINT,
        ERM$OP INTEGER NOT NULL DEFAULT 0,
        ERM$SHEET INTEGER  NOT NULL,
        ERM$RANK BIGINT NOT NULL default 0       
     ) PRIMARY INDEX (%C.PK%);</t>
  </si>
  <si>
    <t xml:space="preserve">VARCHAR(27000) </t>
  </si>
  <si>
    <t>FT19_DB_ERM_GUI</t>
  </si>
  <si>
    <t>D_IMP_F_CLAIM_STD_BH</t>
  </si>
  <si>
    <t>D_RCAP_CALC_SESSIONS</t>
  </si>
  <si>
    <t>D_ISSUE_INSTRUMENT</t>
  </si>
  <si>
    <t>D_MAN_CP_ORIG</t>
  </si>
  <si>
    <t>D_INT_ORG_FLAT_BTH</t>
  </si>
  <si>
    <t>D_EXPOSURE_INSTRUMENT</t>
  </si>
  <si>
    <t>D_INTERNAL_ORG_MART</t>
  </si>
  <si>
    <t>D_F_CLAIM_STD_X_ORIG_BH</t>
  </si>
  <si>
    <t>D_ISSUE_ACCOUNT</t>
  </si>
  <si>
    <t>D_MATERIALIZATION_LOG</t>
  </si>
  <si>
    <t>D_ISSUE_FACILITY</t>
  </si>
  <si>
    <t>D_MAP_CCF_STD_BY_DEFAULT</t>
  </si>
  <si>
    <t>D_MAN_ECAP_PLAN</t>
  </si>
  <si>
    <t>D_ISSUE_SECURITIZATION</t>
  </si>
  <si>
    <t>D_SA_SESSIONS</t>
  </si>
  <si>
    <t>D_INTERNAL_ORG_ASSOCIATION</t>
  </si>
  <si>
    <t>D_MAP_SUBSID_CD_TO_LOAD</t>
  </si>
  <si>
    <t>D_MAN_QUOTE_DATA</t>
  </si>
  <si>
    <t>D_ISSUE_RECEIVABLE</t>
  </si>
  <si>
    <t>D_MAN_CP_GROUP_ORIG</t>
  </si>
  <si>
    <t>D_EXPOSURE_RECEIVABLE</t>
  </si>
  <si>
    <t>D_MAP_CL_LOAN_CAT_FILTER</t>
  </si>
  <si>
    <t>D_MAN_REGLTRY_CAPITAL_MART</t>
  </si>
  <si>
    <t>D_MAN_CLAIM_ORIG</t>
  </si>
  <si>
    <t>D_STG_LOAD_INFO_SYSTEM</t>
  </si>
  <si>
    <t>D_EXPOSURE_SECURITIZATION</t>
  </si>
  <si>
    <t>D_MAN_CLAIM_EXPOSURE</t>
  </si>
  <si>
    <t>EFF_CCF_IRB_PCT</t>
  </si>
  <si>
    <t>EFF_CCF_STD_PCT</t>
  </si>
  <si>
    <t>BALANCE_CCY_AMT</t>
  </si>
  <si>
    <t>PROVISION_BAL_CCY_AMT</t>
  </si>
  <si>
    <t>PROVISION_BAL_RUB_AMT</t>
  </si>
  <si>
    <t>PROVISION_OFF_BAL_CCY_AMT</t>
  </si>
  <si>
    <t>PROVISION_OFF_BAL_RUB_AMT</t>
  </si>
  <si>
    <t>ANNUAL_SALES</t>
  </si>
  <si>
    <t>ANNUAL_SALES_GROUP</t>
  </si>
  <si>
    <t>BASEL3_ADJ_FLAG</t>
  </si>
  <si>
    <t>CBRF_FLAG</t>
  </si>
  <si>
    <t>COUNTERPARTY_COUNTRY</t>
  </si>
  <si>
    <t>COUNTERPARTY_COUNTRY_EFF</t>
  </si>
  <si>
    <t>COUNTERPARTY_GROUP</t>
  </si>
  <si>
    <t>COUNTERPARTY_ID</t>
  </si>
  <si>
    <t>COUNTERPARTY_NAME</t>
  </si>
  <si>
    <t>COUNTERPARTY_PD_MODEL_TYPE</t>
  </si>
  <si>
    <t>COUNTERPARTY_PD_RATING_GRADE</t>
  </si>
  <si>
    <t>COUNTERPARTY_RELATION_TYPE_CD</t>
  </si>
  <si>
    <t>COUNTERPARTY_RK</t>
  </si>
  <si>
    <t>COUNTERPARTY_TYPE_CD</t>
  </si>
  <si>
    <t>ECAP_INDUSTRY</t>
  </si>
  <si>
    <t>ECAP_PARAM_INDUSTRY</t>
  </si>
  <si>
    <t>ECAP_SEGMENT</t>
  </si>
  <si>
    <t>EXTRACTION_TS</t>
  </si>
  <si>
    <t>INDUSTRY</t>
  </si>
  <si>
    <t>IN_DEFAULT_FLG</t>
  </si>
  <si>
    <t>PD_PCT_REG</t>
  </si>
  <si>
    <t>PD_PCT_TTC</t>
  </si>
  <si>
    <t>POOL_FLG</t>
  </si>
  <si>
    <t>REGLTRY_COUNTERPARTY_TYPE_CD</t>
  </si>
  <si>
    <t>REPORTING_CURRENCY_CD</t>
  </si>
  <si>
    <t>STOCK_EXCHANGE_TRADING_FLAG</t>
  </si>
  <si>
    <t>TOTAL_ASSETS</t>
  </si>
  <si>
    <t>TOTAL_ASSETS_GROUP</t>
  </si>
  <si>
    <t>USE_ASSETS_FOR_SIZE</t>
  </si>
  <si>
    <t>VALIDITY_DATE</t>
  </si>
  <si>
    <t>CF_DATE</t>
  </si>
  <si>
    <t>CF_VALUE</t>
  </si>
  <si>
    <t>ISSUE_KEY</t>
  </si>
  <si>
    <t>CONTRACT_NUMBER</t>
  </si>
  <si>
    <t>CURRENCY</t>
  </si>
  <si>
    <t>CURRENCY_ACT</t>
  </si>
  <si>
    <t>EAD_NOCCF</t>
  </si>
  <si>
    <t>EAD_NOCCF_ACT_CUR</t>
  </si>
  <si>
    <t>EXPOSURE_FACILITY_REF</t>
  </si>
  <si>
    <t>INSTID</t>
  </si>
  <si>
    <t>INTERNAL_ORG_RK</t>
  </si>
  <si>
    <t>MIN_MATURITY_FLAG</t>
  </si>
  <si>
    <t>OFF_BALANCE_SHEET_TYPE_CD</t>
  </si>
  <si>
    <t>EQUITY_INVESTMENT_TYPE</t>
  </si>
  <si>
    <t>L100_BOUND_EQUITY</t>
  </si>
  <si>
    <t>ASSET_GROUP_CD</t>
  </si>
  <si>
    <t>CCF_PCT</t>
  </si>
  <si>
    <t>CP_CD</t>
  </si>
  <si>
    <t>ROW_NUM</t>
  </si>
  <si>
    <t>RUB_AMT</t>
  </si>
  <si>
    <t>ASSOCIATION_TYPE_CD</t>
  </si>
  <si>
    <t>HIERARCHY_LEVEL</t>
  </si>
  <si>
    <t>PARENT_INTERNAL_ORG_RK</t>
  </si>
  <si>
    <t>BUSINESS_UNIT</t>
  </si>
  <si>
    <t>FLAT_LEVEL</t>
  </si>
  <si>
    <t>BALANCE_AMT</t>
  </si>
  <si>
    <t>EFFECTIVE_MATURITY_YEAR</t>
  </si>
  <si>
    <t>INCEPTION_DATE</t>
  </si>
  <si>
    <t>INTEREST_RATE</t>
  </si>
  <si>
    <t>IN_PAST_DUE_FLG</t>
  </si>
  <si>
    <t>LGD_PCT</t>
  </si>
  <si>
    <t>LGD_REGULATORY_PCT</t>
  </si>
  <si>
    <t>MATURITY_DATE</t>
  </si>
  <si>
    <t>PROVISIONS_AMT</t>
  </si>
  <si>
    <t>REGULATORY_PRODUCT_CD</t>
  </si>
  <si>
    <t>REP_CLASS</t>
  </si>
  <si>
    <t>DILUTION_EXPECTED_LOSS_PERCENT</t>
  </si>
  <si>
    <t>ISSUER_COUNTERPARTY_RK</t>
  </si>
  <si>
    <t>CREDIT_ENHANCEMENT_LEVEL</t>
  </si>
  <si>
    <t>SECURITIZATION_POOL_RK</t>
  </si>
  <si>
    <t>THICKNESS</t>
  </si>
  <si>
    <t>CLAIM_EXPOSURE_ID</t>
  </si>
  <si>
    <t>ECAP_PLAN_ID</t>
  </si>
  <si>
    <t>ENTITY_SYSTEM_ID</t>
  </si>
  <si>
    <t>PLAN_CCY_AMT</t>
  </si>
  <si>
    <t>PLAN_RUB_AMT</t>
  </si>
  <si>
    <t>VERSION_NO</t>
  </si>
  <si>
    <t>QUOTE_DATA_ID</t>
  </si>
  <si>
    <t>RISK_FACTOR_VALUE</t>
  </si>
  <si>
    <t>REGLTRY_CAPITAL_CCY_AMT</t>
  </si>
  <si>
    <t>REGLTRY_CAPITAL_MART_ID</t>
  </si>
  <si>
    <t>CCF_STD_PCT</t>
  </si>
  <si>
    <t>LOAN_CAT_CD</t>
  </si>
  <si>
    <t>LOAD_IND</t>
  </si>
  <si>
    <t>SUBSID_CD</t>
  </si>
  <si>
    <t>SUBSID_DSC</t>
  </si>
  <si>
    <t>ERM_TS</t>
  </si>
  <si>
    <t>GUI_TS</t>
  </si>
  <si>
    <t>BLOB_ARCHIVE</t>
  </si>
  <si>
    <t>calculation_end</t>
  </si>
  <si>
    <t>calculation_start</t>
  </si>
  <si>
    <t>COMMENT</t>
  </si>
  <si>
    <t>CONFIDENCE_INTERVAL</t>
  </si>
  <si>
    <t>CONFIGURATION_ID</t>
  </si>
  <si>
    <t>EUR_FX_RATE</t>
  </si>
  <si>
    <t>EXTRACTION_DATETIME</t>
  </si>
  <si>
    <t>LGD_TYPE</t>
  </si>
  <si>
    <t>MASTER_CALCULATION</t>
  </si>
  <si>
    <t>PD_TYPE</t>
  </si>
  <si>
    <t>PRIMARY_CALCULATION</t>
  </si>
  <si>
    <t>REG_PRIORITY</t>
  </si>
  <si>
    <t>SL_CALC_TYPE</t>
  </si>
  <si>
    <t>AVG_ECAP_MINUS</t>
  </si>
  <si>
    <t>AVG_ECAP_PLUS</t>
  </si>
  <si>
    <t>AVG_ECAP_SENSITIVITY</t>
  </si>
  <si>
    <t>BASE_SCENARIOS</t>
  </si>
  <si>
    <t>CALCULATION_END</t>
  </si>
  <si>
    <t>CALCULATION_START</t>
  </si>
  <si>
    <t>DELTA_RATIO</t>
  </si>
  <si>
    <t>ECAP_CALC_QTY</t>
  </si>
  <si>
    <t>ECAP_STD_DEV_MINUS</t>
  </si>
  <si>
    <t>ECAP_STD_DEV_PLUS</t>
  </si>
  <si>
    <t>EXPOSURE_RESULTS_MODE</t>
  </si>
  <si>
    <t>IMPS_SCENARIOS</t>
  </si>
  <si>
    <t>MIN_ALLOCATION_PERCENTILE</t>
  </si>
  <si>
    <t>PRIMARY_SIGNIF_LEVEL</t>
  </si>
  <si>
    <t>SA_PARAMETER</t>
  </si>
  <si>
    <t>STD_DEV_ECAP_SENSITIVITY</t>
  </si>
  <si>
    <t>USERNAME</t>
  </si>
  <si>
    <t>DECIMAL(16, 0)</t>
  </si>
  <si>
    <t xml:space="preserve">CHAR(21) </t>
  </si>
  <si>
    <t>DECIMAL(15, 6)</t>
  </si>
  <si>
    <t xml:space="preserve">CHAR(32) </t>
  </si>
  <si>
    <t xml:space="preserve">CHAR(12) </t>
  </si>
  <si>
    <t>BLOB(2097088000)</t>
  </si>
  <si>
    <t>DECIMAL(26, 6)</t>
  </si>
  <si>
    <t xml:space="preserve">VARCHAR(1) </t>
  </si>
  <si>
    <t xml:space="preserve">CHAR(100) </t>
  </si>
  <si>
    <t xml:space="preserve">CHAR(17) </t>
  </si>
  <si>
    <t xml:space="preserve">CHAR(50) </t>
  </si>
  <si>
    <t>SELECT 1 FROM DBC.TABLES WHERE TRIM(DatabaseName) = '%SCHEMA%' AND TRIM(TableName) = 'ERM_DOMAIN' AND TableKind = 'T';
.IF ACTIVITYCOUNT = 0 THEN .GOTO ERM_DOMAIN_NotExists;
DROP TABLE %SCHEMA%ERM_DOMAIN;
.LABEL ERM_DOMAIN_NotExists;
CREATE MULTISET TABLE %schema%.ERM_DOMAIN ,NO FALLBACK ,
     NO BEFORE JOURNAL,
     NO AFTER JOURNAL,
     CHECKSUM = DEFAULT,
     DEFAULT MERGEBLOCKRATIO
     (
      DOMAIN_ID INTEGER  NOT NULL,
      NM VARCHAR(50) CHARACTER SET UNICODE NOT CASESPECIFIC  NOT NULL,
      DATATYPE VARCHAR(30) CHARACTER SET UNICODE NOT CASESPECIFIC  NOT NULL,
      DATADEC DECIMAL(2,0),
      DATALEN DECIMAL(4,0),
      UPR_NVAL DECIMAL(38,4),
      LWR_NVAL DECIMAL(38,4),
      UPR_DVAL DATE FORMAT 'YYYY-MM-DD',
      LWR_DVAL DATE FORMAT 'YYYY-MM-DD'
)
PRIMARY INDEX ( DOMAIN_ID );
ALTER TABLE %schema%.ERM_DOMAIN 
ADD CONSTRAINT const  UNIQUE (DOMAIN_ID ) ;</t>
  </si>
  <si>
    <t>-- Справочник: D_EXPOSURE_ACCOUNT</t>
  </si>
  <si>
    <t>-- Справочник: D_ISSUE_INSTRUMENT</t>
  </si>
  <si>
    <t>-- Справочник: D_MAN_CP_ORIG</t>
  </si>
  <si>
    <t>-- Справочник: D_INT_ORG_FLAT_BTH</t>
  </si>
  <si>
    <t>-- Справочник: D_EXPOSURE_INSTRUMENT</t>
  </si>
  <si>
    <t>-- Справочник: D_INTERNAL_ORG_MART</t>
  </si>
  <si>
    <t>-- Справочник: D_F_CLAIM_STD_X_ORIG_BH</t>
  </si>
  <si>
    <t>-- Справочник: D_ISSUE_ACCOUNT</t>
  </si>
  <si>
    <t>-- Справочник: D_MATERIALIZATION_LOG</t>
  </si>
  <si>
    <t>-- Справочник: D_ISSUE_FACILITY</t>
  </si>
  <si>
    <t>-- Справочник: D_EXPOSURE_FACILITY</t>
  </si>
  <si>
    <t>-- Справочник: D_MAP_CCF_STD_BY_DEFAULT</t>
  </si>
  <si>
    <t>-- Справочник: D_MAN_ECAP_PLAN</t>
  </si>
  <si>
    <t>-- Справочник: D_ISSUE_SECURITIZATION</t>
  </si>
  <si>
    <t>-- Справочник: D_INTERNAL_ORG_ASSOCIATION</t>
  </si>
  <si>
    <t>-- Справочник: D_MAP_SUBSID_CD_TO_LOAD</t>
  </si>
  <si>
    <t>-- Справочник: D_MAN_QUOTE_DATA</t>
  </si>
  <si>
    <t>-- Справочник: D_ISSUE_RECEIVABLE</t>
  </si>
  <si>
    <t>-- Справочник: D_MAN_CP_GROUP_ORIG</t>
  </si>
  <si>
    <t>-- Справочник: D_EXPOSURE_RECEIVABLE</t>
  </si>
  <si>
    <t>-- Справочник: D_MAP_CL_LOAN_CAT_FILTER</t>
  </si>
  <si>
    <t>-- Справочник: D_MAN_REGLTRY_CAPITAL_MART</t>
  </si>
  <si>
    <t>-- Справочник: D_MAN_CLAIM_ORIG</t>
  </si>
  <si>
    <t>-- Справочник: D_STG_LOAD_INFO_SYSTEM</t>
  </si>
  <si>
    <t>-- Справочник: D_COUNTERPARTY_MART</t>
  </si>
  <si>
    <t>-- Справочник: D_EXPOSURE_SECURITIZATION</t>
  </si>
  <si>
    <t>-- Справочник: D_MAN_CLAIM_EXPOSURE</t>
  </si>
  <si>
    <t>"COMMENT"</t>
  </si>
  <si>
    <t>"USER"</t>
  </si>
  <si>
    <t>CREATE MULTISET TABLE %schema%.ERM_ATTR_COLLECTION ,NO FALLBACK ,
     NO BEFORE JOURNAL,
     NO AFTER JOURNAL,
     CHECKSUM = DEFAULT,
     DEFAULT MERGEBLOCKRATIO
     (
      COLLECTION_ID INTEGER NOT NULL,
      PK_ATTR_ID INTEGER NOT NULL,
      FK_ATTR_ID INTEGER NOT NULL)
PRIMARY INDEX ( COLLECTION_ID );</t>
  </si>
  <si>
    <t>-- Справочник: D_MAP_XCM_CRM_SEG2ERM_CP_SEG</t>
  </si>
  <si>
    <t>-- Справочник: D_IMP_F_CLAIM_STD_BH</t>
  </si>
  <si>
    <t>-- Справочник: D_DDPL_STATUS</t>
  </si>
  <si>
    <t>-- Справочник: D_DYN_SRC_SYS</t>
  </si>
  <si>
    <t>-- Справочник: D_MAP_N_ERM_SEG2CP</t>
  </si>
  <si>
    <t>-- Справочник: D_DIC_ERM_CP_SEGMENT</t>
  </si>
  <si>
    <t>D_ECAP_UPDATED_CPTY_ATTRIB</t>
  </si>
  <si>
    <t>D_RCAP_PER_EXPOSURE_RESULTS</t>
  </si>
  <si>
    <t>D_MAN_DST_STRESS_FACTOR_VAL</t>
  </si>
  <si>
    <t>D_ST_SESSIONS</t>
  </si>
  <si>
    <t>D_CS_ST_PERIODS</t>
  </si>
  <si>
    <t>D_CS_ST_SCENARIOS</t>
  </si>
  <si>
    <t>D_CS_ECAP_GEN_PARAMS</t>
  </si>
  <si>
    <t>D_SECURITIZATION_POOL_MART</t>
  </si>
  <si>
    <t>D_ECAP_PER_EXPOSURE_RESULTS</t>
  </si>
  <si>
    <t>D_CS_MAP_INDUSTRY</t>
  </si>
  <si>
    <t>D_RCAP_UPDATED_CPTY_ATTRIB</t>
  </si>
  <si>
    <t>D_ECAP_REP_PARAMS</t>
  </si>
  <si>
    <t>D_MAP_FDSC_CODES_TO_IGNORE</t>
  </si>
  <si>
    <t>D_ST_IND_SEGM_FACTORS</t>
  </si>
  <si>
    <t>D_MAN_DST_SCENARIO</t>
  </si>
  <si>
    <t>D_FIX_LOAD_TABLE_MODULE</t>
  </si>
  <si>
    <t>D_CUST_CASHFLOWS</t>
  </si>
  <si>
    <t>D_ST_RWA_CALC_STATUS</t>
  </si>
  <si>
    <t>D_ST_PER_EXPOSURE_RESULTS</t>
  </si>
  <si>
    <t>D_ECAP_AGGREGATED_RESULTS</t>
  </si>
  <si>
    <t>D_MAN_DST_IND_GROWTH</t>
  </si>
  <si>
    <t>D_MAN_DST_SEGM_GROWTH</t>
  </si>
  <si>
    <t>D_ECAP_LOSS_DISTRIB</t>
  </si>
  <si>
    <t>D_ECAP_SIGN_LEV_RESULTS</t>
  </si>
  <si>
    <t>D_ST_ECAP_CALC_STATUS</t>
  </si>
  <si>
    <t>D_ECAP_CALC_SESSIONS</t>
  </si>
  <si>
    <t>D_FIX_LOAD_TABLE</t>
  </si>
  <si>
    <t>D_RCAP_AGGREGATED_RESULTS</t>
  </si>
  <si>
    <t>D_ST_CP_RESULTS</t>
  </si>
  <si>
    <t>D_MAN_DST_PERIOD</t>
  </si>
  <si>
    <t>D_DIC_FM_DEAL_TYPE</t>
  </si>
  <si>
    <t>FM_DEAL_TYPE_ID</t>
  </si>
  <si>
    <t>FM_PORTFOLIO_TYPE_CD</t>
  </si>
  <si>
    <t>BAD_DEBT_GRADE</t>
  </si>
  <si>
    <t>COUNTERPARTY_FIN_POSITION</t>
  </si>
  <si>
    <t>ECAP_SEGMENT_SB_GROUP</t>
  </si>
  <si>
    <t>PASSED_TO_URPA</t>
  </si>
  <si>
    <t>CHAR_VALUE</t>
  </si>
  <si>
    <t>CONFIG_SET_ID</t>
  </si>
  <si>
    <t>DATE_VALUE</t>
  </si>
  <si>
    <t>NUM_VALUE</t>
  </si>
  <si>
    <t>ST_SESSION_ID</t>
  </si>
  <si>
    <t>VALID_FROM_DTTM</t>
  </si>
  <si>
    <t>VALID_TO_DTTM</t>
  </si>
  <si>
    <t>INDUSTRY_DESC</t>
  </si>
  <si>
    <t>TGT_INDUSTRY</t>
  </si>
  <si>
    <t>X_NAME_REP</t>
  </si>
  <si>
    <t>DURATION</t>
  </si>
  <si>
    <t>PERIOD_ID</t>
  </si>
  <si>
    <t>SCENARIO_ID</t>
  </si>
  <si>
    <t>FM_DEAL_TYPE_CD</t>
  </si>
  <si>
    <t>FM_DEAL_TYPE_DSC</t>
  </si>
  <si>
    <t>NACE_LEVEL_CD</t>
  </si>
  <si>
    <t>ADD_ECAP_DEF_T0</t>
  </si>
  <si>
    <t>ALLOC_PERCENTILE_VALUE</t>
  </si>
  <si>
    <t>CALC_SESSION_ID</t>
  </si>
  <si>
    <t>EL_T0</t>
  </si>
  <si>
    <t>EPROV_T0</t>
  </si>
  <si>
    <t>LOSS_STD_DEV_T0</t>
  </si>
  <si>
    <t>ADJ_CP_CORR</t>
  </si>
  <si>
    <t>ADJ_LGD_DOWNTURN</t>
  </si>
  <si>
    <t>ADJ_LGD_LONGRUN</t>
  </si>
  <si>
    <t>ADJ_MACRO_CORR</t>
  </si>
  <si>
    <t>ADJ_PD</t>
  </si>
  <si>
    <t>ALLOC_SIMULATIONS</t>
  </si>
  <si>
    <t>ALLOC_USE_EXP_LOSS</t>
  </si>
  <si>
    <t>ECAP_SIMULATIONS</t>
  </si>
  <si>
    <t>OLAP_INCLUDE</t>
  </si>
  <si>
    <t>SA_CALC_DESCR</t>
  </si>
  <si>
    <t>SA_ITERATION</t>
  </si>
  <si>
    <t>SA_SESSION_REF</t>
  </si>
  <si>
    <t>USE_IN_REP_FLG</t>
  </si>
  <si>
    <t>IS_FOR_ALLOCATION</t>
  </si>
  <si>
    <t>LH_RATIO</t>
  </si>
  <si>
    <t>LOSS</t>
  </si>
  <si>
    <t>PROVISIONS</t>
  </si>
  <si>
    <t>SCENARIO</t>
  </si>
  <si>
    <t>WEIGHT</t>
  </si>
  <si>
    <t>CP_CORR_CALC</t>
  </si>
  <si>
    <t>CP_PD_CURRENT_CALC</t>
  </si>
  <si>
    <t>EAD_AMT</t>
  </si>
  <si>
    <t>ECAP_ADD_DEF_T0</t>
  </si>
  <si>
    <t>ECAP_MC_PRC_T0</t>
  </si>
  <si>
    <t>EL_MC_T0</t>
  </si>
  <si>
    <t>EPROV_MC_T0</t>
  </si>
  <si>
    <t>EXPECTED_LOSS_PERCENT</t>
  </si>
  <si>
    <t>EXP_PD_CURRENT_CALC</t>
  </si>
  <si>
    <t>LGD_CURR_CALC</t>
  </si>
  <si>
    <t>LGD_DOWNTURN_CALC</t>
  </si>
  <si>
    <t>PD_CURRENT_CALC</t>
  </si>
  <si>
    <t>ECAP_MC_T0</t>
  </si>
  <si>
    <t>IS_PRIMARY</t>
  </si>
  <si>
    <t>LEVEL_NAME</t>
  </si>
  <si>
    <t>SIGNIF_LEVEL</t>
  </si>
  <si>
    <t>LOAD_TABLE_BTH_IND</t>
  </si>
  <si>
    <t>LOAD_TABLE_CD</t>
  </si>
  <si>
    <t>LOAD_TABLE_HUB_IND</t>
  </si>
  <si>
    <t>LOAD_TABLE_KEY_LIST</t>
  </si>
  <si>
    <t>F_CLAIM_STD_ID</t>
  </si>
  <si>
    <t>FDSC_CLAIM_ID</t>
  </si>
  <si>
    <t>WEIGHTED_RISK_EQUIV_RUB_AMT</t>
  </si>
  <si>
    <t>REGULATORY_POOL_CPTY_TYPE_CD</t>
  </si>
  <si>
    <t>DST_IND_GROWTH_ID</t>
  </si>
  <si>
    <t>GROWTH_RATE_PCT</t>
  </si>
  <si>
    <t>DST_PERIOD_ID</t>
  </si>
  <si>
    <t>PERIOD_DURATION_YEAR</t>
  </si>
  <si>
    <t>PERIOD_NM</t>
  </si>
  <si>
    <t>DST_SCENARIO_ID</t>
  </si>
  <si>
    <t>SCENARIO_NM</t>
  </si>
  <si>
    <t>DST_SEGM_GROWTH_ID</t>
  </si>
  <si>
    <t>DST_STRESS_FACTOR_VAL_ID</t>
  </si>
  <si>
    <t>FACTOR_VALUE</t>
  </si>
  <si>
    <t>FDSC_TO_IGNORE_CD</t>
  </si>
  <si>
    <t>SOURCE_DEAL_TYPE_ID</t>
  </si>
  <si>
    <t>AVAIL_CAP_DEDUCTION</t>
  </si>
  <si>
    <t>RCAP</t>
  </si>
  <si>
    <t>RWA</t>
  </si>
  <si>
    <t>B</t>
  </si>
  <si>
    <t>B_DEFAULT</t>
  </si>
  <si>
    <t>B_DILUTION</t>
  </si>
  <si>
    <t>K</t>
  </si>
  <si>
    <t>K_DEFAULT</t>
  </si>
  <si>
    <t>K_DILUTION</t>
  </si>
  <si>
    <t>LGD_CALCULATION</t>
  </si>
  <si>
    <t>M</t>
  </si>
  <si>
    <t>PD_CALCULATION</t>
  </si>
  <si>
    <t>R</t>
  </si>
  <si>
    <t>RW</t>
  </si>
  <si>
    <t>RWA_DEFAULT</t>
  </si>
  <si>
    <t>RWA_DILUTION</t>
  </si>
  <si>
    <t>R_DEFAULT</t>
  </si>
  <si>
    <t>R_DILUTION</t>
  </si>
  <si>
    <t>DELTA_MINUS</t>
  </si>
  <si>
    <t>DELTA_PLUS</t>
  </si>
  <si>
    <t>EFFECTIVE_NUMBER_OF_EXPOSURES</t>
  </si>
  <si>
    <t>K_IRB</t>
  </si>
  <si>
    <t>PRIMARY_BANK_ROLE_CD</t>
  </si>
  <si>
    <t>WEIGHTED_AVG_LGD_PCT</t>
  </si>
  <si>
    <t>PD_PIT_STRESS</t>
  </si>
  <si>
    <t>ECAP_SESSION_ID</t>
  </si>
  <si>
    <t>STATUS</t>
  </si>
  <si>
    <t>STATUS_DISP</t>
  </si>
  <si>
    <t>GROWTH_RATE</t>
  </si>
  <si>
    <t>SEGMENT</t>
  </si>
  <si>
    <t>EAD_DEF_T0</t>
  </si>
  <si>
    <t>EAD_DEF_T1</t>
  </si>
  <si>
    <t>EAD_HID_DEFAULT</t>
  </si>
  <si>
    <t>EAD_NONDEF_FRCST</t>
  </si>
  <si>
    <t>EAD_NONDEF_T0</t>
  </si>
  <si>
    <t>EAD_NONDEF_T1</t>
  </si>
  <si>
    <t>EL_BASE</t>
  </si>
  <si>
    <t>EL_STRESS</t>
  </si>
  <si>
    <t>INST_ID</t>
  </si>
  <si>
    <t>LGD_INDEF_STRESS</t>
  </si>
  <si>
    <t>LGD_LR_STRESS</t>
  </si>
  <si>
    <t>PERIOD_EL_BASE</t>
  </si>
  <si>
    <t>PERIOD_EL_STRESS</t>
  </si>
  <si>
    <t>PERIOD_EL_T0</t>
  </si>
  <si>
    <t>PROVISIONS_BASE</t>
  </si>
  <si>
    <t>PROVISIONS_STRESS</t>
  </si>
  <si>
    <t>PROVISIONS_STRESS_DEF</t>
  </si>
  <si>
    <t>PROVISIONS_STRESS_NDEF</t>
  </si>
  <si>
    <t>PROVISIONS_T0</t>
  </si>
  <si>
    <t>RWA_SESSION_ID</t>
  </si>
  <si>
    <t>ECAP_RECALC</t>
  </si>
  <si>
    <t>PD_THRESHOLD</t>
  </si>
  <si>
    <t>RWA_RECALC</t>
  </si>
  <si>
    <t xml:space="preserve">VARCHAR(512) </t>
  </si>
  <si>
    <t>DECIMAL(26, 4)</t>
  </si>
  <si>
    <t>DECIMAL(26, 14)</t>
  </si>
  <si>
    <t xml:space="preserve">CHAR(10) </t>
  </si>
  <si>
    <t xml:space="preserve">VARCHAR(128) </t>
  </si>
  <si>
    <t xml:space="preserve">CHAR(4) </t>
  </si>
  <si>
    <t>DECIMAL(15, 0)</t>
  </si>
  <si>
    <t>DECIMAL(7, 4)</t>
  </si>
  <si>
    <t xml:space="preserve">CHAR(500) </t>
  </si>
  <si>
    <t xml:space="preserve">VARCHAR(50) </t>
  </si>
  <si>
    <t>DECIMAL(20, 4)</t>
  </si>
  <si>
    <t xml:space="preserve">VARCHAR(20) </t>
  </si>
  <si>
    <t>DECIMAL(9, 6)</t>
  </si>
  <si>
    <t>DECIMAL(18, 6)</t>
  </si>
  <si>
    <t xml:space="preserve">VARCHAR(250) </t>
  </si>
  <si>
    <t xml:space="preserve">CHAR(20) </t>
  </si>
  <si>
    <t xml:space="preserve">CHAR(16) </t>
  </si>
  <si>
    <t>-- Строка: 176</t>
  </si>
  <si>
    <t>-- Строка: 177</t>
  </si>
  <si>
    <t>-- Справочник: D_MAN_DST_PERIOD</t>
  </si>
  <si>
    <t>-- Строка: 178</t>
  </si>
  <si>
    <t>-- Справочник: D_DIC_FM_DEAL_TYPE</t>
  </si>
  <si>
    <t>-- Вставка данных в TAB_SEC_GRP</t>
  </si>
  <si>
    <t>-- Справочник: D_DIC_PRIN_PM_SCHED_TYPE</t>
  </si>
  <si>
    <t>-- Справочник: D_ECAP_UPDATED_CPTY_ATTRIB</t>
  </si>
  <si>
    <t>-- Справочник: D_CP_UNIF_BTH</t>
  </si>
  <si>
    <t>-- Справочник: D_MAP_XCM_CP_TP2E_REP_CLASS</t>
  </si>
  <si>
    <t>-- Справочник: D_MAP_SAS_PRODUCT2CM</t>
  </si>
  <si>
    <t>-- Справочник: D_COLLATERAL_ORIG</t>
  </si>
  <si>
    <t>-- Справочник: D_RCAP_PER_EXPOSURE_RESULTS</t>
  </si>
  <si>
    <t>-- Справочник: D_DIC_FLOATING_RATE</t>
  </si>
  <si>
    <t>-- Справочник: D_MAN_DST_STRESS_FACTOR_VAL</t>
  </si>
  <si>
    <t>-- Справочник: D_ST_SESSIONS</t>
  </si>
  <si>
    <t>-- Справочник: D_CS_ST_PERIODS</t>
  </si>
  <si>
    <t>-- Справочник: D_CS_ST_SCENARIOS</t>
  </si>
  <si>
    <t>-- Справочник: D_CLAIM_REL_BH</t>
  </si>
  <si>
    <t>-- Справочник: D_INT_ORG_BTH</t>
  </si>
  <si>
    <t>-- Справочник: D_CS_ECAP_GEN_PARAMS</t>
  </si>
  <si>
    <t>-- Справочник: D_MAP_CND_FIN2EF_OFFBAL</t>
  </si>
  <si>
    <t>-- Справочник: D_CLAIM_ORIG_BTH</t>
  </si>
  <si>
    <t>-- Справочник: D_DIC_ECAP_SEGMENT</t>
  </si>
  <si>
    <t>-- Справочник: D_MAP_SAS_MODEL2IA</t>
  </si>
  <si>
    <t>-- Справочник: D_SECURITIZATION_POOL_MART</t>
  </si>
  <si>
    <t>-- Справочник: D_CP_GROUP_ORIG</t>
  </si>
  <si>
    <t>-- Справочник: D_DIC_BUSINESS_SEGMENT</t>
  </si>
  <si>
    <t>-- Справочник: D_COLLATERAL_ORIG_BH</t>
  </si>
  <si>
    <t>-- Справочник: D_ECAP_PER_EXPOSURE_RESULTS</t>
  </si>
  <si>
    <t>-- Справочник: D_DIC_EQUITY_INV_TYPE</t>
  </si>
  <si>
    <t>-- Справочник: D_CP_ORIG</t>
  </si>
  <si>
    <t>-- Справочник: D_CLAIM_ORIG</t>
  </si>
  <si>
    <t>-- Справочник: D_DIC_RISK_FACTOR</t>
  </si>
  <si>
    <t>-- Справочник: D_CS_MAP_INDUSTRY</t>
  </si>
  <si>
    <t>-- Справочник: D_CP_GROUP_ORIG_BTH</t>
  </si>
  <si>
    <t>-- Справочник: D_CLAIM_ORIG_X_COLLT_ORIG_BH</t>
  </si>
  <si>
    <t>-- Справочник: D_RCAP_UPDATED_CPTY_ATTRIB</t>
  </si>
  <si>
    <t>-- Справочник: D_ECAP_REP_PARAMS</t>
  </si>
  <si>
    <t>-- Справочник: D_MAP_CRM2CM_IND</t>
  </si>
  <si>
    <t>-- Справочник: D_MAP_FDSC_CODES_TO_IGNORE</t>
  </si>
  <si>
    <t>-- Справочник: D_ST_IND_SEGM_FACTORS</t>
  </si>
  <si>
    <t>-- Справочник: D_DIC_NACE_INDUSTRY</t>
  </si>
  <si>
    <t>-- Справочник: D_CLAIM_EXPOSURE_BTH</t>
  </si>
  <si>
    <t>-- Справочник: D_DIC_COLLATERAL_PRIORITY</t>
  </si>
  <si>
    <t>-- Справочник: D_MAN_DST_SCENARIO</t>
  </si>
  <si>
    <t>-- Справочник: D_FIX_LOAD_TABLE_MODULE</t>
  </si>
  <si>
    <t>-- Справочник: D_CUST_CASHFLOWS</t>
  </si>
  <si>
    <t>-- Справочник: D_ST_RWA_CALC_STATUS</t>
  </si>
  <si>
    <t>-- Справочник: D_ST_PER_EXPOSURE_RESULTS</t>
  </si>
  <si>
    <t>-- Справочник: D_DIC_ECAP_INDUSTRY</t>
  </si>
  <si>
    <t>-- Справочник: D_ECAP_AGGREGATED_RESULTS</t>
  </si>
  <si>
    <t>-- Справочник: D_CP_ORIG_BH</t>
  </si>
  <si>
    <t>-- Справочник: D_MAN_DST_IND_GROWTH</t>
  </si>
  <si>
    <t>-- Справочник: D_MAN_DST_SEGM_GROWTH</t>
  </si>
  <si>
    <t>-- Справочник: D_DIC_COUNTRY</t>
  </si>
  <si>
    <t>-- Справочник: D_INT_ORG</t>
  </si>
  <si>
    <t>-- Справочник: D_ECAP_LOSS_DISTRIB</t>
  </si>
  <si>
    <t>-- Справочник: D_DIC_REGLTRY_CP_TYPE</t>
  </si>
  <si>
    <t>-- Справочник: D_ECAP_SIGN_LEV_RESULTS</t>
  </si>
  <si>
    <t>-- Справочник: D_ST_ECAP_CALC_STATUS</t>
  </si>
  <si>
    <t>-- Справочник: D_DIC_COUNTRY_MATURITY_CLASS</t>
  </si>
  <si>
    <t>-- Справочник: D_MAP_ENTITY_SYSTEM_ID</t>
  </si>
  <si>
    <t>-- Справочник: D_DIC_CCF_TYPE</t>
  </si>
  <si>
    <t>-- Справочник: D_ECAP_CALC_SESSIONS</t>
  </si>
  <si>
    <t>-- Справочник: D_FIX_LOAD_TABLE</t>
  </si>
  <si>
    <t>-- Справочник: D_LOG</t>
  </si>
  <si>
    <t>-- Справочник: D_DIC_REP_CLASS</t>
  </si>
  <si>
    <t>-- Справочник: D_CLAIM_ORIG_STL1_BTH</t>
  </si>
  <si>
    <t>-- Строка: 152</t>
  </si>
  <si>
    <t>-- Справочник: D_MAP_N2CM_CBRF_FLAG</t>
  </si>
  <si>
    <t>-- Строка: 153</t>
  </si>
  <si>
    <t>-- Строка: 154</t>
  </si>
  <si>
    <t>-- Строка: 155</t>
  </si>
  <si>
    <t>-- Строка: 156</t>
  </si>
  <si>
    <t>-- Строка: 157</t>
  </si>
  <si>
    <t>-- Строка: 158</t>
  </si>
  <si>
    <t>-- Справочник: D_MAP_FIN2_DSTR</t>
  </si>
  <si>
    <t>-- Строка: 159</t>
  </si>
  <si>
    <t>-- Строка: 160</t>
  </si>
  <si>
    <t>-- Строка: 161</t>
  </si>
  <si>
    <t>-- Строка: 162</t>
  </si>
  <si>
    <t>-- Строка: 163</t>
  </si>
  <si>
    <t>-- Справочник: D_MAP_FIN2CP_CPTY_TP</t>
  </si>
  <si>
    <t>-- Строка: 164</t>
  </si>
  <si>
    <t>-- Справочник: D_MAP_FIN2I_REP_CLASS</t>
  </si>
  <si>
    <t>-- Строка: 165</t>
  </si>
  <si>
    <t>-- Справочник: D_MAP_SAS_PRODUCT2IA</t>
  </si>
  <si>
    <t>-- Строка: 166</t>
  </si>
  <si>
    <t>-- Справочник: D_CP_ORIG_X_CP_UNIF_BH</t>
  </si>
  <si>
    <t>-- Строка: 167</t>
  </si>
  <si>
    <t>-- Строка: 168</t>
  </si>
  <si>
    <t>-- Строка: 169</t>
  </si>
  <si>
    <t>-- Строка: 170</t>
  </si>
  <si>
    <t>-- Строка: 171</t>
  </si>
  <si>
    <t>-- Строка: 172</t>
  </si>
  <si>
    <t>-- Справочник: D_RCAP_AGGREGATED_RESULTS</t>
  </si>
  <si>
    <t>-- Строка: 173</t>
  </si>
  <si>
    <t>-- Строка: 174</t>
  </si>
  <si>
    <t>-- Строка: 175</t>
  </si>
  <si>
    <t>-- Справочник: D_ST_CP_RESULTS</t>
  </si>
  <si>
    <t>-- Вставка данных в SEC_PRIV</t>
  </si>
  <si>
    <t>-- Вставка данных в USR_GRP</t>
  </si>
  <si>
    <t>ONLY_READ</t>
  </si>
  <si>
    <t>Только чтение данных</t>
  </si>
  <si>
    <t>ONLY_WRITE</t>
  </si>
  <si>
    <t>Только редактирование данных</t>
  </si>
  <si>
    <t>ONLY_EXPORT</t>
  </si>
  <si>
    <t>Только экспорт</t>
  </si>
  <si>
    <t>ONLY_IMPORT</t>
  </si>
  <si>
    <t>Только импорт</t>
  </si>
  <si>
    <t>ONLY_APPROVE</t>
  </si>
  <si>
    <t>Только работа с корректировками</t>
  </si>
  <si>
    <t>ONLY_AUDIT</t>
  </si>
  <si>
    <t>Только аудит</t>
  </si>
  <si>
    <t>ONLY_HIST</t>
  </si>
  <si>
    <t>Только история изменений</t>
  </si>
  <si>
    <t>ONLY_LOG</t>
  </si>
  <si>
    <t>Только протокол приложения</t>
  </si>
  <si>
    <t>ONLY_LOGTD</t>
  </si>
  <si>
    <t>Только протокол ХП</t>
  </si>
  <si>
    <t>ONLY_LOGIPC</t>
  </si>
  <si>
    <t>Только протокол IPC</t>
  </si>
  <si>
    <t>ONLY_USER</t>
  </si>
  <si>
    <t>Только управление пользователями</t>
  </si>
  <si>
    <t>ONLY_ETLTD</t>
  </si>
  <si>
    <t>Только запуск ХП Teradata</t>
  </si>
  <si>
    <t>ONLY_ETLIPC</t>
  </si>
  <si>
    <t>Только запуск ETL-процессов IPC</t>
  </si>
  <si>
    <t>Доступ ко всем функциям</t>
  </si>
  <si>
    <t>Суперпользователь</t>
  </si>
  <si>
    <t>administrator</t>
  </si>
  <si>
    <t>ANALIT_USER</t>
  </si>
  <si>
    <t>Аналитик</t>
  </si>
  <si>
    <t>DQR_USER</t>
  </si>
  <si>
    <t>SDQR_USER</t>
  </si>
  <si>
    <t>Чтение данных</t>
  </si>
  <si>
    <t>Редактирование данных</t>
  </si>
  <si>
    <t>Выгрузка данных в файл</t>
  </si>
  <si>
    <t>Загрузка данных в систему</t>
  </si>
  <si>
    <t>Утверждение корректировок</t>
  </si>
  <si>
    <t>Просмотр аудита</t>
  </si>
  <si>
    <t>Просмотр истории изменений</t>
  </si>
  <si>
    <t>LOG</t>
  </si>
  <si>
    <t>Просмотр протокола работы приложения</t>
  </si>
  <si>
    <t>LOGTD</t>
  </si>
  <si>
    <t>Просмотр протокола работы ХП Teradata</t>
  </si>
  <si>
    <t>LOGIPC</t>
  </si>
  <si>
    <t>Просмотр протокола работы WF IPC</t>
  </si>
  <si>
    <t>Управление учётными записями пользователей</t>
  </si>
  <si>
    <t>ETLTD</t>
  </si>
  <si>
    <t>Запуск ХП Teradata</t>
  </si>
  <si>
    <t>ETLIPC</t>
  </si>
  <si>
    <t>Запуск Workflow IPC</t>
  </si>
  <si>
    <t>SVOD_1</t>
  </si>
  <si>
    <t>SK_FLAG</t>
  </si>
  <si>
    <t>ID соединения
(JOIN_PART_ID)</t>
  </si>
  <si>
    <t>ID соединения
(JOIN_LIST_ID)</t>
  </si>
  <si>
    <t>join_part</t>
  </si>
  <si>
    <t>FROM</t>
  </si>
  <si>
    <t>Идентификатор части сводной таблицы
(JOIN_PART_ID)</t>
  </si>
  <si>
    <t>Порядковый номер части сводной таблицы
(ORD)</t>
  </si>
  <si>
    <t>Идентификатор сводной таблицы
(JOIN_LIST_ID)</t>
  </si>
  <si>
    <t>Код сводной таблицы
(TAB_CODE)</t>
  </si>
  <si>
    <t>Флаг видимости
(EDIT_ATTR)</t>
  </si>
  <si>
    <t>Порядок
(AGR_FUNCTION)</t>
  </si>
  <si>
    <t>join_part_exp</t>
  </si>
  <si>
    <t>=</t>
  </si>
  <si>
    <t>&lt;=</t>
  </si>
  <si>
    <t>&gt;=</t>
  </si>
  <si>
    <t>Идентификатор части сводной таблицы
(JOIN_PART_LEFT_ID)</t>
  </si>
  <si>
    <t>Тип соединения
(LEFT_ATTR_ID)</t>
  </si>
  <si>
    <t>Порядковый номер части сводной таблицы
(JOIN_PART_RIGHT_ID)</t>
  </si>
  <si>
    <t>Идентификатор сводной таблицы
(RIGHT_ATTR_ID)</t>
  </si>
  <si>
    <t>Код сводной таблицы
(SIGN)</t>
  </si>
  <si>
    <t>WF_C_IEDW_999_V_M_ERM_COUNTERPARTY_F_CRM</t>
  </si>
  <si>
    <t>WF_C_IEDW_999_V_M_ERM_COUNTERPARTY_DEDUPLICATION</t>
  </si>
  <si>
    <t>WF_C_IEDW_999_V_M_ERM_SKKD_BUSINESS</t>
  </si>
  <si>
    <t>WF_C_IEDW_999_V_M_ERM_SKKD_RECONCILATION</t>
  </si>
  <si>
    <t>WF_C_IEDW_999_V_M_ERM_DEDUPLICATION</t>
  </si>
  <si>
    <t>БИЗНЕС ДАТА</t>
  </si>
  <si>
    <t>MAN_VALIDITY_DT_YYYYMMDD</t>
  </si>
  <si>
    <t>erm_log_v</t>
  </si>
  <si>
    <t>erm_log_v_Z</t>
  </si>
  <si>
    <t>erm_log_IPC_Z</t>
  </si>
  <si>
    <t>erm_log_TD_Z</t>
  </si>
  <si>
    <t>Идентификатор представления
(V_ID)</t>
  </si>
  <si>
    <t>Наименование представления
(V_NM)</t>
  </si>
  <si>
    <t>Наименование базы данных
(V_DB)</t>
  </si>
  <si>
    <t>Постфикс представления
(V_POST)</t>
  </si>
  <si>
    <t>Признак редактирования представления
(V_EDIT)</t>
  </si>
  <si>
    <t>Значение по умолчанию
(V_DEFAULT)</t>
  </si>
  <si>
    <t>Исходные данные</t>
  </si>
  <si>
    <t>PRD50_1_DB_ERM_GUI</t>
  </si>
  <si>
    <t>_Q</t>
  </si>
  <si>
    <t>Скорректированные данные</t>
  </si>
  <si>
    <t>_Z</t>
  </si>
  <si>
    <t>Самая последняя утверждённая корректировка</t>
  </si>
  <si>
    <t>_W</t>
  </si>
  <si>
    <t>ERM_TABLE_VIEW</t>
  </si>
  <si>
    <t xml:space="preserve">insert into dev41_1_DB_ERM_GUI.USR_GRP (GRP_ID, CODE, NM, DESCR, START_DT, END_DT) values (0, 'SADMINS', 'Суперпользователи', NULL, CAST('1899-12-31' AS DATE FORMAT 'YYYY-MM-DD'), CAST('9999-12-31' AS DATE FORMAT 'YYYY-MM-DD')); </t>
  </si>
  <si>
    <t xml:space="preserve">insert into dev41_1_DB_ERM_GUI.USR_GRP (GRP_ID, CODE, NM, DESCR, START_DT, END_DT) values (1, 'ADMINS', 'Администраторы', NULL, CAST('1899-12-31' AS DATE FORMAT 'YYYY-MM-DD'), CAST('9999-12-31' AS DATE FORMAT 'YYYY-MM-DD')); </t>
  </si>
  <si>
    <t xml:space="preserve">insert into dev41_1_DB_ERM_GUI.USR_GRP (GRP_ID, CODE, NM, DESCR, START_DT, END_DT) values (2, 'ANALYTICS', 'Аналитики', NULL, CAST('1899-12-31' AS DATE FORMAT 'YYYY-MM-DD'), CAST('9999-12-31' AS DATE FORMAT 'YYYY-MM-DD')); </t>
  </si>
  <si>
    <t xml:space="preserve">insert into dev41_1_DB_ERM_GUI.USR_GRP (GRP_ID, CODE, NM, DESCR, START_DT, END_DT) values (3, 'DQR', 'Ответственный за качество данных', NULL, CAST('1899-12-31' AS DATE FORMAT 'YYYY-MM-DD'), CAST('9999-12-31' AS DATE FORMAT 'YYYY-MM-DD')); </t>
  </si>
  <si>
    <t xml:space="preserve">insert into dev41_1_DB_ERM_GUI.USR_GRP (GRP_ID, CODE, NM, DESCR, START_DT, END_DT) values (4, 'SDQR', 'Главный ответственный за качество данных', NULL, CAST('1899-12-31' AS DATE FORMAT 'YYYY-MM-DD'), CAST('9999-12-31' AS DATE FORMAT 'YYYY-MM-DD')); </t>
  </si>
  <si>
    <t>CREATE TABLE %schema%.SEC_GRP
(
   SEC_GRP_ID   INTEGER NOT NULL,
   CODE         VARCHAR (20) NOT NULL,
   NM           VARCHAR (50) CHARACTER SET UNICODE NOT CASESPECIFIC NOT NULL,
   DESCR        VARCHAR (255) CHARACTER SET UNICODE NOT CASESPECIFIC,
   START_DT     DATE NOT NULL,
   END_DT       DATE NOT NULL,
   PRIMARY KEY (SEC_GRP_ID)
) UNIQUE INDEX USI_CODE4(CODE);</t>
  </si>
  <si>
    <t xml:space="preserve">CREATE TABLE %schema%.SEC_GRP_TAB_ATTR
(
   SEC_GRP_ID   INTEGER NOT NULL,
   ATTR_ID      INTEGER NOT NULL,
   PRIMARY KEY (SEC_GRP_ID, ATTR_ID),
   FOREIGN KEY (SEC_GRP_ID) REFERENCES %schema%.SEC_GRP (SEC_GRP_ID)
);
</t>
  </si>
  <si>
    <t xml:space="preserve"> -- таблицы протоколов
insert into %schema%.ERM_TABLE_ATTR(NM,SORT_ORD,NULL_FLAG,DESCR,DISP_LENGTH,ATTR_PHYS_NM,DISP_FMT,EDIT_MASK,DOMAIN_ID,TAB_CODE,ATTR_ID,IS_PK,VISIBLE,COLLECTION_ID,DISP_ATTR_ID,REL_TABLE,REL_TAB_PHYS_NM_R,REL_TAB_PHYS_NM_D) values ('Время записи',2,'Y','Время записи',20,'D',null,null,19,'ERM_LOG_TD',2014,'N','Y',null,null,null,null,null);
insert into %schema%.ERM_TABLE_ATTR(NM,SORT_ORD,NULL_FLAG,DESCR,DISP_LENGTH,ATTR_PHYS_NM,DISP_FMT,EDIT_MASK,DOMAIN_ID,TAB_CODE,ATTR_ID,IS_PK,VISIBLE,COLLECTION_ID,DISP_ATTR_ID,REL_TABLE,REL_TAB_PHYS_NM_R,REL_TAB_PHYS_NM_D) values ('Имя пользователя',1,'Y','Имя пользователя',20,'NM',null,null,5,'ERM_LOG_V',2008,'N','Y',null,null,null,null,null);
insert into %schema%.ERM_TABLE_ATTR(NM,SORT_ORD,NULL_FLAG,DESCR,DISP_LENGTH,ATTR_PHYS_NM,DISP_FMT,EDIT_MASK,DOMAIN_ID,TAB_CODE,ATTR_ID,IS_PK,VISIBLE,COLLECTION_ID,DISP_ATTR_ID,REL_TABLE,REL_TAB_PHYS_NM_R,REL_TAB_PHYS_NM_D) values ('Время записи',2,'Y','Время записи',20,'D',null,null,19,'ERM_LOG_V',2019,'N','Y',null,null,null,null,null);
insert into %schema%.ERM_TABLE_ATTR(NM,SORT_ORD,NULL_FLAG,DESCR,DISP_LENGTH,ATTR_PHYS_NM,DISP_FMT,EDIT_MASK,DOMAIN_ID,TAB_CODE,ATTR_ID,IS_PK,VISIBLE,COLLECTION_ID,DISP_ATTR_ID,REL_TABLE,REL_TAB_PHYS_NM_R,REL_TAB_PHYS_NM_D) values ('Флаг',6,'Y','Флаг',20,'FLG',null,null,6,'ERM_LOG_IPC',2000,'N','Y',null,null,null,null,null);
insert into %schema%.ERM_TABLE_ATTR(NM,SORT_ORD,NULL_FLAG,DESCR,DISP_LENGTH,ATTR_PHYS_NM,DISP_FMT,EDIT_MASK,DOMAIN_ID,TAB_CODE,ATTR_ID,IS_PK,VISIBLE,COLLECTION_ID,DISP_ATTR_ID,REL_TABLE,REL_TAB_PHYS_NM_R,REL_TAB_PHYS_NM_D) values ('Время записи',2,'Y','Время записи',20,'D',null,null,19,'ERM_LOG_IPC',2003,'N','Y',null,null,null,null,null);
insert into %schema%.ERM_TABLE_ATTR(NM,SORT_ORD,NULL_FLAG,DESCR,DISP_LENGTH,ATTR_PHYS_NM,DISP_FMT,EDIT_MASK,DOMAIN_ID,TAB_CODE,ATTR_ID,IS_PK,VISIBLE,COLLECTION_ID,DISP_ATTR_ID,REL_TABLE,REL_TAB_PHYS_NM_R,REL_TAB_PHYS_NM_D) values ('Флаг',6,'Y','Флаг',20,'FLG',null,null,6,'ERM_LOG_V',2016,'N','Y',null,null,null,null,null);
insert into %schema%.ERM_TABLE_ATTR(NM,SORT_ORD,NULL_FLAG,DESCR,DISP_LENGTH,ATTR_PHYS_NM,DISP_FMT,EDIT_MASK,DOMAIN_ID,TAB_CODE,ATTR_ID,IS_PK,VISIBLE,COLLECTION_ID,DISP_ATTR_ID,REL_TABLE,REL_TAB_PHYS_NM_R,REL_TAB_PHYS_NM_D) values ('ID сессии',4,'Y','ID сессии',20,'S_ID',null,null,13,'ERM_LOG_TD',2017,'N','Y',null,null,null,null,null);
insert into %schema%.ERM_TABLE_ATTR(NM,SORT_ORD,NULL_FLAG,DESCR,DISP_LENGTH,ATTR_PHYS_NM,DISP_FMT,EDIT_MASK,DOMAIN_ID,TAB_CODE,ATTR_ID,IS_PK,VISIBLE,COLLECTION_ID,DISP_ATTR_ID,REL_TABLE,REL_TAB_PHYS_NM_R,REL_TAB_PHYS_NM_D) values ('Флаг',6,'Y','Флаг',20,'FLG',null,null,6,'ERM_LOG_TD',2015,'N','Y',null,null,null,null,null);
insert into %schema%.ERM_TABLE_ATTR(NM,SORT_ORD,NULL_FLAG,DESCR,DISP_LENGTH,ATTR_PHYS_NM,DISP_FMT,EDIT_MASK,DOMAIN_ID,TAB_CODE,ATTR_ID,IS_PK,VISIBLE,COLLECTION_ID,DISP_ATTR_ID,REL_TABLE,REL_TAB_PHYS_NM_R,REL_TAB_PHYS_NM_D) values ('ID сессии',4,'Y','ID сессии',20,'S_ID',null,null,13,'ERM_LOG_V',2018,'N','Y',null,null,null,null,null);
insert into %schema%.ERM_TABLE_ATTR(NM,SORT_ORD,NULL_FLAG,DESCR,DISP_LENGTH,ATTR_PHYS_NM,DISP_FMT,EDIT_MASK,DOMAIN_ID,TAB_CODE,ATTR_ID,IS_PK,VISIBLE,COLLECTION_ID,DISP_ATTR_ID,REL_TABLE,REL_TAB_PHYS_NM_R,REL_TAB_PHYS_NM_D) values ('ID сообщения',7,'Y','ID сообщения',20,'ID',null,null,13,'ERM_LOG_TD',2005,'Y','Y',null,null,null,null,null);
insert into %schema%.ERM_TABLE_ATTR(NM,SORT_ORD,NULL_FLAG,DESCR,DISP_LENGTH,ATTR_PHYS_NM,DISP_FMT,EDIT_MASK,DOMAIN_ID,TAB_CODE,ATTR_ID,IS_PK,VISIBLE,COLLECTION_ID,DISP_ATTR_ID,REL_TABLE,REL_TAB_PHYS_NM_R,REL_TAB_PHYS_NM_D) values ('ID сессии',4,'Y','ID сессии',20,'S_ID',null,null,13,'ERM_LOG_IPC',2001,'N','Y',null,null,null,null,null);
insert into %schema%.ERM_TABLE_ATTR(NM,SORT_ORD,NULL_FLAG,DESCR,DISP_LENGTH,ATTR_PHYS_NM,DISP_FMT,EDIT_MASK,DOMAIN_ID,TAB_CODE,ATTR_ID,IS_PK,VISIBLE,COLLECTION_ID,DISP_ATTR_ID,REL_TABLE,REL_TAB_PHYS_NM_R,REL_TAB_PHYS_NM_D) values ('ID сообщения',7,'Y','ID сообщения',20,'ID',null,null,13,'ERM_LOG_V',2020,'Y','Y',null,null,null,null,null);
insert into %schema%.ERM_TABLE_ATTR(NM,SORT_ORD,NULL_FLAG,DESCR,DISP_LENGTH,ATTR_PHYS_NM,DISP_FMT,EDIT_MASK,DOMAIN_ID,TAB_CODE,ATTR_ID,IS_PK,VISIBLE,COLLECTION_ID,DISP_ATTR_ID,REL_TABLE,REL_TAB_PHYS_NM_R,REL_TAB_PHYS_NM_D) values ('Сообщение',3,'Y','Сообщение',20,'TXT',null,null,7,'ERM_LOG_TD',2009,'N','Y',null,null,null,null,null);
insert into %schema%.ERM_TABLE_ATTR(NM,SORT_ORD,NULL_FLAG,DESCR,DISP_LENGTH,ATTR_PHYS_NM,DISP_FMT,EDIT_MASK,DOMAIN_ID,TAB_CODE,ATTR_ID,IS_PK,VISIBLE,COLLECTION_ID,DISP_ATTR_ID,REL_TABLE,REL_TAB_PHYS_NM_R,REL_TAB_PHYS_NM_D) values ('ID сообщения',7,'Y','ID сообщения',20,'ID',null,null,13,'ERM_LOG_IPC',2010,'Y','Y',null,null,null,null,null);
insert into %schema%.ERM_TABLE_ATTR(NM,SORT_ORD,NULL_FLAG,DESCR,DISP_LENGTH,ATTR_PHYS_NM,DISP_FMT,EDIT_MASK,DOMAIN_ID,TAB_CODE,ATTR_ID,IS_PK,VISIBLE,COLLECTION_ID,DISP_ATTR_ID,REL_TABLE,REL_TAB_PHYS_NM_R,REL_TAB_PHYS_NM_D) values ('Сообщение',3,'Y','Сообщение',20,'TXT',null,null,7,'ERM_LOG_IPC',2011,'N','Y',null,null,null,null,null);
insert into %schema%.ERM_TABLE_ATTR(NM,SORT_ORD,NULL_FLAG,DESCR,DISP_LENGTH,ATTR_PHYS_NM,DISP_FMT,EDIT_MASK,DOMAIN_ID,TAB_CODE,ATTR_ID,IS_PK,VISIBLE,COLLECTION_ID,DISP_ATTR_ID,REL_TABLE,REL_TAB_PHYS_NM_R,REL_TAB_PHYS_NM_D) values ('Номер сообщения',5,'Y','Номер сообщения',20,'S_ORD',null,null,13,'ERM_LOG_TD',2007,'N','Y',null,null,null,null,null);
insert into %schema%.ERM_TABLE_ATTR(NM,SORT_ORD,NULL_FLAG,DESCR,DISP_LENGTH,ATTR_PHYS_NM,DISP_FMT,EDIT_MASK,DOMAIN_ID,TAB_CODE,ATTR_ID,IS_PK,VISIBLE,COLLECTION_ID,DISP_ATTR_ID,REL_TABLE,REL_TAB_PHYS_NM_R,REL_TAB_PHYS_NM_D) values ('Сообщение',3,'Y','Сообщение',20,'TXT',null,null,7,'ERM_LOG_V',2006,'N','Y',null,null,null,null,null);
insert into %schema%.ERM_TABLE_ATTR(NM,SORT_ORD,NULL_FLAG,DESCR,DISP_LENGTH,ATTR_PHYS_NM,DISP_FMT,EDIT_MASK,DOMAIN_ID,TAB_CODE,ATTR_ID,IS_PK,VISIBLE,COLLECTION_ID,DISP_ATTR_ID,REL_TABLE,REL_TAB_PHYS_NM_R,REL_TAB_PHYS_NM_D) values ('Номер сообщения',5,'Y','Номер сообщения',20,'S_ORD',null,null,13,'ERM_LOG_IPC',2012,'N','Y',null,null,null,null,null);
insert into %schema%.ERM_TABLE_ATTR(NM,SORT_ORD,NULL_FLAG,DESCR,DISP_LENGTH,ATTR_PHYS_NM,DISP_FMT,EDIT_MASK,DOMAIN_ID,TAB_CODE,ATTR_ID,IS_PK,VISIBLE,COLLECTION_ID,DISP_ATTR_ID,REL_TABLE,REL_TAB_PHYS_NM_R,REL_TAB_PHYS_NM_D) values ('ID пользователя',1,'Y','ID пользователя',20,'U_ID',null,null,13,'ERM_LOG_TD',2002,'N','Y',null,null,null,null,null);
insert into %schema%.ERM_TABLE_ATTR(NM,SORT_ORD,NULL_FLAG,DESCR,DISP_LENGTH,ATTR_PHYS_NM,DISP_FMT,EDIT_MASK,DOMAIN_ID,TAB_CODE,ATTR_ID,IS_PK,VISIBLE,COLLECTION_ID,DISP_ATTR_ID,REL_TABLE,REL_TAB_PHYS_NM_R,REL_TAB_PHYS_NM_D) values ('Номер сообщения',5,'Y','Номер сообщения',20,'S_ORD',null,null,13,'ERM_LOG_V',2004,'N','Y',null,null,null,null,null);
insert into %schema%.ERM_TABLE_ATTR(NM,SORT_ORD,NULL_FLAG,DESCR,DISP_LENGTH,ATTR_PHYS_NM,DISP_FMT,EDIT_MASK,DOMAIN_ID,TAB_CODE,ATTR_ID,IS_PK,VISIBLE,COLLECTION_ID,DISP_ATTR_ID,REL_TABLE,REL_TAB_PHYS_NM_R,REL_TAB_PHYS_NM_D) values ('ID пользователя',1,'Y','ID пользователя',20,'U_ID',null,null,13,'ERM_LOG_IPC',2013,'N','Y',null,null,null,null,null);
</t>
  </si>
  <si>
    <t>insert into %schema%.ERM_TABLE(TAB_CODE,NM,DESCR,START_DT,END_DT,TAB_TYPE,SCHEME_DB) values ('SVOD_1','Сводная по сделкам','Сводная по сделкам','1900-01-01','9999-12-31',5, %schema%);</t>
  </si>
  <si>
    <t>insert into %schema%.ERM_TABLE(TAB_CODE,NM,DESCR,START_DT,END_DT,TAB_TYPE,SCHEME_DB) values ('ERM_LOG_IPC','Лог работы IPC','Лог работы IPC','1900-01-01','9999-12-31',6, %schema%);</t>
  </si>
  <si>
    <t>insert into %schema%.ERM_TABLE(TAB_CODE,NM,DESCR,START_DT,END_DT,TAB_TYPE,SCHEME_DB) values ('ERM_LOG_TD','Лог работы TD','Лог работы TD','1900-01-01','9999-12-31',5, %schema%);</t>
  </si>
  <si>
    <t>insert into %schema%.ERM_TABLE(TAB_CODE,NM,DESCR,START_DT,END_DT,TAB_TYPE,SCHEME_DB) values ('ERM_LOG_V','Лог работы приложения','Лог работы приложения','1900-01-01','9999-12-31',4, %schema%);</t>
  </si>
  <si>
    <t>CREATE MULTISET TABLE %schema%.SEC_ROLES_PRIV ,NO FALLBACK ,
     NO BEFORE JOURNAL,
     NO AFTER JOURNAL,
     CHECKSUM = DEFAULT,
     DEFAULT MERGEBLOCKRATIO
     (
      ROLE_ID INTEGER NOT NULL,
      PRIV_ID INTEGER NOT NULL, 
PRIMARY KEY ( ROLE_ID ,PRIV_ID ))
;</t>
  </si>
  <si>
    <t>CREATE MULTISET TABLE %schema%.sec_role ,NO FALLBACK ,
     NO BEFORE JOURNAL,
     NO AFTER JOURNAL,
     CHECKSUM = DEFAULT,
     DEFAULT MERGEBLOCKRATIO
     (
      ROLE_ID INTEGER NOT NULL,
      CODE VARCHAR(32) CHARACTER SET UNICODE NOT CASESPECIFIC NOT NULL,
      DESCR VARCHAR(512) CHARACTER SET UNICODE NOT CASESPECIFIC,
      NM VARCHAR(256) CHARACTER SET UNICODE NOT CASESPECIFIC NOT NULL,
      START_DT DATE FORMAT 'yyyy-mm-dd' NOT NULL,
      END_DT DATE FORMAT 'yyyy-mm-dd' NOT NULL, 
PRIMARY KEY ( ROLE_ID ))
UNIQUE INDEX USI_CODE2 ( CODE );</t>
  </si>
  <si>
    <t xml:space="preserve">CREATE MULTISET TABLE %schema%.usr_grp ,NO FALLBACK ,
     NO BEFORE JOURNAL,
     NO AFTER JOURNAL,
     CHECKSUM = DEFAULT,
     DEFAULT MERGEBLOCKRATIO
     (
      GRP_ID INTEGER NOT NULL,
      CODE VARCHAR(20) CHARACTER SET UNICODE NOT CASESPECIFIC NOT NULL,
      NM VARCHAR(50) CHARACTER SET UNICODE NOT CASESPECIFIC NOT NULL,
      DESCR VARCHAR(255) CHARACTER SET UNICODE NOT CASESPECIFIC,
      START_DT DATE FORMAT 'yyyy-mm-dd' NOT NULL,
      END_DT DATE FORMAT 'yyyy-mm-dd' NOT NULL, 
PRIMARY KEY ( GRP_ID ))
UNIQUE INDEX USI_CODE ( CODE );
</t>
  </si>
  <si>
    <t>CREATE MULTISET TABLE %schema%.USR_GRP_SEC_GRP ,NO FALLBACK ,
     NO BEFORE JOURNAL,
     NO AFTER JOURNAL,
     CHECKSUM = DEFAULT,
     DEFAULT MERGEBLOCKRATIO
     (
      GRP_ID INTEGER NOT NULL,
      SEC_GRP_ID INTEGER NOT NULL,
      ROLE_ID INTEGER NOT NULL, 
PRIMARY KEY ( GRP_ID ,SEC_GRP_ID ,ROLE_ID ))
;</t>
  </si>
  <si>
    <t xml:space="preserve">CREATE MULTISET TABLE %schema%.TAB_sec_grp ,NO FALLBACK ,
     NO BEFORE JOURNAL,
     NO AFTER JOURNAL,
     CHECKSUM = DEFAULT,
     DEFAULT MERGEBLOCKRATIO
     (
      SEC_GRP_ID INTEGER NOT NULL,
      TAB_CODE VARCHAR(30) CHARACTER SET UNICODE NOT CASESPECIFIC NOT NULL,
      SQL_WHERE VARCHAR(512) CHARACTER SET UNICODE NOT CASESPECIFIC, 
PRIMARY KEY ( SEC_GRP_ID ,TAB_CODE ));
</t>
  </si>
  <si>
    <t>CREATE MULTISET TABLE %schema%.USR ,NO FALLBACK ,
     NO BEFORE JOURNAL,
     NO AFTER JOURNAL,
     CHECKSUM = DEFAULT,
     DEFAULT MERGEBLOCKRATIO
     (
      USR_ID INTEGER NOT NULL,
      LOGIN VARCHAR(32) CHARACTER SET UNICODE NOT CASESPECIFIC,
      NM VARCHAR(50) CHARACTER SET UNICODE NOT CASESPECIFIC NOT NULL,
      DESCR VARCHAR(255) CHARACTER SET UNICODE NOT CASESPECIFIC,
      START_DT DATE FORMAT 'yyyy-mm-dd' NOT NULL,
      END_DT DATE FORMAT 'yyyy-mm-dd' NOT NULL,
      PASSWD VARCHAR(30) CHARACTER SET UNICODE NOT CASESPECIFIC, 
PRIMARY KEY ( USR_ID ))
UNIQUE INDEX USI_CODE1 ( LOGIN );</t>
  </si>
  <si>
    <t>CREATE MULTISET TABLE %schema%.usr_usr_grp ,NO FALLBACK ,
     NO BEFORE JOURNAL,
     NO AFTER JOURNAL,
     CHECKSUM = DEFAULT,
     DEFAULT MERGEBLOCKRATIO
     (
      USR_ID INTEGER NOT NULL,
      GRP_ID INTEGER NOT NULL, 
PRIMARY KEY ( USR_ID ,GRP_ID ));</t>
  </si>
  <si>
    <t>CREATE MULTISET TABLE %schema%.join_part_exp ,NO FALLBACK ,
     NO BEFORE JOURNAL,
     NO AFTER JOURNAL,
     CHECKSUM = DEFAULT,
     DEFAULT MERGEBLOCKRATIO
     (
      JOIN_PART_LEFT_ID INTEGER NOT NULL,
      LEFT_ATTR_ID INTEGER NOT NULL,
      JOIN_PART_RIGHT_ID INTEGER NOT NULL,
      RIGHT_ATTR_ID INTEGER NOT NULL,
      SIGN VARCHAR(5) CHARACTER SET UNICODE NOT CASESPECIFIC NOT NULL)
PRIMARY INDEX ( JOIN_PART_LEFT_ID );</t>
  </si>
  <si>
    <t>CREATE MULTISET TABLE %schema%.join_attr ,NO FALLBACK ,
     NO BEFORE JOURNAL,
     NO AFTER JOURNAL,
     CHECKSUM = DEFAULT,
     DEFAULT MERGEBLOCKRATIO
     (
      JOIN_PART_ID INTEGER NOT NULL,
      JOIN_LIST_ID INTEGER NOT NULL,
      ATTR_ID INTEGER NOT NULL,
      EDIT_ATTR CHAR(1) CHARACTER SET UNICODE NOT CASESPECIFIC NOT NULL,
      AGR_FUNCTION VARCHAR(32) CHARACTER SET UNICODE NOT CASESPECIFIC)
PRIMARY INDEX ( JOIN_PART_ID );</t>
  </si>
  <si>
    <t>CREATE MULTISET TABLE %schema%.etl_proc ,NO FALLBACK ,
     NO BEFORE JOURNAL,
     NO AFTER JOURNAL,
     CHECKSUM = DEFAULT,
     DEFAULT MERGEBLOCKRATIO
     (
      EP_ID INTEGER NOT NULL,
      NM VARCHAR(80) CHARACTER SET UNICODE NOT CASESPECIFIC NOT NULL,
      ET_TYPE INTEGER NOT NULL,
      START_DT DATE FORMAT 'YYYY-MM-DD',
      END_DT DATE FORMAT 'YYYY-MM-DD',
      DESCR VARCHAR(512) CHARACTER SET UNICODE NOT CASESPECIFIC,
      IPC_FOLDER VARCHAR(64) CHARACTER SET UNICODE NOT CASESPECIFIC,
      IPC_SESSION VARCHAR(64) CHARACTER SET UNICODE NOT CASESPECIFIC,
      SCHEME_DB VARCHAR(32) CHARACTER SET UNICODE NOT CASESPECIFIC, 
PRIMARY KEY ( EP_ID ))
;</t>
  </si>
  <si>
    <t xml:space="preserve">CREATE MULTISET TABLE %schema%.erm_log ,NO FALLBACK ,
     NO BEFORE JOURNAL,
     NO AFTER JOURNAL,
     CHECKSUM = DEFAULT,
     DEFAULT MERGEBLOCKRATIO
     (
      ID BIGINT NOT NULL GENERATED ALWAYS AS IDENTITY
           (START WITH 1 
            INCREMENT BY 1 
            MINVALUE -999999999999999999 
            MAXVALUE 999999999999999999 
            NO CYCLE),
      S_ID BIGINT NOT NULL,
      S_ORD BIGINT NOT NULL,
      U_ID BIGINT NOT NULL,
      D TIMESTAMP(6) NOT NULL DEFAULT CURRENT_TIMESTAMP(6),
      TXT VARCHAR(512) CHARACTER SET UNICODE NOT CASESPECIFIC NOT NULL,
      FLG INTEGER NOT NULL DEFAULT 0 , 
PRIMARY KEY ( ID ))
PRIMARY INDEX ( U_ID );
</t>
  </si>
  <si>
    <t xml:space="preserve"> CREATE MULTISET TABLE %schema%.ERM_LOG_IPC ,NO FALLBACK ,
     NO BEFORE JOURNAL,
     NO AFTER JOURNAL,
     CHECKSUM = DEFAULT,
     DEFAULT MERGEBLOCKRATIO
     (
      ID BIGINT NOT NULL GENERATED ALWAYS AS IDENTITY
           (START WITH 1 
            INCREMENT BY 1 
            MINVALUE -999999999999999999 
            MAXVALUE 999999999999999999 
            NO CYCLE),
      S_ID BIGINT NOT NULL,
      S_ORD BIGINT NOT NULL,
      U_ID BIGINT NOT NULL,
      D TIMESTAMP(6) NOT NULL DEFAULT CURRENT_TIMESTAMP(6),
      TXT VARCHAR(512) CHARACTER SET UNICODE NOT CASESPECIFIC NOT NULL,
      FLG INTEGER NOT NULL DEFAULT 0 , 
PRIMARY KEY ( ID ))
;
</t>
  </si>
  <si>
    <t xml:space="preserve">CREATE MULTISET TABLE %schema%.ERM_LOG_TD ,NO FALLBACK ,
     NO BEFORE JOURNAL,
     NO AFTER JOURNAL,
     CHECKSUM = DEFAULT,
     DEFAULT MERGEBLOCKRATIO
     (
      ID BIGINT NOT NULL GENERATED ALWAYS AS IDENTITY
           (START WITH 1 
            INCREMENT BY 1 
            MINVALUE -999999999999999999 
            MAXVALUE 999999999999999999 
            NO CYCLE),
      S_ID BIGINT NOT NULL,
      S_ORD BIGINT NOT NULL,
      U_ID BIGINT NOT NULL,
      D TIMESTAMP(6) NOT NULL DEFAULT CURRENT_TIMESTAMP(6),
      TXT VARCHAR(512) CHARACTER SET UNICODE NOT CASESPECIFIC NOT NULL,
      FLG INTEGER NOT NULL DEFAULT 0 , 
PRIMARY KEY ( ID ))
;
</t>
  </si>
  <si>
    <t xml:space="preserve">    CREATE MULTISET TABLE %schema%.join_list ,NO FALLBACK ,
     NO BEFORE JOURNAL,
     NO AFTER JOURNAL,
     CHECKSUM = DEFAULT,
     DEFAULT MERGEBLOCKRATIO
     (
      JOIN_LIST_ID INTEGER NOT NULL,
      TAB_CODE VARCHAR(50) CHARACTER SET UNICODE NOT CASESPECIFIC,
      SQL_WHERE VARCHAR(512) CHARACTER SET UNICODE NOT CASESPECIFIC, 
PRIMARY KEY ( JOIN_LIST_ID ))
;</t>
  </si>
  <si>
    <t>CREATE MULTISET TABLE %schema%.join_part ,NO FALLBACK ,
     NO BEFORE JOURNAL,
     NO AFTER JOURNAL,
     CHECKSUM = DEFAULT,
     DEFAULT MERGEBLOCKRATIO
     (
      JOIN_PART_ID INTEGER NOT NULL,
      JOIN_TYPE VARCHAR(10) CHARACTER SET UNICODE NOT CASESPECIFIC NOT NULL,
      ORD INTEGER NOT NULL,
      JOIN_LIST_ID INTEGER NOT NULL,
      TAB_CODE VARCHAR(50) CHARACTER SET UNICODE NOT CASESPECIFIC)
PRIMARY INDEX ( JOIN_PART_ID );</t>
  </si>
  <si>
    <t>replace view %schema1%.ERM_LOG_V
as 
select ID, s_id, s_ord, nm, d, txt, flg
from%schema1%.erm_log a1
 left join%schema1%.usr a2
 on (a1.u_id = a2.usr_id);</t>
  </si>
  <si>
    <t>replace view %schema1%.erm_log_V_Z
 as select s_id, s_ord, nm, d, txt, flg from%schema1%.ERM_LOG_V;</t>
  </si>
  <si>
    <t>replace view %schema1%.ERM_LOG_IPC_Z
 as select ID, s_id, s_ord, U_ID, d, txt, flg from%schema1%.ERM_LOG_IPC;</t>
  </si>
  <si>
    <t>replace view %schema1%.ERM_LOG_TD_Z
 as select ID, s_id, s_ord, U_ID, d, txt, flg from%schema1%.ERM_LOG_TD;</t>
  </si>
  <si>
    <t>-- Скрипт сформирован 25.07.2014 19:21:15</t>
  </si>
  <si>
    <t>-- Стандартные представления 1-го уровня справочника D_MAP_XCM_CRM_SEG2ERM_CP_SEG</t>
  </si>
  <si>
    <t>-- Стандартные представления 1-го уровня справочника D_IMP_F_CLAIM_STD_BH</t>
  </si>
  <si>
    <t>-- Стандартные представления 1-го уровня справочника D_DDPL_STATUS</t>
  </si>
  <si>
    <t>-- Стандартные представления 1-го уровня справочника D_DYN_SRC_SYS</t>
  </si>
  <si>
    <t>-- Стандартные представления 1-го уровня справочника D_MAP_N_ERM_SEG2CP</t>
  </si>
  <si>
    <t>-- Стандартные представления 1-го уровня справочника D_DIC_PRIN_PM_SCHED_TYPE</t>
  </si>
  <si>
    <t>-- Стандартные представления 1-го уровня справочника D_DIC_ERM_CP_SEGMENT</t>
  </si>
  <si>
    <t>-- Стандартные представления 1-го уровня справочника D_ECAP_UPDATED_CPTY_ATTRIB</t>
  </si>
  <si>
    <t>-- Стандартные представления 1-го уровня справочника D_MAP_SOVER_WHITE_LIST</t>
  </si>
  <si>
    <t>-- Стандартные представления 1-го уровня справочника D_RCAP_CALC_SESSIONS</t>
  </si>
  <si>
    <t>-- Стандартные представления 1-го уровня справочника D_MAP_PD_MODEL_PRIORITY</t>
  </si>
  <si>
    <t>-- Стандартные представления 1-го уровня справочника D_DDPL_HIGHER_PRIORITY</t>
  </si>
  <si>
    <t>-- Стандартные представления 1-го уровня справочника D_MAP_N_PD_MDL2CM_ERM_SEG</t>
  </si>
  <si>
    <t>-- Стандартные представления 1-го уровня справочника D_EXPOSURE_ACCOUNT</t>
  </si>
  <si>
    <t>-- Стандартные представления 1-го уровня справочника D_CP_UNIF_BTH</t>
  </si>
  <si>
    <t>-- Стандартные представления 1-го уровня справочника D_MAP_XCM_CP_TP2E_REP_CLASS</t>
  </si>
  <si>
    <t>-- Стандартные представления 1-го уровня справочника D_MAP_SAS_PRODUCT2CM</t>
  </si>
  <si>
    <t>-- Стандартные представления 1-го уровня справочника D_COLLATERAL_ORIG</t>
  </si>
  <si>
    <t>-- Стандартные представления 1-го уровня справочника D_RCAP_PER_EXPOSURE_RESULTS</t>
  </si>
  <si>
    <t>-- Стандартные представления 1-го уровня справочника D_DIC_FLOATING_RATE</t>
  </si>
  <si>
    <t>-- Стандартные представления 1-го уровня справочника D_DATA_LOAD_LOG</t>
  </si>
  <si>
    <t>-- Стандартные представления 1-го уровня справочника D_MAN_DST_STRESS_FACTOR_VAL</t>
  </si>
  <si>
    <t>-- Стандартные представления 1-го уровня справочника D_ST_SESSIONS</t>
  </si>
  <si>
    <t>-- Стандартные представления 1-го уровня справочника D_ISSUE_INSTRUMENT</t>
  </si>
  <si>
    <t>-- Стандартные представления 1-го уровня справочника D_CLAIM_EXPOSURE_STL1_BTH</t>
  </si>
  <si>
    <t>-- Стандартные представления 1-го уровня справочника D_DIC_COUNTRY_IMPORT_CLASS</t>
  </si>
  <si>
    <t>-- Стандартные представления 1-го уровня справочника D_DDPL_SUPERGROUP_FINAL</t>
  </si>
  <si>
    <t>-- Стандартные представления 1-го уровня справочника D_MAN_CP_ORIG</t>
  </si>
  <si>
    <t>-- Стандартные представления 1-го уровня справочника D_MAP_SRC_SYS_PRIORITY</t>
  </si>
  <si>
    <t>-- Стандартные представления 1-го уровня справочника D_INT_ORG_FLAT_BTH</t>
  </si>
  <si>
    <t>-- Стандартные представления 1-го уровня справочника D_CS_ST_PERIODS</t>
  </si>
  <si>
    <t>-- Стандартные представления 1-го уровня справочника D_EXPOSURE_INSTRUMENT</t>
  </si>
  <si>
    <t>-- Стандартные представления 1-го уровня справочника D_CS_ST_SCENARIOS</t>
  </si>
  <si>
    <t>-- Стандартные представления 1-го уровня справочника D_RDM_UNDERW_PROCEDURE_BTH</t>
  </si>
  <si>
    <t>-- Стандартные представления 1-го уровня справочника D_CLAIM_REL_BH</t>
  </si>
  <si>
    <t>-- Стандартные представления 1-го уровня справочника D_RDM_PYMNT_CAT_BTH</t>
  </si>
  <si>
    <t>-- Стандартные представления 1-го уровня справочника D_INTERNAL_ORG_MART</t>
  </si>
  <si>
    <t>-- Стандартные представления 1-го уровня справочника D_MAP_SOVER_BLACK_LIST</t>
  </si>
  <si>
    <t>-- Стандартные представления 1-го уровня справочника D_INT_ORG_BTH</t>
  </si>
  <si>
    <t>-- Стандартные представления 1-го уровня справочника D_CS_ECAP_GEN_PARAMS</t>
  </si>
  <si>
    <t>-- Стандартные представления 1-го уровня справочника D_MAP_CND_FIN2EF_OFFBAL</t>
  </si>
  <si>
    <t>-- Стандартные представления 1-го уровня справочника D_CLAIM_ORIG_BTH</t>
  </si>
  <si>
    <t>-- Стандартные представления 1-го уровня справочника D_DIC_ECAP_SEGMENT</t>
  </si>
  <si>
    <t>-- Стандартные представления 1-го уровня справочника D_RDM_CURRENCY_BTH</t>
  </si>
  <si>
    <t>-- Стандартные представления 1-го уровня справочника D_MAP_SAS_MODEL2IA</t>
  </si>
  <si>
    <t>-- Стандартные представления 1-го уровня справочника D_MAP_XCP2E_LGD</t>
  </si>
  <si>
    <t>-- Стандартные представления 1-го уровня справочника D_SECURITIZATION_POOL_MART</t>
  </si>
  <si>
    <t>-- Стандартные представления 1-го уровня справочника D_DIC_IFRS_CLASS</t>
  </si>
  <si>
    <t>-- Стандартные представления 1-го уровня справочника D_CP_GROUP_ORIG</t>
  </si>
  <si>
    <t>-- Стандартные представления 1-го уровня справочника D_DIC_BUSINESS_SEGMENT</t>
  </si>
  <si>
    <t>-- Стандартные представления 1-го уровня справочника D_MAP_CRM_SEGMENT2PRIORITY</t>
  </si>
  <si>
    <t>-- Стандартные представления 1-го уровня справочника D_COLLATERAL_ORIG_BH</t>
  </si>
  <si>
    <t>-- Стандартные представления 1-го уровня справочника D_CUST_CASHFLOW_BTH</t>
  </si>
  <si>
    <t>-- Стандартные представления 1-го уровня справочника D_DYN_CHECK_PARAM</t>
  </si>
  <si>
    <t>-- Стандартные представления 1-го уровня справочника D_ECAP_PER_EXPOSURE_RESULTS</t>
  </si>
  <si>
    <t>-- Стандартные представления 1-го уровня справочника D_DIC_EQUITY_INV_TYPE</t>
  </si>
  <si>
    <t>-- Стандартные представления 1-го уровня справочника D_CP_ORIG</t>
  </si>
  <si>
    <t>-- Стандартные представления 1-го уровня справочника D_CLAIM_ORIG</t>
  </si>
  <si>
    <t>-- Стандартные представления 1-го уровня справочника D_DIC_RISK_FACTOR</t>
  </si>
  <si>
    <t>-- Стандартные представления 1-го уровня справочника D_ISSUE_ACCOUNT</t>
  </si>
  <si>
    <t>-- Стандартные представления 1-го уровня справочника D_DDPL_GROUP</t>
  </si>
  <si>
    <t>-- Стандартные представления 1-го уровня справочника D_CS_MAP_INDUSTRY</t>
  </si>
  <si>
    <t>-- Стандартные представления 1-го уровня справочника D_CP_GROUP_ORIG_BTH</t>
  </si>
  <si>
    <t>-- Стандартные представления 1-го уровня справочника D_MAP_BASEL2_CLASS</t>
  </si>
  <si>
    <t>-- Стандартные представления 1-го уровня справочника D_ETL_INPUT_PACKAGE_LOAD_LOG</t>
  </si>
  <si>
    <t>-- Стандартные представления 1-го уровня справочника D_CLAIM_ORIG_X_COLLT_ORIG_BH</t>
  </si>
  <si>
    <t>-- Стандартные представления 1-го уровня справочника D_F_CLAIM_STD_X_ORIG_BH</t>
  </si>
  <si>
    <t>-- Стандартные представления 1-го уровня справочника D_MAP_FLOC_TB2I_INT_ORG</t>
  </si>
  <si>
    <t>-- Стандартные представления 1-го уровня справочника D_RCAP_UPDATED_CPTY_ATTRIB</t>
  </si>
  <si>
    <t>-- Стандартные представления 1-го уровня справочника D_TEST_LOG</t>
  </si>
  <si>
    <t>-- Стандартные представления 1-го уровня справочника D_MATERIALIZATION_LOG</t>
  </si>
  <si>
    <t>-- Стандартные представления 1-го уровня справочника S071ABCDEF0003_DICT_CURRENCY</t>
  </si>
  <si>
    <t>-- Стандартные представления 1-го уровня справочника D_ISSUE_FACILITY</t>
  </si>
  <si>
    <t>-- Стандартные представления 1-го уровня справочника D_ECAP_REP_PARAMS</t>
  </si>
  <si>
    <t>-- Стандартные представления 1-го уровня справочника D_EXPOSURE_FACILITY</t>
  </si>
  <si>
    <t>-- Стандартные представления 1-го уровня справочника SGPD_FORWARD</t>
  </si>
  <si>
    <t>-- Стандартные представления 1-го уровня справочника D_MAP_CRM2CM_IND</t>
  </si>
  <si>
    <t>-- Стандартные представления 1-го уровня справочника D_DDPL_SUPERGROUP</t>
  </si>
  <si>
    <t>-- Стандартные представления 1-го уровня справочника D_RDM_F26_LOAN_TYPE_BTH</t>
  </si>
  <si>
    <t>-- Стандартные представления 1-го уровня справочника D_MAP_CCF_STD_BY_DEFAULT</t>
  </si>
  <si>
    <t>-- Стандартные представления 1-го уровня справочника D_FIX_LOAD_MODULE</t>
  </si>
  <si>
    <t>-- Стандартные представления 1-го уровня справочника D_MAP_FDSC_CODES_TO_IGNORE</t>
  </si>
  <si>
    <t>-- Стандартные представления 1-го уровня справочника D_RDM_F26_INT_PM_FREQ_BTH</t>
  </si>
  <si>
    <t>-- Стандартные представления 1-го уровня справочника D_ST_IND_SEGM_FACTORS</t>
  </si>
  <si>
    <t>-- Стандартные представления 1-го уровня справочника D_MAN_ECAP_PLAN</t>
  </si>
  <si>
    <t>-- Стандартные представления 1-го уровня справочника D_ISSUE_SECURITIZATION</t>
  </si>
  <si>
    <t>-- Стандартные представления 1-го уровня справочника D_MAP_SETTINGS</t>
  </si>
  <si>
    <t>-- Стандартные представления 1-го уровня справочника D_SA_SESSIONS</t>
  </si>
  <si>
    <t>-- Стандартные представления 1-го уровня справочника D_DIC_NACE_INDUSTRY</t>
  </si>
  <si>
    <t>-- Стандартные представления 1-го уровня справочника D_CLAIM_EXPOSURE_BTH</t>
  </si>
  <si>
    <t>-- Стандартные представления 1-го уровня справочника D_INTERNAL_ORG_ASSOCIATION</t>
  </si>
  <si>
    <t>-- Стандартные представления 1-го уровня справочника D_DIC_COLLATERAL_PRIORITY</t>
  </si>
  <si>
    <t>-- Стандартные представления 1-го уровня справочника D_CP_TEMP_GRP_SEL</t>
  </si>
  <si>
    <t>-- Стандартные представления 1-го уровня справочника D_MAP_XCM2I_PD</t>
  </si>
  <si>
    <t>-- Стандартные представления 1-го уровня справочника D_RDM_COUNTRY_BTH</t>
  </si>
  <si>
    <t>-- Стандартные представления 1-го уровня справочника D_MAN_DST_SCENARIO</t>
  </si>
  <si>
    <t>-- Стандартные представления 1-го уровня справочника D_FIX_LOAD_TABLE_MODULE</t>
  </si>
  <si>
    <t>-- Стандартные представления 1-го уровня справочника D_CUST_CASHFLOWS</t>
  </si>
  <si>
    <t>-- Стандартные представления 1-го уровня справочника D_ST_RWA_CALC_STATUS</t>
  </si>
  <si>
    <t>-- Стандартные представления 1-го уровня справочника D_ST_PER_EXPOSURE_RESULTS</t>
  </si>
  <si>
    <t>-- Стандартные представления 1-го уровня справочника D_MODULE_STATUS</t>
  </si>
  <si>
    <t>-- Стандартные представления 1-го уровня справочника D_RDM_OKVED_INDUSTRY_BTH</t>
  </si>
  <si>
    <t>-- Стандартные представления 1-го уровня справочника D_DIC_ECAP_INDUSTRY</t>
  </si>
  <si>
    <t>-- Стандартные представления 1-го уровня справочника D_MAP_SUBSID_CD_TO_LOAD</t>
  </si>
  <si>
    <t>-- Стандартные представления 1-го уровня справочника D_DIC_BASEL2_INT_CLASS</t>
  </si>
  <si>
    <t>-- Стандартные представления 1-го уровня справочника D_ECAP_AGGREGATED_RESULTS</t>
  </si>
  <si>
    <t>-- Стандартные представления 1-го уровня справочника D_MAN_QUOTE_DATA</t>
  </si>
  <si>
    <t>-- Стандартные представления 1-го уровня справочника D_CP_ORIG_BH</t>
  </si>
  <si>
    <t>-- Стандартные представления 1-го уровня справочника D_DIC_REGLTRY_PRODUCT_TYPE</t>
  </si>
  <si>
    <t>-- Стандартные представления 1-го уровня справочника D_MAN_DST_IND_GROWTH</t>
  </si>
  <si>
    <t>-- Стандартные представления 1-го уровня справочника D_MAN_DST_SEGM_GROWTH</t>
  </si>
  <si>
    <t>-- Стандартные представления 1-го уровня справочника D_MAP_CND_XCM2ERM_CP_SEG</t>
  </si>
  <si>
    <t>-- Стандартные представления 1-го уровня справочника D_PD_DISTRIBUTION_BH</t>
  </si>
  <si>
    <t>-- Стандартные представления 1-го уровня справочника D_MAP_FIN_OFFBAL_TP2E_CCF_TP</t>
  </si>
  <si>
    <t>-- Стандартные представления 1-го уровня справочника D_DIC_COUNTRY</t>
  </si>
  <si>
    <t>-- Стандартные представления 1-го уровня справочника D_INT_ORG</t>
  </si>
  <si>
    <t>-- Стандартные представления 1-го уровня справочника D_MAN_CP_GROUP_ORIG</t>
  </si>
  <si>
    <t>-- Стандартные представления 1-го уровня справочника S071ABCDEF0002_DOCS_DATA</t>
  </si>
  <si>
    <t>-- Стандартные представления 1-го уровня справочника D_ECAP_LOSS_DISTRIB</t>
  </si>
  <si>
    <t>-- Стандартные представления 1-го уровня справочника D_ISSUE_RECEIVABLE</t>
  </si>
  <si>
    <t>-- Стандартные представления 1-го уровня справочника D_DDPL_RULE</t>
  </si>
  <si>
    <t>-- Стандартные представления 1-го уровня справочника D_DIC_INT_ORG_HIER_SCEN</t>
  </si>
  <si>
    <t>-- Стандартные представления 1-го уровня справочника D_EXPOSURE_RECEIVABLE</t>
  </si>
  <si>
    <t>-- Стандартные представления 1-го уровня справочника D_IMP_F_CRM_BH</t>
  </si>
  <si>
    <t>-- Стандартные представления 1-го уровня справочника D_MAP_XCM2ECAP_INDUSTRY</t>
  </si>
  <si>
    <t>-- Стандартные представления 1-го уровня справочника D_DIC_REGLTRY_CP_TYPE</t>
  </si>
  <si>
    <t>-- Стандартные представления 1-го уровня справочника SGPD_BACKWARD</t>
  </si>
  <si>
    <t>-- Стандартные представления 1-го уровня справочника D_RDM_COLLATERAL_TYPE_BTH</t>
  </si>
  <si>
    <t>-- Стандартные представления 1-го уровня справочника D_MAP_CL_LOAN_CAT_FILTER</t>
  </si>
  <si>
    <t>-- Стандартные представления 1-го уровня справочника D_DIC_SUBSIDIARY_LOAN_TYPE</t>
  </si>
  <si>
    <t>-- Стандартные представления 1-го уровня справочника D_FIX_EXPOSURE_TYPE</t>
  </si>
  <si>
    <t>-- Стандартные представления 1-го уровня справочника D_DYN_CRM_CARD_TYPE</t>
  </si>
  <si>
    <t>-- Стандартные представления 1-го уровня справочника D_ECAP_SIGN_LEV_RESULTS</t>
  </si>
  <si>
    <t>-- Стандартные представления 1-го уровня справочника D_ST_ECAP_CALC_STATUS</t>
  </si>
  <si>
    <t>-- Стандартные представления 1-го уровня справочника D_DIC_COUNTRY_MATURITY_CLASS</t>
  </si>
  <si>
    <t>-- Стандартные представления 1-го уровня справочника D_MAP_ENTITY_SYSTEM_ID</t>
  </si>
  <si>
    <t>-- Стандартные представления 1-го уровня справочника D_DIC_ECAP_PARAM_INDUSTRY</t>
  </si>
  <si>
    <t>-- Стандартные представления 1-го уровня справочника D_DYN_PD_MODEL</t>
  </si>
  <si>
    <t>-- Стандартные представления 1-го уровня справочника D_MAP_CND_N_DUE_DAYS2_RTNG</t>
  </si>
  <si>
    <t>-- Стандартные представления 1-го уровня справочника D_DIC_CCF_TYPE</t>
  </si>
  <si>
    <t>-- Стандартные представления 1-го уровня справочника D_ECAP_CALC_SESSIONS</t>
  </si>
  <si>
    <t>-- Стандартные представления 1-го уровня справочника S071ABCDEF0001_DOCS_HEADER</t>
  </si>
  <si>
    <t>-- Стандартные представления 1-го уровня справочника D_SEQUENCE</t>
  </si>
  <si>
    <t>-- Стандартные представления 1-го уровня справочника D_FIX_LOAD_TABLE</t>
  </si>
  <si>
    <t>-- Стандартные представления 1-го уровня справочника D_DDPL_RULE_DETAIL</t>
  </si>
  <si>
    <t>-- Стандартные представления 1-го уровня справочника D_LOG</t>
  </si>
  <si>
    <t>-- Стандартные представления 1-го уровня справочника D_DIC_REP_CLASS</t>
  </si>
  <si>
    <t>-- Стандартные представления 1-го уровня справочника D_RDM_F26_LOAN_REGIME_BTH</t>
  </si>
  <si>
    <t>-- Стандартные представления 1-го уровня справочника D_MAP_XCM2I_REG_PROD</t>
  </si>
  <si>
    <t>-- Стандартные представления 1-го уровня справочника D_MAP_XCM2ANNUAL_SALES</t>
  </si>
  <si>
    <t>-- Стандартные представления 1-го уровня справочника D_CLAIM_ORIG_STL1_BTH</t>
  </si>
  <si>
    <t>-- Стандартные представления 1-го уровня справочника D_MAP_N2CM_CBRF_FLAG</t>
  </si>
  <si>
    <t>-- Стандартные представления 1-го уровня справочника D_DIC_CP_RELATION_TYPE</t>
  </si>
  <si>
    <t>-- Стандартные представления 1-го уровня справочника D_DIC_CP_TYPE</t>
  </si>
  <si>
    <t>-- Стандартные представления 1-го уровня справочника D_MAN_CLAIM_ORIG</t>
  </si>
  <si>
    <t>-- Стандартные представления 1-го уровня справочника D_MAN_REGLTRY_CAPITAL_MART</t>
  </si>
  <si>
    <t>-- Стандартные представления 1-го уровня справочника D_DYN_CRM_INDUSTRY</t>
  </si>
  <si>
    <t>-- Стандартные представления 1-го уровня справочника D_MAP_FIN2_DSTR</t>
  </si>
  <si>
    <t>-- Стандартные представления 1-го уровня справочника D_MAP_CND_FLOC2E_OFFBAL_TYPE</t>
  </si>
  <si>
    <t>-- Стандартные представления 1-го уровня справочника D_RDM_F26_LOAN_PURPOSE_BTH</t>
  </si>
  <si>
    <t>-- Стандартные представления 1-го уровня справочника D_CP_GROUP_ORIG_STL1_BTH</t>
  </si>
  <si>
    <t>-- Стандартные представления 1-го уровня справочника D_INT_ORG_ASSOC_BTH</t>
  </si>
  <si>
    <t>-- Стандартные представления 1-го уровня справочника D_MAP_FIN2CP_CPTY_TP</t>
  </si>
  <si>
    <t>-- Стандартные представления 1-го уровня справочника D_MAP_FIN2I_REP_CLASS</t>
  </si>
  <si>
    <t>-- Стандартные представления 1-го уровня справочника D_MAP_SAS_PRODUCT2IA</t>
  </si>
  <si>
    <t>-- Стандартные представления 1-го уровня справочника D_CP_ORIG_X_CP_UNIF_BH</t>
  </si>
  <si>
    <t>-- Стандартные представления 1-го уровня справочника D_STG_LOAD_INFO_SYSTEM</t>
  </si>
  <si>
    <t>-- Стандартные представления 1-го уровня справочника D_MAP_CRM_CARD_TYPE2PRIORITY</t>
  </si>
  <si>
    <t>-- Стандартные представления 1-го уровня справочника D_RDM_FIN_POS_BTH</t>
  </si>
  <si>
    <t>-- Стандартные представления 1-го уровня справочника D_COUNTERPARTY_MART</t>
  </si>
  <si>
    <t>-- Стандартные представления 1-го уровня справочника D_EXPOSURE_SECURITIZATION</t>
  </si>
  <si>
    <t>-- Стандартные представления 1-го уровня справочника D_RCAP_AGGREGATED_RESULTS</t>
  </si>
  <si>
    <t>-- Стандартные представления 1-го уровня справочника D_MAN_CLAIM_EXPOSURE</t>
  </si>
  <si>
    <t>-- Стандартные представления 1-го уровня справочника D_MAP_SAS2IANCM_IN_DEF_IND</t>
  </si>
  <si>
    <t>-- Стандартные представления 1-го уровня справочника D_ST_CP_RESULTS</t>
  </si>
  <si>
    <t>-- Стандартные представления 1-го уровня справочника D_MAP_FIN2I_REG_PROD_CD</t>
  </si>
  <si>
    <t>-- Стандартные представления 1-го уровня справочника D_MAN_DST_PERIOD</t>
  </si>
  <si>
    <t>-- Стандартные представления 1-го уровня справочника D_DIC_FM_DEAL_TYPE</t>
  </si>
  <si>
    <t>REPLACE VIEW %SCHEMA%%DICT_CODE%_W AS
LOCKING ROW FOR ACCESS
SELECT %FIELD_LIST_S%, C.ERM$COR, U1.USR_ID, U1.NM USR_NM 
FROM %SCHEMA%%DICT_CODE%_S C  
left join %SCHEMA%USR U1
on U1.USR_ID=C.ERM$MODUSRID
where C.ERM$COR = 'Y' 
QUALIFY ROW_NUMBER() OVER (PARTITION BY %C.PK% ORDER BY C.ERM$VALIDFROM DESC)=1
UNION ALL
SELECT %FIELD_LIST%, cast( null as char(1) character set unicode not casespecific) ERM$COR, -1 USR_ID, cast (null as varchar(64) character set unicode not casespecific) NM 
FROM   %SCHEMA_VD%%DICT_CODE% A
WHERE NOT EXISTS (
                  SELECT 0
                    FROM  %SCHEMA%%DICT_CODE%_S B
                   WHERE  %A.PK = B.PK% and B.ERM$COR = 'Y'
                   );</t>
  </si>
  <si>
    <t xml:space="preserve"> replace view %SCHEMA%%DICT_CODE%_X as 
 select %FIELD_LIST%, ERM$STDT, ERM$ENDDT
        from  (    
  select %FIELD_LIST%,  
             cast('1900-01-01 00:00:00.000000'  as  timestamp format 'yyyy-mm-ddBHH:MI:SS.S(6)') ERM$STDT,
             cast('9999-12-31 00:00:00.000000'  as  timestamp format 'yyyy-mm-ddBHH:MI:SS.S(6)') ERM$ENDDT
  from  %SCHEMA_VD%%DICT_CODE% a
  where not exists (select 1 
                                          from %SCHEMA%%DICT_CODE%_s a1 
                                          where %a.PK = a1.PK%
                                      )  
  union all
  select %FIELD_LIST_A2%, 
             cast('1900-01-01 00:00:00.000000'  as  timestamp format 'yyyy-mm-ddBHH:MI:SS.S(6)') ERM$STDT
              , min(a.erm$validfrom) - interval '0.000001' second ERM$ENDDT
           from  %SCHEMA%%DICT_CODE%_S a
           left join 
                  %SCHEMA_VD%%DICT_CODE% a2
                  on (%a2.PK = a.PK%) 
                     where not exists (select 1 from %SCHEMA%%DICT_CODE%_S a1  where %a.PK = a1.PK% and a1.ERM$OPC = 'I') 
                   group by  %FIELD_LIST_A2%                 
  union all
  select  %FIELD_LIST%,
             erm$validfrom ERM$STDT,
              coalesce((select min(erm$validfrom) - interval '0.000001' second
                     from %SCHEMA%%DICT_CODE%_S a1
where %a.PK = a1.PK% and a.erm$validfrom &lt; a1.erm$validfrom  
                   ) ,  cast('9999-12-31 00:00:00.000000'  as  timestamp format 'yyyy-mm-ddBHH:MI:SS.S(6)')) ERM$ENDDT
           from %SCHEMA%%DICT_CODE%_S a
          where a.ERM$OPC &lt;&gt; 'D'
          and not exists (select 1 from %SCHEMA%%DICT_CODE%_S  a1 where ERM$OPC = 'I'  %a.PK = a1.PK%)
  union all
       select   %FIELD_LIST%,
             erm$validfrom ERM$STDT,
              coalesce((select min(erm$validfrom) - interval '0.000001' second
                     from %SCHEMA%%DICT_CODE%_S a1
                  where   a.erm$validfrom &lt; a1.erm$validfrom  %a.PK = a1.PK%
                                         ) ,  cast('9999-12-31 00:00:00.000000'  as  timestamp format 'yyyy-mm-ddBHH:MI:SS.S(6)')) ERM$ENDDT
           from %SCHEMA%%DICT_CODE%_S  a
      where a.ERM$OPC &lt;&gt; 'D'
      and exists (select 1 from %SCHEMA%%DICT_CODE%_S a1 where %a.PK = a1.PK% and ERM$OPC = 'I')
        ) c;
                  </t>
  </si>
  <si>
    <t>REPLACE VIEW %SCHEMA%%DICT_CODE%_Q AS
 LOCKING TABLE %SCHEMA_VD%%DICT_CODE% FOR ACCESS
 SELECT %FIELD_LIST%, CAST (NULL AS VARCHAR(1) character set unicode not casespecific) ERM$COR,  CAST (NULL AS INTEGER) USR_ID,  cast (null as varchar(64) character set unicode not casespecific) USR_NM FROM %SCHEMA_VD%%DICT_CODE%;</t>
  </si>
  <si>
    <t>PRDN_1_</t>
  </si>
  <si>
    <t>REPLACE VIEW %SCHEMA%%DICT_CODE%_Z AS
LOCKING ROW FOR ACCESS
SELECT %FIELD_LIST%, cast( null as char(1) character set unicode not casespecific) ERM$COR, -1 USR_ID, cast (null as varchar(64) character set unicode not casespecific) USR_NM  
FROM %SCHEMA_VD%%DICT_CODE% A  
WHERE NOT EXISTS (
                  SELECT 0
                    FROM  %SCHEMA%%DICT_CODE%_S B
                   WHERE 
                  %A.PK = B.PK%
                  and B.ERM$LAST = 1
                   )       
UNION ALL
SELECT %FIELD_LIST_S%, C.ERM$COR, U1.USR_ID, U1.NM USR_NM 
from (
select C11.*   
   FROM %SCHEMA%%DICT_CODE%_S C11  
   where C11.ERM$LAST = 1
        and C11. ERM$OPC &lt;&gt; 'D') C
left join %SCHEMA%USR U1
on U1.USR_ID=C.ERM$MODUSRID;</t>
  </si>
  <si>
    <t>CREATE MULTISET TABLE %schema%.ERM_TABLE_ATTR , NO FALLBACK ,
     NO BEFORE JOURNAL,
     NO AFTER JOURNAL,
     CHECKSUM = DEFAULT,
     DEFAULT MERGEBLOCKRATIO
     (
      NM VARCHAR(50) CHARACTER SET UNICODE NOT CASESPECIFIC,
      SORT_ORD DECIMAL(3,0),
      NULL_FLAG CHAR(1) CHARACTER SET LATIN NOT CASESPECIFIC,
      DESCR VARCHAR(255) CHARACTER SET UNICODE NOT CASESPECIFIC,
      DISP_LENGTH DECIMAL(10,0),
      ATTR_PHYS_NM VARCHAR(30) CHARACTER SET UNICODE NOT CASESPECIFIC,
      DISP_FMT VARCHAR(30) CHARACTER SET UNICODE NOT CASESPECIFIC,
      EDIT_MASK VARCHAR(255) CHARACTER SET UNICODE NOT CASESPECIFIC,
      DOMAIN_ID INTEGER,
      TAB_CODE VARCHAR(50) CHARACTER SET UNICODE NOT CASESPECIFIC,
      ATTR_ID INTEGER NOT NULL,
      IS_PK CHAR(1) CHARACTER SET LATIN NOT CASESPECIFIC,
      VISIBLE CHAR(1) CHARACTER SET LATIN NOT CASESPECIFIC,
      COLLECTION_ID INTEGER,
      DISP_ATTR_ID INTEGER,
      REL_TABLE VARCHAR(20) CHARACTER SET LATIN NOT CASESPECIFIC,
      REL_TAB_PHYS_NM_R VARCHAR(30) CHARACTER SET LATIN NOT CASESPECIFIC,
      REL_TAB_PHYS_NM_D VARCHAR(30) CHARACTER SET LATIN NOT CASESPECIFIC, 
   SK_FLAG CHAR(1) CHARACTER SET UNICODE NOT CASESPECIFIC DEFAULT 'N') 
PRIMARY INDEX ( TAB_CODE );</t>
  </si>
  <si>
    <t xml:space="preserve">CREATE MULTISET TABLE %schema%.ERM_TABLE ,NO FALLBACK ,
     NO BEFORE JOURNAL,
     NO AFTER JOURNAL,
     CHECKSUM = DEFAULT,
     DEFAULT MERGEBLOCKRATIO
     (
      TAB_CODE VARCHAR(28) CHARACTER SET UNICODE NOT CASESPECIFIC NOT NULL,
      NM VARCHAR(255) CHARACTER SET UNICODE NOT CASESPECIFIC,
      DESCR VARCHAR(255) CHARACTER SET UNICODE NOT CASESPECIFIC,
      START_DT DATE FORMAT 'YYYY-MM-DD',
      END_DT DATE FORMAT 'YYYY-MM-DD',
      TAB_TYPE INTEGER,
      SCHEME_DB VARCHAR(32) CHARACTER SET LATIN NOT CASESPECIFIC, 
PRIMARY KEY ( TAB_CODE ));
</t>
  </si>
  <si>
    <t>CREATE MULTISET TABLE %schema%.ERM_DOMAIN ,NO FALLBACK ,
     NO BEFORE JOURNAL,
     NO AFTER JOURNAL,
     CHECKSUM = DEFAULT,
     DEFAULT MERGEBLOCKRATIO
     (
      DOMAIN_ID INTEGER NOT NULL,
      NM VARCHAR(50) CHARACTER SET UNICODE NOT CASESPECIFIC,
      DATATYPE VARCHAR(30) CHARACTER SET UNICODE NOT CASESPECIFIC,
      DATADEC DECIMAL(2,0),
      DATALEN DECIMAL(5,0),
      UPR_NVAL DECIMAL(38,4),
      LWR_NVAL DECIMAL(38,4),
      UPR_DVAL DATE FORMAT 'YYYY-MM-DD',
      LWR_DVAL DATE FORMAT 'YYYY-MM-DD', 
PRIMARY KEY ( DOMAIN_ID ));</t>
  </si>
  <si>
    <t xml:space="preserve">CREATE MULTISET TABLE %schema%.ERM_TABLE_VIEW ,NO FALLBACK ,
     NO BEFORE JOURNAL,
     NO AFTER JOURNAL,
     CHECKSUM = DEFAULT,
     DEFAULT MERGEBLOCKRATIO
     (
      V_ID INTEGER NOT NULL,
      V_NM VARCHAR(512) CHARACTER SET UNICODE NOT CASESPECIFIC NOT NULL,
      V_DB VARCHAR(30) CHARACTER SET UNICODE NOT CASESPECIFIC NOT NULL,
      V_POST VARCHAR(10) CHARACTER SET LATIN NOT CASESPECIFIC NOT NULL,
      V_EDIT INTEGER NOT NULL DEFAULT 0 ,
      V_DEFAULT INTEGER NOT NULL DEFAULT 0 )
UNIQUE PRIMARY INDEX ( V_ID );
</t>
  </si>
  <si>
    <t>SELECT 1 FROM DBC.TABLES WHERE TRIM(DatabaseName) = '%SCHEMA%' AND TRIM(TableName) = '%DICT_CODE%_A' AND TableKind = 'T';
.IF ACTIVITYCOUNT = 0 THEN .GOTO %DICT_CODE%_A_NotExists;
DROP TABLE %SCHEMA%%DICT_CODE%_A;
.LABEL %DICT_CODE%_A_NotExists;
CREATE MULTISET TABLE %SCHEMA%%DICT_CODE%_A,
     NO FALLBACK, NO BEFORE JOURNAL, NO AFTER JOURNAL, CHECKSUM = DEFAULT
     (    
          %ADD_FIELD_SCRIPT%
         ERM$MODUSRID INTEGER NOT NULL DEFAULT 0,
         ERM$APUSRID INTEGER,
         ERM$OPC CHAR(1) CHARACTER SET UNICODE NOT CASESPECIFIC NOT NULL,
         ERM$VALIDFROM TIMESTAMP(6) FORMAT 'YYYY-MM-DDHH:MI:SS' NOT NULL,
         ERM$NOTE VARCHAR(1024) CHARACTER SET UNICODE NOT CASESPECIFIC NOT NULL,
         ERM$NOTEAPPROVE VARCHAR(1024) CHARACTER SET UNICODE NOT CASESPECIFIC,
         ERM$SID BIGINT NOT NULL DEFAULT 0           
     ) PRIMARY INDEX (%C.PK%);</t>
  </si>
  <si>
    <t xml:space="preserve">SELECT 1 FROM DBC.TABLES WHERE TRIM(DatabaseName) = '%SCHEMA%' AND TRIM(TableName) = '%DICT_CODE%_S' AND TableKind = 'T';
.IF ACTIVITYCOUNT = 0 THEN .GOTO %DICT_CODE%_S_NotExists;
DROP TABLE %SCHEMA%%DICT_CODE%_S;
.LABEL %DICT_CODE%_S_NotExists;
CREATE MULTISET TABLE %SCHEMA%%DICT_CODE%_S,
     NO FALLBACK, NO BEFORE JOURNAL, NO AFTER JOURNAL, CHECKSUM = DEFAULT
     (  
        %ADD_FIELD_SCRIPT%
        ERM$OPC CHAR(1) CHARACTER SET UNICODE NOT CASESPECIFIC NOT NULL,
        ERM$COR CHAR(1) CHARACTER SET UNICODE NOT CASESPECIFIC NOT NULL,
        ERM$VALIDFROM TIMESTAMP(6) FORMAT 'YYYY-MM-DDHH:MI:SS' NOT NULL,
        ERM$RANK BIGINT,
        ERM$MODUSRID INTEGER NOT NULL DEFAULT 0,
        ERM$NOTE VARCHAR(1024) CHARACTER SET UNICODE NOT CASESPECIFIC NOT NULL,
        ERM$NOTEAPPROVE VARCHAR(1024) CHARACTER SET UNICODE NOT CASESPECIFIC,
        ERM$SID BIGINT NOT NULL DEFAULT 0 ,
        ERM$LAST BYTEINT NOT NULL DEFAULT 0,
        ERM$STATE INTEGER NOT NULL DEFAULT 0 
     ) PRIMARY INDEX (%C.PK%);
</t>
  </si>
  <si>
    <t>y-view</t>
  </si>
  <si>
    <t>-- Скрипт сформирован 12.08.2014 16:45:31</t>
  </si>
  <si>
    <t xml:space="preserve">REPLACE VIEW %SCHEMA%%DICT_CODE%_Y AS
LOCKING ROW FOR ACCESS
SELECT %FIELD_LIST_A2%,  cast( null as char(1) character set unicode not casespecific) ERM$COR,  cast( null as char(1) character set unicode not casespecific) ERM$OPC, -1 USR_ID, cast (null as varchar(64)  character set unicode not casespecific) USR_NM, cast (null as varchar(512) character set unicode) ERM$NOTE,   cast (null as varchar(512) character set unicode) ERM$NOTEAPPROVE 
FROM %SCHEMA_VD%%DICT_CODE% A  
WHERE NOT EXISTS (
                  SELECT 0
                    FROM  %SCHEMA%%DICT_CODE%_S B
                   WHERE %a.PK = b.PK%
                    and B.ERM$LAST = 1)     
UNION ALL
SELECT %FIELD_LIST_C%, C.ERM$COR, C.ERM$OPC, U1.USR_ID, U1.NM USR_NM, C.ERM$NOTE, C.ERM$NOTEAPPROVE 
from (
select C11.*   
   FROM %SCHEMA%%DICT_CODE%_S C11  
   where C11.ERM$LAST = 1) C
left join %SCHEMA%USR U1
on U1.USR_ID=C.ERM$MODUSRID;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</si>
</sst>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sz val="10"/>
      <color theme="1"/>
      <name val="Calibri"/>
      <family val="2"/>
      <charset val="204"/>
    </font>
    <font>
      <i/>
      <sz val="10"/>
      <color theme="0" tint="-0.499984740745262"/>
      <name val="Calibri"/>
      <family val="2"/>
      <charset val="204"/>
    </font>
    <font>
      <i/>
      <sz val="10"/>
      <name val="Calibri"/>
      <family val="2"/>
      <charset val="204"/>
      <scheme val="minor"/>
    </font>
    <font>
      <sz val="10"/>
      <color theme="8" tint="-0.499984740745262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8"/>
      <color theme="1"/>
      <name val="Courier New"/>
      <family val="3"/>
      <charset val="204"/>
    </font>
    <font>
      <sz val="10"/>
      <color theme="0"/>
      <name val="Calibri"/>
      <family val="2"/>
      <charset val="204"/>
    </font>
    <font>
      <sz val="8"/>
      <name val="Courier New"/>
      <family val="3"/>
      <charset val="204"/>
    </font>
    <font>
      <sz val="9"/>
      <color indexed="81"/>
      <name val="Tahoma"/>
      <family val="2"/>
      <charset val="204"/>
    </font>
    <font>
      <b/>
      <u/>
      <sz val="12"/>
      <color theme="10"/>
      <name val="Calibri"/>
      <family val="2"/>
      <charset val="204"/>
      <scheme val="minor"/>
    </font>
    <font>
      <b/>
      <sz val="10"/>
      <color theme="0" tint="-0.14999847407452621"/>
      <name val="Calibri"/>
      <family val="2"/>
      <charset val="204"/>
      <scheme val="minor"/>
    </font>
    <font>
      <sz val="10"/>
      <color theme="0" tint="-0.14999847407452621"/>
      <name val="Calibri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BAB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rgb="FF9A9600"/>
      </left>
      <right style="thin">
        <color rgb="FF9A9600"/>
      </right>
      <top style="thin">
        <color rgb="FF9A9600"/>
      </top>
      <bottom style="thin">
        <color theme="4" tint="-0.24994659260841701"/>
      </bottom>
      <diagonal/>
    </border>
    <border>
      <left style="thin">
        <color rgb="FF9A9600"/>
      </left>
      <right style="thin">
        <color rgb="FF9A9600"/>
      </right>
      <top style="thin">
        <color rgb="FF9A9600"/>
      </top>
      <bottom/>
      <diagonal/>
    </border>
    <border>
      <left style="thin">
        <color rgb="FF9A9600"/>
      </left>
      <right/>
      <top style="thin">
        <color rgb="FF9A9600"/>
      </top>
      <bottom/>
      <diagonal/>
    </border>
    <border>
      <left style="thin">
        <color rgb="FF9A9600"/>
      </left>
      <right/>
      <top/>
      <bottom style="thin">
        <color rgb="FF9A9600"/>
      </bottom>
      <diagonal/>
    </border>
    <border>
      <left style="thin">
        <color rgb="FF9A9600"/>
      </left>
      <right style="thin">
        <color rgb="FF9A9600"/>
      </right>
      <top/>
      <bottom style="thin">
        <color rgb="FF9A9600"/>
      </bottom>
      <diagonal/>
    </border>
    <border>
      <left style="thin">
        <color rgb="FFACA800"/>
      </left>
      <right style="thin">
        <color rgb="FFACA800"/>
      </right>
      <top style="thin">
        <color rgb="FFACA800"/>
      </top>
      <bottom style="thin">
        <color rgb="FFACA8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rgb="FFACA800"/>
      </left>
      <right style="thin">
        <color rgb="FFACA800"/>
      </right>
      <top/>
      <bottom style="thin">
        <color rgb="FFACA800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thin">
        <color theme="5" tint="-0.24994659260841701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-0.2499465926084170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9" fillId="0" borderId="0"/>
    <xf numFmtId="0" fontId="9" fillId="0" borderId="0"/>
    <xf numFmtId="0" fontId="16" fillId="0" borderId="0"/>
  </cellStyleXfs>
  <cellXfs count="206">
    <xf numFmtId="0" fontId="0" fillId="0" borderId="0" xfId="0"/>
    <xf numFmtId="0" fontId="0" fillId="0" borderId="0" xfId="0" applyAlignment="1">
      <alignment wrapText="1"/>
    </xf>
    <xf numFmtId="0" fontId="2" fillId="4" borderId="10" xfId="0" applyFont="1" applyFill="1" applyBorder="1" applyAlignment="1" applyProtection="1">
      <alignment horizontal="center" vertical="center" wrapText="1"/>
    </xf>
    <xf numFmtId="0" fontId="3" fillId="4" borderId="10" xfId="0" applyFont="1" applyFill="1" applyBorder="1" applyAlignment="1" applyProtection="1">
      <alignment horizontal="center" vertical="center" wrapText="1"/>
    </xf>
    <xf numFmtId="0" fontId="7" fillId="11" borderId="1" xfId="0" applyFont="1" applyFill="1" applyBorder="1" applyProtection="1">
      <protection hidden="1"/>
    </xf>
    <xf numFmtId="0" fontId="6" fillId="0" borderId="0" xfId="0" applyFont="1"/>
    <xf numFmtId="0" fontId="6" fillId="0" borderId="0" xfId="0" applyFont="1" applyProtection="1">
      <protection locked="0"/>
    </xf>
    <xf numFmtId="0" fontId="6" fillId="6" borderId="2" xfId="0" applyFont="1" applyFill="1" applyBorder="1" applyAlignment="1">
      <alignment vertical="top"/>
    </xf>
    <xf numFmtId="0" fontId="6" fillId="6" borderId="2" xfId="0" applyFont="1" applyFill="1" applyBorder="1" applyAlignment="1">
      <alignment vertical="top" wrapText="1"/>
    </xf>
    <xf numFmtId="0" fontId="6" fillId="0" borderId="0" xfId="0" applyFont="1" applyAlignment="1">
      <alignment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top" wrapText="1"/>
    </xf>
    <xf numFmtId="0" fontId="6" fillId="4" borderId="2" xfId="0" applyFont="1" applyFill="1" applyBorder="1" applyAlignment="1">
      <alignment vertical="top"/>
    </xf>
    <xf numFmtId="0" fontId="6" fillId="4" borderId="2" xfId="0" applyFont="1" applyFill="1" applyBorder="1" applyAlignment="1">
      <alignment horizontal="center" vertical="top"/>
    </xf>
    <xf numFmtId="0" fontId="6" fillId="4" borderId="2" xfId="0" applyFont="1" applyFill="1" applyBorder="1" applyAlignment="1">
      <alignment vertical="top" wrapText="1"/>
    </xf>
    <xf numFmtId="0" fontId="6" fillId="8" borderId="2" xfId="0" applyFont="1" applyFill="1" applyBorder="1" applyAlignment="1">
      <alignment vertical="top"/>
    </xf>
    <xf numFmtId="0" fontId="6" fillId="8" borderId="2" xfId="0" applyFont="1" applyFill="1" applyBorder="1" applyAlignment="1">
      <alignment horizontal="center" vertical="top"/>
    </xf>
    <xf numFmtId="0" fontId="6" fillId="8" borderId="2" xfId="0" applyFont="1" applyFill="1" applyBorder="1" applyAlignment="1">
      <alignment vertical="top" wrapText="1"/>
    </xf>
    <xf numFmtId="0" fontId="6" fillId="5" borderId="2" xfId="0" applyFont="1" applyFill="1" applyBorder="1" applyAlignment="1">
      <alignment vertical="top"/>
    </xf>
    <xf numFmtId="0" fontId="6" fillId="5" borderId="2" xfId="0" applyFont="1" applyFill="1" applyBorder="1" applyAlignment="1">
      <alignment horizontal="center" vertical="top"/>
    </xf>
    <xf numFmtId="0" fontId="6" fillId="5" borderId="2" xfId="0" applyFont="1" applyFill="1" applyBorder="1" applyAlignment="1">
      <alignment vertical="top" wrapText="1"/>
    </xf>
    <xf numFmtId="0" fontId="12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0" borderId="0" xfId="0" applyFont="1" applyFill="1"/>
    <xf numFmtId="14" fontId="6" fillId="0" borderId="0" xfId="0" applyNumberFormat="1" applyFont="1" applyProtection="1">
      <protection locked="0"/>
    </xf>
    <xf numFmtId="0" fontId="12" fillId="2" borderId="13" xfId="0" applyFont="1" applyFill="1" applyBorder="1" applyAlignment="1">
      <alignment horizontal="center" vertical="center"/>
    </xf>
    <xf numFmtId="14" fontId="12" fillId="2" borderId="9" xfId="0" applyNumberFormat="1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center" vertical="center"/>
      <protection locked="0"/>
    </xf>
    <xf numFmtId="0" fontId="6" fillId="9" borderId="14" xfId="0" applyFont="1" applyFill="1" applyBorder="1" applyAlignment="1">
      <alignment vertical="top" wrapText="1"/>
    </xf>
    <xf numFmtId="0" fontId="6" fillId="6" borderId="2" xfId="0" quotePrefix="1" applyFont="1" applyFill="1" applyBorder="1" applyAlignment="1">
      <alignment vertical="top" wrapText="1"/>
    </xf>
    <xf numFmtId="0" fontId="0" fillId="13" borderId="15" xfId="0" applyFill="1" applyBorder="1" applyAlignment="1">
      <alignment horizontal="center" vertical="center"/>
    </xf>
    <xf numFmtId="0" fontId="0" fillId="12" borderId="15" xfId="0" applyFill="1" applyBorder="1" applyAlignment="1">
      <alignment vertical="top"/>
    </xf>
    <xf numFmtId="0" fontId="0" fillId="12" borderId="15" xfId="0" applyFill="1" applyBorder="1" applyAlignment="1">
      <alignment vertical="top" wrapText="1"/>
    </xf>
    <xf numFmtId="14" fontId="12" fillId="2" borderId="9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Border="1" applyProtection="1">
      <protection locked="0"/>
    </xf>
    <xf numFmtId="0" fontId="6" fillId="0" borderId="0" xfId="0" applyFont="1" applyProtection="1">
      <protection locked="0" hidden="1"/>
    </xf>
    <xf numFmtId="0" fontId="6" fillId="2" borderId="9" xfId="0" quotePrefix="1" applyFont="1" applyFill="1" applyBorder="1" applyAlignment="1">
      <alignment horizontal="center" vertical="center"/>
    </xf>
    <xf numFmtId="0" fontId="3" fillId="4" borderId="11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/>
    <xf numFmtId="0" fontId="4" fillId="4" borderId="11" xfId="0" applyFont="1" applyFill="1" applyBorder="1" applyAlignment="1" applyProtection="1">
      <alignment horizontal="center" vertical="center"/>
      <protection locked="0"/>
    </xf>
    <xf numFmtId="0" fontId="3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Alignment="1">
      <alignment wrapText="1"/>
    </xf>
    <xf numFmtId="0" fontId="6" fillId="2" borderId="13" xfId="0" applyFont="1" applyFill="1" applyBorder="1" applyAlignment="1" applyProtection="1">
      <alignment vertical="center" wrapText="1"/>
    </xf>
    <xf numFmtId="0" fontId="6" fillId="2" borderId="9" xfId="0" applyFont="1" applyFill="1" applyBorder="1" applyAlignment="1" applyProtection="1">
      <alignment vertical="center" wrapText="1"/>
    </xf>
    <xf numFmtId="0" fontId="6" fillId="0" borderId="0" xfId="0" applyFont="1" applyBorder="1"/>
    <xf numFmtId="0" fontId="3" fillId="4" borderId="16" xfId="0" applyFont="1" applyFill="1" applyBorder="1" applyAlignment="1" applyProtection="1">
      <alignment horizontal="center" vertical="center" wrapText="1"/>
    </xf>
    <xf numFmtId="14" fontId="0" fillId="0" borderId="0" xfId="0" applyNumberFormat="1" applyAlignment="1">
      <alignment horizontal="left" vertical="top"/>
    </xf>
    <xf numFmtId="0" fontId="10" fillId="2" borderId="4" xfId="0" applyFont="1" applyFill="1" applyBorder="1" applyAlignment="1">
      <alignment horizontal="left" vertical="center"/>
    </xf>
    <xf numFmtId="0" fontId="15" fillId="6" borderId="2" xfId="0" applyFont="1" applyFill="1" applyBorder="1" applyAlignment="1">
      <alignment vertical="top"/>
    </xf>
    <xf numFmtId="0" fontId="15" fillId="6" borderId="2" xfId="0" applyFont="1" applyFill="1" applyBorder="1" applyAlignment="1">
      <alignment horizontal="center" vertical="top" wrapText="1"/>
    </xf>
    <xf numFmtId="0" fontId="15" fillId="6" borderId="2" xfId="0" applyFont="1" applyFill="1" applyBorder="1" applyAlignment="1">
      <alignment vertical="top" wrapText="1"/>
    </xf>
    <xf numFmtId="0" fontId="15" fillId="6" borderId="2" xfId="0" quotePrefix="1" applyFont="1" applyFill="1" applyBorder="1" applyAlignment="1">
      <alignment vertical="top" wrapText="1"/>
    </xf>
    <xf numFmtId="0" fontId="15" fillId="4" borderId="2" xfId="0" applyFont="1" applyFill="1" applyBorder="1" applyAlignment="1">
      <alignment vertical="top"/>
    </xf>
    <xf numFmtId="0" fontId="15" fillId="4" borderId="2" xfId="0" applyFont="1" applyFill="1" applyBorder="1" applyAlignment="1">
      <alignment horizontal="center" vertical="top"/>
    </xf>
    <xf numFmtId="0" fontId="15" fillId="4" borderId="2" xfId="0" applyFont="1" applyFill="1" applyBorder="1" applyAlignment="1">
      <alignment vertical="top" wrapText="1"/>
    </xf>
    <xf numFmtId="0" fontId="15" fillId="8" borderId="2" xfId="0" applyFont="1" applyFill="1" applyBorder="1" applyAlignment="1">
      <alignment vertical="top"/>
    </xf>
    <xf numFmtId="0" fontId="15" fillId="8" borderId="2" xfId="0" applyFont="1" applyFill="1" applyBorder="1" applyAlignment="1">
      <alignment horizontal="center" vertical="top"/>
    </xf>
    <xf numFmtId="0" fontId="15" fillId="8" borderId="2" xfId="0" applyFont="1" applyFill="1" applyBorder="1" applyAlignment="1">
      <alignment vertical="top" wrapText="1"/>
    </xf>
    <xf numFmtId="0" fontId="15" fillId="5" borderId="2" xfId="0" applyFont="1" applyFill="1" applyBorder="1" applyAlignment="1">
      <alignment vertical="top"/>
    </xf>
    <xf numFmtId="0" fontId="15" fillId="5" borderId="2" xfId="0" applyFont="1" applyFill="1" applyBorder="1" applyAlignment="1">
      <alignment horizontal="center" vertical="top"/>
    </xf>
    <xf numFmtId="0" fontId="15" fillId="5" borderId="2" xfId="0" applyFont="1" applyFill="1" applyBorder="1" applyAlignment="1">
      <alignment vertical="top" wrapText="1"/>
    </xf>
    <xf numFmtId="0" fontId="12" fillId="2" borderId="9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/>
    <xf numFmtId="0" fontId="6" fillId="0" borderId="0" xfId="0" applyFont="1" applyAlignment="1">
      <alignment horizontal="left" vertical="top"/>
    </xf>
    <xf numFmtId="0" fontId="6" fillId="2" borderId="1" xfId="0" applyFont="1" applyFill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6" fillId="7" borderId="3" xfId="0" applyFont="1" applyFill="1" applyBorder="1" applyAlignment="1">
      <alignment horizontal="left" vertical="top"/>
    </xf>
    <xf numFmtId="0" fontId="6" fillId="7" borderId="3" xfId="0" applyFont="1" applyFill="1" applyBorder="1" applyAlignment="1">
      <alignment horizontal="left" vertical="top" wrapText="1"/>
    </xf>
    <xf numFmtId="0" fontId="18" fillId="0" borderId="0" xfId="0" applyFont="1" applyAlignment="1">
      <alignment horizontal="left" vertical="top"/>
    </xf>
    <xf numFmtId="0" fontId="19" fillId="0" borderId="1" xfId="0" applyFont="1" applyBorder="1" applyAlignment="1">
      <alignment horizontal="left" vertical="top" wrapText="1"/>
    </xf>
    <xf numFmtId="0" fontId="6" fillId="20" borderId="1" xfId="0" applyFont="1" applyFill="1" applyBorder="1" applyAlignment="1">
      <alignment horizontal="left" vertical="top"/>
    </xf>
    <xf numFmtId="0" fontId="19" fillId="20" borderId="1" xfId="0" applyFont="1" applyFill="1" applyBorder="1" applyAlignment="1">
      <alignment horizontal="left" vertical="top" wrapText="1"/>
    </xf>
    <xf numFmtId="0" fontId="6" fillId="0" borderId="1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 wrapText="1"/>
    </xf>
    <xf numFmtId="0" fontId="6" fillId="0" borderId="1" xfId="0" applyFont="1" applyBorder="1"/>
    <xf numFmtId="1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" fillId="0" borderId="0" xfId="0" applyFont="1" applyFill="1" applyBorder="1" applyAlignment="1" applyProtection="1">
      <alignment vertical="top" wrapText="1"/>
      <protection locked="0" hidden="1"/>
    </xf>
    <xf numFmtId="0" fontId="4" fillId="0" borderId="0" xfId="0" applyNumberFormat="1" applyFont="1" applyFill="1" applyBorder="1" applyAlignment="1" applyProtection="1">
      <alignment vertical="top"/>
      <protection locked="0" hidden="1"/>
    </xf>
    <xf numFmtId="0" fontId="5" fillId="0" borderId="0" xfId="0" applyNumberFormat="1" applyFont="1" applyFill="1" applyBorder="1" applyAlignment="1" applyProtection="1">
      <alignment vertical="top"/>
      <protection locked="0" hidden="1"/>
    </xf>
    <xf numFmtId="0" fontId="4" fillId="0" borderId="0" xfId="0" applyFont="1" applyFill="1" applyBorder="1" applyAlignment="1" applyProtection="1">
      <alignment vertical="top"/>
      <protection locked="0" hidden="1"/>
    </xf>
    <xf numFmtId="0" fontId="4" fillId="0" borderId="18" xfId="0" applyFont="1" applyFill="1" applyBorder="1" applyAlignment="1" applyProtection="1">
      <alignment vertical="top"/>
      <protection locked="0" hidden="1"/>
    </xf>
    <xf numFmtId="0" fontId="0" fillId="0" borderId="0" xfId="0"/>
    <xf numFmtId="0" fontId="0" fillId="0" borderId="0" xfId="0" applyAlignment="1">
      <alignment wrapText="1"/>
    </xf>
    <xf numFmtId="0" fontId="7" fillId="11" borderId="1" xfId="0" applyFont="1" applyFill="1" applyBorder="1" applyProtection="1">
      <protection hidden="1"/>
    </xf>
    <xf numFmtId="0" fontId="6" fillId="0" borderId="0" xfId="0" applyFont="1"/>
    <xf numFmtId="0" fontId="6" fillId="2" borderId="9" xfId="0" applyFont="1" applyFill="1" applyBorder="1" applyAlignment="1">
      <alignment horizontal="center" vertical="center"/>
    </xf>
    <xf numFmtId="0" fontId="2" fillId="10" borderId="12" xfId="0" applyFont="1" applyFill="1" applyBorder="1" applyAlignment="1">
      <alignment horizontal="center" vertical="center" wrapText="1"/>
    </xf>
    <xf numFmtId="14" fontId="12" fillId="2" borderId="9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NumberFormat="1" applyFont="1" applyFill="1" applyBorder="1" applyAlignment="1" applyProtection="1">
      <alignment vertical="top" wrapText="1"/>
      <protection locked="0" hidden="1"/>
    </xf>
    <xf numFmtId="0" fontId="5" fillId="0" borderId="1" xfId="0" applyNumberFormat="1" applyFont="1" applyFill="1" applyBorder="1" applyAlignment="1" applyProtection="1">
      <alignment vertical="top" wrapText="1"/>
      <protection locked="0" hidden="1"/>
    </xf>
    <xf numFmtId="0" fontId="6" fillId="0" borderId="0" xfId="0" applyFont="1" applyFill="1" applyBorder="1" applyProtection="1">
      <protection locked="0"/>
    </xf>
    <xf numFmtId="0" fontId="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4" fillId="0" borderId="0" xfId="0" applyNumberFormat="1" applyFont="1" applyFill="1" applyBorder="1" applyAlignment="1" applyProtection="1">
      <alignment vertical="top" wrapText="1"/>
      <protection locked="0" hidden="1"/>
    </xf>
    <xf numFmtId="0" fontId="14" fillId="0" borderId="0" xfId="0" applyNumberFormat="1" applyFont="1" applyFill="1" applyBorder="1" applyAlignment="1" applyProtection="1">
      <alignment vertical="top" wrapText="1"/>
      <protection locked="0" hidden="1"/>
    </xf>
    <xf numFmtId="0" fontId="12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vertical="top" wrapText="1"/>
      <protection locked="0" hidden="1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1" fillId="3" borderId="19" xfId="1" applyFill="1" applyBorder="1" applyAlignment="1" applyProtection="1"/>
    <xf numFmtId="14" fontId="6" fillId="0" borderId="19" xfId="0" applyNumberFormat="1" applyFont="1" applyBorder="1" applyProtection="1"/>
    <xf numFmtId="0" fontId="6" fillId="0" borderId="19" xfId="0" applyFont="1" applyBorder="1" applyProtection="1"/>
    <xf numFmtId="49" fontId="3" fillId="4" borderId="16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0" fontId="0" fillId="0" borderId="0" xfId="0" applyFill="1" applyBorder="1" applyAlignment="1">
      <alignment vertical="top" wrapText="1"/>
    </xf>
    <xf numFmtId="49" fontId="17" fillId="18" borderId="0" xfId="0" applyNumberFormat="1" applyFont="1" applyFill="1"/>
    <xf numFmtId="49" fontId="17" fillId="0" borderId="0" xfId="0" applyNumberFormat="1" applyFont="1"/>
    <xf numFmtId="0" fontId="17" fillId="0" borderId="0" xfId="0" applyFont="1" applyAlignment="1">
      <alignment vertical="top"/>
    </xf>
    <xf numFmtId="49" fontId="17" fillId="2" borderId="0" xfId="0" applyNumberFormat="1" applyFont="1" applyFill="1"/>
    <xf numFmtId="49" fontId="17" fillId="17" borderId="0" xfId="0" applyNumberFormat="1" applyFont="1" applyFill="1"/>
    <xf numFmtId="49" fontId="17" fillId="15" borderId="0" xfId="0" applyNumberFormat="1" applyFont="1" applyFill="1"/>
    <xf numFmtId="49" fontId="17" fillId="19" borderId="0" xfId="0" applyNumberFormat="1" applyFont="1" applyFill="1"/>
    <xf numFmtId="49" fontId="17" fillId="16" borderId="0" xfId="0" applyNumberFormat="1" applyFont="1" applyFill="1"/>
    <xf numFmtId="49" fontId="17" fillId="21" borderId="0" xfId="0" applyNumberFormat="1" applyFont="1" applyFill="1"/>
    <xf numFmtId="49" fontId="17" fillId="22" borderId="0" xfId="0" applyNumberFormat="1" applyFont="1" applyFill="1"/>
    <xf numFmtId="49" fontId="17" fillId="8" borderId="0" xfId="0" applyNumberFormat="1" applyFont="1" applyFill="1"/>
    <xf numFmtId="0" fontId="0" fillId="23" borderId="0" xfId="0" applyFill="1" applyAlignment="1">
      <alignment vertical="top" wrapText="1"/>
    </xf>
    <xf numFmtId="14" fontId="12" fillId="0" borderId="0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14" fontId="20" fillId="0" borderId="0" xfId="0" applyNumberFormat="1" applyFont="1" applyFill="1" applyBorder="1" applyAlignment="1" applyProtection="1">
      <alignment horizontal="center" vertical="center"/>
    </xf>
    <xf numFmtId="0" fontId="4" fillId="0" borderId="1" xfId="0" applyFont="1" applyBorder="1" applyAlignment="1">
      <alignment horizontal="left" vertical="top"/>
    </xf>
    <xf numFmtId="0" fontId="21" fillId="0" borderId="1" xfId="0" applyFont="1" applyBorder="1" applyAlignment="1">
      <alignment horizontal="left" vertical="top" wrapText="1"/>
    </xf>
    <xf numFmtId="0" fontId="4" fillId="0" borderId="1" xfId="0" applyFont="1" applyBorder="1"/>
    <xf numFmtId="0" fontId="4" fillId="0" borderId="0" xfId="0" applyFont="1"/>
    <xf numFmtId="0" fontId="19" fillId="0" borderId="1" xfId="0" applyFont="1" applyFill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/>
    <xf numFmtId="14" fontId="4" fillId="0" borderId="1" xfId="0" applyNumberFormat="1" applyFont="1" applyFill="1" applyBorder="1" applyAlignment="1" applyProtection="1">
      <alignment vertical="top" wrapText="1"/>
      <protection locked="0" hidden="1"/>
    </xf>
    <xf numFmtId="0" fontId="6" fillId="2" borderId="0" xfId="0" applyFont="1" applyFill="1" applyProtection="1">
      <protection locked="0" hidden="1"/>
    </xf>
    <xf numFmtId="0" fontId="4" fillId="0" borderId="1" xfId="0" quotePrefix="1" applyNumberFormat="1" applyFont="1" applyFill="1" applyBorder="1" applyAlignment="1" applyProtection="1">
      <alignment vertical="top" wrapText="1"/>
      <protection locked="0" hidden="1"/>
    </xf>
    <xf numFmtId="0" fontId="4" fillId="4" borderId="11" xfId="0" applyFont="1" applyFill="1" applyBorder="1" applyAlignment="1" applyProtection="1">
      <alignment horizontal="left" vertical="center" wrapText="1"/>
      <protection locked="0"/>
    </xf>
    <xf numFmtId="0" fontId="4" fillId="4" borderId="1" xfId="0" applyFont="1" applyFill="1" applyBorder="1" applyAlignment="1" applyProtection="1">
      <alignment horizontal="left" vertical="center" wrapText="1"/>
      <protection locked="0"/>
    </xf>
    <xf numFmtId="0" fontId="17" fillId="0" borderId="0" xfId="0" applyFont="1" applyAlignment="1">
      <alignment wrapText="1"/>
    </xf>
    <xf numFmtId="0" fontId="3" fillId="4" borderId="10" xfId="0" applyNumberFormat="1" applyFont="1" applyFill="1" applyBorder="1" applyAlignment="1" applyProtection="1">
      <alignment horizontal="center" vertical="center" wrapText="1"/>
    </xf>
    <xf numFmtId="0" fontId="6" fillId="0" borderId="1" xfId="0" applyNumberFormat="1" applyFont="1" applyBorder="1" applyProtection="1">
      <protection locked="0"/>
    </xf>
    <xf numFmtId="0" fontId="6" fillId="0" borderId="0" xfId="0" applyNumberFormat="1" applyFont="1" applyProtection="1">
      <protection locked="0"/>
    </xf>
    <xf numFmtId="0" fontId="13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12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 applyProtection="1">
      <alignment horizontal="center" vertical="center" wrapText="1"/>
    </xf>
    <xf numFmtId="0" fontId="6" fillId="2" borderId="22" xfId="0" applyFont="1" applyFill="1" applyBorder="1" applyAlignment="1" applyProtection="1">
      <alignment vertical="center" wrapText="1"/>
    </xf>
    <xf numFmtId="0" fontId="6" fillId="2" borderId="23" xfId="0" applyFont="1" applyFill="1" applyBorder="1" applyAlignment="1" applyProtection="1">
      <alignment horizontal="center" vertical="center" wrapText="1"/>
      <protection locked="0"/>
    </xf>
    <xf numFmtId="0" fontId="6" fillId="2" borderId="22" xfId="0" applyFont="1" applyFill="1" applyBorder="1"/>
    <xf numFmtId="0" fontId="6" fillId="2" borderId="24" xfId="0" applyFont="1" applyFill="1" applyBorder="1" applyAlignment="1" applyProtection="1">
      <alignment vertical="center" wrapText="1"/>
    </xf>
    <xf numFmtId="0" fontId="1" fillId="0" borderId="0" xfId="1" applyFill="1" applyBorder="1" applyAlignment="1">
      <alignment vertical="center" wrapText="1"/>
    </xf>
    <xf numFmtId="0" fontId="6" fillId="0" borderId="0" xfId="0" applyFont="1" applyBorder="1" applyAlignment="1">
      <alignment wrapText="1"/>
    </xf>
    <xf numFmtId="0" fontId="6" fillId="2" borderId="1" xfId="0" applyFont="1" applyFill="1" applyBorder="1" applyAlignment="1" applyProtection="1">
      <alignment vertical="center" wrapText="1"/>
    </xf>
    <xf numFmtId="0" fontId="6" fillId="0" borderId="10" xfId="0" applyFont="1" applyFill="1" applyBorder="1" applyAlignment="1">
      <alignment horizontal="left" vertical="top"/>
    </xf>
    <xf numFmtId="0" fontId="6" fillId="0" borderId="1" xfId="0" applyFont="1" applyBorder="1" applyAlignment="1">
      <alignment wrapText="1"/>
    </xf>
    <xf numFmtId="0" fontId="6" fillId="0" borderId="30" xfId="0" applyFont="1" applyFill="1" applyBorder="1" applyAlignment="1">
      <alignment horizontal="left" vertical="center" wrapText="1"/>
    </xf>
    <xf numFmtId="0" fontId="6" fillId="2" borderId="31" xfId="0" applyFont="1" applyFill="1" applyBorder="1" applyAlignment="1" applyProtection="1">
      <alignment horizontal="center" vertical="center" wrapText="1"/>
      <protection locked="0"/>
    </xf>
    <xf numFmtId="0" fontId="6" fillId="2" borderId="20" xfId="0" applyFont="1" applyFill="1" applyBorder="1" applyAlignment="1" applyProtection="1">
      <alignment vertical="center" wrapText="1"/>
    </xf>
    <xf numFmtId="0" fontId="6" fillId="2" borderId="21" xfId="0" applyFont="1" applyFill="1" applyBorder="1" applyAlignment="1" applyProtection="1">
      <alignment horizontal="center" vertical="center" wrapText="1"/>
      <protection locked="0"/>
    </xf>
    <xf numFmtId="0" fontId="6" fillId="7" borderId="0" xfId="0" applyFont="1" applyFill="1" applyBorder="1" applyAlignment="1">
      <alignment horizontal="left" vertical="top" wrapText="1"/>
    </xf>
    <xf numFmtId="0" fontId="4" fillId="0" borderId="1" xfId="0" quotePrefix="1" applyNumberFormat="1" applyFont="1" applyBorder="1" applyAlignment="1" applyProtection="1">
      <alignment vertical="top" wrapText="1"/>
      <protection locked="0" hidden="1"/>
    </xf>
    <xf numFmtId="0" fontId="4" fillId="0" borderId="1" xfId="0" applyFont="1" applyBorder="1" applyProtection="1">
      <protection locked="0"/>
    </xf>
    <xf numFmtId="0" fontId="6" fillId="0" borderId="0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14" fontId="6" fillId="0" borderId="1" xfId="0" applyNumberFormat="1" applyFont="1" applyBorder="1" applyProtection="1">
      <protection locked="0"/>
    </xf>
    <xf numFmtId="0" fontId="6" fillId="0" borderId="1" xfId="0" applyFont="1" applyBorder="1" applyProtection="1">
      <protection locked="0" hidden="1"/>
    </xf>
    <xf numFmtId="0" fontId="6" fillId="0" borderId="1" xfId="0" applyFont="1" applyBorder="1" applyProtection="1">
      <protection locked="0"/>
    </xf>
    <xf numFmtId="0" fontId="0" fillId="0" borderId="1" xfId="0" applyBorder="1"/>
    <xf numFmtId="0" fontId="2" fillId="4" borderId="0" xfId="0" applyFont="1" applyFill="1" applyBorder="1" applyAlignment="1" applyProtection="1">
      <alignment horizontal="center" vertical="center" wrapText="1"/>
    </xf>
    <xf numFmtId="0" fontId="6" fillId="2" borderId="1" xfId="0" applyFont="1" applyFill="1" applyBorder="1" applyProtection="1">
      <protection locked="0" hidden="1"/>
    </xf>
    <xf numFmtId="0" fontId="0" fillId="0" borderId="0" xfId="0"/>
    <xf numFmtId="14" fontId="0" fillId="0" borderId="1" xfId="0" applyNumberFormat="1" applyBorder="1"/>
    <xf numFmtId="0" fontId="0" fillId="0" borderId="0" xfId="0" applyFill="1" applyBorder="1"/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6" fillId="0" borderId="0" xfId="0" applyNumberFormat="1" applyFont="1" applyFill="1" applyBorder="1" applyProtection="1">
      <protection locked="0"/>
    </xf>
    <xf numFmtId="0" fontId="24" fillId="4" borderId="0" xfId="0" applyFont="1" applyFill="1" applyBorder="1" applyAlignment="1" applyProtection="1">
      <alignment horizontal="center" vertical="center" wrapText="1"/>
    </xf>
    <xf numFmtId="0" fontId="25" fillId="0" borderId="0" xfId="0" applyFont="1" applyBorder="1" applyProtection="1">
      <protection locked="0"/>
    </xf>
    <xf numFmtId="0" fontId="25" fillId="0" borderId="0" xfId="0" applyFont="1" applyProtection="1">
      <protection locked="0"/>
    </xf>
    <xf numFmtId="0" fontId="6" fillId="24" borderId="1" xfId="0" applyFont="1" applyFill="1" applyBorder="1" applyAlignment="1">
      <alignment horizontal="left" vertical="top"/>
    </xf>
    <xf numFmtId="0" fontId="19" fillId="24" borderId="1" xfId="0" applyFont="1" applyFill="1" applyBorder="1" applyAlignment="1">
      <alignment horizontal="left" vertical="top" wrapText="1"/>
    </xf>
    <xf numFmtId="0" fontId="0" fillId="0" borderId="0" xfId="0" applyBorder="1"/>
    <xf numFmtId="14" fontId="0" fillId="0" borderId="0" xfId="0" applyNumberFormat="1"/>
    <xf numFmtId="0" fontId="1" fillId="0" borderId="19" xfId="1" applyNumberFormat="1" applyBorder="1" applyAlignment="1" applyProtection="1">
      <alignment horizontal="center" vertical="center" wrapText="1"/>
      <protection locked="0"/>
    </xf>
    <xf numFmtId="0" fontId="10" fillId="2" borderId="6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6" fillId="0" borderId="17" xfId="0" applyFont="1" applyBorder="1" applyAlignment="1">
      <alignment horizontal="left"/>
    </xf>
    <xf numFmtId="0" fontId="23" fillId="14" borderId="25" xfId="1" applyFont="1" applyFill="1" applyBorder="1" applyAlignment="1">
      <alignment horizontal="center" vertical="center" wrapText="1"/>
    </xf>
    <xf numFmtId="0" fontId="23" fillId="14" borderId="26" xfId="1" applyFont="1" applyFill="1" applyBorder="1" applyAlignment="1">
      <alignment horizontal="center" vertical="center" wrapText="1"/>
    </xf>
    <xf numFmtId="0" fontId="23" fillId="14" borderId="36" xfId="1" applyFont="1" applyFill="1" applyBorder="1" applyAlignment="1">
      <alignment horizontal="left" vertical="center" wrapText="1"/>
    </xf>
    <xf numFmtId="0" fontId="23" fillId="14" borderId="37" xfId="1" applyFont="1" applyFill="1" applyBorder="1" applyAlignment="1">
      <alignment horizontal="left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23" fillId="14" borderId="34" xfId="1" applyFont="1" applyFill="1" applyBorder="1" applyAlignment="1">
      <alignment horizontal="left" vertical="center" wrapText="1"/>
    </xf>
    <xf numFmtId="0" fontId="23" fillId="14" borderId="38" xfId="1" applyFont="1" applyFill="1" applyBorder="1" applyAlignment="1">
      <alignment horizontal="left" vertical="center" wrapText="1"/>
    </xf>
    <xf numFmtId="0" fontId="23" fillId="14" borderId="35" xfId="1" applyFont="1" applyFill="1" applyBorder="1" applyAlignment="1">
      <alignment horizontal="left" vertical="center" wrapText="1"/>
    </xf>
    <xf numFmtId="0" fontId="2" fillId="10" borderId="32" xfId="0" applyFont="1" applyFill="1" applyBorder="1" applyAlignment="1">
      <alignment horizontal="center" vertical="center" wrapText="1"/>
    </xf>
    <xf numFmtId="0" fontId="2" fillId="10" borderId="33" xfId="0" applyFont="1" applyFill="1" applyBorder="1" applyAlignment="1">
      <alignment horizontal="center" vertical="center" wrapText="1"/>
    </xf>
    <xf numFmtId="0" fontId="23" fillId="14" borderId="25" xfId="1" applyFont="1" applyFill="1" applyBorder="1" applyAlignment="1">
      <alignment horizontal="left" vertical="center" wrapText="1"/>
    </xf>
    <xf numFmtId="0" fontId="23" fillId="14" borderId="26" xfId="1" applyFont="1" applyFill="1" applyBorder="1" applyAlignment="1">
      <alignment horizontal="left" vertical="center" wrapText="1"/>
    </xf>
    <xf numFmtId="0" fontId="2" fillId="10" borderId="27" xfId="0" applyFont="1" applyFill="1" applyBorder="1" applyAlignment="1">
      <alignment horizontal="center" vertical="center" wrapText="1"/>
    </xf>
    <xf numFmtId="0" fontId="2" fillId="10" borderId="28" xfId="0" applyFont="1" applyFill="1" applyBorder="1" applyAlignment="1">
      <alignment horizontal="center" vertical="center" wrapText="1"/>
    </xf>
    <xf numFmtId="0" fontId="2" fillId="10" borderId="29" xfId="0" applyFont="1" applyFill="1" applyBorder="1" applyAlignment="1">
      <alignment horizontal="center" vertical="center" wrapText="1"/>
    </xf>
  </cellXfs>
  <cellStyles count="5">
    <cellStyle name="Normal 2" xfId="4"/>
    <cellStyle name="Гиперссылка" xfId="1" builtinId="8"/>
    <cellStyle name="Обычный" xfId="0" builtinId="0"/>
    <cellStyle name="Обычный 2" xfId="2"/>
    <cellStyle name="Обычный 3" xfId="3"/>
  </cellStyles>
  <dxfs count="0"/>
  <tableStyles count="0" defaultTableStyle="TableStyleMedium2" defaultPivotStyle="PivotStyleLight16"/>
  <colors>
    <mruColors>
      <color rgb="FFF8BABA"/>
      <color rgb="FFACA800"/>
      <color rgb="FFF8F200"/>
      <color rgb="FF9A9600"/>
      <color rgb="FF007A37"/>
      <color rgb="FFFF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9" tint="-0.249977111117893"/>
  </sheetPr>
  <dimension ref="A1:H180"/>
  <sheetViews>
    <sheetView tabSelected="1" zoomScale="115" zoomScaleNormal="115" workbookViewId="0">
      <selection activeCell="A3" sqref="A3"/>
    </sheetView>
  </sheetViews>
  <sheetFormatPr defaultColWidth="9.109375" defaultRowHeight="13.8" x14ac:dyDescent="0.3"/>
  <cols>
    <col min="1" max="1" width="4.88671875" style="30" customWidth="1"/>
    <col min="2" max="2" width="31.88671875" style="6" customWidth="1"/>
    <col min="3" max="3" width="44.5546875" style="6" customWidth="1"/>
    <col min="4" max="4" width="40.88671875" style="6" customWidth="1"/>
    <col min="5" max="6" width="12.6640625" style="25" customWidth="1"/>
    <col min="7" max="7" width="17.6640625" style="6" customWidth="1"/>
    <col min="8" max="8" width="24.88671875" style="6" customWidth="1"/>
    <col min="9" max="16384" width="9.109375" style="6"/>
  </cols>
  <sheetData>
    <row r="1" spans="1:8" ht="15" customHeight="1" x14ac:dyDescent="0.3">
      <c r="A1" s="184" t="s">
        <v>18</v>
      </c>
      <c r="B1" s="184"/>
      <c r="C1" s="102"/>
      <c r="D1" s="104"/>
      <c r="E1" s="102"/>
      <c r="F1" s="103"/>
      <c r="G1" s="104"/>
      <c r="H1" s="104"/>
    </row>
    <row r="2" spans="1:8" ht="55.2" x14ac:dyDescent="0.3">
      <c r="A2" s="42" t="s">
        <v>19</v>
      </c>
      <c r="B2" s="40" t="s">
        <v>324</v>
      </c>
      <c r="C2" s="40" t="s">
        <v>31</v>
      </c>
      <c r="D2" s="40" t="s">
        <v>24</v>
      </c>
      <c r="E2" s="43" t="s">
        <v>22</v>
      </c>
      <c r="F2" s="43" t="s">
        <v>23</v>
      </c>
      <c r="G2" s="40" t="s">
        <v>325</v>
      </c>
      <c r="H2" s="40" t="s">
        <v>326</v>
      </c>
    </row>
    <row r="3" spans="1:8" x14ac:dyDescent="0.3">
      <c r="A3" s="130"/>
      <c r="B3" s="163" t="s">
        <v>1306</v>
      </c>
      <c r="C3" s="168" t="s">
        <v>1306</v>
      </c>
      <c r="D3" s="168" t="s">
        <v>1306</v>
      </c>
      <c r="E3" s="132">
        <v>1</v>
      </c>
      <c r="F3" s="132">
        <v>2958465</v>
      </c>
      <c r="G3" s="168">
        <v>2</v>
      </c>
      <c r="H3" s="168" t="s">
        <v>1823</v>
      </c>
    </row>
    <row r="4" spans="1:8" x14ac:dyDescent="0.3">
      <c r="A4" s="130" t="s">
        <v>19</v>
      </c>
      <c r="B4" s="163" t="s">
        <v>1824</v>
      </c>
      <c r="C4" s="162" t="s">
        <v>1824</v>
      </c>
      <c r="D4" s="168" t="s">
        <v>1824</v>
      </c>
      <c r="E4" s="132">
        <v>1</v>
      </c>
      <c r="F4" s="132">
        <v>2958465</v>
      </c>
      <c r="G4" s="168">
        <v>2</v>
      </c>
      <c r="H4" s="168" t="s">
        <v>1823</v>
      </c>
    </row>
    <row r="5" spans="1:8" x14ac:dyDescent="0.3">
      <c r="A5" s="130" t="s">
        <v>19</v>
      </c>
      <c r="B5" s="163" t="s">
        <v>1308</v>
      </c>
      <c r="C5" s="168" t="s">
        <v>1308</v>
      </c>
      <c r="D5" s="168" t="s">
        <v>1308</v>
      </c>
      <c r="E5" s="132">
        <v>1</v>
      </c>
      <c r="F5" s="132">
        <v>2958465</v>
      </c>
      <c r="G5" s="168">
        <v>2</v>
      </c>
      <c r="H5" s="168" t="s">
        <v>1823</v>
      </c>
    </row>
    <row r="6" spans="1:8" x14ac:dyDescent="0.3">
      <c r="A6" s="130" t="s">
        <v>19</v>
      </c>
      <c r="B6" s="163" t="s">
        <v>1307</v>
      </c>
      <c r="C6" s="168" t="s">
        <v>1307</v>
      </c>
      <c r="D6" s="168" t="s">
        <v>1307</v>
      </c>
      <c r="E6" s="132">
        <v>1</v>
      </c>
      <c r="F6" s="132">
        <v>2958465</v>
      </c>
      <c r="G6" s="168">
        <v>2</v>
      </c>
      <c r="H6" s="168" t="s">
        <v>1823</v>
      </c>
    </row>
    <row r="7" spans="1:8" x14ac:dyDescent="0.3">
      <c r="A7" s="130" t="s">
        <v>19</v>
      </c>
      <c r="B7" s="163" t="s">
        <v>1309</v>
      </c>
      <c r="C7" s="168" t="s">
        <v>1309</v>
      </c>
      <c r="D7" s="168" t="s">
        <v>1309</v>
      </c>
      <c r="E7" s="132">
        <v>1</v>
      </c>
      <c r="F7" s="132">
        <v>2958465</v>
      </c>
      <c r="G7" s="168">
        <v>2</v>
      </c>
      <c r="H7" s="168" t="s">
        <v>1823</v>
      </c>
    </row>
    <row r="8" spans="1:8" x14ac:dyDescent="0.3">
      <c r="A8" s="130" t="s">
        <v>19</v>
      </c>
      <c r="B8" s="163" t="s">
        <v>387</v>
      </c>
      <c r="C8" s="168" t="s">
        <v>1262</v>
      </c>
      <c r="D8" s="168" t="s">
        <v>1262</v>
      </c>
      <c r="E8" s="132">
        <v>1</v>
      </c>
      <c r="F8" s="132">
        <v>2958465</v>
      </c>
      <c r="G8" s="168">
        <v>2</v>
      </c>
      <c r="H8" s="168" t="s">
        <v>1823</v>
      </c>
    </row>
    <row r="9" spans="1:8" x14ac:dyDescent="0.3">
      <c r="A9" s="130" t="s">
        <v>19</v>
      </c>
      <c r="B9" s="163" t="s">
        <v>1311</v>
      </c>
      <c r="C9" s="168" t="s">
        <v>1311</v>
      </c>
      <c r="D9" s="168" t="s">
        <v>1311</v>
      </c>
      <c r="E9" s="132">
        <v>1</v>
      </c>
      <c r="F9" s="132">
        <v>2958465</v>
      </c>
      <c r="G9" s="168">
        <v>2</v>
      </c>
      <c r="H9" s="168" t="s">
        <v>1823</v>
      </c>
    </row>
    <row r="10" spans="1:8" x14ac:dyDescent="0.3">
      <c r="A10" s="130" t="s">
        <v>19</v>
      </c>
      <c r="B10" s="163" t="s">
        <v>2025</v>
      </c>
      <c r="C10" s="168" t="s">
        <v>2025</v>
      </c>
      <c r="D10" s="168" t="s">
        <v>2025</v>
      </c>
      <c r="E10" s="132">
        <v>1</v>
      </c>
      <c r="F10" s="132">
        <v>2958465</v>
      </c>
      <c r="G10" s="168">
        <v>2</v>
      </c>
      <c r="H10" s="168" t="s">
        <v>1823</v>
      </c>
    </row>
    <row r="11" spans="1:8" x14ac:dyDescent="0.3">
      <c r="A11" s="130" t="s">
        <v>19</v>
      </c>
      <c r="B11" s="163" t="s">
        <v>1313</v>
      </c>
      <c r="C11" s="168" t="s">
        <v>1313</v>
      </c>
      <c r="D11" s="168" t="s">
        <v>1313</v>
      </c>
      <c r="E11" s="132">
        <v>1</v>
      </c>
      <c r="F11" s="132">
        <v>2958465</v>
      </c>
      <c r="G11" s="168">
        <v>2</v>
      </c>
      <c r="H11" s="168" t="s">
        <v>1823</v>
      </c>
    </row>
    <row r="12" spans="1:8" x14ac:dyDescent="0.3">
      <c r="A12" s="130" t="s">
        <v>19</v>
      </c>
      <c r="B12" s="163" t="s">
        <v>1825</v>
      </c>
      <c r="C12" s="168" t="s">
        <v>1825</v>
      </c>
      <c r="D12" s="168" t="s">
        <v>1825</v>
      </c>
      <c r="E12" s="132">
        <v>1</v>
      </c>
      <c r="F12" s="132">
        <v>2958465</v>
      </c>
      <c r="G12" s="168">
        <v>2</v>
      </c>
      <c r="H12" s="168" t="s">
        <v>1823</v>
      </c>
    </row>
    <row r="13" spans="1:8" x14ac:dyDescent="0.3">
      <c r="A13" s="130" t="s">
        <v>19</v>
      </c>
      <c r="B13" s="163" t="s">
        <v>1314</v>
      </c>
      <c r="C13" s="168" t="s">
        <v>1314</v>
      </c>
      <c r="D13" s="168" t="s">
        <v>1314</v>
      </c>
      <c r="E13" s="132">
        <v>1</v>
      </c>
      <c r="F13" s="132">
        <v>2958465</v>
      </c>
      <c r="G13" s="168">
        <v>2</v>
      </c>
      <c r="H13" s="168" t="s">
        <v>1823</v>
      </c>
    </row>
    <row r="14" spans="1:8" x14ac:dyDescent="0.3">
      <c r="A14" s="130" t="s">
        <v>19</v>
      </c>
      <c r="B14" s="163" t="s">
        <v>1310</v>
      </c>
      <c r="C14" s="168" t="s">
        <v>1310</v>
      </c>
      <c r="D14" s="168" t="s">
        <v>1310</v>
      </c>
      <c r="E14" s="132">
        <v>1</v>
      </c>
      <c r="F14" s="132">
        <v>2958465</v>
      </c>
      <c r="G14" s="168">
        <v>2</v>
      </c>
      <c r="H14" s="168" t="s">
        <v>1823</v>
      </c>
    </row>
    <row r="15" spans="1:8" x14ac:dyDescent="0.3">
      <c r="A15" s="130" t="s">
        <v>19</v>
      </c>
      <c r="B15" s="163" t="s">
        <v>1315</v>
      </c>
      <c r="C15" s="168" t="s">
        <v>1315</v>
      </c>
      <c r="D15" s="168" t="s">
        <v>1315</v>
      </c>
      <c r="E15" s="132">
        <v>1</v>
      </c>
      <c r="F15" s="132">
        <v>2958465</v>
      </c>
      <c r="G15" s="168">
        <v>2</v>
      </c>
      <c r="H15" s="168" t="s">
        <v>1823</v>
      </c>
    </row>
    <row r="16" spans="1:8" x14ac:dyDescent="0.3">
      <c r="A16" s="130" t="s">
        <v>19</v>
      </c>
      <c r="B16" s="163" t="s">
        <v>328</v>
      </c>
      <c r="C16" s="168" t="s">
        <v>328</v>
      </c>
      <c r="D16" s="168" t="s">
        <v>328</v>
      </c>
      <c r="E16" s="132">
        <v>1</v>
      </c>
      <c r="F16" s="132">
        <v>2958465</v>
      </c>
      <c r="G16" s="168">
        <v>2</v>
      </c>
      <c r="H16" s="168" t="s">
        <v>1823</v>
      </c>
    </row>
    <row r="17" spans="1:8" x14ac:dyDescent="0.3">
      <c r="A17" s="130" t="s">
        <v>19</v>
      </c>
      <c r="B17" s="163" t="s">
        <v>388</v>
      </c>
      <c r="C17" s="168" t="s">
        <v>1264</v>
      </c>
      <c r="D17" s="168" t="s">
        <v>1264</v>
      </c>
      <c r="E17" s="132">
        <v>1</v>
      </c>
      <c r="F17" s="132">
        <v>2958465</v>
      </c>
      <c r="G17" s="168">
        <v>2</v>
      </c>
      <c r="H17" s="168" t="s">
        <v>1823</v>
      </c>
    </row>
    <row r="18" spans="1:8" x14ac:dyDescent="0.3">
      <c r="A18" s="130" t="s">
        <v>19</v>
      </c>
      <c r="B18" s="163" t="s">
        <v>1312</v>
      </c>
      <c r="C18" s="168" t="s">
        <v>1267</v>
      </c>
      <c r="D18" s="168" t="s">
        <v>1267</v>
      </c>
      <c r="E18" s="132">
        <v>1</v>
      </c>
      <c r="F18" s="132">
        <v>2958465</v>
      </c>
      <c r="G18" s="168">
        <v>2</v>
      </c>
      <c r="H18" s="168" t="s">
        <v>1823</v>
      </c>
    </row>
    <row r="19" spans="1:8" x14ac:dyDescent="0.3">
      <c r="A19" s="130" t="s">
        <v>19</v>
      </c>
      <c r="B19" s="163" t="s">
        <v>1318</v>
      </c>
      <c r="C19" s="168" t="s">
        <v>1265</v>
      </c>
      <c r="D19" s="168" t="s">
        <v>1265</v>
      </c>
      <c r="E19" s="132">
        <v>1</v>
      </c>
      <c r="F19" s="132">
        <v>2958465</v>
      </c>
      <c r="G19" s="168">
        <v>2</v>
      </c>
      <c r="H19" s="168" t="s">
        <v>1823</v>
      </c>
    </row>
    <row r="20" spans="1:8" x14ac:dyDescent="0.3">
      <c r="A20" s="130" t="s">
        <v>19</v>
      </c>
      <c r="B20" s="163" t="s">
        <v>389</v>
      </c>
      <c r="C20" s="168" t="s">
        <v>1268</v>
      </c>
      <c r="D20" s="168" t="s">
        <v>1268</v>
      </c>
      <c r="E20" s="132">
        <v>1</v>
      </c>
      <c r="F20" s="132">
        <v>2958465</v>
      </c>
      <c r="G20" s="168">
        <v>2</v>
      </c>
      <c r="H20" s="168" t="s">
        <v>1823</v>
      </c>
    </row>
    <row r="21" spans="1:8" x14ac:dyDescent="0.3">
      <c r="A21" s="130" t="s">
        <v>19</v>
      </c>
      <c r="B21" s="163" t="s">
        <v>2026</v>
      </c>
      <c r="C21" s="168" t="s">
        <v>2026</v>
      </c>
      <c r="D21" s="168" t="s">
        <v>2026</v>
      </c>
      <c r="E21" s="132">
        <v>1</v>
      </c>
      <c r="F21" s="132">
        <v>2958465</v>
      </c>
      <c r="G21" s="168">
        <v>2</v>
      </c>
      <c r="H21" s="168" t="s">
        <v>1823</v>
      </c>
    </row>
    <row r="22" spans="1:8" x14ac:dyDescent="0.3">
      <c r="A22" s="130" t="s">
        <v>19</v>
      </c>
      <c r="B22" s="163" t="s">
        <v>390</v>
      </c>
      <c r="C22" s="168" t="s">
        <v>1269</v>
      </c>
      <c r="D22" s="168" t="s">
        <v>1269</v>
      </c>
      <c r="E22" s="132">
        <v>1</v>
      </c>
      <c r="F22" s="132">
        <v>2958465</v>
      </c>
      <c r="G22" s="168">
        <v>2</v>
      </c>
      <c r="H22" s="168" t="s">
        <v>1823</v>
      </c>
    </row>
    <row r="23" spans="1:8" x14ac:dyDescent="0.3">
      <c r="A23" s="130" t="s">
        <v>19</v>
      </c>
      <c r="B23" s="163" t="s">
        <v>1775</v>
      </c>
      <c r="C23" s="168" t="s">
        <v>1775</v>
      </c>
      <c r="D23" s="168" t="s">
        <v>1775</v>
      </c>
      <c r="E23" s="132">
        <v>1</v>
      </c>
      <c r="F23" s="132">
        <v>2958465</v>
      </c>
      <c r="G23" s="168">
        <v>2</v>
      </c>
      <c r="H23" s="168" t="s">
        <v>1823</v>
      </c>
    </row>
    <row r="24" spans="1:8" x14ac:dyDescent="0.3">
      <c r="A24" s="130" t="s">
        <v>19</v>
      </c>
      <c r="B24" s="163" t="s">
        <v>2027</v>
      </c>
      <c r="C24" s="168" t="s">
        <v>2027</v>
      </c>
      <c r="D24" s="168" t="s">
        <v>2027</v>
      </c>
      <c r="E24" s="132">
        <v>1</v>
      </c>
      <c r="F24" s="132">
        <v>2958465</v>
      </c>
      <c r="G24" s="168">
        <v>2</v>
      </c>
      <c r="H24" s="168" t="s">
        <v>1823</v>
      </c>
    </row>
    <row r="25" spans="1:8" x14ac:dyDescent="0.3">
      <c r="A25" s="130" t="s">
        <v>19</v>
      </c>
      <c r="B25" s="163" t="s">
        <v>2028</v>
      </c>
      <c r="C25" s="168" t="s">
        <v>2028</v>
      </c>
      <c r="D25" s="168" t="s">
        <v>2028</v>
      </c>
      <c r="E25" s="132">
        <v>1</v>
      </c>
      <c r="F25" s="132">
        <v>2958465</v>
      </c>
      <c r="G25" s="168">
        <v>2</v>
      </c>
      <c r="H25" s="168" t="s">
        <v>1823</v>
      </c>
    </row>
    <row r="26" spans="1:8" x14ac:dyDescent="0.3">
      <c r="A26" s="130" t="s">
        <v>19</v>
      </c>
      <c r="B26" s="163" t="s">
        <v>1826</v>
      </c>
      <c r="C26" s="168" t="s">
        <v>1826</v>
      </c>
      <c r="D26" s="168" t="s">
        <v>1826</v>
      </c>
      <c r="E26" s="132">
        <v>1</v>
      </c>
      <c r="F26" s="132">
        <v>2958465</v>
      </c>
      <c r="G26" s="168">
        <v>2</v>
      </c>
      <c r="H26" s="168" t="s">
        <v>1823</v>
      </c>
    </row>
    <row r="27" spans="1:8" x14ac:dyDescent="0.3">
      <c r="A27" s="130" t="s">
        <v>19</v>
      </c>
      <c r="B27" s="163" t="s">
        <v>1776</v>
      </c>
      <c r="C27" s="168" t="s">
        <v>1776</v>
      </c>
      <c r="D27" s="168" t="s">
        <v>1776</v>
      </c>
      <c r="E27" s="132">
        <v>1</v>
      </c>
      <c r="F27" s="132">
        <v>2958465</v>
      </c>
      <c r="G27" s="168">
        <v>2</v>
      </c>
      <c r="H27" s="168" t="s">
        <v>1823</v>
      </c>
    </row>
    <row r="28" spans="1:8" x14ac:dyDescent="0.3">
      <c r="A28" s="130" t="s">
        <v>19</v>
      </c>
      <c r="B28" s="163" t="s">
        <v>1316</v>
      </c>
      <c r="C28" s="168" t="s">
        <v>1316</v>
      </c>
      <c r="D28" s="168" t="s">
        <v>1316</v>
      </c>
      <c r="E28" s="132">
        <v>1</v>
      </c>
      <c r="F28" s="132">
        <v>2958465</v>
      </c>
      <c r="G28" s="168">
        <v>2</v>
      </c>
      <c r="H28" s="168" t="s">
        <v>1823</v>
      </c>
    </row>
    <row r="29" spans="1:8" x14ac:dyDescent="0.3">
      <c r="A29" s="130" t="s">
        <v>19</v>
      </c>
      <c r="B29" s="163" t="s">
        <v>1320</v>
      </c>
      <c r="C29" s="168" t="s">
        <v>1320</v>
      </c>
      <c r="D29" s="168" t="s">
        <v>1320</v>
      </c>
      <c r="E29" s="132">
        <v>1</v>
      </c>
      <c r="F29" s="132">
        <v>2958465</v>
      </c>
      <c r="G29" s="168">
        <v>2</v>
      </c>
      <c r="H29" s="168" t="s">
        <v>1823</v>
      </c>
    </row>
    <row r="30" spans="1:8" x14ac:dyDescent="0.3">
      <c r="A30" s="130" t="s">
        <v>19</v>
      </c>
      <c r="B30" s="163" t="s">
        <v>1827</v>
      </c>
      <c r="C30" s="168" t="s">
        <v>1827</v>
      </c>
      <c r="D30" s="168" t="s">
        <v>1827</v>
      </c>
      <c r="E30" s="132">
        <v>1</v>
      </c>
      <c r="F30" s="132">
        <v>2958465</v>
      </c>
      <c r="G30" s="168">
        <v>2</v>
      </c>
      <c r="H30" s="168" t="s">
        <v>1823</v>
      </c>
    </row>
    <row r="31" spans="1:8" x14ac:dyDescent="0.3">
      <c r="A31" s="130" t="s">
        <v>19</v>
      </c>
      <c r="B31" s="163" t="s">
        <v>1322</v>
      </c>
      <c r="C31" s="168" t="s">
        <v>1322</v>
      </c>
      <c r="D31" s="168" t="s">
        <v>1322</v>
      </c>
      <c r="E31" s="132">
        <v>1</v>
      </c>
      <c r="F31" s="132">
        <v>2958465</v>
      </c>
      <c r="G31" s="168">
        <v>2</v>
      </c>
      <c r="H31" s="168" t="s">
        <v>1823</v>
      </c>
    </row>
    <row r="32" spans="1:8" x14ac:dyDescent="0.3">
      <c r="A32" s="130" t="s">
        <v>19</v>
      </c>
      <c r="B32" s="163" t="s">
        <v>1828</v>
      </c>
      <c r="C32" s="168" t="s">
        <v>1828</v>
      </c>
      <c r="D32" s="168" t="s">
        <v>1828</v>
      </c>
      <c r="E32" s="132">
        <v>1</v>
      </c>
      <c r="F32" s="132">
        <v>2958465</v>
      </c>
      <c r="G32" s="168">
        <v>2</v>
      </c>
      <c r="H32" s="168" t="s">
        <v>1823</v>
      </c>
    </row>
    <row r="33" spans="1:8" x14ac:dyDescent="0.3">
      <c r="A33" s="130" t="s">
        <v>19</v>
      </c>
      <c r="B33" s="163" t="s">
        <v>2029</v>
      </c>
      <c r="C33" s="168" t="s">
        <v>2029</v>
      </c>
      <c r="D33" s="168" t="s">
        <v>2029</v>
      </c>
      <c r="E33" s="132">
        <v>1</v>
      </c>
      <c r="F33" s="132">
        <v>2958465</v>
      </c>
      <c r="G33" s="168">
        <v>2</v>
      </c>
      <c r="H33" s="168" t="s">
        <v>1823</v>
      </c>
    </row>
    <row r="34" spans="1:8" x14ac:dyDescent="0.3">
      <c r="A34" s="130" t="s">
        <v>19</v>
      </c>
      <c r="B34" s="163" t="s">
        <v>1829</v>
      </c>
      <c r="C34" s="168" t="s">
        <v>1829</v>
      </c>
      <c r="D34" s="168" t="s">
        <v>1829</v>
      </c>
      <c r="E34" s="132">
        <v>1</v>
      </c>
      <c r="F34" s="132">
        <v>2958465</v>
      </c>
      <c r="G34" s="168">
        <v>2</v>
      </c>
      <c r="H34" s="168" t="s">
        <v>1823</v>
      </c>
    </row>
    <row r="35" spans="1:8" x14ac:dyDescent="0.3">
      <c r="A35" s="130" t="s">
        <v>19</v>
      </c>
      <c r="B35" s="163" t="s">
        <v>2030</v>
      </c>
      <c r="C35" s="168" t="s">
        <v>2030</v>
      </c>
      <c r="D35" s="168" t="s">
        <v>2030</v>
      </c>
      <c r="E35" s="132">
        <v>1</v>
      </c>
      <c r="F35" s="132">
        <v>2958465</v>
      </c>
      <c r="G35" s="168">
        <v>2</v>
      </c>
      <c r="H35" s="168" t="s">
        <v>1823</v>
      </c>
    </row>
    <row r="36" spans="1:8" x14ac:dyDescent="0.3">
      <c r="A36" s="130" t="s">
        <v>19</v>
      </c>
      <c r="B36" s="163" t="s">
        <v>1317</v>
      </c>
      <c r="C36" s="168" t="s">
        <v>1317</v>
      </c>
      <c r="D36" s="168" t="s">
        <v>1317</v>
      </c>
      <c r="E36" s="132">
        <v>1</v>
      </c>
      <c r="F36" s="132">
        <v>2958465</v>
      </c>
      <c r="G36" s="168">
        <v>2</v>
      </c>
      <c r="H36" s="168" t="s">
        <v>1823</v>
      </c>
    </row>
    <row r="37" spans="1:8" x14ac:dyDescent="0.3">
      <c r="A37" s="130" t="s">
        <v>19</v>
      </c>
      <c r="B37" s="163" t="s">
        <v>391</v>
      </c>
      <c r="C37" s="168" t="s">
        <v>1270</v>
      </c>
      <c r="D37" s="168" t="s">
        <v>1270</v>
      </c>
      <c r="E37" s="132">
        <v>1</v>
      </c>
      <c r="F37" s="132">
        <v>2958465</v>
      </c>
      <c r="G37" s="168">
        <v>2</v>
      </c>
      <c r="H37" s="168" t="s">
        <v>1823</v>
      </c>
    </row>
    <row r="38" spans="1:8" x14ac:dyDescent="0.3">
      <c r="A38" s="130" t="s">
        <v>19</v>
      </c>
      <c r="B38" s="163" t="s">
        <v>1319</v>
      </c>
      <c r="C38" s="163" t="s">
        <v>1319</v>
      </c>
      <c r="D38" s="168" t="s">
        <v>1319</v>
      </c>
      <c r="E38" s="132">
        <v>1</v>
      </c>
      <c r="F38" s="132">
        <v>2958465</v>
      </c>
      <c r="G38" s="168">
        <v>2</v>
      </c>
      <c r="H38" s="168" t="s">
        <v>1823</v>
      </c>
    </row>
    <row r="39" spans="1:8" x14ac:dyDescent="0.3">
      <c r="A39" s="130" t="s">
        <v>19</v>
      </c>
      <c r="B39" s="163" t="s">
        <v>1830</v>
      </c>
      <c r="C39" s="168" t="s">
        <v>1830</v>
      </c>
      <c r="D39" s="168" t="s">
        <v>1830</v>
      </c>
      <c r="E39" s="132">
        <v>1</v>
      </c>
      <c r="F39" s="132">
        <v>2958465</v>
      </c>
      <c r="G39" s="168">
        <v>2</v>
      </c>
      <c r="H39" s="168" t="s">
        <v>1823</v>
      </c>
    </row>
    <row r="40" spans="1:8" x14ac:dyDescent="0.3">
      <c r="A40" s="130" t="s">
        <v>19</v>
      </c>
      <c r="B40" s="163" t="s">
        <v>1321</v>
      </c>
      <c r="C40" s="168" t="s">
        <v>1321</v>
      </c>
      <c r="D40" s="168" t="s">
        <v>1321</v>
      </c>
      <c r="E40" s="132">
        <v>1</v>
      </c>
      <c r="F40" s="132">
        <v>2958465</v>
      </c>
      <c r="G40" s="168">
        <v>2</v>
      </c>
      <c r="H40" s="168" t="s">
        <v>1823</v>
      </c>
    </row>
    <row r="41" spans="1:8" x14ac:dyDescent="0.3">
      <c r="A41" s="130" t="s">
        <v>19</v>
      </c>
      <c r="B41" s="163" t="s">
        <v>393</v>
      </c>
      <c r="C41" s="168" t="s">
        <v>1272</v>
      </c>
      <c r="D41" s="168" t="s">
        <v>1272</v>
      </c>
      <c r="E41" s="132">
        <v>1</v>
      </c>
      <c r="F41" s="132">
        <v>2958465</v>
      </c>
      <c r="G41" s="168">
        <v>2</v>
      </c>
      <c r="H41" s="168" t="s">
        <v>1823</v>
      </c>
    </row>
    <row r="42" spans="1:8" x14ac:dyDescent="0.3">
      <c r="A42" s="130" t="s">
        <v>19</v>
      </c>
      <c r="B42" s="163" t="s">
        <v>2031</v>
      </c>
      <c r="C42" s="168" t="s">
        <v>2031</v>
      </c>
      <c r="D42" s="168" t="s">
        <v>2031</v>
      </c>
      <c r="E42" s="132">
        <v>1</v>
      </c>
      <c r="F42" s="132">
        <v>2958465</v>
      </c>
      <c r="G42" s="168">
        <v>2</v>
      </c>
      <c r="H42" s="168" t="s">
        <v>1823</v>
      </c>
    </row>
    <row r="43" spans="1:8" x14ac:dyDescent="0.3">
      <c r="A43" s="130" t="s">
        <v>19</v>
      </c>
      <c r="B43" s="163" t="s">
        <v>394</v>
      </c>
      <c r="C43" s="168" t="s">
        <v>1273</v>
      </c>
      <c r="D43" s="168" t="s">
        <v>1273</v>
      </c>
      <c r="E43" s="132">
        <v>1</v>
      </c>
      <c r="F43" s="132">
        <v>2958465</v>
      </c>
      <c r="G43" s="168">
        <v>2</v>
      </c>
      <c r="H43" s="168" t="s">
        <v>1823</v>
      </c>
    </row>
    <row r="44" spans="1:8" x14ac:dyDescent="0.3">
      <c r="A44" s="130" t="s">
        <v>19</v>
      </c>
      <c r="B44" s="163" t="s">
        <v>392</v>
      </c>
      <c r="C44" s="168" t="s">
        <v>1271</v>
      </c>
      <c r="D44" s="168" t="s">
        <v>1271</v>
      </c>
      <c r="E44" s="132">
        <v>1</v>
      </c>
      <c r="F44" s="132">
        <v>2958465</v>
      </c>
      <c r="G44" s="168">
        <v>2</v>
      </c>
      <c r="H44" s="168" t="s">
        <v>1823</v>
      </c>
    </row>
    <row r="45" spans="1:8" x14ac:dyDescent="0.3">
      <c r="A45" s="130" t="s">
        <v>19</v>
      </c>
      <c r="B45" s="163" t="s">
        <v>395</v>
      </c>
      <c r="C45" s="168" t="s">
        <v>1274</v>
      </c>
      <c r="D45" s="168" t="s">
        <v>1274</v>
      </c>
      <c r="E45" s="132">
        <v>1</v>
      </c>
      <c r="F45" s="132">
        <v>2958465</v>
      </c>
      <c r="G45" s="168">
        <v>2</v>
      </c>
      <c r="H45" s="168" t="s">
        <v>1823</v>
      </c>
    </row>
    <row r="46" spans="1:8" x14ac:dyDescent="0.3">
      <c r="A46" s="130" t="s">
        <v>19</v>
      </c>
      <c r="B46" s="163" t="s">
        <v>1323</v>
      </c>
      <c r="C46" s="168" t="s">
        <v>1323</v>
      </c>
      <c r="D46" s="168" t="s">
        <v>1323</v>
      </c>
      <c r="E46" s="132">
        <v>1</v>
      </c>
      <c r="F46" s="132">
        <v>2958465</v>
      </c>
      <c r="G46" s="168">
        <v>2</v>
      </c>
      <c r="H46" s="168" t="s">
        <v>1823</v>
      </c>
    </row>
    <row r="47" spans="1:8" x14ac:dyDescent="0.3">
      <c r="A47" s="130" t="s">
        <v>19</v>
      </c>
      <c r="B47" s="163" t="s">
        <v>1325</v>
      </c>
      <c r="C47" s="168" t="s">
        <v>1275</v>
      </c>
      <c r="D47" s="168" t="s">
        <v>1275</v>
      </c>
      <c r="E47" s="132">
        <v>1</v>
      </c>
      <c r="F47" s="132">
        <v>2958465</v>
      </c>
      <c r="G47" s="168">
        <v>2</v>
      </c>
      <c r="H47" s="168" t="s">
        <v>1823</v>
      </c>
    </row>
    <row r="48" spans="1:8" x14ac:dyDescent="0.3">
      <c r="A48" s="130" t="s">
        <v>19</v>
      </c>
      <c r="B48" s="163" t="s">
        <v>1777</v>
      </c>
      <c r="C48" s="168" t="s">
        <v>1777</v>
      </c>
      <c r="D48" s="168" t="s">
        <v>1777</v>
      </c>
      <c r="E48" s="132">
        <v>1</v>
      </c>
      <c r="F48" s="132">
        <v>2958465</v>
      </c>
      <c r="G48" s="168">
        <v>2</v>
      </c>
      <c r="H48" s="168" t="s">
        <v>1823</v>
      </c>
    </row>
    <row r="49" spans="1:8" x14ac:dyDescent="0.3">
      <c r="A49" s="130" t="s">
        <v>19</v>
      </c>
      <c r="B49" s="163" t="s">
        <v>2032</v>
      </c>
      <c r="C49" s="168" t="s">
        <v>2032</v>
      </c>
      <c r="D49" s="168" t="s">
        <v>2032</v>
      </c>
      <c r="E49" s="132">
        <v>1</v>
      </c>
      <c r="F49" s="132">
        <v>2958465</v>
      </c>
      <c r="G49" s="168">
        <v>2</v>
      </c>
      <c r="H49" s="168" t="s">
        <v>1823</v>
      </c>
    </row>
    <row r="50" spans="1:8" x14ac:dyDescent="0.3">
      <c r="A50" s="130" t="s">
        <v>19</v>
      </c>
      <c r="B50" s="163" t="s">
        <v>1324</v>
      </c>
      <c r="C50" s="168" t="s">
        <v>1324</v>
      </c>
      <c r="D50" s="168" t="s">
        <v>1324</v>
      </c>
      <c r="E50" s="132">
        <v>1</v>
      </c>
      <c r="F50" s="132">
        <v>2958465</v>
      </c>
      <c r="G50" s="168">
        <v>2</v>
      </c>
      <c r="H50" s="168" t="s">
        <v>1823</v>
      </c>
    </row>
    <row r="51" spans="1:8" x14ac:dyDescent="0.3">
      <c r="A51" s="130" t="s">
        <v>19</v>
      </c>
      <c r="B51" s="163" t="s">
        <v>397</v>
      </c>
      <c r="C51" s="168" t="s">
        <v>1277</v>
      </c>
      <c r="D51" s="168" t="s">
        <v>1277</v>
      </c>
      <c r="E51" s="132">
        <v>1</v>
      </c>
      <c r="F51" s="132">
        <v>2958465</v>
      </c>
      <c r="G51" s="168">
        <v>2</v>
      </c>
      <c r="H51" s="168" t="s">
        <v>1823</v>
      </c>
    </row>
    <row r="52" spans="1:8" x14ac:dyDescent="0.3">
      <c r="A52" s="130" t="s">
        <v>19</v>
      </c>
      <c r="B52" s="163" t="s">
        <v>396</v>
      </c>
      <c r="C52" s="168" t="s">
        <v>1276</v>
      </c>
      <c r="D52" s="168" t="s">
        <v>1276</v>
      </c>
      <c r="E52" s="132">
        <v>1</v>
      </c>
      <c r="F52" s="132">
        <v>2958465</v>
      </c>
      <c r="G52" s="168">
        <v>2</v>
      </c>
      <c r="H52" s="168" t="s">
        <v>1823</v>
      </c>
    </row>
    <row r="53" spans="1:8" x14ac:dyDescent="0.3">
      <c r="A53" s="130" t="s">
        <v>19</v>
      </c>
      <c r="B53" s="163" t="s">
        <v>1327</v>
      </c>
      <c r="C53" s="168" t="s">
        <v>1327</v>
      </c>
      <c r="D53" s="168" t="s">
        <v>1327</v>
      </c>
      <c r="E53" s="132">
        <v>1</v>
      </c>
      <c r="F53" s="132">
        <v>2958465</v>
      </c>
      <c r="G53" s="168">
        <v>2</v>
      </c>
      <c r="H53" s="168" t="s">
        <v>1823</v>
      </c>
    </row>
    <row r="54" spans="1:8" x14ac:dyDescent="0.3">
      <c r="A54" s="130" t="s">
        <v>19</v>
      </c>
      <c r="B54" s="163" t="s">
        <v>398</v>
      </c>
      <c r="C54" s="168" t="s">
        <v>1278</v>
      </c>
      <c r="D54" s="168" t="s">
        <v>1278</v>
      </c>
      <c r="E54" s="132">
        <v>1</v>
      </c>
      <c r="F54" s="132">
        <v>2958465</v>
      </c>
      <c r="G54" s="168">
        <v>2</v>
      </c>
      <c r="H54" s="168" t="s">
        <v>1823</v>
      </c>
    </row>
    <row r="55" spans="1:8" x14ac:dyDescent="0.3">
      <c r="A55" s="130" t="s">
        <v>19</v>
      </c>
      <c r="B55" s="163" t="s">
        <v>1328</v>
      </c>
      <c r="C55" s="168" t="s">
        <v>1328</v>
      </c>
      <c r="D55" s="168" t="s">
        <v>1328</v>
      </c>
      <c r="E55" s="132">
        <v>1</v>
      </c>
      <c r="F55" s="132">
        <v>2958465</v>
      </c>
      <c r="G55" s="168">
        <v>2</v>
      </c>
      <c r="H55" s="168" t="s">
        <v>1823</v>
      </c>
    </row>
    <row r="56" spans="1:8" x14ac:dyDescent="0.3">
      <c r="A56" s="130" t="s">
        <v>19</v>
      </c>
      <c r="B56" s="163" t="s">
        <v>1326</v>
      </c>
      <c r="C56" s="168" t="s">
        <v>1326</v>
      </c>
      <c r="D56" s="168" t="s">
        <v>1326</v>
      </c>
      <c r="E56" s="132">
        <v>1</v>
      </c>
      <c r="F56" s="132">
        <v>2958465</v>
      </c>
      <c r="G56" s="168">
        <v>2</v>
      </c>
      <c r="H56" s="168" t="s">
        <v>1823</v>
      </c>
    </row>
    <row r="57" spans="1:8" x14ac:dyDescent="0.3">
      <c r="A57" s="130" t="s">
        <v>19</v>
      </c>
      <c r="B57" s="163" t="s">
        <v>2033</v>
      </c>
      <c r="C57" s="168" t="s">
        <v>2033</v>
      </c>
      <c r="D57" s="168" t="s">
        <v>2033</v>
      </c>
      <c r="E57" s="132">
        <v>1</v>
      </c>
      <c r="F57" s="132">
        <v>2958465</v>
      </c>
      <c r="G57" s="168">
        <v>2</v>
      </c>
      <c r="H57" s="168" t="s">
        <v>1823</v>
      </c>
    </row>
    <row r="58" spans="1:8" x14ac:dyDescent="0.3">
      <c r="A58" s="130" t="s">
        <v>19</v>
      </c>
      <c r="B58" s="163" t="s">
        <v>399</v>
      </c>
      <c r="C58" s="168" t="s">
        <v>400</v>
      </c>
      <c r="D58" s="168" t="s">
        <v>400</v>
      </c>
      <c r="E58" s="132">
        <v>1</v>
      </c>
      <c r="F58" s="132">
        <v>2958465</v>
      </c>
      <c r="G58" s="168">
        <v>2</v>
      </c>
      <c r="H58" s="168" t="s">
        <v>1823</v>
      </c>
    </row>
    <row r="59" spans="1:8" x14ac:dyDescent="0.3">
      <c r="A59" s="130" t="s">
        <v>19</v>
      </c>
      <c r="B59" s="163" t="s">
        <v>401</v>
      </c>
      <c r="C59" s="168" t="s">
        <v>1279</v>
      </c>
      <c r="D59" s="168" t="s">
        <v>1279</v>
      </c>
      <c r="E59" s="132">
        <v>1</v>
      </c>
      <c r="F59" s="132">
        <v>2958465</v>
      </c>
      <c r="G59" s="168">
        <v>2</v>
      </c>
      <c r="H59" s="168" t="s">
        <v>1823</v>
      </c>
    </row>
    <row r="60" spans="1:8" x14ac:dyDescent="0.3">
      <c r="A60" s="130" t="s">
        <v>19</v>
      </c>
      <c r="B60" s="163" t="s">
        <v>402</v>
      </c>
      <c r="C60" s="168" t="s">
        <v>1280</v>
      </c>
      <c r="D60" s="168" t="s">
        <v>1280</v>
      </c>
      <c r="E60" s="132">
        <v>1</v>
      </c>
      <c r="F60" s="132">
        <v>2958465</v>
      </c>
      <c r="G60" s="168">
        <v>2</v>
      </c>
      <c r="H60" s="168" t="s">
        <v>1823</v>
      </c>
    </row>
    <row r="61" spans="1:8" x14ac:dyDescent="0.3">
      <c r="A61" s="130" t="s">
        <v>19</v>
      </c>
      <c r="B61" s="163" t="s">
        <v>403</v>
      </c>
      <c r="C61" s="168" t="s">
        <v>1281</v>
      </c>
      <c r="D61" s="168" t="s">
        <v>1281</v>
      </c>
      <c r="E61" s="132">
        <v>1</v>
      </c>
      <c r="F61" s="132">
        <v>2958465</v>
      </c>
      <c r="G61" s="168">
        <v>2</v>
      </c>
      <c r="H61" s="168" t="s">
        <v>1823</v>
      </c>
    </row>
    <row r="62" spans="1:8" x14ac:dyDescent="0.3">
      <c r="A62" s="130" t="s">
        <v>19</v>
      </c>
      <c r="B62" s="163" t="s">
        <v>1832</v>
      </c>
      <c r="C62" s="168" t="s">
        <v>1832</v>
      </c>
      <c r="D62" s="168" t="s">
        <v>1832</v>
      </c>
      <c r="E62" s="132">
        <v>1</v>
      </c>
      <c r="F62" s="132">
        <v>2958465</v>
      </c>
      <c r="G62" s="168">
        <v>2</v>
      </c>
      <c r="H62" s="168" t="s">
        <v>1823</v>
      </c>
    </row>
    <row r="63" spans="1:8" x14ac:dyDescent="0.3">
      <c r="A63" s="130" t="s">
        <v>19</v>
      </c>
      <c r="B63" s="163" t="s">
        <v>1331</v>
      </c>
      <c r="C63" s="168" t="s">
        <v>1331</v>
      </c>
      <c r="D63" s="168" t="s">
        <v>1331</v>
      </c>
      <c r="E63" s="132">
        <v>1</v>
      </c>
      <c r="F63" s="132">
        <v>2958465</v>
      </c>
      <c r="G63" s="168">
        <v>2</v>
      </c>
      <c r="H63" s="168" t="s">
        <v>1823</v>
      </c>
    </row>
    <row r="64" spans="1:8" x14ac:dyDescent="0.3">
      <c r="A64" s="130" t="s">
        <v>19</v>
      </c>
      <c r="B64" s="163" t="s">
        <v>2034</v>
      </c>
      <c r="C64" s="168" t="s">
        <v>2034</v>
      </c>
      <c r="D64" s="168" t="s">
        <v>2034</v>
      </c>
      <c r="E64" s="132">
        <v>1</v>
      </c>
      <c r="F64" s="132">
        <v>2958465</v>
      </c>
      <c r="G64" s="168">
        <v>2</v>
      </c>
      <c r="H64" s="168" t="s">
        <v>1823</v>
      </c>
    </row>
    <row r="65" spans="1:8" x14ac:dyDescent="0.3">
      <c r="A65" s="130" t="s">
        <v>19</v>
      </c>
      <c r="B65" s="163" t="s">
        <v>404</v>
      </c>
      <c r="C65" s="168" t="s">
        <v>1282</v>
      </c>
      <c r="D65" s="168" t="s">
        <v>1282</v>
      </c>
      <c r="E65" s="132">
        <v>1</v>
      </c>
      <c r="F65" s="132">
        <v>2958465</v>
      </c>
      <c r="G65" s="168">
        <v>2</v>
      </c>
      <c r="H65" s="168" t="s">
        <v>1823</v>
      </c>
    </row>
    <row r="66" spans="1:8" x14ac:dyDescent="0.3">
      <c r="A66" s="130" t="s">
        <v>19</v>
      </c>
      <c r="B66" s="163" t="s">
        <v>1329</v>
      </c>
      <c r="C66" s="168" t="s">
        <v>1329</v>
      </c>
      <c r="D66" s="168" t="s">
        <v>1329</v>
      </c>
      <c r="E66" s="132">
        <v>1</v>
      </c>
      <c r="F66" s="132">
        <v>2958465</v>
      </c>
      <c r="G66" s="168">
        <v>2</v>
      </c>
      <c r="H66" s="168" t="s">
        <v>1823</v>
      </c>
    </row>
    <row r="67" spans="1:8" x14ac:dyDescent="0.3">
      <c r="A67" s="130" t="s">
        <v>19</v>
      </c>
      <c r="B67" s="163" t="s">
        <v>1779</v>
      </c>
      <c r="C67" s="168" t="s">
        <v>1779</v>
      </c>
      <c r="D67" s="168" t="s">
        <v>1779</v>
      </c>
      <c r="E67" s="132">
        <v>1</v>
      </c>
      <c r="F67" s="132">
        <v>2958465</v>
      </c>
      <c r="G67" s="168">
        <v>2</v>
      </c>
      <c r="H67" s="168" t="s">
        <v>1823</v>
      </c>
    </row>
    <row r="68" spans="1:8" x14ac:dyDescent="0.3">
      <c r="A68" s="130" t="s">
        <v>19</v>
      </c>
      <c r="B68" s="163" t="s">
        <v>405</v>
      </c>
      <c r="C68" s="168" t="s">
        <v>1283</v>
      </c>
      <c r="D68" s="168" t="s">
        <v>1283</v>
      </c>
      <c r="E68" s="132">
        <v>1</v>
      </c>
      <c r="F68" s="132">
        <v>2958465</v>
      </c>
      <c r="G68" s="168">
        <v>2</v>
      </c>
      <c r="H68" s="168" t="s">
        <v>1823</v>
      </c>
    </row>
    <row r="69" spans="1:8" x14ac:dyDescent="0.3">
      <c r="A69" s="130" t="s">
        <v>19</v>
      </c>
      <c r="B69" s="163" t="s">
        <v>1831</v>
      </c>
      <c r="C69" s="168" t="s">
        <v>1831</v>
      </c>
      <c r="D69" s="168" t="s">
        <v>1831</v>
      </c>
      <c r="E69" s="132">
        <v>1</v>
      </c>
      <c r="F69" s="132">
        <v>2958465</v>
      </c>
      <c r="G69" s="168">
        <v>2</v>
      </c>
      <c r="H69" s="168" t="s">
        <v>1823</v>
      </c>
    </row>
    <row r="70" spans="1:8" x14ac:dyDescent="0.3">
      <c r="A70" s="130" t="s">
        <v>19</v>
      </c>
      <c r="B70" s="163" t="s">
        <v>1330</v>
      </c>
      <c r="C70" s="168" t="s">
        <v>1330</v>
      </c>
      <c r="D70" s="168" t="s">
        <v>1330</v>
      </c>
      <c r="E70" s="132">
        <v>1</v>
      </c>
      <c r="F70" s="132">
        <v>2958465</v>
      </c>
      <c r="G70" s="168">
        <v>2</v>
      </c>
      <c r="H70" s="168" t="s">
        <v>1823</v>
      </c>
    </row>
    <row r="71" spans="1:8" x14ac:dyDescent="0.3">
      <c r="A71" s="130" t="s">
        <v>19</v>
      </c>
      <c r="B71" s="163" t="s">
        <v>2035</v>
      </c>
      <c r="C71" s="168" t="s">
        <v>2035</v>
      </c>
      <c r="D71" s="168" t="s">
        <v>2035</v>
      </c>
      <c r="E71" s="132">
        <v>1</v>
      </c>
      <c r="F71" s="132">
        <v>2958465</v>
      </c>
      <c r="G71" s="168">
        <v>2</v>
      </c>
      <c r="H71" s="168" t="s">
        <v>1823</v>
      </c>
    </row>
    <row r="72" spans="1:8" x14ac:dyDescent="0.3">
      <c r="A72" s="130" t="s">
        <v>19</v>
      </c>
      <c r="B72" s="163" t="s">
        <v>1332</v>
      </c>
      <c r="C72" s="168" t="s">
        <v>1332</v>
      </c>
      <c r="D72" s="168" t="s">
        <v>1332</v>
      </c>
      <c r="E72" s="132">
        <v>1</v>
      </c>
      <c r="F72" s="132">
        <v>2958465</v>
      </c>
      <c r="G72" s="168">
        <v>2</v>
      </c>
      <c r="H72" s="168" t="s">
        <v>1823</v>
      </c>
    </row>
    <row r="73" spans="1:8" x14ac:dyDescent="0.3">
      <c r="A73" s="130" t="s">
        <v>19</v>
      </c>
      <c r="B73" s="163" t="s">
        <v>1833</v>
      </c>
      <c r="C73" s="168" t="s">
        <v>1833</v>
      </c>
      <c r="D73" s="168" t="s">
        <v>1833</v>
      </c>
      <c r="E73" s="132">
        <v>1</v>
      </c>
      <c r="F73" s="132">
        <v>2958465</v>
      </c>
      <c r="G73" s="168">
        <v>2</v>
      </c>
      <c r="H73" s="168" t="s">
        <v>1823</v>
      </c>
    </row>
    <row r="74" spans="1:8" x14ac:dyDescent="0.3">
      <c r="A74" s="130" t="s">
        <v>19</v>
      </c>
      <c r="B74" s="163" t="s">
        <v>1333</v>
      </c>
      <c r="C74" s="168" t="s">
        <v>1333</v>
      </c>
      <c r="D74" s="168" t="s">
        <v>1333</v>
      </c>
      <c r="E74" s="132">
        <v>1</v>
      </c>
      <c r="F74" s="132">
        <v>2958465</v>
      </c>
      <c r="G74" s="168">
        <v>2</v>
      </c>
      <c r="H74" s="168" t="s">
        <v>1823</v>
      </c>
    </row>
    <row r="75" spans="1:8" x14ac:dyDescent="0.3">
      <c r="A75" s="130" t="s">
        <v>19</v>
      </c>
      <c r="B75" s="163" t="s">
        <v>1834</v>
      </c>
      <c r="C75" s="168" t="s">
        <v>1834</v>
      </c>
      <c r="D75" s="168" t="s">
        <v>1834</v>
      </c>
      <c r="E75" s="132">
        <v>1</v>
      </c>
      <c r="F75" s="132">
        <v>2958465</v>
      </c>
      <c r="G75" s="168">
        <v>2</v>
      </c>
      <c r="H75" s="168" t="s">
        <v>1823</v>
      </c>
    </row>
    <row r="76" spans="1:8" x14ac:dyDescent="0.3">
      <c r="A76" s="130" t="s">
        <v>19</v>
      </c>
      <c r="B76" s="163" t="s">
        <v>2036</v>
      </c>
      <c r="C76" s="168" t="s">
        <v>2036</v>
      </c>
      <c r="D76" s="168" t="s">
        <v>2036</v>
      </c>
      <c r="E76" s="132">
        <v>1</v>
      </c>
      <c r="F76" s="132">
        <v>2958465</v>
      </c>
      <c r="G76" s="168">
        <v>2</v>
      </c>
      <c r="H76" s="168" t="s">
        <v>1823</v>
      </c>
    </row>
    <row r="77" spans="1:8" x14ac:dyDescent="0.3">
      <c r="A77" s="130" t="s">
        <v>19</v>
      </c>
      <c r="B77" s="163" t="s">
        <v>331</v>
      </c>
      <c r="C77" s="168" t="s">
        <v>331</v>
      </c>
      <c r="D77" s="168" t="s">
        <v>331</v>
      </c>
      <c r="E77" s="132">
        <v>1</v>
      </c>
      <c r="F77" s="132">
        <v>2958465</v>
      </c>
      <c r="G77" s="168">
        <v>2</v>
      </c>
      <c r="H77" s="168" t="s">
        <v>1823</v>
      </c>
    </row>
    <row r="78" spans="1:8" x14ac:dyDescent="0.3">
      <c r="A78" s="130" t="s">
        <v>19</v>
      </c>
      <c r="B78" s="163" t="s">
        <v>1778</v>
      </c>
      <c r="C78" s="168" t="s">
        <v>1778</v>
      </c>
      <c r="D78" s="168" t="s">
        <v>1778</v>
      </c>
      <c r="E78" s="132">
        <v>1</v>
      </c>
      <c r="F78" s="132">
        <v>2958465</v>
      </c>
      <c r="G78" s="168">
        <v>2</v>
      </c>
      <c r="H78" s="168" t="s">
        <v>1823</v>
      </c>
    </row>
    <row r="79" spans="1:8" x14ac:dyDescent="0.3">
      <c r="A79" s="130" t="s">
        <v>19</v>
      </c>
      <c r="B79" s="163" t="s">
        <v>406</v>
      </c>
      <c r="C79" s="168" t="s">
        <v>1284</v>
      </c>
      <c r="D79" s="168" t="s">
        <v>1284</v>
      </c>
      <c r="E79" s="132">
        <v>1</v>
      </c>
      <c r="F79" s="132">
        <v>2958465</v>
      </c>
      <c r="G79" s="168">
        <v>2</v>
      </c>
      <c r="H79" s="168" t="s">
        <v>1823</v>
      </c>
    </row>
    <row r="80" spans="1:8" x14ac:dyDescent="0.3">
      <c r="A80" s="130" t="s">
        <v>19</v>
      </c>
      <c r="B80" s="163" t="s">
        <v>1334</v>
      </c>
      <c r="C80" s="168" t="s">
        <v>1334</v>
      </c>
      <c r="D80" s="168" t="s">
        <v>1334</v>
      </c>
      <c r="E80" s="132">
        <v>1</v>
      </c>
      <c r="F80" s="132">
        <v>2958465</v>
      </c>
      <c r="G80" s="168">
        <v>2</v>
      </c>
      <c r="H80" s="168" t="s">
        <v>1823</v>
      </c>
    </row>
    <row r="81" spans="1:8" x14ac:dyDescent="0.3">
      <c r="A81" s="130" t="s">
        <v>19</v>
      </c>
      <c r="B81" s="163" t="s">
        <v>1335</v>
      </c>
      <c r="C81" s="168" t="s">
        <v>1335</v>
      </c>
      <c r="D81" s="168" t="s">
        <v>1335</v>
      </c>
      <c r="E81" s="132">
        <v>1</v>
      </c>
      <c r="F81" s="132">
        <v>2958465</v>
      </c>
      <c r="G81" s="168">
        <v>2</v>
      </c>
      <c r="H81" s="168" t="s">
        <v>1823</v>
      </c>
    </row>
    <row r="82" spans="1:8" x14ac:dyDescent="0.3">
      <c r="A82" s="130" t="s">
        <v>19</v>
      </c>
      <c r="B82" s="163" t="s">
        <v>1835</v>
      </c>
      <c r="C82" s="168" t="s">
        <v>1835</v>
      </c>
      <c r="D82" s="168" t="s">
        <v>1835</v>
      </c>
      <c r="E82" s="132">
        <v>1</v>
      </c>
      <c r="F82" s="132">
        <v>2958465</v>
      </c>
      <c r="G82" s="168">
        <v>2</v>
      </c>
      <c r="H82" s="168" t="s">
        <v>1823</v>
      </c>
    </row>
    <row r="83" spans="1:8" x14ac:dyDescent="0.3">
      <c r="A83" s="130" t="s">
        <v>19</v>
      </c>
      <c r="B83" s="163" t="s">
        <v>1780</v>
      </c>
      <c r="C83" s="168" t="s">
        <v>1780</v>
      </c>
      <c r="D83" s="168" t="s">
        <v>1780</v>
      </c>
      <c r="E83" s="132">
        <v>1</v>
      </c>
      <c r="F83" s="132">
        <v>2958465</v>
      </c>
      <c r="G83" s="168">
        <v>2</v>
      </c>
      <c r="H83" s="168" t="s">
        <v>1823</v>
      </c>
    </row>
    <row r="84" spans="1:8" x14ac:dyDescent="0.3">
      <c r="A84" s="130" t="s">
        <v>19</v>
      </c>
      <c r="B84" s="163" t="s">
        <v>2037</v>
      </c>
      <c r="C84" s="168" t="s">
        <v>2037</v>
      </c>
      <c r="D84" s="168" t="s">
        <v>2037</v>
      </c>
      <c r="E84" s="132">
        <v>1</v>
      </c>
      <c r="F84" s="132">
        <v>2958465</v>
      </c>
      <c r="G84" s="168">
        <v>2</v>
      </c>
      <c r="H84" s="168" t="s">
        <v>1823</v>
      </c>
    </row>
    <row r="85" spans="1:8" x14ac:dyDescent="0.3">
      <c r="A85" s="130" t="s">
        <v>19</v>
      </c>
      <c r="B85" s="163" t="s">
        <v>1336</v>
      </c>
      <c r="C85" s="168" t="s">
        <v>1336</v>
      </c>
      <c r="D85" s="168" t="s">
        <v>1336</v>
      </c>
      <c r="E85" s="132">
        <v>1</v>
      </c>
      <c r="F85" s="132">
        <v>2958465</v>
      </c>
      <c r="G85" s="168">
        <v>2</v>
      </c>
      <c r="H85" s="168" t="s">
        <v>1823</v>
      </c>
    </row>
    <row r="86" spans="1:8" x14ac:dyDescent="0.3">
      <c r="A86" s="130" t="s">
        <v>19</v>
      </c>
      <c r="B86" s="163" t="s">
        <v>2038</v>
      </c>
      <c r="C86" s="163" t="s">
        <v>2038</v>
      </c>
      <c r="D86" s="168" t="s">
        <v>2038</v>
      </c>
      <c r="E86" s="132">
        <v>1</v>
      </c>
      <c r="F86" s="132">
        <v>2958465</v>
      </c>
      <c r="G86" s="168">
        <v>2</v>
      </c>
      <c r="H86" s="168" t="s">
        <v>1823</v>
      </c>
    </row>
    <row r="87" spans="1:8" x14ac:dyDescent="0.3">
      <c r="A87" s="130" t="s">
        <v>19</v>
      </c>
      <c r="B87" s="163" t="s">
        <v>1836</v>
      </c>
      <c r="C87" s="168" t="s">
        <v>1836</v>
      </c>
      <c r="D87" s="168" t="s">
        <v>1836</v>
      </c>
      <c r="E87" s="132">
        <v>1</v>
      </c>
      <c r="F87" s="132">
        <v>2958465</v>
      </c>
      <c r="G87" s="168">
        <v>2</v>
      </c>
      <c r="H87" s="168" t="s">
        <v>1823</v>
      </c>
    </row>
    <row r="88" spans="1:8" x14ac:dyDescent="0.3">
      <c r="A88" s="130" t="s">
        <v>19</v>
      </c>
      <c r="B88" s="163" t="s">
        <v>1837</v>
      </c>
      <c r="C88" s="168" t="s">
        <v>1837</v>
      </c>
      <c r="D88" s="168" t="s">
        <v>1837</v>
      </c>
      <c r="E88" s="132">
        <v>1</v>
      </c>
      <c r="F88" s="132">
        <v>2958465</v>
      </c>
      <c r="G88" s="168">
        <v>2</v>
      </c>
      <c r="H88" s="168" t="s">
        <v>1823</v>
      </c>
    </row>
    <row r="89" spans="1:8" x14ac:dyDescent="0.3">
      <c r="A89" s="130" t="s">
        <v>19</v>
      </c>
      <c r="B89" s="163" t="s">
        <v>1337</v>
      </c>
      <c r="C89" s="168" t="s">
        <v>1337</v>
      </c>
      <c r="D89" s="168" t="s">
        <v>1337</v>
      </c>
      <c r="E89" s="132">
        <v>1</v>
      </c>
      <c r="F89" s="132">
        <v>2958465</v>
      </c>
      <c r="G89" s="168">
        <v>2</v>
      </c>
      <c r="H89" s="168" t="s">
        <v>1823</v>
      </c>
    </row>
    <row r="90" spans="1:8" x14ac:dyDescent="0.3">
      <c r="A90" s="130" t="s">
        <v>19</v>
      </c>
      <c r="B90" s="163" t="s">
        <v>1838</v>
      </c>
      <c r="C90" s="168" t="s">
        <v>1838</v>
      </c>
      <c r="D90" s="168" t="s">
        <v>1838</v>
      </c>
      <c r="E90" s="132">
        <v>1</v>
      </c>
      <c r="F90" s="132">
        <v>2958465</v>
      </c>
      <c r="G90" s="168">
        <v>2</v>
      </c>
      <c r="H90" s="168" t="s">
        <v>1823</v>
      </c>
    </row>
    <row r="91" spans="1:8" x14ac:dyDescent="0.3">
      <c r="A91" s="130" t="s">
        <v>19</v>
      </c>
      <c r="B91" s="163" t="s">
        <v>408</v>
      </c>
      <c r="C91" s="168" t="s">
        <v>1286</v>
      </c>
      <c r="D91" s="168" t="s">
        <v>1286</v>
      </c>
      <c r="E91" s="132">
        <v>1</v>
      </c>
      <c r="F91" s="132">
        <v>2958465</v>
      </c>
      <c r="G91" s="168">
        <v>2</v>
      </c>
      <c r="H91" s="168" t="s">
        <v>1823</v>
      </c>
    </row>
    <row r="92" spans="1:8" x14ac:dyDescent="0.3">
      <c r="A92" s="130" t="s">
        <v>19</v>
      </c>
      <c r="B92" s="163" t="s">
        <v>407</v>
      </c>
      <c r="C92" s="168" t="s">
        <v>1285</v>
      </c>
      <c r="D92" s="168" t="s">
        <v>1285</v>
      </c>
      <c r="E92" s="132">
        <v>1</v>
      </c>
      <c r="F92" s="132">
        <v>2958465</v>
      </c>
      <c r="G92" s="168">
        <v>2</v>
      </c>
      <c r="H92" s="168" t="s">
        <v>1823</v>
      </c>
    </row>
    <row r="93" spans="1:8" x14ac:dyDescent="0.3">
      <c r="A93" s="130" t="s">
        <v>19</v>
      </c>
      <c r="B93" s="163" t="s">
        <v>1839</v>
      </c>
      <c r="C93" s="168" t="s">
        <v>1839</v>
      </c>
      <c r="D93" s="168" t="s">
        <v>1839</v>
      </c>
      <c r="E93" s="132">
        <v>1</v>
      </c>
      <c r="F93" s="132">
        <v>2958465</v>
      </c>
      <c r="G93" s="168">
        <v>2</v>
      </c>
      <c r="H93" s="168" t="s">
        <v>1823</v>
      </c>
    </row>
    <row r="94" spans="1:8" x14ac:dyDescent="0.3">
      <c r="A94" s="130" t="s">
        <v>19</v>
      </c>
      <c r="B94" s="163" t="s">
        <v>409</v>
      </c>
      <c r="C94" s="168" t="s">
        <v>1287</v>
      </c>
      <c r="D94" s="168" t="s">
        <v>1287</v>
      </c>
      <c r="E94" s="132">
        <v>1</v>
      </c>
      <c r="F94" s="132">
        <v>2958465</v>
      </c>
      <c r="G94" s="168">
        <v>2</v>
      </c>
      <c r="H94" s="168" t="s">
        <v>1823</v>
      </c>
    </row>
    <row r="95" spans="1:8" x14ac:dyDescent="0.3">
      <c r="A95" s="130" t="s">
        <v>19</v>
      </c>
      <c r="B95" s="163" t="s">
        <v>1340</v>
      </c>
      <c r="C95" s="168" t="s">
        <v>1340</v>
      </c>
      <c r="D95" s="168" t="s">
        <v>1340</v>
      </c>
      <c r="E95" s="132">
        <v>1</v>
      </c>
      <c r="F95" s="132">
        <v>2958465</v>
      </c>
      <c r="G95" s="168">
        <v>2</v>
      </c>
      <c r="H95" s="168" t="s">
        <v>1823</v>
      </c>
    </row>
    <row r="96" spans="1:8" x14ac:dyDescent="0.3">
      <c r="A96" s="130" t="s">
        <v>19</v>
      </c>
      <c r="B96" s="163" t="s">
        <v>1338</v>
      </c>
      <c r="C96" s="168" t="s">
        <v>1338</v>
      </c>
      <c r="D96" s="168" t="s">
        <v>1338</v>
      </c>
      <c r="E96" s="132">
        <v>1</v>
      </c>
      <c r="F96" s="132">
        <v>2958465</v>
      </c>
      <c r="G96" s="168">
        <v>2</v>
      </c>
      <c r="H96" s="168" t="s">
        <v>1823</v>
      </c>
    </row>
    <row r="97" spans="1:8" x14ac:dyDescent="0.3">
      <c r="A97" s="130" t="s">
        <v>19</v>
      </c>
      <c r="B97" s="163" t="s">
        <v>1341</v>
      </c>
      <c r="C97" s="168" t="s">
        <v>1341</v>
      </c>
      <c r="D97" s="168" t="s">
        <v>1341</v>
      </c>
      <c r="E97" s="132">
        <v>1</v>
      </c>
      <c r="F97" s="132">
        <v>2958465</v>
      </c>
      <c r="G97" s="168">
        <v>2</v>
      </c>
      <c r="H97" s="168" t="s">
        <v>1823</v>
      </c>
    </row>
    <row r="98" spans="1:8" x14ac:dyDescent="0.3">
      <c r="A98" s="130" t="s">
        <v>19</v>
      </c>
      <c r="B98" s="163" t="s">
        <v>2039</v>
      </c>
      <c r="C98" s="168" t="s">
        <v>2039</v>
      </c>
      <c r="D98" s="168" t="s">
        <v>2039</v>
      </c>
      <c r="E98" s="132">
        <v>1</v>
      </c>
      <c r="F98" s="132">
        <v>2958465</v>
      </c>
      <c r="G98" s="168">
        <v>2</v>
      </c>
      <c r="H98" s="168" t="s">
        <v>1823</v>
      </c>
    </row>
    <row r="99" spans="1:8" x14ac:dyDescent="0.3">
      <c r="A99" s="130" t="s">
        <v>19</v>
      </c>
      <c r="B99" s="163" t="s">
        <v>2040</v>
      </c>
      <c r="C99" s="168" t="s">
        <v>2040</v>
      </c>
      <c r="D99" s="168" t="s">
        <v>2040</v>
      </c>
      <c r="E99" s="132">
        <v>1</v>
      </c>
      <c r="F99" s="132">
        <v>2958465</v>
      </c>
      <c r="G99" s="168">
        <v>2</v>
      </c>
      <c r="H99" s="168" t="s">
        <v>1823</v>
      </c>
    </row>
    <row r="100" spans="1:8" x14ac:dyDescent="0.3">
      <c r="A100" s="130" t="s">
        <v>19</v>
      </c>
      <c r="B100" s="163" t="s">
        <v>2041</v>
      </c>
      <c r="C100" s="168" t="s">
        <v>2041</v>
      </c>
      <c r="D100" s="168" t="s">
        <v>2041</v>
      </c>
      <c r="E100" s="132">
        <v>1</v>
      </c>
      <c r="F100" s="132">
        <v>2958465</v>
      </c>
      <c r="G100" s="168">
        <v>2</v>
      </c>
      <c r="H100" s="168" t="s">
        <v>1823</v>
      </c>
    </row>
    <row r="101" spans="1:8" x14ac:dyDescent="0.3">
      <c r="A101" s="130" t="s">
        <v>19</v>
      </c>
      <c r="B101" s="163" t="s">
        <v>2042</v>
      </c>
      <c r="C101" s="168" t="s">
        <v>2042</v>
      </c>
      <c r="D101" s="168" t="s">
        <v>2042</v>
      </c>
      <c r="E101" s="132">
        <v>1</v>
      </c>
      <c r="F101" s="132">
        <v>2958465</v>
      </c>
      <c r="G101" s="168">
        <v>2</v>
      </c>
      <c r="H101" s="168" t="s">
        <v>1823</v>
      </c>
    </row>
    <row r="102" spans="1:8" x14ac:dyDescent="0.3">
      <c r="A102" s="130" t="s">
        <v>19</v>
      </c>
      <c r="B102" s="163" t="s">
        <v>2043</v>
      </c>
      <c r="C102" s="168" t="s">
        <v>2043</v>
      </c>
      <c r="D102" s="168" t="s">
        <v>2043</v>
      </c>
      <c r="E102" s="132">
        <v>1</v>
      </c>
      <c r="F102" s="132">
        <v>2958465</v>
      </c>
      <c r="G102" s="168">
        <v>2</v>
      </c>
      <c r="H102" s="168" t="s">
        <v>1823</v>
      </c>
    </row>
    <row r="103" spans="1:8" x14ac:dyDescent="0.3">
      <c r="A103" s="130" t="s">
        <v>19</v>
      </c>
      <c r="B103" s="163" t="s">
        <v>1781</v>
      </c>
      <c r="C103" s="168" t="s">
        <v>1781</v>
      </c>
      <c r="D103" s="168" t="s">
        <v>1781</v>
      </c>
      <c r="E103" s="132">
        <v>1</v>
      </c>
      <c r="F103" s="132">
        <v>2958465</v>
      </c>
      <c r="G103" s="168">
        <v>2</v>
      </c>
      <c r="H103" s="168" t="s">
        <v>1823</v>
      </c>
    </row>
    <row r="104" spans="1:8" x14ac:dyDescent="0.3">
      <c r="A104" s="130" t="s">
        <v>19</v>
      </c>
      <c r="B104" s="163" t="s">
        <v>1339</v>
      </c>
      <c r="C104" s="168" t="s">
        <v>1339</v>
      </c>
      <c r="D104" s="168" t="s">
        <v>1339</v>
      </c>
      <c r="E104" s="132">
        <v>1</v>
      </c>
      <c r="F104" s="132">
        <v>2958465</v>
      </c>
      <c r="G104" s="168">
        <v>2</v>
      </c>
      <c r="H104" s="168" t="s">
        <v>1823</v>
      </c>
    </row>
    <row r="105" spans="1:8" x14ac:dyDescent="0.3">
      <c r="A105" s="130" t="s">
        <v>19</v>
      </c>
      <c r="B105" s="163" t="s">
        <v>410</v>
      </c>
      <c r="C105" s="168" t="s">
        <v>1288</v>
      </c>
      <c r="D105" s="168" t="s">
        <v>1288</v>
      </c>
      <c r="E105" s="132">
        <v>1</v>
      </c>
      <c r="F105" s="132">
        <v>2958465</v>
      </c>
      <c r="G105" s="168">
        <v>2</v>
      </c>
      <c r="H105" s="168" t="s">
        <v>1823</v>
      </c>
    </row>
    <row r="106" spans="1:8" x14ac:dyDescent="0.3">
      <c r="A106" s="130" t="s">
        <v>19</v>
      </c>
      <c r="B106" s="163" t="s">
        <v>1840</v>
      </c>
      <c r="C106" s="168" t="s">
        <v>1840</v>
      </c>
      <c r="D106" s="168" t="s">
        <v>1840</v>
      </c>
      <c r="E106" s="132">
        <v>1</v>
      </c>
      <c r="F106" s="132">
        <v>2958465</v>
      </c>
      <c r="G106" s="168">
        <v>2</v>
      </c>
      <c r="H106" s="168" t="s">
        <v>1823</v>
      </c>
    </row>
    <row r="107" spans="1:8" x14ac:dyDescent="0.3">
      <c r="A107" s="130" t="s">
        <v>19</v>
      </c>
      <c r="B107" s="163" t="s">
        <v>1345</v>
      </c>
      <c r="C107" s="168" t="s">
        <v>1345</v>
      </c>
      <c r="D107" s="168" t="s">
        <v>1345</v>
      </c>
      <c r="E107" s="132">
        <v>1</v>
      </c>
      <c r="F107" s="132">
        <v>2958465</v>
      </c>
      <c r="G107" s="168">
        <v>2</v>
      </c>
      <c r="H107" s="168" t="s">
        <v>1823</v>
      </c>
    </row>
    <row r="108" spans="1:8" x14ac:dyDescent="0.3">
      <c r="A108" s="130" t="s">
        <v>19</v>
      </c>
      <c r="B108" s="163" t="s">
        <v>2044</v>
      </c>
      <c r="C108" s="168" t="s">
        <v>2044</v>
      </c>
      <c r="D108" s="168" t="s">
        <v>2044</v>
      </c>
      <c r="E108" s="132">
        <v>1</v>
      </c>
      <c r="F108" s="132">
        <v>2958465</v>
      </c>
      <c r="G108" s="168">
        <v>2</v>
      </c>
      <c r="H108" s="168" t="s">
        <v>1823</v>
      </c>
    </row>
    <row r="109" spans="1:8" x14ac:dyDescent="0.3">
      <c r="A109" s="130" t="s">
        <v>19</v>
      </c>
      <c r="B109" s="163" t="s">
        <v>1841</v>
      </c>
      <c r="C109" s="168" t="s">
        <v>1841</v>
      </c>
      <c r="D109" s="168" t="s">
        <v>1841</v>
      </c>
      <c r="E109" s="132">
        <v>1</v>
      </c>
      <c r="F109" s="132">
        <v>2958465</v>
      </c>
      <c r="G109" s="168">
        <v>2</v>
      </c>
      <c r="H109" s="168" t="s">
        <v>1823</v>
      </c>
    </row>
    <row r="110" spans="1:8" x14ac:dyDescent="0.3">
      <c r="A110" s="130" t="s">
        <v>19</v>
      </c>
      <c r="B110" s="163" t="s">
        <v>411</v>
      </c>
      <c r="C110" s="168" t="s">
        <v>1289</v>
      </c>
      <c r="D110" s="168" t="s">
        <v>1289</v>
      </c>
      <c r="E110" s="132">
        <v>1</v>
      </c>
      <c r="F110" s="132">
        <v>2958465</v>
      </c>
      <c r="G110" s="168">
        <v>2</v>
      </c>
      <c r="H110" s="168" t="s">
        <v>1823</v>
      </c>
    </row>
    <row r="111" spans="1:8" x14ac:dyDescent="0.3">
      <c r="A111" s="130" t="s">
        <v>19</v>
      </c>
      <c r="B111" s="163" t="s">
        <v>1347</v>
      </c>
      <c r="C111" s="168" t="s">
        <v>1347</v>
      </c>
      <c r="D111" s="168" t="s">
        <v>1347</v>
      </c>
      <c r="E111" s="132">
        <v>1</v>
      </c>
      <c r="F111" s="132">
        <v>2958465</v>
      </c>
      <c r="G111" s="168">
        <v>2</v>
      </c>
      <c r="H111" s="168" t="s">
        <v>1823</v>
      </c>
    </row>
    <row r="112" spans="1:8" x14ac:dyDescent="0.3">
      <c r="A112" s="130" t="s">
        <v>19</v>
      </c>
      <c r="B112" s="163" t="s">
        <v>2045</v>
      </c>
      <c r="C112" s="168" t="s">
        <v>2045</v>
      </c>
      <c r="D112" s="168" t="s">
        <v>2045</v>
      </c>
      <c r="E112" s="132">
        <v>1</v>
      </c>
      <c r="F112" s="132">
        <v>2958465</v>
      </c>
      <c r="G112" s="168">
        <v>2</v>
      </c>
      <c r="H112" s="168" t="s">
        <v>1823</v>
      </c>
    </row>
    <row r="113" spans="1:8" x14ac:dyDescent="0.3">
      <c r="A113" s="130" t="s">
        <v>19</v>
      </c>
      <c r="B113" s="168" t="s">
        <v>2046</v>
      </c>
      <c r="C113" s="168" t="s">
        <v>2046</v>
      </c>
      <c r="D113" s="168" t="s">
        <v>2046</v>
      </c>
      <c r="E113" s="166">
        <v>1</v>
      </c>
      <c r="F113" s="166">
        <v>2958465</v>
      </c>
      <c r="G113" s="168">
        <v>2</v>
      </c>
      <c r="H113" s="168" t="s">
        <v>1823</v>
      </c>
    </row>
    <row r="114" spans="1:8" x14ac:dyDescent="0.3">
      <c r="A114" s="130" t="s">
        <v>19</v>
      </c>
      <c r="B114" s="168" t="s">
        <v>1342</v>
      </c>
      <c r="C114" s="168" t="s">
        <v>1342</v>
      </c>
      <c r="D114" s="168" t="s">
        <v>1342</v>
      </c>
      <c r="E114" s="166">
        <v>1</v>
      </c>
      <c r="F114" s="166">
        <v>2958465</v>
      </c>
      <c r="G114" s="168">
        <v>2</v>
      </c>
      <c r="H114" s="168" t="s">
        <v>1823</v>
      </c>
    </row>
    <row r="115" spans="1:8" x14ac:dyDescent="0.3">
      <c r="A115" s="130" t="s">
        <v>19</v>
      </c>
      <c r="B115" s="168" t="s">
        <v>1349</v>
      </c>
      <c r="C115" s="168" t="s">
        <v>1349</v>
      </c>
      <c r="D115" s="168" t="s">
        <v>1349</v>
      </c>
      <c r="E115" s="166">
        <v>1</v>
      </c>
      <c r="F115" s="166">
        <v>2958465</v>
      </c>
      <c r="G115" s="168">
        <v>2</v>
      </c>
      <c r="H115" s="168" t="s">
        <v>1823</v>
      </c>
    </row>
    <row r="116" spans="1:8" x14ac:dyDescent="0.3">
      <c r="A116" s="130" t="s">
        <v>19</v>
      </c>
      <c r="B116" s="168" t="s">
        <v>1344</v>
      </c>
      <c r="C116" s="168" t="s">
        <v>1344</v>
      </c>
      <c r="D116" s="168" t="s">
        <v>1344</v>
      </c>
      <c r="E116" s="166">
        <v>1</v>
      </c>
      <c r="F116" s="166">
        <v>2958465</v>
      </c>
      <c r="G116" s="168">
        <v>2</v>
      </c>
      <c r="H116" s="168" t="s">
        <v>1823</v>
      </c>
    </row>
    <row r="117" spans="1:8" x14ac:dyDescent="0.3">
      <c r="A117" s="130" t="s">
        <v>19</v>
      </c>
      <c r="B117" s="168" t="s">
        <v>413</v>
      </c>
      <c r="C117" s="168" t="s">
        <v>1291</v>
      </c>
      <c r="D117" s="168" t="s">
        <v>1291</v>
      </c>
      <c r="E117" s="166">
        <v>1</v>
      </c>
      <c r="F117" s="166">
        <v>2958465</v>
      </c>
      <c r="G117" s="168">
        <v>2</v>
      </c>
      <c r="H117" s="168" t="s">
        <v>1823</v>
      </c>
    </row>
    <row r="118" spans="1:8" x14ac:dyDescent="0.3">
      <c r="A118" s="130" t="s">
        <v>19</v>
      </c>
      <c r="B118" s="168" t="s">
        <v>412</v>
      </c>
      <c r="C118" s="168" t="s">
        <v>1290</v>
      </c>
      <c r="D118" s="168" t="s">
        <v>1290</v>
      </c>
      <c r="E118" s="166">
        <v>1</v>
      </c>
      <c r="F118" s="166">
        <v>2958465</v>
      </c>
      <c r="G118" s="168">
        <v>2</v>
      </c>
      <c r="H118" s="168" t="s">
        <v>1823</v>
      </c>
    </row>
    <row r="119" spans="1:8" x14ac:dyDescent="0.3">
      <c r="A119" s="130" t="s">
        <v>19</v>
      </c>
      <c r="B119" s="168" t="s">
        <v>1843</v>
      </c>
      <c r="C119" s="168" t="s">
        <v>1843</v>
      </c>
      <c r="D119" s="168" t="s">
        <v>1843</v>
      </c>
      <c r="E119" s="166">
        <v>1</v>
      </c>
      <c r="F119" s="166">
        <v>2958465</v>
      </c>
      <c r="G119" s="168">
        <v>2</v>
      </c>
      <c r="H119" s="168" t="s">
        <v>1823</v>
      </c>
    </row>
    <row r="120" spans="1:8" x14ac:dyDescent="0.3">
      <c r="A120" s="130" t="s">
        <v>19</v>
      </c>
      <c r="B120" s="168" t="s">
        <v>1346</v>
      </c>
      <c r="C120" s="168" t="s">
        <v>1346</v>
      </c>
      <c r="D120" s="168" t="s">
        <v>1346</v>
      </c>
      <c r="E120" s="166">
        <v>1</v>
      </c>
      <c r="F120" s="166">
        <v>2958465</v>
      </c>
      <c r="G120" s="168">
        <v>2</v>
      </c>
      <c r="H120" s="168" t="s">
        <v>1823</v>
      </c>
    </row>
    <row r="121" spans="1:8" x14ac:dyDescent="0.3">
      <c r="A121" s="130" t="s">
        <v>19</v>
      </c>
      <c r="B121" s="168" t="s">
        <v>2047</v>
      </c>
      <c r="C121" s="168" t="s">
        <v>2047</v>
      </c>
      <c r="D121" s="168" t="s">
        <v>2047</v>
      </c>
      <c r="E121" s="166">
        <v>1</v>
      </c>
      <c r="F121" s="166">
        <v>2958465</v>
      </c>
      <c r="G121" s="168">
        <v>2</v>
      </c>
      <c r="H121" s="168" t="s">
        <v>1823</v>
      </c>
    </row>
    <row r="122" spans="1:8" x14ac:dyDescent="0.3">
      <c r="A122" s="130" t="s">
        <v>19</v>
      </c>
      <c r="B122" s="168" t="s">
        <v>1842</v>
      </c>
      <c r="C122" s="168" t="s">
        <v>1842</v>
      </c>
      <c r="D122" s="168" t="s">
        <v>1842</v>
      </c>
      <c r="E122" s="166">
        <v>1</v>
      </c>
      <c r="F122" s="166">
        <v>2958465</v>
      </c>
      <c r="G122" s="168">
        <v>2</v>
      </c>
      <c r="H122" s="168" t="s">
        <v>1823</v>
      </c>
    </row>
    <row r="123" spans="1:8" x14ac:dyDescent="0.3">
      <c r="A123" s="130" t="s">
        <v>19</v>
      </c>
      <c r="B123" s="168" t="s">
        <v>1351</v>
      </c>
      <c r="C123" s="168" t="s">
        <v>1351</v>
      </c>
      <c r="D123" s="168" t="s">
        <v>1351</v>
      </c>
      <c r="E123" s="166">
        <v>1</v>
      </c>
      <c r="F123" s="166">
        <v>2958465</v>
      </c>
      <c r="G123" s="168">
        <v>2</v>
      </c>
      <c r="H123" s="168" t="s">
        <v>1823</v>
      </c>
    </row>
    <row r="124" spans="1:8" x14ac:dyDescent="0.3">
      <c r="A124" s="130" t="s">
        <v>19</v>
      </c>
      <c r="B124" s="168" t="s">
        <v>1348</v>
      </c>
      <c r="C124" s="168" t="s">
        <v>1348</v>
      </c>
      <c r="D124" s="168" t="s">
        <v>1348</v>
      </c>
      <c r="E124" s="166">
        <v>1</v>
      </c>
      <c r="F124" s="166">
        <v>2958465</v>
      </c>
      <c r="G124" s="168">
        <v>2</v>
      </c>
      <c r="H124" s="168" t="s">
        <v>1823</v>
      </c>
    </row>
    <row r="125" spans="1:8" x14ac:dyDescent="0.3">
      <c r="A125" s="130" t="s">
        <v>19</v>
      </c>
      <c r="B125" s="168" t="s">
        <v>1844</v>
      </c>
      <c r="C125" s="168" t="s">
        <v>1844</v>
      </c>
      <c r="D125" s="168" t="s">
        <v>1844</v>
      </c>
      <c r="E125" s="166">
        <v>1</v>
      </c>
      <c r="F125" s="166">
        <v>2958465</v>
      </c>
      <c r="G125" s="168">
        <v>2</v>
      </c>
      <c r="H125" s="168" t="s">
        <v>1823</v>
      </c>
    </row>
    <row r="126" spans="1:8" x14ac:dyDescent="0.3">
      <c r="A126" s="130" t="s">
        <v>19</v>
      </c>
      <c r="B126" s="168" t="s">
        <v>1350</v>
      </c>
      <c r="C126" s="168" t="s">
        <v>1350</v>
      </c>
      <c r="D126" s="168" t="s">
        <v>1350</v>
      </c>
      <c r="E126" s="166">
        <v>1</v>
      </c>
      <c r="F126" s="166">
        <v>2958465</v>
      </c>
      <c r="G126" s="168">
        <v>2</v>
      </c>
      <c r="H126" s="168" t="s">
        <v>1823</v>
      </c>
    </row>
    <row r="127" spans="1:8" x14ac:dyDescent="0.3">
      <c r="A127" s="130" t="s">
        <v>19</v>
      </c>
      <c r="B127" s="168" t="s">
        <v>1353</v>
      </c>
      <c r="C127" s="168" t="s">
        <v>1353</v>
      </c>
      <c r="D127" s="168" t="s">
        <v>1353</v>
      </c>
      <c r="E127" s="166">
        <v>1</v>
      </c>
      <c r="F127" s="166">
        <v>2958465</v>
      </c>
      <c r="G127" s="168">
        <v>2</v>
      </c>
      <c r="H127" s="168" t="s">
        <v>1823</v>
      </c>
    </row>
    <row r="128" spans="1:8" x14ac:dyDescent="0.3">
      <c r="A128" s="130" t="s">
        <v>19</v>
      </c>
      <c r="B128" s="168" t="s">
        <v>415</v>
      </c>
      <c r="C128" s="168" t="s">
        <v>1293</v>
      </c>
      <c r="D128" s="168" t="s">
        <v>1293</v>
      </c>
      <c r="E128" s="166">
        <v>1</v>
      </c>
      <c r="F128" s="166">
        <v>2958465</v>
      </c>
      <c r="G128" s="168">
        <v>2</v>
      </c>
      <c r="H128" s="168" t="s">
        <v>1823</v>
      </c>
    </row>
    <row r="129" spans="1:8" x14ac:dyDescent="0.3">
      <c r="A129" s="130" t="s">
        <v>19</v>
      </c>
      <c r="B129" s="168" t="s">
        <v>1782</v>
      </c>
      <c r="C129" s="168" t="s">
        <v>1782</v>
      </c>
      <c r="D129" s="168" t="s">
        <v>1782</v>
      </c>
      <c r="E129" s="166">
        <v>1</v>
      </c>
      <c r="F129" s="166">
        <v>2958465</v>
      </c>
      <c r="G129" s="168">
        <v>2</v>
      </c>
      <c r="H129" s="168" t="s">
        <v>1823</v>
      </c>
    </row>
    <row r="130" spans="1:8" x14ac:dyDescent="0.3">
      <c r="A130" s="130" t="s">
        <v>19</v>
      </c>
      <c r="B130" s="168" t="s">
        <v>1352</v>
      </c>
      <c r="C130" s="168" t="s">
        <v>1352</v>
      </c>
      <c r="D130" s="168" t="s">
        <v>1352</v>
      </c>
      <c r="E130" s="166">
        <v>1</v>
      </c>
      <c r="F130" s="166">
        <v>2958465</v>
      </c>
      <c r="G130" s="168">
        <v>2</v>
      </c>
      <c r="H130" s="168" t="s">
        <v>1823</v>
      </c>
    </row>
    <row r="131" spans="1:8" x14ac:dyDescent="0.3">
      <c r="A131" s="130" t="s">
        <v>19</v>
      </c>
      <c r="B131" s="168" t="s">
        <v>1845</v>
      </c>
      <c r="C131" s="168" t="s">
        <v>1845</v>
      </c>
      <c r="D131" s="168" t="s">
        <v>1845</v>
      </c>
      <c r="E131" s="166">
        <v>1</v>
      </c>
      <c r="F131" s="166">
        <v>2958465</v>
      </c>
      <c r="G131" s="168">
        <v>2</v>
      </c>
      <c r="H131" s="168" t="s">
        <v>1823</v>
      </c>
    </row>
    <row r="132" spans="1:8" x14ac:dyDescent="0.3">
      <c r="A132" s="130" t="s">
        <v>19</v>
      </c>
      <c r="B132" s="168" t="s">
        <v>1354</v>
      </c>
      <c r="C132" s="168" t="s">
        <v>1354</v>
      </c>
      <c r="D132" s="168" t="s">
        <v>1354</v>
      </c>
      <c r="E132" s="166">
        <v>1</v>
      </c>
      <c r="F132" s="166">
        <v>2958465</v>
      </c>
      <c r="G132" s="168">
        <v>2</v>
      </c>
      <c r="H132" s="168" t="s">
        <v>1823</v>
      </c>
    </row>
    <row r="133" spans="1:8" x14ac:dyDescent="0.3">
      <c r="A133" s="130" t="s">
        <v>19</v>
      </c>
      <c r="B133" s="168" t="s">
        <v>1355</v>
      </c>
      <c r="C133" s="168" t="s">
        <v>1355</v>
      </c>
      <c r="D133" s="168" t="s">
        <v>1355</v>
      </c>
      <c r="E133" s="166">
        <v>1</v>
      </c>
      <c r="F133" s="166">
        <v>2958465</v>
      </c>
      <c r="G133" s="168">
        <v>2</v>
      </c>
      <c r="H133" s="168" t="s">
        <v>1823</v>
      </c>
    </row>
    <row r="134" spans="1:8" x14ac:dyDescent="0.3">
      <c r="A134" s="130" t="s">
        <v>19</v>
      </c>
      <c r="B134" s="168" t="s">
        <v>1356</v>
      </c>
      <c r="C134" s="168" t="s">
        <v>1356</v>
      </c>
      <c r="D134" s="168" t="s">
        <v>1356</v>
      </c>
      <c r="E134" s="166">
        <v>1</v>
      </c>
      <c r="F134" s="166">
        <v>2958465</v>
      </c>
      <c r="G134" s="168">
        <v>2</v>
      </c>
      <c r="H134" s="168" t="s">
        <v>1823</v>
      </c>
    </row>
    <row r="135" spans="1:8" x14ac:dyDescent="0.3">
      <c r="A135" s="130" t="s">
        <v>19</v>
      </c>
      <c r="B135" s="168" t="s">
        <v>2048</v>
      </c>
      <c r="C135" s="168" t="s">
        <v>2048</v>
      </c>
      <c r="D135" s="168" t="s">
        <v>2048</v>
      </c>
      <c r="E135" s="166">
        <v>1</v>
      </c>
      <c r="F135" s="166">
        <v>2958465</v>
      </c>
      <c r="G135" s="168">
        <v>2</v>
      </c>
      <c r="H135" s="168" t="s">
        <v>1823</v>
      </c>
    </row>
    <row r="136" spans="1:8" x14ac:dyDescent="0.3">
      <c r="A136" s="130" t="s">
        <v>19</v>
      </c>
      <c r="B136" s="168" t="s">
        <v>2049</v>
      </c>
      <c r="C136" s="168" t="s">
        <v>2049</v>
      </c>
      <c r="D136" s="168" t="s">
        <v>2049</v>
      </c>
      <c r="E136" s="166">
        <v>1</v>
      </c>
      <c r="F136" s="166">
        <v>2958465</v>
      </c>
      <c r="G136" s="168">
        <v>2</v>
      </c>
      <c r="H136" s="168" t="s">
        <v>1823</v>
      </c>
    </row>
    <row r="137" spans="1:8" x14ac:dyDescent="0.3">
      <c r="A137" s="130" t="s">
        <v>19</v>
      </c>
      <c r="B137" s="168" t="s">
        <v>414</v>
      </c>
      <c r="C137" s="168" t="s">
        <v>1292</v>
      </c>
      <c r="D137" s="168" t="s">
        <v>1292</v>
      </c>
      <c r="E137" s="166">
        <v>1</v>
      </c>
      <c r="F137" s="166">
        <v>2958465</v>
      </c>
      <c r="G137" s="168">
        <v>2</v>
      </c>
      <c r="H137" s="168" t="s">
        <v>1823</v>
      </c>
    </row>
    <row r="138" spans="1:8" x14ac:dyDescent="0.3">
      <c r="A138" s="130" t="s">
        <v>19</v>
      </c>
      <c r="B138" s="168" t="s">
        <v>416</v>
      </c>
      <c r="C138" s="168" t="s">
        <v>1294</v>
      </c>
      <c r="D138" s="168" t="s">
        <v>1294</v>
      </c>
      <c r="E138" s="166">
        <v>1</v>
      </c>
      <c r="F138" s="166">
        <v>2958465</v>
      </c>
      <c r="G138" s="168">
        <v>2</v>
      </c>
      <c r="H138" s="168" t="s">
        <v>1823</v>
      </c>
    </row>
    <row r="139" spans="1:8" x14ac:dyDescent="0.3">
      <c r="A139" s="130" t="s">
        <v>19</v>
      </c>
      <c r="B139" s="168" t="s">
        <v>1357</v>
      </c>
      <c r="C139" s="168" t="s">
        <v>1357</v>
      </c>
      <c r="D139" s="168" t="s">
        <v>1357</v>
      </c>
      <c r="E139" s="166">
        <v>1</v>
      </c>
      <c r="F139" s="166">
        <v>2958465</v>
      </c>
      <c r="G139" s="168">
        <v>2</v>
      </c>
      <c r="H139" s="168" t="s">
        <v>1823</v>
      </c>
    </row>
    <row r="140" spans="1:8" x14ac:dyDescent="0.3">
      <c r="A140" s="130" t="s">
        <v>19</v>
      </c>
      <c r="B140" s="168" t="s">
        <v>1358</v>
      </c>
      <c r="C140" s="168" t="s">
        <v>1358</v>
      </c>
      <c r="D140" s="168" t="s">
        <v>1358</v>
      </c>
      <c r="E140" s="166">
        <v>1</v>
      </c>
      <c r="F140" s="166">
        <v>2958465</v>
      </c>
      <c r="G140" s="168">
        <v>2</v>
      </c>
      <c r="H140" s="168" t="s">
        <v>1823</v>
      </c>
    </row>
    <row r="141" spans="1:8" x14ac:dyDescent="0.3">
      <c r="A141" s="130" t="s">
        <v>19</v>
      </c>
      <c r="B141" s="168" t="s">
        <v>1359</v>
      </c>
      <c r="C141" s="168" t="s">
        <v>1359</v>
      </c>
      <c r="D141" s="168" t="s">
        <v>1359</v>
      </c>
      <c r="E141" s="166">
        <v>1</v>
      </c>
      <c r="F141" s="166">
        <v>2958465</v>
      </c>
      <c r="G141" s="168">
        <v>2</v>
      </c>
      <c r="H141" s="168" t="s">
        <v>1823</v>
      </c>
    </row>
    <row r="142" spans="1:8" x14ac:dyDescent="0.3">
      <c r="A142" s="130" t="s">
        <v>19</v>
      </c>
      <c r="B142" s="168" t="s">
        <v>418</v>
      </c>
      <c r="C142" s="168" t="s">
        <v>1296</v>
      </c>
      <c r="D142" s="168" t="s">
        <v>1296</v>
      </c>
      <c r="E142" s="166">
        <v>1</v>
      </c>
      <c r="F142" s="166">
        <v>2958465</v>
      </c>
      <c r="G142" s="168">
        <v>2</v>
      </c>
      <c r="H142" s="168" t="s">
        <v>1823</v>
      </c>
    </row>
    <row r="143" spans="1:8" x14ac:dyDescent="0.3">
      <c r="A143" s="130" t="s">
        <v>19</v>
      </c>
      <c r="B143" s="168" t="s">
        <v>2050</v>
      </c>
      <c r="C143" s="168" t="s">
        <v>2050</v>
      </c>
      <c r="D143" s="168" t="s">
        <v>2050</v>
      </c>
      <c r="E143" s="166">
        <v>1</v>
      </c>
      <c r="F143" s="166">
        <v>2958465</v>
      </c>
      <c r="G143" s="168">
        <v>2</v>
      </c>
      <c r="H143" s="168" t="s">
        <v>1823</v>
      </c>
    </row>
    <row r="144" spans="1:8" x14ac:dyDescent="0.3">
      <c r="A144" s="130" t="s">
        <v>19</v>
      </c>
      <c r="B144" s="168" t="s">
        <v>1361</v>
      </c>
      <c r="C144" s="168" t="s">
        <v>1361</v>
      </c>
      <c r="D144" s="168" t="s">
        <v>1361</v>
      </c>
      <c r="E144" s="166">
        <v>1</v>
      </c>
      <c r="F144" s="166">
        <v>2958465</v>
      </c>
      <c r="G144" s="168">
        <v>2</v>
      </c>
      <c r="H144" s="168" t="s">
        <v>1823</v>
      </c>
    </row>
    <row r="145" spans="1:8" x14ac:dyDescent="0.3">
      <c r="A145" s="130" t="s">
        <v>19</v>
      </c>
      <c r="B145" s="168" t="s">
        <v>1360</v>
      </c>
      <c r="C145" s="168" t="s">
        <v>1360</v>
      </c>
      <c r="D145" s="168" t="s">
        <v>1360</v>
      </c>
      <c r="E145" s="166">
        <v>1</v>
      </c>
      <c r="F145" s="166">
        <v>2958465</v>
      </c>
      <c r="G145" s="168">
        <v>2</v>
      </c>
      <c r="H145" s="168" t="s">
        <v>1823</v>
      </c>
    </row>
    <row r="146" spans="1:8" x14ac:dyDescent="0.3">
      <c r="A146" s="130" t="s">
        <v>19</v>
      </c>
      <c r="B146" s="168" t="s">
        <v>2051</v>
      </c>
      <c r="C146" s="168" t="s">
        <v>2051</v>
      </c>
      <c r="D146" s="168" t="s">
        <v>2051</v>
      </c>
      <c r="E146" s="166">
        <v>1</v>
      </c>
      <c r="F146" s="166">
        <v>2958465</v>
      </c>
      <c r="G146" s="168">
        <v>2</v>
      </c>
      <c r="H146" s="168" t="s">
        <v>1823</v>
      </c>
    </row>
    <row r="147" spans="1:8" x14ac:dyDescent="0.3">
      <c r="A147" s="130" t="s">
        <v>19</v>
      </c>
      <c r="B147" s="168" t="s">
        <v>1362</v>
      </c>
      <c r="C147" s="168" t="s">
        <v>1362</v>
      </c>
      <c r="D147" s="168" t="s">
        <v>1362</v>
      </c>
      <c r="E147" s="166">
        <v>1</v>
      </c>
      <c r="F147" s="166">
        <v>2958465</v>
      </c>
      <c r="G147" s="168">
        <v>2</v>
      </c>
      <c r="H147" s="168" t="s">
        <v>1823</v>
      </c>
    </row>
    <row r="148" spans="1:8" x14ac:dyDescent="0.3">
      <c r="A148" s="130" t="s">
        <v>19</v>
      </c>
      <c r="B148" s="168" t="s">
        <v>420</v>
      </c>
      <c r="C148" s="168" t="s">
        <v>1298</v>
      </c>
      <c r="D148" s="168" t="s">
        <v>1298</v>
      </c>
      <c r="E148" s="166">
        <v>1</v>
      </c>
      <c r="F148" s="166">
        <v>2958465</v>
      </c>
      <c r="G148" s="168">
        <v>2</v>
      </c>
      <c r="H148" s="168" t="s">
        <v>1823</v>
      </c>
    </row>
    <row r="149" spans="1:8" x14ac:dyDescent="0.3">
      <c r="A149" s="130" t="s">
        <v>19</v>
      </c>
      <c r="B149" s="168" t="s">
        <v>417</v>
      </c>
      <c r="C149" s="168" t="s">
        <v>1295</v>
      </c>
      <c r="D149" s="168" t="s">
        <v>1295</v>
      </c>
      <c r="E149" s="166">
        <v>1</v>
      </c>
      <c r="F149" s="166">
        <v>2958465</v>
      </c>
      <c r="G149" s="168">
        <v>2</v>
      </c>
      <c r="H149" s="168" t="s">
        <v>1823</v>
      </c>
    </row>
    <row r="150" spans="1:8" x14ac:dyDescent="0.3">
      <c r="A150" s="130" t="s">
        <v>19</v>
      </c>
      <c r="B150" s="168" t="s">
        <v>1363</v>
      </c>
      <c r="C150" s="168" t="s">
        <v>1363</v>
      </c>
      <c r="D150" s="168" t="s">
        <v>1363</v>
      </c>
      <c r="E150" s="166">
        <v>1</v>
      </c>
      <c r="F150" s="166">
        <v>2958465</v>
      </c>
      <c r="G150" s="168">
        <v>2</v>
      </c>
      <c r="H150" s="168" t="s">
        <v>1823</v>
      </c>
    </row>
    <row r="151" spans="1:8" x14ac:dyDescent="0.3">
      <c r="A151" s="130" t="s">
        <v>19</v>
      </c>
      <c r="B151" s="168" t="s">
        <v>1364</v>
      </c>
      <c r="C151" s="168" t="s">
        <v>1364</v>
      </c>
      <c r="D151" s="168" t="s">
        <v>1364</v>
      </c>
      <c r="E151" s="166">
        <v>1</v>
      </c>
      <c r="F151" s="166">
        <v>2958465</v>
      </c>
      <c r="G151" s="168">
        <v>2</v>
      </c>
      <c r="H151" s="168" t="s">
        <v>1823</v>
      </c>
    </row>
    <row r="152" spans="1:8" x14ac:dyDescent="0.3">
      <c r="A152" s="130" t="s">
        <v>19</v>
      </c>
      <c r="B152" s="168" t="s">
        <v>1365</v>
      </c>
      <c r="C152" s="168" t="s">
        <v>1365</v>
      </c>
      <c r="D152" s="168" t="s">
        <v>1365</v>
      </c>
      <c r="E152" s="166">
        <v>1</v>
      </c>
      <c r="F152" s="166">
        <v>2958465</v>
      </c>
      <c r="G152" s="168">
        <v>2</v>
      </c>
      <c r="H152" s="168" t="s">
        <v>1823</v>
      </c>
    </row>
    <row r="153" spans="1:8" x14ac:dyDescent="0.3">
      <c r="A153" s="130" t="s">
        <v>19</v>
      </c>
      <c r="B153" s="168" t="s">
        <v>419</v>
      </c>
      <c r="C153" s="168" t="s">
        <v>1297</v>
      </c>
      <c r="D153" s="168" t="s">
        <v>1297</v>
      </c>
      <c r="E153" s="166">
        <v>1</v>
      </c>
      <c r="F153" s="166">
        <v>2958465</v>
      </c>
      <c r="G153" s="168">
        <v>2</v>
      </c>
      <c r="H153" s="168" t="s">
        <v>1823</v>
      </c>
    </row>
    <row r="154" spans="1:8" x14ac:dyDescent="0.3">
      <c r="A154" s="130" t="s">
        <v>19</v>
      </c>
      <c r="B154" s="168" t="s">
        <v>1366</v>
      </c>
      <c r="C154" s="168" t="s">
        <v>1300</v>
      </c>
      <c r="D154" s="168" t="s">
        <v>1300</v>
      </c>
      <c r="E154" s="166">
        <v>1</v>
      </c>
      <c r="F154" s="166">
        <v>2958465</v>
      </c>
      <c r="G154" s="168">
        <v>2</v>
      </c>
      <c r="H154" s="168" t="s">
        <v>1823</v>
      </c>
    </row>
    <row r="155" spans="1:8" x14ac:dyDescent="0.3">
      <c r="A155" s="130" t="s">
        <v>19</v>
      </c>
      <c r="B155" s="168" t="s">
        <v>1367</v>
      </c>
      <c r="C155" s="168" t="s">
        <v>1367</v>
      </c>
      <c r="D155" s="168" t="s">
        <v>1367</v>
      </c>
      <c r="E155" s="166">
        <v>1</v>
      </c>
      <c r="F155" s="166">
        <v>2958465</v>
      </c>
      <c r="G155" s="168">
        <v>2</v>
      </c>
      <c r="H155" s="168" t="s">
        <v>1823</v>
      </c>
    </row>
    <row r="156" spans="1:8" x14ac:dyDescent="0.3">
      <c r="A156" s="130" t="s">
        <v>19</v>
      </c>
      <c r="B156" s="168" t="s">
        <v>1368</v>
      </c>
      <c r="C156" s="168" t="s">
        <v>1368</v>
      </c>
      <c r="D156" s="168" t="s">
        <v>1368</v>
      </c>
      <c r="E156" s="166">
        <v>1</v>
      </c>
      <c r="F156" s="166">
        <v>2958465</v>
      </c>
      <c r="G156" s="168">
        <v>2</v>
      </c>
      <c r="H156" s="168" t="s">
        <v>1823</v>
      </c>
    </row>
    <row r="157" spans="1:8" x14ac:dyDescent="0.3">
      <c r="A157" s="130" t="s">
        <v>19</v>
      </c>
      <c r="B157" s="168" t="s">
        <v>1847</v>
      </c>
      <c r="C157" s="168" t="s">
        <v>1847</v>
      </c>
      <c r="D157" s="168" t="s">
        <v>1847</v>
      </c>
      <c r="E157" s="166">
        <v>1</v>
      </c>
      <c r="F157" s="166">
        <v>2958465</v>
      </c>
      <c r="G157" s="168">
        <v>2</v>
      </c>
      <c r="H157" s="168" t="s">
        <v>1823</v>
      </c>
    </row>
    <row r="158" spans="1:8" x14ac:dyDescent="0.3">
      <c r="A158" s="130" t="s">
        <v>19</v>
      </c>
      <c r="B158" s="168" t="s">
        <v>1846</v>
      </c>
      <c r="C158" s="168" t="s">
        <v>1846</v>
      </c>
      <c r="D158" s="168" t="s">
        <v>1846</v>
      </c>
      <c r="E158" s="166">
        <v>1</v>
      </c>
      <c r="F158" s="166">
        <v>2958465</v>
      </c>
      <c r="G158" s="168">
        <v>2</v>
      </c>
      <c r="H158" s="168" t="s">
        <v>1823</v>
      </c>
    </row>
    <row r="159" spans="1:8" x14ac:dyDescent="0.3">
      <c r="A159" s="130" t="s">
        <v>19</v>
      </c>
      <c r="B159" s="168" t="s">
        <v>1369</v>
      </c>
      <c r="C159" s="168" t="s">
        <v>1369</v>
      </c>
      <c r="D159" s="168" t="s">
        <v>1369</v>
      </c>
      <c r="E159" s="166">
        <v>1</v>
      </c>
      <c r="F159" s="166">
        <v>2958465</v>
      </c>
      <c r="G159" s="168">
        <v>2</v>
      </c>
      <c r="H159" s="168" t="s">
        <v>1823</v>
      </c>
    </row>
    <row r="160" spans="1:8" x14ac:dyDescent="0.3">
      <c r="A160" s="130" t="s">
        <v>19</v>
      </c>
      <c r="B160" s="168" t="s">
        <v>1370</v>
      </c>
      <c r="C160" s="168" t="s">
        <v>1302</v>
      </c>
      <c r="D160" s="168" t="s">
        <v>1302</v>
      </c>
      <c r="E160" s="166">
        <v>1</v>
      </c>
      <c r="F160" s="166">
        <v>2958465</v>
      </c>
      <c r="G160" s="168">
        <v>2</v>
      </c>
      <c r="H160" s="168" t="s">
        <v>1823</v>
      </c>
    </row>
    <row r="161" spans="1:8" x14ac:dyDescent="0.3">
      <c r="A161" s="130" t="s">
        <v>19</v>
      </c>
      <c r="B161" s="168" t="s">
        <v>1371</v>
      </c>
      <c r="C161" s="168" t="s">
        <v>1371</v>
      </c>
      <c r="D161" s="168" t="s">
        <v>1371</v>
      </c>
      <c r="E161" s="166">
        <v>1</v>
      </c>
      <c r="F161" s="166">
        <v>2958465</v>
      </c>
      <c r="G161" s="168">
        <v>2</v>
      </c>
      <c r="H161" s="168" t="s">
        <v>1823</v>
      </c>
    </row>
    <row r="162" spans="1:8" x14ac:dyDescent="0.3">
      <c r="A162" s="130" t="s">
        <v>19</v>
      </c>
      <c r="B162" s="168" t="s">
        <v>1372</v>
      </c>
      <c r="C162" s="168" t="s">
        <v>1372</v>
      </c>
      <c r="D162" s="168" t="s">
        <v>1372</v>
      </c>
      <c r="E162" s="166">
        <v>1</v>
      </c>
      <c r="F162" s="166">
        <v>2958465</v>
      </c>
      <c r="G162" s="168">
        <v>2</v>
      </c>
      <c r="H162" s="168" t="s">
        <v>1823</v>
      </c>
    </row>
    <row r="163" spans="1:8" x14ac:dyDescent="0.3">
      <c r="A163" s="130" t="s">
        <v>19</v>
      </c>
      <c r="B163" s="168" t="s">
        <v>1373</v>
      </c>
      <c r="C163" s="168" t="s">
        <v>1373</v>
      </c>
      <c r="D163" s="168" t="s">
        <v>1373</v>
      </c>
      <c r="E163" s="166">
        <v>1</v>
      </c>
      <c r="F163" s="166">
        <v>2958465</v>
      </c>
      <c r="G163" s="168">
        <v>2</v>
      </c>
      <c r="H163" s="168" t="s">
        <v>1823</v>
      </c>
    </row>
    <row r="164" spans="1:8" x14ac:dyDescent="0.3">
      <c r="A164" s="130" t="s">
        <v>19</v>
      </c>
      <c r="B164" s="168" t="s">
        <v>422</v>
      </c>
      <c r="C164" s="168" t="s">
        <v>422</v>
      </c>
      <c r="D164" s="168" t="s">
        <v>1263</v>
      </c>
      <c r="E164" s="166">
        <v>1</v>
      </c>
      <c r="F164" s="166">
        <v>2958465</v>
      </c>
      <c r="G164" s="168">
        <v>2</v>
      </c>
      <c r="H164" s="168" t="s">
        <v>1823</v>
      </c>
    </row>
    <row r="165" spans="1:8" x14ac:dyDescent="0.3">
      <c r="A165" s="130" t="s">
        <v>19</v>
      </c>
      <c r="B165" s="168" t="s">
        <v>421</v>
      </c>
      <c r="C165" s="168" t="s">
        <v>1299</v>
      </c>
      <c r="D165" s="168" t="s">
        <v>1299</v>
      </c>
      <c r="E165" s="166">
        <v>1</v>
      </c>
      <c r="F165" s="166">
        <v>2958465</v>
      </c>
      <c r="G165" s="168">
        <v>2</v>
      </c>
      <c r="H165" s="168" t="s">
        <v>1823</v>
      </c>
    </row>
    <row r="166" spans="1:8" x14ac:dyDescent="0.3">
      <c r="A166" s="130" t="s">
        <v>19</v>
      </c>
      <c r="B166" s="168" t="s">
        <v>424</v>
      </c>
      <c r="C166" s="168" t="s">
        <v>1304</v>
      </c>
      <c r="D166" s="168" t="s">
        <v>1304</v>
      </c>
      <c r="E166" s="166">
        <v>1</v>
      </c>
      <c r="F166" s="166">
        <v>2958465</v>
      </c>
      <c r="G166" s="168">
        <v>2</v>
      </c>
      <c r="H166" s="168" t="s">
        <v>1823</v>
      </c>
    </row>
    <row r="167" spans="1:8" x14ac:dyDescent="0.3">
      <c r="A167" s="130" t="s">
        <v>19</v>
      </c>
      <c r="B167" s="168" t="s">
        <v>1374</v>
      </c>
      <c r="C167" s="168" t="s">
        <v>1301</v>
      </c>
      <c r="D167" s="168" t="s">
        <v>1301</v>
      </c>
      <c r="E167" s="166">
        <v>1</v>
      </c>
      <c r="F167" s="166">
        <v>2958465</v>
      </c>
      <c r="G167" s="168">
        <v>2</v>
      </c>
      <c r="H167" s="168" t="s">
        <v>1823</v>
      </c>
    </row>
    <row r="168" spans="1:8" x14ac:dyDescent="0.3">
      <c r="A168" s="130" t="s">
        <v>19</v>
      </c>
      <c r="B168" s="168" t="s">
        <v>425</v>
      </c>
      <c r="C168" s="168" t="s">
        <v>1305</v>
      </c>
      <c r="D168" s="168" t="s">
        <v>1305</v>
      </c>
      <c r="E168" s="166">
        <v>1</v>
      </c>
      <c r="F168" s="166">
        <v>2958465</v>
      </c>
      <c r="G168" s="168">
        <v>2</v>
      </c>
      <c r="H168" s="168" t="s">
        <v>1823</v>
      </c>
    </row>
    <row r="169" spans="1:8" x14ac:dyDescent="0.3">
      <c r="A169" s="130" t="s">
        <v>19</v>
      </c>
      <c r="B169" s="168" t="s">
        <v>1848</v>
      </c>
      <c r="C169" s="168" t="s">
        <v>1848</v>
      </c>
      <c r="D169" s="168" t="s">
        <v>1848</v>
      </c>
      <c r="E169" s="166">
        <v>1</v>
      </c>
      <c r="F169" s="166">
        <v>2958465</v>
      </c>
      <c r="G169" s="168">
        <v>2</v>
      </c>
      <c r="H169" s="168" t="s">
        <v>1823</v>
      </c>
    </row>
    <row r="170" spans="1:8" x14ac:dyDescent="0.3">
      <c r="A170" s="130" t="s">
        <v>19</v>
      </c>
      <c r="B170" s="168" t="s">
        <v>1376</v>
      </c>
      <c r="C170" s="168" t="s">
        <v>1376</v>
      </c>
      <c r="D170" s="168" t="s">
        <v>1376</v>
      </c>
      <c r="E170" s="166">
        <v>1</v>
      </c>
      <c r="F170" s="166">
        <v>2958465</v>
      </c>
      <c r="G170" s="168">
        <v>2</v>
      </c>
      <c r="H170" s="168" t="s">
        <v>1823</v>
      </c>
    </row>
    <row r="171" spans="1:8" x14ac:dyDescent="0.3">
      <c r="A171" s="130" t="s">
        <v>19</v>
      </c>
      <c r="B171" s="168" t="s">
        <v>1375</v>
      </c>
      <c r="C171" s="168" t="s">
        <v>1375</v>
      </c>
      <c r="D171" s="168" t="s">
        <v>1375</v>
      </c>
      <c r="E171" s="166">
        <v>1</v>
      </c>
      <c r="F171" s="166">
        <v>2958465</v>
      </c>
      <c r="G171" s="168">
        <v>2</v>
      </c>
      <c r="H171" s="168" t="s">
        <v>1823</v>
      </c>
    </row>
    <row r="172" spans="1:8" x14ac:dyDescent="0.3">
      <c r="A172" s="130" t="s">
        <v>19</v>
      </c>
      <c r="B172" s="168" t="s">
        <v>332</v>
      </c>
      <c r="C172" s="168" t="s">
        <v>332</v>
      </c>
      <c r="D172" s="168" t="s">
        <v>332</v>
      </c>
      <c r="E172" s="166">
        <v>1</v>
      </c>
      <c r="F172" s="166">
        <v>2958465</v>
      </c>
      <c r="G172" s="168">
        <v>2</v>
      </c>
      <c r="H172" s="168" t="s">
        <v>1823</v>
      </c>
    </row>
    <row r="173" spans="1:8" x14ac:dyDescent="0.3">
      <c r="A173" s="130" t="s">
        <v>19</v>
      </c>
      <c r="B173" s="168" t="s">
        <v>1849</v>
      </c>
      <c r="C173" s="168" t="s">
        <v>1849</v>
      </c>
      <c r="D173" s="168" t="s">
        <v>1849</v>
      </c>
      <c r="E173" s="166">
        <v>1</v>
      </c>
      <c r="F173" s="166">
        <v>2958465</v>
      </c>
      <c r="G173" s="168">
        <v>2</v>
      </c>
      <c r="H173" s="168" t="s">
        <v>1823</v>
      </c>
    </row>
    <row r="174" spans="1:8" x14ac:dyDescent="0.3">
      <c r="A174" s="130" t="s">
        <v>19</v>
      </c>
      <c r="B174" s="168" t="s">
        <v>2052</v>
      </c>
      <c r="C174" s="168" t="s">
        <v>2052</v>
      </c>
      <c r="D174" s="168" t="s">
        <v>2052</v>
      </c>
      <c r="E174" s="166">
        <v>1</v>
      </c>
      <c r="F174" s="166">
        <v>2958465</v>
      </c>
      <c r="G174" s="168">
        <v>2</v>
      </c>
      <c r="H174" s="168" t="s">
        <v>1823</v>
      </c>
    </row>
    <row r="175" spans="1:8" x14ac:dyDescent="0.3">
      <c r="A175" s="130" t="s">
        <v>19</v>
      </c>
      <c r="B175" s="168" t="s">
        <v>1850</v>
      </c>
      <c r="C175" s="168" t="s">
        <v>1850</v>
      </c>
      <c r="D175" s="168" t="s">
        <v>1850</v>
      </c>
      <c r="E175" s="166">
        <v>1</v>
      </c>
      <c r="F175" s="166">
        <v>2958465</v>
      </c>
      <c r="G175" s="168">
        <v>2</v>
      </c>
      <c r="H175" s="168" t="s">
        <v>1823</v>
      </c>
    </row>
    <row r="176" spans="1:8" x14ac:dyDescent="0.3">
      <c r="A176" s="130" t="s">
        <v>19</v>
      </c>
      <c r="B176" s="168" t="s">
        <v>1377</v>
      </c>
      <c r="C176" s="168" t="s">
        <v>1377</v>
      </c>
      <c r="D176" s="168" t="s">
        <v>1377</v>
      </c>
      <c r="E176" s="166">
        <v>1</v>
      </c>
      <c r="F176" s="166">
        <v>2958465</v>
      </c>
      <c r="G176" s="168">
        <v>2</v>
      </c>
      <c r="H176" s="168" t="s">
        <v>1823</v>
      </c>
    </row>
    <row r="177" spans="1:8" x14ac:dyDescent="0.3">
      <c r="A177" s="130" t="s">
        <v>19</v>
      </c>
      <c r="B177" s="168" t="s">
        <v>2053</v>
      </c>
      <c r="C177" s="168" t="s">
        <v>2053</v>
      </c>
      <c r="D177" s="168" t="s">
        <v>2053</v>
      </c>
      <c r="E177" s="166">
        <v>1</v>
      </c>
      <c r="F177" s="166">
        <v>2958465</v>
      </c>
      <c r="G177" s="168">
        <v>2</v>
      </c>
      <c r="H177" s="168" t="s">
        <v>1823</v>
      </c>
    </row>
    <row r="178" spans="1:8" x14ac:dyDescent="0.3">
      <c r="A178" s="130" t="s">
        <v>19</v>
      </c>
      <c r="B178" s="168" t="s">
        <v>423</v>
      </c>
      <c r="C178" s="168" t="s">
        <v>1303</v>
      </c>
      <c r="D178" s="168" t="s">
        <v>1303</v>
      </c>
      <c r="E178" s="166">
        <v>1</v>
      </c>
      <c r="F178" s="166">
        <v>2958465</v>
      </c>
      <c r="G178" s="168">
        <v>2</v>
      </c>
      <c r="H178" s="168" t="s">
        <v>1823</v>
      </c>
    </row>
    <row r="179" spans="1:8" x14ac:dyDescent="0.3">
      <c r="A179" s="130" t="s">
        <v>19</v>
      </c>
      <c r="B179" s="168" t="s">
        <v>2054</v>
      </c>
      <c r="C179" s="168" t="s">
        <v>2054</v>
      </c>
      <c r="D179" s="168" t="s">
        <v>2054</v>
      </c>
      <c r="E179" s="166">
        <v>1</v>
      </c>
      <c r="F179" s="166">
        <v>2958465</v>
      </c>
      <c r="G179" s="168">
        <v>2</v>
      </c>
      <c r="H179" s="168" t="s">
        <v>1823</v>
      </c>
    </row>
    <row r="180" spans="1:8" x14ac:dyDescent="0.3">
      <c r="A180" s="130" t="s">
        <v>19</v>
      </c>
      <c r="B180" s="168" t="s">
        <v>2055</v>
      </c>
      <c r="C180" s="168" t="s">
        <v>2055</v>
      </c>
      <c r="D180" s="168" t="s">
        <v>2055</v>
      </c>
      <c r="E180" s="166">
        <v>1</v>
      </c>
      <c r="F180" s="166">
        <v>2958465</v>
      </c>
      <c r="G180" s="168">
        <v>2</v>
      </c>
      <c r="H180" s="168" t="s">
        <v>1823</v>
      </c>
    </row>
  </sheetData>
  <sheetProtection insertRows="0" deleteRows="0" autoFilter="0"/>
  <autoFilter ref="A2:H180"/>
  <dataConsolidate/>
  <mergeCells count="1">
    <mergeCell ref="A1:B1"/>
  </mergeCells>
  <dataValidations count="3">
    <dataValidation type="list" allowBlank="1" showInputMessage="1" showErrorMessage="1" sqref="A3:A1048576">
      <formula1>PLUS</formula1>
    </dataValidation>
    <dataValidation type="date" allowBlank="1" showInputMessage="1" showErrorMessage="1" sqref="F3:F1048576">
      <formula1>1</formula1>
      <formula2>2958465</formula2>
    </dataValidation>
    <dataValidation type="textLength" operator="lessThanOrEqual" allowBlank="1" showInputMessage="1" showErrorMessage="1" sqref="C3:C1048576">
      <formula1>50</formula1>
    </dataValidation>
  </dataValidations>
  <hyperlinks>
    <hyperlink ref="A1" location="Характеристики!A1" display="Сформировать скрипт"/>
    <hyperlink ref="A1:B1" location="DICT!A1" display="Сформировать скрипт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9" tint="-0.249977111117893"/>
  </sheetPr>
  <dimension ref="A1:S2005"/>
  <sheetViews>
    <sheetView zoomScale="115" zoomScaleNormal="115" workbookViewId="0">
      <pane xSplit="3" ySplit="1" topLeftCell="H2" activePane="bottomRight" state="frozen"/>
      <selection activeCell="B92" sqref="B92"/>
      <selection pane="topRight" activeCell="B92" sqref="B92"/>
      <selection pane="bottomLeft" activeCell="B92" sqref="B92"/>
      <selection pane="bottomRight" activeCell="B1" sqref="B1"/>
    </sheetView>
  </sheetViews>
  <sheetFormatPr defaultColWidth="9.109375" defaultRowHeight="13.8" x14ac:dyDescent="0.3"/>
  <cols>
    <col min="1" max="1" width="34.5546875" style="6" customWidth="1"/>
    <col min="2" max="2" width="26" style="133" customWidth="1"/>
    <col min="3" max="3" width="33.44140625" style="6" customWidth="1"/>
    <col min="4" max="4" width="16.88671875" style="140" customWidth="1"/>
    <col min="5" max="5" width="16.88671875" style="6" customWidth="1"/>
    <col min="6" max="6" width="35.33203125" style="6" customWidth="1"/>
    <col min="7" max="7" width="36" style="6" customWidth="1"/>
    <col min="8" max="8" width="14.88671875" style="6" customWidth="1"/>
    <col min="9" max="9" width="29.109375" style="135" customWidth="1"/>
    <col min="10" max="11" width="18.6640625" style="6" customWidth="1"/>
    <col min="12" max="12" width="18.33203125" style="6" customWidth="1"/>
    <col min="13" max="13" width="22.5546875" style="6" customWidth="1"/>
    <col min="14" max="14" width="22.88671875" style="6" customWidth="1"/>
    <col min="15" max="16" width="21.109375" style="6" customWidth="1"/>
    <col min="17" max="18" width="17.109375" style="6" customWidth="1"/>
    <col min="19" max="19" width="45.33203125" style="179" customWidth="1"/>
    <col min="20" max="16384" width="9.109375" style="6"/>
  </cols>
  <sheetData>
    <row r="1" spans="1:19" s="37" customFormat="1" ht="41.4" x14ac:dyDescent="0.3">
      <c r="A1" s="40" t="s">
        <v>324</v>
      </c>
      <c r="B1" s="40" t="s">
        <v>333</v>
      </c>
      <c r="C1" s="3" t="s">
        <v>25</v>
      </c>
      <c r="D1" s="138" t="s">
        <v>343</v>
      </c>
      <c r="E1" s="3" t="s">
        <v>26</v>
      </c>
      <c r="F1" s="3" t="s">
        <v>334</v>
      </c>
      <c r="G1" s="3" t="s">
        <v>24</v>
      </c>
      <c r="H1" s="3" t="s">
        <v>341</v>
      </c>
      <c r="I1" s="3" t="s">
        <v>335</v>
      </c>
      <c r="J1" s="2" t="s">
        <v>27</v>
      </c>
      <c r="K1" s="2" t="s">
        <v>342</v>
      </c>
      <c r="L1" s="2" t="s">
        <v>336</v>
      </c>
      <c r="M1" s="2" t="s">
        <v>28</v>
      </c>
      <c r="N1" s="2" t="s">
        <v>29</v>
      </c>
      <c r="O1" s="2" t="s">
        <v>1177</v>
      </c>
      <c r="P1" s="2" t="s">
        <v>1176</v>
      </c>
      <c r="Q1" s="2" t="s">
        <v>337</v>
      </c>
      <c r="R1" s="170" t="s">
        <v>2364</v>
      </c>
      <c r="S1" s="177"/>
    </row>
    <row r="2" spans="1:19" ht="14.4" x14ac:dyDescent="0.3">
      <c r="A2" s="169" t="s">
        <v>407</v>
      </c>
      <c r="B2" s="171" t="str">
        <f t="shared" ref="B2:B65" si="0">IF(NOT(ISBLANK(A2)),VLOOKUP(A2,ERM_TABLE_NM,2,FALSE), "")</f>
        <v>Рисковые метрики по сделке</v>
      </c>
      <c r="C2" s="169" t="s">
        <v>869</v>
      </c>
      <c r="D2" s="169">
        <v>2054</v>
      </c>
      <c r="E2" s="169">
        <v>1</v>
      </c>
      <c r="F2" s="169" t="s">
        <v>869</v>
      </c>
      <c r="G2" s="169" t="s">
        <v>869</v>
      </c>
      <c r="H2" s="169">
        <v>7</v>
      </c>
      <c r="I2" s="136" t="str">
        <f t="shared" ref="I2:I65" si="1">IF(NOT(ISBLANK(H2)),VLOOKUP(H2,ERM_DOMAIN_NM,2,FALSE), "")</f>
        <v>BIGINT</v>
      </c>
      <c r="J2" s="169" t="s">
        <v>0</v>
      </c>
      <c r="K2" s="169" t="s">
        <v>1</v>
      </c>
      <c r="L2" s="169">
        <v>30</v>
      </c>
      <c r="M2" s="168"/>
      <c r="N2" s="168"/>
      <c r="O2" s="168"/>
      <c r="P2" s="168"/>
      <c r="Q2" s="168" t="s">
        <v>0</v>
      </c>
      <c r="R2" s="168" t="s">
        <v>1</v>
      </c>
      <c r="S2" s="178" t="str">
        <f>CONCATENATE(A2,C2)</f>
        <v>D_CLAIM_EXPOSURE_BTHCCF_TYPE_ID</v>
      </c>
    </row>
    <row r="3" spans="1:19" ht="14.4" x14ac:dyDescent="0.3">
      <c r="A3" s="169" t="s">
        <v>407</v>
      </c>
      <c r="B3" s="171" t="str">
        <f t="shared" si="0"/>
        <v>Рисковые метрики по сделке</v>
      </c>
      <c r="C3" s="169" t="s">
        <v>866</v>
      </c>
      <c r="D3" s="169">
        <v>2053</v>
      </c>
      <c r="E3" s="169">
        <v>2</v>
      </c>
      <c r="F3" s="169" t="s">
        <v>866</v>
      </c>
      <c r="G3" s="169" t="s">
        <v>866</v>
      </c>
      <c r="H3" s="169">
        <v>7</v>
      </c>
      <c r="I3" s="136" t="str">
        <f t="shared" si="1"/>
        <v>BIGINT</v>
      </c>
      <c r="J3" s="169" t="s">
        <v>1</v>
      </c>
      <c r="K3" s="169" t="s">
        <v>1</v>
      </c>
      <c r="L3" s="169">
        <v>30</v>
      </c>
      <c r="M3" s="168"/>
      <c r="N3" s="168"/>
      <c r="O3" s="168"/>
      <c r="P3" s="168"/>
      <c r="Q3" s="168" t="s">
        <v>0</v>
      </c>
      <c r="R3" s="168" t="s">
        <v>1</v>
      </c>
      <c r="S3" s="178" t="str">
        <f t="shared" ref="S3:S66" si="2">CONCATENATE(A3,C3)</f>
        <v>D_CLAIM_EXPOSURE_BTHCLAIM_EXPOSURE_SK</v>
      </c>
    </row>
    <row r="4" spans="1:19" ht="14.4" x14ac:dyDescent="0.3">
      <c r="A4" s="169" t="s">
        <v>407</v>
      </c>
      <c r="B4" s="171" t="str">
        <f t="shared" si="0"/>
        <v>Рисковые метрики по сделке</v>
      </c>
      <c r="C4" s="169" t="s">
        <v>585</v>
      </c>
      <c r="D4" s="169">
        <v>51</v>
      </c>
      <c r="E4" s="169">
        <v>3</v>
      </c>
      <c r="F4" s="169" t="s">
        <v>585</v>
      </c>
      <c r="G4" s="169" t="s">
        <v>585</v>
      </c>
      <c r="H4" s="169">
        <v>7</v>
      </c>
      <c r="I4" s="136" t="str">
        <f t="shared" si="1"/>
        <v>BIGINT</v>
      </c>
      <c r="J4" s="169" t="s">
        <v>1</v>
      </c>
      <c r="K4" s="169" t="s">
        <v>0</v>
      </c>
      <c r="L4" s="169">
        <v>30</v>
      </c>
      <c r="M4" s="168"/>
      <c r="N4" s="168"/>
      <c r="O4" s="168"/>
      <c r="P4" s="168"/>
      <c r="Q4" s="168" t="s">
        <v>0</v>
      </c>
      <c r="R4" s="168" t="s">
        <v>1</v>
      </c>
      <c r="S4" s="178" t="str">
        <f t="shared" si="2"/>
        <v>D_CLAIM_EXPOSURE_BTHCLAIM_ORIG_ID</v>
      </c>
    </row>
    <row r="5" spans="1:19" ht="14.4" x14ac:dyDescent="0.3">
      <c r="A5" s="169" t="s">
        <v>407</v>
      </c>
      <c r="B5" s="171" t="str">
        <f t="shared" si="0"/>
        <v>Рисковые метрики по сделке</v>
      </c>
      <c r="C5" s="169" t="s">
        <v>861</v>
      </c>
      <c r="D5" s="169">
        <v>2052</v>
      </c>
      <c r="E5" s="169">
        <v>4</v>
      </c>
      <c r="F5" s="169" t="s">
        <v>861</v>
      </c>
      <c r="G5" s="169" t="s">
        <v>861</v>
      </c>
      <c r="H5" s="169">
        <v>21</v>
      </c>
      <c r="I5" s="136" t="str">
        <f t="shared" si="1"/>
        <v>DECIMAL(19, 2)</v>
      </c>
      <c r="J5" s="169" t="s">
        <v>0</v>
      </c>
      <c r="K5" s="169" t="s">
        <v>1</v>
      </c>
      <c r="L5" s="169">
        <v>30</v>
      </c>
      <c r="M5" s="168"/>
      <c r="N5" s="168"/>
      <c r="O5" s="168"/>
      <c r="P5" s="168"/>
      <c r="Q5" s="168" t="s">
        <v>0</v>
      </c>
      <c r="R5" s="168" t="s">
        <v>1</v>
      </c>
      <c r="S5" s="178" t="str">
        <f t="shared" si="2"/>
        <v>D_CLAIM_EXPOSURE_BTHEAD_NOCCF_CCY_AMT</v>
      </c>
    </row>
    <row r="6" spans="1:19" ht="14.4" x14ac:dyDescent="0.3">
      <c r="A6" s="169" t="s">
        <v>407</v>
      </c>
      <c r="B6" s="171" t="str">
        <f t="shared" si="0"/>
        <v>Рисковые метрики по сделке</v>
      </c>
      <c r="C6" s="169" t="s">
        <v>859</v>
      </c>
      <c r="D6" s="169">
        <v>52</v>
      </c>
      <c r="E6" s="169">
        <v>5</v>
      </c>
      <c r="F6" s="169" t="s">
        <v>859</v>
      </c>
      <c r="G6" s="169" t="s">
        <v>859</v>
      </c>
      <c r="H6" s="169">
        <v>21</v>
      </c>
      <c r="I6" s="136" t="str">
        <f t="shared" si="1"/>
        <v>DECIMAL(19, 2)</v>
      </c>
      <c r="J6" s="169" t="s">
        <v>0</v>
      </c>
      <c r="K6" s="169" t="s">
        <v>1</v>
      </c>
      <c r="L6" s="169">
        <v>30</v>
      </c>
      <c r="M6" s="168"/>
      <c r="N6" s="168"/>
      <c r="O6" s="168"/>
      <c r="P6" s="168"/>
      <c r="Q6" s="168" t="s">
        <v>0</v>
      </c>
      <c r="R6" s="168" t="s">
        <v>1</v>
      </c>
      <c r="S6" s="178" t="str">
        <f t="shared" si="2"/>
        <v>D_CLAIM_EXPOSURE_BTHEAD_NOCCF_RUB_AMT</v>
      </c>
    </row>
    <row r="7" spans="1:19" ht="14.4" x14ac:dyDescent="0.3">
      <c r="A7" s="169" t="s">
        <v>407</v>
      </c>
      <c r="B7" s="171" t="str">
        <f t="shared" si="0"/>
        <v>Рисковые метрики по сделке</v>
      </c>
      <c r="C7" s="169" t="s">
        <v>863</v>
      </c>
      <c r="D7" s="169">
        <v>53</v>
      </c>
      <c r="E7" s="169">
        <v>6</v>
      </c>
      <c r="F7" s="169" t="s">
        <v>863</v>
      </c>
      <c r="G7" s="169" t="s">
        <v>863</v>
      </c>
      <c r="H7" s="169">
        <v>3</v>
      </c>
      <c r="I7" s="136" t="str">
        <f t="shared" si="1"/>
        <v>DECIMAL(20, 6)</v>
      </c>
      <c r="J7" s="169" t="s">
        <v>0</v>
      </c>
      <c r="K7" s="169" t="s">
        <v>1</v>
      </c>
      <c r="L7" s="169">
        <v>30</v>
      </c>
      <c r="M7" s="168"/>
      <c r="N7" s="168"/>
      <c r="O7" s="168"/>
      <c r="P7" s="168"/>
      <c r="Q7" s="168" t="s">
        <v>0</v>
      </c>
      <c r="R7" s="168" t="s">
        <v>1</v>
      </c>
      <c r="S7" s="178" t="str">
        <f t="shared" si="2"/>
        <v>D_CLAIM_EXPOSURE_BTHEFF_MATURITY_YEAR</v>
      </c>
    </row>
    <row r="8" spans="1:19" ht="14.4" x14ac:dyDescent="0.3">
      <c r="A8" s="169" t="s">
        <v>407</v>
      </c>
      <c r="B8" s="171" t="str">
        <f t="shared" si="0"/>
        <v>Рисковые метрики по сделке</v>
      </c>
      <c r="C8" s="169" t="s">
        <v>489</v>
      </c>
      <c r="D8" s="169">
        <v>54</v>
      </c>
      <c r="E8" s="169">
        <v>7</v>
      </c>
      <c r="F8" s="169" t="s">
        <v>489</v>
      </c>
      <c r="G8" s="169" t="s">
        <v>489</v>
      </c>
      <c r="H8" s="169">
        <v>7</v>
      </c>
      <c r="I8" s="136" t="str">
        <f t="shared" si="1"/>
        <v>BIGINT</v>
      </c>
      <c r="J8" s="169" t="s">
        <v>1</v>
      </c>
      <c r="K8" s="169" t="s">
        <v>1</v>
      </c>
      <c r="L8" s="169">
        <v>30</v>
      </c>
      <c r="M8" s="168"/>
      <c r="N8" s="168"/>
      <c r="O8" s="168"/>
      <c r="P8" s="168"/>
      <c r="Q8" s="168" t="s">
        <v>0</v>
      </c>
      <c r="R8" s="168" t="s">
        <v>1</v>
      </c>
      <c r="S8" s="178" t="str">
        <f t="shared" si="2"/>
        <v>D_CLAIM_EXPOSURE_BTHEXPOSURE_TYPE_ID</v>
      </c>
    </row>
    <row r="9" spans="1:19" ht="14.4" x14ac:dyDescent="0.3">
      <c r="A9" s="169" t="s">
        <v>407</v>
      </c>
      <c r="B9" s="171" t="str">
        <f t="shared" si="0"/>
        <v>Рисковые метрики по сделке</v>
      </c>
      <c r="C9" s="169" t="s">
        <v>438</v>
      </c>
      <c r="D9" s="169">
        <v>157</v>
      </c>
      <c r="E9" s="169">
        <v>8</v>
      </c>
      <c r="F9" s="169" t="s">
        <v>438</v>
      </c>
      <c r="G9" s="169" t="s">
        <v>438</v>
      </c>
      <c r="H9" s="169">
        <v>22</v>
      </c>
      <c r="I9" s="136" t="str">
        <f t="shared" si="1"/>
        <v>TIMESTAMP(6)</v>
      </c>
      <c r="J9" s="169" t="s">
        <v>1</v>
      </c>
      <c r="K9" s="169" t="s">
        <v>1</v>
      </c>
      <c r="L9" s="169">
        <v>30</v>
      </c>
      <c r="M9" s="168"/>
      <c r="N9" s="168"/>
      <c r="O9" s="168"/>
      <c r="P9" s="168"/>
      <c r="Q9" s="168" t="s">
        <v>0</v>
      </c>
      <c r="R9" s="168" t="s">
        <v>1</v>
      </c>
      <c r="S9" s="178" t="str">
        <f t="shared" si="2"/>
        <v>D_CLAIM_EXPOSURE_BTHRECORD_CLOSE_TS</v>
      </c>
    </row>
    <row r="10" spans="1:19" ht="14.4" x14ac:dyDescent="0.3">
      <c r="A10" s="169" t="s">
        <v>407</v>
      </c>
      <c r="B10" s="171" t="str">
        <f t="shared" si="0"/>
        <v>Рисковые метрики по сделке</v>
      </c>
      <c r="C10" s="169" t="s">
        <v>440</v>
      </c>
      <c r="D10" s="169">
        <v>158</v>
      </c>
      <c r="E10" s="169">
        <v>9</v>
      </c>
      <c r="F10" s="169" t="s">
        <v>440</v>
      </c>
      <c r="G10" s="169" t="s">
        <v>440</v>
      </c>
      <c r="H10" s="169">
        <v>22</v>
      </c>
      <c r="I10" s="136" t="str">
        <f t="shared" si="1"/>
        <v>TIMESTAMP(6)</v>
      </c>
      <c r="J10" s="169" t="s">
        <v>1</v>
      </c>
      <c r="K10" s="169" t="s">
        <v>1</v>
      </c>
      <c r="L10" s="169">
        <v>30</v>
      </c>
      <c r="M10" s="168"/>
      <c r="N10" s="168"/>
      <c r="O10" s="168"/>
      <c r="P10" s="168"/>
      <c r="Q10" s="168" t="s">
        <v>0</v>
      </c>
      <c r="R10" s="168" t="s">
        <v>1</v>
      </c>
      <c r="S10" s="178" t="str">
        <f t="shared" si="2"/>
        <v>D_CLAIM_EXPOSURE_BTHRECORD_CREATE_TS</v>
      </c>
    </row>
    <row r="11" spans="1:19" ht="14.4" x14ac:dyDescent="0.3">
      <c r="A11" s="169" t="s">
        <v>407</v>
      </c>
      <c r="B11" s="171" t="str">
        <f t="shared" si="0"/>
        <v>Рисковые метрики по сделке</v>
      </c>
      <c r="C11" s="169" t="s">
        <v>429</v>
      </c>
      <c r="D11" s="169">
        <v>159</v>
      </c>
      <c r="E11" s="169">
        <v>10</v>
      </c>
      <c r="F11" s="169" t="s">
        <v>429</v>
      </c>
      <c r="G11" s="169" t="s">
        <v>429</v>
      </c>
      <c r="H11" s="169">
        <v>22</v>
      </c>
      <c r="I11" s="136" t="str">
        <f t="shared" si="1"/>
        <v>TIMESTAMP(6)</v>
      </c>
      <c r="J11" s="169" t="s">
        <v>1</v>
      </c>
      <c r="K11" s="169" t="s">
        <v>1</v>
      </c>
      <c r="L11" s="169">
        <v>30</v>
      </c>
      <c r="M11" s="168"/>
      <c r="N11" s="168"/>
      <c r="O11" s="168"/>
      <c r="P11" s="168"/>
      <c r="Q11" s="168" t="s">
        <v>0</v>
      </c>
      <c r="R11" s="168" t="s">
        <v>1</v>
      </c>
      <c r="S11" s="178" t="str">
        <f t="shared" si="2"/>
        <v>D_CLAIM_EXPOSURE_BTHRECORD_UPDATE_TS</v>
      </c>
    </row>
    <row r="12" spans="1:19" ht="14.4" x14ac:dyDescent="0.3">
      <c r="A12" s="169" t="s">
        <v>407</v>
      </c>
      <c r="B12" s="171" t="str">
        <f t="shared" si="0"/>
        <v>Рисковые метрики по сделке</v>
      </c>
      <c r="C12" s="169" t="s">
        <v>498</v>
      </c>
      <c r="D12" s="169">
        <v>160</v>
      </c>
      <c r="E12" s="169">
        <v>11</v>
      </c>
      <c r="F12" s="169" t="s">
        <v>498</v>
      </c>
      <c r="G12" s="169" t="s">
        <v>498</v>
      </c>
      <c r="H12" s="169">
        <v>7</v>
      </c>
      <c r="I12" s="136" t="str">
        <f t="shared" si="1"/>
        <v>BIGINT</v>
      </c>
      <c r="J12" s="169" t="s">
        <v>1</v>
      </c>
      <c r="K12" s="169" t="s">
        <v>1</v>
      </c>
      <c r="L12" s="169">
        <v>30</v>
      </c>
      <c r="M12" s="168"/>
      <c r="N12" s="168"/>
      <c r="O12" s="168"/>
      <c r="P12" s="168"/>
      <c r="Q12" s="168" t="s">
        <v>0</v>
      </c>
      <c r="R12" s="168" t="s">
        <v>1</v>
      </c>
      <c r="S12" s="178" t="str">
        <f t="shared" si="2"/>
        <v>D_CLAIM_EXPOSURE_BTHRUN_ID</v>
      </c>
    </row>
    <row r="13" spans="1:19" ht="14.4" x14ac:dyDescent="0.3">
      <c r="A13" s="169" t="s">
        <v>407</v>
      </c>
      <c r="B13" s="171" t="str">
        <f t="shared" si="0"/>
        <v>Рисковые метрики по сделке</v>
      </c>
      <c r="C13" s="169" t="s">
        <v>492</v>
      </c>
      <c r="D13" s="169">
        <v>161</v>
      </c>
      <c r="E13" s="169">
        <v>12</v>
      </c>
      <c r="F13" s="169" t="s">
        <v>492</v>
      </c>
      <c r="G13" s="169" t="s">
        <v>492</v>
      </c>
      <c r="H13" s="169">
        <v>34</v>
      </c>
      <c r="I13" s="136" t="str">
        <f t="shared" si="1"/>
        <v>DATE</v>
      </c>
      <c r="J13" s="169" t="s">
        <v>1</v>
      </c>
      <c r="K13" s="169" t="s">
        <v>1</v>
      </c>
      <c r="L13" s="169">
        <v>30</v>
      </c>
      <c r="M13" s="168"/>
      <c r="N13" s="168"/>
      <c r="O13" s="168"/>
      <c r="P13" s="168"/>
      <c r="Q13" s="168" t="s">
        <v>0</v>
      </c>
      <c r="R13" s="168" t="s">
        <v>1</v>
      </c>
      <c r="S13" s="178" t="str">
        <f t="shared" si="2"/>
        <v>D_CLAIM_EXPOSURE_BTHVALIDITY_DT</v>
      </c>
    </row>
    <row r="14" spans="1:19" ht="14.4" x14ac:dyDescent="0.3">
      <c r="A14" s="169" t="s">
        <v>1776</v>
      </c>
      <c r="B14" s="171" t="str">
        <f t="shared" si="0"/>
        <v>D_CLAIM_EXPOSURE_STL1_BTH</v>
      </c>
      <c r="C14" s="169" t="s">
        <v>866</v>
      </c>
      <c r="D14" s="169">
        <v>162</v>
      </c>
      <c r="E14" s="169">
        <v>1</v>
      </c>
      <c r="F14" s="169" t="s">
        <v>866</v>
      </c>
      <c r="G14" s="169" t="s">
        <v>866</v>
      </c>
      <c r="H14" s="169">
        <v>7</v>
      </c>
      <c r="I14" s="136" t="str">
        <f t="shared" si="1"/>
        <v>BIGINT</v>
      </c>
      <c r="J14" s="169" t="s">
        <v>1</v>
      </c>
      <c r="K14" s="169" t="s">
        <v>1</v>
      </c>
      <c r="L14" s="169">
        <v>30</v>
      </c>
      <c r="M14" s="168"/>
      <c r="N14" s="168"/>
      <c r="O14" s="168"/>
      <c r="P14" s="168"/>
      <c r="Q14" s="168" t="s">
        <v>0</v>
      </c>
      <c r="R14" s="168" t="s">
        <v>1</v>
      </c>
      <c r="S14" s="178" t="str">
        <f t="shared" si="2"/>
        <v>D_CLAIM_EXPOSURE_STL1_BTHCLAIM_EXPOSURE_SK</v>
      </c>
    </row>
    <row r="15" spans="1:19" ht="14.4" x14ac:dyDescent="0.3">
      <c r="A15" s="169" t="s">
        <v>1776</v>
      </c>
      <c r="B15" s="171" t="str">
        <f t="shared" si="0"/>
        <v>D_CLAIM_EXPOSURE_STL1_BTH</v>
      </c>
      <c r="C15" s="169" t="s">
        <v>1784</v>
      </c>
      <c r="D15" s="169">
        <v>163</v>
      </c>
      <c r="E15" s="169">
        <v>2</v>
      </c>
      <c r="F15" s="169" t="s">
        <v>1784</v>
      </c>
      <c r="G15" s="169" t="s">
        <v>1784</v>
      </c>
      <c r="H15" s="169">
        <v>7</v>
      </c>
      <c r="I15" s="136" t="str">
        <f t="shared" si="1"/>
        <v>BIGINT</v>
      </c>
      <c r="J15" s="169" t="s">
        <v>1</v>
      </c>
      <c r="K15" s="169" t="s">
        <v>1</v>
      </c>
      <c r="L15" s="169">
        <v>30</v>
      </c>
      <c r="M15" s="168"/>
      <c r="N15" s="168"/>
      <c r="O15" s="168"/>
      <c r="P15" s="168"/>
      <c r="Q15" s="168" t="s">
        <v>0</v>
      </c>
      <c r="R15" s="168" t="s">
        <v>1</v>
      </c>
      <c r="S15" s="178" t="str">
        <f t="shared" si="2"/>
        <v>D_CLAIM_EXPOSURE_STL1_BTHCLAIM_EXPOSURE_STL1_SK</v>
      </c>
    </row>
    <row r="16" spans="1:19" ht="14.4" x14ac:dyDescent="0.3">
      <c r="A16" s="169" t="s">
        <v>1776</v>
      </c>
      <c r="B16" s="171" t="str">
        <f t="shared" si="0"/>
        <v>D_CLAIM_EXPOSURE_STL1_BTH</v>
      </c>
      <c r="C16" s="169" t="s">
        <v>585</v>
      </c>
      <c r="D16" s="169">
        <v>185</v>
      </c>
      <c r="E16" s="169">
        <v>3</v>
      </c>
      <c r="F16" s="169" t="s">
        <v>585</v>
      </c>
      <c r="G16" s="169" t="s">
        <v>585</v>
      </c>
      <c r="H16" s="169">
        <v>7</v>
      </c>
      <c r="I16" s="136" t="str">
        <f t="shared" si="1"/>
        <v>BIGINT</v>
      </c>
      <c r="J16" s="169" t="s">
        <v>1</v>
      </c>
      <c r="K16" s="169" t="s">
        <v>0</v>
      </c>
      <c r="L16" s="169">
        <v>30</v>
      </c>
      <c r="M16" s="168"/>
      <c r="N16" s="168"/>
      <c r="O16" s="168"/>
      <c r="P16" s="168"/>
      <c r="Q16" s="168" t="s">
        <v>0</v>
      </c>
      <c r="R16" s="168" t="s">
        <v>1</v>
      </c>
      <c r="S16" s="178" t="str">
        <f t="shared" si="2"/>
        <v>D_CLAIM_EXPOSURE_STL1_BTHCLAIM_ORIG_ID</v>
      </c>
    </row>
    <row r="17" spans="1:19" ht="14.4" x14ac:dyDescent="0.3">
      <c r="A17" s="169" t="s">
        <v>1776</v>
      </c>
      <c r="B17" s="171" t="str">
        <f t="shared" si="0"/>
        <v>D_CLAIM_EXPOSURE_STL1_BTH</v>
      </c>
      <c r="C17" s="169" t="s">
        <v>1851</v>
      </c>
      <c r="D17" s="169">
        <v>186</v>
      </c>
      <c r="E17" s="169">
        <v>4</v>
      </c>
      <c r="F17" s="169" t="s">
        <v>1851</v>
      </c>
      <c r="G17" s="169" t="s">
        <v>1851</v>
      </c>
      <c r="H17" s="169">
        <v>3</v>
      </c>
      <c r="I17" s="136" t="str">
        <f t="shared" si="1"/>
        <v>DECIMAL(20, 6)</v>
      </c>
      <c r="J17" s="169" t="s">
        <v>0</v>
      </c>
      <c r="K17" s="169" t="s">
        <v>1</v>
      </c>
      <c r="L17" s="169">
        <v>30</v>
      </c>
      <c r="M17" s="168"/>
      <c r="N17" s="168"/>
      <c r="O17" s="168"/>
      <c r="P17" s="168"/>
      <c r="Q17" s="168" t="s">
        <v>0</v>
      </c>
      <c r="R17" s="168" t="s">
        <v>1</v>
      </c>
      <c r="S17" s="178" t="str">
        <f t="shared" si="2"/>
        <v>D_CLAIM_EXPOSURE_STL1_BTHEFF_CCF_IRB_PCT</v>
      </c>
    </row>
    <row r="18" spans="1:19" ht="14.4" x14ac:dyDescent="0.3">
      <c r="A18" s="169" t="s">
        <v>1776</v>
      </c>
      <c r="B18" s="171" t="str">
        <f t="shared" si="0"/>
        <v>D_CLAIM_EXPOSURE_STL1_BTH</v>
      </c>
      <c r="C18" s="169" t="s">
        <v>1852</v>
      </c>
      <c r="D18" s="169">
        <v>187</v>
      </c>
      <c r="E18" s="169">
        <v>5</v>
      </c>
      <c r="F18" s="169" t="s">
        <v>1852</v>
      </c>
      <c r="G18" s="169" t="s">
        <v>1852</v>
      </c>
      <c r="H18" s="169">
        <v>3</v>
      </c>
      <c r="I18" s="136" t="str">
        <f t="shared" si="1"/>
        <v>DECIMAL(20, 6)</v>
      </c>
      <c r="J18" s="169" t="s">
        <v>0</v>
      </c>
      <c r="K18" s="169" t="s">
        <v>1</v>
      </c>
      <c r="L18" s="169">
        <v>30</v>
      </c>
      <c r="M18" s="168"/>
      <c r="N18" s="168"/>
      <c r="O18" s="168"/>
      <c r="P18" s="168"/>
      <c r="Q18" s="168" t="s">
        <v>0</v>
      </c>
      <c r="R18" s="168" t="s">
        <v>1</v>
      </c>
      <c r="S18" s="178" t="str">
        <f t="shared" si="2"/>
        <v>D_CLAIM_EXPOSURE_STL1_BTHEFF_CCF_STD_PCT</v>
      </c>
    </row>
    <row r="19" spans="1:19" ht="14.4" x14ac:dyDescent="0.3">
      <c r="A19" s="169" t="s">
        <v>1776</v>
      </c>
      <c r="B19" s="171" t="str">
        <f t="shared" si="0"/>
        <v>D_CLAIM_EXPOSURE_STL1_BTH</v>
      </c>
      <c r="C19" s="169" t="s">
        <v>438</v>
      </c>
      <c r="D19" s="169">
        <v>188</v>
      </c>
      <c r="E19" s="169">
        <v>6</v>
      </c>
      <c r="F19" s="169" t="s">
        <v>438</v>
      </c>
      <c r="G19" s="169" t="s">
        <v>438</v>
      </c>
      <c r="H19" s="169">
        <v>22</v>
      </c>
      <c r="I19" s="136" t="str">
        <f t="shared" si="1"/>
        <v>TIMESTAMP(6)</v>
      </c>
      <c r="J19" s="169" t="s">
        <v>1</v>
      </c>
      <c r="K19" s="169" t="s">
        <v>1</v>
      </c>
      <c r="L19" s="169">
        <v>30</v>
      </c>
      <c r="M19" s="168"/>
      <c r="N19" s="168"/>
      <c r="O19" s="168"/>
      <c r="P19" s="168"/>
      <c r="Q19" s="168" t="s">
        <v>0</v>
      </c>
      <c r="R19" s="168" t="s">
        <v>1</v>
      </c>
      <c r="S19" s="178" t="str">
        <f t="shared" si="2"/>
        <v>D_CLAIM_EXPOSURE_STL1_BTHRECORD_CLOSE_TS</v>
      </c>
    </row>
    <row r="20" spans="1:19" ht="14.4" x14ac:dyDescent="0.3">
      <c r="A20" s="169" t="s">
        <v>1776</v>
      </c>
      <c r="B20" s="171" t="str">
        <f t="shared" si="0"/>
        <v>D_CLAIM_EXPOSURE_STL1_BTH</v>
      </c>
      <c r="C20" s="169" t="s">
        <v>440</v>
      </c>
      <c r="D20" s="169">
        <v>189</v>
      </c>
      <c r="E20" s="169">
        <v>7</v>
      </c>
      <c r="F20" s="169" t="s">
        <v>440</v>
      </c>
      <c r="G20" s="169" t="s">
        <v>440</v>
      </c>
      <c r="H20" s="169">
        <v>22</v>
      </c>
      <c r="I20" s="136" t="str">
        <f t="shared" si="1"/>
        <v>TIMESTAMP(6)</v>
      </c>
      <c r="J20" s="169" t="s">
        <v>1</v>
      </c>
      <c r="K20" s="169" t="s">
        <v>1</v>
      </c>
      <c r="L20" s="169">
        <v>30</v>
      </c>
      <c r="M20" s="168"/>
      <c r="N20" s="168"/>
      <c r="O20" s="168"/>
      <c r="P20" s="168"/>
      <c r="Q20" s="168" t="s">
        <v>0</v>
      </c>
      <c r="R20" s="168" t="s">
        <v>1</v>
      </c>
      <c r="S20" s="178" t="str">
        <f t="shared" si="2"/>
        <v>D_CLAIM_EXPOSURE_STL1_BTHRECORD_CREATE_TS</v>
      </c>
    </row>
    <row r="21" spans="1:19" ht="14.4" x14ac:dyDescent="0.3">
      <c r="A21" s="169" t="s">
        <v>1776</v>
      </c>
      <c r="B21" s="171" t="str">
        <f t="shared" si="0"/>
        <v>D_CLAIM_EXPOSURE_STL1_BTH</v>
      </c>
      <c r="C21" s="169" t="s">
        <v>429</v>
      </c>
      <c r="D21" s="169">
        <v>190</v>
      </c>
      <c r="E21" s="169">
        <v>8</v>
      </c>
      <c r="F21" s="169" t="s">
        <v>429</v>
      </c>
      <c r="G21" s="169" t="s">
        <v>429</v>
      </c>
      <c r="H21" s="169">
        <v>22</v>
      </c>
      <c r="I21" s="136" t="str">
        <f t="shared" si="1"/>
        <v>TIMESTAMP(6)</v>
      </c>
      <c r="J21" s="169" t="s">
        <v>1</v>
      </c>
      <c r="K21" s="169" t="s">
        <v>1</v>
      </c>
      <c r="L21" s="169">
        <v>30</v>
      </c>
      <c r="M21" s="168"/>
      <c r="N21" s="168"/>
      <c r="O21" s="168"/>
      <c r="P21" s="168"/>
      <c r="Q21" s="168" t="s">
        <v>0</v>
      </c>
      <c r="R21" s="168" t="s">
        <v>1</v>
      </c>
      <c r="S21" s="178" t="str">
        <f t="shared" si="2"/>
        <v>D_CLAIM_EXPOSURE_STL1_BTHRECORD_UPDATE_TS</v>
      </c>
    </row>
    <row r="22" spans="1:19" ht="14.4" x14ac:dyDescent="0.3">
      <c r="A22" s="169" t="s">
        <v>1776</v>
      </c>
      <c r="B22" s="171" t="str">
        <f t="shared" si="0"/>
        <v>D_CLAIM_EXPOSURE_STL1_BTH</v>
      </c>
      <c r="C22" s="169" t="s">
        <v>498</v>
      </c>
      <c r="D22" s="169">
        <v>191</v>
      </c>
      <c r="E22" s="169">
        <v>9</v>
      </c>
      <c r="F22" s="169" t="s">
        <v>498</v>
      </c>
      <c r="G22" s="169" t="s">
        <v>498</v>
      </c>
      <c r="H22" s="169">
        <v>7</v>
      </c>
      <c r="I22" s="136" t="str">
        <f t="shared" si="1"/>
        <v>BIGINT</v>
      </c>
      <c r="J22" s="169" t="s">
        <v>1</v>
      </c>
      <c r="K22" s="169" t="s">
        <v>1</v>
      </c>
      <c r="L22" s="169">
        <v>30</v>
      </c>
      <c r="M22" s="168"/>
      <c r="N22" s="168"/>
      <c r="O22" s="168"/>
      <c r="P22" s="168"/>
      <c r="Q22" s="168" t="s">
        <v>0</v>
      </c>
      <c r="R22" s="168" t="s">
        <v>1</v>
      </c>
      <c r="S22" s="178" t="str">
        <f t="shared" si="2"/>
        <v>D_CLAIM_EXPOSURE_STL1_BTHRUN_ID</v>
      </c>
    </row>
    <row r="23" spans="1:19" ht="14.4" x14ac:dyDescent="0.3">
      <c r="A23" s="169" t="s">
        <v>1776</v>
      </c>
      <c r="B23" s="171" t="str">
        <f t="shared" si="0"/>
        <v>D_CLAIM_EXPOSURE_STL1_BTH</v>
      </c>
      <c r="C23" s="169" t="s">
        <v>492</v>
      </c>
      <c r="D23" s="169">
        <v>200</v>
      </c>
      <c r="E23" s="169">
        <v>10</v>
      </c>
      <c r="F23" s="169" t="s">
        <v>492</v>
      </c>
      <c r="G23" s="169" t="s">
        <v>492</v>
      </c>
      <c r="H23" s="169">
        <v>34</v>
      </c>
      <c r="I23" s="136" t="str">
        <f t="shared" si="1"/>
        <v>DATE</v>
      </c>
      <c r="J23" s="169" t="s">
        <v>1</v>
      </c>
      <c r="K23" s="169" t="s">
        <v>1</v>
      </c>
      <c r="L23" s="169">
        <v>30</v>
      </c>
      <c r="M23" s="168"/>
      <c r="N23" s="168"/>
      <c r="O23" s="168"/>
      <c r="P23" s="168"/>
      <c r="Q23" s="168" t="s">
        <v>0</v>
      </c>
      <c r="R23" s="168" t="s">
        <v>1</v>
      </c>
      <c r="S23" s="178" t="str">
        <f t="shared" si="2"/>
        <v>D_CLAIM_EXPOSURE_STL1_BTHVALIDITY_DT</v>
      </c>
    </row>
    <row r="24" spans="1:19" ht="14.4" x14ac:dyDescent="0.3">
      <c r="A24" s="169" t="s">
        <v>402</v>
      </c>
      <c r="B24" s="171" t="str">
        <f t="shared" si="0"/>
        <v>Таблица-хаб сделки</v>
      </c>
      <c r="C24" s="169" t="s">
        <v>585</v>
      </c>
      <c r="D24" s="169">
        <v>201</v>
      </c>
      <c r="E24" s="169">
        <v>1</v>
      </c>
      <c r="F24" s="169" t="s">
        <v>585</v>
      </c>
      <c r="G24" s="169" t="s">
        <v>585</v>
      </c>
      <c r="H24" s="169">
        <v>7</v>
      </c>
      <c r="I24" s="136" t="str">
        <f t="shared" si="1"/>
        <v>BIGINT</v>
      </c>
      <c r="J24" s="169" t="s">
        <v>1</v>
      </c>
      <c r="K24" s="169" t="s">
        <v>0</v>
      </c>
      <c r="L24" s="169">
        <v>30</v>
      </c>
      <c r="M24" s="168"/>
      <c r="N24" s="168"/>
      <c r="O24" s="168"/>
      <c r="P24" s="168"/>
      <c r="Q24" s="168" t="s">
        <v>0</v>
      </c>
      <c r="R24" s="168" t="s">
        <v>1</v>
      </c>
      <c r="S24" s="178" t="str">
        <f t="shared" si="2"/>
        <v>D_CLAIM_ORIGCLAIM_ORIG_ID</v>
      </c>
    </row>
    <row r="25" spans="1:19" ht="14.4" x14ac:dyDescent="0.3">
      <c r="A25" s="169" t="s">
        <v>402</v>
      </c>
      <c r="B25" s="171" t="str">
        <f t="shared" si="0"/>
        <v>Таблица-хаб сделки</v>
      </c>
      <c r="C25" s="169" t="s">
        <v>440</v>
      </c>
      <c r="D25" s="169">
        <v>202</v>
      </c>
      <c r="E25" s="169">
        <v>2</v>
      </c>
      <c r="F25" s="169" t="s">
        <v>440</v>
      </c>
      <c r="G25" s="169" t="s">
        <v>440</v>
      </c>
      <c r="H25" s="169">
        <v>22</v>
      </c>
      <c r="I25" s="136" t="str">
        <f t="shared" si="1"/>
        <v>TIMESTAMP(6)</v>
      </c>
      <c r="J25" s="169" t="s">
        <v>1</v>
      </c>
      <c r="K25" s="169" t="s">
        <v>1</v>
      </c>
      <c r="L25" s="169">
        <v>30</v>
      </c>
      <c r="M25" s="168"/>
      <c r="N25" s="168"/>
      <c r="O25" s="168"/>
      <c r="P25" s="168"/>
      <c r="Q25" s="168" t="s">
        <v>0</v>
      </c>
      <c r="R25" s="168" t="s">
        <v>1</v>
      </c>
      <c r="S25" s="178" t="str">
        <f t="shared" si="2"/>
        <v>D_CLAIM_ORIGRECORD_CREATE_TS</v>
      </c>
    </row>
    <row r="26" spans="1:19" ht="14.4" x14ac:dyDescent="0.3">
      <c r="A26" s="169" t="s">
        <v>402</v>
      </c>
      <c r="B26" s="171" t="str">
        <f t="shared" si="0"/>
        <v>Таблица-хаб сделки</v>
      </c>
      <c r="C26" s="169" t="s">
        <v>429</v>
      </c>
      <c r="D26" s="169">
        <v>203</v>
      </c>
      <c r="E26" s="169">
        <v>3</v>
      </c>
      <c r="F26" s="169" t="s">
        <v>429</v>
      </c>
      <c r="G26" s="169" t="s">
        <v>429</v>
      </c>
      <c r="H26" s="169">
        <v>22</v>
      </c>
      <c r="I26" s="136" t="str">
        <f t="shared" si="1"/>
        <v>TIMESTAMP(6)</v>
      </c>
      <c r="J26" s="169" t="s">
        <v>1</v>
      </c>
      <c r="K26" s="169" t="s">
        <v>1</v>
      </c>
      <c r="L26" s="169">
        <v>30</v>
      </c>
      <c r="M26" s="168"/>
      <c r="N26" s="168"/>
      <c r="O26" s="168"/>
      <c r="P26" s="168"/>
      <c r="Q26" s="168" t="s">
        <v>0</v>
      </c>
      <c r="R26" s="168" t="s">
        <v>1</v>
      </c>
      <c r="S26" s="178" t="str">
        <f t="shared" si="2"/>
        <v>D_CLAIM_ORIGRECORD_UPDATE_TS</v>
      </c>
    </row>
    <row r="27" spans="1:19" ht="14.4" x14ac:dyDescent="0.3">
      <c r="A27" s="169" t="s">
        <v>402</v>
      </c>
      <c r="B27" s="171" t="str">
        <f t="shared" si="0"/>
        <v>Таблица-хаб сделки</v>
      </c>
      <c r="C27" s="169" t="s">
        <v>498</v>
      </c>
      <c r="D27" s="169">
        <v>204</v>
      </c>
      <c r="E27" s="169">
        <v>4</v>
      </c>
      <c r="F27" s="169" t="s">
        <v>498</v>
      </c>
      <c r="G27" s="169" t="s">
        <v>498</v>
      </c>
      <c r="H27" s="169">
        <v>7</v>
      </c>
      <c r="I27" s="136" t="str">
        <f t="shared" si="1"/>
        <v>BIGINT</v>
      </c>
      <c r="J27" s="169" t="s">
        <v>1</v>
      </c>
      <c r="K27" s="169" t="s">
        <v>1</v>
      </c>
      <c r="L27" s="169">
        <v>30</v>
      </c>
      <c r="M27" s="168"/>
      <c r="N27" s="168"/>
      <c r="O27" s="168"/>
      <c r="P27" s="168"/>
      <c r="Q27" s="168" t="s">
        <v>0</v>
      </c>
      <c r="R27" s="168" t="s">
        <v>1</v>
      </c>
      <c r="S27" s="178" t="str">
        <f t="shared" si="2"/>
        <v>D_CLAIM_ORIGRUN_ID</v>
      </c>
    </row>
    <row r="28" spans="1:19" ht="14.4" x14ac:dyDescent="0.3">
      <c r="A28" s="169" t="s">
        <v>402</v>
      </c>
      <c r="B28" s="171" t="str">
        <f t="shared" si="0"/>
        <v>Таблица-хаб сделки</v>
      </c>
      <c r="C28" s="169" t="s">
        <v>527</v>
      </c>
      <c r="D28" s="169">
        <v>205</v>
      </c>
      <c r="E28" s="169">
        <v>5</v>
      </c>
      <c r="F28" s="169" t="s">
        <v>527</v>
      </c>
      <c r="G28" s="169" t="s">
        <v>527</v>
      </c>
      <c r="H28" s="169">
        <v>7</v>
      </c>
      <c r="I28" s="136" t="str">
        <f t="shared" si="1"/>
        <v>BIGINT</v>
      </c>
      <c r="J28" s="169" t="s">
        <v>1</v>
      </c>
      <c r="K28" s="169" t="s">
        <v>1</v>
      </c>
      <c r="L28" s="169">
        <v>30</v>
      </c>
      <c r="M28" s="168"/>
      <c r="N28" s="168"/>
      <c r="O28" s="168"/>
      <c r="P28" s="168"/>
      <c r="Q28" s="168" t="s">
        <v>0</v>
      </c>
      <c r="R28" s="168" t="s">
        <v>1</v>
      </c>
      <c r="S28" s="178" t="str">
        <f t="shared" si="2"/>
        <v>D_CLAIM_ORIGSRC_SYS_ID</v>
      </c>
    </row>
    <row r="29" spans="1:19" ht="14.4" x14ac:dyDescent="0.3">
      <c r="A29" s="169" t="s">
        <v>402</v>
      </c>
      <c r="B29" s="171" t="str">
        <f t="shared" si="0"/>
        <v>Таблица-хаб сделки</v>
      </c>
      <c r="C29" s="169" t="s">
        <v>525</v>
      </c>
      <c r="D29" s="169">
        <v>206</v>
      </c>
      <c r="E29" s="169">
        <v>6</v>
      </c>
      <c r="F29" s="169" t="s">
        <v>525</v>
      </c>
      <c r="G29" s="169" t="s">
        <v>525</v>
      </c>
      <c r="H29" s="169">
        <v>24</v>
      </c>
      <c r="I29" s="136" t="str">
        <f t="shared" si="1"/>
        <v xml:space="preserve">VARCHAR(40) </v>
      </c>
      <c r="J29" s="169" t="s">
        <v>0</v>
      </c>
      <c r="K29" s="169" t="s">
        <v>1</v>
      </c>
      <c r="L29" s="169">
        <v>30</v>
      </c>
      <c r="M29" s="168"/>
      <c r="N29" s="168"/>
      <c r="O29" s="168"/>
      <c r="P29" s="168"/>
      <c r="Q29" s="168" t="s">
        <v>0</v>
      </c>
      <c r="R29" s="168" t="s">
        <v>1</v>
      </c>
      <c r="S29" s="178" t="str">
        <f t="shared" si="2"/>
        <v>D_CLAIM_ORIGSRC_SYS_KEY</v>
      </c>
    </row>
    <row r="30" spans="1:19" ht="14.4" x14ac:dyDescent="0.3">
      <c r="A30" s="169" t="s">
        <v>402</v>
      </c>
      <c r="B30" s="171" t="str">
        <f t="shared" si="0"/>
        <v>Таблица-хаб сделки</v>
      </c>
      <c r="C30" s="169" t="s">
        <v>535</v>
      </c>
      <c r="D30" s="169">
        <v>207</v>
      </c>
      <c r="E30" s="169">
        <v>7</v>
      </c>
      <c r="F30" s="169" t="s">
        <v>535</v>
      </c>
      <c r="G30" s="169" t="s">
        <v>535</v>
      </c>
      <c r="H30" s="169">
        <v>7</v>
      </c>
      <c r="I30" s="136" t="str">
        <f t="shared" si="1"/>
        <v>BIGINT</v>
      </c>
      <c r="J30" s="169" t="s">
        <v>0</v>
      </c>
      <c r="K30" s="169" t="s">
        <v>1</v>
      </c>
      <c r="L30" s="169">
        <v>30</v>
      </c>
      <c r="M30" s="168"/>
      <c r="N30" s="168"/>
      <c r="O30" s="168"/>
      <c r="P30" s="168"/>
      <c r="Q30" s="168" t="s">
        <v>0</v>
      </c>
      <c r="R30" s="168" t="s">
        <v>1</v>
      </c>
      <c r="S30" s="178" t="str">
        <f t="shared" si="2"/>
        <v>D_CLAIM_ORIGSRC_SYS_KEY_ID</v>
      </c>
    </row>
    <row r="31" spans="1:19" ht="14.4" x14ac:dyDescent="0.3">
      <c r="A31" s="169" t="s">
        <v>392</v>
      </c>
      <c r="B31" s="171" t="str">
        <f t="shared" si="0"/>
        <v>Сделка</v>
      </c>
      <c r="C31" s="169" t="s">
        <v>1546</v>
      </c>
      <c r="D31" s="169">
        <v>208</v>
      </c>
      <c r="E31" s="169">
        <v>1</v>
      </c>
      <c r="F31" s="169" t="s">
        <v>1546</v>
      </c>
      <c r="G31" s="169" t="s">
        <v>1546</v>
      </c>
      <c r="H31" s="169">
        <v>3</v>
      </c>
      <c r="I31" s="136" t="str">
        <f t="shared" si="1"/>
        <v>DECIMAL(20, 6)</v>
      </c>
      <c r="J31" s="169" t="s">
        <v>0</v>
      </c>
      <c r="K31" s="169" t="s">
        <v>1</v>
      </c>
      <c r="L31" s="169">
        <v>30</v>
      </c>
      <c r="M31" s="168"/>
      <c r="N31" s="168"/>
      <c r="O31" s="168"/>
      <c r="P31" s="168"/>
      <c r="Q31" s="168" t="s">
        <v>0</v>
      </c>
      <c r="R31" s="168" t="s">
        <v>1</v>
      </c>
      <c r="S31" s="178" t="str">
        <f t="shared" si="2"/>
        <v>D_CLAIM_ORIG_BTHACTUAL_INT_RATE_PCT</v>
      </c>
    </row>
    <row r="32" spans="1:19" ht="14.4" x14ac:dyDescent="0.3">
      <c r="A32" s="169" t="s">
        <v>392</v>
      </c>
      <c r="B32" s="171" t="str">
        <f t="shared" si="0"/>
        <v>Сделка</v>
      </c>
      <c r="C32" s="169" t="s">
        <v>656</v>
      </c>
      <c r="D32" s="169">
        <v>209</v>
      </c>
      <c r="E32" s="169">
        <v>2</v>
      </c>
      <c r="F32" s="169" t="s">
        <v>656</v>
      </c>
      <c r="G32" s="169" t="s">
        <v>656</v>
      </c>
      <c r="H32" s="169">
        <v>3</v>
      </c>
      <c r="I32" s="136" t="str">
        <f t="shared" si="1"/>
        <v>DECIMAL(20, 6)</v>
      </c>
      <c r="J32" s="169" t="s">
        <v>0</v>
      </c>
      <c r="K32" s="169" t="s">
        <v>1</v>
      </c>
      <c r="L32" s="169">
        <v>30</v>
      </c>
      <c r="M32" s="168"/>
      <c r="N32" s="168"/>
      <c r="O32" s="168"/>
      <c r="P32" s="168"/>
      <c r="Q32" s="168" t="s">
        <v>0</v>
      </c>
      <c r="R32" s="168" t="s">
        <v>1</v>
      </c>
      <c r="S32" s="178" t="str">
        <f t="shared" si="2"/>
        <v>D_CLAIM_ORIG_BTHACTUAL_RESERVE_RATE_PCT</v>
      </c>
    </row>
    <row r="33" spans="1:19" ht="14.4" x14ac:dyDescent="0.3">
      <c r="A33" s="169" t="s">
        <v>392</v>
      </c>
      <c r="B33" s="171" t="str">
        <f t="shared" si="0"/>
        <v>Сделка</v>
      </c>
      <c r="C33" s="169" t="s">
        <v>1596</v>
      </c>
      <c r="D33" s="169">
        <v>210</v>
      </c>
      <c r="E33" s="169">
        <v>3</v>
      </c>
      <c r="F33" s="169" t="s">
        <v>1596</v>
      </c>
      <c r="G33" s="169" t="s">
        <v>1596</v>
      </c>
      <c r="H33" s="169">
        <v>24</v>
      </c>
      <c r="I33" s="136" t="str">
        <f t="shared" si="1"/>
        <v xml:space="preserve">VARCHAR(40) </v>
      </c>
      <c r="J33" s="169" t="s">
        <v>0</v>
      </c>
      <c r="K33" s="169" t="s">
        <v>1</v>
      </c>
      <c r="L33" s="169">
        <v>30</v>
      </c>
      <c r="M33" s="168"/>
      <c r="N33" s="168"/>
      <c r="O33" s="168"/>
      <c r="P33" s="168"/>
      <c r="Q33" s="168" t="s">
        <v>0</v>
      </c>
      <c r="R33" s="168" t="s">
        <v>1</v>
      </c>
      <c r="S33" s="178" t="str">
        <f t="shared" si="2"/>
        <v>D_CLAIM_ORIG_BTHAPPLICATION_MIXED_ID</v>
      </c>
    </row>
    <row r="34" spans="1:19" ht="14.4" x14ac:dyDescent="0.3">
      <c r="A34" s="169" t="s">
        <v>392</v>
      </c>
      <c r="B34" s="171" t="str">
        <f t="shared" si="0"/>
        <v>Сделка</v>
      </c>
      <c r="C34" s="169" t="s">
        <v>1853</v>
      </c>
      <c r="D34" s="169">
        <v>211</v>
      </c>
      <c r="E34" s="169">
        <v>4</v>
      </c>
      <c r="F34" s="169" t="s">
        <v>1853</v>
      </c>
      <c r="G34" s="169" t="s">
        <v>1853</v>
      </c>
      <c r="H34" s="169">
        <v>21</v>
      </c>
      <c r="I34" s="136" t="str">
        <f t="shared" si="1"/>
        <v>DECIMAL(19, 2)</v>
      </c>
      <c r="J34" s="169" t="s">
        <v>0</v>
      </c>
      <c r="K34" s="169" t="s">
        <v>1</v>
      </c>
      <c r="L34" s="169">
        <v>30</v>
      </c>
      <c r="M34" s="168"/>
      <c r="N34" s="168"/>
      <c r="O34" s="168"/>
      <c r="P34" s="168"/>
      <c r="Q34" s="168" t="s">
        <v>0</v>
      </c>
      <c r="R34" s="168" t="s">
        <v>1</v>
      </c>
      <c r="S34" s="178" t="str">
        <f t="shared" si="2"/>
        <v>D_CLAIM_ORIG_BTHBALANCE_CCY_AMT</v>
      </c>
    </row>
    <row r="35" spans="1:19" ht="14.4" x14ac:dyDescent="0.3">
      <c r="A35" s="169" t="s">
        <v>392</v>
      </c>
      <c r="B35" s="171" t="str">
        <f t="shared" si="0"/>
        <v>Сделка</v>
      </c>
      <c r="C35" s="169" t="s">
        <v>587</v>
      </c>
      <c r="D35" s="169">
        <v>212</v>
      </c>
      <c r="E35" s="169">
        <v>5</v>
      </c>
      <c r="F35" s="169" t="s">
        <v>587</v>
      </c>
      <c r="G35" s="169" t="s">
        <v>587</v>
      </c>
      <c r="H35" s="169">
        <v>13</v>
      </c>
      <c r="I35" s="136" t="str">
        <f t="shared" si="1"/>
        <v xml:space="preserve">VARCHAR(300) </v>
      </c>
      <c r="J35" s="169" t="s">
        <v>0</v>
      </c>
      <c r="K35" s="169" t="s">
        <v>1</v>
      </c>
      <c r="L35" s="169">
        <v>30</v>
      </c>
      <c r="M35" s="168"/>
      <c r="N35" s="168"/>
      <c r="O35" s="168"/>
      <c r="P35" s="168"/>
      <c r="Q35" s="168" t="s">
        <v>0</v>
      </c>
      <c r="R35" s="168" t="s">
        <v>1</v>
      </c>
      <c r="S35" s="178" t="str">
        <f t="shared" si="2"/>
        <v>D_CLAIM_ORIG_BTHBALANCE_ITEM</v>
      </c>
    </row>
    <row r="36" spans="1:19" ht="14.4" x14ac:dyDescent="0.3">
      <c r="A36" s="169" t="s">
        <v>392</v>
      </c>
      <c r="B36" s="171" t="str">
        <f t="shared" si="0"/>
        <v>Сделка</v>
      </c>
      <c r="C36" s="169" t="s">
        <v>686</v>
      </c>
      <c r="D36" s="169">
        <v>213</v>
      </c>
      <c r="E36" s="169">
        <v>6</v>
      </c>
      <c r="F36" s="169" t="s">
        <v>686</v>
      </c>
      <c r="G36" s="169" t="s">
        <v>686</v>
      </c>
      <c r="H36" s="169">
        <v>7</v>
      </c>
      <c r="I36" s="136" t="str">
        <f t="shared" si="1"/>
        <v>BIGINT</v>
      </c>
      <c r="J36" s="169" t="s">
        <v>0</v>
      </c>
      <c r="K36" s="169" t="s">
        <v>1</v>
      </c>
      <c r="L36" s="169">
        <v>30</v>
      </c>
      <c r="M36" s="168"/>
      <c r="N36" s="168"/>
      <c r="O36" s="168"/>
      <c r="P36" s="168"/>
      <c r="Q36" s="168" t="s">
        <v>0</v>
      </c>
      <c r="R36" s="168" t="s">
        <v>1</v>
      </c>
      <c r="S36" s="178" t="str">
        <f t="shared" si="2"/>
        <v>D_CLAIM_ORIG_BTHBUSINESS_SEGMENT_ID</v>
      </c>
    </row>
    <row r="37" spans="1:19" ht="14.4" x14ac:dyDescent="0.3">
      <c r="A37" s="169" t="s">
        <v>392</v>
      </c>
      <c r="B37" s="171" t="str">
        <f t="shared" si="0"/>
        <v>Сделка</v>
      </c>
      <c r="C37" s="169" t="s">
        <v>688</v>
      </c>
      <c r="D37" s="169">
        <v>214</v>
      </c>
      <c r="E37" s="169">
        <v>7</v>
      </c>
      <c r="F37" s="169" t="s">
        <v>688</v>
      </c>
      <c r="G37" s="169" t="s">
        <v>688</v>
      </c>
      <c r="H37" s="169">
        <v>3</v>
      </c>
      <c r="I37" s="136" t="str">
        <f t="shared" si="1"/>
        <v>DECIMAL(20, 6)</v>
      </c>
      <c r="J37" s="169" t="s">
        <v>0</v>
      </c>
      <c r="K37" s="169" t="s">
        <v>1</v>
      </c>
      <c r="L37" s="169">
        <v>30</v>
      </c>
      <c r="M37" s="168"/>
      <c r="N37" s="168"/>
      <c r="O37" s="168"/>
      <c r="P37" s="168"/>
      <c r="Q37" s="168" t="s">
        <v>0</v>
      </c>
      <c r="R37" s="168" t="s">
        <v>1</v>
      </c>
      <c r="S37" s="178" t="str">
        <f t="shared" si="2"/>
        <v>D_CLAIM_ORIG_BTHCALCULATED_RESERVE_RATE_PCT</v>
      </c>
    </row>
    <row r="38" spans="1:19" ht="14.4" x14ac:dyDescent="0.3">
      <c r="A38" s="169" t="s">
        <v>392</v>
      </c>
      <c r="B38" s="171" t="str">
        <f t="shared" si="0"/>
        <v>Сделка</v>
      </c>
      <c r="C38" s="169" t="s">
        <v>585</v>
      </c>
      <c r="D38" s="169">
        <v>215</v>
      </c>
      <c r="E38" s="169">
        <v>8</v>
      </c>
      <c r="F38" s="169" t="s">
        <v>585</v>
      </c>
      <c r="G38" s="169" t="s">
        <v>585</v>
      </c>
      <c r="H38" s="169">
        <v>7</v>
      </c>
      <c r="I38" s="136" t="str">
        <f t="shared" si="1"/>
        <v>BIGINT</v>
      </c>
      <c r="J38" s="169" t="s">
        <v>1</v>
      </c>
      <c r="K38" s="169" t="s">
        <v>0</v>
      </c>
      <c r="L38" s="169">
        <v>30</v>
      </c>
      <c r="M38" s="168"/>
      <c r="N38" s="168"/>
      <c r="O38" s="168"/>
      <c r="P38" s="168"/>
      <c r="Q38" s="168" t="s">
        <v>0</v>
      </c>
      <c r="R38" s="168" t="s">
        <v>1</v>
      </c>
      <c r="S38" s="178" t="str">
        <f t="shared" si="2"/>
        <v>D_CLAIM_ORIG_BTHCLAIM_ORIG_ID</v>
      </c>
    </row>
    <row r="39" spans="1:19" ht="14.4" x14ac:dyDescent="0.3">
      <c r="A39" s="169" t="s">
        <v>392</v>
      </c>
      <c r="B39" s="171" t="str">
        <f t="shared" si="0"/>
        <v>Сделка</v>
      </c>
      <c r="C39" s="169" t="s">
        <v>612</v>
      </c>
      <c r="D39" s="169">
        <v>216</v>
      </c>
      <c r="E39" s="169">
        <v>9</v>
      </c>
      <c r="F39" s="169" t="s">
        <v>612</v>
      </c>
      <c r="G39" s="169" t="s">
        <v>612</v>
      </c>
      <c r="H39" s="169">
        <v>7</v>
      </c>
      <c r="I39" s="136" t="str">
        <f t="shared" si="1"/>
        <v>BIGINT</v>
      </c>
      <c r="J39" s="169" t="s">
        <v>1</v>
      </c>
      <c r="K39" s="169" t="s">
        <v>1</v>
      </c>
      <c r="L39" s="169">
        <v>30</v>
      </c>
      <c r="M39" s="168"/>
      <c r="N39" s="168"/>
      <c r="O39" s="168"/>
      <c r="P39" s="168"/>
      <c r="Q39" s="168" t="s">
        <v>0</v>
      </c>
      <c r="R39" s="168" t="s">
        <v>1</v>
      </c>
      <c r="S39" s="178" t="str">
        <f t="shared" si="2"/>
        <v>D_CLAIM_ORIG_BTHCLAIM_ORIG_SK</v>
      </c>
    </row>
    <row r="40" spans="1:19" ht="14.4" x14ac:dyDescent="0.3">
      <c r="A40" s="169" t="s">
        <v>392</v>
      </c>
      <c r="B40" s="171" t="str">
        <f t="shared" si="0"/>
        <v>Сделка</v>
      </c>
      <c r="C40" s="169" t="s">
        <v>1567</v>
      </c>
      <c r="D40" s="169">
        <v>217</v>
      </c>
      <c r="E40" s="169">
        <v>10</v>
      </c>
      <c r="F40" s="169" t="s">
        <v>1567</v>
      </c>
      <c r="G40" s="169" t="s">
        <v>1567</v>
      </c>
      <c r="H40" s="169">
        <v>21</v>
      </c>
      <c r="I40" s="136" t="str">
        <f t="shared" si="1"/>
        <v>DECIMAL(19, 2)</v>
      </c>
      <c r="J40" s="169" t="s">
        <v>0</v>
      </c>
      <c r="K40" s="169" t="s">
        <v>1</v>
      </c>
      <c r="L40" s="169">
        <v>30</v>
      </c>
      <c r="M40" s="168"/>
      <c r="N40" s="168"/>
      <c r="O40" s="168"/>
      <c r="P40" s="168"/>
      <c r="Q40" s="168" t="s">
        <v>0</v>
      </c>
      <c r="R40" s="168" t="s">
        <v>1</v>
      </c>
      <c r="S40" s="178" t="str">
        <f t="shared" si="2"/>
        <v>D_CLAIM_ORIG_BTHCONTRACT_CCY_AMT</v>
      </c>
    </row>
    <row r="41" spans="1:19" ht="14.4" x14ac:dyDescent="0.3">
      <c r="A41" s="169" t="s">
        <v>392</v>
      </c>
      <c r="B41" s="171" t="str">
        <f t="shared" si="0"/>
        <v>Сделка</v>
      </c>
      <c r="C41" s="169" t="s">
        <v>618</v>
      </c>
      <c r="D41" s="169">
        <v>218</v>
      </c>
      <c r="E41" s="169">
        <v>11</v>
      </c>
      <c r="F41" s="169" t="s">
        <v>618</v>
      </c>
      <c r="G41" s="169" t="s">
        <v>618</v>
      </c>
      <c r="H41" s="169">
        <v>24</v>
      </c>
      <c r="I41" s="136" t="str">
        <f t="shared" si="1"/>
        <v xml:space="preserve">VARCHAR(40) </v>
      </c>
      <c r="J41" s="169" t="s">
        <v>0</v>
      </c>
      <c r="K41" s="169" t="s">
        <v>1</v>
      </c>
      <c r="L41" s="169">
        <v>30</v>
      </c>
      <c r="M41" s="168"/>
      <c r="N41" s="168"/>
      <c r="O41" s="168"/>
      <c r="P41" s="168"/>
      <c r="Q41" s="168" t="s">
        <v>0</v>
      </c>
      <c r="R41" s="168" t="s">
        <v>1</v>
      </c>
      <c r="S41" s="178" t="str">
        <f t="shared" si="2"/>
        <v>D_CLAIM_ORIG_BTHCONTRACT_MIXED_ID</v>
      </c>
    </row>
    <row r="42" spans="1:19" ht="14.4" x14ac:dyDescent="0.3">
      <c r="A42" s="169" t="s">
        <v>392</v>
      </c>
      <c r="B42" s="171" t="str">
        <f t="shared" si="0"/>
        <v>Сделка</v>
      </c>
      <c r="C42" s="169" t="s">
        <v>494</v>
      </c>
      <c r="D42" s="169">
        <v>219</v>
      </c>
      <c r="E42" s="169">
        <v>12</v>
      </c>
      <c r="F42" s="169" t="s">
        <v>494</v>
      </c>
      <c r="G42" s="169" t="s">
        <v>494</v>
      </c>
      <c r="H42" s="169">
        <v>13</v>
      </c>
      <c r="I42" s="136" t="str">
        <f t="shared" si="1"/>
        <v xml:space="preserve">VARCHAR(300) </v>
      </c>
      <c r="J42" s="169" t="s">
        <v>0</v>
      </c>
      <c r="K42" s="169" t="s">
        <v>1</v>
      </c>
      <c r="L42" s="169">
        <v>30</v>
      </c>
      <c r="M42" s="168"/>
      <c r="N42" s="168"/>
      <c r="O42" s="168"/>
      <c r="P42" s="168"/>
      <c r="Q42" s="168" t="s">
        <v>0</v>
      </c>
      <c r="R42" s="168" t="s">
        <v>1</v>
      </c>
      <c r="S42" s="178" t="str">
        <f t="shared" si="2"/>
        <v>D_CLAIM_ORIG_BTHCONTRACT_NO</v>
      </c>
    </row>
    <row r="43" spans="1:19" ht="14.4" x14ac:dyDescent="0.3">
      <c r="A43" s="169" t="s">
        <v>392</v>
      </c>
      <c r="B43" s="171" t="str">
        <f t="shared" si="0"/>
        <v>Сделка</v>
      </c>
      <c r="C43" s="169" t="s">
        <v>1393</v>
      </c>
      <c r="D43" s="169">
        <v>220</v>
      </c>
      <c r="E43" s="169">
        <v>13</v>
      </c>
      <c r="F43" s="169" t="s">
        <v>1393</v>
      </c>
      <c r="G43" s="169" t="s">
        <v>1393</v>
      </c>
      <c r="H43" s="169">
        <v>21</v>
      </c>
      <c r="I43" s="136" t="str">
        <f t="shared" si="1"/>
        <v>DECIMAL(19, 2)</v>
      </c>
      <c r="J43" s="169" t="s">
        <v>0</v>
      </c>
      <c r="K43" s="169" t="s">
        <v>1</v>
      </c>
      <c r="L43" s="169">
        <v>30</v>
      </c>
      <c r="M43" s="168"/>
      <c r="N43" s="168"/>
      <c r="O43" s="168"/>
      <c r="P43" s="168"/>
      <c r="Q43" s="168" t="s">
        <v>0</v>
      </c>
      <c r="R43" s="168" t="s">
        <v>1</v>
      </c>
      <c r="S43" s="178" t="str">
        <f t="shared" si="2"/>
        <v>D_CLAIM_ORIG_BTHCONTRACT_RUB_AMT</v>
      </c>
    </row>
    <row r="44" spans="1:19" ht="14.4" x14ac:dyDescent="0.3">
      <c r="A44" s="169" t="s">
        <v>392</v>
      </c>
      <c r="B44" s="171" t="str">
        <f t="shared" si="0"/>
        <v>Сделка</v>
      </c>
      <c r="C44" s="169" t="s">
        <v>632</v>
      </c>
      <c r="D44" s="169">
        <v>221</v>
      </c>
      <c r="E44" s="169">
        <v>14</v>
      </c>
      <c r="F44" s="169" t="s">
        <v>632</v>
      </c>
      <c r="G44" s="169" t="s">
        <v>632</v>
      </c>
      <c r="H44" s="169">
        <v>34</v>
      </c>
      <c r="I44" s="136" t="str">
        <f t="shared" si="1"/>
        <v>DATE</v>
      </c>
      <c r="J44" s="169" t="s">
        <v>0</v>
      </c>
      <c r="K44" s="169" t="s">
        <v>1</v>
      </c>
      <c r="L44" s="169">
        <v>30</v>
      </c>
      <c r="M44" s="168"/>
      <c r="N44" s="168"/>
      <c r="O44" s="168"/>
      <c r="P44" s="168"/>
      <c r="Q44" s="168" t="s">
        <v>0</v>
      </c>
      <c r="R44" s="168" t="s">
        <v>1</v>
      </c>
      <c r="S44" s="178" t="str">
        <f t="shared" si="2"/>
        <v>D_CLAIM_ORIG_BTHCONTRACT_SIGNATURE_DT</v>
      </c>
    </row>
    <row r="45" spans="1:19" ht="14.4" x14ac:dyDescent="0.3">
      <c r="A45" s="169" t="s">
        <v>392</v>
      </c>
      <c r="B45" s="171" t="str">
        <f t="shared" si="0"/>
        <v>Сделка</v>
      </c>
      <c r="C45" s="169" t="s">
        <v>581</v>
      </c>
      <c r="D45" s="169">
        <v>222</v>
      </c>
      <c r="E45" s="169">
        <v>15</v>
      </c>
      <c r="F45" s="169" t="s">
        <v>581</v>
      </c>
      <c r="G45" s="169" t="s">
        <v>581</v>
      </c>
      <c r="H45" s="169">
        <v>7</v>
      </c>
      <c r="I45" s="136" t="str">
        <f t="shared" si="1"/>
        <v>BIGINT</v>
      </c>
      <c r="J45" s="169" t="s">
        <v>1</v>
      </c>
      <c r="K45" s="169" t="s">
        <v>1</v>
      </c>
      <c r="L45" s="169">
        <v>30</v>
      </c>
      <c r="M45" s="168"/>
      <c r="N45" s="168"/>
      <c r="O45" s="168"/>
      <c r="P45" s="168"/>
      <c r="Q45" s="168" t="s">
        <v>0</v>
      </c>
      <c r="R45" s="168" t="s">
        <v>1</v>
      </c>
      <c r="S45" s="178" t="str">
        <f t="shared" si="2"/>
        <v>D_CLAIM_ORIG_BTHCP_ORIG_ID</v>
      </c>
    </row>
    <row r="46" spans="1:19" ht="14.4" x14ac:dyDescent="0.3">
      <c r="A46" s="169" t="s">
        <v>392</v>
      </c>
      <c r="B46" s="171" t="str">
        <f t="shared" si="0"/>
        <v>Сделка</v>
      </c>
      <c r="C46" s="169" t="s">
        <v>614</v>
      </c>
      <c r="D46" s="169">
        <v>238</v>
      </c>
      <c r="E46" s="169">
        <v>16</v>
      </c>
      <c r="F46" s="169" t="s">
        <v>614</v>
      </c>
      <c r="G46" s="169" t="s">
        <v>614</v>
      </c>
      <c r="H46" s="169">
        <v>7</v>
      </c>
      <c r="I46" s="136" t="str">
        <f t="shared" si="1"/>
        <v>BIGINT</v>
      </c>
      <c r="J46" s="169" t="s">
        <v>0</v>
      </c>
      <c r="K46" s="169" t="s">
        <v>1</v>
      </c>
      <c r="L46" s="169">
        <v>30</v>
      </c>
      <c r="M46" s="168"/>
      <c r="N46" s="168"/>
      <c r="O46" s="168"/>
      <c r="P46" s="168"/>
      <c r="Q46" s="168" t="s">
        <v>0</v>
      </c>
      <c r="R46" s="168" t="s">
        <v>1</v>
      </c>
      <c r="S46" s="178" t="str">
        <f t="shared" si="2"/>
        <v>D_CLAIM_ORIG_BTHCURRENCY_ID</v>
      </c>
    </row>
    <row r="47" spans="1:19" ht="14.4" x14ac:dyDescent="0.3">
      <c r="A47" s="169" t="s">
        <v>392</v>
      </c>
      <c r="B47" s="171" t="str">
        <f t="shared" si="0"/>
        <v>Сделка</v>
      </c>
      <c r="C47" s="169" t="s">
        <v>593</v>
      </c>
      <c r="D47" s="169">
        <v>239</v>
      </c>
      <c r="E47" s="169">
        <v>17</v>
      </c>
      <c r="F47" s="169" t="s">
        <v>593</v>
      </c>
      <c r="G47" s="169" t="s">
        <v>593</v>
      </c>
      <c r="H47" s="169">
        <v>3</v>
      </c>
      <c r="I47" s="136" t="str">
        <f t="shared" si="1"/>
        <v>DECIMAL(20, 6)</v>
      </c>
      <c r="J47" s="169" t="s">
        <v>0</v>
      </c>
      <c r="K47" s="169" t="s">
        <v>1</v>
      </c>
      <c r="L47" s="169">
        <v>30</v>
      </c>
      <c r="M47" s="168"/>
      <c r="N47" s="168"/>
      <c r="O47" s="168"/>
      <c r="P47" s="168"/>
      <c r="Q47" s="168" t="s">
        <v>0</v>
      </c>
      <c r="R47" s="168" t="s">
        <v>1</v>
      </c>
      <c r="S47" s="178" t="str">
        <f t="shared" si="2"/>
        <v>D_CLAIM_ORIG_BTHDILUTION_EXPECTED_LOSS_PCT</v>
      </c>
    </row>
    <row r="48" spans="1:19" ht="14.4" x14ac:dyDescent="0.3">
      <c r="A48" s="169" t="s">
        <v>392</v>
      </c>
      <c r="B48" s="171" t="str">
        <f t="shared" si="0"/>
        <v>Сделка</v>
      </c>
      <c r="C48" s="169" t="s">
        <v>680</v>
      </c>
      <c r="D48" s="169">
        <v>240</v>
      </c>
      <c r="E48" s="169">
        <v>18</v>
      </c>
      <c r="F48" s="169" t="s">
        <v>680</v>
      </c>
      <c r="G48" s="169" t="s">
        <v>680</v>
      </c>
      <c r="H48" s="169">
        <v>7</v>
      </c>
      <c r="I48" s="136" t="str">
        <f t="shared" si="1"/>
        <v>BIGINT</v>
      </c>
      <c r="J48" s="169" t="s">
        <v>0</v>
      </c>
      <c r="K48" s="169" t="s">
        <v>1</v>
      </c>
      <c r="L48" s="169">
        <v>30</v>
      </c>
      <c r="M48" s="168"/>
      <c r="N48" s="168"/>
      <c r="O48" s="168"/>
      <c r="P48" s="168"/>
      <c r="Q48" s="168" t="s">
        <v>0</v>
      </c>
      <c r="R48" s="168" t="s">
        <v>1</v>
      </c>
      <c r="S48" s="178" t="str">
        <f t="shared" si="2"/>
        <v>D_CLAIM_ORIG_BTHEQUITY_INV_TYPE_ID</v>
      </c>
    </row>
    <row r="49" spans="1:19" ht="14.4" x14ac:dyDescent="0.3">
      <c r="A49" s="169" t="s">
        <v>392</v>
      </c>
      <c r="B49" s="171" t="str">
        <f t="shared" si="0"/>
        <v>Сделка</v>
      </c>
      <c r="C49" s="169" t="s">
        <v>666</v>
      </c>
      <c r="D49" s="169">
        <v>241</v>
      </c>
      <c r="E49" s="169">
        <v>19</v>
      </c>
      <c r="F49" s="169" t="s">
        <v>666</v>
      </c>
      <c r="G49" s="169" t="s">
        <v>666</v>
      </c>
      <c r="H49" s="169">
        <v>7</v>
      </c>
      <c r="I49" s="136" t="str">
        <f t="shared" si="1"/>
        <v>BIGINT</v>
      </c>
      <c r="J49" s="169" t="s">
        <v>0</v>
      </c>
      <c r="K49" s="169" t="s">
        <v>1</v>
      </c>
      <c r="L49" s="169">
        <v>30</v>
      </c>
      <c r="M49" s="168"/>
      <c r="N49" s="168"/>
      <c r="O49" s="168"/>
      <c r="P49" s="168"/>
      <c r="Q49" s="168" t="s">
        <v>0</v>
      </c>
      <c r="R49" s="168" t="s">
        <v>1</v>
      </c>
      <c r="S49" s="178" t="str">
        <f t="shared" si="2"/>
        <v>D_CLAIM_ORIG_BTHF26_INT_PM_FREQ_ID</v>
      </c>
    </row>
    <row r="50" spans="1:19" ht="14.4" x14ac:dyDescent="0.3">
      <c r="A50" s="169" t="s">
        <v>392</v>
      </c>
      <c r="B50" s="171" t="str">
        <f t="shared" si="0"/>
        <v>Сделка</v>
      </c>
      <c r="C50" s="169" t="s">
        <v>659</v>
      </c>
      <c r="D50" s="169">
        <v>242</v>
      </c>
      <c r="E50" s="169">
        <v>20</v>
      </c>
      <c r="F50" s="169" t="s">
        <v>659</v>
      </c>
      <c r="G50" s="169" t="s">
        <v>659</v>
      </c>
      <c r="H50" s="169">
        <v>7</v>
      </c>
      <c r="I50" s="136" t="str">
        <f t="shared" si="1"/>
        <v>BIGINT</v>
      </c>
      <c r="J50" s="169" t="s">
        <v>0</v>
      </c>
      <c r="K50" s="169" t="s">
        <v>1</v>
      </c>
      <c r="L50" s="169">
        <v>30</v>
      </c>
      <c r="M50" s="168"/>
      <c r="N50" s="168"/>
      <c r="O50" s="168"/>
      <c r="P50" s="168"/>
      <c r="Q50" s="168" t="s">
        <v>0</v>
      </c>
      <c r="R50" s="168" t="s">
        <v>1</v>
      </c>
      <c r="S50" s="178" t="str">
        <f t="shared" si="2"/>
        <v>D_CLAIM_ORIG_BTHF26_LOAN_PURPOSE_ID</v>
      </c>
    </row>
    <row r="51" spans="1:19" ht="14.4" x14ac:dyDescent="0.3">
      <c r="A51" s="169" t="s">
        <v>392</v>
      </c>
      <c r="B51" s="171" t="str">
        <f t="shared" si="0"/>
        <v>Сделка</v>
      </c>
      <c r="C51" s="169" t="s">
        <v>661</v>
      </c>
      <c r="D51" s="169">
        <v>243</v>
      </c>
      <c r="E51" s="169">
        <v>21</v>
      </c>
      <c r="F51" s="169" t="s">
        <v>661</v>
      </c>
      <c r="G51" s="169" t="s">
        <v>661</v>
      </c>
      <c r="H51" s="169">
        <v>7</v>
      </c>
      <c r="I51" s="136" t="str">
        <f t="shared" si="1"/>
        <v>BIGINT</v>
      </c>
      <c r="J51" s="169" t="s">
        <v>0</v>
      </c>
      <c r="K51" s="169" t="s">
        <v>1</v>
      </c>
      <c r="L51" s="169">
        <v>30</v>
      </c>
      <c r="M51" s="168"/>
      <c r="N51" s="168"/>
      <c r="O51" s="168"/>
      <c r="P51" s="168"/>
      <c r="Q51" s="168" t="s">
        <v>0</v>
      </c>
      <c r="R51" s="168" t="s">
        <v>1</v>
      </c>
      <c r="S51" s="178" t="str">
        <f t="shared" si="2"/>
        <v>D_CLAIM_ORIG_BTHF26_LOAN_REGIME_ID</v>
      </c>
    </row>
    <row r="52" spans="1:19" ht="14.4" x14ac:dyDescent="0.3">
      <c r="A52" s="169" t="s">
        <v>392</v>
      </c>
      <c r="B52" s="171" t="str">
        <f t="shared" si="0"/>
        <v>Сделка</v>
      </c>
      <c r="C52" s="169" t="s">
        <v>663</v>
      </c>
      <c r="D52" s="169">
        <v>244</v>
      </c>
      <c r="E52" s="169">
        <v>22</v>
      </c>
      <c r="F52" s="169" t="s">
        <v>663</v>
      </c>
      <c r="G52" s="169" t="s">
        <v>663</v>
      </c>
      <c r="H52" s="169">
        <v>7</v>
      </c>
      <c r="I52" s="136" t="str">
        <f t="shared" si="1"/>
        <v>BIGINT</v>
      </c>
      <c r="J52" s="169" t="s">
        <v>0</v>
      </c>
      <c r="K52" s="169" t="s">
        <v>1</v>
      </c>
      <c r="L52" s="169">
        <v>30</v>
      </c>
      <c r="M52" s="168"/>
      <c r="N52" s="168"/>
      <c r="O52" s="168"/>
      <c r="P52" s="168"/>
      <c r="Q52" s="168" t="s">
        <v>0</v>
      </c>
      <c r="R52" s="168" t="s">
        <v>1</v>
      </c>
      <c r="S52" s="178" t="str">
        <f t="shared" si="2"/>
        <v>D_CLAIM_ORIG_BTHF26_LOAN_TYPE_ID</v>
      </c>
    </row>
    <row r="53" spans="1:19" ht="14.4" x14ac:dyDescent="0.3">
      <c r="A53" s="169" t="s">
        <v>392</v>
      </c>
      <c r="B53" s="171" t="str">
        <f t="shared" si="0"/>
        <v>Сделка</v>
      </c>
      <c r="C53" s="169" t="s">
        <v>654</v>
      </c>
      <c r="D53" s="169">
        <v>259</v>
      </c>
      <c r="E53" s="169">
        <v>23</v>
      </c>
      <c r="F53" s="169" t="s">
        <v>654</v>
      </c>
      <c r="G53" s="169" t="s">
        <v>654</v>
      </c>
      <c r="H53" s="169">
        <v>34</v>
      </c>
      <c r="I53" s="136" t="str">
        <f t="shared" si="1"/>
        <v>DATE</v>
      </c>
      <c r="J53" s="169" t="s">
        <v>0</v>
      </c>
      <c r="K53" s="169" t="s">
        <v>1</v>
      </c>
      <c r="L53" s="169">
        <v>30</v>
      </c>
      <c r="M53" s="168"/>
      <c r="N53" s="168"/>
      <c r="O53" s="168"/>
      <c r="P53" s="168"/>
      <c r="Q53" s="168" t="s">
        <v>0</v>
      </c>
      <c r="R53" s="168" t="s">
        <v>1</v>
      </c>
      <c r="S53" s="178" t="str">
        <f t="shared" si="2"/>
        <v>D_CLAIM_ORIG_BTHFIRST_PAST_DUE_DT</v>
      </c>
    </row>
    <row r="54" spans="1:19" ht="14.4" x14ac:dyDescent="0.3">
      <c r="A54" s="169" t="s">
        <v>392</v>
      </c>
      <c r="B54" s="171" t="str">
        <f t="shared" si="0"/>
        <v>Сделка</v>
      </c>
      <c r="C54" s="169" t="s">
        <v>458</v>
      </c>
      <c r="D54" s="169">
        <v>260</v>
      </c>
      <c r="E54" s="169">
        <v>24</v>
      </c>
      <c r="F54" s="169" t="s">
        <v>458</v>
      </c>
      <c r="G54" s="169" t="s">
        <v>458</v>
      </c>
      <c r="H54" s="169">
        <v>7</v>
      </c>
      <c r="I54" s="136" t="str">
        <f t="shared" si="1"/>
        <v>BIGINT</v>
      </c>
      <c r="J54" s="169" t="s">
        <v>0</v>
      </c>
      <c r="K54" s="169" t="s">
        <v>1</v>
      </c>
      <c r="L54" s="169">
        <v>30</v>
      </c>
      <c r="M54" s="168"/>
      <c r="N54" s="168"/>
      <c r="O54" s="168"/>
      <c r="P54" s="168"/>
      <c r="Q54" s="168" t="s">
        <v>0</v>
      </c>
      <c r="R54" s="168" t="s">
        <v>1</v>
      </c>
      <c r="S54" s="178" t="str">
        <f t="shared" si="2"/>
        <v>D_CLAIM_ORIG_BTHFLOATING_RATE_ID</v>
      </c>
    </row>
    <row r="55" spans="1:19" ht="14.4" x14ac:dyDescent="0.3">
      <c r="A55" s="169" t="s">
        <v>392</v>
      </c>
      <c r="B55" s="171" t="str">
        <f t="shared" si="0"/>
        <v>Сделка</v>
      </c>
      <c r="C55" s="169" t="s">
        <v>634</v>
      </c>
      <c r="D55" s="169">
        <v>261</v>
      </c>
      <c r="E55" s="169">
        <v>25</v>
      </c>
      <c r="F55" s="169" t="s">
        <v>634</v>
      </c>
      <c r="G55" s="169" t="s">
        <v>634</v>
      </c>
      <c r="H55" s="169">
        <v>15</v>
      </c>
      <c r="I55" s="136" t="str">
        <f t="shared" si="1"/>
        <v xml:space="preserve">CHAR(1) </v>
      </c>
      <c r="J55" s="169" t="s">
        <v>0</v>
      </c>
      <c r="K55" s="169" t="s">
        <v>1</v>
      </c>
      <c r="L55" s="169">
        <v>30</v>
      </c>
      <c r="M55" s="168"/>
      <c r="N55" s="168"/>
      <c r="O55" s="168"/>
      <c r="P55" s="168"/>
      <c r="Q55" s="168" t="s">
        <v>0</v>
      </c>
      <c r="R55" s="168" t="s">
        <v>1</v>
      </c>
      <c r="S55" s="178" t="str">
        <f t="shared" si="2"/>
        <v>D_CLAIM_ORIG_BTHFLOATING_RATE_IND</v>
      </c>
    </row>
    <row r="56" spans="1:19" ht="14.4" x14ac:dyDescent="0.3">
      <c r="A56" s="169" t="s">
        <v>392</v>
      </c>
      <c r="B56" s="171" t="str">
        <f t="shared" si="0"/>
        <v>Сделка</v>
      </c>
      <c r="C56" s="169" t="s">
        <v>638</v>
      </c>
      <c r="D56" s="169">
        <v>262</v>
      </c>
      <c r="E56" s="169">
        <v>26</v>
      </c>
      <c r="F56" s="169" t="s">
        <v>638</v>
      </c>
      <c r="G56" s="169" t="s">
        <v>638</v>
      </c>
      <c r="H56" s="169">
        <v>3</v>
      </c>
      <c r="I56" s="136" t="str">
        <f t="shared" si="1"/>
        <v>DECIMAL(20, 6)</v>
      </c>
      <c r="J56" s="169" t="s">
        <v>0</v>
      </c>
      <c r="K56" s="169" t="s">
        <v>1</v>
      </c>
      <c r="L56" s="169">
        <v>30</v>
      </c>
      <c r="M56" s="168"/>
      <c r="N56" s="168"/>
      <c r="O56" s="168"/>
      <c r="P56" s="168"/>
      <c r="Q56" s="168" t="s">
        <v>0</v>
      </c>
      <c r="R56" s="168" t="s">
        <v>1</v>
      </c>
      <c r="S56" s="178" t="str">
        <f t="shared" si="2"/>
        <v>D_CLAIM_ORIG_BTHFLOATING_RATE_MARGIN_PCT</v>
      </c>
    </row>
    <row r="57" spans="1:19" ht="14.4" x14ac:dyDescent="0.3">
      <c r="A57" s="169" t="s">
        <v>392</v>
      </c>
      <c r="B57" s="171" t="str">
        <f t="shared" si="0"/>
        <v>Сделка</v>
      </c>
      <c r="C57" s="169" t="s">
        <v>636</v>
      </c>
      <c r="D57" s="169">
        <v>263</v>
      </c>
      <c r="E57" s="169">
        <v>27</v>
      </c>
      <c r="F57" s="169" t="s">
        <v>636</v>
      </c>
      <c r="G57" s="169" t="s">
        <v>636</v>
      </c>
      <c r="H57" s="169">
        <v>3</v>
      </c>
      <c r="I57" s="136" t="str">
        <f t="shared" si="1"/>
        <v>DECIMAL(20, 6)</v>
      </c>
      <c r="J57" s="169" t="s">
        <v>0</v>
      </c>
      <c r="K57" s="169" t="s">
        <v>1</v>
      </c>
      <c r="L57" s="169">
        <v>30</v>
      </c>
      <c r="M57" s="168"/>
      <c r="N57" s="168"/>
      <c r="O57" s="168"/>
      <c r="P57" s="168"/>
      <c r="Q57" s="168" t="s">
        <v>0</v>
      </c>
      <c r="R57" s="168" t="s">
        <v>1</v>
      </c>
      <c r="S57" s="178" t="str">
        <f t="shared" si="2"/>
        <v>D_CLAIM_ORIG_BTHFLOATING_RATE_MULTIPLIER</v>
      </c>
    </row>
    <row r="58" spans="1:19" ht="14.4" x14ac:dyDescent="0.3">
      <c r="A58" s="169" t="s">
        <v>392</v>
      </c>
      <c r="B58" s="171" t="str">
        <f t="shared" si="0"/>
        <v>Сделка</v>
      </c>
      <c r="C58" s="169" t="s">
        <v>2056</v>
      </c>
      <c r="D58" s="169">
        <v>264</v>
      </c>
      <c r="E58" s="169">
        <v>28</v>
      </c>
      <c r="F58" s="169" t="s">
        <v>2056</v>
      </c>
      <c r="G58" s="169" t="s">
        <v>2056</v>
      </c>
      <c r="H58" s="169">
        <v>7</v>
      </c>
      <c r="I58" s="136" t="str">
        <f t="shared" si="1"/>
        <v>BIGINT</v>
      </c>
      <c r="J58" s="169" t="s">
        <v>0</v>
      </c>
      <c r="K58" s="169" t="s">
        <v>1</v>
      </c>
      <c r="L58" s="169">
        <v>30</v>
      </c>
      <c r="M58" s="168"/>
      <c r="N58" s="168"/>
      <c r="O58" s="168"/>
      <c r="P58" s="168"/>
      <c r="Q58" s="168" t="s">
        <v>0</v>
      </c>
      <c r="R58" s="168" t="s">
        <v>1</v>
      </c>
      <c r="S58" s="178" t="str">
        <f t="shared" si="2"/>
        <v>D_CLAIM_ORIG_BTHFM_DEAL_TYPE_ID</v>
      </c>
    </row>
    <row r="59" spans="1:19" ht="14.4" x14ac:dyDescent="0.3">
      <c r="A59" s="169" t="s">
        <v>392</v>
      </c>
      <c r="B59" s="171" t="str">
        <f t="shared" si="0"/>
        <v>Сделка</v>
      </c>
      <c r="C59" s="169" t="s">
        <v>2057</v>
      </c>
      <c r="D59" s="169">
        <v>265</v>
      </c>
      <c r="E59" s="169">
        <v>29</v>
      </c>
      <c r="F59" s="169" t="s">
        <v>2057</v>
      </c>
      <c r="G59" s="169" t="s">
        <v>2057</v>
      </c>
      <c r="H59" s="169">
        <v>24</v>
      </c>
      <c r="I59" s="136" t="str">
        <f t="shared" si="1"/>
        <v xml:space="preserve">VARCHAR(40) </v>
      </c>
      <c r="J59" s="169" t="s">
        <v>0</v>
      </c>
      <c r="K59" s="169" t="s">
        <v>1</v>
      </c>
      <c r="L59" s="169">
        <v>30</v>
      </c>
      <c r="M59" s="168"/>
      <c r="N59" s="168"/>
      <c r="O59" s="168"/>
      <c r="P59" s="168"/>
      <c r="Q59" s="168" t="s">
        <v>0</v>
      </c>
      <c r="R59" s="168" t="s">
        <v>1</v>
      </c>
      <c r="S59" s="178" t="str">
        <f t="shared" si="2"/>
        <v>D_CLAIM_ORIG_BTHFM_PORTFOLIO_TYPE_CD</v>
      </c>
    </row>
    <row r="60" spans="1:19" ht="14.4" x14ac:dyDescent="0.3">
      <c r="A60" s="169" t="s">
        <v>392</v>
      </c>
      <c r="B60" s="171" t="str">
        <f t="shared" si="0"/>
        <v>Сделка</v>
      </c>
      <c r="C60" s="169" t="s">
        <v>1570</v>
      </c>
      <c r="D60" s="169">
        <v>290</v>
      </c>
      <c r="E60" s="169">
        <v>30</v>
      </c>
      <c r="F60" s="169" t="s">
        <v>1570</v>
      </c>
      <c r="G60" s="169" t="s">
        <v>1570</v>
      </c>
      <c r="H60" s="169">
        <v>3</v>
      </c>
      <c r="I60" s="136" t="str">
        <f t="shared" si="1"/>
        <v>DECIMAL(20, 6)</v>
      </c>
      <c r="J60" s="169" t="s">
        <v>0</v>
      </c>
      <c r="K60" s="169" t="s">
        <v>1</v>
      </c>
      <c r="L60" s="169">
        <v>30</v>
      </c>
      <c r="M60" s="168"/>
      <c r="N60" s="168"/>
      <c r="O60" s="168"/>
      <c r="P60" s="168"/>
      <c r="Q60" s="168" t="s">
        <v>0</v>
      </c>
      <c r="R60" s="168" t="s">
        <v>1</v>
      </c>
      <c r="S60" s="178" t="str">
        <f t="shared" si="2"/>
        <v>D_CLAIM_ORIG_BTHGRACE_PERIOD_MONTHS</v>
      </c>
    </row>
    <row r="61" spans="1:19" ht="14.4" x14ac:dyDescent="0.3">
      <c r="A61" s="169" t="s">
        <v>392</v>
      </c>
      <c r="B61" s="171" t="str">
        <f t="shared" si="0"/>
        <v>Сделка</v>
      </c>
      <c r="C61" s="169" t="s">
        <v>1453</v>
      </c>
      <c r="D61" s="169">
        <v>291</v>
      </c>
      <c r="E61" s="169">
        <v>31</v>
      </c>
      <c r="F61" s="169" t="s">
        <v>1453</v>
      </c>
      <c r="G61" s="169" t="s">
        <v>1453</v>
      </c>
      <c r="H61" s="169">
        <v>7</v>
      </c>
      <c r="I61" s="136" t="str">
        <f t="shared" si="1"/>
        <v>BIGINT</v>
      </c>
      <c r="J61" s="169" t="s">
        <v>0</v>
      </c>
      <c r="K61" s="169" t="s">
        <v>1</v>
      </c>
      <c r="L61" s="169">
        <v>30</v>
      </c>
      <c r="M61" s="168"/>
      <c r="N61" s="168"/>
      <c r="O61" s="168"/>
      <c r="P61" s="168"/>
      <c r="Q61" s="168" t="s">
        <v>0</v>
      </c>
      <c r="R61" s="168" t="s">
        <v>1</v>
      </c>
      <c r="S61" s="178" t="str">
        <f t="shared" si="2"/>
        <v>D_CLAIM_ORIG_BTHIFRS_CLASS_ID</v>
      </c>
    </row>
    <row r="62" spans="1:19" ht="14.4" x14ac:dyDescent="0.3">
      <c r="A62" s="169" t="s">
        <v>392</v>
      </c>
      <c r="B62" s="171" t="str">
        <f t="shared" si="0"/>
        <v>Сделка</v>
      </c>
      <c r="C62" s="169" t="s">
        <v>650</v>
      </c>
      <c r="D62" s="169">
        <v>292</v>
      </c>
      <c r="E62" s="169">
        <v>32</v>
      </c>
      <c r="F62" s="169" t="s">
        <v>650</v>
      </c>
      <c r="G62" s="169" t="s">
        <v>650</v>
      </c>
      <c r="H62" s="169">
        <v>21</v>
      </c>
      <c r="I62" s="136" t="str">
        <f t="shared" si="1"/>
        <v>DECIMAL(19, 2)</v>
      </c>
      <c r="J62" s="169" t="s">
        <v>0</v>
      </c>
      <c r="K62" s="169" t="s">
        <v>1</v>
      </c>
      <c r="L62" s="169">
        <v>30</v>
      </c>
      <c r="M62" s="168"/>
      <c r="N62" s="168"/>
      <c r="O62" s="168"/>
      <c r="P62" s="168"/>
      <c r="Q62" s="168" t="s">
        <v>0</v>
      </c>
      <c r="R62" s="168" t="s">
        <v>1</v>
      </c>
      <c r="S62" s="178" t="str">
        <f t="shared" si="2"/>
        <v>D_CLAIM_ORIG_BTHIFRS_PROVISION_CCY_AMT</v>
      </c>
    </row>
    <row r="63" spans="1:19" ht="14.4" x14ac:dyDescent="0.3">
      <c r="A63" s="169" t="s">
        <v>392</v>
      </c>
      <c r="B63" s="171" t="str">
        <f t="shared" si="0"/>
        <v>Сделка</v>
      </c>
      <c r="C63" s="169" t="s">
        <v>652</v>
      </c>
      <c r="D63" s="169">
        <v>293</v>
      </c>
      <c r="E63" s="169">
        <v>33</v>
      </c>
      <c r="F63" s="169" t="s">
        <v>652</v>
      </c>
      <c r="G63" s="169" t="s">
        <v>652</v>
      </c>
      <c r="H63" s="169">
        <v>21</v>
      </c>
      <c r="I63" s="136" t="str">
        <f t="shared" si="1"/>
        <v>DECIMAL(19, 2)</v>
      </c>
      <c r="J63" s="169" t="s">
        <v>0</v>
      </c>
      <c r="K63" s="169" t="s">
        <v>1</v>
      </c>
      <c r="L63" s="169">
        <v>30</v>
      </c>
      <c r="M63" s="168"/>
      <c r="N63" s="168"/>
      <c r="O63" s="168"/>
      <c r="P63" s="168"/>
      <c r="Q63" s="168" t="s">
        <v>0</v>
      </c>
      <c r="R63" s="168" t="s">
        <v>1</v>
      </c>
      <c r="S63" s="178" t="str">
        <f t="shared" si="2"/>
        <v>D_CLAIM_ORIG_BTHIFRS_PROVISION_RUB_AMT</v>
      </c>
    </row>
    <row r="64" spans="1:19" ht="14.4" x14ac:dyDescent="0.3">
      <c r="A64" s="169" t="s">
        <v>392</v>
      </c>
      <c r="B64" s="171" t="str">
        <f t="shared" si="0"/>
        <v>Сделка</v>
      </c>
      <c r="C64" s="169" t="s">
        <v>626</v>
      </c>
      <c r="D64" s="169">
        <v>294</v>
      </c>
      <c r="E64" s="169">
        <v>34</v>
      </c>
      <c r="F64" s="169" t="s">
        <v>626</v>
      </c>
      <c r="G64" s="169" t="s">
        <v>626</v>
      </c>
      <c r="H64" s="169">
        <v>34</v>
      </c>
      <c r="I64" s="136" t="str">
        <f t="shared" si="1"/>
        <v>DATE</v>
      </c>
      <c r="J64" s="169" t="s">
        <v>0</v>
      </c>
      <c r="K64" s="169" t="s">
        <v>1</v>
      </c>
      <c r="L64" s="169">
        <v>30</v>
      </c>
      <c r="M64" s="168"/>
      <c r="N64" s="168"/>
      <c r="O64" s="168"/>
      <c r="P64" s="168"/>
      <c r="Q64" s="168" t="s">
        <v>0</v>
      </c>
      <c r="R64" s="168" t="s">
        <v>1</v>
      </c>
      <c r="S64" s="178" t="str">
        <f t="shared" si="2"/>
        <v>D_CLAIM_ORIG_BTHINCEPTION_DT</v>
      </c>
    </row>
    <row r="65" spans="1:19" ht="14.4" x14ac:dyDescent="0.3">
      <c r="A65" s="169" t="s">
        <v>392</v>
      </c>
      <c r="B65" s="171" t="str">
        <f t="shared" si="0"/>
        <v>Сделка</v>
      </c>
      <c r="C65" s="169" t="s">
        <v>1609</v>
      </c>
      <c r="D65" s="169">
        <v>295</v>
      </c>
      <c r="E65" s="169">
        <v>35</v>
      </c>
      <c r="F65" s="169" t="s">
        <v>1609</v>
      </c>
      <c r="G65" s="169" t="s">
        <v>1609</v>
      </c>
      <c r="H65" s="169">
        <v>34</v>
      </c>
      <c r="I65" s="136" t="str">
        <f t="shared" si="1"/>
        <v>DATE</v>
      </c>
      <c r="J65" s="169" t="s">
        <v>0</v>
      </c>
      <c r="K65" s="169" t="s">
        <v>1</v>
      </c>
      <c r="L65" s="169">
        <v>30</v>
      </c>
      <c r="M65" s="168"/>
      <c r="N65" s="168"/>
      <c r="O65" s="168"/>
      <c r="P65" s="168"/>
      <c r="Q65" s="168" t="s">
        <v>0</v>
      </c>
      <c r="R65" s="168" t="s">
        <v>1</v>
      </c>
      <c r="S65" s="178" t="str">
        <f t="shared" si="2"/>
        <v>D_CLAIM_ORIG_BTHINITIAL_MATURITY_DT</v>
      </c>
    </row>
    <row r="66" spans="1:19" ht="14.4" x14ac:dyDescent="0.3">
      <c r="A66" s="169" t="s">
        <v>392</v>
      </c>
      <c r="B66" s="171" t="str">
        <f t="shared" ref="B66:B129" si="3">IF(NOT(ISBLANK(A66)),VLOOKUP(A66,ERM_TABLE_NM,2,FALSE), "")</f>
        <v>Сделка</v>
      </c>
      <c r="C66" s="169" t="s">
        <v>1505</v>
      </c>
      <c r="D66" s="169">
        <v>296</v>
      </c>
      <c r="E66" s="169">
        <v>36</v>
      </c>
      <c r="F66" s="169" t="s">
        <v>1505</v>
      </c>
      <c r="G66" s="169" t="s">
        <v>1505</v>
      </c>
      <c r="H66" s="169">
        <v>24</v>
      </c>
      <c r="I66" s="136" t="str">
        <f t="shared" ref="I66:I129" si="4">IF(NOT(ISBLANK(H66)),VLOOKUP(H66,ERM_DOMAIN_NM,2,FALSE), "")</f>
        <v xml:space="preserve">VARCHAR(40) </v>
      </c>
      <c r="J66" s="169" t="s">
        <v>0</v>
      </c>
      <c r="K66" s="169" t="s">
        <v>1</v>
      </c>
      <c r="L66" s="169">
        <v>30</v>
      </c>
      <c r="M66" s="168"/>
      <c r="N66" s="168"/>
      <c r="O66" s="168"/>
      <c r="P66" s="168"/>
      <c r="Q66" s="168" t="s">
        <v>0</v>
      </c>
      <c r="R66" s="168" t="s">
        <v>1</v>
      </c>
      <c r="S66" s="178" t="str">
        <f t="shared" si="2"/>
        <v>D_CLAIM_ORIG_BTHINT_DUE_ACC</v>
      </c>
    </row>
    <row r="67" spans="1:19" ht="14.4" x14ac:dyDescent="0.3">
      <c r="A67" s="169" t="s">
        <v>392</v>
      </c>
      <c r="B67" s="171" t="str">
        <f t="shared" si="3"/>
        <v>Сделка</v>
      </c>
      <c r="C67" s="169" t="s">
        <v>1594</v>
      </c>
      <c r="D67" s="169">
        <v>319</v>
      </c>
      <c r="E67" s="169">
        <v>37</v>
      </c>
      <c r="F67" s="169" t="s">
        <v>1594</v>
      </c>
      <c r="G67" s="169" t="s">
        <v>1594</v>
      </c>
      <c r="H67" s="169">
        <v>21</v>
      </c>
      <c r="I67" s="136" t="str">
        <f t="shared" si="4"/>
        <v>DECIMAL(19, 2)</v>
      </c>
      <c r="J67" s="169" t="s">
        <v>0</v>
      </c>
      <c r="K67" s="169" t="s">
        <v>1</v>
      </c>
      <c r="L67" s="169">
        <v>30</v>
      </c>
      <c r="M67" s="168"/>
      <c r="N67" s="168"/>
      <c r="O67" s="168"/>
      <c r="P67" s="168"/>
      <c r="Q67" s="168" t="s">
        <v>0</v>
      </c>
      <c r="R67" s="168" t="s">
        <v>1</v>
      </c>
      <c r="S67" s="178" t="str">
        <f t="shared" ref="S67:S130" si="5">CONCATENATE(A67,C67)</f>
        <v>D_CLAIM_ORIG_BTHINT_DUE_CCY_AMT</v>
      </c>
    </row>
    <row r="68" spans="1:19" ht="14.4" x14ac:dyDescent="0.3">
      <c r="A68" s="169" t="s">
        <v>392</v>
      </c>
      <c r="B68" s="171" t="str">
        <f t="shared" si="3"/>
        <v>Сделка</v>
      </c>
      <c r="C68" s="169" t="s">
        <v>1490</v>
      </c>
      <c r="D68" s="169">
        <v>320</v>
      </c>
      <c r="E68" s="169">
        <v>38</v>
      </c>
      <c r="F68" s="169" t="s">
        <v>1490</v>
      </c>
      <c r="G68" s="169" t="s">
        <v>1490</v>
      </c>
      <c r="H68" s="169">
        <v>21</v>
      </c>
      <c r="I68" s="136" t="str">
        <f t="shared" si="4"/>
        <v>DECIMAL(19, 2)</v>
      </c>
      <c r="J68" s="169" t="s">
        <v>0</v>
      </c>
      <c r="K68" s="169" t="s">
        <v>1</v>
      </c>
      <c r="L68" s="169">
        <v>30</v>
      </c>
      <c r="M68" s="168"/>
      <c r="N68" s="168"/>
      <c r="O68" s="168"/>
      <c r="P68" s="168"/>
      <c r="Q68" s="168" t="s">
        <v>0</v>
      </c>
      <c r="R68" s="168" t="s">
        <v>1</v>
      </c>
      <c r="S68" s="178" t="str">
        <f t="shared" si="5"/>
        <v>D_CLAIM_ORIG_BTHINT_DUE_RUB_AMT</v>
      </c>
    </row>
    <row r="69" spans="1:19" ht="14.4" x14ac:dyDescent="0.3">
      <c r="A69" s="169" t="s">
        <v>392</v>
      </c>
      <c r="B69" s="171" t="str">
        <f t="shared" si="3"/>
        <v>Сделка</v>
      </c>
      <c r="C69" s="169" t="s">
        <v>532</v>
      </c>
      <c r="D69" s="169">
        <v>321</v>
      </c>
      <c r="E69" s="169">
        <v>39</v>
      </c>
      <c r="F69" s="169" t="s">
        <v>532</v>
      </c>
      <c r="G69" s="169" t="s">
        <v>532</v>
      </c>
      <c r="H69" s="169">
        <v>7</v>
      </c>
      <c r="I69" s="136" t="str">
        <f t="shared" si="4"/>
        <v>BIGINT</v>
      </c>
      <c r="J69" s="169" t="s">
        <v>0</v>
      </c>
      <c r="K69" s="169" t="s">
        <v>1</v>
      </c>
      <c r="L69" s="169">
        <v>30</v>
      </c>
      <c r="M69" s="168"/>
      <c r="N69" s="168"/>
      <c r="O69" s="168"/>
      <c r="P69" s="168"/>
      <c r="Q69" s="168" t="s">
        <v>0</v>
      </c>
      <c r="R69" s="168" t="s">
        <v>1</v>
      </c>
      <c r="S69" s="178" t="str">
        <f t="shared" si="5"/>
        <v>D_CLAIM_ORIG_BTHINT_ORG_ID</v>
      </c>
    </row>
    <row r="70" spans="1:19" ht="14.4" x14ac:dyDescent="0.3">
      <c r="A70" s="169" t="s">
        <v>392</v>
      </c>
      <c r="B70" s="171" t="str">
        <f t="shared" si="3"/>
        <v>Сделка</v>
      </c>
      <c r="C70" s="169" t="s">
        <v>1478</v>
      </c>
      <c r="D70" s="169">
        <v>322</v>
      </c>
      <c r="E70" s="169">
        <v>40</v>
      </c>
      <c r="F70" s="169" t="s">
        <v>1478</v>
      </c>
      <c r="G70" s="169" t="s">
        <v>1478</v>
      </c>
      <c r="H70" s="169">
        <v>24</v>
      </c>
      <c r="I70" s="136" t="str">
        <f t="shared" si="4"/>
        <v xml:space="preserve">VARCHAR(40) </v>
      </c>
      <c r="J70" s="169" t="s">
        <v>0</v>
      </c>
      <c r="K70" s="169" t="s">
        <v>1</v>
      </c>
      <c r="L70" s="169">
        <v>30</v>
      </c>
      <c r="M70" s="168"/>
      <c r="N70" s="168"/>
      <c r="O70" s="168"/>
      <c r="P70" s="168"/>
      <c r="Q70" s="168" t="s">
        <v>0</v>
      </c>
      <c r="R70" s="168" t="s">
        <v>1</v>
      </c>
      <c r="S70" s="178" t="str">
        <f t="shared" si="5"/>
        <v>D_CLAIM_ORIG_BTHINT_PAST_DUE_BAL_ACC</v>
      </c>
    </row>
    <row r="71" spans="1:19" ht="14.4" x14ac:dyDescent="0.3">
      <c r="A71" s="169" t="s">
        <v>392</v>
      </c>
      <c r="B71" s="171" t="str">
        <f t="shared" si="3"/>
        <v>Сделка</v>
      </c>
      <c r="C71" s="169" t="s">
        <v>1541</v>
      </c>
      <c r="D71" s="169">
        <v>323</v>
      </c>
      <c r="E71" s="169">
        <v>41</v>
      </c>
      <c r="F71" s="169" t="s">
        <v>1541</v>
      </c>
      <c r="G71" s="169" t="s">
        <v>1541</v>
      </c>
      <c r="H71" s="169">
        <v>21</v>
      </c>
      <c r="I71" s="136" t="str">
        <f t="shared" si="4"/>
        <v>DECIMAL(19, 2)</v>
      </c>
      <c r="J71" s="169" t="s">
        <v>0</v>
      </c>
      <c r="K71" s="169" t="s">
        <v>1</v>
      </c>
      <c r="L71" s="169">
        <v>30</v>
      </c>
      <c r="M71" s="168"/>
      <c r="N71" s="168"/>
      <c r="O71" s="168"/>
      <c r="P71" s="168"/>
      <c r="Q71" s="168" t="s">
        <v>0</v>
      </c>
      <c r="R71" s="168" t="s">
        <v>1</v>
      </c>
      <c r="S71" s="178" t="str">
        <f t="shared" si="5"/>
        <v>D_CLAIM_ORIG_BTHINT_PAST_DUE_BAL_CCY_AMT</v>
      </c>
    </row>
    <row r="72" spans="1:19" ht="14.4" x14ac:dyDescent="0.3">
      <c r="A72" s="169" t="s">
        <v>392</v>
      </c>
      <c r="B72" s="171" t="str">
        <f t="shared" si="3"/>
        <v>Сделка</v>
      </c>
      <c r="C72" s="169" t="s">
        <v>1411</v>
      </c>
      <c r="D72" s="169">
        <v>324</v>
      </c>
      <c r="E72" s="169">
        <v>42</v>
      </c>
      <c r="F72" s="169" t="s">
        <v>1411</v>
      </c>
      <c r="G72" s="169" t="s">
        <v>1411</v>
      </c>
      <c r="H72" s="169">
        <v>21</v>
      </c>
      <c r="I72" s="136" t="str">
        <f t="shared" si="4"/>
        <v>DECIMAL(19, 2)</v>
      </c>
      <c r="J72" s="169" t="s">
        <v>0</v>
      </c>
      <c r="K72" s="169" t="s">
        <v>1</v>
      </c>
      <c r="L72" s="169">
        <v>30</v>
      </c>
      <c r="M72" s="168"/>
      <c r="N72" s="168"/>
      <c r="O72" s="168"/>
      <c r="P72" s="168"/>
      <c r="Q72" s="168" t="s">
        <v>0</v>
      </c>
      <c r="R72" s="168" t="s">
        <v>1</v>
      </c>
      <c r="S72" s="178" t="str">
        <f t="shared" si="5"/>
        <v>D_CLAIM_ORIG_BTHINT_PAST_DUE_BAL_RUB_AMT</v>
      </c>
    </row>
    <row r="73" spans="1:19" ht="14.4" x14ac:dyDescent="0.3">
      <c r="A73" s="169" t="s">
        <v>392</v>
      </c>
      <c r="B73" s="171" t="str">
        <f t="shared" si="3"/>
        <v>Сделка</v>
      </c>
      <c r="C73" s="169" t="s">
        <v>1529</v>
      </c>
      <c r="D73" s="169">
        <v>325</v>
      </c>
      <c r="E73" s="169">
        <v>43</v>
      </c>
      <c r="F73" s="169" t="s">
        <v>1529</v>
      </c>
      <c r="G73" s="169" t="s">
        <v>1529</v>
      </c>
      <c r="H73" s="169">
        <v>34</v>
      </c>
      <c r="I73" s="136" t="str">
        <f t="shared" si="4"/>
        <v>DATE</v>
      </c>
      <c r="J73" s="169" t="s">
        <v>0</v>
      </c>
      <c r="K73" s="169" t="s">
        <v>1</v>
      </c>
      <c r="L73" s="169">
        <v>30</v>
      </c>
      <c r="M73" s="168"/>
      <c r="N73" s="168"/>
      <c r="O73" s="168"/>
      <c r="P73" s="168"/>
      <c r="Q73" s="168" t="s">
        <v>0</v>
      </c>
      <c r="R73" s="168" t="s">
        <v>1</v>
      </c>
      <c r="S73" s="178" t="str">
        <f t="shared" si="5"/>
        <v>D_CLAIM_ORIG_BTHINT_PAST_DUE_DT</v>
      </c>
    </row>
    <row r="74" spans="1:19" ht="14.4" x14ac:dyDescent="0.3">
      <c r="A74" s="169" t="s">
        <v>392</v>
      </c>
      <c r="B74" s="171" t="str">
        <f t="shared" si="3"/>
        <v>Сделка</v>
      </c>
      <c r="C74" s="169" t="s">
        <v>1397</v>
      </c>
      <c r="D74" s="169">
        <v>384</v>
      </c>
      <c r="E74" s="169">
        <v>44</v>
      </c>
      <c r="F74" s="169" t="s">
        <v>1397</v>
      </c>
      <c r="G74" s="169" t="s">
        <v>1397</v>
      </c>
      <c r="H74" s="169">
        <v>24</v>
      </c>
      <c r="I74" s="136" t="str">
        <f t="shared" si="4"/>
        <v xml:space="preserve">VARCHAR(40) </v>
      </c>
      <c r="J74" s="169" t="s">
        <v>0</v>
      </c>
      <c r="K74" s="169" t="s">
        <v>1</v>
      </c>
      <c r="L74" s="169">
        <v>30</v>
      </c>
      <c r="M74" s="168"/>
      <c r="N74" s="168"/>
      <c r="O74" s="168"/>
      <c r="P74" s="168"/>
      <c r="Q74" s="168" t="s">
        <v>0</v>
      </c>
      <c r="R74" s="168" t="s">
        <v>1</v>
      </c>
      <c r="S74" s="178" t="str">
        <f t="shared" si="5"/>
        <v>D_CLAIM_ORIG_BTHINT_PAST_DUE_OFF_BAL_ACC</v>
      </c>
    </row>
    <row r="75" spans="1:19" ht="14.4" x14ac:dyDescent="0.3">
      <c r="A75" s="169" t="s">
        <v>392</v>
      </c>
      <c r="B75" s="171" t="str">
        <f t="shared" si="3"/>
        <v>Сделка</v>
      </c>
      <c r="C75" s="169" t="s">
        <v>1611</v>
      </c>
      <c r="D75" s="169">
        <v>385</v>
      </c>
      <c r="E75" s="169">
        <v>45</v>
      </c>
      <c r="F75" s="169" t="s">
        <v>1611</v>
      </c>
      <c r="G75" s="169" t="s">
        <v>1611</v>
      </c>
      <c r="H75" s="169">
        <v>21</v>
      </c>
      <c r="I75" s="136" t="str">
        <f t="shared" si="4"/>
        <v>DECIMAL(19, 2)</v>
      </c>
      <c r="J75" s="169" t="s">
        <v>0</v>
      </c>
      <c r="K75" s="169" t="s">
        <v>1</v>
      </c>
      <c r="L75" s="169">
        <v>30</v>
      </c>
      <c r="M75" s="168"/>
      <c r="N75" s="168"/>
      <c r="O75" s="168"/>
      <c r="P75" s="168"/>
      <c r="Q75" s="168" t="s">
        <v>0</v>
      </c>
      <c r="R75" s="168" t="s">
        <v>1</v>
      </c>
      <c r="S75" s="178" t="str">
        <f t="shared" si="5"/>
        <v>D_CLAIM_ORIG_BTHINT_PAST_DUE_OFF_BAL_CCY_AMT</v>
      </c>
    </row>
    <row r="76" spans="1:19" ht="14.4" x14ac:dyDescent="0.3">
      <c r="A76" s="169" t="s">
        <v>392</v>
      </c>
      <c r="B76" s="171" t="str">
        <f t="shared" si="3"/>
        <v>Сделка</v>
      </c>
      <c r="C76" s="169" t="s">
        <v>1519</v>
      </c>
      <c r="D76" s="169">
        <v>386</v>
      </c>
      <c r="E76" s="169">
        <v>46</v>
      </c>
      <c r="F76" s="169" t="s">
        <v>1519</v>
      </c>
      <c r="G76" s="169" t="s">
        <v>1519</v>
      </c>
      <c r="H76" s="169">
        <v>21</v>
      </c>
      <c r="I76" s="136" t="str">
        <f t="shared" si="4"/>
        <v>DECIMAL(19, 2)</v>
      </c>
      <c r="J76" s="169" t="s">
        <v>0</v>
      </c>
      <c r="K76" s="169" t="s">
        <v>1</v>
      </c>
      <c r="L76" s="169">
        <v>30</v>
      </c>
      <c r="M76" s="168"/>
      <c r="N76" s="168"/>
      <c r="O76" s="168"/>
      <c r="P76" s="168"/>
      <c r="Q76" s="168" t="s">
        <v>0</v>
      </c>
      <c r="R76" s="168" t="s">
        <v>1</v>
      </c>
      <c r="S76" s="178" t="str">
        <f t="shared" si="5"/>
        <v>D_CLAIM_ORIG_BTHINT_PAST_DUE_OFF_BAL_RUB_AMT</v>
      </c>
    </row>
    <row r="77" spans="1:19" ht="14.4" x14ac:dyDescent="0.3">
      <c r="A77" s="169" t="s">
        <v>392</v>
      </c>
      <c r="B77" s="171" t="str">
        <f t="shared" si="3"/>
        <v>Сделка</v>
      </c>
      <c r="C77" s="169" t="s">
        <v>1380</v>
      </c>
      <c r="D77" s="169">
        <v>387</v>
      </c>
      <c r="E77" s="169">
        <v>47</v>
      </c>
      <c r="F77" s="169" t="s">
        <v>1380</v>
      </c>
      <c r="G77" s="169" t="s">
        <v>1380</v>
      </c>
      <c r="H77" s="169">
        <v>21</v>
      </c>
      <c r="I77" s="136" t="str">
        <f t="shared" si="4"/>
        <v>DECIMAL(19, 2)</v>
      </c>
      <c r="J77" s="169" t="s">
        <v>0</v>
      </c>
      <c r="K77" s="169" t="s">
        <v>1</v>
      </c>
      <c r="L77" s="169">
        <v>30</v>
      </c>
      <c r="M77" s="168"/>
      <c r="N77" s="168"/>
      <c r="O77" s="168"/>
      <c r="P77" s="168"/>
      <c r="Q77" s="168" t="s">
        <v>0</v>
      </c>
      <c r="R77" s="168" t="s">
        <v>1</v>
      </c>
      <c r="S77" s="178" t="str">
        <f t="shared" si="5"/>
        <v>D_CLAIM_ORIG_BTHINT_PROVISION_CCY_AMT</v>
      </c>
    </row>
    <row r="78" spans="1:19" ht="14.4" x14ac:dyDescent="0.3">
      <c r="A78" s="169" t="s">
        <v>392</v>
      </c>
      <c r="B78" s="171" t="str">
        <f t="shared" si="3"/>
        <v>Сделка</v>
      </c>
      <c r="C78" s="169" t="s">
        <v>1460</v>
      </c>
      <c r="D78" s="169">
        <v>388</v>
      </c>
      <c r="E78" s="169">
        <v>48</v>
      </c>
      <c r="F78" s="169" t="s">
        <v>1460</v>
      </c>
      <c r="G78" s="169" t="s">
        <v>1460</v>
      </c>
      <c r="H78" s="169">
        <v>21</v>
      </c>
      <c r="I78" s="136" t="str">
        <f t="shared" si="4"/>
        <v>DECIMAL(19, 2)</v>
      </c>
      <c r="J78" s="169" t="s">
        <v>0</v>
      </c>
      <c r="K78" s="169" t="s">
        <v>1</v>
      </c>
      <c r="L78" s="169">
        <v>30</v>
      </c>
      <c r="M78" s="168"/>
      <c r="N78" s="168"/>
      <c r="O78" s="168"/>
      <c r="P78" s="168"/>
      <c r="Q78" s="168" t="s">
        <v>0</v>
      </c>
      <c r="R78" s="168" t="s">
        <v>1</v>
      </c>
      <c r="S78" s="178" t="str">
        <f t="shared" si="5"/>
        <v>D_CLAIM_ORIG_BTHINT_PROVISION_RUB_AMT</v>
      </c>
    </row>
    <row r="79" spans="1:19" ht="14.4" x14ac:dyDescent="0.3">
      <c r="A79" s="169" t="s">
        <v>392</v>
      </c>
      <c r="B79" s="171" t="str">
        <f t="shared" si="3"/>
        <v>Сделка</v>
      </c>
      <c r="C79" s="169" t="s">
        <v>595</v>
      </c>
      <c r="D79" s="169">
        <v>389</v>
      </c>
      <c r="E79" s="169">
        <v>49</v>
      </c>
      <c r="F79" s="169" t="s">
        <v>595</v>
      </c>
      <c r="G79" s="169" t="s">
        <v>595</v>
      </c>
      <c r="H79" s="169">
        <v>15</v>
      </c>
      <c r="I79" s="136" t="str">
        <f t="shared" si="4"/>
        <v xml:space="preserve">CHAR(1) </v>
      </c>
      <c r="J79" s="169" t="s">
        <v>0</v>
      </c>
      <c r="K79" s="169" t="s">
        <v>1</v>
      </c>
      <c r="L79" s="169">
        <v>30</v>
      </c>
      <c r="M79" s="168"/>
      <c r="N79" s="168"/>
      <c r="O79" s="168"/>
      <c r="P79" s="168"/>
      <c r="Q79" s="168" t="s">
        <v>0</v>
      </c>
      <c r="R79" s="168" t="s">
        <v>1</v>
      </c>
      <c r="S79" s="178" t="str">
        <f t="shared" si="5"/>
        <v>D_CLAIM_ORIG_BTHIN_DEFAULT_IND</v>
      </c>
    </row>
    <row r="80" spans="1:19" ht="14.4" x14ac:dyDescent="0.3">
      <c r="A80" s="169" t="s">
        <v>392</v>
      </c>
      <c r="B80" s="171" t="str">
        <f t="shared" si="3"/>
        <v>Сделка</v>
      </c>
      <c r="C80" s="169" t="s">
        <v>624</v>
      </c>
      <c r="D80" s="169">
        <v>390</v>
      </c>
      <c r="E80" s="169">
        <v>50</v>
      </c>
      <c r="F80" s="169" t="s">
        <v>624</v>
      </c>
      <c r="G80" s="169" t="s">
        <v>624</v>
      </c>
      <c r="H80" s="169">
        <v>15</v>
      </c>
      <c r="I80" s="136" t="str">
        <f t="shared" si="4"/>
        <v xml:space="preserve">CHAR(1) </v>
      </c>
      <c r="J80" s="169" t="s">
        <v>0</v>
      </c>
      <c r="K80" s="169" t="s">
        <v>1</v>
      </c>
      <c r="L80" s="169">
        <v>30</v>
      </c>
      <c r="M80" s="168"/>
      <c r="N80" s="168"/>
      <c r="O80" s="168"/>
      <c r="P80" s="168"/>
      <c r="Q80" s="168" t="s">
        <v>0</v>
      </c>
      <c r="R80" s="168" t="s">
        <v>1</v>
      </c>
      <c r="S80" s="178" t="str">
        <f t="shared" si="5"/>
        <v>D_CLAIM_ORIG_BTHIN_PAST_DUE_IND</v>
      </c>
    </row>
    <row r="81" spans="1:19" ht="14.4" x14ac:dyDescent="0.3">
      <c r="A81" s="169" t="s">
        <v>392</v>
      </c>
      <c r="B81" s="171" t="str">
        <f t="shared" si="3"/>
        <v>Сделка</v>
      </c>
      <c r="C81" s="169" t="s">
        <v>589</v>
      </c>
      <c r="D81" s="169">
        <v>426</v>
      </c>
      <c r="E81" s="169">
        <v>51</v>
      </c>
      <c r="F81" s="169" t="s">
        <v>589</v>
      </c>
      <c r="G81" s="169" t="s">
        <v>589</v>
      </c>
      <c r="H81" s="169">
        <v>7</v>
      </c>
      <c r="I81" s="136" t="str">
        <f t="shared" si="4"/>
        <v>BIGINT</v>
      </c>
      <c r="J81" s="169" t="s">
        <v>0</v>
      </c>
      <c r="K81" s="169" t="s">
        <v>1</v>
      </c>
      <c r="L81" s="169">
        <v>30</v>
      </c>
      <c r="M81" s="168"/>
      <c r="N81" s="168"/>
      <c r="O81" s="168"/>
      <c r="P81" s="168"/>
      <c r="Q81" s="168" t="s">
        <v>0</v>
      </c>
      <c r="R81" s="168" t="s">
        <v>1</v>
      </c>
      <c r="S81" s="178" t="str">
        <f t="shared" si="5"/>
        <v>D_CLAIM_ORIG_BTHISSUER_CP_ORIG_ID</v>
      </c>
    </row>
    <row r="82" spans="1:19" ht="14.4" x14ac:dyDescent="0.3">
      <c r="A82" s="169" t="s">
        <v>392</v>
      </c>
      <c r="B82" s="171" t="str">
        <f t="shared" si="3"/>
        <v>Сделка</v>
      </c>
      <c r="C82" s="169" t="s">
        <v>616</v>
      </c>
      <c r="D82" s="169">
        <v>427</v>
      </c>
      <c r="E82" s="169">
        <v>52</v>
      </c>
      <c r="F82" s="169" t="s">
        <v>616</v>
      </c>
      <c r="G82" s="169" t="s">
        <v>616</v>
      </c>
      <c r="H82" s="169">
        <v>15</v>
      </c>
      <c r="I82" s="136" t="str">
        <f t="shared" si="4"/>
        <v xml:space="preserve">CHAR(1) </v>
      </c>
      <c r="J82" s="169" t="s">
        <v>0</v>
      </c>
      <c r="K82" s="169" t="s">
        <v>1</v>
      </c>
      <c r="L82" s="169">
        <v>30</v>
      </c>
      <c r="M82" s="168"/>
      <c r="N82" s="168"/>
      <c r="O82" s="168"/>
      <c r="P82" s="168"/>
      <c r="Q82" s="168" t="s">
        <v>0</v>
      </c>
      <c r="R82" s="168" t="s">
        <v>1</v>
      </c>
      <c r="S82" s="178" t="str">
        <f t="shared" si="5"/>
        <v>D_CLAIM_ORIG_BTHIS_POOL_IND</v>
      </c>
    </row>
    <row r="83" spans="1:19" ht="14.4" x14ac:dyDescent="0.3">
      <c r="A83" s="169" t="s">
        <v>392</v>
      </c>
      <c r="B83" s="171" t="str">
        <f t="shared" si="3"/>
        <v>Сделка</v>
      </c>
      <c r="C83" s="169" t="s">
        <v>597</v>
      </c>
      <c r="D83" s="169">
        <v>428</v>
      </c>
      <c r="E83" s="169">
        <v>53</v>
      </c>
      <c r="F83" s="169" t="s">
        <v>597</v>
      </c>
      <c r="G83" s="169" t="s">
        <v>597</v>
      </c>
      <c r="H83" s="169">
        <v>15</v>
      </c>
      <c r="I83" s="136" t="str">
        <f t="shared" si="4"/>
        <v xml:space="preserve">CHAR(1) </v>
      </c>
      <c r="J83" s="169" t="s">
        <v>0</v>
      </c>
      <c r="K83" s="169" t="s">
        <v>1</v>
      </c>
      <c r="L83" s="169">
        <v>30</v>
      </c>
      <c r="M83" s="168"/>
      <c r="N83" s="168"/>
      <c r="O83" s="168"/>
      <c r="P83" s="168"/>
      <c r="Q83" s="168" t="s">
        <v>0</v>
      </c>
      <c r="R83" s="168" t="s">
        <v>1</v>
      </c>
      <c r="S83" s="178" t="str">
        <f t="shared" si="5"/>
        <v>D_CLAIM_ORIG_BTHL100_BOUND_EQUITY_IND</v>
      </c>
    </row>
    <row r="84" spans="1:19" ht="14.4" x14ac:dyDescent="0.3">
      <c r="A84" s="169" t="s">
        <v>392</v>
      </c>
      <c r="B84" s="171" t="str">
        <f t="shared" si="3"/>
        <v>Сделка</v>
      </c>
      <c r="C84" s="169" t="s">
        <v>599</v>
      </c>
      <c r="D84" s="169">
        <v>429</v>
      </c>
      <c r="E84" s="169">
        <v>54</v>
      </c>
      <c r="F84" s="169" t="s">
        <v>599</v>
      </c>
      <c r="G84" s="169" t="s">
        <v>599</v>
      </c>
      <c r="H84" s="169">
        <v>24</v>
      </c>
      <c r="I84" s="136" t="str">
        <f t="shared" si="4"/>
        <v xml:space="preserve">VARCHAR(40) </v>
      </c>
      <c r="J84" s="169" t="s">
        <v>0</v>
      </c>
      <c r="K84" s="169" t="s">
        <v>1</v>
      </c>
      <c r="L84" s="169">
        <v>30</v>
      </c>
      <c r="M84" s="168"/>
      <c r="N84" s="168"/>
      <c r="O84" s="168"/>
      <c r="P84" s="168"/>
      <c r="Q84" s="168" t="s">
        <v>0</v>
      </c>
      <c r="R84" s="168" t="s">
        <v>1</v>
      </c>
      <c r="S84" s="178" t="str">
        <f t="shared" si="5"/>
        <v>D_CLAIM_ORIG_BTHLIMIT_TYPE</v>
      </c>
    </row>
    <row r="85" spans="1:19" ht="14.4" x14ac:dyDescent="0.3">
      <c r="A85" s="169" t="s">
        <v>392</v>
      </c>
      <c r="B85" s="171" t="str">
        <f t="shared" si="3"/>
        <v>Сделка</v>
      </c>
      <c r="C85" s="169" t="s">
        <v>591</v>
      </c>
      <c r="D85" s="169">
        <v>430</v>
      </c>
      <c r="E85" s="169">
        <v>55</v>
      </c>
      <c r="F85" s="169" t="s">
        <v>591</v>
      </c>
      <c r="G85" s="169" t="s">
        <v>591</v>
      </c>
      <c r="H85" s="169">
        <v>27</v>
      </c>
      <c r="I85" s="136" t="str">
        <f t="shared" si="4"/>
        <v>INTEGER</v>
      </c>
      <c r="J85" s="169" t="s">
        <v>0</v>
      </c>
      <c r="K85" s="169" t="s">
        <v>1</v>
      </c>
      <c r="L85" s="169">
        <v>30</v>
      </c>
      <c r="M85" s="168"/>
      <c r="N85" s="168"/>
      <c r="O85" s="168"/>
      <c r="P85" s="168"/>
      <c r="Q85" s="168" t="s">
        <v>0</v>
      </c>
      <c r="R85" s="168" t="s">
        <v>1</v>
      </c>
      <c r="S85" s="178" t="str">
        <f t="shared" si="5"/>
        <v>D_CLAIM_ORIG_BTHLOAN_ENHANCEMENT_LEVEL</v>
      </c>
    </row>
    <row r="86" spans="1:19" ht="14.4" x14ac:dyDescent="0.3">
      <c r="A86" s="169" t="s">
        <v>392</v>
      </c>
      <c r="B86" s="171" t="str">
        <f t="shared" si="3"/>
        <v>Сделка</v>
      </c>
      <c r="C86" s="169" t="s">
        <v>672</v>
      </c>
      <c r="D86" s="169">
        <v>431</v>
      </c>
      <c r="E86" s="169">
        <v>56</v>
      </c>
      <c r="F86" s="169" t="s">
        <v>672</v>
      </c>
      <c r="G86" s="169" t="s">
        <v>672</v>
      </c>
      <c r="H86" s="169">
        <v>27</v>
      </c>
      <c r="I86" s="136" t="str">
        <f t="shared" si="4"/>
        <v>INTEGER</v>
      </c>
      <c r="J86" s="169" t="s">
        <v>0</v>
      </c>
      <c r="K86" s="169" t="s">
        <v>1</v>
      </c>
      <c r="L86" s="169">
        <v>30</v>
      </c>
      <c r="M86" s="168"/>
      <c r="N86" s="168"/>
      <c r="O86" s="168"/>
      <c r="P86" s="168"/>
      <c r="Q86" s="168" t="s">
        <v>0</v>
      </c>
      <c r="R86" s="168" t="s">
        <v>1</v>
      </c>
      <c r="S86" s="178" t="str">
        <f t="shared" si="5"/>
        <v>D_CLAIM_ORIG_BTHLOAN_EXTENDED_CNT</v>
      </c>
    </row>
    <row r="87" spans="1:19" ht="14.4" x14ac:dyDescent="0.3">
      <c r="A87" s="169" t="s">
        <v>392</v>
      </c>
      <c r="B87" s="171" t="str">
        <f t="shared" si="3"/>
        <v>Сделка</v>
      </c>
      <c r="C87" s="169" t="s">
        <v>670</v>
      </c>
      <c r="D87" s="169">
        <v>432</v>
      </c>
      <c r="E87" s="169">
        <v>57</v>
      </c>
      <c r="F87" s="169" t="s">
        <v>670</v>
      </c>
      <c r="G87" s="169" t="s">
        <v>670</v>
      </c>
      <c r="H87" s="169">
        <v>15</v>
      </c>
      <c r="I87" s="136" t="str">
        <f t="shared" si="4"/>
        <v xml:space="preserve">CHAR(1) </v>
      </c>
      <c r="J87" s="169" t="s">
        <v>0</v>
      </c>
      <c r="K87" s="169" t="s">
        <v>1</v>
      </c>
      <c r="L87" s="169">
        <v>30</v>
      </c>
      <c r="M87" s="168"/>
      <c r="N87" s="168"/>
      <c r="O87" s="168"/>
      <c r="P87" s="168"/>
      <c r="Q87" s="168" t="s">
        <v>0</v>
      </c>
      <c r="R87" s="168" t="s">
        <v>1</v>
      </c>
      <c r="S87" s="178" t="str">
        <f t="shared" si="5"/>
        <v>D_CLAIM_ORIG_BTHLOAN_EXTENDED_IND</v>
      </c>
    </row>
    <row r="88" spans="1:19" ht="14.4" x14ac:dyDescent="0.3">
      <c r="A88" s="169" t="s">
        <v>392</v>
      </c>
      <c r="B88" s="171" t="str">
        <f t="shared" si="3"/>
        <v>Сделка</v>
      </c>
      <c r="C88" s="169" t="s">
        <v>678</v>
      </c>
      <c r="D88" s="169">
        <v>461</v>
      </c>
      <c r="E88" s="169">
        <v>58</v>
      </c>
      <c r="F88" s="169" t="s">
        <v>678</v>
      </c>
      <c r="G88" s="169" t="s">
        <v>678</v>
      </c>
      <c r="H88" s="169">
        <v>34</v>
      </c>
      <c r="I88" s="136" t="str">
        <f t="shared" si="4"/>
        <v>DATE</v>
      </c>
      <c r="J88" s="169" t="s">
        <v>0</v>
      </c>
      <c r="K88" s="169" t="s">
        <v>1</v>
      </c>
      <c r="L88" s="169">
        <v>30</v>
      </c>
      <c r="M88" s="168"/>
      <c r="N88" s="168"/>
      <c r="O88" s="168"/>
      <c r="P88" s="168"/>
      <c r="Q88" s="168" t="s">
        <v>0</v>
      </c>
      <c r="R88" s="168" t="s">
        <v>1</v>
      </c>
      <c r="S88" s="178" t="str">
        <f t="shared" si="5"/>
        <v>D_CLAIM_ORIG_BTHLOAN_LAST_EXTENDED_DT</v>
      </c>
    </row>
    <row r="89" spans="1:19" ht="14.4" x14ac:dyDescent="0.3">
      <c r="A89" s="169" t="s">
        <v>392</v>
      </c>
      <c r="B89" s="171" t="str">
        <f t="shared" si="3"/>
        <v>Сделка</v>
      </c>
      <c r="C89" s="169" t="s">
        <v>676</v>
      </c>
      <c r="D89" s="169">
        <v>462</v>
      </c>
      <c r="E89" s="169">
        <v>59</v>
      </c>
      <c r="F89" s="169" t="s">
        <v>676</v>
      </c>
      <c r="G89" s="169" t="s">
        <v>676</v>
      </c>
      <c r="H89" s="169">
        <v>34</v>
      </c>
      <c r="I89" s="136" t="str">
        <f t="shared" si="4"/>
        <v>DATE</v>
      </c>
      <c r="J89" s="169" t="s">
        <v>0</v>
      </c>
      <c r="K89" s="169" t="s">
        <v>1</v>
      </c>
      <c r="L89" s="169">
        <v>30</v>
      </c>
      <c r="M89" s="168"/>
      <c r="N89" s="168"/>
      <c r="O89" s="168"/>
      <c r="P89" s="168"/>
      <c r="Q89" s="168" t="s">
        <v>0</v>
      </c>
      <c r="R89" s="168" t="s">
        <v>1</v>
      </c>
      <c r="S89" s="178" t="str">
        <f t="shared" si="5"/>
        <v>D_CLAIM_ORIG_BTHLOAN_LAST_RESTRUCTURED_DT</v>
      </c>
    </row>
    <row r="90" spans="1:19" ht="14.4" x14ac:dyDescent="0.3">
      <c r="A90" s="169" t="s">
        <v>392</v>
      </c>
      <c r="B90" s="171" t="str">
        <f t="shared" si="3"/>
        <v>Сделка</v>
      </c>
      <c r="C90" s="169" t="s">
        <v>641</v>
      </c>
      <c r="D90" s="169">
        <v>463</v>
      </c>
      <c r="E90" s="169">
        <v>60</v>
      </c>
      <c r="F90" s="169" t="s">
        <v>641</v>
      </c>
      <c r="G90" s="169" t="s">
        <v>641</v>
      </c>
      <c r="H90" s="169">
        <v>27</v>
      </c>
      <c r="I90" s="136" t="str">
        <f t="shared" si="4"/>
        <v>INTEGER</v>
      </c>
      <c r="J90" s="169" t="s">
        <v>0</v>
      </c>
      <c r="K90" s="169" t="s">
        <v>1</v>
      </c>
      <c r="L90" s="169">
        <v>30</v>
      </c>
      <c r="M90" s="168"/>
      <c r="N90" s="168"/>
      <c r="O90" s="168"/>
      <c r="P90" s="168"/>
      <c r="Q90" s="168" t="s">
        <v>0</v>
      </c>
      <c r="R90" s="168" t="s">
        <v>1</v>
      </c>
      <c r="S90" s="178" t="str">
        <f t="shared" si="5"/>
        <v>D_CLAIM_ORIG_BTHLOAN_QUALITY_CATEGORY</v>
      </c>
    </row>
    <row r="91" spans="1:19" ht="14.4" x14ac:dyDescent="0.3">
      <c r="A91" s="169" t="s">
        <v>392</v>
      </c>
      <c r="B91" s="171" t="str">
        <f t="shared" si="3"/>
        <v>Сделка</v>
      </c>
      <c r="C91" s="169" t="s">
        <v>674</v>
      </c>
      <c r="D91" s="169">
        <v>464</v>
      </c>
      <c r="E91" s="169">
        <v>61</v>
      </c>
      <c r="F91" s="169" t="s">
        <v>674</v>
      </c>
      <c r="G91" s="169" t="s">
        <v>674</v>
      </c>
      <c r="H91" s="169">
        <v>27</v>
      </c>
      <c r="I91" s="136" t="str">
        <f t="shared" si="4"/>
        <v>INTEGER</v>
      </c>
      <c r="J91" s="169" t="s">
        <v>0</v>
      </c>
      <c r="K91" s="169" t="s">
        <v>1</v>
      </c>
      <c r="L91" s="169">
        <v>30</v>
      </c>
      <c r="M91" s="168"/>
      <c r="N91" s="168"/>
      <c r="O91" s="168"/>
      <c r="P91" s="168"/>
      <c r="Q91" s="168" t="s">
        <v>0</v>
      </c>
      <c r="R91" s="168" t="s">
        <v>1</v>
      </c>
      <c r="S91" s="178" t="str">
        <f t="shared" si="5"/>
        <v>D_CLAIM_ORIG_BTHLOAN_RESTRUCTURED_CNT</v>
      </c>
    </row>
    <row r="92" spans="1:19" ht="14.4" x14ac:dyDescent="0.3">
      <c r="A92" s="169" t="s">
        <v>392</v>
      </c>
      <c r="B92" s="171" t="str">
        <f t="shared" si="3"/>
        <v>Сделка</v>
      </c>
      <c r="C92" s="169" t="s">
        <v>645</v>
      </c>
      <c r="D92" s="169">
        <v>465</v>
      </c>
      <c r="E92" s="169">
        <v>62</v>
      </c>
      <c r="F92" s="169" t="s">
        <v>645</v>
      </c>
      <c r="G92" s="169" t="s">
        <v>645</v>
      </c>
      <c r="H92" s="169">
        <v>15</v>
      </c>
      <c r="I92" s="136" t="str">
        <f t="shared" si="4"/>
        <v xml:space="preserve">CHAR(1) </v>
      </c>
      <c r="J92" s="169" t="s">
        <v>0</v>
      </c>
      <c r="K92" s="169" t="s">
        <v>1</v>
      </c>
      <c r="L92" s="169">
        <v>30</v>
      </c>
      <c r="M92" s="168"/>
      <c r="N92" s="168"/>
      <c r="O92" s="168"/>
      <c r="P92" s="168"/>
      <c r="Q92" s="168" t="s">
        <v>0</v>
      </c>
      <c r="R92" s="168" t="s">
        <v>1</v>
      </c>
      <c r="S92" s="178" t="str">
        <f t="shared" si="5"/>
        <v>D_CLAIM_ORIG_BTHLOAN_RESTRUCTURED_IND</v>
      </c>
    </row>
    <row r="93" spans="1:19" ht="14.4" x14ac:dyDescent="0.3">
      <c r="A93" s="169" t="s">
        <v>392</v>
      </c>
      <c r="B93" s="171" t="str">
        <f t="shared" si="3"/>
        <v>Сделка</v>
      </c>
      <c r="C93" s="169" t="s">
        <v>643</v>
      </c>
      <c r="D93" s="169">
        <v>466</v>
      </c>
      <c r="E93" s="169">
        <v>63</v>
      </c>
      <c r="F93" s="169" t="s">
        <v>643</v>
      </c>
      <c r="G93" s="169" t="s">
        <v>643</v>
      </c>
      <c r="H93" s="169">
        <v>27</v>
      </c>
      <c r="I93" s="136" t="str">
        <f t="shared" si="4"/>
        <v>INTEGER</v>
      </c>
      <c r="J93" s="169" t="s">
        <v>0</v>
      </c>
      <c r="K93" s="169" t="s">
        <v>1</v>
      </c>
      <c r="L93" s="169">
        <v>30</v>
      </c>
      <c r="M93" s="168"/>
      <c r="N93" s="168"/>
      <c r="O93" s="168"/>
      <c r="P93" s="168"/>
      <c r="Q93" s="168" t="s">
        <v>0</v>
      </c>
      <c r="R93" s="168" t="s">
        <v>1</v>
      </c>
      <c r="S93" s="178" t="str">
        <f t="shared" si="5"/>
        <v>D_CLAIM_ORIG_BTHLOAN_SERVICE_CONDITIONS</v>
      </c>
    </row>
    <row r="94" spans="1:19" ht="14.4" x14ac:dyDescent="0.3">
      <c r="A94" s="169" t="s">
        <v>392</v>
      </c>
      <c r="B94" s="171" t="str">
        <f t="shared" si="3"/>
        <v>Сделка</v>
      </c>
      <c r="C94" s="169" t="s">
        <v>601</v>
      </c>
      <c r="D94" s="169">
        <v>467</v>
      </c>
      <c r="E94" s="169">
        <v>64</v>
      </c>
      <c r="F94" s="169" t="s">
        <v>601</v>
      </c>
      <c r="G94" s="169" t="s">
        <v>601</v>
      </c>
      <c r="H94" s="169">
        <v>13</v>
      </c>
      <c r="I94" s="136" t="str">
        <f t="shared" si="4"/>
        <v xml:space="preserve">VARCHAR(300) </v>
      </c>
      <c r="J94" s="169" t="s">
        <v>0</v>
      </c>
      <c r="K94" s="169" t="s">
        <v>1</v>
      </c>
      <c r="L94" s="169">
        <v>30</v>
      </c>
      <c r="M94" s="168"/>
      <c r="N94" s="168"/>
      <c r="O94" s="168"/>
      <c r="P94" s="168"/>
      <c r="Q94" s="168" t="s">
        <v>0</v>
      </c>
      <c r="R94" s="168" t="s">
        <v>1</v>
      </c>
      <c r="S94" s="178" t="str">
        <f t="shared" si="5"/>
        <v>D_CLAIM_ORIG_BTHLOCAL_EXP_CLASS</v>
      </c>
    </row>
    <row r="95" spans="1:19" ht="14.4" x14ac:dyDescent="0.3">
      <c r="A95" s="169" t="s">
        <v>392</v>
      </c>
      <c r="B95" s="171" t="str">
        <f t="shared" si="3"/>
        <v>Сделка</v>
      </c>
      <c r="C95" s="169" t="s">
        <v>603</v>
      </c>
      <c r="D95" s="169">
        <v>566</v>
      </c>
      <c r="E95" s="169">
        <v>65</v>
      </c>
      <c r="F95" s="169" t="s">
        <v>603</v>
      </c>
      <c r="G95" s="169" t="s">
        <v>603</v>
      </c>
      <c r="H95" s="169">
        <v>34</v>
      </c>
      <c r="I95" s="136" t="str">
        <f t="shared" si="4"/>
        <v>DATE</v>
      </c>
      <c r="J95" s="169" t="s">
        <v>0</v>
      </c>
      <c r="K95" s="169" t="s">
        <v>1</v>
      </c>
      <c r="L95" s="169">
        <v>30</v>
      </c>
      <c r="M95" s="168"/>
      <c r="N95" s="168"/>
      <c r="O95" s="168"/>
      <c r="P95" s="168"/>
      <c r="Q95" s="168" t="s">
        <v>0</v>
      </c>
      <c r="R95" s="168" t="s">
        <v>1</v>
      </c>
      <c r="S95" s="178" t="str">
        <f t="shared" si="5"/>
        <v>D_CLAIM_ORIG_BTHMATURITY_DT</v>
      </c>
    </row>
    <row r="96" spans="1:19" ht="14.4" x14ac:dyDescent="0.3">
      <c r="A96" s="169" t="s">
        <v>392</v>
      </c>
      <c r="B96" s="171" t="str">
        <f t="shared" si="3"/>
        <v>Сделка</v>
      </c>
      <c r="C96" s="169" t="s">
        <v>628</v>
      </c>
      <c r="D96" s="169">
        <v>567</v>
      </c>
      <c r="E96" s="169">
        <v>66</v>
      </c>
      <c r="F96" s="169" t="s">
        <v>628</v>
      </c>
      <c r="G96" s="169" t="s">
        <v>628</v>
      </c>
      <c r="H96" s="169">
        <v>15</v>
      </c>
      <c r="I96" s="136" t="str">
        <f t="shared" si="4"/>
        <v xml:space="preserve">CHAR(1) </v>
      </c>
      <c r="J96" s="169" t="s">
        <v>0</v>
      </c>
      <c r="K96" s="169" t="s">
        <v>1</v>
      </c>
      <c r="L96" s="169">
        <v>30</v>
      </c>
      <c r="M96" s="168"/>
      <c r="N96" s="168"/>
      <c r="O96" s="168"/>
      <c r="P96" s="168"/>
      <c r="Q96" s="168" t="s">
        <v>0</v>
      </c>
      <c r="R96" s="168" t="s">
        <v>1</v>
      </c>
      <c r="S96" s="178" t="str">
        <f t="shared" si="5"/>
        <v>D_CLAIM_ORIG_BTHMIN_MATURITY_IND</v>
      </c>
    </row>
    <row r="97" spans="1:19" ht="14.4" x14ac:dyDescent="0.3">
      <c r="A97" s="169" t="s">
        <v>392</v>
      </c>
      <c r="B97" s="171" t="str">
        <f t="shared" si="3"/>
        <v>Сделка</v>
      </c>
      <c r="C97" s="169" t="s">
        <v>1617</v>
      </c>
      <c r="D97" s="169">
        <v>568</v>
      </c>
      <c r="E97" s="169">
        <v>67</v>
      </c>
      <c r="F97" s="169" t="s">
        <v>1617</v>
      </c>
      <c r="G97" s="169" t="s">
        <v>1617</v>
      </c>
      <c r="H97" s="169">
        <v>34</v>
      </c>
      <c r="I97" s="136" t="str">
        <f t="shared" si="4"/>
        <v>DATE</v>
      </c>
      <c r="J97" s="169" t="s">
        <v>0</v>
      </c>
      <c r="K97" s="169" t="s">
        <v>1</v>
      </c>
      <c r="L97" s="169">
        <v>30</v>
      </c>
      <c r="M97" s="168"/>
      <c r="N97" s="168"/>
      <c r="O97" s="168"/>
      <c r="P97" s="168"/>
      <c r="Q97" s="168" t="s">
        <v>0</v>
      </c>
      <c r="R97" s="168" t="s">
        <v>1</v>
      </c>
      <c r="S97" s="178" t="str">
        <f t="shared" si="5"/>
        <v>D_CLAIM_ORIG_BTHNEXT_PRIN_DUE_DT</v>
      </c>
    </row>
    <row r="98" spans="1:19" ht="14.4" x14ac:dyDescent="0.3">
      <c r="A98" s="169" t="s">
        <v>392</v>
      </c>
      <c r="B98" s="171" t="str">
        <f t="shared" si="3"/>
        <v>Сделка</v>
      </c>
      <c r="C98" s="169" t="s">
        <v>630</v>
      </c>
      <c r="D98" s="169">
        <v>569</v>
      </c>
      <c r="E98" s="169">
        <v>68</v>
      </c>
      <c r="F98" s="169" t="s">
        <v>630</v>
      </c>
      <c r="G98" s="169" t="s">
        <v>630</v>
      </c>
      <c r="H98" s="169">
        <v>27</v>
      </c>
      <c r="I98" s="136" t="str">
        <f t="shared" si="4"/>
        <v>INTEGER</v>
      </c>
      <c r="J98" s="169" t="s">
        <v>0</v>
      </c>
      <c r="K98" s="169" t="s">
        <v>1</v>
      </c>
      <c r="L98" s="169">
        <v>30</v>
      </c>
      <c r="M98" s="168"/>
      <c r="N98" s="168"/>
      <c r="O98" s="168"/>
      <c r="P98" s="168"/>
      <c r="Q98" s="168" t="s">
        <v>0</v>
      </c>
      <c r="R98" s="168" t="s">
        <v>1</v>
      </c>
      <c r="S98" s="178" t="str">
        <f t="shared" si="5"/>
        <v>D_CLAIM_ORIG_BTHPAST_DUE_DAYS_CNT</v>
      </c>
    </row>
    <row r="99" spans="1:19" ht="14.4" x14ac:dyDescent="0.3">
      <c r="A99" s="169" t="s">
        <v>392</v>
      </c>
      <c r="B99" s="171" t="str">
        <f t="shared" si="3"/>
        <v>Сделка</v>
      </c>
      <c r="C99" s="169" t="s">
        <v>668</v>
      </c>
      <c r="D99" s="169">
        <v>570</v>
      </c>
      <c r="E99" s="169">
        <v>69</v>
      </c>
      <c r="F99" s="169" t="s">
        <v>668</v>
      </c>
      <c r="G99" s="169" t="s">
        <v>668</v>
      </c>
      <c r="H99" s="169">
        <v>24</v>
      </c>
      <c r="I99" s="136" t="str">
        <f t="shared" si="4"/>
        <v xml:space="preserve">VARCHAR(40) </v>
      </c>
      <c r="J99" s="169" t="s">
        <v>0</v>
      </c>
      <c r="K99" s="169" t="s">
        <v>1</v>
      </c>
      <c r="L99" s="169">
        <v>30</v>
      </c>
      <c r="M99" s="168"/>
      <c r="N99" s="168"/>
      <c r="O99" s="168"/>
      <c r="P99" s="168"/>
      <c r="Q99" s="168" t="s">
        <v>0</v>
      </c>
      <c r="R99" s="168" t="s">
        <v>1</v>
      </c>
      <c r="S99" s="178" t="str">
        <f t="shared" si="5"/>
        <v>D_CLAIM_ORIG_BTHPOLICY_CD</v>
      </c>
    </row>
    <row r="100" spans="1:19" ht="14.4" x14ac:dyDescent="0.3">
      <c r="A100" s="169" t="s">
        <v>392</v>
      </c>
      <c r="B100" s="171" t="str">
        <f t="shared" si="3"/>
        <v>Сделка</v>
      </c>
      <c r="C100" s="169" t="s">
        <v>1493</v>
      </c>
      <c r="D100" s="169">
        <v>571</v>
      </c>
      <c r="E100" s="169">
        <v>70</v>
      </c>
      <c r="F100" s="169" t="s">
        <v>1493</v>
      </c>
      <c r="G100" s="169" t="s">
        <v>1493</v>
      </c>
      <c r="H100" s="169">
        <v>21</v>
      </c>
      <c r="I100" s="136" t="str">
        <f t="shared" si="4"/>
        <v>DECIMAL(19, 2)</v>
      </c>
      <c r="J100" s="169" t="s">
        <v>0</v>
      </c>
      <c r="K100" s="169" t="s">
        <v>1</v>
      </c>
      <c r="L100" s="169">
        <v>30</v>
      </c>
      <c r="M100" s="168"/>
      <c r="N100" s="168"/>
      <c r="O100" s="168"/>
      <c r="P100" s="168"/>
      <c r="Q100" s="168" t="s">
        <v>0</v>
      </c>
      <c r="R100" s="168" t="s">
        <v>1</v>
      </c>
      <c r="S100" s="178" t="str">
        <f t="shared" si="5"/>
        <v>D_CLAIM_ORIG_BTHPRIN_CCY_AMT</v>
      </c>
    </row>
    <row r="101" spans="1:19" ht="14.4" x14ac:dyDescent="0.3">
      <c r="A101" s="169" t="s">
        <v>392</v>
      </c>
      <c r="B101" s="171" t="str">
        <f t="shared" si="3"/>
        <v>Сделка</v>
      </c>
      <c r="C101" s="169" t="s">
        <v>1440</v>
      </c>
      <c r="D101" s="169">
        <v>572</v>
      </c>
      <c r="E101" s="169">
        <v>71</v>
      </c>
      <c r="F101" s="169" t="s">
        <v>1440</v>
      </c>
      <c r="G101" s="169" t="s">
        <v>1440</v>
      </c>
      <c r="H101" s="169">
        <v>24</v>
      </c>
      <c r="I101" s="136" t="str">
        <f t="shared" si="4"/>
        <v xml:space="preserve">VARCHAR(40) </v>
      </c>
      <c r="J101" s="169" t="s">
        <v>0</v>
      </c>
      <c r="K101" s="169" t="s">
        <v>1</v>
      </c>
      <c r="L101" s="169">
        <v>30</v>
      </c>
      <c r="M101" s="168"/>
      <c r="N101" s="168"/>
      <c r="O101" s="168"/>
      <c r="P101" s="168"/>
      <c r="Q101" s="168" t="s">
        <v>0</v>
      </c>
      <c r="R101" s="168" t="s">
        <v>1</v>
      </c>
      <c r="S101" s="178" t="str">
        <f t="shared" si="5"/>
        <v>D_CLAIM_ORIG_BTHPRIN_DUE_ACC</v>
      </c>
    </row>
    <row r="102" spans="1:19" ht="14.4" x14ac:dyDescent="0.3">
      <c r="A102" s="169" t="s">
        <v>392</v>
      </c>
      <c r="B102" s="171" t="str">
        <f t="shared" si="3"/>
        <v>Сделка</v>
      </c>
      <c r="C102" s="169" t="s">
        <v>1555</v>
      </c>
      <c r="D102" s="169">
        <v>573</v>
      </c>
      <c r="E102" s="169">
        <v>72</v>
      </c>
      <c r="F102" s="169" t="s">
        <v>1555</v>
      </c>
      <c r="G102" s="169" t="s">
        <v>1555</v>
      </c>
      <c r="H102" s="169">
        <v>21</v>
      </c>
      <c r="I102" s="136" t="str">
        <f t="shared" si="4"/>
        <v>DECIMAL(19, 2)</v>
      </c>
      <c r="J102" s="169" t="s">
        <v>0</v>
      </c>
      <c r="K102" s="169" t="s">
        <v>1</v>
      </c>
      <c r="L102" s="169">
        <v>30</v>
      </c>
      <c r="M102" s="168"/>
      <c r="N102" s="168"/>
      <c r="O102" s="168"/>
      <c r="P102" s="168"/>
      <c r="Q102" s="168" t="s">
        <v>0</v>
      </c>
      <c r="R102" s="168" t="s">
        <v>1</v>
      </c>
      <c r="S102" s="178" t="str">
        <f t="shared" si="5"/>
        <v>D_CLAIM_ORIG_BTHPRIN_DUE_CCY_AMT</v>
      </c>
    </row>
    <row r="103" spans="1:19" ht="14.4" x14ac:dyDescent="0.3">
      <c r="A103" s="169" t="s">
        <v>392</v>
      </c>
      <c r="B103" s="171" t="str">
        <f t="shared" si="3"/>
        <v>Сделка</v>
      </c>
      <c r="C103" s="169" t="s">
        <v>1429</v>
      </c>
      <c r="D103" s="169">
        <v>644</v>
      </c>
      <c r="E103" s="169">
        <v>73</v>
      </c>
      <c r="F103" s="169" t="s">
        <v>1429</v>
      </c>
      <c r="G103" s="169" t="s">
        <v>1429</v>
      </c>
      <c r="H103" s="169">
        <v>21</v>
      </c>
      <c r="I103" s="136" t="str">
        <f t="shared" si="4"/>
        <v>DECIMAL(19, 2)</v>
      </c>
      <c r="J103" s="169" t="s">
        <v>0</v>
      </c>
      <c r="K103" s="169" t="s">
        <v>1</v>
      </c>
      <c r="L103" s="169">
        <v>30</v>
      </c>
      <c r="M103" s="168"/>
      <c r="N103" s="168"/>
      <c r="O103" s="168"/>
      <c r="P103" s="168"/>
      <c r="Q103" s="168" t="s">
        <v>0</v>
      </c>
      <c r="R103" s="168" t="s">
        <v>1</v>
      </c>
      <c r="S103" s="178" t="str">
        <f t="shared" si="5"/>
        <v>D_CLAIM_ORIG_BTHPRIN_DUE_RUB_AMT</v>
      </c>
    </row>
    <row r="104" spans="1:19" ht="14.4" x14ac:dyDescent="0.3">
      <c r="A104" s="169" t="s">
        <v>392</v>
      </c>
      <c r="B104" s="171" t="str">
        <f t="shared" si="3"/>
        <v>Сделка</v>
      </c>
      <c r="C104" s="169" t="s">
        <v>1545</v>
      </c>
      <c r="D104" s="169">
        <v>645</v>
      </c>
      <c r="E104" s="169">
        <v>74</v>
      </c>
      <c r="F104" s="169" t="s">
        <v>1545</v>
      </c>
      <c r="G104" s="169" t="s">
        <v>1545</v>
      </c>
      <c r="H104" s="169">
        <v>24</v>
      </c>
      <c r="I104" s="136" t="str">
        <f t="shared" si="4"/>
        <v xml:space="preserve">VARCHAR(40) </v>
      </c>
      <c r="J104" s="169" t="s">
        <v>0</v>
      </c>
      <c r="K104" s="169" t="s">
        <v>1</v>
      </c>
      <c r="L104" s="169">
        <v>30</v>
      </c>
      <c r="M104" s="168"/>
      <c r="N104" s="168"/>
      <c r="O104" s="168"/>
      <c r="P104" s="168"/>
      <c r="Q104" s="168" t="s">
        <v>0</v>
      </c>
      <c r="R104" s="168" t="s">
        <v>1</v>
      </c>
      <c r="S104" s="178" t="str">
        <f t="shared" si="5"/>
        <v>D_CLAIM_ORIG_BTHPRIN_PAST_DUE_ACC</v>
      </c>
    </row>
    <row r="105" spans="1:19" ht="14.4" x14ac:dyDescent="0.3">
      <c r="A105" s="169" t="s">
        <v>392</v>
      </c>
      <c r="B105" s="171" t="str">
        <f t="shared" si="3"/>
        <v>Сделка</v>
      </c>
      <c r="C105" s="169" t="s">
        <v>1414</v>
      </c>
      <c r="D105" s="169">
        <v>646</v>
      </c>
      <c r="E105" s="169">
        <v>75</v>
      </c>
      <c r="F105" s="169" t="s">
        <v>1414</v>
      </c>
      <c r="G105" s="169" t="s">
        <v>1414</v>
      </c>
      <c r="H105" s="169">
        <v>21</v>
      </c>
      <c r="I105" s="136" t="str">
        <f t="shared" si="4"/>
        <v>DECIMAL(19, 2)</v>
      </c>
      <c r="J105" s="169" t="s">
        <v>0</v>
      </c>
      <c r="K105" s="169" t="s">
        <v>1</v>
      </c>
      <c r="L105" s="169">
        <v>30</v>
      </c>
      <c r="M105" s="168"/>
      <c r="N105" s="168"/>
      <c r="O105" s="168"/>
      <c r="P105" s="168"/>
      <c r="Q105" s="168" t="s">
        <v>0</v>
      </c>
      <c r="R105" s="168" t="s">
        <v>1</v>
      </c>
      <c r="S105" s="178" t="str">
        <f t="shared" si="5"/>
        <v>D_CLAIM_ORIG_BTHPRIN_PAST_DUE_CCY_AMT</v>
      </c>
    </row>
    <row r="106" spans="1:19" ht="14.4" x14ac:dyDescent="0.3">
      <c r="A106" s="169" t="s">
        <v>392</v>
      </c>
      <c r="B106" s="171" t="str">
        <f t="shared" si="3"/>
        <v>Сделка</v>
      </c>
      <c r="C106" s="169" t="s">
        <v>1532</v>
      </c>
      <c r="D106" s="169">
        <v>647</v>
      </c>
      <c r="E106" s="169">
        <v>76</v>
      </c>
      <c r="F106" s="169" t="s">
        <v>1532</v>
      </c>
      <c r="G106" s="169" t="s">
        <v>1532</v>
      </c>
      <c r="H106" s="169">
        <v>34</v>
      </c>
      <c r="I106" s="136" t="str">
        <f t="shared" si="4"/>
        <v>DATE</v>
      </c>
      <c r="J106" s="169" t="s">
        <v>0</v>
      </c>
      <c r="K106" s="169" t="s">
        <v>1</v>
      </c>
      <c r="L106" s="169">
        <v>30</v>
      </c>
      <c r="M106" s="168"/>
      <c r="N106" s="168"/>
      <c r="O106" s="168"/>
      <c r="P106" s="168"/>
      <c r="Q106" s="168" t="s">
        <v>0</v>
      </c>
      <c r="R106" s="168" t="s">
        <v>1</v>
      </c>
      <c r="S106" s="178" t="str">
        <f t="shared" si="5"/>
        <v>D_CLAIM_ORIG_BTHPRIN_PAST_DUE_DT</v>
      </c>
    </row>
    <row r="107" spans="1:19" ht="14.4" x14ac:dyDescent="0.3">
      <c r="A107" s="169" t="s">
        <v>392</v>
      </c>
      <c r="B107" s="171" t="str">
        <f t="shared" si="3"/>
        <v>Сделка</v>
      </c>
      <c r="C107" s="169" t="s">
        <v>1396</v>
      </c>
      <c r="D107" s="169">
        <v>648</v>
      </c>
      <c r="E107" s="169">
        <v>77</v>
      </c>
      <c r="F107" s="169" t="s">
        <v>1396</v>
      </c>
      <c r="G107" s="169" t="s">
        <v>1396</v>
      </c>
      <c r="H107" s="169">
        <v>21</v>
      </c>
      <c r="I107" s="136" t="str">
        <f t="shared" si="4"/>
        <v>DECIMAL(19, 2)</v>
      </c>
      <c r="J107" s="169" t="s">
        <v>0</v>
      </c>
      <c r="K107" s="169" t="s">
        <v>1</v>
      </c>
      <c r="L107" s="169">
        <v>30</v>
      </c>
      <c r="M107" s="168"/>
      <c r="N107" s="168"/>
      <c r="O107" s="168"/>
      <c r="P107" s="168"/>
      <c r="Q107" s="168" t="s">
        <v>0</v>
      </c>
      <c r="R107" s="168" t="s">
        <v>1</v>
      </c>
      <c r="S107" s="178" t="str">
        <f t="shared" si="5"/>
        <v>D_CLAIM_ORIG_BTHPRIN_PAST_DUE_RUB_AMT</v>
      </c>
    </row>
    <row r="108" spans="1:19" ht="14.4" x14ac:dyDescent="0.3">
      <c r="A108" s="169" t="s">
        <v>392</v>
      </c>
      <c r="B108" s="171" t="str">
        <f t="shared" si="3"/>
        <v>Сделка</v>
      </c>
      <c r="C108" s="169" t="s">
        <v>555</v>
      </c>
      <c r="D108" s="169">
        <v>649</v>
      </c>
      <c r="E108" s="169">
        <v>78</v>
      </c>
      <c r="F108" s="169" t="s">
        <v>555</v>
      </c>
      <c r="G108" s="169" t="s">
        <v>555</v>
      </c>
      <c r="H108" s="169">
        <v>7</v>
      </c>
      <c r="I108" s="136" t="str">
        <f t="shared" si="4"/>
        <v>BIGINT</v>
      </c>
      <c r="J108" s="169" t="s">
        <v>0</v>
      </c>
      <c r="K108" s="169" t="s">
        <v>1</v>
      </c>
      <c r="L108" s="169">
        <v>30</v>
      </c>
      <c r="M108" s="168"/>
      <c r="N108" s="168"/>
      <c r="O108" s="168"/>
      <c r="P108" s="168"/>
      <c r="Q108" s="168" t="s">
        <v>0</v>
      </c>
      <c r="R108" s="168" t="s">
        <v>1</v>
      </c>
      <c r="S108" s="178" t="str">
        <f t="shared" si="5"/>
        <v>D_CLAIM_ORIG_BTHPRIN_PM_SCHED_TYPE_ID</v>
      </c>
    </row>
    <row r="109" spans="1:19" ht="14.4" x14ac:dyDescent="0.3">
      <c r="A109" s="169" t="s">
        <v>392</v>
      </c>
      <c r="B109" s="171" t="str">
        <f t="shared" si="3"/>
        <v>Сделка</v>
      </c>
      <c r="C109" s="169" t="s">
        <v>1854</v>
      </c>
      <c r="D109" s="169">
        <v>650</v>
      </c>
      <c r="E109" s="169">
        <v>79</v>
      </c>
      <c r="F109" s="169" t="s">
        <v>1854</v>
      </c>
      <c r="G109" s="169" t="s">
        <v>1854</v>
      </c>
      <c r="H109" s="169">
        <v>21</v>
      </c>
      <c r="I109" s="136" t="str">
        <f t="shared" si="4"/>
        <v>DECIMAL(19, 2)</v>
      </c>
      <c r="J109" s="169" t="s">
        <v>0</v>
      </c>
      <c r="K109" s="169" t="s">
        <v>1</v>
      </c>
      <c r="L109" s="169">
        <v>30</v>
      </c>
      <c r="M109" s="168"/>
      <c r="N109" s="168"/>
      <c r="O109" s="168"/>
      <c r="P109" s="168"/>
      <c r="Q109" s="168" t="s">
        <v>0</v>
      </c>
      <c r="R109" s="168" t="s">
        <v>1</v>
      </c>
      <c r="S109" s="178" t="str">
        <f t="shared" si="5"/>
        <v>D_CLAIM_ORIG_BTHPROVISION_BAL_CCY_AMT</v>
      </c>
    </row>
    <row r="110" spans="1:19" ht="14.4" x14ac:dyDescent="0.3">
      <c r="A110" s="169" t="s">
        <v>392</v>
      </c>
      <c r="B110" s="171" t="str">
        <f t="shared" si="3"/>
        <v>Сделка</v>
      </c>
      <c r="C110" s="169" t="s">
        <v>1855</v>
      </c>
      <c r="D110" s="169">
        <v>651</v>
      </c>
      <c r="E110" s="169">
        <v>80</v>
      </c>
      <c r="F110" s="169" t="s">
        <v>1855</v>
      </c>
      <c r="G110" s="169" t="s">
        <v>1855</v>
      </c>
      <c r="H110" s="169">
        <v>21</v>
      </c>
      <c r="I110" s="136" t="str">
        <f t="shared" si="4"/>
        <v>DECIMAL(19, 2)</v>
      </c>
      <c r="J110" s="169" t="s">
        <v>0</v>
      </c>
      <c r="K110" s="169" t="s">
        <v>1</v>
      </c>
      <c r="L110" s="169">
        <v>30</v>
      </c>
      <c r="M110" s="168"/>
      <c r="N110" s="168"/>
      <c r="O110" s="168"/>
      <c r="P110" s="168"/>
      <c r="Q110" s="168" t="s">
        <v>0</v>
      </c>
      <c r="R110" s="168" t="s">
        <v>1</v>
      </c>
      <c r="S110" s="178" t="str">
        <f t="shared" si="5"/>
        <v>D_CLAIM_ORIG_BTHPROVISION_BAL_RUB_AMT</v>
      </c>
    </row>
    <row r="111" spans="1:19" ht="14.4" x14ac:dyDescent="0.3">
      <c r="A111" s="169" t="s">
        <v>392</v>
      </c>
      <c r="B111" s="171" t="str">
        <f t="shared" si="3"/>
        <v>Сделка</v>
      </c>
      <c r="C111" s="169" t="s">
        <v>648</v>
      </c>
      <c r="D111" s="169">
        <v>652</v>
      </c>
      <c r="E111" s="169">
        <v>81</v>
      </c>
      <c r="F111" s="169" t="s">
        <v>648</v>
      </c>
      <c r="G111" s="169" t="s">
        <v>648</v>
      </c>
      <c r="H111" s="169">
        <v>21</v>
      </c>
      <c r="I111" s="136" t="str">
        <f t="shared" si="4"/>
        <v>DECIMAL(19, 2)</v>
      </c>
      <c r="J111" s="169" t="s">
        <v>0</v>
      </c>
      <c r="K111" s="169" t="s">
        <v>1</v>
      </c>
      <c r="L111" s="169">
        <v>30</v>
      </c>
      <c r="M111" s="168"/>
      <c r="N111" s="168"/>
      <c r="O111" s="168"/>
      <c r="P111" s="168"/>
      <c r="Q111" s="168" t="s">
        <v>0</v>
      </c>
      <c r="R111" s="168" t="s">
        <v>1</v>
      </c>
      <c r="S111" s="178" t="str">
        <f t="shared" si="5"/>
        <v>D_CLAIM_ORIG_BTHPROVISION_CCY_AMT</v>
      </c>
    </row>
    <row r="112" spans="1:19" ht="14.4" x14ac:dyDescent="0.3">
      <c r="A112" s="169" t="s">
        <v>392</v>
      </c>
      <c r="B112" s="171" t="str">
        <f t="shared" si="3"/>
        <v>Сделка</v>
      </c>
      <c r="C112" s="169" t="s">
        <v>1464</v>
      </c>
      <c r="D112" s="169">
        <v>653</v>
      </c>
      <c r="E112" s="169">
        <v>82</v>
      </c>
      <c r="F112" s="169" t="s">
        <v>1464</v>
      </c>
      <c r="G112" s="169" t="s">
        <v>1464</v>
      </c>
      <c r="H112" s="169">
        <v>7</v>
      </c>
      <c r="I112" s="136" t="str">
        <f t="shared" si="4"/>
        <v>BIGINT</v>
      </c>
      <c r="J112" s="169" t="s">
        <v>0</v>
      </c>
      <c r="K112" s="169" t="s">
        <v>1</v>
      </c>
      <c r="L112" s="169">
        <v>30</v>
      </c>
      <c r="M112" s="168"/>
      <c r="N112" s="168"/>
      <c r="O112" s="168"/>
      <c r="P112" s="168"/>
      <c r="Q112" s="168" t="s">
        <v>0</v>
      </c>
      <c r="R112" s="168" t="s">
        <v>1</v>
      </c>
      <c r="S112" s="178" t="str">
        <f t="shared" si="5"/>
        <v>D_CLAIM_ORIG_BTHPROVISION_CURRENCY_ID</v>
      </c>
    </row>
    <row r="113" spans="1:19" ht="14.4" x14ac:dyDescent="0.3">
      <c r="A113" s="169" t="s">
        <v>392</v>
      </c>
      <c r="B113" s="171" t="str">
        <f t="shared" si="3"/>
        <v>Сделка</v>
      </c>
      <c r="C113" s="169" t="s">
        <v>1856</v>
      </c>
      <c r="D113" s="169">
        <v>654</v>
      </c>
      <c r="E113" s="169">
        <v>83</v>
      </c>
      <c r="F113" s="169" t="s">
        <v>1856</v>
      </c>
      <c r="G113" s="169" t="s">
        <v>1856</v>
      </c>
      <c r="H113" s="169">
        <v>21</v>
      </c>
      <c r="I113" s="136" t="str">
        <f t="shared" si="4"/>
        <v>DECIMAL(19, 2)</v>
      </c>
      <c r="J113" s="169" t="s">
        <v>0</v>
      </c>
      <c r="K113" s="169" t="s">
        <v>1</v>
      </c>
      <c r="L113" s="169">
        <v>30</v>
      </c>
      <c r="M113" s="168"/>
      <c r="N113" s="168"/>
      <c r="O113" s="168"/>
      <c r="P113" s="168"/>
      <c r="Q113" s="168" t="s">
        <v>0</v>
      </c>
      <c r="R113" s="168" t="s">
        <v>1</v>
      </c>
      <c r="S113" s="178" t="str">
        <f t="shared" si="5"/>
        <v>D_CLAIM_ORIG_BTHPROVISION_OFF_BAL_CCY_AMT</v>
      </c>
    </row>
    <row r="114" spans="1:19" ht="14.4" x14ac:dyDescent="0.3">
      <c r="A114" s="169" t="s">
        <v>392</v>
      </c>
      <c r="B114" s="171" t="str">
        <f t="shared" si="3"/>
        <v>Сделка</v>
      </c>
      <c r="C114" s="169" t="s">
        <v>1857</v>
      </c>
      <c r="D114" s="169">
        <v>655</v>
      </c>
      <c r="E114" s="169">
        <v>84</v>
      </c>
      <c r="F114" s="169" t="s">
        <v>1857</v>
      </c>
      <c r="G114" s="169" t="s">
        <v>1857</v>
      </c>
      <c r="H114" s="169">
        <v>21</v>
      </c>
      <c r="I114" s="136" t="str">
        <f t="shared" si="4"/>
        <v>DECIMAL(19, 2)</v>
      </c>
      <c r="J114" s="169" t="s">
        <v>0</v>
      </c>
      <c r="K114" s="169" t="s">
        <v>1</v>
      </c>
      <c r="L114" s="169">
        <v>30</v>
      </c>
      <c r="M114" s="168"/>
      <c r="N114" s="168"/>
      <c r="O114" s="168"/>
      <c r="P114" s="168"/>
      <c r="Q114" s="168" t="s">
        <v>0</v>
      </c>
      <c r="R114" s="168" t="s">
        <v>1</v>
      </c>
      <c r="S114" s="178" t="str">
        <f t="shared" si="5"/>
        <v>D_CLAIM_ORIG_BTHPROVISION_OFF_BAL_RUB_AMT</v>
      </c>
    </row>
    <row r="115" spans="1:19" ht="14.4" x14ac:dyDescent="0.3">
      <c r="A115" s="169" t="s">
        <v>392</v>
      </c>
      <c r="B115" s="171" t="str">
        <f t="shared" si="3"/>
        <v>Сделка</v>
      </c>
      <c r="C115" s="169" t="s">
        <v>605</v>
      </c>
      <c r="D115" s="169">
        <v>656</v>
      </c>
      <c r="E115" s="169">
        <v>85</v>
      </c>
      <c r="F115" s="169" t="s">
        <v>605</v>
      </c>
      <c r="G115" s="169" t="s">
        <v>605</v>
      </c>
      <c r="H115" s="169">
        <v>21</v>
      </c>
      <c r="I115" s="136" t="str">
        <f t="shared" si="4"/>
        <v>DECIMAL(19, 2)</v>
      </c>
      <c r="J115" s="169" t="s">
        <v>0</v>
      </c>
      <c r="K115" s="169" t="s">
        <v>1</v>
      </c>
      <c r="L115" s="169">
        <v>30</v>
      </c>
      <c r="M115" s="168"/>
      <c r="N115" s="168"/>
      <c r="O115" s="168"/>
      <c r="P115" s="168"/>
      <c r="Q115" s="168" t="s">
        <v>0</v>
      </c>
      <c r="R115" s="168" t="s">
        <v>1</v>
      </c>
      <c r="S115" s="178" t="str">
        <f t="shared" si="5"/>
        <v>D_CLAIM_ORIG_BTHPROVISION_RUB_AMT</v>
      </c>
    </row>
    <row r="116" spans="1:19" ht="14.4" x14ac:dyDescent="0.3">
      <c r="A116" s="169" t="s">
        <v>392</v>
      </c>
      <c r="B116" s="171" t="str">
        <f t="shared" si="3"/>
        <v>Сделка</v>
      </c>
      <c r="C116" s="169" t="s">
        <v>438</v>
      </c>
      <c r="D116" s="169">
        <v>657</v>
      </c>
      <c r="E116" s="169">
        <v>86</v>
      </c>
      <c r="F116" s="169" t="s">
        <v>438</v>
      </c>
      <c r="G116" s="169" t="s">
        <v>438</v>
      </c>
      <c r="H116" s="169">
        <v>22</v>
      </c>
      <c r="I116" s="136" t="str">
        <f t="shared" si="4"/>
        <v>TIMESTAMP(6)</v>
      </c>
      <c r="J116" s="169" t="s">
        <v>1</v>
      </c>
      <c r="K116" s="169" t="s">
        <v>1</v>
      </c>
      <c r="L116" s="169">
        <v>30</v>
      </c>
      <c r="M116" s="168"/>
      <c r="N116" s="168"/>
      <c r="O116" s="168"/>
      <c r="P116" s="168"/>
      <c r="Q116" s="168" t="s">
        <v>0</v>
      </c>
      <c r="R116" s="168" t="s">
        <v>1</v>
      </c>
      <c r="S116" s="178" t="str">
        <f t="shared" si="5"/>
        <v>D_CLAIM_ORIG_BTHRECORD_CLOSE_TS</v>
      </c>
    </row>
    <row r="117" spans="1:19" ht="14.4" x14ac:dyDescent="0.3">
      <c r="A117" s="169" t="s">
        <v>392</v>
      </c>
      <c r="B117" s="171" t="str">
        <f t="shared" si="3"/>
        <v>Сделка</v>
      </c>
      <c r="C117" s="169" t="s">
        <v>440</v>
      </c>
      <c r="D117" s="169">
        <v>689</v>
      </c>
      <c r="E117" s="169">
        <v>87</v>
      </c>
      <c r="F117" s="169" t="s">
        <v>440</v>
      </c>
      <c r="G117" s="169" t="s">
        <v>440</v>
      </c>
      <c r="H117" s="169">
        <v>22</v>
      </c>
      <c r="I117" s="136" t="str">
        <f t="shared" si="4"/>
        <v>TIMESTAMP(6)</v>
      </c>
      <c r="J117" s="169" t="s">
        <v>1</v>
      </c>
      <c r="K117" s="169" t="s">
        <v>1</v>
      </c>
      <c r="L117" s="169">
        <v>30</v>
      </c>
      <c r="M117" s="168"/>
      <c r="N117" s="168"/>
      <c r="O117" s="168"/>
      <c r="P117" s="168"/>
      <c r="Q117" s="168" t="s">
        <v>0</v>
      </c>
      <c r="R117" s="168" t="s">
        <v>1</v>
      </c>
      <c r="S117" s="178" t="str">
        <f t="shared" si="5"/>
        <v>D_CLAIM_ORIG_BTHRECORD_CREATE_TS</v>
      </c>
    </row>
    <row r="118" spans="1:19" ht="14.4" x14ac:dyDescent="0.3">
      <c r="A118" s="169" t="s">
        <v>392</v>
      </c>
      <c r="B118" s="171" t="str">
        <f t="shared" si="3"/>
        <v>Сделка</v>
      </c>
      <c r="C118" s="169" t="s">
        <v>429</v>
      </c>
      <c r="D118" s="169">
        <v>690</v>
      </c>
      <c r="E118" s="169">
        <v>88</v>
      </c>
      <c r="F118" s="169" t="s">
        <v>429</v>
      </c>
      <c r="G118" s="169" t="s">
        <v>429</v>
      </c>
      <c r="H118" s="169">
        <v>22</v>
      </c>
      <c r="I118" s="136" t="str">
        <f t="shared" si="4"/>
        <v>TIMESTAMP(6)</v>
      </c>
      <c r="J118" s="169" t="s">
        <v>1</v>
      </c>
      <c r="K118" s="169" t="s">
        <v>1</v>
      </c>
      <c r="L118" s="169">
        <v>30</v>
      </c>
      <c r="M118" s="168"/>
      <c r="N118" s="168"/>
      <c r="O118" s="168"/>
      <c r="P118" s="168"/>
      <c r="Q118" s="168" t="s">
        <v>0</v>
      </c>
      <c r="R118" s="168" t="s">
        <v>1</v>
      </c>
      <c r="S118" s="178" t="str">
        <f t="shared" si="5"/>
        <v>D_CLAIM_ORIG_BTHRECORD_UPDATE_TS</v>
      </c>
    </row>
    <row r="119" spans="1:19" ht="14.4" x14ac:dyDescent="0.3">
      <c r="A119" s="169" t="s">
        <v>392</v>
      </c>
      <c r="B119" s="171" t="str">
        <f t="shared" si="3"/>
        <v>Сделка</v>
      </c>
      <c r="C119" s="169" t="s">
        <v>498</v>
      </c>
      <c r="D119" s="169">
        <v>691</v>
      </c>
      <c r="E119" s="169">
        <v>89</v>
      </c>
      <c r="F119" s="169" t="s">
        <v>498</v>
      </c>
      <c r="G119" s="169" t="s">
        <v>498</v>
      </c>
      <c r="H119" s="169">
        <v>7</v>
      </c>
      <c r="I119" s="136" t="str">
        <f t="shared" si="4"/>
        <v>BIGINT</v>
      </c>
      <c r="J119" s="169" t="s">
        <v>1</v>
      </c>
      <c r="K119" s="169" t="s">
        <v>1</v>
      </c>
      <c r="L119" s="169">
        <v>30</v>
      </c>
      <c r="M119" s="168"/>
      <c r="N119" s="168"/>
      <c r="O119" s="168"/>
      <c r="P119" s="168"/>
      <c r="Q119" s="168" t="s">
        <v>0</v>
      </c>
      <c r="R119" s="168" t="s">
        <v>1</v>
      </c>
      <c r="S119" s="178" t="str">
        <f t="shared" si="5"/>
        <v>D_CLAIM_ORIG_BTHRUN_ID</v>
      </c>
    </row>
    <row r="120" spans="1:19" ht="14.4" x14ac:dyDescent="0.3">
      <c r="A120" s="169" t="s">
        <v>392</v>
      </c>
      <c r="B120" s="171" t="str">
        <f t="shared" si="3"/>
        <v>Сделка</v>
      </c>
      <c r="C120" s="169" t="s">
        <v>607</v>
      </c>
      <c r="D120" s="169">
        <v>692</v>
      </c>
      <c r="E120" s="169">
        <v>90</v>
      </c>
      <c r="F120" s="169" t="s">
        <v>607</v>
      </c>
      <c r="G120" s="169" t="s">
        <v>607</v>
      </c>
      <c r="H120" s="169">
        <v>7</v>
      </c>
      <c r="I120" s="136" t="str">
        <f t="shared" si="4"/>
        <v>BIGINT</v>
      </c>
      <c r="J120" s="169" t="s">
        <v>0</v>
      </c>
      <c r="K120" s="169" t="s">
        <v>1</v>
      </c>
      <c r="L120" s="169">
        <v>30</v>
      </c>
      <c r="M120" s="168"/>
      <c r="N120" s="168"/>
      <c r="O120" s="168"/>
      <c r="P120" s="168"/>
      <c r="Q120" s="168" t="s">
        <v>0</v>
      </c>
      <c r="R120" s="168" t="s">
        <v>1</v>
      </c>
      <c r="S120" s="178" t="str">
        <f t="shared" si="5"/>
        <v>D_CLAIM_ORIG_BTHSECURITIZATION_POOL_ID</v>
      </c>
    </row>
    <row r="121" spans="1:19" ht="14.4" x14ac:dyDescent="0.3">
      <c r="A121" s="169" t="s">
        <v>392</v>
      </c>
      <c r="B121" s="171" t="str">
        <f t="shared" si="3"/>
        <v>Сделка</v>
      </c>
      <c r="C121" s="169" t="s">
        <v>1544</v>
      </c>
      <c r="D121" s="169">
        <v>693</v>
      </c>
      <c r="E121" s="169">
        <v>91</v>
      </c>
      <c r="F121" s="169" t="s">
        <v>1544</v>
      </c>
      <c r="G121" s="169" t="s">
        <v>1544</v>
      </c>
      <c r="H121" s="169">
        <v>7</v>
      </c>
      <c r="I121" s="136" t="str">
        <f t="shared" si="4"/>
        <v>BIGINT</v>
      </c>
      <c r="J121" s="169" t="s">
        <v>0</v>
      </c>
      <c r="K121" s="169" t="s">
        <v>1</v>
      </c>
      <c r="L121" s="169">
        <v>30</v>
      </c>
      <c r="M121" s="168"/>
      <c r="N121" s="168"/>
      <c r="O121" s="168"/>
      <c r="P121" s="168"/>
      <c r="Q121" s="168" t="s">
        <v>0</v>
      </c>
      <c r="R121" s="168" t="s">
        <v>1</v>
      </c>
      <c r="S121" s="178" t="str">
        <f t="shared" si="5"/>
        <v>D_CLAIM_ORIG_BTHSUBSIDIARY_LOAN_TYPE_ID</v>
      </c>
    </row>
    <row r="122" spans="1:19" ht="14.4" x14ac:dyDescent="0.3">
      <c r="A122" s="169" t="s">
        <v>392</v>
      </c>
      <c r="B122" s="171" t="str">
        <f t="shared" si="3"/>
        <v>Сделка</v>
      </c>
      <c r="C122" s="169" t="s">
        <v>609</v>
      </c>
      <c r="D122" s="169">
        <v>694</v>
      </c>
      <c r="E122" s="169">
        <v>92</v>
      </c>
      <c r="F122" s="169" t="s">
        <v>609</v>
      </c>
      <c r="G122" s="169" t="s">
        <v>609</v>
      </c>
      <c r="H122" s="169">
        <v>3</v>
      </c>
      <c r="I122" s="136" t="str">
        <f t="shared" si="4"/>
        <v>DECIMAL(20, 6)</v>
      </c>
      <c r="J122" s="169" t="s">
        <v>0</v>
      </c>
      <c r="K122" s="169" t="s">
        <v>1</v>
      </c>
      <c r="L122" s="169">
        <v>30</v>
      </c>
      <c r="M122" s="168"/>
      <c r="N122" s="168"/>
      <c r="O122" s="168"/>
      <c r="P122" s="168"/>
      <c r="Q122" s="168" t="s">
        <v>0</v>
      </c>
      <c r="R122" s="168" t="s">
        <v>1</v>
      </c>
      <c r="S122" s="178" t="str">
        <f t="shared" si="5"/>
        <v>D_CLAIM_ORIG_BTHTHICKNESS_PCT</v>
      </c>
    </row>
    <row r="123" spans="1:19" ht="14.4" x14ac:dyDescent="0.3">
      <c r="A123" s="169" t="s">
        <v>392</v>
      </c>
      <c r="B123" s="171" t="str">
        <f t="shared" si="3"/>
        <v>Сделка</v>
      </c>
      <c r="C123" s="169" t="s">
        <v>547</v>
      </c>
      <c r="D123" s="169">
        <v>695</v>
      </c>
      <c r="E123" s="169">
        <v>93</v>
      </c>
      <c r="F123" s="169" t="s">
        <v>547</v>
      </c>
      <c r="G123" s="169" t="s">
        <v>547</v>
      </c>
      <c r="H123" s="169">
        <v>7</v>
      </c>
      <c r="I123" s="136" t="str">
        <f t="shared" si="4"/>
        <v>BIGINT</v>
      </c>
      <c r="J123" s="169" t="s">
        <v>0</v>
      </c>
      <c r="K123" s="169" t="s">
        <v>1</v>
      </c>
      <c r="L123" s="169">
        <v>30</v>
      </c>
      <c r="M123" s="168"/>
      <c r="N123" s="168"/>
      <c r="O123" s="168"/>
      <c r="P123" s="168"/>
      <c r="Q123" s="168" t="s">
        <v>0</v>
      </c>
      <c r="R123" s="168" t="s">
        <v>1</v>
      </c>
      <c r="S123" s="178" t="str">
        <f t="shared" si="5"/>
        <v>D_CLAIM_ORIG_BTHUNDERW_PROCEDURE_ID</v>
      </c>
    </row>
    <row r="124" spans="1:19" ht="14.4" x14ac:dyDescent="0.3">
      <c r="A124" s="169" t="s">
        <v>392</v>
      </c>
      <c r="B124" s="171" t="str">
        <f t="shared" si="3"/>
        <v>Сделка</v>
      </c>
      <c r="C124" s="169" t="s">
        <v>622</v>
      </c>
      <c r="D124" s="169">
        <v>712</v>
      </c>
      <c r="E124" s="169">
        <v>94</v>
      </c>
      <c r="F124" s="169" t="s">
        <v>622</v>
      </c>
      <c r="G124" s="169" t="s">
        <v>622</v>
      </c>
      <c r="H124" s="169">
        <v>21</v>
      </c>
      <c r="I124" s="136" t="str">
        <f t="shared" si="4"/>
        <v>DECIMAL(19, 2)</v>
      </c>
      <c r="J124" s="169" t="s">
        <v>0</v>
      </c>
      <c r="K124" s="169" t="s">
        <v>1</v>
      </c>
      <c r="L124" s="169">
        <v>30</v>
      </c>
      <c r="M124" s="168"/>
      <c r="N124" s="168"/>
      <c r="O124" s="168"/>
      <c r="P124" s="168"/>
      <c r="Q124" s="168" t="s">
        <v>0</v>
      </c>
      <c r="R124" s="168" t="s">
        <v>1</v>
      </c>
      <c r="S124" s="178" t="str">
        <f t="shared" si="5"/>
        <v>D_CLAIM_ORIG_BTHUNUSED_LIMIT_CCY_AMT</v>
      </c>
    </row>
    <row r="125" spans="1:19" ht="14.4" x14ac:dyDescent="0.3">
      <c r="A125" s="169" t="s">
        <v>392</v>
      </c>
      <c r="B125" s="171" t="str">
        <f t="shared" si="3"/>
        <v>Сделка</v>
      </c>
      <c r="C125" s="169" t="s">
        <v>620</v>
      </c>
      <c r="D125" s="169">
        <v>713</v>
      </c>
      <c r="E125" s="169">
        <v>95</v>
      </c>
      <c r="F125" s="169" t="s">
        <v>620</v>
      </c>
      <c r="G125" s="169" t="s">
        <v>620</v>
      </c>
      <c r="H125" s="169">
        <v>21</v>
      </c>
      <c r="I125" s="136" t="str">
        <f t="shared" si="4"/>
        <v>DECIMAL(19, 2)</v>
      </c>
      <c r="J125" s="169" t="s">
        <v>0</v>
      </c>
      <c r="K125" s="169" t="s">
        <v>1</v>
      </c>
      <c r="L125" s="169">
        <v>30</v>
      </c>
      <c r="M125" s="168"/>
      <c r="N125" s="168"/>
      <c r="O125" s="168"/>
      <c r="P125" s="168"/>
      <c r="Q125" s="168" t="s">
        <v>0</v>
      </c>
      <c r="R125" s="168" t="s">
        <v>1</v>
      </c>
      <c r="S125" s="178" t="str">
        <f t="shared" si="5"/>
        <v>D_CLAIM_ORIG_BTHUNUSED_LIMIT_RUB_AMT</v>
      </c>
    </row>
    <row r="126" spans="1:19" ht="14.4" x14ac:dyDescent="0.3">
      <c r="A126" s="169" t="s">
        <v>392</v>
      </c>
      <c r="B126" s="171" t="str">
        <f t="shared" si="3"/>
        <v>Сделка</v>
      </c>
      <c r="C126" s="169" t="s">
        <v>492</v>
      </c>
      <c r="D126" s="169">
        <v>714</v>
      </c>
      <c r="E126" s="169">
        <v>96</v>
      </c>
      <c r="F126" s="169" t="s">
        <v>492</v>
      </c>
      <c r="G126" s="169" t="s">
        <v>492</v>
      </c>
      <c r="H126" s="169">
        <v>34</v>
      </c>
      <c r="I126" s="136" t="str">
        <f t="shared" si="4"/>
        <v>DATE</v>
      </c>
      <c r="J126" s="169" t="s">
        <v>1</v>
      </c>
      <c r="K126" s="169" t="s">
        <v>1</v>
      </c>
      <c r="L126" s="169">
        <v>30</v>
      </c>
      <c r="M126" s="168"/>
      <c r="N126" s="168"/>
      <c r="O126" s="168"/>
      <c r="P126" s="168"/>
      <c r="Q126" s="168" t="s">
        <v>0</v>
      </c>
      <c r="R126" s="168" t="s">
        <v>1</v>
      </c>
      <c r="S126" s="178" t="str">
        <f t="shared" si="5"/>
        <v>D_CLAIM_ORIG_BTHVALIDITY_DT</v>
      </c>
    </row>
    <row r="127" spans="1:19" ht="14.4" x14ac:dyDescent="0.3">
      <c r="A127" s="169" t="s">
        <v>419</v>
      </c>
      <c r="B127" s="171" t="str">
        <f t="shared" si="3"/>
        <v>Таблица-саттелит сделки</v>
      </c>
      <c r="C127" s="169" t="s">
        <v>1462</v>
      </c>
      <c r="D127" s="169">
        <v>2051</v>
      </c>
      <c r="E127" s="169">
        <v>1</v>
      </c>
      <c r="F127" s="169" t="s">
        <v>1462</v>
      </c>
      <c r="G127" s="169" t="s">
        <v>1462</v>
      </c>
      <c r="H127" s="169">
        <v>13</v>
      </c>
      <c r="I127" s="136" t="str">
        <f t="shared" si="4"/>
        <v xml:space="preserve">VARCHAR(300) </v>
      </c>
      <c r="J127" s="169" t="s">
        <v>0</v>
      </c>
      <c r="K127" s="169" t="s">
        <v>1</v>
      </c>
      <c r="L127" s="169">
        <v>30</v>
      </c>
      <c r="M127" s="168"/>
      <c r="N127" s="168"/>
      <c r="O127" s="168"/>
      <c r="P127" s="168"/>
      <c r="Q127" s="168" t="s">
        <v>0</v>
      </c>
      <c r="R127" s="168" t="s">
        <v>1</v>
      </c>
      <c r="S127" s="178" t="str">
        <f t="shared" si="5"/>
        <v>D_CLAIM_ORIG_STL1_BTHCALC_ID_IN_CRM</v>
      </c>
    </row>
    <row r="128" spans="1:19" ht="14.4" x14ac:dyDescent="0.3">
      <c r="A128" s="169" t="s">
        <v>419</v>
      </c>
      <c r="B128" s="171" t="str">
        <f t="shared" si="3"/>
        <v>Таблица-саттелит сделки</v>
      </c>
      <c r="C128" s="169" t="s">
        <v>585</v>
      </c>
      <c r="D128" s="169">
        <v>55</v>
      </c>
      <c r="E128" s="169">
        <v>2</v>
      </c>
      <c r="F128" s="169" t="s">
        <v>585</v>
      </c>
      <c r="G128" s="169" t="s">
        <v>585</v>
      </c>
      <c r="H128" s="169">
        <v>7</v>
      </c>
      <c r="I128" s="136" t="str">
        <f t="shared" si="4"/>
        <v>BIGINT</v>
      </c>
      <c r="J128" s="169" t="s">
        <v>1</v>
      </c>
      <c r="K128" s="169" t="s">
        <v>0</v>
      </c>
      <c r="L128" s="169">
        <v>30</v>
      </c>
      <c r="M128" s="168"/>
      <c r="N128" s="168"/>
      <c r="O128" s="168"/>
      <c r="P128" s="168"/>
      <c r="Q128" s="168" t="s">
        <v>0</v>
      </c>
      <c r="R128" s="168" t="s">
        <v>1</v>
      </c>
      <c r="S128" s="178" t="str">
        <f t="shared" si="5"/>
        <v>D_CLAIM_ORIG_STL1_BTHCLAIM_ORIG_ID</v>
      </c>
    </row>
    <row r="129" spans="1:19" ht="14.4" x14ac:dyDescent="0.3">
      <c r="A129" s="169" t="s">
        <v>419</v>
      </c>
      <c r="B129" s="171" t="str">
        <f t="shared" si="3"/>
        <v>Таблица-саттелит сделки</v>
      </c>
      <c r="C129" s="169" t="s">
        <v>1511</v>
      </c>
      <c r="D129" s="169">
        <v>56</v>
      </c>
      <c r="E129" s="169">
        <v>3</v>
      </c>
      <c r="F129" s="169" t="s">
        <v>1511</v>
      </c>
      <c r="G129" s="169" t="s">
        <v>1511</v>
      </c>
      <c r="H129" s="169">
        <v>7</v>
      </c>
      <c r="I129" s="136" t="str">
        <f t="shared" si="4"/>
        <v>BIGINT</v>
      </c>
      <c r="J129" s="169" t="s">
        <v>1</v>
      </c>
      <c r="K129" s="169" t="s">
        <v>1</v>
      </c>
      <c r="L129" s="169">
        <v>30</v>
      </c>
      <c r="M129" s="168"/>
      <c r="N129" s="168"/>
      <c r="O129" s="168"/>
      <c r="P129" s="168"/>
      <c r="Q129" s="168" t="s">
        <v>0</v>
      </c>
      <c r="R129" s="168" t="s">
        <v>1</v>
      </c>
      <c r="S129" s="178" t="str">
        <f t="shared" si="5"/>
        <v>D_CLAIM_ORIG_STL1_BTHCLAIM_ORIG_STL1_SK</v>
      </c>
    </row>
    <row r="130" spans="1:19" ht="14.4" x14ac:dyDescent="0.3">
      <c r="A130" s="169" t="s">
        <v>419</v>
      </c>
      <c r="B130" s="171" t="str">
        <f t="shared" ref="B130:B193" si="6">IF(NOT(ISBLANK(A130)),VLOOKUP(A130,ERM_TABLE_NM,2,FALSE), "")</f>
        <v>Таблица-саттелит сделки</v>
      </c>
      <c r="C130" s="169" t="s">
        <v>1473</v>
      </c>
      <c r="D130" s="169">
        <v>57</v>
      </c>
      <c r="E130" s="169">
        <v>4</v>
      </c>
      <c r="F130" s="169" t="s">
        <v>1473</v>
      </c>
      <c r="G130" s="169" t="s">
        <v>1473</v>
      </c>
      <c r="H130" s="169">
        <v>21</v>
      </c>
      <c r="I130" s="136" t="str">
        <f t="shared" ref="I130:I193" si="7">IF(NOT(ISBLANK(H130)),VLOOKUP(H130,ERM_DOMAIN_NM,2,FALSE), "")</f>
        <v>DECIMAL(19, 2)</v>
      </c>
      <c r="J130" s="169" t="s">
        <v>0</v>
      </c>
      <c r="K130" s="169" t="s">
        <v>1</v>
      </c>
      <c r="L130" s="169">
        <v>30</v>
      </c>
      <c r="M130" s="168"/>
      <c r="N130" s="168"/>
      <c r="O130" s="168"/>
      <c r="P130" s="168"/>
      <c r="Q130" s="168" t="s">
        <v>0</v>
      </c>
      <c r="R130" s="168" t="s">
        <v>1</v>
      </c>
      <c r="S130" s="178" t="str">
        <f t="shared" si="5"/>
        <v>D_CLAIM_ORIG_STL1_BTHCRM_EAD_RUB_AMT</v>
      </c>
    </row>
    <row r="131" spans="1:19" ht="14.4" x14ac:dyDescent="0.3">
      <c r="A131" s="169" t="s">
        <v>419</v>
      </c>
      <c r="B131" s="171" t="str">
        <f t="shared" si="6"/>
        <v>Таблица-саттелит сделки</v>
      </c>
      <c r="C131" s="169" t="s">
        <v>685</v>
      </c>
      <c r="D131" s="169">
        <v>58</v>
      </c>
      <c r="E131" s="169">
        <v>5</v>
      </c>
      <c r="F131" s="169" t="s">
        <v>685</v>
      </c>
      <c r="G131" s="169" t="s">
        <v>685</v>
      </c>
      <c r="H131" s="169">
        <v>24</v>
      </c>
      <c r="I131" s="136" t="str">
        <f t="shared" si="7"/>
        <v xml:space="preserve">VARCHAR(40) </v>
      </c>
      <c r="J131" s="169" t="s">
        <v>0</v>
      </c>
      <c r="K131" s="169" t="s">
        <v>1</v>
      </c>
      <c r="L131" s="169">
        <v>30</v>
      </c>
      <c r="M131" s="168"/>
      <c r="N131" s="168"/>
      <c r="O131" s="168"/>
      <c r="P131" s="168"/>
      <c r="Q131" s="168" t="s">
        <v>0</v>
      </c>
      <c r="R131" s="168" t="s">
        <v>1</v>
      </c>
      <c r="S131" s="178" t="str">
        <f t="shared" ref="S131:S194" si="8">CONCATENATE(A131,C131)</f>
        <v>D_CLAIM_ORIG_STL1_BTHDEAL_ID_IN_CRM</v>
      </c>
    </row>
    <row r="132" spans="1:19" ht="14.4" x14ac:dyDescent="0.3">
      <c r="A132" s="169" t="s">
        <v>419</v>
      </c>
      <c r="B132" s="171" t="str">
        <f t="shared" si="6"/>
        <v>Таблица-саттелит сделки</v>
      </c>
      <c r="C132" s="169" t="s">
        <v>696</v>
      </c>
      <c r="D132" s="169">
        <v>59</v>
      </c>
      <c r="E132" s="169">
        <v>6</v>
      </c>
      <c r="F132" s="169" t="s">
        <v>696</v>
      </c>
      <c r="G132" s="169" t="s">
        <v>696</v>
      </c>
      <c r="H132" s="169">
        <v>3</v>
      </c>
      <c r="I132" s="136" t="str">
        <f t="shared" si="7"/>
        <v>DECIMAL(20, 6)</v>
      </c>
      <c r="J132" s="169" t="s">
        <v>0</v>
      </c>
      <c r="K132" s="169" t="s">
        <v>1</v>
      </c>
      <c r="L132" s="169">
        <v>30</v>
      </c>
      <c r="M132" s="168"/>
      <c r="N132" s="168"/>
      <c r="O132" s="168"/>
      <c r="P132" s="168"/>
      <c r="Q132" s="168" t="s">
        <v>0</v>
      </c>
      <c r="R132" s="168" t="s">
        <v>1</v>
      </c>
      <c r="S132" s="178" t="str">
        <f t="shared" si="8"/>
        <v>D_CLAIM_ORIG_STL1_BTHLGD_DOWNTURN_PCT</v>
      </c>
    </row>
    <row r="133" spans="1:19" ht="14.4" x14ac:dyDescent="0.3">
      <c r="A133" s="169" t="s">
        <v>419</v>
      </c>
      <c r="B133" s="171" t="str">
        <f t="shared" si="6"/>
        <v>Таблица-саттелит сделки</v>
      </c>
      <c r="C133" s="169" t="s">
        <v>552</v>
      </c>
      <c r="D133" s="169">
        <v>60</v>
      </c>
      <c r="E133" s="169">
        <v>7</v>
      </c>
      <c r="F133" s="169" t="s">
        <v>552</v>
      </c>
      <c r="G133" s="169" t="s">
        <v>552</v>
      </c>
      <c r="H133" s="169">
        <v>3</v>
      </c>
      <c r="I133" s="136" t="str">
        <f t="shared" si="7"/>
        <v>DECIMAL(20, 6)</v>
      </c>
      <c r="J133" s="169" t="s">
        <v>0</v>
      </c>
      <c r="K133" s="169" t="s">
        <v>1</v>
      </c>
      <c r="L133" s="169">
        <v>30</v>
      </c>
      <c r="M133" s="168"/>
      <c r="N133" s="168"/>
      <c r="O133" s="168"/>
      <c r="P133" s="168"/>
      <c r="Q133" s="168" t="s">
        <v>0</v>
      </c>
      <c r="R133" s="168" t="s">
        <v>1</v>
      </c>
      <c r="S133" s="178" t="str">
        <f t="shared" si="8"/>
        <v>D_CLAIM_ORIG_STL1_BTHLGD_INDEFAULT_PCT</v>
      </c>
    </row>
    <row r="134" spans="1:19" ht="14.4" x14ac:dyDescent="0.3">
      <c r="A134" s="169" t="s">
        <v>419</v>
      </c>
      <c r="B134" s="171" t="str">
        <f t="shared" si="6"/>
        <v>Таблица-саттелит сделки</v>
      </c>
      <c r="C134" s="169" t="s">
        <v>551</v>
      </c>
      <c r="D134" s="169">
        <v>61</v>
      </c>
      <c r="E134" s="169">
        <v>8</v>
      </c>
      <c r="F134" s="169" t="s">
        <v>551</v>
      </c>
      <c r="G134" s="169" t="s">
        <v>551</v>
      </c>
      <c r="H134" s="169">
        <v>3</v>
      </c>
      <c r="I134" s="136" t="str">
        <f t="shared" si="7"/>
        <v>DECIMAL(20, 6)</v>
      </c>
      <c r="J134" s="169" t="s">
        <v>0</v>
      </c>
      <c r="K134" s="169" t="s">
        <v>1</v>
      </c>
      <c r="L134" s="169">
        <v>30</v>
      </c>
      <c r="M134" s="168"/>
      <c r="N134" s="168"/>
      <c r="O134" s="168"/>
      <c r="P134" s="168"/>
      <c r="Q134" s="168" t="s">
        <v>0</v>
      </c>
      <c r="R134" s="168" t="s">
        <v>1</v>
      </c>
      <c r="S134" s="178" t="str">
        <f t="shared" si="8"/>
        <v>D_CLAIM_ORIG_STL1_BTHLGD_LONGRUN_PCT</v>
      </c>
    </row>
    <row r="135" spans="1:19" ht="14.4" x14ac:dyDescent="0.3">
      <c r="A135" s="169" t="s">
        <v>419</v>
      </c>
      <c r="B135" s="171" t="str">
        <f t="shared" si="6"/>
        <v>Таблица-саттелит сделки</v>
      </c>
      <c r="C135" s="169" t="s">
        <v>1487</v>
      </c>
      <c r="D135" s="169">
        <v>2050</v>
      </c>
      <c r="E135" s="169">
        <v>9</v>
      </c>
      <c r="F135" s="169" t="s">
        <v>1487</v>
      </c>
      <c r="G135" s="169" t="s">
        <v>1487</v>
      </c>
      <c r="H135" s="169">
        <v>24</v>
      </c>
      <c r="I135" s="136" t="str">
        <f t="shared" si="7"/>
        <v xml:space="preserve">VARCHAR(40) </v>
      </c>
      <c r="J135" s="169" t="s">
        <v>0</v>
      </c>
      <c r="K135" s="169" t="s">
        <v>1</v>
      </c>
      <c r="L135" s="169">
        <v>30</v>
      </c>
      <c r="M135" s="168"/>
      <c r="N135" s="168"/>
      <c r="O135" s="168"/>
      <c r="P135" s="168"/>
      <c r="Q135" s="168" t="s">
        <v>0</v>
      </c>
      <c r="R135" s="168" t="s">
        <v>1</v>
      </c>
      <c r="S135" s="178" t="str">
        <f t="shared" si="8"/>
        <v>D_CLAIM_ORIG_STL1_BTHOLD_FORMAT_SUBSID_RATING_GRADE</v>
      </c>
    </row>
    <row r="136" spans="1:19" ht="14.4" x14ac:dyDescent="0.3">
      <c r="A136" s="169" t="s">
        <v>419</v>
      </c>
      <c r="B136" s="171" t="str">
        <f t="shared" si="6"/>
        <v>Таблица-саттелит сделки</v>
      </c>
      <c r="C136" s="169" t="s">
        <v>697</v>
      </c>
      <c r="D136" s="169">
        <v>62</v>
      </c>
      <c r="E136" s="169">
        <v>10</v>
      </c>
      <c r="F136" s="169" t="s">
        <v>697</v>
      </c>
      <c r="G136" s="169" t="s">
        <v>697</v>
      </c>
      <c r="H136" s="169">
        <v>3</v>
      </c>
      <c r="I136" s="136" t="str">
        <f t="shared" si="7"/>
        <v>DECIMAL(20, 6)</v>
      </c>
      <c r="J136" s="169" t="s">
        <v>0</v>
      </c>
      <c r="K136" s="169" t="s">
        <v>1</v>
      </c>
      <c r="L136" s="169">
        <v>30</v>
      </c>
      <c r="M136" s="168"/>
      <c r="N136" s="168"/>
      <c r="O136" s="168"/>
      <c r="P136" s="168"/>
      <c r="Q136" s="168" t="s">
        <v>0</v>
      </c>
      <c r="R136" s="168" t="s">
        <v>1</v>
      </c>
      <c r="S136" s="178" t="str">
        <f t="shared" si="8"/>
        <v>D_CLAIM_ORIG_STL1_BTHPD_PIT_PCT</v>
      </c>
    </row>
    <row r="137" spans="1:19" ht="14.4" x14ac:dyDescent="0.3">
      <c r="A137" s="169" t="s">
        <v>419</v>
      </c>
      <c r="B137" s="171" t="str">
        <f t="shared" si="6"/>
        <v>Таблица-саттелит сделки</v>
      </c>
      <c r="C137" s="169" t="s">
        <v>437</v>
      </c>
      <c r="D137" s="169">
        <v>63</v>
      </c>
      <c r="E137" s="169">
        <v>11</v>
      </c>
      <c r="F137" s="169" t="s">
        <v>437</v>
      </c>
      <c r="G137" s="169" t="s">
        <v>437</v>
      </c>
      <c r="H137" s="169">
        <v>3</v>
      </c>
      <c r="I137" s="136" t="str">
        <f t="shared" si="7"/>
        <v>DECIMAL(20, 6)</v>
      </c>
      <c r="J137" s="169" t="s">
        <v>0</v>
      </c>
      <c r="K137" s="169" t="s">
        <v>1</v>
      </c>
      <c r="L137" s="169">
        <v>30</v>
      </c>
      <c r="M137" s="168"/>
      <c r="N137" s="168"/>
      <c r="O137" s="168"/>
      <c r="P137" s="168"/>
      <c r="Q137" s="168" t="s">
        <v>0</v>
      </c>
      <c r="R137" s="168" t="s">
        <v>1</v>
      </c>
      <c r="S137" s="178" t="str">
        <f t="shared" si="8"/>
        <v>D_CLAIM_ORIG_STL1_BTHPD_TTC_PCT</v>
      </c>
    </row>
    <row r="138" spans="1:19" ht="14.4" x14ac:dyDescent="0.3">
      <c r="A138" s="169" t="s">
        <v>419</v>
      </c>
      <c r="B138" s="171" t="str">
        <f t="shared" si="6"/>
        <v>Таблица-саттелит сделки</v>
      </c>
      <c r="C138" s="169" t="s">
        <v>682</v>
      </c>
      <c r="D138" s="169">
        <v>64</v>
      </c>
      <c r="E138" s="169">
        <v>12</v>
      </c>
      <c r="F138" s="169" t="s">
        <v>682</v>
      </c>
      <c r="G138" s="169" t="s">
        <v>682</v>
      </c>
      <c r="H138" s="169">
        <v>27</v>
      </c>
      <c r="I138" s="136" t="str">
        <f t="shared" si="7"/>
        <v>INTEGER</v>
      </c>
      <c r="J138" s="169" t="s">
        <v>0</v>
      </c>
      <c r="K138" s="169" t="s">
        <v>1</v>
      </c>
      <c r="L138" s="169">
        <v>30</v>
      </c>
      <c r="M138" s="168"/>
      <c r="N138" s="168"/>
      <c r="O138" s="168"/>
      <c r="P138" s="168"/>
      <c r="Q138" s="168" t="s">
        <v>0</v>
      </c>
      <c r="R138" s="168" t="s">
        <v>1</v>
      </c>
      <c r="S138" s="178" t="str">
        <f t="shared" si="8"/>
        <v>D_CLAIM_ORIG_STL1_BTHPREV_RATING_GRADE</v>
      </c>
    </row>
    <row r="139" spans="1:19" ht="14.4" x14ac:dyDescent="0.3">
      <c r="A139" s="169" t="s">
        <v>419</v>
      </c>
      <c r="B139" s="171" t="str">
        <f t="shared" si="6"/>
        <v>Таблица-саттелит сделки</v>
      </c>
      <c r="C139" s="169" t="s">
        <v>684</v>
      </c>
      <c r="D139" s="169">
        <v>65</v>
      </c>
      <c r="E139" s="169">
        <v>13</v>
      </c>
      <c r="F139" s="169" t="s">
        <v>684</v>
      </c>
      <c r="G139" s="169" t="s">
        <v>684</v>
      </c>
      <c r="H139" s="169">
        <v>34</v>
      </c>
      <c r="I139" s="136" t="str">
        <f t="shared" si="7"/>
        <v>DATE</v>
      </c>
      <c r="J139" s="169" t="s">
        <v>0</v>
      </c>
      <c r="K139" s="169" t="s">
        <v>1</v>
      </c>
      <c r="L139" s="169">
        <v>30</v>
      </c>
      <c r="M139" s="168"/>
      <c r="N139" s="168"/>
      <c r="O139" s="168"/>
      <c r="P139" s="168"/>
      <c r="Q139" s="168" t="s">
        <v>0</v>
      </c>
      <c r="R139" s="168" t="s">
        <v>1</v>
      </c>
      <c r="S139" s="178" t="str">
        <f t="shared" si="8"/>
        <v>D_CLAIM_ORIG_STL1_BTHPREV_RATING_GRADE_ESTBL_DT</v>
      </c>
    </row>
    <row r="140" spans="1:19" ht="14.4" x14ac:dyDescent="0.3">
      <c r="A140" s="169" t="s">
        <v>419</v>
      </c>
      <c r="B140" s="171" t="str">
        <f t="shared" si="6"/>
        <v>Таблица-саттелит сделки</v>
      </c>
      <c r="C140" s="169" t="s">
        <v>611</v>
      </c>
      <c r="D140" s="169">
        <v>66</v>
      </c>
      <c r="E140" s="169">
        <v>14</v>
      </c>
      <c r="F140" s="169" t="s">
        <v>611</v>
      </c>
      <c r="G140" s="169" t="s">
        <v>611</v>
      </c>
      <c r="H140" s="169">
        <v>27</v>
      </c>
      <c r="I140" s="136" t="str">
        <f t="shared" si="7"/>
        <v>INTEGER</v>
      </c>
      <c r="J140" s="169" t="s">
        <v>0</v>
      </c>
      <c r="K140" s="169" t="s">
        <v>1</v>
      </c>
      <c r="L140" s="169">
        <v>30</v>
      </c>
      <c r="M140" s="168"/>
      <c r="N140" s="168"/>
      <c r="O140" s="168"/>
      <c r="P140" s="168"/>
      <c r="Q140" s="168" t="s">
        <v>0</v>
      </c>
      <c r="R140" s="168" t="s">
        <v>1</v>
      </c>
      <c r="S140" s="178" t="str">
        <f t="shared" si="8"/>
        <v>D_CLAIM_ORIG_STL1_BTHRATING_GRADE</v>
      </c>
    </row>
    <row r="141" spans="1:19" ht="14.4" x14ac:dyDescent="0.3">
      <c r="A141" s="169" t="s">
        <v>419</v>
      </c>
      <c r="B141" s="171" t="str">
        <f t="shared" si="6"/>
        <v>Таблица-саттелит сделки</v>
      </c>
      <c r="C141" s="169" t="s">
        <v>647</v>
      </c>
      <c r="D141" s="169">
        <v>67</v>
      </c>
      <c r="E141" s="169">
        <v>15</v>
      </c>
      <c r="F141" s="169" t="s">
        <v>647</v>
      </c>
      <c r="G141" s="169" t="s">
        <v>647</v>
      </c>
      <c r="H141" s="169">
        <v>15</v>
      </c>
      <c r="I141" s="136" t="str">
        <f t="shared" si="7"/>
        <v xml:space="preserve">CHAR(1) </v>
      </c>
      <c r="J141" s="169" t="s">
        <v>0</v>
      </c>
      <c r="K141" s="169" t="s">
        <v>1</v>
      </c>
      <c r="L141" s="169">
        <v>30</v>
      </c>
      <c r="M141" s="168"/>
      <c r="N141" s="168"/>
      <c r="O141" s="168"/>
      <c r="P141" s="168"/>
      <c r="Q141" s="168" t="s">
        <v>0</v>
      </c>
      <c r="R141" s="168" t="s">
        <v>1</v>
      </c>
      <c r="S141" s="178" t="str">
        <f t="shared" si="8"/>
        <v>D_CLAIM_ORIG_STL1_BTHRATING_GRADE_CHANGED_IND</v>
      </c>
    </row>
    <row r="142" spans="1:19" ht="14.4" x14ac:dyDescent="0.3">
      <c r="A142" s="169" t="s">
        <v>419</v>
      </c>
      <c r="B142" s="171" t="str">
        <f t="shared" si="6"/>
        <v>Таблица-саттелит сделки</v>
      </c>
      <c r="C142" s="169" t="s">
        <v>658</v>
      </c>
      <c r="D142" s="169">
        <v>68</v>
      </c>
      <c r="E142" s="169">
        <v>16</v>
      </c>
      <c r="F142" s="169" t="s">
        <v>658</v>
      </c>
      <c r="G142" s="169" t="s">
        <v>658</v>
      </c>
      <c r="H142" s="169">
        <v>34</v>
      </c>
      <c r="I142" s="136" t="str">
        <f t="shared" si="7"/>
        <v>DATE</v>
      </c>
      <c r="J142" s="169" t="s">
        <v>0</v>
      </c>
      <c r="K142" s="169" t="s">
        <v>1</v>
      </c>
      <c r="L142" s="169">
        <v>30</v>
      </c>
      <c r="M142" s="168"/>
      <c r="N142" s="168"/>
      <c r="O142" s="168"/>
      <c r="P142" s="168"/>
      <c r="Q142" s="168" t="s">
        <v>0</v>
      </c>
      <c r="R142" s="168" t="s">
        <v>1</v>
      </c>
      <c r="S142" s="178" t="str">
        <f t="shared" si="8"/>
        <v>D_CLAIM_ORIG_STL1_BTHRATING_GRADE_ESTABLISHED_DT</v>
      </c>
    </row>
    <row r="143" spans="1:19" ht="14.4" x14ac:dyDescent="0.3">
      <c r="A143" s="169" t="s">
        <v>419</v>
      </c>
      <c r="B143" s="171" t="str">
        <f t="shared" si="6"/>
        <v>Таблица-саттелит сделки</v>
      </c>
      <c r="C143" s="169" t="s">
        <v>438</v>
      </c>
      <c r="D143" s="169">
        <v>69</v>
      </c>
      <c r="E143" s="169">
        <v>17</v>
      </c>
      <c r="F143" s="169" t="s">
        <v>438</v>
      </c>
      <c r="G143" s="169" t="s">
        <v>438</v>
      </c>
      <c r="H143" s="169">
        <v>22</v>
      </c>
      <c r="I143" s="136" t="str">
        <f t="shared" si="7"/>
        <v>TIMESTAMP(6)</v>
      </c>
      <c r="J143" s="169" t="s">
        <v>1</v>
      </c>
      <c r="K143" s="169" t="s">
        <v>1</v>
      </c>
      <c r="L143" s="169">
        <v>30</v>
      </c>
      <c r="M143" s="168"/>
      <c r="N143" s="168"/>
      <c r="O143" s="168"/>
      <c r="P143" s="168"/>
      <c r="Q143" s="168" t="s">
        <v>0</v>
      </c>
      <c r="R143" s="168" t="s">
        <v>1</v>
      </c>
      <c r="S143" s="178" t="str">
        <f t="shared" si="8"/>
        <v>D_CLAIM_ORIG_STL1_BTHRECORD_CLOSE_TS</v>
      </c>
    </row>
    <row r="144" spans="1:19" ht="14.4" x14ac:dyDescent="0.3">
      <c r="A144" s="169" t="s">
        <v>419</v>
      </c>
      <c r="B144" s="171" t="str">
        <f t="shared" si="6"/>
        <v>Таблица-саттелит сделки</v>
      </c>
      <c r="C144" s="169" t="s">
        <v>440</v>
      </c>
      <c r="D144" s="169">
        <v>70</v>
      </c>
      <c r="E144" s="169">
        <v>18</v>
      </c>
      <c r="F144" s="169" t="s">
        <v>440</v>
      </c>
      <c r="G144" s="169" t="s">
        <v>440</v>
      </c>
      <c r="H144" s="169">
        <v>22</v>
      </c>
      <c r="I144" s="136" t="str">
        <f t="shared" si="7"/>
        <v>TIMESTAMP(6)</v>
      </c>
      <c r="J144" s="169" t="s">
        <v>1</v>
      </c>
      <c r="K144" s="169" t="s">
        <v>1</v>
      </c>
      <c r="L144" s="169">
        <v>30</v>
      </c>
      <c r="M144" s="168"/>
      <c r="N144" s="168"/>
      <c r="O144" s="168"/>
      <c r="P144" s="168"/>
      <c r="Q144" s="168" t="s">
        <v>0</v>
      </c>
      <c r="R144" s="168" t="s">
        <v>1</v>
      </c>
      <c r="S144" s="178" t="str">
        <f t="shared" si="8"/>
        <v>D_CLAIM_ORIG_STL1_BTHRECORD_CREATE_TS</v>
      </c>
    </row>
    <row r="145" spans="1:19" ht="14.4" x14ac:dyDescent="0.3">
      <c r="A145" s="169" t="s">
        <v>419</v>
      </c>
      <c r="B145" s="171" t="str">
        <f t="shared" si="6"/>
        <v>Таблица-саттелит сделки</v>
      </c>
      <c r="C145" s="169" t="s">
        <v>429</v>
      </c>
      <c r="D145" s="169">
        <v>71</v>
      </c>
      <c r="E145" s="169">
        <v>19</v>
      </c>
      <c r="F145" s="169" t="s">
        <v>429</v>
      </c>
      <c r="G145" s="169" t="s">
        <v>429</v>
      </c>
      <c r="H145" s="169">
        <v>22</v>
      </c>
      <c r="I145" s="136" t="str">
        <f t="shared" si="7"/>
        <v>TIMESTAMP(6)</v>
      </c>
      <c r="J145" s="169" t="s">
        <v>1</v>
      </c>
      <c r="K145" s="169" t="s">
        <v>1</v>
      </c>
      <c r="L145" s="169">
        <v>30</v>
      </c>
      <c r="M145" s="168"/>
      <c r="N145" s="168"/>
      <c r="O145" s="168"/>
      <c r="P145" s="168"/>
      <c r="Q145" s="168" t="s">
        <v>0</v>
      </c>
      <c r="R145" s="168" t="s">
        <v>1</v>
      </c>
      <c r="S145" s="178" t="str">
        <f t="shared" si="8"/>
        <v>D_CLAIM_ORIG_STL1_BTHRECORD_UPDATE_TS</v>
      </c>
    </row>
    <row r="146" spans="1:19" ht="14.4" x14ac:dyDescent="0.3">
      <c r="A146" s="169" t="s">
        <v>419</v>
      </c>
      <c r="B146" s="171" t="str">
        <f t="shared" si="6"/>
        <v>Таблица-саттелит сделки</v>
      </c>
      <c r="C146" s="169" t="s">
        <v>511</v>
      </c>
      <c r="D146" s="169">
        <v>72</v>
      </c>
      <c r="E146" s="169">
        <v>20</v>
      </c>
      <c r="F146" s="169" t="s">
        <v>511</v>
      </c>
      <c r="G146" s="169" t="s">
        <v>511</v>
      </c>
      <c r="H146" s="169">
        <v>7</v>
      </c>
      <c r="I146" s="136" t="str">
        <f t="shared" si="7"/>
        <v>BIGINT</v>
      </c>
      <c r="J146" s="169" t="s">
        <v>0</v>
      </c>
      <c r="K146" s="169" t="s">
        <v>1</v>
      </c>
      <c r="L146" s="169">
        <v>30</v>
      </c>
      <c r="M146" s="168"/>
      <c r="N146" s="168"/>
      <c r="O146" s="168"/>
      <c r="P146" s="168"/>
      <c r="Q146" s="168" t="s">
        <v>0</v>
      </c>
      <c r="R146" s="168" t="s">
        <v>1</v>
      </c>
      <c r="S146" s="178" t="str">
        <f t="shared" si="8"/>
        <v>D_CLAIM_ORIG_STL1_BTHREGLTRY_PRODUCT_TYPE_ID</v>
      </c>
    </row>
    <row r="147" spans="1:19" ht="14.4" x14ac:dyDescent="0.3">
      <c r="A147" s="169" t="s">
        <v>419</v>
      </c>
      <c r="B147" s="171" t="str">
        <f t="shared" si="6"/>
        <v>Таблица-саттелит сделки</v>
      </c>
      <c r="C147" s="169" t="s">
        <v>702</v>
      </c>
      <c r="D147" s="169">
        <v>73</v>
      </c>
      <c r="E147" s="169">
        <v>21</v>
      </c>
      <c r="F147" s="169" t="s">
        <v>702</v>
      </c>
      <c r="G147" s="169" t="s">
        <v>702</v>
      </c>
      <c r="H147" s="169">
        <v>3</v>
      </c>
      <c r="I147" s="136" t="str">
        <f t="shared" si="7"/>
        <v>DECIMAL(20, 6)</v>
      </c>
      <c r="J147" s="169" t="s">
        <v>0</v>
      </c>
      <c r="K147" s="169" t="s">
        <v>1</v>
      </c>
      <c r="L147" s="169">
        <v>30</v>
      </c>
      <c r="M147" s="168"/>
      <c r="N147" s="168"/>
      <c r="O147" s="168"/>
      <c r="P147" s="168"/>
      <c r="Q147" s="168" t="s">
        <v>0</v>
      </c>
      <c r="R147" s="168" t="s">
        <v>1</v>
      </c>
      <c r="S147" s="178" t="str">
        <f t="shared" si="8"/>
        <v>D_CLAIM_ORIG_STL1_BTHREG_LGD_PCT</v>
      </c>
    </row>
    <row r="148" spans="1:19" ht="14.4" x14ac:dyDescent="0.3">
      <c r="A148" s="169" t="s">
        <v>419</v>
      </c>
      <c r="B148" s="171" t="str">
        <f t="shared" si="6"/>
        <v>Таблица-саттелит сделки</v>
      </c>
      <c r="C148" s="169" t="s">
        <v>704</v>
      </c>
      <c r="D148" s="169">
        <v>74</v>
      </c>
      <c r="E148" s="169">
        <v>22</v>
      </c>
      <c r="F148" s="169" t="s">
        <v>704</v>
      </c>
      <c r="G148" s="169" t="s">
        <v>704</v>
      </c>
      <c r="H148" s="169">
        <v>3</v>
      </c>
      <c r="I148" s="136" t="str">
        <f t="shared" si="7"/>
        <v>DECIMAL(20, 6)</v>
      </c>
      <c r="J148" s="169" t="s">
        <v>0</v>
      </c>
      <c r="K148" s="169" t="s">
        <v>1</v>
      </c>
      <c r="L148" s="169">
        <v>30</v>
      </c>
      <c r="M148" s="168"/>
      <c r="N148" s="168"/>
      <c r="O148" s="168"/>
      <c r="P148" s="168"/>
      <c r="Q148" s="168" t="s">
        <v>0</v>
      </c>
      <c r="R148" s="168" t="s">
        <v>1</v>
      </c>
      <c r="S148" s="178" t="str">
        <f t="shared" si="8"/>
        <v>D_CLAIM_ORIG_STL1_BTHREG_PD_PCT</v>
      </c>
    </row>
    <row r="149" spans="1:19" ht="14.4" x14ac:dyDescent="0.3">
      <c r="A149" s="169" t="s">
        <v>419</v>
      </c>
      <c r="B149" s="171" t="str">
        <f t="shared" si="6"/>
        <v>Таблица-саттелит сделки</v>
      </c>
      <c r="C149" s="169" t="s">
        <v>444</v>
      </c>
      <c r="D149" s="169">
        <v>75</v>
      </c>
      <c r="E149" s="169">
        <v>23</v>
      </c>
      <c r="F149" s="169" t="s">
        <v>444</v>
      </c>
      <c r="G149" s="169" t="s">
        <v>444</v>
      </c>
      <c r="H149" s="169">
        <v>7</v>
      </c>
      <c r="I149" s="136" t="str">
        <f t="shared" si="7"/>
        <v>BIGINT</v>
      </c>
      <c r="J149" s="169" t="s">
        <v>0</v>
      </c>
      <c r="K149" s="169" t="s">
        <v>1</v>
      </c>
      <c r="L149" s="169">
        <v>30</v>
      </c>
      <c r="M149" s="168"/>
      <c r="N149" s="168"/>
      <c r="O149" s="168"/>
      <c r="P149" s="168"/>
      <c r="Q149" s="168" t="s">
        <v>0</v>
      </c>
      <c r="R149" s="168" t="s">
        <v>1</v>
      </c>
      <c r="S149" s="178" t="str">
        <f t="shared" si="8"/>
        <v>D_CLAIM_ORIG_STL1_BTHREP_CLASS_ID</v>
      </c>
    </row>
    <row r="150" spans="1:19" ht="14.4" x14ac:dyDescent="0.3">
      <c r="A150" s="169" t="s">
        <v>419</v>
      </c>
      <c r="B150" s="171" t="str">
        <f t="shared" si="6"/>
        <v>Таблица-саттелит сделки</v>
      </c>
      <c r="C150" s="169" t="s">
        <v>498</v>
      </c>
      <c r="D150" s="169">
        <v>76</v>
      </c>
      <c r="E150" s="169">
        <v>24</v>
      </c>
      <c r="F150" s="169" t="s">
        <v>498</v>
      </c>
      <c r="G150" s="169" t="s">
        <v>498</v>
      </c>
      <c r="H150" s="169">
        <v>7</v>
      </c>
      <c r="I150" s="136" t="str">
        <f t="shared" si="7"/>
        <v>BIGINT</v>
      </c>
      <c r="J150" s="169" t="s">
        <v>1</v>
      </c>
      <c r="K150" s="169" t="s">
        <v>1</v>
      </c>
      <c r="L150" s="169">
        <v>30</v>
      </c>
      <c r="M150" s="168"/>
      <c r="N150" s="168"/>
      <c r="O150" s="168"/>
      <c r="P150" s="168"/>
      <c r="Q150" s="168" t="s">
        <v>0</v>
      </c>
      <c r="R150" s="168" t="s">
        <v>1</v>
      </c>
      <c r="S150" s="178" t="str">
        <f t="shared" si="8"/>
        <v>D_CLAIM_ORIG_STL1_BTHRUN_ID</v>
      </c>
    </row>
    <row r="151" spans="1:19" ht="14.4" x14ac:dyDescent="0.3">
      <c r="A151" s="169" t="s">
        <v>419</v>
      </c>
      <c r="B151" s="171" t="str">
        <f t="shared" si="6"/>
        <v>Таблица-саттелит сделки</v>
      </c>
      <c r="C151" s="169" t="s">
        <v>492</v>
      </c>
      <c r="D151" s="169">
        <v>2049</v>
      </c>
      <c r="E151" s="169">
        <v>25</v>
      </c>
      <c r="F151" s="169" t="s">
        <v>492</v>
      </c>
      <c r="G151" s="169" t="s">
        <v>492</v>
      </c>
      <c r="H151" s="169">
        <v>34</v>
      </c>
      <c r="I151" s="136" t="str">
        <f t="shared" si="7"/>
        <v>DATE</v>
      </c>
      <c r="J151" s="169" t="s">
        <v>1</v>
      </c>
      <c r="K151" s="169" t="s">
        <v>1</v>
      </c>
      <c r="L151" s="169">
        <v>30</v>
      </c>
      <c r="M151" s="168"/>
      <c r="N151" s="168"/>
      <c r="O151" s="168"/>
      <c r="P151" s="168"/>
      <c r="Q151" s="168" t="s">
        <v>0</v>
      </c>
      <c r="R151" s="168" t="s">
        <v>1</v>
      </c>
      <c r="S151" s="178" t="str">
        <f t="shared" si="8"/>
        <v>D_CLAIM_ORIG_STL1_BTHVALIDITY_DT</v>
      </c>
    </row>
    <row r="152" spans="1:19" ht="14.4" x14ac:dyDescent="0.3">
      <c r="A152" s="169" t="s">
        <v>405</v>
      </c>
      <c r="B152" s="171" t="str">
        <f t="shared" si="6"/>
        <v>Таблица отношений сделки и обеспечения</v>
      </c>
      <c r="C152" s="169" t="s">
        <v>585</v>
      </c>
      <c r="D152" s="169">
        <v>715</v>
      </c>
      <c r="E152" s="169">
        <v>1</v>
      </c>
      <c r="F152" s="169" t="s">
        <v>585</v>
      </c>
      <c r="G152" s="169" t="s">
        <v>585</v>
      </c>
      <c r="H152" s="169">
        <v>7</v>
      </c>
      <c r="I152" s="136" t="str">
        <f t="shared" si="7"/>
        <v>BIGINT</v>
      </c>
      <c r="J152" s="169" t="s">
        <v>1</v>
      </c>
      <c r="K152" s="169" t="s">
        <v>0</v>
      </c>
      <c r="L152" s="169">
        <v>30</v>
      </c>
      <c r="M152" s="168"/>
      <c r="N152" s="168"/>
      <c r="O152" s="168"/>
      <c r="P152" s="168"/>
      <c r="Q152" s="168" t="s">
        <v>0</v>
      </c>
      <c r="R152" s="168" t="s">
        <v>1</v>
      </c>
      <c r="S152" s="178" t="str">
        <f t="shared" si="8"/>
        <v>D_CLAIM_ORIG_X_COLLT_ORIG_BHCLAIM_ORIG_ID</v>
      </c>
    </row>
    <row r="153" spans="1:19" ht="14.4" x14ac:dyDescent="0.3">
      <c r="A153" s="169" t="s">
        <v>405</v>
      </c>
      <c r="B153" s="171" t="str">
        <f t="shared" si="6"/>
        <v>Таблица отношений сделки и обеспечения</v>
      </c>
      <c r="C153" s="169" t="s">
        <v>490</v>
      </c>
      <c r="D153" s="169">
        <v>716</v>
      </c>
      <c r="E153" s="169">
        <v>2</v>
      </c>
      <c r="F153" s="169" t="s">
        <v>490</v>
      </c>
      <c r="G153" s="169" t="s">
        <v>490</v>
      </c>
      <c r="H153" s="169">
        <v>7</v>
      </c>
      <c r="I153" s="136" t="str">
        <f t="shared" si="7"/>
        <v>BIGINT</v>
      </c>
      <c r="J153" s="169" t="s">
        <v>1</v>
      </c>
      <c r="K153" s="169" t="s">
        <v>1</v>
      </c>
      <c r="L153" s="169">
        <v>30</v>
      </c>
      <c r="M153" s="168"/>
      <c r="N153" s="168"/>
      <c r="O153" s="168"/>
      <c r="P153" s="168"/>
      <c r="Q153" s="168" t="s">
        <v>0</v>
      </c>
      <c r="R153" s="168" t="s">
        <v>1</v>
      </c>
      <c r="S153" s="178" t="str">
        <f t="shared" si="8"/>
        <v>D_CLAIM_ORIG_X_COLLT_ORIG_BHCOLLATERAL_ORIG_ID</v>
      </c>
    </row>
    <row r="154" spans="1:19" ht="14.4" x14ac:dyDescent="0.3">
      <c r="A154" s="169" t="s">
        <v>405</v>
      </c>
      <c r="B154" s="171" t="str">
        <f t="shared" si="6"/>
        <v>Таблица отношений сделки и обеспечения</v>
      </c>
      <c r="C154" s="169" t="s">
        <v>579</v>
      </c>
      <c r="D154" s="169">
        <v>717</v>
      </c>
      <c r="E154" s="169">
        <v>3</v>
      </c>
      <c r="F154" s="169" t="s">
        <v>579</v>
      </c>
      <c r="G154" s="169" t="s">
        <v>579</v>
      </c>
      <c r="H154" s="169">
        <v>7</v>
      </c>
      <c r="I154" s="136" t="str">
        <f t="shared" si="7"/>
        <v>BIGINT</v>
      </c>
      <c r="J154" s="169" t="s">
        <v>0</v>
      </c>
      <c r="K154" s="169" t="s">
        <v>1</v>
      </c>
      <c r="L154" s="169">
        <v>30</v>
      </c>
      <c r="M154" s="168"/>
      <c r="N154" s="168"/>
      <c r="O154" s="168"/>
      <c r="P154" s="168"/>
      <c r="Q154" s="168" t="s">
        <v>0</v>
      </c>
      <c r="R154" s="168" t="s">
        <v>1</v>
      </c>
      <c r="S154" s="178" t="str">
        <f t="shared" si="8"/>
        <v>D_CLAIM_ORIG_X_COLLT_ORIG_BHCOLLATERAL_PRIORITY_ID</v>
      </c>
    </row>
    <row r="155" spans="1:19" ht="14.4" x14ac:dyDescent="0.3">
      <c r="A155" s="169" t="s">
        <v>405</v>
      </c>
      <c r="B155" s="171" t="str">
        <f t="shared" si="6"/>
        <v>Таблица отношений сделки и обеспечения</v>
      </c>
      <c r="C155" s="169" t="s">
        <v>440</v>
      </c>
      <c r="D155" s="169">
        <v>718</v>
      </c>
      <c r="E155" s="169">
        <v>4</v>
      </c>
      <c r="F155" s="169" t="s">
        <v>440</v>
      </c>
      <c r="G155" s="169" t="s">
        <v>440</v>
      </c>
      <c r="H155" s="169">
        <v>22</v>
      </c>
      <c r="I155" s="136" t="str">
        <f t="shared" si="7"/>
        <v>TIMESTAMP(6)</v>
      </c>
      <c r="J155" s="169" t="s">
        <v>1</v>
      </c>
      <c r="K155" s="169" t="s">
        <v>1</v>
      </c>
      <c r="L155" s="169">
        <v>30</v>
      </c>
      <c r="M155" s="168"/>
      <c r="N155" s="168"/>
      <c r="O155" s="168"/>
      <c r="P155" s="168"/>
      <c r="Q155" s="168" t="s">
        <v>0</v>
      </c>
      <c r="R155" s="168" t="s">
        <v>1</v>
      </c>
      <c r="S155" s="178" t="str">
        <f t="shared" si="8"/>
        <v>D_CLAIM_ORIG_X_COLLT_ORIG_BHRECORD_CREATE_TS</v>
      </c>
    </row>
    <row r="156" spans="1:19" ht="14.4" x14ac:dyDescent="0.3">
      <c r="A156" s="169" t="s">
        <v>405</v>
      </c>
      <c r="B156" s="171" t="str">
        <f t="shared" si="6"/>
        <v>Таблица отношений сделки и обеспечения</v>
      </c>
      <c r="C156" s="169" t="s">
        <v>429</v>
      </c>
      <c r="D156" s="169">
        <v>798</v>
      </c>
      <c r="E156" s="169">
        <v>5</v>
      </c>
      <c r="F156" s="169" t="s">
        <v>429</v>
      </c>
      <c r="G156" s="169" t="s">
        <v>429</v>
      </c>
      <c r="H156" s="169">
        <v>22</v>
      </c>
      <c r="I156" s="136" t="str">
        <f t="shared" si="7"/>
        <v>TIMESTAMP(6)</v>
      </c>
      <c r="J156" s="169" t="s">
        <v>1</v>
      </c>
      <c r="K156" s="169" t="s">
        <v>1</v>
      </c>
      <c r="L156" s="169">
        <v>30</v>
      </c>
      <c r="M156" s="168"/>
      <c r="N156" s="168"/>
      <c r="O156" s="168"/>
      <c r="P156" s="168"/>
      <c r="Q156" s="168" t="s">
        <v>0</v>
      </c>
      <c r="R156" s="168" t="s">
        <v>1</v>
      </c>
      <c r="S156" s="178" t="str">
        <f t="shared" si="8"/>
        <v>D_CLAIM_ORIG_X_COLLT_ORIG_BHRECORD_UPDATE_TS</v>
      </c>
    </row>
    <row r="157" spans="1:19" ht="14.4" x14ac:dyDescent="0.3">
      <c r="A157" s="169" t="s">
        <v>405</v>
      </c>
      <c r="B157" s="171" t="str">
        <f t="shared" si="6"/>
        <v>Таблица отношений сделки и обеспечения</v>
      </c>
      <c r="C157" s="169" t="s">
        <v>498</v>
      </c>
      <c r="D157" s="169">
        <v>799</v>
      </c>
      <c r="E157" s="169">
        <v>6</v>
      </c>
      <c r="F157" s="169" t="s">
        <v>498</v>
      </c>
      <c r="G157" s="169" t="s">
        <v>498</v>
      </c>
      <c r="H157" s="169">
        <v>7</v>
      </c>
      <c r="I157" s="136" t="str">
        <f t="shared" si="7"/>
        <v>BIGINT</v>
      </c>
      <c r="J157" s="169" t="s">
        <v>1</v>
      </c>
      <c r="K157" s="169" t="s">
        <v>1</v>
      </c>
      <c r="L157" s="169">
        <v>30</v>
      </c>
      <c r="M157" s="168"/>
      <c r="N157" s="168"/>
      <c r="O157" s="168"/>
      <c r="P157" s="168"/>
      <c r="Q157" s="168" t="s">
        <v>0</v>
      </c>
      <c r="R157" s="168" t="s">
        <v>1</v>
      </c>
      <c r="S157" s="178" t="str">
        <f t="shared" si="8"/>
        <v>D_CLAIM_ORIG_X_COLLT_ORIG_BHRUN_ID</v>
      </c>
    </row>
    <row r="158" spans="1:19" ht="14.4" x14ac:dyDescent="0.3">
      <c r="A158" s="169" t="s">
        <v>405</v>
      </c>
      <c r="B158" s="171" t="str">
        <f t="shared" si="6"/>
        <v>Таблица отношений сделки и обеспечения</v>
      </c>
      <c r="C158" s="169" t="s">
        <v>492</v>
      </c>
      <c r="D158" s="169">
        <v>800</v>
      </c>
      <c r="E158" s="169">
        <v>7</v>
      </c>
      <c r="F158" s="169" t="s">
        <v>492</v>
      </c>
      <c r="G158" s="169" t="s">
        <v>492</v>
      </c>
      <c r="H158" s="169">
        <v>34</v>
      </c>
      <c r="I158" s="136" t="str">
        <f t="shared" si="7"/>
        <v>DATE</v>
      </c>
      <c r="J158" s="169" t="s">
        <v>1</v>
      </c>
      <c r="K158" s="169" t="s">
        <v>1</v>
      </c>
      <c r="L158" s="169">
        <v>30</v>
      </c>
      <c r="M158" s="168"/>
      <c r="N158" s="168"/>
      <c r="O158" s="168"/>
      <c r="P158" s="168"/>
      <c r="Q158" s="168" t="s">
        <v>0</v>
      </c>
      <c r="R158" s="168" t="s">
        <v>1</v>
      </c>
      <c r="S158" s="178" t="str">
        <f t="shared" si="8"/>
        <v>D_CLAIM_ORIG_X_COLLT_ORIG_BHVALIDITY_DT</v>
      </c>
    </row>
    <row r="159" spans="1:19" ht="14.4" x14ac:dyDescent="0.3">
      <c r="A159" s="169" t="s">
        <v>391</v>
      </c>
      <c r="B159" s="171" t="str">
        <f t="shared" si="6"/>
        <v>Таблица отношений сделок</v>
      </c>
      <c r="C159" s="169" t="s">
        <v>784</v>
      </c>
      <c r="D159" s="169">
        <v>77</v>
      </c>
      <c r="E159" s="169">
        <v>1</v>
      </c>
      <c r="F159" s="169" t="s">
        <v>784</v>
      </c>
      <c r="G159" s="169" t="s">
        <v>784</v>
      </c>
      <c r="H159" s="169">
        <v>7</v>
      </c>
      <c r="I159" s="136" t="str">
        <f t="shared" si="7"/>
        <v>BIGINT</v>
      </c>
      <c r="J159" s="169" t="s">
        <v>1</v>
      </c>
      <c r="K159" s="169" t="s">
        <v>0</v>
      </c>
      <c r="L159" s="169">
        <v>30</v>
      </c>
      <c r="M159" s="168"/>
      <c r="N159" s="168"/>
      <c r="O159" s="168"/>
      <c r="P159" s="168"/>
      <c r="Q159" s="168" t="s">
        <v>0</v>
      </c>
      <c r="R159" s="168" t="s">
        <v>1</v>
      </c>
      <c r="S159" s="178" t="str">
        <f t="shared" si="8"/>
        <v>D_CLAIM_REL_BHCHILD_CLAIM_ORIG_ID</v>
      </c>
    </row>
    <row r="160" spans="1:19" ht="14.4" x14ac:dyDescent="0.3">
      <c r="A160" s="169" t="s">
        <v>391</v>
      </c>
      <c r="B160" s="171" t="str">
        <f t="shared" si="6"/>
        <v>Таблица отношений сделок</v>
      </c>
      <c r="C160" s="169" t="s">
        <v>786</v>
      </c>
      <c r="D160" s="169">
        <v>78</v>
      </c>
      <c r="E160" s="169">
        <v>2</v>
      </c>
      <c r="F160" s="169" t="s">
        <v>786</v>
      </c>
      <c r="G160" s="169" t="s">
        <v>786</v>
      </c>
      <c r="H160" s="169">
        <v>13</v>
      </c>
      <c r="I160" s="136" t="str">
        <f t="shared" si="7"/>
        <v xml:space="preserve">VARCHAR(300) </v>
      </c>
      <c r="J160" s="169" t="s">
        <v>1</v>
      </c>
      <c r="K160" s="169" t="s">
        <v>1</v>
      </c>
      <c r="L160" s="169">
        <v>30</v>
      </c>
      <c r="M160" s="168"/>
      <c r="N160" s="168"/>
      <c r="O160" s="168"/>
      <c r="P160" s="168"/>
      <c r="Q160" s="168" t="s">
        <v>0</v>
      </c>
      <c r="R160" s="168" t="s">
        <v>1</v>
      </c>
      <c r="S160" s="178" t="str">
        <f t="shared" si="8"/>
        <v>D_CLAIM_REL_BHCLAIM_REL_TYPE</v>
      </c>
    </row>
    <row r="161" spans="1:19" ht="14.4" x14ac:dyDescent="0.3">
      <c r="A161" s="169" t="s">
        <v>391</v>
      </c>
      <c r="B161" s="171" t="str">
        <f t="shared" si="6"/>
        <v>Таблица отношений сделок</v>
      </c>
      <c r="C161" s="169" t="s">
        <v>782</v>
      </c>
      <c r="D161" s="169">
        <v>79</v>
      </c>
      <c r="E161" s="169">
        <v>3</v>
      </c>
      <c r="F161" s="169" t="s">
        <v>782</v>
      </c>
      <c r="G161" s="169" t="s">
        <v>782</v>
      </c>
      <c r="H161" s="169">
        <v>7</v>
      </c>
      <c r="I161" s="136" t="str">
        <f t="shared" si="7"/>
        <v>BIGINT</v>
      </c>
      <c r="J161" s="169" t="s">
        <v>1</v>
      </c>
      <c r="K161" s="169" t="s">
        <v>1</v>
      </c>
      <c r="L161" s="169">
        <v>30</v>
      </c>
      <c r="M161" s="168"/>
      <c r="N161" s="168"/>
      <c r="O161" s="168"/>
      <c r="P161" s="168"/>
      <c r="Q161" s="168" t="s">
        <v>0</v>
      </c>
      <c r="R161" s="168" t="s">
        <v>1</v>
      </c>
      <c r="S161" s="178" t="str">
        <f t="shared" si="8"/>
        <v>D_CLAIM_REL_BHPARENT_CLAIM_ORIG_ID</v>
      </c>
    </row>
    <row r="162" spans="1:19" ht="14.4" x14ac:dyDescent="0.3">
      <c r="A162" s="169" t="s">
        <v>391</v>
      </c>
      <c r="B162" s="171" t="str">
        <f t="shared" si="6"/>
        <v>Таблица отношений сделок</v>
      </c>
      <c r="C162" s="169" t="s">
        <v>440</v>
      </c>
      <c r="D162" s="169">
        <v>80</v>
      </c>
      <c r="E162" s="169">
        <v>4</v>
      </c>
      <c r="F162" s="169" t="s">
        <v>440</v>
      </c>
      <c r="G162" s="169" t="s">
        <v>440</v>
      </c>
      <c r="H162" s="169">
        <v>22</v>
      </c>
      <c r="I162" s="136" t="str">
        <f t="shared" si="7"/>
        <v>TIMESTAMP(6)</v>
      </c>
      <c r="J162" s="169" t="s">
        <v>1</v>
      </c>
      <c r="K162" s="169" t="s">
        <v>1</v>
      </c>
      <c r="L162" s="169">
        <v>30</v>
      </c>
      <c r="M162" s="168"/>
      <c r="N162" s="168"/>
      <c r="O162" s="168"/>
      <c r="P162" s="168"/>
      <c r="Q162" s="168" t="s">
        <v>0</v>
      </c>
      <c r="R162" s="168" t="s">
        <v>1</v>
      </c>
      <c r="S162" s="178" t="str">
        <f t="shared" si="8"/>
        <v>D_CLAIM_REL_BHRECORD_CREATE_TS</v>
      </c>
    </row>
    <row r="163" spans="1:19" ht="14.4" x14ac:dyDescent="0.3">
      <c r="A163" s="169" t="s">
        <v>391</v>
      </c>
      <c r="B163" s="171" t="str">
        <f t="shared" si="6"/>
        <v>Таблица отношений сделок</v>
      </c>
      <c r="C163" s="169" t="s">
        <v>429</v>
      </c>
      <c r="D163" s="169">
        <v>81</v>
      </c>
      <c r="E163" s="169">
        <v>5</v>
      </c>
      <c r="F163" s="169" t="s">
        <v>429</v>
      </c>
      <c r="G163" s="169" t="s">
        <v>429</v>
      </c>
      <c r="H163" s="169">
        <v>22</v>
      </c>
      <c r="I163" s="136" t="str">
        <f t="shared" si="7"/>
        <v>TIMESTAMP(6)</v>
      </c>
      <c r="J163" s="169" t="s">
        <v>1</v>
      </c>
      <c r="K163" s="169" t="s">
        <v>1</v>
      </c>
      <c r="L163" s="169">
        <v>30</v>
      </c>
      <c r="M163" s="168"/>
      <c r="N163" s="168"/>
      <c r="O163" s="168"/>
      <c r="P163" s="168"/>
      <c r="Q163" s="168" t="s">
        <v>0</v>
      </c>
      <c r="R163" s="168" t="s">
        <v>1</v>
      </c>
      <c r="S163" s="178" t="str">
        <f t="shared" si="8"/>
        <v>D_CLAIM_REL_BHRECORD_UPDATE_TS</v>
      </c>
    </row>
    <row r="164" spans="1:19" ht="14.4" x14ac:dyDescent="0.3">
      <c r="A164" s="169" t="s">
        <v>391</v>
      </c>
      <c r="B164" s="171" t="str">
        <f t="shared" si="6"/>
        <v>Таблица отношений сделок</v>
      </c>
      <c r="C164" s="169" t="s">
        <v>498</v>
      </c>
      <c r="D164" s="169">
        <v>82</v>
      </c>
      <c r="E164" s="169">
        <v>6</v>
      </c>
      <c r="F164" s="169" t="s">
        <v>498</v>
      </c>
      <c r="G164" s="169" t="s">
        <v>498</v>
      </c>
      <c r="H164" s="169">
        <v>7</v>
      </c>
      <c r="I164" s="136" t="str">
        <f t="shared" si="7"/>
        <v>BIGINT</v>
      </c>
      <c r="J164" s="169" t="s">
        <v>1</v>
      </c>
      <c r="K164" s="169" t="s">
        <v>1</v>
      </c>
      <c r="L164" s="169">
        <v>30</v>
      </c>
      <c r="M164" s="168"/>
      <c r="N164" s="168"/>
      <c r="O164" s="168"/>
      <c r="P164" s="168"/>
      <c r="Q164" s="168" t="s">
        <v>0</v>
      </c>
      <c r="R164" s="168" t="s">
        <v>1</v>
      </c>
      <c r="S164" s="178" t="str">
        <f t="shared" si="8"/>
        <v>D_CLAIM_REL_BHRUN_ID</v>
      </c>
    </row>
    <row r="165" spans="1:19" ht="14.4" x14ac:dyDescent="0.3">
      <c r="A165" s="169" t="s">
        <v>391</v>
      </c>
      <c r="B165" s="171" t="str">
        <f t="shared" si="6"/>
        <v>Таблица отношений сделок</v>
      </c>
      <c r="C165" s="169" t="s">
        <v>492</v>
      </c>
      <c r="D165" s="169">
        <v>83</v>
      </c>
      <c r="E165" s="169">
        <v>7</v>
      </c>
      <c r="F165" s="169" t="s">
        <v>492</v>
      </c>
      <c r="G165" s="169" t="s">
        <v>492</v>
      </c>
      <c r="H165" s="169">
        <v>34</v>
      </c>
      <c r="I165" s="136" t="str">
        <f t="shared" si="7"/>
        <v>DATE</v>
      </c>
      <c r="J165" s="169" t="s">
        <v>1</v>
      </c>
      <c r="K165" s="169" t="s">
        <v>1</v>
      </c>
      <c r="L165" s="169">
        <v>30</v>
      </c>
      <c r="M165" s="168"/>
      <c r="N165" s="168"/>
      <c r="O165" s="168"/>
      <c r="P165" s="168"/>
      <c r="Q165" s="168" t="s">
        <v>0</v>
      </c>
      <c r="R165" s="168" t="s">
        <v>1</v>
      </c>
      <c r="S165" s="178" t="str">
        <f t="shared" si="8"/>
        <v>D_CLAIM_REL_BHVALIDITY_DT</v>
      </c>
    </row>
    <row r="166" spans="1:19" ht="14.4" x14ac:dyDescent="0.3">
      <c r="A166" s="169" t="s">
        <v>389</v>
      </c>
      <c r="B166" s="171" t="str">
        <f t="shared" si="6"/>
        <v>Таблица-хаб обеспечений</v>
      </c>
      <c r="C166" s="169" t="s">
        <v>490</v>
      </c>
      <c r="D166" s="169">
        <v>801</v>
      </c>
      <c r="E166" s="169">
        <v>1</v>
      </c>
      <c r="F166" s="169" t="s">
        <v>490</v>
      </c>
      <c r="G166" s="169" t="s">
        <v>490</v>
      </c>
      <c r="H166" s="169">
        <v>7</v>
      </c>
      <c r="I166" s="136" t="str">
        <f t="shared" si="7"/>
        <v>BIGINT</v>
      </c>
      <c r="J166" s="169" t="s">
        <v>1</v>
      </c>
      <c r="K166" s="169" t="s">
        <v>0</v>
      </c>
      <c r="L166" s="169">
        <v>30</v>
      </c>
      <c r="M166" s="168"/>
      <c r="N166" s="168"/>
      <c r="O166" s="168"/>
      <c r="P166" s="168"/>
      <c r="Q166" s="168" t="s">
        <v>0</v>
      </c>
      <c r="R166" s="168" t="s">
        <v>1</v>
      </c>
      <c r="S166" s="178" t="str">
        <f t="shared" si="8"/>
        <v>D_COLLATERAL_ORIGCOLLATERAL_ORIG_ID</v>
      </c>
    </row>
    <row r="167" spans="1:19" ht="14.4" x14ac:dyDescent="0.3">
      <c r="A167" s="169" t="s">
        <v>389</v>
      </c>
      <c r="B167" s="171" t="str">
        <f t="shared" si="6"/>
        <v>Таблица-хаб обеспечений</v>
      </c>
      <c r="C167" s="169" t="s">
        <v>440</v>
      </c>
      <c r="D167" s="169">
        <v>802</v>
      </c>
      <c r="E167" s="169">
        <v>2</v>
      </c>
      <c r="F167" s="169" t="s">
        <v>440</v>
      </c>
      <c r="G167" s="169" t="s">
        <v>440</v>
      </c>
      <c r="H167" s="169">
        <v>22</v>
      </c>
      <c r="I167" s="136" t="str">
        <f t="shared" si="7"/>
        <v>TIMESTAMP(6)</v>
      </c>
      <c r="J167" s="169" t="s">
        <v>1</v>
      </c>
      <c r="K167" s="169" t="s">
        <v>0</v>
      </c>
      <c r="L167" s="169">
        <v>30</v>
      </c>
      <c r="M167" s="168"/>
      <c r="N167" s="168"/>
      <c r="O167" s="168"/>
      <c r="P167" s="168"/>
      <c r="Q167" s="168" t="s">
        <v>0</v>
      </c>
      <c r="R167" s="168" t="s">
        <v>1</v>
      </c>
      <c r="S167" s="178" t="str">
        <f t="shared" si="8"/>
        <v>D_COLLATERAL_ORIGRECORD_CREATE_TS</v>
      </c>
    </row>
    <row r="168" spans="1:19" ht="14.4" x14ac:dyDescent="0.3">
      <c r="A168" s="169" t="s">
        <v>389</v>
      </c>
      <c r="B168" s="171" t="str">
        <f t="shared" si="6"/>
        <v>Таблица-хаб обеспечений</v>
      </c>
      <c r="C168" s="169" t="s">
        <v>429</v>
      </c>
      <c r="D168" s="169">
        <v>803</v>
      </c>
      <c r="E168" s="169">
        <v>3</v>
      </c>
      <c r="F168" s="169" t="s">
        <v>429</v>
      </c>
      <c r="G168" s="169" t="s">
        <v>429</v>
      </c>
      <c r="H168" s="169">
        <v>22</v>
      </c>
      <c r="I168" s="136" t="str">
        <f t="shared" si="7"/>
        <v>TIMESTAMP(6)</v>
      </c>
      <c r="J168" s="169" t="s">
        <v>1</v>
      </c>
      <c r="K168" s="169" t="s">
        <v>0</v>
      </c>
      <c r="L168" s="169">
        <v>30</v>
      </c>
      <c r="M168" s="168"/>
      <c r="N168" s="168"/>
      <c r="O168" s="168"/>
      <c r="P168" s="168"/>
      <c r="Q168" s="168" t="s">
        <v>0</v>
      </c>
      <c r="R168" s="168" t="s">
        <v>1</v>
      </c>
      <c r="S168" s="178" t="str">
        <f t="shared" si="8"/>
        <v>D_COLLATERAL_ORIGRECORD_UPDATE_TS</v>
      </c>
    </row>
    <row r="169" spans="1:19" ht="14.4" x14ac:dyDescent="0.3">
      <c r="A169" s="169" t="s">
        <v>389</v>
      </c>
      <c r="B169" s="171" t="str">
        <f t="shared" si="6"/>
        <v>Таблица-хаб обеспечений</v>
      </c>
      <c r="C169" s="169" t="s">
        <v>498</v>
      </c>
      <c r="D169" s="169">
        <v>804</v>
      </c>
      <c r="E169" s="169">
        <v>4</v>
      </c>
      <c r="F169" s="169" t="s">
        <v>498</v>
      </c>
      <c r="G169" s="169" t="s">
        <v>498</v>
      </c>
      <c r="H169" s="169">
        <v>7</v>
      </c>
      <c r="I169" s="136" t="str">
        <f t="shared" si="7"/>
        <v>BIGINT</v>
      </c>
      <c r="J169" s="169" t="s">
        <v>1</v>
      </c>
      <c r="K169" s="169" t="s">
        <v>0</v>
      </c>
      <c r="L169" s="169">
        <v>30</v>
      </c>
      <c r="M169" s="168"/>
      <c r="N169" s="168"/>
      <c r="O169" s="168"/>
      <c r="P169" s="168"/>
      <c r="Q169" s="168" t="s">
        <v>0</v>
      </c>
      <c r="R169" s="168" t="s">
        <v>1</v>
      </c>
      <c r="S169" s="178" t="str">
        <f t="shared" si="8"/>
        <v>D_COLLATERAL_ORIGRUN_ID</v>
      </c>
    </row>
    <row r="170" spans="1:19" ht="14.4" x14ac:dyDescent="0.3">
      <c r="A170" s="169" t="s">
        <v>389</v>
      </c>
      <c r="B170" s="171" t="str">
        <f t="shared" si="6"/>
        <v>Таблица-хаб обеспечений</v>
      </c>
      <c r="C170" s="169" t="s">
        <v>527</v>
      </c>
      <c r="D170" s="169">
        <v>853</v>
      </c>
      <c r="E170" s="169">
        <v>5</v>
      </c>
      <c r="F170" s="169" t="s">
        <v>527</v>
      </c>
      <c r="G170" s="169" t="s">
        <v>527</v>
      </c>
      <c r="H170" s="169">
        <v>7</v>
      </c>
      <c r="I170" s="136" t="str">
        <f t="shared" si="7"/>
        <v>BIGINT</v>
      </c>
      <c r="J170" s="169" t="s">
        <v>1</v>
      </c>
      <c r="K170" s="169" t="s">
        <v>1</v>
      </c>
      <c r="L170" s="169">
        <v>30</v>
      </c>
      <c r="M170" s="168"/>
      <c r="N170" s="168"/>
      <c r="O170" s="168"/>
      <c r="P170" s="168"/>
      <c r="Q170" s="168" t="s">
        <v>0</v>
      </c>
      <c r="R170" s="168" t="s">
        <v>1</v>
      </c>
      <c r="S170" s="178" t="str">
        <f t="shared" si="8"/>
        <v>D_COLLATERAL_ORIGSRC_SYS_ID</v>
      </c>
    </row>
    <row r="171" spans="1:19" ht="14.4" x14ac:dyDescent="0.3">
      <c r="A171" s="169" t="s">
        <v>389</v>
      </c>
      <c r="B171" s="171" t="str">
        <f t="shared" si="6"/>
        <v>Таблица-хаб обеспечений</v>
      </c>
      <c r="C171" s="169" t="s">
        <v>525</v>
      </c>
      <c r="D171" s="169">
        <v>854</v>
      </c>
      <c r="E171" s="169">
        <v>6</v>
      </c>
      <c r="F171" s="169" t="s">
        <v>525</v>
      </c>
      <c r="G171" s="169" t="s">
        <v>525</v>
      </c>
      <c r="H171" s="169">
        <v>24</v>
      </c>
      <c r="I171" s="136" t="str">
        <f t="shared" si="7"/>
        <v xml:space="preserve">VARCHAR(40) </v>
      </c>
      <c r="J171" s="169" t="s">
        <v>1</v>
      </c>
      <c r="K171" s="169" t="s">
        <v>1</v>
      </c>
      <c r="L171" s="169">
        <v>30</v>
      </c>
      <c r="M171" s="168"/>
      <c r="N171" s="168"/>
      <c r="O171" s="168"/>
      <c r="P171" s="168"/>
      <c r="Q171" s="168" t="s">
        <v>0</v>
      </c>
      <c r="R171" s="168" t="s">
        <v>1</v>
      </c>
      <c r="S171" s="178" t="str">
        <f t="shared" si="8"/>
        <v>D_COLLATERAL_ORIGSRC_SYS_KEY</v>
      </c>
    </row>
    <row r="172" spans="1:19" ht="14.4" x14ac:dyDescent="0.3">
      <c r="A172" s="169" t="s">
        <v>389</v>
      </c>
      <c r="B172" s="171" t="str">
        <f t="shared" si="6"/>
        <v>Таблица-хаб обеспечений</v>
      </c>
      <c r="C172" s="169" t="s">
        <v>535</v>
      </c>
      <c r="D172" s="169">
        <v>855</v>
      </c>
      <c r="E172" s="169">
        <v>7</v>
      </c>
      <c r="F172" s="169" t="s">
        <v>535</v>
      </c>
      <c r="G172" s="169" t="s">
        <v>535</v>
      </c>
      <c r="H172" s="169">
        <v>7</v>
      </c>
      <c r="I172" s="136" t="str">
        <f t="shared" si="7"/>
        <v>BIGINT</v>
      </c>
      <c r="J172" s="169" t="s">
        <v>0</v>
      </c>
      <c r="K172" s="169" t="s">
        <v>1</v>
      </c>
      <c r="L172" s="169">
        <v>30</v>
      </c>
      <c r="M172" s="168"/>
      <c r="N172" s="168"/>
      <c r="O172" s="168"/>
      <c r="P172" s="168"/>
      <c r="Q172" s="168" t="s">
        <v>0</v>
      </c>
      <c r="R172" s="168" t="s">
        <v>1</v>
      </c>
      <c r="S172" s="178" t="str">
        <f t="shared" si="8"/>
        <v>D_COLLATERAL_ORIGSRC_SYS_KEY_ID</v>
      </c>
    </row>
    <row r="173" spans="1:19" ht="14.4" x14ac:dyDescent="0.3">
      <c r="A173" s="169" t="s">
        <v>398</v>
      </c>
      <c r="B173" s="171" t="str">
        <f t="shared" si="6"/>
        <v>Обеспечения по сделкам</v>
      </c>
      <c r="C173" s="169" t="s">
        <v>1423</v>
      </c>
      <c r="D173" s="169">
        <v>856</v>
      </c>
      <c r="E173" s="169">
        <v>1</v>
      </c>
      <c r="F173" s="169" t="s">
        <v>1423</v>
      </c>
      <c r="G173" s="169" t="s">
        <v>1423</v>
      </c>
      <c r="H173" s="169">
        <v>21</v>
      </c>
      <c r="I173" s="136" t="str">
        <f t="shared" si="7"/>
        <v>DECIMAL(19, 2)</v>
      </c>
      <c r="J173" s="169" t="s">
        <v>0</v>
      </c>
      <c r="K173" s="169" t="s">
        <v>1</v>
      </c>
      <c r="L173" s="169">
        <v>30</v>
      </c>
      <c r="M173" s="168"/>
      <c r="N173" s="168"/>
      <c r="O173" s="168"/>
      <c r="P173" s="168"/>
      <c r="Q173" s="168" t="s">
        <v>0</v>
      </c>
      <c r="R173" s="168" t="s">
        <v>1</v>
      </c>
      <c r="S173" s="178" t="str">
        <f t="shared" si="8"/>
        <v>D_COLLATERAL_ORIG_BHBALANCE_VALUE_CCY_AMT</v>
      </c>
    </row>
    <row r="174" spans="1:19" ht="14.4" x14ac:dyDescent="0.3">
      <c r="A174" s="169" t="s">
        <v>398</v>
      </c>
      <c r="B174" s="171" t="str">
        <f t="shared" si="6"/>
        <v>Обеспечения по сделкам</v>
      </c>
      <c r="C174" s="169" t="s">
        <v>499</v>
      </c>
      <c r="D174" s="169">
        <v>857</v>
      </c>
      <c r="E174" s="169">
        <v>2</v>
      </c>
      <c r="F174" s="169" t="s">
        <v>499</v>
      </c>
      <c r="G174" s="169" t="s">
        <v>499</v>
      </c>
      <c r="H174" s="169">
        <v>21</v>
      </c>
      <c r="I174" s="136" t="str">
        <f t="shared" si="7"/>
        <v>DECIMAL(19, 2)</v>
      </c>
      <c r="J174" s="169" t="s">
        <v>0</v>
      </c>
      <c r="K174" s="169" t="s">
        <v>1</v>
      </c>
      <c r="L174" s="169">
        <v>30</v>
      </c>
      <c r="M174" s="168"/>
      <c r="N174" s="168"/>
      <c r="O174" s="168"/>
      <c r="P174" s="168"/>
      <c r="Q174" s="168" t="s">
        <v>0</v>
      </c>
      <c r="R174" s="168" t="s">
        <v>1</v>
      </c>
      <c r="S174" s="178" t="str">
        <f t="shared" si="8"/>
        <v>D_COLLATERAL_ORIG_BHBALANCE_VALUE_RUB_AMT</v>
      </c>
    </row>
    <row r="175" spans="1:19" ht="14.4" x14ac:dyDescent="0.3">
      <c r="A175" s="169" t="s">
        <v>398</v>
      </c>
      <c r="B175" s="171" t="str">
        <f t="shared" si="6"/>
        <v>Обеспечения по сделкам</v>
      </c>
      <c r="C175" s="169" t="s">
        <v>1503</v>
      </c>
      <c r="D175" s="169">
        <v>858</v>
      </c>
      <c r="E175" s="169">
        <v>3</v>
      </c>
      <c r="F175" s="169" t="s">
        <v>1503</v>
      </c>
      <c r="G175" s="169" t="s">
        <v>1503</v>
      </c>
      <c r="H175" s="169">
        <v>3</v>
      </c>
      <c r="I175" s="136" t="str">
        <f t="shared" si="7"/>
        <v>DECIMAL(20, 6)</v>
      </c>
      <c r="J175" s="169" t="s">
        <v>0</v>
      </c>
      <c r="K175" s="169" t="s">
        <v>1</v>
      </c>
      <c r="L175" s="169">
        <v>30</v>
      </c>
      <c r="M175" s="168"/>
      <c r="N175" s="168"/>
      <c r="O175" s="168"/>
      <c r="P175" s="168"/>
      <c r="Q175" s="168" t="s">
        <v>0</v>
      </c>
      <c r="R175" s="168" t="s">
        <v>1</v>
      </c>
      <c r="S175" s="178" t="str">
        <f t="shared" si="8"/>
        <v>D_COLLATERAL_ORIG_BHCOLLATERAL_DISCOUNT</v>
      </c>
    </row>
    <row r="176" spans="1:19" ht="14.4" x14ac:dyDescent="0.3">
      <c r="A176" s="169" t="s">
        <v>398</v>
      </c>
      <c r="B176" s="171" t="str">
        <f t="shared" si="6"/>
        <v>Обеспечения по сделкам</v>
      </c>
      <c r="C176" s="169" t="s">
        <v>490</v>
      </c>
      <c r="D176" s="169">
        <v>859</v>
      </c>
      <c r="E176" s="169">
        <v>4</v>
      </c>
      <c r="F176" s="169" t="s">
        <v>490</v>
      </c>
      <c r="G176" s="169" t="s">
        <v>490</v>
      </c>
      <c r="H176" s="169">
        <v>7</v>
      </c>
      <c r="I176" s="136" t="str">
        <f t="shared" si="7"/>
        <v>BIGINT</v>
      </c>
      <c r="J176" s="169" t="s">
        <v>1</v>
      </c>
      <c r="K176" s="169" t="s">
        <v>0</v>
      </c>
      <c r="L176" s="169">
        <v>30</v>
      </c>
      <c r="M176" s="168"/>
      <c r="N176" s="168"/>
      <c r="O176" s="168"/>
      <c r="P176" s="168"/>
      <c r="Q176" s="168" t="s">
        <v>0</v>
      </c>
      <c r="R176" s="168" t="s">
        <v>1</v>
      </c>
      <c r="S176" s="178" t="str">
        <f t="shared" si="8"/>
        <v>D_COLLATERAL_ORIG_BHCOLLATERAL_ORIG_ID</v>
      </c>
    </row>
    <row r="177" spans="1:19" ht="14.4" x14ac:dyDescent="0.3">
      <c r="A177" s="169" t="s">
        <v>398</v>
      </c>
      <c r="B177" s="171" t="str">
        <f t="shared" si="6"/>
        <v>Обеспечения по сделкам</v>
      </c>
      <c r="C177" s="169" t="s">
        <v>496</v>
      </c>
      <c r="D177" s="169">
        <v>962</v>
      </c>
      <c r="E177" s="169">
        <v>5</v>
      </c>
      <c r="F177" s="169" t="s">
        <v>496</v>
      </c>
      <c r="G177" s="169" t="s">
        <v>496</v>
      </c>
      <c r="H177" s="169">
        <v>7</v>
      </c>
      <c r="I177" s="136" t="str">
        <f t="shared" si="7"/>
        <v>BIGINT</v>
      </c>
      <c r="J177" s="169" t="s">
        <v>0</v>
      </c>
      <c r="K177" s="169" t="s">
        <v>1</v>
      </c>
      <c r="L177" s="169">
        <v>30</v>
      </c>
      <c r="M177" s="168"/>
      <c r="N177" s="168"/>
      <c r="O177" s="168"/>
      <c r="P177" s="168"/>
      <c r="Q177" s="168" t="s">
        <v>0</v>
      </c>
      <c r="R177" s="168" t="s">
        <v>1</v>
      </c>
      <c r="S177" s="178" t="str">
        <f t="shared" si="8"/>
        <v>D_COLLATERAL_ORIG_BHCOLLATERAL_TYPE_ID</v>
      </c>
    </row>
    <row r="178" spans="1:19" ht="14.4" x14ac:dyDescent="0.3">
      <c r="A178" s="169" t="s">
        <v>398</v>
      </c>
      <c r="B178" s="171" t="str">
        <f t="shared" si="6"/>
        <v>Обеспечения по сделкам</v>
      </c>
      <c r="C178" s="169" t="s">
        <v>494</v>
      </c>
      <c r="D178" s="169">
        <v>963</v>
      </c>
      <c r="E178" s="169">
        <v>6</v>
      </c>
      <c r="F178" s="169" t="s">
        <v>494</v>
      </c>
      <c r="G178" s="169" t="s">
        <v>494</v>
      </c>
      <c r="H178" s="169">
        <v>24</v>
      </c>
      <c r="I178" s="136" t="str">
        <f t="shared" si="7"/>
        <v xml:space="preserve">VARCHAR(40) </v>
      </c>
      <c r="J178" s="169" t="s">
        <v>0</v>
      </c>
      <c r="K178" s="169" t="s">
        <v>1</v>
      </c>
      <c r="L178" s="169">
        <v>30</v>
      </c>
      <c r="M178" s="168"/>
      <c r="N178" s="168"/>
      <c r="O178" s="168"/>
      <c r="P178" s="168"/>
      <c r="Q178" s="168" t="s">
        <v>0</v>
      </c>
      <c r="R178" s="168" t="s">
        <v>1</v>
      </c>
      <c r="S178" s="178" t="str">
        <f t="shared" si="8"/>
        <v>D_COLLATERAL_ORIG_BHCONTRACT_NO</v>
      </c>
    </row>
    <row r="179" spans="1:19" ht="14.4" x14ac:dyDescent="0.3">
      <c r="A179" s="169" t="s">
        <v>398</v>
      </c>
      <c r="B179" s="171" t="str">
        <f t="shared" si="6"/>
        <v>Обеспечения по сделкам</v>
      </c>
      <c r="C179" s="169" t="s">
        <v>1582</v>
      </c>
      <c r="D179" s="169">
        <v>964</v>
      </c>
      <c r="E179" s="169">
        <v>7</v>
      </c>
      <c r="F179" s="169" t="s">
        <v>1582</v>
      </c>
      <c r="G179" s="169" t="s">
        <v>1582</v>
      </c>
      <c r="H179" s="169">
        <v>21</v>
      </c>
      <c r="I179" s="136" t="str">
        <f t="shared" si="7"/>
        <v>DECIMAL(19, 2)</v>
      </c>
      <c r="J179" s="169" t="s">
        <v>0</v>
      </c>
      <c r="K179" s="169" t="s">
        <v>1</v>
      </c>
      <c r="L179" s="169">
        <v>30</v>
      </c>
      <c r="M179" s="168"/>
      <c r="N179" s="168"/>
      <c r="O179" s="168"/>
      <c r="P179" s="168"/>
      <c r="Q179" s="168" t="s">
        <v>0</v>
      </c>
      <c r="R179" s="168" t="s">
        <v>1</v>
      </c>
      <c r="S179" s="178" t="str">
        <f t="shared" si="8"/>
        <v>D_COLLATERAL_ORIG_BHCONTRACT_VALUE_CCY_AMT</v>
      </c>
    </row>
    <row r="180" spans="1:19" ht="14.4" x14ac:dyDescent="0.3">
      <c r="A180" s="169" t="s">
        <v>398</v>
      </c>
      <c r="B180" s="171" t="str">
        <f t="shared" si="6"/>
        <v>Обеспечения по сделкам</v>
      </c>
      <c r="C180" s="169" t="s">
        <v>1477</v>
      </c>
      <c r="D180" s="169">
        <v>965</v>
      </c>
      <c r="E180" s="169">
        <v>8</v>
      </c>
      <c r="F180" s="169" t="s">
        <v>1477</v>
      </c>
      <c r="G180" s="169" t="s">
        <v>1477</v>
      </c>
      <c r="H180" s="169">
        <v>21</v>
      </c>
      <c r="I180" s="136" t="str">
        <f t="shared" si="7"/>
        <v>DECIMAL(19, 2)</v>
      </c>
      <c r="J180" s="169" t="s">
        <v>0</v>
      </c>
      <c r="K180" s="169" t="s">
        <v>1</v>
      </c>
      <c r="L180" s="169">
        <v>30</v>
      </c>
      <c r="M180" s="168"/>
      <c r="N180" s="168"/>
      <c r="O180" s="168"/>
      <c r="P180" s="168"/>
      <c r="Q180" s="168" t="s">
        <v>0</v>
      </c>
      <c r="R180" s="168" t="s">
        <v>1</v>
      </c>
      <c r="S180" s="178" t="str">
        <f t="shared" si="8"/>
        <v>D_COLLATERAL_ORIG_BHCONTRACT_VALUE_RUB_AMT</v>
      </c>
    </row>
    <row r="181" spans="1:19" ht="14.4" x14ac:dyDescent="0.3">
      <c r="A181" s="169" t="s">
        <v>398</v>
      </c>
      <c r="B181" s="171" t="str">
        <f t="shared" si="6"/>
        <v>Обеспечения по сделкам</v>
      </c>
      <c r="C181" s="169" t="s">
        <v>614</v>
      </c>
      <c r="D181" s="169">
        <v>966</v>
      </c>
      <c r="E181" s="169">
        <v>9</v>
      </c>
      <c r="F181" s="169" t="s">
        <v>614</v>
      </c>
      <c r="G181" s="169" t="s">
        <v>614</v>
      </c>
      <c r="H181" s="169">
        <v>7</v>
      </c>
      <c r="I181" s="136" t="str">
        <f t="shared" si="7"/>
        <v>BIGINT</v>
      </c>
      <c r="J181" s="169" t="s">
        <v>0</v>
      </c>
      <c r="K181" s="169" t="s">
        <v>1</v>
      </c>
      <c r="L181" s="169">
        <v>30</v>
      </c>
      <c r="M181" s="168"/>
      <c r="N181" s="168"/>
      <c r="O181" s="168"/>
      <c r="P181" s="168"/>
      <c r="Q181" s="168" t="s">
        <v>0</v>
      </c>
      <c r="R181" s="168" t="s">
        <v>1</v>
      </c>
      <c r="S181" s="178" t="str">
        <f t="shared" si="8"/>
        <v>D_COLLATERAL_ORIG_BHCURRENCY_ID</v>
      </c>
    </row>
    <row r="182" spans="1:19" ht="14.4" x14ac:dyDescent="0.3">
      <c r="A182" s="169" t="s">
        <v>398</v>
      </c>
      <c r="B182" s="171" t="str">
        <f t="shared" si="6"/>
        <v>Обеспечения по сделкам</v>
      </c>
      <c r="C182" s="169" t="s">
        <v>1540</v>
      </c>
      <c r="D182" s="169">
        <v>967</v>
      </c>
      <c r="E182" s="169">
        <v>10</v>
      </c>
      <c r="F182" s="169" t="s">
        <v>1540</v>
      </c>
      <c r="G182" s="169" t="s">
        <v>1540</v>
      </c>
      <c r="H182" s="169">
        <v>24</v>
      </c>
      <c r="I182" s="136" t="str">
        <f t="shared" si="7"/>
        <v xml:space="preserve">VARCHAR(40) </v>
      </c>
      <c r="J182" s="169" t="s">
        <v>0</v>
      </c>
      <c r="K182" s="169" t="s">
        <v>1</v>
      </c>
      <c r="L182" s="169">
        <v>30</v>
      </c>
      <c r="M182" s="168"/>
      <c r="N182" s="168"/>
      <c r="O182" s="168"/>
      <c r="P182" s="168"/>
      <c r="Q182" s="168" t="s">
        <v>0</v>
      </c>
      <c r="R182" s="168" t="s">
        <v>1</v>
      </c>
      <c r="S182" s="178" t="str">
        <f t="shared" si="8"/>
        <v>D_COLLATERAL_ORIG_BHEVALUATION_APPROACH</v>
      </c>
    </row>
    <row r="183" spans="1:19" ht="14.4" x14ac:dyDescent="0.3">
      <c r="A183" s="169" t="s">
        <v>398</v>
      </c>
      <c r="B183" s="171" t="str">
        <f t="shared" si="6"/>
        <v>Обеспечения по сделкам</v>
      </c>
      <c r="C183" s="169" t="s">
        <v>1409</v>
      </c>
      <c r="D183" s="169">
        <v>968</v>
      </c>
      <c r="E183" s="169">
        <v>11</v>
      </c>
      <c r="F183" s="169" t="s">
        <v>1409</v>
      </c>
      <c r="G183" s="169" t="s">
        <v>1409</v>
      </c>
      <c r="H183" s="169">
        <v>21</v>
      </c>
      <c r="I183" s="136" t="str">
        <f t="shared" si="7"/>
        <v>DECIMAL(19, 2)</v>
      </c>
      <c r="J183" s="169" t="s">
        <v>0</v>
      </c>
      <c r="K183" s="169" t="s">
        <v>1</v>
      </c>
      <c r="L183" s="169">
        <v>30</v>
      </c>
      <c r="M183" s="168"/>
      <c r="N183" s="168"/>
      <c r="O183" s="168"/>
      <c r="P183" s="168"/>
      <c r="Q183" s="168" t="s">
        <v>0</v>
      </c>
      <c r="R183" s="168" t="s">
        <v>1</v>
      </c>
      <c r="S183" s="178" t="str">
        <f t="shared" si="8"/>
        <v>D_COLLATERAL_ORIG_BHMARKET_VALUE_CCY_AMT</v>
      </c>
    </row>
    <row r="184" spans="1:19" ht="14.4" x14ac:dyDescent="0.3">
      <c r="A184" s="169" t="s">
        <v>398</v>
      </c>
      <c r="B184" s="171" t="str">
        <f t="shared" si="6"/>
        <v>Обеспечения по сделкам</v>
      </c>
      <c r="C184" s="169" t="s">
        <v>1528</v>
      </c>
      <c r="D184" s="169">
        <v>1038</v>
      </c>
      <c r="E184" s="169">
        <v>12</v>
      </c>
      <c r="F184" s="169" t="s">
        <v>1528</v>
      </c>
      <c r="G184" s="169" t="s">
        <v>1528</v>
      </c>
      <c r="H184" s="169">
        <v>34</v>
      </c>
      <c r="I184" s="136" t="str">
        <f t="shared" si="7"/>
        <v>DATE</v>
      </c>
      <c r="J184" s="169" t="s">
        <v>0</v>
      </c>
      <c r="K184" s="169" t="s">
        <v>1</v>
      </c>
      <c r="L184" s="169">
        <v>30</v>
      </c>
      <c r="M184" s="168"/>
      <c r="N184" s="168"/>
      <c r="O184" s="168"/>
      <c r="P184" s="168"/>
      <c r="Q184" s="168" t="s">
        <v>0</v>
      </c>
      <c r="R184" s="168" t="s">
        <v>1</v>
      </c>
      <c r="S184" s="178" t="str">
        <f t="shared" si="8"/>
        <v>D_COLLATERAL_ORIG_BHMARKET_VALUE_ESTB_DT</v>
      </c>
    </row>
    <row r="185" spans="1:19" ht="14.4" x14ac:dyDescent="0.3">
      <c r="A185" s="169" t="s">
        <v>398</v>
      </c>
      <c r="B185" s="171" t="str">
        <f t="shared" si="6"/>
        <v>Обеспечения по сделкам</v>
      </c>
      <c r="C185" s="169" t="s">
        <v>503</v>
      </c>
      <c r="D185" s="169">
        <v>1039</v>
      </c>
      <c r="E185" s="169">
        <v>13</v>
      </c>
      <c r="F185" s="169" t="s">
        <v>503</v>
      </c>
      <c r="G185" s="169" t="s">
        <v>503</v>
      </c>
      <c r="H185" s="169">
        <v>21</v>
      </c>
      <c r="I185" s="136" t="str">
        <f t="shared" si="7"/>
        <v>DECIMAL(19, 2)</v>
      </c>
      <c r="J185" s="169" t="s">
        <v>0</v>
      </c>
      <c r="K185" s="169" t="s">
        <v>1</v>
      </c>
      <c r="L185" s="169">
        <v>30</v>
      </c>
      <c r="M185" s="168"/>
      <c r="N185" s="168"/>
      <c r="O185" s="168"/>
      <c r="P185" s="168"/>
      <c r="Q185" s="168" t="s">
        <v>0</v>
      </c>
      <c r="R185" s="168" t="s">
        <v>1</v>
      </c>
      <c r="S185" s="178" t="str">
        <f t="shared" si="8"/>
        <v>D_COLLATERAL_ORIG_BHMARKET_VALUE_RUB_AMT</v>
      </c>
    </row>
    <row r="186" spans="1:19" ht="14.4" x14ac:dyDescent="0.3">
      <c r="A186" s="169" t="s">
        <v>398</v>
      </c>
      <c r="B186" s="171" t="str">
        <f t="shared" si="6"/>
        <v>Обеспечения по сделкам</v>
      </c>
      <c r="C186" s="169" t="s">
        <v>501</v>
      </c>
      <c r="D186" s="169">
        <v>1040</v>
      </c>
      <c r="E186" s="169">
        <v>14</v>
      </c>
      <c r="F186" s="169" t="s">
        <v>501</v>
      </c>
      <c r="G186" s="169" t="s">
        <v>501</v>
      </c>
      <c r="H186" s="169">
        <v>7</v>
      </c>
      <c r="I186" s="136" t="str">
        <f t="shared" si="7"/>
        <v>BIGINT</v>
      </c>
      <c r="J186" s="169" t="s">
        <v>0</v>
      </c>
      <c r="K186" s="169" t="s">
        <v>1</v>
      </c>
      <c r="L186" s="169">
        <v>30</v>
      </c>
      <c r="M186" s="168"/>
      <c r="N186" s="168"/>
      <c r="O186" s="168"/>
      <c r="P186" s="168"/>
      <c r="Q186" s="168" t="s">
        <v>0</v>
      </c>
      <c r="R186" s="168" t="s">
        <v>1</v>
      </c>
      <c r="S186" s="178" t="str">
        <f t="shared" si="8"/>
        <v>D_COLLATERAL_ORIG_BHOWNER_CP_ORIG_ID</v>
      </c>
    </row>
    <row r="187" spans="1:19" ht="14.4" x14ac:dyDescent="0.3">
      <c r="A187" s="169" t="s">
        <v>398</v>
      </c>
      <c r="B187" s="171" t="str">
        <f t="shared" si="6"/>
        <v>Обеспечения по сделкам</v>
      </c>
      <c r="C187" s="169" t="s">
        <v>440</v>
      </c>
      <c r="D187" s="169">
        <v>1041</v>
      </c>
      <c r="E187" s="169">
        <v>15</v>
      </c>
      <c r="F187" s="169" t="s">
        <v>440</v>
      </c>
      <c r="G187" s="169" t="s">
        <v>440</v>
      </c>
      <c r="H187" s="169">
        <v>22</v>
      </c>
      <c r="I187" s="136" t="str">
        <f t="shared" si="7"/>
        <v>TIMESTAMP(6)</v>
      </c>
      <c r="J187" s="169" t="s">
        <v>1</v>
      </c>
      <c r="K187" s="169" t="s">
        <v>1</v>
      </c>
      <c r="L187" s="169">
        <v>30</v>
      </c>
      <c r="M187" s="168"/>
      <c r="N187" s="168"/>
      <c r="O187" s="168"/>
      <c r="P187" s="168"/>
      <c r="Q187" s="168" t="s">
        <v>0</v>
      </c>
      <c r="R187" s="168" t="s">
        <v>1</v>
      </c>
      <c r="S187" s="178" t="str">
        <f t="shared" si="8"/>
        <v>D_COLLATERAL_ORIG_BHRECORD_CREATE_TS</v>
      </c>
    </row>
    <row r="188" spans="1:19" ht="14.4" x14ac:dyDescent="0.3">
      <c r="A188" s="169" t="s">
        <v>398</v>
      </c>
      <c r="B188" s="171" t="str">
        <f t="shared" si="6"/>
        <v>Обеспечения по сделкам</v>
      </c>
      <c r="C188" s="169" t="s">
        <v>429</v>
      </c>
      <c r="D188" s="169">
        <v>1042</v>
      </c>
      <c r="E188" s="169">
        <v>16</v>
      </c>
      <c r="F188" s="169" t="s">
        <v>429</v>
      </c>
      <c r="G188" s="169" t="s">
        <v>429</v>
      </c>
      <c r="H188" s="169">
        <v>22</v>
      </c>
      <c r="I188" s="136" t="str">
        <f t="shared" si="7"/>
        <v>TIMESTAMP(6)</v>
      </c>
      <c r="J188" s="169" t="s">
        <v>1</v>
      </c>
      <c r="K188" s="169" t="s">
        <v>1</v>
      </c>
      <c r="L188" s="169">
        <v>30</v>
      </c>
      <c r="M188" s="168"/>
      <c r="N188" s="168"/>
      <c r="O188" s="168"/>
      <c r="P188" s="168"/>
      <c r="Q188" s="168" t="s">
        <v>0</v>
      </c>
      <c r="R188" s="168" t="s">
        <v>1</v>
      </c>
      <c r="S188" s="178" t="str">
        <f t="shared" si="8"/>
        <v>D_COLLATERAL_ORIG_BHRECORD_UPDATE_TS</v>
      </c>
    </row>
    <row r="189" spans="1:19" ht="14.4" x14ac:dyDescent="0.3">
      <c r="A189" s="169" t="s">
        <v>398</v>
      </c>
      <c r="B189" s="171" t="str">
        <f t="shared" si="6"/>
        <v>Обеспечения по сделкам</v>
      </c>
      <c r="C189" s="169" t="s">
        <v>498</v>
      </c>
      <c r="D189" s="169">
        <v>1043</v>
      </c>
      <c r="E189" s="169">
        <v>17</v>
      </c>
      <c r="F189" s="169" t="s">
        <v>498</v>
      </c>
      <c r="G189" s="169" t="s">
        <v>498</v>
      </c>
      <c r="H189" s="169">
        <v>7</v>
      </c>
      <c r="I189" s="136" t="str">
        <f t="shared" si="7"/>
        <v>BIGINT</v>
      </c>
      <c r="J189" s="169" t="s">
        <v>1</v>
      </c>
      <c r="K189" s="169" t="s">
        <v>1</v>
      </c>
      <c r="L189" s="169">
        <v>30</v>
      </c>
      <c r="M189" s="168"/>
      <c r="N189" s="168"/>
      <c r="O189" s="168"/>
      <c r="P189" s="168"/>
      <c r="Q189" s="168" t="s">
        <v>0</v>
      </c>
      <c r="R189" s="168" t="s">
        <v>1</v>
      </c>
      <c r="S189" s="178" t="str">
        <f t="shared" si="8"/>
        <v>D_COLLATERAL_ORIG_BHRUN_ID</v>
      </c>
    </row>
    <row r="190" spans="1:19" ht="14.4" x14ac:dyDescent="0.3">
      <c r="A190" s="169" t="s">
        <v>398</v>
      </c>
      <c r="B190" s="171" t="str">
        <f t="shared" si="6"/>
        <v>Обеспечения по сделкам</v>
      </c>
      <c r="C190" s="169" t="s">
        <v>492</v>
      </c>
      <c r="D190" s="169">
        <v>1044</v>
      </c>
      <c r="E190" s="169">
        <v>18</v>
      </c>
      <c r="F190" s="169" t="s">
        <v>492</v>
      </c>
      <c r="G190" s="169" t="s">
        <v>492</v>
      </c>
      <c r="H190" s="169">
        <v>34</v>
      </c>
      <c r="I190" s="136" t="str">
        <f t="shared" si="7"/>
        <v>DATE</v>
      </c>
      <c r="J190" s="169" t="s">
        <v>1</v>
      </c>
      <c r="K190" s="169" t="s">
        <v>1</v>
      </c>
      <c r="L190" s="169">
        <v>30</v>
      </c>
      <c r="M190" s="168"/>
      <c r="N190" s="168"/>
      <c r="O190" s="168"/>
      <c r="P190" s="168"/>
      <c r="Q190" s="168" t="s">
        <v>0</v>
      </c>
      <c r="R190" s="168" t="s">
        <v>1</v>
      </c>
      <c r="S190" s="178" t="str">
        <f t="shared" si="8"/>
        <v>D_COLLATERAL_ORIG_BHVALIDITY_DT</v>
      </c>
    </row>
    <row r="191" spans="1:19" ht="14.4" x14ac:dyDescent="0.3">
      <c r="A191" s="169" t="s">
        <v>332</v>
      </c>
      <c r="B191" s="171" t="str">
        <f t="shared" si="6"/>
        <v>D_COUNTERPARTY_MART</v>
      </c>
      <c r="C191" s="169" t="s">
        <v>1858</v>
      </c>
      <c r="D191" s="169">
        <v>1067</v>
      </c>
      <c r="E191" s="169">
        <v>1</v>
      </c>
      <c r="F191" s="169" t="s">
        <v>1858</v>
      </c>
      <c r="G191" s="169" t="s">
        <v>1858</v>
      </c>
      <c r="H191" s="169">
        <v>40</v>
      </c>
      <c r="I191" s="136" t="str">
        <f t="shared" si="7"/>
        <v>DECIMAL(26, 4)</v>
      </c>
      <c r="J191" s="169" t="s">
        <v>0</v>
      </c>
      <c r="K191" s="169" t="s">
        <v>1</v>
      </c>
      <c r="L191" s="169">
        <v>30</v>
      </c>
      <c r="M191" s="168"/>
      <c r="N191" s="168"/>
      <c r="O191" s="168"/>
      <c r="P191" s="168"/>
      <c r="Q191" s="168" t="s">
        <v>0</v>
      </c>
      <c r="R191" s="168" t="s">
        <v>1</v>
      </c>
      <c r="S191" s="178" t="str">
        <f t="shared" si="8"/>
        <v>D_COUNTERPARTY_MARTANNUAL_SALES</v>
      </c>
    </row>
    <row r="192" spans="1:19" ht="14.4" x14ac:dyDescent="0.3">
      <c r="A192" s="169" t="s">
        <v>332</v>
      </c>
      <c r="B192" s="171" t="str">
        <f t="shared" si="6"/>
        <v>D_COUNTERPARTY_MART</v>
      </c>
      <c r="C192" s="169" t="s">
        <v>1859</v>
      </c>
      <c r="D192" s="169">
        <v>1068</v>
      </c>
      <c r="E192" s="169">
        <v>2</v>
      </c>
      <c r="F192" s="169" t="s">
        <v>1859</v>
      </c>
      <c r="G192" s="169" t="s">
        <v>1859</v>
      </c>
      <c r="H192" s="169">
        <v>40</v>
      </c>
      <c r="I192" s="136" t="str">
        <f t="shared" si="7"/>
        <v>DECIMAL(26, 4)</v>
      </c>
      <c r="J192" s="169" t="s">
        <v>0</v>
      </c>
      <c r="K192" s="169" t="s">
        <v>1</v>
      </c>
      <c r="L192" s="169">
        <v>30</v>
      </c>
      <c r="M192" s="168"/>
      <c r="N192" s="168"/>
      <c r="O192" s="168"/>
      <c r="P192" s="168"/>
      <c r="Q192" s="168" t="s">
        <v>0</v>
      </c>
      <c r="R192" s="168" t="s">
        <v>1</v>
      </c>
      <c r="S192" s="178" t="str">
        <f t="shared" si="8"/>
        <v>D_COUNTERPARTY_MARTANNUAL_SALES_GROUP</v>
      </c>
    </row>
    <row r="193" spans="1:19" ht="14.4" x14ac:dyDescent="0.3">
      <c r="A193" s="169" t="s">
        <v>332</v>
      </c>
      <c r="B193" s="171" t="str">
        <f t="shared" si="6"/>
        <v>D_COUNTERPARTY_MART</v>
      </c>
      <c r="C193" s="169" t="s">
        <v>2058</v>
      </c>
      <c r="D193" s="169">
        <v>1069</v>
      </c>
      <c r="E193" s="169">
        <v>3</v>
      </c>
      <c r="F193" s="169" t="s">
        <v>2058</v>
      </c>
      <c r="G193" s="169" t="s">
        <v>2058</v>
      </c>
      <c r="H193" s="169">
        <v>20</v>
      </c>
      <c r="I193" s="136" t="str">
        <f t="shared" si="7"/>
        <v xml:space="preserve">VARCHAR(32) </v>
      </c>
      <c r="J193" s="169" t="s">
        <v>0</v>
      </c>
      <c r="K193" s="169" t="s">
        <v>1</v>
      </c>
      <c r="L193" s="169">
        <v>30</v>
      </c>
      <c r="M193" s="168"/>
      <c r="N193" s="168"/>
      <c r="O193" s="168"/>
      <c r="P193" s="168"/>
      <c r="Q193" s="168" t="s">
        <v>0</v>
      </c>
      <c r="R193" s="168" t="s">
        <v>1</v>
      </c>
      <c r="S193" s="178" t="str">
        <f t="shared" si="8"/>
        <v>D_COUNTERPARTY_MARTBAD_DEBT_GRADE</v>
      </c>
    </row>
    <row r="194" spans="1:19" ht="14.4" x14ac:dyDescent="0.3">
      <c r="A194" s="169" t="s">
        <v>332</v>
      </c>
      <c r="B194" s="171" t="str">
        <f t="shared" ref="B194:B257" si="9">IF(NOT(ISBLANK(A194)),VLOOKUP(A194,ERM_TABLE_NM,2,FALSE), "")</f>
        <v>D_COUNTERPARTY_MART</v>
      </c>
      <c r="C194" s="169" t="s">
        <v>1860</v>
      </c>
      <c r="D194" s="169">
        <v>1070</v>
      </c>
      <c r="E194" s="169">
        <v>4</v>
      </c>
      <c r="F194" s="169" t="s">
        <v>1860</v>
      </c>
      <c r="G194" s="169" t="s">
        <v>1860</v>
      </c>
      <c r="H194" s="169">
        <v>32</v>
      </c>
      <c r="I194" s="136" t="str">
        <f t="shared" ref="I194:I257" si="10">IF(NOT(ISBLANK(H194)),VLOOKUP(H194,ERM_DOMAIN_NM,2,FALSE), "")</f>
        <v>BYTEINT</v>
      </c>
      <c r="J194" s="169" t="s">
        <v>0</v>
      </c>
      <c r="K194" s="169" t="s">
        <v>1</v>
      </c>
      <c r="L194" s="169">
        <v>30</v>
      </c>
      <c r="M194" s="168"/>
      <c r="N194" s="168"/>
      <c r="O194" s="168"/>
      <c r="P194" s="168"/>
      <c r="Q194" s="168" t="s">
        <v>0</v>
      </c>
      <c r="R194" s="168" t="s">
        <v>1</v>
      </c>
      <c r="S194" s="178" t="str">
        <f t="shared" si="8"/>
        <v>D_COUNTERPARTY_MARTBASEL3_ADJ_FLAG</v>
      </c>
    </row>
    <row r="195" spans="1:19" ht="14.4" x14ac:dyDescent="0.3">
      <c r="A195" s="169" t="s">
        <v>332</v>
      </c>
      <c r="B195" s="171" t="str">
        <f t="shared" si="9"/>
        <v>D_COUNTERPARTY_MART</v>
      </c>
      <c r="C195" s="169" t="s">
        <v>1861</v>
      </c>
      <c r="D195" s="169">
        <v>1071</v>
      </c>
      <c r="E195" s="169">
        <v>5</v>
      </c>
      <c r="F195" s="169" t="s">
        <v>1861</v>
      </c>
      <c r="G195" s="169" t="s">
        <v>1861</v>
      </c>
      <c r="H195" s="169">
        <v>32</v>
      </c>
      <c r="I195" s="136" t="str">
        <f t="shared" si="10"/>
        <v>BYTEINT</v>
      </c>
      <c r="J195" s="169" t="s">
        <v>0</v>
      </c>
      <c r="K195" s="169" t="s">
        <v>1</v>
      </c>
      <c r="L195" s="169">
        <v>30</v>
      </c>
      <c r="M195" s="168"/>
      <c r="N195" s="168"/>
      <c r="O195" s="168"/>
      <c r="P195" s="168"/>
      <c r="Q195" s="168" t="s">
        <v>0</v>
      </c>
      <c r="R195" s="168" t="s">
        <v>1</v>
      </c>
      <c r="S195" s="178" t="str">
        <f t="shared" ref="S195:S258" si="11">CONCATENATE(A195,C195)</f>
        <v>D_COUNTERPARTY_MARTCBRF_FLAG</v>
      </c>
    </row>
    <row r="196" spans="1:19" ht="14.4" x14ac:dyDescent="0.3">
      <c r="A196" s="169" t="s">
        <v>332</v>
      </c>
      <c r="B196" s="171" t="str">
        <f t="shared" si="9"/>
        <v>D_COUNTERPARTY_MART</v>
      </c>
      <c r="C196" s="169" t="s">
        <v>1862</v>
      </c>
      <c r="D196" s="169">
        <v>1072</v>
      </c>
      <c r="E196" s="169">
        <v>6</v>
      </c>
      <c r="F196" s="169" t="s">
        <v>1862</v>
      </c>
      <c r="G196" s="169" t="s">
        <v>1862</v>
      </c>
      <c r="H196" s="169">
        <v>14</v>
      </c>
      <c r="I196" s="136" t="str">
        <f t="shared" si="10"/>
        <v xml:space="preserve">CHAR(3) </v>
      </c>
      <c r="J196" s="169" t="s">
        <v>0</v>
      </c>
      <c r="K196" s="169" t="s">
        <v>1</v>
      </c>
      <c r="L196" s="169">
        <v>30</v>
      </c>
      <c r="M196" s="168"/>
      <c r="N196" s="168"/>
      <c r="O196" s="168"/>
      <c r="P196" s="168"/>
      <c r="Q196" s="168" t="s">
        <v>0</v>
      </c>
      <c r="R196" s="168" t="s">
        <v>1</v>
      </c>
      <c r="S196" s="178" t="str">
        <f t="shared" si="11"/>
        <v>D_COUNTERPARTY_MARTCOUNTERPARTY_COUNTRY</v>
      </c>
    </row>
    <row r="197" spans="1:19" ht="14.4" x14ac:dyDescent="0.3">
      <c r="A197" s="169" t="s">
        <v>332</v>
      </c>
      <c r="B197" s="171" t="str">
        <f t="shared" si="9"/>
        <v>D_COUNTERPARTY_MART</v>
      </c>
      <c r="C197" s="169" t="s">
        <v>1863</v>
      </c>
      <c r="D197" s="169">
        <v>1073</v>
      </c>
      <c r="E197" s="169">
        <v>7</v>
      </c>
      <c r="F197" s="169" t="s">
        <v>1863</v>
      </c>
      <c r="G197" s="169" t="s">
        <v>1863</v>
      </c>
      <c r="H197" s="169">
        <v>14</v>
      </c>
      <c r="I197" s="136" t="str">
        <f t="shared" si="10"/>
        <v xml:space="preserve">CHAR(3) </v>
      </c>
      <c r="J197" s="169" t="s">
        <v>0</v>
      </c>
      <c r="K197" s="169" t="s">
        <v>1</v>
      </c>
      <c r="L197" s="169">
        <v>30</v>
      </c>
      <c r="M197" s="168"/>
      <c r="N197" s="168"/>
      <c r="O197" s="168"/>
      <c r="P197" s="168"/>
      <c r="Q197" s="168" t="s">
        <v>0</v>
      </c>
      <c r="R197" s="168" t="s">
        <v>1</v>
      </c>
      <c r="S197" s="178" t="str">
        <f t="shared" si="11"/>
        <v>D_COUNTERPARTY_MARTCOUNTERPARTY_COUNTRY_EFF</v>
      </c>
    </row>
    <row r="198" spans="1:19" ht="14.4" x14ac:dyDescent="0.3">
      <c r="A198" s="169" t="s">
        <v>332</v>
      </c>
      <c r="B198" s="171" t="str">
        <f t="shared" si="9"/>
        <v>D_COUNTERPARTY_MART</v>
      </c>
      <c r="C198" s="169" t="s">
        <v>2059</v>
      </c>
      <c r="D198" s="169">
        <v>1087</v>
      </c>
      <c r="E198" s="169">
        <v>8</v>
      </c>
      <c r="F198" s="169" t="s">
        <v>2059</v>
      </c>
      <c r="G198" s="169" t="s">
        <v>2059</v>
      </c>
      <c r="H198" s="169">
        <v>20</v>
      </c>
      <c r="I198" s="136" t="str">
        <f t="shared" si="10"/>
        <v xml:space="preserve">VARCHAR(32) </v>
      </c>
      <c r="J198" s="169" t="s">
        <v>0</v>
      </c>
      <c r="K198" s="169" t="s">
        <v>1</v>
      </c>
      <c r="L198" s="169">
        <v>30</v>
      </c>
      <c r="M198" s="168"/>
      <c r="N198" s="168"/>
      <c r="O198" s="168"/>
      <c r="P198" s="168"/>
      <c r="Q198" s="168" t="s">
        <v>0</v>
      </c>
      <c r="R198" s="168" t="s">
        <v>1</v>
      </c>
      <c r="S198" s="178" t="str">
        <f t="shared" si="11"/>
        <v>D_COUNTERPARTY_MARTCOUNTERPARTY_FIN_POSITION</v>
      </c>
    </row>
    <row r="199" spans="1:19" ht="14.4" x14ac:dyDescent="0.3">
      <c r="A199" s="169" t="s">
        <v>332</v>
      </c>
      <c r="B199" s="171" t="str">
        <f t="shared" si="9"/>
        <v>D_COUNTERPARTY_MART</v>
      </c>
      <c r="C199" s="169" t="s">
        <v>1864</v>
      </c>
      <c r="D199" s="169">
        <v>1088</v>
      </c>
      <c r="E199" s="169">
        <v>9</v>
      </c>
      <c r="F199" s="169" t="s">
        <v>1864</v>
      </c>
      <c r="G199" s="169" t="s">
        <v>1864</v>
      </c>
      <c r="H199" s="169">
        <v>53</v>
      </c>
      <c r="I199" s="136" t="str">
        <f t="shared" si="10"/>
        <v xml:space="preserve">VARCHAR(250) </v>
      </c>
      <c r="J199" s="169" t="s">
        <v>0</v>
      </c>
      <c r="K199" s="169" t="s">
        <v>1</v>
      </c>
      <c r="L199" s="169">
        <v>30</v>
      </c>
      <c r="M199" s="168"/>
      <c r="N199" s="168"/>
      <c r="O199" s="168"/>
      <c r="P199" s="168"/>
      <c r="Q199" s="168" t="s">
        <v>0</v>
      </c>
      <c r="R199" s="168" t="s">
        <v>1</v>
      </c>
      <c r="S199" s="178" t="str">
        <f t="shared" si="11"/>
        <v>D_COUNTERPARTY_MARTCOUNTERPARTY_GROUP</v>
      </c>
    </row>
    <row r="200" spans="1:19" ht="14.4" x14ac:dyDescent="0.3">
      <c r="A200" s="169" t="s">
        <v>332</v>
      </c>
      <c r="B200" s="171" t="str">
        <f t="shared" si="9"/>
        <v>D_COUNTERPARTY_MART</v>
      </c>
      <c r="C200" s="169" t="s">
        <v>1865</v>
      </c>
      <c r="D200" s="169">
        <v>1089</v>
      </c>
      <c r="E200" s="169">
        <v>10</v>
      </c>
      <c r="F200" s="169" t="s">
        <v>1865</v>
      </c>
      <c r="G200" s="169" t="s">
        <v>1865</v>
      </c>
      <c r="H200" s="169">
        <v>20</v>
      </c>
      <c r="I200" s="136" t="str">
        <f t="shared" si="10"/>
        <v xml:space="preserve">VARCHAR(32) </v>
      </c>
      <c r="J200" s="169" t="s">
        <v>0</v>
      </c>
      <c r="K200" s="169" t="s">
        <v>0</v>
      </c>
      <c r="L200" s="169">
        <v>30</v>
      </c>
      <c r="M200" s="168"/>
      <c r="N200" s="168"/>
      <c r="O200" s="168"/>
      <c r="P200" s="168"/>
      <c r="Q200" s="168" t="s">
        <v>0</v>
      </c>
      <c r="R200" s="168" t="s">
        <v>1</v>
      </c>
      <c r="S200" s="178" t="str">
        <f t="shared" si="11"/>
        <v>D_COUNTERPARTY_MARTCOUNTERPARTY_ID</v>
      </c>
    </row>
    <row r="201" spans="1:19" ht="14.4" x14ac:dyDescent="0.3">
      <c r="A201" s="169" t="s">
        <v>332</v>
      </c>
      <c r="B201" s="171" t="str">
        <f t="shared" si="9"/>
        <v>D_COUNTERPARTY_MART</v>
      </c>
      <c r="C201" s="169" t="s">
        <v>1866</v>
      </c>
      <c r="D201" s="169">
        <v>1090</v>
      </c>
      <c r="E201" s="169">
        <v>11</v>
      </c>
      <c r="F201" s="169" t="s">
        <v>1866</v>
      </c>
      <c r="G201" s="169" t="s">
        <v>1866</v>
      </c>
      <c r="H201" s="169">
        <v>39</v>
      </c>
      <c r="I201" s="136" t="str">
        <f t="shared" si="10"/>
        <v xml:space="preserve">VARCHAR(512) </v>
      </c>
      <c r="J201" s="169" t="s">
        <v>0</v>
      </c>
      <c r="K201" s="169" t="s">
        <v>1</v>
      </c>
      <c r="L201" s="169">
        <v>30</v>
      </c>
      <c r="M201" s="168"/>
      <c r="N201" s="168"/>
      <c r="O201" s="168"/>
      <c r="P201" s="168"/>
      <c r="Q201" s="168" t="s">
        <v>0</v>
      </c>
      <c r="R201" s="168" t="s">
        <v>1</v>
      </c>
      <c r="S201" s="178" t="str">
        <f t="shared" si="11"/>
        <v>D_COUNTERPARTY_MARTCOUNTERPARTY_NAME</v>
      </c>
    </row>
    <row r="202" spans="1:19" ht="14.4" x14ac:dyDescent="0.3">
      <c r="A202" s="169" t="s">
        <v>332</v>
      </c>
      <c r="B202" s="171" t="str">
        <f t="shared" si="9"/>
        <v>D_COUNTERPARTY_MART</v>
      </c>
      <c r="C202" s="169" t="s">
        <v>1867</v>
      </c>
      <c r="D202" s="169">
        <v>1091</v>
      </c>
      <c r="E202" s="169">
        <v>12</v>
      </c>
      <c r="F202" s="169" t="s">
        <v>1867</v>
      </c>
      <c r="G202" s="169" t="s">
        <v>1867</v>
      </c>
      <c r="H202" s="169">
        <v>48</v>
      </c>
      <c r="I202" s="136" t="str">
        <f t="shared" si="10"/>
        <v xml:space="preserve">VARCHAR(50) </v>
      </c>
      <c r="J202" s="169" t="s">
        <v>0</v>
      </c>
      <c r="K202" s="169" t="s">
        <v>1</v>
      </c>
      <c r="L202" s="169">
        <v>30</v>
      </c>
      <c r="M202" s="168"/>
      <c r="N202" s="168"/>
      <c r="O202" s="168"/>
      <c r="P202" s="168"/>
      <c r="Q202" s="168" t="s">
        <v>0</v>
      </c>
      <c r="R202" s="168" t="s">
        <v>1</v>
      </c>
      <c r="S202" s="178" t="str">
        <f t="shared" si="11"/>
        <v>D_COUNTERPARTY_MARTCOUNTERPARTY_PD_MODEL_TYPE</v>
      </c>
    </row>
    <row r="203" spans="1:19" ht="14.4" x14ac:dyDescent="0.3">
      <c r="A203" s="169" t="s">
        <v>332</v>
      </c>
      <c r="B203" s="171" t="str">
        <f t="shared" si="9"/>
        <v>D_COUNTERPARTY_MART</v>
      </c>
      <c r="C203" s="169" t="s">
        <v>1868</v>
      </c>
      <c r="D203" s="169">
        <v>1092</v>
      </c>
      <c r="E203" s="169">
        <v>13</v>
      </c>
      <c r="F203" s="169" t="s">
        <v>1868</v>
      </c>
      <c r="G203" s="169" t="s">
        <v>1868</v>
      </c>
      <c r="H203" s="169">
        <v>50</v>
      </c>
      <c r="I203" s="136" t="str">
        <f t="shared" si="10"/>
        <v xml:space="preserve">VARCHAR(20) </v>
      </c>
      <c r="J203" s="169" t="s">
        <v>0</v>
      </c>
      <c r="K203" s="169" t="s">
        <v>1</v>
      </c>
      <c r="L203" s="169">
        <v>30</v>
      </c>
      <c r="M203" s="168"/>
      <c r="N203" s="168"/>
      <c r="O203" s="168"/>
      <c r="P203" s="168"/>
      <c r="Q203" s="168" t="s">
        <v>0</v>
      </c>
      <c r="R203" s="168" t="s">
        <v>1</v>
      </c>
      <c r="S203" s="178" t="str">
        <f t="shared" si="11"/>
        <v>D_COUNTERPARTY_MARTCOUNTERPARTY_PD_RATING_GRADE</v>
      </c>
    </row>
    <row r="204" spans="1:19" ht="14.4" x14ac:dyDescent="0.3">
      <c r="A204" s="169" t="s">
        <v>332</v>
      </c>
      <c r="B204" s="171" t="str">
        <f t="shared" si="9"/>
        <v>D_COUNTERPARTY_MART</v>
      </c>
      <c r="C204" s="169" t="s">
        <v>1869</v>
      </c>
      <c r="D204" s="169">
        <v>1093</v>
      </c>
      <c r="E204" s="169">
        <v>14</v>
      </c>
      <c r="F204" s="169" t="s">
        <v>1869</v>
      </c>
      <c r="G204" s="169" t="s">
        <v>1869</v>
      </c>
      <c r="H204" s="169">
        <v>55</v>
      </c>
      <c r="I204" s="136" t="str">
        <f t="shared" si="10"/>
        <v xml:space="preserve">CHAR(16) </v>
      </c>
      <c r="J204" s="169" t="s">
        <v>0</v>
      </c>
      <c r="K204" s="169" t="s">
        <v>1</v>
      </c>
      <c r="L204" s="169">
        <v>30</v>
      </c>
      <c r="M204" s="168"/>
      <c r="N204" s="168"/>
      <c r="O204" s="168"/>
      <c r="P204" s="168"/>
      <c r="Q204" s="168" t="s">
        <v>0</v>
      </c>
      <c r="R204" s="168" t="s">
        <v>1</v>
      </c>
      <c r="S204" s="178" t="str">
        <f t="shared" si="11"/>
        <v>D_COUNTERPARTY_MARTCOUNTERPARTY_RELATION_TYPE_CD</v>
      </c>
    </row>
    <row r="205" spans="1:19" ht="14.4" x14ac:dyDescent="0.3">
      <c r="A205" s="169" t="s">
        <v>332</v>
      </c>
      <c r="B205" s="171" t="str">
        <f t="shared" si="9"/>
        <v>D_COUNTERPARTY_MART</v>
      </c>
      <c r="C205" s="169" t="s">
        <v>1870</v>
      </c>
      <c r="D205" s="169">
        <v>1094</v>
      </c>
      <c r="E205" s="169">
        <v>15</v>
      </c>
      <c r="F205" s="169" t="s">
        <v>1870</v>
      </c>
      <c r="G205" s="169" t="s">
        <v>1870</v>
      </c>
      <c r="H205" s="169">
        <v>45</v>
      </c>
      <c r="I205" s="136" t="str">
        <f t="shared" si="10"/>
        <v>DECIMAL(15, 0)</v>
      </c>
      <c r="J205" s="169" t="s">
        <v>0</v>
      </c>
      <c r="K205" s="169" t="s">
        <v>0</v>
      </c>
      <c r="L205" s="169">
        <v>30</v>
      </c>
      <c r="M205" s="168"/>
      <c r="N205" s="168"/>
      <c r="O205" s="168"/>
      <c r="P205" s="168"/>
      <c r="Q205" s="168" t="s">
        <v>0</v>
      </c>
      <c r="R205" s="168" t="s">
        <v>1</v>
      </c>
      <c r="S205" s="178" t="str">
        <f t="shared" si="11"/>
        <v>D_COUNTERPARTY_MARTCOUNTERPARTY_RK</v>
      </c>
    </row>
    <row r="206" spans="1:19" ht="14.4" x14ac:dyDescent="0.3">
      <c r="A206" s="169" t="s">
        <v>332</v>
      </c>
      <c r="B206" s="171" t="str">
        <f t="shared" si="9"/>
        <v>D_COUNTERPARTY_MART</v>
      </c>
      <c r="C206" s="169" t="s">
        <v>1871</v>
      </c>
      <c r="D206" s="169">
        <v>1095</v>
      </c>
      <c r="E206" s="169">
        <v>16</v>
      </c>
      <c r="F206" s="169" t="s">
        <v>1871</v>
      </c>
      <c r="G206" s="169" t="s">
        <v>1871</v>
      </c>
      <c r="H206" s="169">
        <v>48</v>
      </c>
      <c r="I206" s="136" t="str">
        <f t="shared" si="10"/>
        <v xml:space="preserve">VARCHAR(50) </v>
      </c>
      <c r="J206" s="169" t="s">
        <v>0</v>
      </c>
      <c r="K206" s="169" t="s">
        <v>1</v>
      </c>
      <c r="L206" s="169">
        <v>30</v>
      </c>
      <c r="M206" s="168"/>
      <c r="N206" s="168"/>
      <c r="O206" s="168"/>
      <c r="P206" s="168"/>
      <c r="Q206" s="168" t="s">
        <v>0</v>
      </c>
      <c r="R206" s="168" t="s">
        <v>1</v>
      </c>
      <c r="S206" s="178" t="str">
        <f t="shared" si="11"/>
        <v>D_COUNTERPARTY_MARTCOUNTERPARTY_TYPE_CD</v>
      </c>
    </row>
    <row r="207" spans="1:19" ht="14.4" x14ac:dyDescent="0.3">
      <c r="A207" s="169" t="s">
        <v>332</v>
      </c>
      <c r="B207" s="171" t="str">
        <f t="shared" si="9"/>
        <v>D_COUNTERPARTY_MART</v>
      </c>
      <c r="C207" s="169" t="s">
        <v>1872</v>
      </c>
      <c r="D207" s="169">
        <v>1096</v>
      </c>
      <c r="E207" s="169">
        <v>17</v>
      </c>
      <c r="F207" s="169" t="s">
        <v>1872</v>
      </c>
      <c r="G207" s="169" t="s">
        <v>1872</v>
      </c>
      <c r="H207" s="169">
        <v>48</v>
      </c>
      <c r="I207" s="136" t="str">
        <f t="shared" si="10"/>
        <v xml:space="preserve">VARCHAR(50) </v>
      </c>
      <c r="J207" s="169" t="s">
        <v>0</v>
      </c>
      <c r="K207" s="169" t="s">
        <v>1</v>
      </c>
      <c r="L207" s="169">
        <v>30</v>
      </c>
      <c r="M207" s="168"/>
      <c r="N207" s="168"/>
      <c r="O207" s="168"/>
      <c r="P207" s="168"/>
      <c r="Q207" s="168" t="s">
        <v>0</v>
      </c>
      <c r="R207" s="168" t="s">
        <v>1</v>
      </c>
      <c r="S207" s="178" t="str">
        <f t="shared" si="11"/>
        <v>D_COUNTERPARTY_MARTECAP_INDUSTRY</v>
      </c>
    </row>
    <row r="208" spans="1:19" ht="14.4" x14ac:dyDescent="0.3">
      <c r="A208" s="169" t="s">
        <v>332</v>
      </c>
      <c r="B208" s="171" t="str">
        <f t="shared" si="9"/>
        <v>D_COUNTERPARTY_MART</v>
      </c>
      <c r="C208" s="169" t="s">
        <v>1873</v>
      </c>
      <c r="D208" s="169">
        <v>1097</v>
      </c>
      <c r="E208" s="169">
        <v>18</v>
      </c>
      <c r="F208" s="169" t="s">
        <v>1873</v>
      </c>
      <c r="G208" s="169" t="s">
        <v>1873</v>
      </c>
      <c r="H208" s="169">
        <v>50</v>
      </c>
      <c r="I208" s="136" t="str">
        <f t="shared" si="10"/>
        <v xml:space="preserve">VARCHAR(20) </v>
      </c>
      <c r="J208" s="169" t="s">
        <v>0</v>
      </c>
      <c r="K208" s="169" t="s">
        <v>1</v>
      </c>
      <c r="L208" s="169">
        <v>30</v>
      </c>
      <c r="M208" s="168"/>
      <c r="N208" s="168"/>
      <c r="O208" s="168"/>
      <c r="P208" s="168"/>
      <c r="Q208" s="168" t="s">
        <v>0</v>
      </c>
      <c r="R208" s="168" t="s">
        <v>1</v>
      </c>
      <c r="S208" s="178" t="str">
        <f t="shared" si="11"/>
        <v>D_COUNTERPARTY_MARTECAP_PARAM_INDUSTRY</v>
      </c>
    </row>
    <row r="209" spans="1:19" ht="14.4" x14ac:dyDescent="0.3">
      <c r="A209" s="169" t="s">
        <v>332</v>
      </c>
      <c r="B209" s="171" t="str">
        <f t="shared" si="9"/>
        <v>D_COUNTERPARTY_MART</v>
      </c>
      <c r="C209" s="169" t="s">
        <v>1874</v>
      </c>
      <c r="D209" s="169">
        <v>1098</v>
      </c>
      <c r="E209" s="169">
        <v>19</v>
      </c>
      <c r="F209" s="169" t="s">
        <v>1874</v>
      </c>
      <c r="G209" s="169" t="s">
        <v>1874</v>
      </c>
      <c r="H209" s="169">
        <v>50</v>
      </c>
      <c r="I209" s="136" t="str">
        <f t="shared" si="10"/>
        <v xml:space="preserve">VARCHAR(20) </v>
      </c>
      <c r="J209" s="169" t="s">
        <v>0</v>
      </c>
      <c r="K209" s="169" t="s">
        <v>1</v>
      </c>
      <c r="L209" s="169">
        <v>30</v>
      </c>
      <c r="M209" s="168"/>
      <c r="N209" s="168"/>
      <c r="O209" s="168"/>
      <c r="P209" s="168"/>
      <c r="Q209" s="168" t="s">
        <v>0</v>
      </c>
      <c r="R209" s="168" t="s">
        <v>1</v>
      </c>
      <c r="S209" s="178" t="str">
        <f t="shared" si="11"/>
        <v>D_COUNTERPARTY_MARTECAP_SEGMENT</v>
      </c>
    </row>
    <row r="210" spans="1:19" ht="14.4" x14ac:dyDescent="0.3">
      <c r="A210" s="169" t="s">
        <v>332</v>
      </c>
      <c r="B210" s="171" t="str">
        <f t="shared" si="9"/>
        <v>D_COUNTERPARTY_MART</v>
      </c>
      <c r="C210" s="169" t="s">
        <v>2060</v>
      </c>
      <c r="D210" s="169">
        <v>1099</v>
      </c>
      <c r="E210" s="169">
        <v>20</v>
      </c>
      <c r="F210" s="169" t="s">
        <v>2060</v>
      </c>
      <c r="G210" s="169" t="s">
        <v>2060</v>
      </c>
      <c r="H210" s="169">
        <v>50</v>
      </c>
      <c r="I210" s="136" t="str">
        <f t="shared" si="10"/>
        <v xml:space="preserve">VARCHAR(20) </v>
      </c>
      <c r="J210" s="169" t="s">
        <v>0</v>
      </c>
      <c r="K210" s="169" t="s">
        <v>1</v>
      </c>
      <c r="L210" s="169">
        <v>30</v>
      </c>
      <c r="M210" s="168"/>
      <c r="N210" s="168"/>
      <c r="O210" s="168"/>
      <c r="P210" s="168"/>
      <c r="Q210" s="168" t="s">
        <v>0</v>
      </c>
      <c r="R210" s="168" t="s">
        <v>1</v>
      </c>
      <c r="S210" s="178" t="str">
        <f t="shared" si="11"/>
        <v>D_COUNTERPARTY_MARTECAP_SEGMENT_SB_GROUP</v>
      </c>
    </row>
    <row r="211" spans="1:19" ht="14.4" x14ac:dyDescent="0.3">
      <c r="A211" s="169" t="s">
        <v>332</v>
      </c>
      <c r="B211" s="171" t="str">
        <f t="shared" si="9"/>
        <v>D_COUNTERPARTY_MART</v>
      </c>
      <c r="C211" s="169" t="s">
        <v>1875</v>
      </c>
      <c r="D211" s="169">
        <v>1100</v>
      </c>
      <c r="E211" s="169">
        <v>21</v>
      </c>
      <c r="F211" s="169" t="s">
        <v>1875</v>
      </c>
      <c r="G211" s="169" t="s">
        <v>1875</v>
      </c>
      <c r="H211" s="169">
        <v>22</v>
      </c>
      <c r="I211" s="136" t="str">
        <f t="shared" si="10"/>
        <v>TIMESTAMP(6)</v>
      </c>
      <c r="J211" s="169" t="s">
        <v>1</v>
      </c>
      <c r="K211" s="169" t="s">
        <v>0</v>
      </c>
      <c r="L211" s="169">
        <v>30</v>
      </c>
      <c r="M211" s="168"/>
      <c r="N211" s="168"/>
      <c r="O211" s="168"/>
      <c r="P211" s="168"/>
      <c r="Q211" s="168" t="s">
        <v>0</v>
      </c>
      <c r="R211" s="168" t="s">
        <v>1</v>
      </c>
      <c r="S211" s="178" t="str">
        <f t="shared" si="11"/>
        <v>D_COUNTERPARTY_MARTEXTRACTION_TS</v>
      </c>
    </row>
    <row r="212" spans="1:19" ht="14.4" x14ac:dyDescent="0.3">
      <c r="A212" s="169" t="s">
        <v>332</v>
      </c>
      <c r="B212" s="171" t="str">
        <f t="shared" si="9"/>
        <v>D_COUNTERPARTY_MART</v>
      </c>
      <c r="C212" s="169" t="s">
        <v>1876</v>
      </c>
      <c r="D212" s="169">
        <v>1101</v>
      </c>
      <c r="E212" s="169">
        <v>22</v>
      </c>
      <c r="F212" s="169" t="s">
        <v>1876</v>
      </c>
      <c r="G212" s="169" t="s">
        <v>1876</v>
      </c>
      <c r="H212" s="169">
        <v>20</v>
      </c>
      <c r="I212" s="136" t="str">
        <f t="shared" si="10"/>
        <v xml:space="preserve">VARCHAR(32) </v>
      </c>
      <c r="J212" s="169" t="s">
        <v>0</v>
      </c>
      <c r="K212" s="169" t="s">
        <v>1</v>
      </c>
      <c r="L212" s="169">
        <v>30</v>
      </c>
      <c r="M212" s="168"/>
      <c r="N212" s="168"/>
      <c r="O212" s="168"/>
      <c r="P212" s="168"/>
      <c r="Q212" s="168" t="s">
        <v>0</v>
      </c>
      <c r="R212" s="168" t="s">
        <v>1</v>
      </c>
      <c r="S212" s="178" t="str">
        <f t="shared" si="11"/>
        <v>D_COUNTERPARTY_MARTINDUSTRY</v>
      </c>
    </row>
    <row r="213" spans="1:19" ht="14.4" x14ac:dyDescent="0.3">
      <c r="A213" s="169" t="s">
        <v>332</v>
      </c>
      <c r="B213" s="171" t="str">
        <f t="shared" si="9"/>
        <v>D_COUNTERPARTY_MART</v>
      </c>
      <c r="C213" s="169" t="s">
        <v>1877</v>
      </c>
      <c r="D213" s="169">
        <v>1102</v>
      </c>
      <c r="E213" s="169">
        <v>23</v>
      </c>
      <c r="F213" s="169" t="s">
        <v>1877</v>
      </c>
      <c r="G213" s="169" t="s">
        <v>1877</v>
      </c>
      <c r="H213" s="169">
        <v>32</v>
      </c>
      <c r="I213" s="136" t="str">
        <f t="shared" si="10"/>
        <v>BYTEINT</v>
      </c>
      <c r="J213" s="169" t="s">
        <v>0</v>
      </c>
      <c r="K213" s="169" t="s">
        <v>1</v>
      </c>
      <c r="L213" s="169">
        <v>30</v>
      </c>
      <c r="M213" s="168"/>
      <c r="N213" s="168"/>
      <c r="O213" s="168"/>
      <c r="P213" s="168"/>
      <c r="Q213" s="168" t="s">
        <v>0</v>
      </c>
      <c r="R213" s="168" t="s">
        <v>1</v>
      </c>
      <c r="S213" s="178" t="str">
        <f t="shared" si="11"/>
        <v>D_COUNTERPARTY_MARTIN_DEFAULT_FLG</v>
      </c>
    </row>
    <row r="214" spans="1:19" ht="14.4" x14ac:dyDescent="0.3">
      <c r="A214" s="169" t="s">
        <v>332</v>
      </c>
      <c r="B214" s="171" t="str">
        <f t="shared" si="9"/>
        <v>D_COUNTERPARTY_MART</v>
      </c>
      <c r="C214" s="169" t="s">
        <v>340</v>
      </c>
      <c r="D214" s="169">
        <v>1103</v>
      </c>
      <c r="E214" s="169">
        <v>24</v>
      </c>
      <c r="F214" s="169" t="s">
        <v>340</v>
      </c>
      <c r="G214" s="169" t="s">
        <v>340</v>
      </c>
      <c r="H214" s="169">
        <v>48</v>
      </c>
      <c r="I214" s="136" t="str">
        <f t="shared" si="10"/>
        <v xml:space="preserve">VARCHAR(50) </v>
      </c>
      <c r="J214" s="169" t="s">
        <v>0</v>
      </c>
      <c r="K214" s="169" t="s">
        <v>1</v>
      </c>
      <c r="L214" s="169">
        <v>30</v>
      </c>
      <c r="M214" s="168"/>
      <c r="N214" s="168"/>
      <c r="O214" s="168"/>
      <c r="P214" s="168"/>
      <c r="Q214" s="168" t="s">
        <v>0</v>
      </c>
      <c r="R214" s="168" t="s">
        <v>1</v>
      </c>
      <c r="S214" s="178" t="str">
        <f t="shared" si="11"/>
        <v>D_COUNTERPARTY_MARTLOCAL_CP_CLASS1</v>
      </c>
    </row>
    <row r="215" spans="1:19" ht="14.4" x14ac:dyDescent="0.3">
      <c r="A215" s="169" t="s">
        <v>332</v>
      </c>
      <c r="B215" s="171" t="str">
        <f t="shared" si="9"/>
        <v>D_COUNTERPARTY_MART</v>
      </c>
      <c r="C215" s="169" t="s">
        <v>339</v>
      </c>
      <c r="D215" s="169">
        <v>1104</v>
      </c>
      <c r="E215" s="169">
        <v>25</v>
      </c>
      <c r="F215" s="169" t="s">
        <v>339</v>
      </c>
      <c r="G215" s="169" t="s">
        <v>339</v>
      </c>
      <c r="H215" s="169">
        <v>48</v>
      </c>
      <c r="I215" s="136" t="str">
        <f t="shared" si="10"/>
        <v xml:space="preserve">VARCHAR(50) </v>
      </c>
      <c r="J215" s="169" t="s">
        <v>0</v>
      </c>
      <c r="K215" s="169" t="s">
        <v>1</v>
      </c>
      <c r="L215" s="169">
        <v>30</v>
      </c>
      <c r="M215" s="168"/>
      <c r="N215" s="168"/>
      <c r="O215" s="168"/>
      <c r="P215" s="168"/>
      <c r="Q215" s="168" t="s">
        <v>0</v>
      </c>
      <c r="R215" s="168" t="s">
        <v>1</v>
      </c>
      <c r="S215" s="178" t="str">
        <f t="shared" si="11"/>
        <v>D_COUNTERPARTY_MARTLOCAL_CP_CLASS2</v>
      </c>
    </row>
    <row r="216" spans="1:19" ht="14.4" x14ac:dyDescent="0.3">
      <c r="A216" s="169" t="s">
        <v>332</v>
      </c>
      <c r="B216" s="171" t="str">
        <f t="shared" si="9"/>
        <v>D_COUNTERPARTY_MART</v>
      </c>
      <c r="C216" s="169" t="s">
        <v>2061</v>
      </c>
      <c r="D216" s="169">
        <v>1105</v>
      </c>
      <c r="E216" s="169">
        <v>26</v>
      </c>
      <c r="F216" s="169" t="s">
        <v>2061</v>
      </c>
      <c r="G216" s="169" t="s">
        <v>2061</v>
      </c>
      <c r="H216" s="169">
        <v>32</v>
      </c>
      <c r="I216" s="136" t="str">
        <f t="shared" si="10"/>
        <v>BYTEINT</v>
      </c>
      <c r="J216" s="169" t="s">
        <v>0</v>
      </c>
      <c r="K216" s="169" t="s">
        <v>1</v>
      </c>
      <c r="L216" s="169">
        <v>30</v>
      </c>
      <c r="M216" s="168"/>
      <c r="N216" s="168"/>
      <c r="O216" s="168"/>
      <c r="P216" s="168"/>
      <c r="Q216" s="168" t="s">
        <v>0</v>
      </c>
      <c r="R216" s="168" t="s">
        <v>1</v>
      </c>
      <c r="S216" s="178" t="str">
        <f t="shared" si="11"/>
        <v>D_COUNTERPARTY_MARTPASSED_TO_URPA</v>
      </c>
    </row>
    <row r="217" spans="1:19" ht="14.4" x14ac:dyDescent="0.3">
      <c r="A217" s="169" t="s">
        <v>332</v>
      </c>
      <c r="B217" s="171" t="str">
        <f t="shared" si="9"/>
        <v>D_COUNTERPARTY_MART</v>
      </c>
      <c r="C217" s="169" t="s">
        <v>338</v>
      </c>
      <c r="D217" s="169">
        <v>1106</v>
      </c>
      <c r="E217" s="169">
        <v>27</v>
      </c>
      <c r="F217" s="169" t="s">
        <v>338</v>
      </c>
      <c r="G217" s="169" t="s">
        <v>338</v>
      </c>
      <c r="H217" s="169">
        <v>51</v>
      </c>
      <c r="I217" s="136" t="str">
        <f t="shared" si="10"/>
        <v>DECIMAL(9, 6)</v>
      </c>
      <c r="J217" s="169" t="s">
        <v>0</v>
      </c>
      <c r="K217" s="169" t="s">
        <v>1</v>
      </c>
      <c r="L217" s="169">
        <v>30</v>
      </c>
      <c r="M217" s="168"/>
      <c r="N217" s="168"/>
      <c r="O217" s="168"/>
      <c r="P217" s="168"/>
      <c r="Q217" s="168" t="s">
        <v>0</v>
      </c>
      <c r="R217" s="168" t="s">
        <v>1</v>
      </c>
      <c r="S217" s="178" t="str">
        <f t="shared" si="11"/>
        <v>D_COUNTERPARTY_MARTPD_PCT</v>
      </c>
    </row>
    <row r="218" spans="1:19" ht="14.4" x14ac:dyDescent="0.3">
      <c r="A218" s="169" t="s">
        <v>332</v>
      </c>
      <c r="B218" s="171" t="str">
        <f t="shared" si="9"/>
        <v>D_COUNTERPARTY_MART</v>
      </c>
      <c r="C218" s="169" t="s">
        <v>1878</v>
      </c>
      <c r="D218" s="169">
        <v>1107</v>
      </c>
      <c r="E218" s="169">
        <v>28</v>
      </c>
      <c r="F218" s="169" t="s">
        <v>1878</v>
      </c>
      <c r="G218" s="169" t="s">
        <v>1878</v>
      </c>
      <c r="H218" s="169">
        <v>51</v>
      </c>
      <c r="I218" s="136" t="str">
        <f t="shared" si="10"/>
        <v>DECIMAL(9, 6)</v>
      </c>
      <c r="J218" s="169" t="s">
        <v>0</v>
      </c>
      <c r="K218" s="169" t="s">
        <v>1</v>
      </c>
      <c r="L218" s="169">
        <v>30</v>
      </c>
      <c r="M218" s="168"/>
      <c r="N218" s="168"/>
      <c r="O218" s="168"/>
      <c r="P218" s="168"/>
      <c r="Q218" s="168" t="s">
        <v>0</v>
      </c>
      <c r="R218" s="168" t="s">
        <v>1</v>
      </c>
      <c r="S218" s="178" t="str">
        <f t="shared" si="11"/>
        <v>D_COUNTERPARTY_MARTPD_PCT_REG</v>
      </c>
    </row>
    <row r="219" spans="1:19" ht="14.4" x14ac:dyDescent="0.3">
      <c r="A219" s="169" t="s">
        <v>332</v>
      </c>
      <c r="B219" s="171" t="str">
        <f t="shared" si="9"/>
        <v>D_COUNTERPARTY_MART</v>
      </c>
      <c r="C219" s="169" t="s">
        <v>1879</v>
      </c>
      <c r="D219" s="169">
        <v>1108</v>
      </c>
      <c r="E219" s="169">
        <v>29</v>
      </c>
      <c r="F219" s="169" t="s">
        <v>1879</v>
      </c>
      <c r="G219" s="169" t="s">
        <v>1879</v>
      </c>
      <c r="H219" s="169">
        <v>51</v>
      </c>
      <c r="I219" s="136" t="str">
        <f t="shared" si="10"/>
        <v>DECIMAL(9, 6)</v>
      </c>
      <c r="J219" s="169" t="s">
        <v>0</v>
      </c>
      <c r="K219" s="169" t="s">
        <v>1</v>
      </c>
      <c r="L219" s="169">
        <v>30</v>
      </c>
      <c r="M219" s="168"/>
      <c r="N219" s="168"/>
      <c r="O219" s="168"/>
      <c r="P219" s="168"/>
      <c r="Q219" s="168" t="s">
        <v>0</v>
      </c>
      <c r="R219" s="168" t="s">
        <v>1</v>
      </c>
      <c r="S219" s="178" t="str">
        <f t="shared" si="11"/>
        <v>D_COUNTERPARTY_MARTPD_PCT_TTC</v>
      </c>
    </row>
    <row r="220" spans="1:19" ht="14.4" x14ac:dyDescent="0.3">
      <c r="A220" s="169" t="s">
        <v>332</v>
      </c>
      <c r="B220" s="171" t="str">
        <f t="shared" si="9"/>
        <v>D_COUNTERPARTY_MART</v>
      </c>
      <c r="C220" s="169" t="s">
        <v>1880</v>
      </c>
      <c r="D220" s="169">
        <v>1109</v>
      </c>
      <c r="E220" s="169">
        <v>30</v>
      </c>
      <c r="F220" s="169" t="s">
        <v>1880</v>
      </c>
      <c r="G220" s="169" t="s">
        <v>1880</v>
      </c>
      <c r="H220" s="169">
        <v>32</v>
      </c>
      <c r="I220" s="136" t="str">
        <f t="shared" si="10"/>
        <v>BYTEINT</v>
      </c>
      <c r="J220" s="169" t="s">
        <v>0</v>
      </c>
      <c r="K220" s="169" t="s">
        <v>1</v>
      </c>
      <c r="L220" s="169">
        <v>30</v>
      </c>
      <c r="M220" s="168"/>
      <c r="N220" s="168"/>
      <c r="O220" s="168"/>
      <c r="P220" s="168"/>
      <c r="Q220" s="168" t="s">
        <v>0</v>
      </c>
      <c r="R220" s="168" t="s">
        <v>1</v>
      </c>
      <c r="S220" s="178" t="str">
        <f t="shared" si="11"/>
        <v>D_COUNTERPARTY_MARTPOOL_FLG</v>
      </c>
    </row>
    <row r="221" spans="1:19" ht="14.4" x14ac:dyDescent="0.3">
      <c r="A221" s="169" t="s">
        <v>332</v>
      </c>
      <c r="B221" s="171" t="str">
        <f t="shared" si="9"/>
        <v>D_COUNTERPARTY_MART</v>
      </c>
      <c r="C221" s="169" t="s">
        <v>440</v>
      </c>
      <c r="D221" s="169">
        <v>1110</v>
      </c>
      <c r="E221" s="169">
        <v>31</v>
      </c>
      <c r="F221" s="169" t="s">
        <v>440</v>
      </c>
      <c r="G221" s="169" t="s">
        <v>440</v>
      </c>
      <c r="H221" s="169">
        <v>22</v>
      </c>
      <c r="I221" s="136" t="str">
        <f t="shared" si="10"/>
        <v>TIMESTAMP(6)</v>
      </c>
      <c r="J221" s="169" t="s">
        <v>1</v>
      </c>
      <c r="K221" s="169" t="s">
        <v>1</v>
      </c>
      <c r="L221" s="169">
        <v>30</v>
      </c>
      <c r="M221" s="168"/>
      <c r="N221" s="168"/>
      <c r="O221" s="168"/>
      <c r="P221" s="168"/>
      <c r="Q221" s="168" t="s">
        <v>0</v>
      </c>
      <c r="R221" s="168" t="s">
        <v>1</v>
      </c>
      <c r="S221" s="178" t="str">
        <f t="shared" si="11"/>
        <v>D_COUNTERPARTY_MARTRECORD_CREATE_TS</v>
      </c>
    </row>
    <row r="222" spans="1:19" ht="14.4" x14ac:dyDescent="0.3">
      <c r="A222" s="169" t="s">
        <v>332</v>
      </c>
      <c r="B222" s="171" t="str">
        <f t="shared" si="9"/>
        <v>D_COUNTERPARTY_MART</v>
      </c>
      <c r="C222" s="169" t="s">
        <v>429</v>
      </c>
      <c r="D222" s="169">
        <v>1111</v>
      </c>
      <c r="E222" s="169">
        <v>32</v>
      </c>
      <c r="F222" s="169" t="s">
        <v>429</v>
      </c>
      <c r="G222" s="169" t="s">
        <v>429</v>
      </c>
      <c r="H222" s="169">
        <v>22</v>
      </c>
      <c r="I222" s="136" t="str">
        <f t="shared" si="10"/>
        <v>TIMESTAMP(6)</v>
      </c>
      <c r="J222" s="169" t="s">
        <v>1</v>
      </c>
      <c r="K222" s="169" t="s">
        <v>1</v>
      </c>
      <c r="L222" s="169">
        <v>30</v>
      </c>
      <c r="M222" s="168"/>
      <c r="N222" s="168"/>
      <c r="O222" s="168"/>
      <c r="P222" s="168"/>
      <c r="Q222" s="168" t="s">
        <v>0</v>
      </c>
      <c r="R222" s="168" t="s">
        <v>1</v>
      </c>
      <c r="S222" s="178" t="str">
        <f t="shared" si="11"/>
        <v>D_COUNTERPARTY_MARTRECORD_UPDATE_TS</v>
      </c>
    </row>
    <row r="223" spans="1:19" ht="14.4" x14ac:dyDescent="0.3">
      <c r="A223" s="169" t="s">
        <v>332</v>
      </c>
      <c r="B223" s="171" t="str">
        <f t="shared" si="9"/>
        <v>D_COUNTERPARTY_MART</v>
      </c>
      <c r="C223" s="169" t="s">
        <v>1881</v>
      </c>
      <c r="D223" s="169">
        <v>1112</v>
      </c>
      <c r="E223" s="169">
        <v>33</v>
      </c>
      <c r="F223" s="169" t="s">
        <v>1881</v>
      </c>
      <c r="G223" s="169" t="s">
        <v>1881</v>
      </c>
      <c r="H223" s="169">
        <v>20</v>
      </c>
      <c r="I223" s="136" t="str">
        <f t="shared" si="10"/>
        <v xml:space="preserve">VARCHAR(32) </v>
      </c>
      <c r="J223" s="169" t="s">
        <v>0</v>
      </c>
      <c r="K223" s="169" t="s">
        <v>1</v>
      </c>
      <c r="L223" s="169">
        <v>30</v>
      </c>
      <c r="M223" s="168"/>
      <c r="N223" s="168"/>
      <c r="O223" s="168"/>
      <c r="P223" s="168"/>
      <c r="Q223" s="168" t="s">
        <v>0</v>
      </c>
      <c r="R223" s="168" t="s">
        <v>1</v>
      </c>
      <c r="S223" s="178" t="str">
        <f t="shared" si="11"/>
        <v>D_COUNTERPARTY_MARTREGLTRY_COUNTERPARTY_TYPE_CD</v>
      </c>
    </row>
    <row r="224" spans="1:19" ht="14.4" x14ac:dyDescent="0.3">
      <c r="A224" s="169" t="s">
        <v>332</v>
      </c>
      <c r="B224" s="171" t="str">
        <f t="shared" si="9"/>
        <v>D_COUNTERPARTY_MART</v>
      </c>
      <c r="C224" s="169" t="s">
        <v>1882</v>
      </c>
      <c r="D224" s="169">
        <v>1113</v>
      </c>
      <c r="E224" s="169">
        <v>34</v>
      </c>
      <c r="F224" s="169" t="s">
        <v>1882</v>
      </c>
      <c r="G224" s="169" t="s">
        <v>1882</v>
      </c>
      <c r="H224" s="169">
        <v>14</v>
      </c>
      <c r="I224" s="136" t="str">
        <f t="shared" si="10"/>
        <v xml:space="preserve">CHAR(3) </v>
      </c>
      <c r="J224" s="169" t="s">
        <v>0</v>
      </c>
      <c r="K224" s="169" t="s">
        <v>1</v>
      </c>
      <c r="L224" s="169">
        <v>30</v>
      </c>
      <c r="M224" s="168"/>
      <c r="N224" s="168"/>
      <c r="O224" s="168"/>
      <c r="P224" s="168"/>
      <c r="Q224" s="168" t="s">
        <v>0</v>
      </c>
      <c r="R224" s="168" t="s">
        <v>1</v>
      </c>
      <c r="S224" s="178" t="str">
        <f t="shared" si="11"/>
        <v>D_COUNTERPARTY_MARTREPORTING_CURRENCY_CD</v>
      </c>
    </row>
    <row r="225" spans="1:19" ht="14.4" x14ac:dyDescent="0.3">
      <c r="A225" s="169" t="s">
        <v>332</v>
      </c>
      <c r="B225" s="171" t="str">
        <f t="shared" si="9"/>
        <v>D_COUNTERPARTY_MART</v>
      </c>
      <c r="C225" s="169" t="s">
        <v>498</v>
      </c>
      <c r="D225" s="169">
        <v>1114</v>
      </c>
      <c r="E225" s="169">
        <v>35</v>
      </c>
      <c r="F225" s="169" t="s">
        <v>498</v>
      </c>
      <c r="G225" s="169" t="s">
        <v>498</v>
      </c>
      <c r="H225" s="169">
        <v>7</v>
      </c>
      <c r="I225" s="136" t="str">
        <f t="shared" si="10"/>
        <v>BIGINT</v>
      </c>
      <c r="J225" s="169" t="s">
        <v>0</v>
      </c>
      <c r="K225" s="169" t="s">
        <v>1</v>
      </c>
      <c r="L225" s="169">
        <v>30</v>
      </c>
      <c r="M225" s="168"/>
      <c r="N225" s="168"/>
      <c r="O225" s="168"/>
      <c r="P225" s="168"/>
      <c r="Q225" s="168" t="s">
        <v>0</v>
      </c>
      <c r="R225" s="168" t="s">
        <v>1</v>
      </c>
      <c r="S225" s="178" t="str">
        <f t="shared" si="11"/>
        <v>D_COUNTERPARTY_MARTRUN_ID</v>
      </c>
    </row>
    <row r="226" spans="1:19" ht="14.4" x14ac:dyDescent="0.3">
      <c r="A226" s="169" t="s">
        <v>332</v>
      </c>
      <c r="B226" s="171" t="str">
        <f t="shared" si="9"/>
        <v>D_COUNTERPARTY_MART</v>
      </c>
      <c r="C226" s="169" t="s">
        <v>1883</v>
      </c>
      <c r="D226" s="169">
        <v>1115</v>
      </c>
      <c r="E226" s="169">
        <v>36</v>
      </c>
      <c r="F226" s="169" t="s">
        <v>1883</v>
      </c>
      <c r="G226" s="169" t="s">
        <v>1883</v>
      </c>
      <c r="H226" s="169">
        <v>32</v>
      </c>
      <c r="I226" s="136" t="str">
        <f t="shared" si="10"/>
        <v>BYTEINT</v>
      </c>
      <c r="J226" s="169" t="s">
        <v>0</v>
      </c>
      <c r="K226" s="169" t="s">
        <v>1</v>
      </c>
      <c r="L226" s="169">
        <v>30</v>
      </c>
      <c r="M226" s="168"/>
      <c r="N226" s="168"/>
      <c r="O226" s="168"/>
      <c r="P226" s="168"/>
      <c r="Q226" s="168" t="s">
        <v>0</v>
      </c>
      <c r="R226" s="168" t="s">
        <v>1</v>
      </c>
      <c r="S226" s="178" t="str">
        <f t="shared" si="11"/>
        <v>D_COUNTERPARTY_MARTSTOCK_EXCHANGE_TRADING_FLAG</v>
      </c>
    </row>
    <row r="227" spans="1:19" ht="14.4" x14ac:dyDescent="0.3">
      <c r="A227" s="169" t="s">
        <v>332</v>
      </c>
      <c r="B227" s="171" t="str">
        <f t="shared" si="9"/>
        <v>D_COUNTERPARTY_MART</v>
      </c>
      <c r="C227" s="169" t="s">
        <v>1884</v>
      </c>
      <c r="D227" s="169">
        <v>1116</v>
      </c>
      <c r="E227" s="169">
        <v>37</v>
      </c>
      <c r="F227" s="169" t="s">
        <v>1884</v>
      </c>
      <c r="G227" s="169" t="s">
        <v>1884</v>
      </c>
      <c r="H227" s="169">
        <v>40</v>
      </c>
      <c r="I227" s="136" t="str">
        <f t="shared" si="10"/>
        <v>DECIMAL(26, 4)</v>
      </c>
      <c r="J227" s="169" t="s">
        <v>0</v>
      </c>
      <c r="K227" s="169" t="s">
        <v>1</v>
      </c>
      <c r="L227" s="169">
        <v>30</v>
      </c>
      <c r="M227" s="168"/>
      <c r="N227" s="168"/>
      <c r="O227" s="168"/>
      <c r="P227" s="168"/>
      <c r="Q227" s="168" t="s">
        <v>0</v>
      </c>
      <c r="R227" s="168" t="s">
        <v>1</v>
      </c>
      <c r="S227" s="178" t="str">
        <f t="shared" si="11"/>
        <v>D_COUNTERPARTY_MARTTOTAL_ASSETS</v>
      </c>
    </row>
    <row r="228" spans="1:19" ht="14.4" x14ac:dyDescent="0.3">
      <c r="A228" s="169" t="s">
        <v>332</v>
      </c>
      <c r="B228" s="171" t="str">
        <f t="shared" si="9"/>
        <v>D_COUNTERPARTY_MART</v>
      </c>
      <c r="C228" s="169" t="s">
        <v>1885</v>
      </c>
      <c r="D228" s="169">
        <v>1117</v>
      </c>
      <c r="E228" s="169">
        <v>38</v>
      </c>
      <c r="F228" s="169" t="s">
        <v>1885</v>
      </c>
      <c r="G228" s="169" t="s">
        <v>1885</v>
      </c>
      <c r="H228" s="169">
        <v>40</v>
      </c>
      <c r="I228" s="136" t="str">
        <f t="shared" si="10"/>
        <v>DECIMAL(26, 4)</v>
      </c>
      <c r="J228" s="169" t="s">
        <v>0</v>
      </c>
      <c r="K228" s="169" t="s">
        <v>1</v>
      </c>
      <c r="L228" s="169">
        <v>30</v>
      </c>
      <c r="M228" s="168"/>
      <c r="N228" s="168"/>
      <c r="O228" s="168"/>
      <c r="P228" s="168"/>
      <c r="Q228" s="168" t="s">
        <v>0</v>
      </c>
      <c r="R228" s="168" t="s">
        <v>1</v>
      </c>
      <c r="S228" s="178" t="str">
        <f t="shared" si="11"/>
        <v>D_COUNTERPARTY_MARTTOTAL_ASSETS_GROUP</v>
      </c>
    </row>
    <row r="229" spans="1:19" ht="14.4" x14ac:dyDescent="0.3">
      <c r="A229" s="169" t="s">
        <v>332</v>
      </c>
      <c r="B229" s="171" t="str">
        <f t="shared" si="9"/>
        <v>D_COUNTERPARTY_MART</v>
      </c>
      <c r="C229" s="169" t="s">
        <v>1886</v>
      </c>
      <c r="D229" s="169">
        <v>1118</v>
      </c>
      <c r="E229" s="169">
        <v>39</v>
      </c>
      <c r="F229" s="169" t="s">
        <v>1886</v>
      </c>
      <c r="G229" s="169" t="s">
        <v>1886</v>
      </c>
      <c r="H229" s="169">
        <v>32</v>
      </c>
      <c r="I229" s="136" t="str">
        <f t="shared" si="10"/>
        <v>BYTEINT</v>
      </c>
      <c r="J229" s="169" t="s">
        <v>0</v>
      </c>
      <c r="K229" s="169" t="s">
        <v>1</v>
      </c>
      <c r="L229" s="169">
        <v>30</v>
      </c>
      <c r="M229" s="168"/>
      <c r="N229" s="168"/>
      <c r="O229" s="168"/>
      <c r="P229" s="168"/>
      <c r="Q229" s="168" t="s">
        <v>0</v>
      </c>
      <c r="R229" s="168" t="s">
        <v>1</v>
      </c>
      <c r="S229" s="178" t="str">
        <f t="shared" si="11"/>
        <v>D_COUNTERPARTY_MARTUSE_ASSETS_FOR_SIZE</v>
      </c>
    </row>
    <row r="230" spans="1:19" ht="14.4" x14ac:dyDescent="0.3">
      <c r="A230" s="169" t="s">
        <v>332</v>
      </c>
      <c r="B230" s="171" t="str">
        <f t="shared" si="9"/>
        <v>D_COUNTERPARTY_MART</v>
      </c>
      <c r="C230" s="169" t="s">
        <v>1887</v>
      </c>
      <c r="D230" s="169">
        <v>1119</v>
      </c>
      <c r="E230" s="169">
        <v>40</v>
      </c>
      <c r="F230" s="169" t="s">
        <v>1887</v>
      </c>
      <c r="G230" s="169" t="s">
        <v>1887</v>
      </c>
      <c r="H230" s="169">
        <v>34</v>
      </c>
      <c r="I230" s="136" t="str">
        <f t="shared" si="10"/>
        <v>DATE</v>
      </c>
      <c r="J230" s="169" t="s">
        <v>0</v>
      </c>
      <c r="K230" s="169" t="s">
        <v>0</v>
      </c>
      <c r="L230" s="169">
        <v>30</v>
      </c>
      <c r="M230" s="168"/>
      <c r="N230" s="168"/>
      <c r="O230" s="168"/>
      <c r="P230" s="168"/>
      <c r="Q230" s="168" t="s">
        <v>0</v>
      </c>
      <c r="R230" s="168" t="s">
        <v>1</v>
      </c>
      <c r="S230" s="178" t="str">
        <f t="shared" si="11"/>
        <v>D_COUNTERPARTY_MARTVALIDITY_DATE</v>
      </c>
    </row>
    <row r="231" spans="1:19" ht="14.4" x14ac:dyDescent="0.3">
      <c r="A231" s="169" t="s">
        <v>397</v>
      </c>
      <c r="B231" s="171" t="str">
        <f t="shared" si="9"/>
        <v>Таблица-хаб ГСЗ</v>
      </c>
      <c r="C231" s="169" t="s">
        <v>523</v>
      </c>
      <c r="D231" s="169">
        <v>84</v>
      </c>
      <c r="E231" s="169">
        <v>1</v>
      </c>
      <c r="F231" s="169" t="s">
        <v>523</v>
      </c>
      <c r="G231" s="169" t="s">
        <v>523</v>
      </c>
      <c r="H231" s="169">
        <v>7</v>
      </c>
      <c r="I231" s="136" t="str">
        <f t="shared" si="10"/>
        <v>BIGINT</v>
      </c>
      <c r="J231" s="169" t="s">
        <v>1</v>
      </c>
      <c r="K231" s="169" t="s">
        <v>0</v>
      </c>
      <c r="L231" s="169">
        <v>30</v>
      </c>
      <c r="M231" s="168"/>
      <c r="N231" s="168"/>
      <c r="O231" s="168"/>
      <c r="P231" s="168"/>
      <c r="Q231" s="168" t="s">
        <v>0</v>
      </c>
      <c r="R231" s="168" t="s">
        <v>1</v>
      </c>
      <c r="S231" s="178" t="str">
        <f t="shared" si="11"/>
        <v>D_CP_GROUP_ORIGCP_GROUP_ORIG_ID</v>
      </c>
    </row>
    <row r="232" spans="1:19" ht="14.4" x14ac:dyDescent="0.3">
      <c r="A232" s="169" t="s">
        <v>397</v>
      </c>
      <c r="B232" s="171" t="str">
        <f t="shared" si="9"/>
        <v>Таблица-хаб ГСЗ</v>
      </c>
      <c r="C232" s="169" t="s">
        <v>440</v>
      </c>
      <c r="D232" s="169">
        <v>85</v>
      </c>
      <c r="E232" s="169">
        <v>2</v>
      </c>
      <c r="F232" s="169" t="s">
        <v>440</v>
      </c>
      <c r="G232" s="169" t="s">
        <v>440</v>
      </c>
      <c r="H232" s="169">
        <v>22</v>
      </c>
      <c r="I232" s="136" t="str">
        <f t="shared" si="10"/>
        <v>TIMESTAMP(6)</v>
      </c>
      <c r="J232" s="169" t="s">
        <v>1</v>
      </c>
      <c r="K232" s="169" t="s">
        <v>1</v>
      </c>
      <c r="L232" s="169">
        <v>30</v>
      </c>
      <c r="M232" s="168"/>
      <c r="N232" s="168"/>
      <c r="O232" s="168"/>
      <c r="P232" s="168"/>
      <c r="Q232" s="168" t="s">
        <v>0</v>
      </c>
      <c r="R232" s="168" t="s">
        <v>1</v>
      </c>
      <c r="S232" s="178" t="str">
        <f t="shared" si="11"/>
        <v>D_CP_GROUP_ORIGRECORD_CREATE_TS</v>
      </c>
    </row>
    <row r="233" spans="1:19" ht="14.4" x14ac:dyDescent="0.3">
      <c r="A233" s="169" t="s">
        <v>397</v>
      </c>
      <c r="B233" s="171" t="str">
        <f t="shared" si="9"/>
        <v>Таблица-хаб ГСЗ</v>
      </c>
      <c r="C233" s="169" t="s">
        <v>429</v>
      </c>
      <c r="D233" s="169">
        <v>86</v>
      </c>
      <c r="E233" s="169">
        <v>3</v>
      </c>
      <c r="F233" s="169" t="s">
        <v>429</v>
      </c>
      <c r="G233" s="169" t="s">
        <v>429</v>
      </c>
      <c r="H233" s="169">
        <v>22</v>
      </c>
      <c r="I233" s="136" t="str">
        <f t="shared" si="10"/>
        <v>TIMESTAMP(6)</v>
      </c>
      <c r="J233" s="169" t="s">
        <v>1</v>
      </c>
      <c r="K233" s="169" t="s">
        <v>1</v>
      </c>
      <c r="L233" s="169">
        <v>30</v>
      </c>
      <c r="M233" s="168"/>
      <c r="N233" s="168"/>
      <c r="O233" s="168"/>
      <c r="P233" s="168"/>
      <c r="Q233" s="168" t="s">
        <v>0</v>
      </c>
      <c r="R233" s="168" t="s">
        <v>1</v>
      </c>
      <c r="S233" s="178" t="str">
        <f t="shared" si="11"/>
        <v>D_CP_GROUP_ORIGRECORD_UPDATE_TS</v>
      </c>
    </row>
    <row r="234" spans="1:19" ht="14.4" x14ac:dyDescent="0.3">
      <c r="A234" s="169" t="s">
        <v>397</v>
      </c>
      <c r="B234" s="171" t="str">
        <f t="shared" si="9"/>
        <v>Таблица-хаб ГСЗ</v>
      </c>
      <c r="C234" s="169" t="s">
        <v>498</v>
      </c>
      <c r="D234" s="169">
        <v>87</v>
      </c>
      <c r="E234" s="169">
        <v>4</v>
      </c>
      <c r="F234" s="169" t="s">
        <v>498</v>
      </c>
      <c r="G234" s="169" t="s">
        <v>498</v>
      </c>
      <c r="H234" s="169">
        <v>7</v>
      </c>
      <c r="I234" s="136" t="str">
        <f t="shared" si="10"/>
        <v>BIGINT</v>
      </c>
      <c r="J234" s="169" t="s">
        <v>1</v>
      </c>
      <c r="K234" s="169" t="s">
        <v>1</v>
      </c>
      <c r="L234" s="169">
        <v>30</v>
      </c>
      <c r="M234" s="168"/>
      <c r="N234" s="168"/>
      <c r="O234" s="168"/>
      <c r="P234" s="168"/>
      <c r="Q234" s="168" t="s">
        <v>0</v>
      </c>
      <c r="R234" s="168" t="s">
        <v>1</v>
      </c>
      <c r="S234" s="178" t="str">
        <f t="shared" si="11"/>
        <v>D_CP_GROUP_ORIGRUN_ID</v>
      </c>
    </row>
    <row r="235" spans="1:19" ht="14.4" x14ac:dyDescent="0.3">
      <c r="A235" s="169" t="s">
        <v>397</v>
      </c>
      <c r="B235" s="171" t="str">
        <f t="shared" si="9"/>
        <v>Таблица-хаб ГСЗ</v>
      </c>
      <c r="C235" s="169" t="s">
        <v>527</v>
      </c>
      <c r="D235" s="169">
        <v>88</v>
      </c>
      <c r="E235" s="169">
        <v>5</v>
      </c>
      <c r="F235" s="169" t="s">
        <v>527</v>
      </c>
      <c r="G235" s="169" t="s">
        <v>527</v>
      </c>
      <c r="H235" s="169">
        <v>7</v>
      </c>
      <c r="I235" s="136" t="str">
        <f t="shared" si="10"/>
        <v>BIGINT</v>
      </c>
      <c r="J235" s="169" t="s">
        <v>1</v>
      </c>
      <c r="K235" s="169" t="s">
        <v>1</v>
      </c>
      <c r="L235" s="169">
        <v>30</v>
      </c>
      <c r="M235" s="168"/>
      <c r="N235" s="168"/>
      <c r="O235" s="168"/>
      <c r="P235" s="168"/>
      <c r="Q235" s="168" t="s">
        <v>0</v>
      </c>
      <c r="R235" s="168" t="s">
        <v>1</v>
      </c>
      <c r="S235" s="178" t="str">
        <f t="shared" si="11"/>
        <v>D_CP_GROUP_ORIGSRC_SYS_ID</v>
      </c>
    </row>
    <row r="236" spans="1:19" ht="14.4" x14ac:dyDescent="0.3">
      <c r="A236" s="169" t="s">
        <v>397</v>
      </c>
      <c r="B236" s="171" t="str">
        <f t="shared" si="9"/>
        <v>Таблица-хаб ГСЗ</v>
      </c>
      <c r="C236" s="169" t="s">
        <v>525</v>
      </c>
      <c r="D236" s="169">
        <v>89</v>
      </c>
      <c r="E236" s="169">
        <v>6</v>
      </c>
      <c r="F236" s="169" t="s">
        <v>525</v>
      </c>
      <c r="G236" s="169" t="s">
        <v>525</v>
      </c>
      <c r="H236" s="169">
        <v>24</v>
      </c>
      <c r="I236" s="136" t="str">
        <f t="shared" si="10"/>
        <v xml:space="preserve">VARCHAR(40) </v>
      </c>
      <c r="J236" s="169" t="s">
        <v>0</v>
      </c>
      <c r="K236" s="169" t="s">
        <v>1</v>
      </c>
      <c r="L236" s="169">
        <v>30</v>
      </c>
      <c r="M236" s="168"/>
      <c r="N236" s="168"/>
      <c r="O236" s="168"/>
      <c r="P236" s="168"/>
      <c r="Q236" s="168" t="s">
        <v>0</v>
      </c>
      <c r="R236" s="168" t="s">
        <v>1</v>
      </c>
      <c r="S236" s="178" t="str">
        <f t="shared" si="11"/>
        <v>D_CP_GROUP_ORIGSRC_SYS_KEY</v>
      </c>
    </row>
    <row r="237" spans="1:19" ht="14.4" x14ac:dyDescent="0.3">
      <c r="A237" s="169" t="s">
        <v>397</v>
      </c>
      <c r="B237" s="171" t="str">
        <f t="shared" si="9"/>
        <v>Таблица-хаб ГСЗ</v>
      </c>
      <c r="C237" s="169" t="s">
        <v>535</v>
      </c>
      <c r="D237" s="169">
        <v>90</v>
      </c>
      <c r="E237" s="169">
        <v>7</v>
      </c>
      <c r="F237" s="169" t="s">
        <v>535</v>
      </c>
      <c r="G237" s="169" t="s">
        <v>535</v>
      </c>
      <c r="H237" s="169">
        <v>7</v>
      </c>
      <c r="I237" s="136" t="str">
        <f t="shared" si="10"/>
        <v>BIGINT</v>
      </c>
      <c r="J237" s="169" t="s">
        <v>0</v>
      </c>
      <c r="K237" s="169" t="s">
        <v>1</v>
      </c>
      <c r="L237" s="169">
        <v>30</v>
      </c>
      <c r="M237" s="168"/>
      <c r="N237" s="168"/>
      <c r="O237" s="168"/>
      <c r="P237" s="168"/>
      <c r="Q237" s="168" t="s">
        <v>0</v>
      </c>
      <c r="R237" s="168" t="s">
        <v>1</v>
      </c>
      <c r="S237" s="178" t="str">
        <f t="shared" si="11"/>
        <v>D_CP_GROUP_ORIGSRC_SYS_KEY_ID</v>
      </c>
    </row>
    <row r="238" spans="1:19" ht="14.4" x14ac:dyDescent="0.3">
      <c r="A238" s="169" t="s">
        <v>404</v>
      </c>
      <c r="B238" s="171" t="str">
        <f t="shared" si="9"/>
        <v>ГСЗ</v>
      </c>
      <c r="C238" s="169" t="s">
        <v>718</v>
      </c>
      <c r="D238" s="169">
        <v>1120</v>
      </c>
      <c r="E238" s="169">
        <v>1</v>
      </c>
      <c r="F238" s="169" t="s">
        <v>718</v>
      </c>
      <c r="G238" s="169" t="s">
        <v>718</v>
      </c>
      <c r="H238" s="169">
        <v>7</v>
      </c>
      <c r="I238" s="136" t="str">
        <f t="shared" si="10"/>
        <v>BIGINT</v>
      </c>
      <c r="J238" s="169" t="s">
        <v>0</v>
      </c>
      <c r="K238" s="169" t="s">
        <v>1</v>
      </c>
      <c r="L238" s="169">
        <v>30</v>
      </c>
      <c r="M238" s="168"/>
      <c r="N238" s="168"/>
      <c r="O238" s="168"/>
      <c r="P238" s="168"/>
      <c r="Q238" s="168" t="s">
        <v>0</v>
      </c>
      <c r="R238" s="168" t="s">
        <v>1</v>
      </c>
      <c r="S238" s="178" t="str">
        <f t="shared" si="11"/>
        <v>D_CP_GROUP_ORIG_BTHCOUNTRY_ID</v>
      </c>
    </row>
    <row r="239" spans="1:19" ht="14.4" x14ac:dyDescent="0.3">
      <c r="A239" s="169" t="s">
        <v>404</v>
      </c>
      <c r="B239" s="171" t="str">
        <f t="shared" si="9"/>
        <v>ГСЗ</v>
      </c>
      <c r="C239" s="169" t="s">
        <v>1433</v>
      </c>
      <c r="D239" s="169">
        <v>1121</v>
      </c>
      <c r="E239" s="169">
        <v>2</v>
      </c>
      <c r="F239" s="169" t="s">
        <v>1433</v>
      </c>
      <c r="G239" s="169" t="s">
        <v>1433</v>
      </c>
      <c r="H239" s="169">
        <v>24</v>
      </c>
      <c r="I239" s="136" t="str">
        <f t="shared" si="10"/>
        <v xml:space="preserve">VARCHAR(40) </v>
      </c>
      <c r="J239" s="169" t="s">
        <v>0</v>
      </c>
      <c r="K239" s="169" t="s">
        <v>1</v>
      </c>
      <c r="L239" s="169">
        <v>30</v>
      </c>
      <c r="M239" s="168"/>
      <c r="N239" s="168"/>
      <c r="O239" s="168"/>
      <c r="P239" s="168"/>
      <c r="Q239" s="168" t="s">
        <v>0</v>
      </c>
      <c r="R239" s="168" t="s">
        <v>1</v>
      </c>
      <c r="S239" s="178" t="str">
        <f t="shared" si="11"/>
        <v>D_CP_GROUP_ORIG_BTHCP_GROUP_ID_IN_CRM</v>
      </c>
    </row>
    <row r="240" spans="1:19" ht="14.4" x14ac:dyDescent="0.3">
      <c r="A240" s="169" t="s">
        <v>404</v>
      </c>
      <c r="B240" s="171" t="str">
        <f t="shared" si="9"/>
        <v>ГСЗ</v>
      </c>
      <c r="C240" s="169" t="s">
        <v>836</v>
      </c>
      <c r="D240" s="169">
        <v>1122</v>
      </c>
      <c r="E240" s="169">
        <v>3</v>
      </c>
      <c r="F240" s="169" t="s">
        <v>836</v>
      </c>
      <c r="G240" s="169" t="s">
        <v>836</v>
      </c>
      <c r="H240" s="169">
        <v>21</v>
      </c>
      <c r="I240" s="136" t="str">
        <f t="shared" si="10"/>
        <v>DECIMAL(19, 2)</v>
      </c>
      <c r="J240" s="169" t="s">
        <v>0</v>
      </c>
      <c r="K240" s="169" t="s">
        <v>1</v>
      </c>
      <c r="L240" s="169">
        <v>30</v>
      </c>
      <c r="M240" s="168"/>
      <c r="N240" s="168"/>
      <c r="O240" s="168"/>
      <c r="P240" s="168"/>
      <c r="Q240" s="168" t="s">
        <v>0</v>
      </c>
      <c r="R240" s="168" t="s">
        <v>1</v>
      </c>
      <c r="S240" s="178" t="str">
        <f t="shared" si="11"/>
        <v>D_CP_GROUP_ORIG_BTHCP_GROUP_LIMIT_CCY_AMT</v>
      </c>
    </row>
    <row r="241" spans="1:19" ht="14.4" x14ac:dyDescent="0.3">
      <c r="A241" s="169" t="s">
        <v>404</v>
      </c>
      <c r="B241" s="171" t="str">
        <f t="shared" si="9"/>
        <v>ГСЗ</v>
      </c>
      <c r="C241" s="169" t="s">
        <v>842</v>
      </c>
      <c r="D241" s="169">
        <v>1123</v>
      </c>
      <c r="E241" s="169">
        <v>4</v>
      </c>
      <c r="F241" s="169" t="s">
        <v>842</v>
      </c>
      <c r="G241" s="169" t="s">
        <v>842</v>
      </c>
      <c r="H241" s="169">
        <v>7</v>
      </c>
      <c r="I241" s="136" t="str">
        <f t="shared" si="10"/>
        <v>BIGINT</v>
      </c>
      <c r="J241" s="169" t="s">
        <v>0</v>
      </c>
      <c r="K241" s="169" t="s">
        <v>1</v>
      </c>
      <c r="L241" s="169">
        <v>30</v>
      </c>
      <c r="M241" s="168"/>
      <c r="N241" s="168"/>
      <c r="O241" s="168"/>
      <c r="P241" s="168"/>
      <c r="Q241" s="168" t="s">
        <v>0</v>
      </c>
      <c r="R241" s="168" t="s">
        <v>1</v>
      </c>
      <c r="S241" s="178" t="str">
        <f t="shared" si="11"/>
        <v>D_CP_GROUP_ORIG_BTHCP_GROUP_LIMIT_CURRENCY_ID</v>
      </c>
    </row>
    <row r="242" spans="1:19" ht="14.4" x14ac:dyDescent="0.3">
      <c r="A242" s="169" t="s">
        <v>404</v>
      </c>
      <c r="B242" s="171" t="str">
        <f t="shared" si="9"/>
        <v>ГСЗ</v>
      </c>
      <c r="C242" s="169" t="s">
        <v>838</v>
      </c>
      <c r="D242" s="169">
        <v>1124</v>
      </c>
      <c r="E242" s="169">
        <v>5</v>
      </c>
      <c r="F242" s="169" t="s">
        <v>838</v>
      </c>
      <c r="G242" s="169" t="s">
        <v>838</v>
      </c>
      <c r="H242" s="169">
        <v>34</v>
      </c>
      <c r="I242" s="136" t="str">
        <f t="shared" si="10"/>
        <v>DATE</v>
      </c>
      <c r="J242" s="169" t="s">
        <v>0</v>
      </c>
      <c r="K242" s="169" t="s">
        <v>1</v>
      </c>
      <c r="L242" s="169">
        <v>30</v>
      </c>
      <c r="M242" s="168"/>
      <c r="N242" s="168"/>
      <c r="O242" s="168"/>
      <c r="P242" s="168"/>
      <c r="Q242" s="168" t="s">
        <v>0</v>
      </c>
      <c r="R242" s="168" t="s">
        <v>1</v>
      </c>
      <c r="S242" s="178" t="str">
        <f t="shared" si="11"/>
        <v>D_CP_GROUP_ORIG_BTHCP_GROUP_LIMIT_ESTABLISHED_DT</v>
      </c>
    </row>
    <row r="243" spans="1:19" ht="14.4" x14ac:dyDescent="0.3">
      <c r="A243" s="169" t="s">
        <v>404</v>
      </c>
      <c r="B243" s="171" t="str">
        <f t="shared" si="9"/>
        <v>ГСЗ</v>
      </c>
      <c r="C243" s="169" t="s">
        <v>840</v>
      </c>
      <c r="D243" s="169">
        <v>1125</v>
      </c>
      <c r="E243" s="169">
        <v>6</v>
      </c>
      <c r="F243" s="169" t="s">
        <v>840</v>
      </c>
      <c r="G243" s="169" t="s">
        <v>840</v>
      </c>
      <c r="H243" s="169">
        <v>34</v>
      </c>
      <c r="I243" s="136" t="str">
        <f t="shared" si="10"/>
        <v>DATE</v>
      </c>
      <c r="J243" s="169" t="s">
        <v>0</v>
      </c>
      <c r="K243" s="169" t="s">
        <v>1</v>
      </c>
      <c r="L243" s="169">
        <v>30</v>
      </c>
      <c r="M243" s="168"/>
      <c r="N243" s="168"/>
      <c r="O243" s="168"/>
      <c r="P243" s="168"/>
      <c r="Q243" s="168" t="s">
        <v>0</v>
      </c>
      <c r="R243" s="168" t="s">
        <v>1</v>
      </c>
      <c r="S243" s="178" t="str">
        <f t="shared" si="11"/>
        <v>D_CP_GROUP_ORIG_BTHCP_GROUP_LIMIT_EXPIRATION_DT</v>
      </c>
    </row>
    <row r="244" spans="1:19" ht="14.4" x14ac:dyDescent="0.3">
      <c r="A244" s="169" t="s">
        <v>404</v>
      </c>
      <c r="B244" s="171" t="str">
        <f t="shared" si="9"/>
        <v>ГСЗ</v>
      </c>
      <c r="C244" s="169" t="s">
        <v>827</v>
      </c>
      <c r="D244" s="169">
        <v>1126</v>
      </c>
      <c r="E244" s="169">
        <v>7</v>
      </c>
      <c r="F244" s="169" t="s">
        <v>827</v>
      </c>
      <c r="G244" s="169" t="s">
        <v>827</v>
      </c>
      <c r="H244" s="169">
        <v>13</v>
      </c>
      <c r="I244" s="136" t="str">
        <f t="shared" si="10"/>
        <v xml:space="preserve">VARCHAR(300) </v>
      </c>
      <c r="J244" s="169" t="s">
        <v>0</v>
      </c>
      <c r="K244" s="169" t="s">
        <v>1</v>
      </c>
      <c r="L244" s="169">
        <v>30</v>
      </c>
      <c r="M244" s="168"/>
      <c r="N244" s="168"/>
      <c r="O244" s="168"/>
      <c r="P244" s="168"/>
      <c r="Q244" s="168" t="s">
        <v>0</v>
      </c>
      <c r="R244" s="168" t="s">
        <v>1</v>
      </c>
      <c r="S244" s="178" t="str">
        <f t="shared" si="11"/>
        <v>D_CP_GROUP_ORIG_BTHCP_GROUP_NM</v>
      </c>
    </row>
    <row r="245" spans="1:19" ht="14.4" x14ac:dyDescent="0.3">
      <c r="A245" s="169" t="s">
        <v>404</v>
      </c>
      <c r="B245" s="171" t="str">
        <f t="shared" si="9"/>
        <v>ГСЗ</v>
      </c>
      <c r="C245" s="169" t="s">
        <v>523</v>
      </c>
      <c r="D245" s="169">
        <v>1127</v>
      </c>
      <c r="E245" s="169">
        <v>8</v>
      </c>
      <c r="F245" s="169" t="s">
        <v>523</v>
      </c>
      <c r="G245" s="169" t="s">
        <v>523</v>
      </c>
      <c r="H245" s="169">
        <v>7</v>
      </c>
      <c r="I245" s="136" t="str">
        <f t="shared" si="10"/>
        <v>BIGINT</v>
      </c>
      <c r="J245" s="169" t="s">
        <v>1</v>
      </c>
      <c r="K245" s="169" t="s">
        <v>0</v>
      </c>
      <c r="L245" s="169">
        <v>30</v>
      </c>
      <c r="M245" s="168"/>
      <c r="N245" s="168"/>
      <c r="O245" s="168"/>
      <c r="P245" s="168"/>
      <c r="Q245" s="168" t="s">
        <v>0</v>
      </c>
      <c r="R245" s="168" t="s">
        <v>1</v>
      </c>
      <c r="S245" s="178" t="str">
        <f t="shared" si="11"/>
        <v>D_CP_GROUP_ORIG_BTHCP_GROUP_ORIG_ID</v>
      </c>
    </row>
    <row r="246" spans="1:19" ht="14.4" x14ac:dyDescent="0.3">
      <c r="A246" s="169" t="s">
        <v>404</v>
      </c>
      <c r="B246" s="171" t="str">
        <f t="shared" si="9"/>
        <v>ГСЗ</v>
      </c>
      <c r="C246" s="169" t="s">
        <v>825</v>
      </c>
      <c r="D246" s="169">
        <v>1128</v>
      </c>
      <c r="E246" s="169">
        <v>9</v>
      </c>
      <c r="F246" s="169" t="s">
        <v>825</v>
      </c>
      <c r="G246" s="169" t="s">
        <v>825</v>
      </c>
      <c r="H246" s="169">
        <v>7</v>
      </c>
      <c r="I246" s="136" t="str">
        <f t="shared" si="10"/>
        <v>BIGINT</v>
      </c>
      <c r="J246" s="169" t="s">
        <v>1</v>
      </c>
      <c r="K246" s="169" t="s">
        <v>1</v>
      </c>
      <c r="L246" s="169">
        <v>30</v>
      </c>
      <c r="M246" s="168"/>
      <c r="N246" s="168"/>
      <c r="O246" s="168"/>
      <c r="P246" s="168"/>
      <c r="Q246" s="168" t="s">
        <v>0</v>
      </c>
      <c r="R246" s="168" t="s">
        <v>1</v>
      </c>
      <c r="S246" s="178" t="str">
        <f t="shared" si="11"/>
        <v>D_CP_GROUP_ORIG_BTHCP_GROUP_ORIG_SK</v>
      </c>
    </row>
    <row r="247" spans="1:19" ht="14.4" x14ac:dyDescent="0.3">
      <c r="A247" s="169" t="s">
        <v>404</v>
      </c>
      <c r="B247" s="171" t="str">
        <f t="shared" si="9"/>
        <v>ГСЗ</v>
      </c>
      <c r="C247" s="169" t="s">
        <v>829</v>
      </c>
      <c r="D247" s="169">
        <v>1129</v>
      </c>
      <c r="E247" s="169">
        <v>10</v>
      </c>
      <c r="F247" s="169" t="s">
        <v>829</v>
      </c>
      <c r="G247" s="169" t="s">
        <v>829</v>
      </c>
      <c r="H247" s="169">
        <v>24</v>
      </c>
      <c r="I247" s="136" t="str">
        <f t="shared" si="10"/>
        <v xml:space="preserve">VARCHAR(40) </v>
      </c>
      <c r="J247" s="169" t="s">
        <v>0</v>
      </c>
      <c r="K247" s="169" t="s">
        <v>1</v>
      </c>
      <c r="L247" s="169">
        <v>30</v>
      </c>
      <c r="M247" s="168"/>
      <c r="N247" s="168"/>
      <c r="O247" s="168"/>
      <c r="P247" s="168"/>
      <c r="Q247" s="168" t="s">
        <v>0</v>
      </c>
      <c r="R247" s="168" t="s">
        <v>1</v>
      </c>
      <c r="S247" s="178" t="str">
        <f t="shared" si="11"/>
        <v>D_CP_GROUP_ORIG_BTHCP_GROUP_TYPE</v>
      </c>
    </row>
    <row r="248" spans="1:19" ht="14.4" x14ac:dyDescent="0.3">
      <c r="A248" s="169" t="s">
        <v>404</v>
      </c>
      <c r="B248" s="171" t="str">
        <f t="shared" si="9"/>
        <v>ГСЗ</v>
      </c>
      <c r="C248" s="169" t="s">
        <v>1465</v>
      </c>
      <c r="D248" s="169">
        <v>1130</v>
      </c>
      <c r="E248" s="169">
        <v>11</v>
      </c>
      <c r="F248" s="169" t="s">
        <v>1465</v>
      </c>
      <c r="G248" s="169" t="s">
        <v>1465</v>
      </c>
      <c r="H248" s="169">
        <v>7</v>
      </c>
      <c r="I248" s="136" t="str">
        <f t="shared" si="10"/>
        <v>BIGINT</v>
      </c>
      <c r="J248" s="169" t="s">
        <v>0</v>
      </c>
      <c r="K248" s="169" t="s">
        <v>1</v>
      </c>
      <c r="L248" s="169">
        <v>30</v>
      </c>
      <c r="M248" s="168"/>
      <c r="N248" s="168"/>
      <c r="O248" s="168"/>
      <c r="P248" s="168"/>
      <c r="Q248" s="168" t="s">
        <v>0</v>
      </c>
      <c r="R248" s="168" t="s">
        <v>1</v>
      </c>
      <c r="S248" s="178" t="str">
        <f t="shared" si="11"/>
        <v>D_CP_GROUP_ORIG_BTHCRM_INDUSTRY_ID</v>
      </c>
    </row>
    <row r="249" spans="1:19" ht="14.4" x14ac:dyDescent="0.3">
      <c r="A249" s="169" t="s">
        <v>404</v>
      </c>
      <c r="B249" s="171" t="str">
        <f t="shared" si="9"/>
        <v>ГСЗ</v>
      </c>
      <c r="C249" s="169" t="s">
        <v>726</v>
      </c>
      <c r="D249" s="169">
        <v>1131</v>
      </c>
      <c r="E249" s="169">
        <v>12</v>
      </c>
      <c r="F249" s="169" t="s">
        <v>726</v>
      </c>
      <c r="G249" s="169" t="s">
        <v>726</v>
      </c>
      <c r="H249" s="169">
        <v>13</v>
      </c>
      <c r="I249" s="136" t="str">
        <f t="shared" si="10"/>
        <v xml:space="preserve">VARCHAR(300) </v>
      </c>
      <c r="J249" s="169" t="s">
        <v>0</v>
      </c>
      <c r="K249" s="169" t="s">
        <v>1</v>
      </c>
      <c r="L249" s="169">
        <v>30</v>
      </c>
      <c r="M249" s="168"/>
      <c r="N249" s="168"/>
      <c r="O249" s="168"/>
      <c r="P249" s="168"/>
      <c r="Q249" s="168" t="s">
        <v>0</v>
      </c>
      <c r="R249" s="168" t="s">
        <v>1</v>
      </c>
      <c r="S249" s="178" t="str">
        <f t="shared" si="11"/>
        <v>D_CP_GROUP_ORIG_BTHEFF_CITY</v>
      </c>
    </row>
    <row r="250" spans="1:19" ht="14.4" x14ac:dyDescent="0.3">
      <c r="A250" s="169" t="s">
        <v>404</v>
      </c>
      <c r="B250" s="171" t="str">
        <f t="shared" si="9"/>
        <v>ГСЗ</v>
      </c>
      <c r="C250" s="169" t="s">
        <v>720</v>
      </c>
      <c r="D250" s="169">
        <v>1132</v>
      </c>
      <c r="E250" s="169">
        <v>13</v>
      </c>
      <c r="F250" s="169" t="s">
        <v>720</v>
      </c>
      <c r="G250" s="169" t="s">
        <v>720</v>
      </c>
      <c r="H250" s="169">
        <v>7</v>
      </c>
      <c r="I250" s="136" t="str">
        <f t="shared" si="10"/>
        <v>BIGINT</v>
      </c>
      <c r="J250" s="169" t="s">
        <v>0</v>
      </c>
      <c r="K250" s="169" t="s">
        <v>1</v>
      </c>
      <c r="L250" s="169">
        <v>30</v>
      </c>
      <c r="M250" s="168"/>
      <c r="N250" s="168"/>
      <c r="O250" s="168"/>
      <c r="P250" s="168"/>
      <c r="Q250" s="168" t="s">
        <v>0</v>
      </c>
      <c r="R250" s="168" t="s">
        <v>1</v>
      </c>
      <c r="S250" s="178" t="str">
        <f t="shared" si="11"/>
        <v>D_CP_GROUP_ORIG_BTHEFF_COUNTRY_ID</v>
      </c>
    </row>
    <row r="251" spans="1:19" ht="14.4" x14ac:dyDescent="0.3">
      <c r="A251" s="169" t="s">
        <v>404</v>
      </c>
      <c r="B251" s="171" t="str">
        <f t="shared" si="9"/>
        <v>ГСЗ</v>
      </c>
      <c r="C251" s="169" t="s">
        <v>538</v>
      </c>
      <c r="D251" s="169">
        <v>1133</v>
      </c>
      <c r="E251" s="169">
        <v>14</v>
      </c>
      <c r="F251" s="169" t="s">
        <v>538</v>
      </c>
      <c r="G251" s="169" t="s">
        <v>538</v>
      </c>
      <c r="H251" s="169">
        <v>7</v>
      </c>
      <c r="I251" s="136" t="str">
        <f t="shared" si="10"/>
        <v>BIGINT</v>
      </c>
      <c r="J251" s="169" t="s">
        <v>0</v>
      </c>
      <c r="K251" s="169" t="s">
        <v>1</v>
      </c>
      <c r="L251" s="169">
        <v>30</v>
      </c>
      <c r="M251" s="168"/>
      <c r="N251" s="168"/>
      <c r="O251" s="168"/>
      <c r="P251" s="168"/>
      <c r="Q251" s="168" t="s">
        <v>0</v>
      </c>
      <c r="R251" s="168" t="s">
        <v>1</v>
      </c>
      <c r="S251" s="178" t="str">
        <f t="shared" si="11"/>
        <v>D_CP_GROUP_ORIG_BTHNACE_INDUSTRY_ID</v>
      </c>
    </row>
    <row r="252" spans="1:19" ht="14.4" x14ac:dyDescent="0.3">
      <c r="A252" s="169" t="s">
        <v>404</v>
      </c>
      <c r="B252" s="171" t="str">
        <f t="shared" si="9"/>
        <v>ГСЗ</v>
      </c>
      <c r="C252" s="169" t="s">
        <v>736</v>
      </c>
      <c r="D252" s="169">
        <v>1134</v>
      </c>
      <c r="E252" s="169">
        <v>15</v>
      </c>
      <c r="F252" s="169" t="s">
        <v>736</v>
      </c>
      <c r="G252" s="169" t="s">
        <v>736</v>
      </c>
      <c r="H252" s="169">
        <v>24</v>
      </c>
      <c r="I252" s="136" t="str">
        <f t="shared" si="10"/>
        <v xml:space="preserve">VARCHAR(40) </v>
      </c>
      <c r="J252" s="169" t="s">
        <v>0</v>
      </c>
      <c r="K252" s="169" t="s">
        <v>1</v>
      </c>
      <c r="L252" s="169">
        <v>30</v>
      </c>
      <c r="M252" s="168"/>
      <c r="N252" s="168"/>
      <c r="O252" s="168"/>
      <c r="P252" s="168"/>
      <c r="Q252" s="168" t="s">
        <v>0</v>
      </c>
      <c r="R252" s="168" t="s">
        <v>1</v>
      </c>
      <c r="S252" s="178" t="str">
        <f t="shared" si="11"/>
        <v>D_CP_GROUP_ORIG_BTHOWNERSHIP_TYPE</v>
      </c>
    </row>
    <row r="253" spans="1:19" ht="14.4" x14ac:dyDescent="0.3">
      <c r="A253" s="169" t="s">
        <v>404</v>
      </c>
      <c r="B253" s="171" t="str">
        <f t="shared" si="9"/>
        <v>ГСЗ</v>
      </c>
      <c r="C253" s="169" t="s">
        <v>438</v>
      </c>
      <c r="D253" s="169">
        <v>1135</v>
      </c>
      <c r="E253" s="169">
        <v>16</v>
      </c>
      <c r="F253" s="169" t="s">
        <v>438</v>
      </c>
      <c r="G253" s="169" t="s">
        <v>438</v>
      </c>
      <c r="H253" s="169">
        <v>22</v>
      </c>
      <c r="I253" s="136" t="str">
        <f t="shared" si="10"/>
        <v>TIMESTAMP(6)</v>
      </c>
      <c r="J253" s="169" t="s">
        <v>1</v>
      </c>
      <c r="K253" s="169" t="s">
        <v>1</v>
      </c>
      <c r="L253" s="169">
        <v>30</v>
      </c>
      <c r="M253" s="168"/>
      <c r="N253" s="168"/>
      <c r="O253" s="168"/>
      <c r="P253" s="168"/>
      <c r="Q253" s="168" t="s">
        <v>0</v>
      </c>
      <c r="R253" s="168" t="s">
        <v>1</v>
      </c>
      <c r="S253" s="178" t="str">
        <f t="shared" si="11"/>
        <v>D_CP_GROUP_ORIG_BTHRECORD_CLOSE_TS</v>
      </c>
    </row>
    <row r="254" spans="1:19" ht="14.4" x14ac:dyDescent="0.3">
      <c r="A254" s="169" t="s">
        <v>404</v>
      </c>
      <c r="B254" s="171" t="str">
        <f t="shared" si="9"/>
        <v>ГСЗ</v>
      </c>
      <c r="C254" s="169" t="s">
        <v>440</v>
      </c>
      <c r="D254" s="169">
        <v>1136</v>
      </c>
      <c r="E254" s="169">
        <v>17</v>
      </c>
      <c r="F254" s="169" t="s">
        <v>440</v>
      </c>
      <c r="G254" s="169" t="s">
        <v>440</v>
      </c>
      <c r="H254" s="169">
        <v>22</v>
      </c>
      <c r="I254" s="136" t="str">
        <f t="shared" si="10"/>
        <v>TIMESTAMP(6)</v>
      </c>
      <c r="J254" s="169" t="s">
        <v>1</v>
      </c>
      <c r="K254" s="169" t="s">
        <v>1</v>
      </c>
      <c r="L254" s="169">
        <v>30</v>
      </c>
      <c r="M254" s="168"/>
      <c r="N254" s="168"/>
      <c r="O254" s="168"/>
      <c r="P254" s="168"/>
      <c r="Q254" s="168" t="s">
        <v>0</v>
      </c>
      <c r="R254" s="168" t="s">
        <v>1</v>
      </c>
      <c r="S254" s="178" t="str">
        <f t="shared" si="11"/>
        <v>D_CP_GROUP_ORIG_BTHRECORD_CREATE_TS</v>
      </c>
    </row>
    <row r="255" spans="1:19" ht="14.4" x14ac:dyDescent="0.3">
      <c r="A255" s="169" t="s">
        <v>404</v>
      </c>
      <c r="B255" s="171" t="str">
        <f t="shared" si="9"/>
        <v>ГСЗ</v>
      </c>
      <c r="C255" s="169" t="s">
        <v>429</v>
      </c>
      <c r="D255" s="169">
        <v>1137</v>
      </c>
      <c r="E255" s="169">
        <v>18</v>
      </c>
      <c r="F255" s="169" t="s">
        <v>429</v>
      </c>
      <c r="G255" s="169" t="s">
        <v>429</v>
      </c>
      <c r="H255" s="169">
        <v>22</v>
      </c>
      <c r="I255" s="136" t="str">
        <f t="shared" si="10"/>
        <v>TIMESTAMP(6)</v>
      </c>
      <c r="J255" s="169" t="s">
        <v>1</v>
      </c>
      <c r="K255" s="169" t="s">
        <v>1</v>
      </c>
      <c r="L255" s="169">
        <v>30</v>
      </c>
      <c r="M255" s="168"/>
      <c r="N255" s="168"/>
      <c r="O255" s="168"/>
      <c r="P255" s="168"/>
      <c r="Q255" s="168" t="s">
        <v>0</v>
      </c>
      <c r="R255" s="168" t="s">
        <v>1</v>
      </c>
      <c r="S255" s="178" t="str">
        <f t="shared" si="11"/>
        <v>D_CP_GROUP_ORIG_BTHRECORD_UPDATE_TS</v>
      </c>
    </row>
    <row r="256" spans="1:19" ht="14.4" x14ac:dyDescent="0.3">
      <c r="A256" s="169" t="s">
        <v>404</v>
      </c>
      <c r="B256" s="171" t="str">
        <f t="shared" si="9"/>
        <v>ГСЗ</v>
      </c>
      <c r="C256" s="169" t="s">
        <v>498</v>
      </c>
      <c r="D256" s="169">
        <v>1138</v>
      </c>
      <c r="E256" s="169">
        <v>19</v>
      </c>
      <c r="F256" s="169" t="s">
        <v>498</v>
      </c>
      <c r="G256" s="169" t="s">
        <v>498</v>
      </c>
      <c r="H256" s="169">
        <v>7</v>
      </c>
      <c r="I256" s="136" t="str">
        <f t="shared" si="10"/>
        <v>BIGINT</v>
      </c>
      <c r="J256" s="169" t="s">
        <v>1</v>
      </c>
      <c r="K256" s="169" t="s">
        <v>1</v>
      </c>
      <c r="L256" s="169">
        <v>30</v>
      </c>
      <c r="M256" s="168"/>
      <c r="N256" s="168"/>
      <c r="O256" s="168"/>
      <c r="P256" s="168"/>
      <c r="Q256" s="168" t="s">
        <v>0</v>
      </c>
      <c r="R256" s="168" t="s">
        <v>1</v>
      </c>
      <c r="S256" s="178" t="str">
        <f t="shared" si="11"/>
        <v>D_CP_GROUP_ORIG_BTHRUN_ID</v>
      </c>
    </row>
    <row r="257" spans="1:19" ht="14.4" x14ac:dyDescent="0.3">
      <c r="A257" s="169" t="s">
        <v>404</v>
      </c>
      <c r="B257" s="171" t="str">
        <f t="shared" si="9"/>
        <v>ГСЗ</v>
      </c>
      <c r="C257" s="169" t="s">
        <v>492</v>
      </c>
      <c r="D257" s="169">
        <v>1139</v>
      </c>
      <c r="E257" s="169">
        <v>20</v>
      </c>
      <c r="F257" s="169" t="s">
        <v>492</v>
      </c>
      <c r="G257" s="169" t="s">
        <v>492</v>
      </c>
      <c r="H257" s="169">
        <v>34</v>
      </c>
      <c r="I257" s="136" t="str">
        <f t="shared" si="10"/>
        <v>DATE</v>
      </c>
      <c r="J257" s="169" t="s">
        <v>1</v>
      </c>
      <c r="K257" s="169" t="s">
        <v>1</v>
      </c>
      <c r="L257" s="169">
        <v>30</v>
      </c>
      <c r="M257" s="168"/>
      <c r="N257" s="168"/>
      <c r="O257" s="168"/>
      <c r="P257" s="168"/>
      <c r="Q257" s="168" t="s">
        <v>0</v>
      </c>
      <c r="R257" s="168" t="s">
        <v>1</v>
      </c>
      <c r="S257" s="178" t="str">
        <f t="shared" si="11"/>
        <v>D_CP_GROUP_ORIG_BTHVALIDITY_DT</v>
      </c>
    </row>
    <row r="258" spans="1:19" ht="14.4" x14ac:dyDescent="0.3">
      <c r="A258" s="169" t="s">
        <v>1373</v>
      </c>
      <c r="B258" s="171" t="str">
        <f t="shared" ref="B258:B321" si="12">IF(NOT(ISBLANK(A258)),VLOOKUP(A258,ERM_TABLE_NM,2,FALSE), "")</f>
        <v>D_CP_GROUP_ORIG_STL1_BTH</v>
      </c>
      <c r="C258" s="169" t="s">
        <v>1449</v>
      </c>
      <c r="D258" s="169">
        <v>1140</v>
      </c>
      <c r="E258" s="169">
        <v>1</v>
      </c>
      <c r="F258" s="169" t="s">
        <v>1449</v>
      </c>
      <c r="G258" s="169" t="s">
        <v>1449</v>
      </c>
      <c r="H258" s="169">
        <v>21</v>
      </c>
      <c r="I258" s="136" t="str">
        <f t="shared" ref="I258:I321" si="13">IF(NOT(ISBLANK(H258)),VLOOKUP(H258,ERM_DOMAIN_NM,2,FALSE), "")</f>
        <v>DECIMAL(19, 2)</v>
      </c>
      <c r="J258" s="169" t="s">
        <v>0</v>
      </c>
      <c r="K258" s="169" t="s">
        <v>1</v>
      </c>
      <c r="L258" s="169">
        <v>30</v>
      </c>
      <c r="M258" s="168"/>
      <c r="N258" s="168"/>
      <c r="O258" s="168"/>
      <c r="P258" s="168"/>
      <c r="Q258" s="168" t="s">
        <v>0</v>
      </c>
      <c r="R258" s="168" t="s">
        <v>1</v>
      </c>
      <c r="S258" s="178" t="str">
        <f t="shared" si="11"/>
        <v>D_CP_GROUP_ORIG_STL1_BTHANNUAL_SALES_CCY_AMT</v>
      </c>
    </row>
    <row r="259" spans="1:19" ht="14.4" x14ac:dyDescent="0.3">
      <c r="A259" s="169" t="s">
        <v>1373</v>
      </c>
      <c r="B259" s="171" t="str">
        <f t="shared" si="12"/>
        <v>D_CP_GROUP_ORIG_STL1_BTH</v>
      </c>
      <c r="C259" s="169" t="s">
        <v>1471</v>
      </c>
      <c r="D259" s="169">
        <v>1141</v>
      </c>
      <c r="E259" s="169">
        <v>2</v>
      </c>
      <c r="F259" s="169" t="s">
        <v>1471</v>
      </c>
      <c r="G259" s="169" t="s">
        <v>1471</v>
      </c>
      <c r="H259" s="169">
        <v>7</v>
      </c>
      <c r="I259" s="136" t="str">
        <f t="shared" si="13"/>
        <v>BIGINT</v>
      </c>
      <c r="J259" s="169" t="s">
        <v>0</v>
      </c>
      <c r="K259" s="169" t="s">
        <v>1</v>
      </c>
      <c r="L259" s="169">
        <v>30</v>
      </c>
      <c r="M259" s="168"/>
      <c r="N259" s="168"/>
      <c r="O259" s="168"/>
      <c r="P259" s="168"/>
      <c r="Q259" s="168" t="s">
        <v>0</v>
      </c>
      <c r="R259" s="168" t="s">
        <v>1</v>
      </c>
      <c r="S259" s="178" t="str">
        <f t="shared" ref="S259:S322" si="14">CONCATENATE(A259,C259)</f>
        <v>D_CP_GROUP_ORIG_STL1_BTHANNUAL_SALES_CURRENCY_ID</v>
      </c>
    </row>
    <row r="260" spans="1:19" ht="14.4" x14ac:dyDescent="0.3">
      <c r="A260" s="169" t="s">
        <v>1373</v>
      </c>
      <c r="B260" s="171" t="str">
        <f t="shared" si="12"/>
        <v>D_CP_GROUP_ORIG_STL1_BTH</v>
      </c>
      <c r="C260" s="169" t="s">
        <v>711</v>
      </c>
      <c r="D260" s="169">
        <v>1142</v>
      </c>
      <c r="E260" s="169">
        <v>3</v>
      </c>
      <c r="F260" s="169" t="s">
        <v>711</v>
      </c>
      <c r="G260" s="169" t="s">
        <v>711</v>
      </c>
      <c r="H260" s="169">
        <v>21</v>
      </c>
      <c r="I260" s="136" t="str">
        <f t="shared" si="13"/>
        <v>DECIMAL(19, 2)</v>
      </c>
      <c r="J260" s="169" t="s">
        <v>0</v>
      </c>
      <c r="K260" s="169" t="s">
        <v>1</v>
      </c>
      <c r="L260" s="169">
        <v>30</v>
      </c>
      <c r="M260" s="168"/>
      <c r="N260" s="168"/>
      <c r="O260" s="168"/>
      <c r="P260" s="168"/>
      <c r="Q260" s="168" t="s">
        <v>0</v>
      </c>
      <c r="R260" s="168" t="s">
        <v>1</v>
      </c>
      <c r="S260" s="178" t="str">
        <f t="shared" si="14"/>
        <v>D_CP_GROUP_ORIG_STL1_BTHANNUAL_SALES_RUB_AMT</v>
      </c>
    </row>
    <row r="261" spans="1:19" ht="14.4" x14ac:dyDescent="0.3">
      <c r="A261" s="169" t="s">
        <v>1373</v>
      </c>
      <c r="B261" s="171" t="str">
        <f t="shared" si="12"/>
        <v>D_CP_GROUP_ORIG_STL1_BTH</v>
      </c>
      <c r="C261" s="169" t="s">
        <v>523</v>
      </c>
      <c r="D261" s="169">
        <v>1143</v>
      </c>
      <c r="E261" s="169">
        <v>4</v>
      </c>
      <c r="F261" s="169" t="s">
        <v>523</v>
      </c>
      <c r="G261" s="169" t="s">
        <v>523</v>
      </c>
      <c r="H261" s="169">
        <v>7</v>
      </c>
      <c r="I261" s="136" t="str">
        <f t="shared" si="13"/>
        <v>BIGINT</v>
      </c>
      <c r="J261" s="169" t="s">
        <v>1</v>
      </c>
      <c r="K261" s="169" t="s">
        <v>0</v>
      </c>
      <c r="L261" s="169">
        <v>30</v>
      </c>
      <c r="M261" s="168"/>
      <c r="N261" s="168"/>
      <c r="O261" s="168"/>
      <c r="P261" s="168"/>
      <c r="Q261" s="168" t="s">
        <v>0</v>
      </c>
      <c r="R261" s="168" t="s">
        <v>1</v>
      </c>
      <c r="S261" s="178" t="str">
        <f t="shared" si="14"/>
        <v>D_CP_GROUP_ORIG_STL1_BTHCP_GROUP_ORIG_ID</v>
      </c>
    </row>
    <row r="262" spans="1:19" ht="14.4" x14ac:dyDescent="0.3">
      <c r="A262" s="169" t="s">
        <v>1373</v>
      </c>
      <c r="B262" s="171" t="str">
        <f t="shared" si="12"/>
        <v>D_CP_GROUP_ORIG_STL1_BTH</v>
      </c>
      <c r="C262" s="169" t="s">
        <v>1425</v>
      </c>
      <c r="D262" s="169">
        <v>1144</v>
      </c>
      <c r="E262" s="169">
        <v>5</v>
      </c>
      <c r="F262" s="169" t="s">
        <v>1425</v>
      </c>
      <c r="G262" s="169" t="s">
        <v>1425</v>
      </c>
      <c r="H262" s="169">
        <v>7</v>
      </c>
      <c r="I262" s="136" t="str">
        <f t="shared" si="13"/>
        <v>BIGINT</v>
      </c>
      <c r="J262" s="169" t="s">
        <v>1</v>
      </c>
      <c r="K262" s="169" t="s">
        <v>1</v>
      </c>
      <c r="L262" s="169">
        <v>30</v>
      </c>
      <c r="M262" s="168"/>
      <c r="N262" s="168"/>
      <c r="O262" s="168"/>
      <c r="P262" s="168"/>
      <c r="Q262" s="168" t="s">
        <v>0</v>
      </c>
      <c r="R262" s="168" t="s">
        <v>1</v>
      </c>
      <c r="S262" s="178" t="str">
        <f t="shared" si="14"/>
        <v>D_CP_GROUP_ORIG_STL1_BTHCP_GROUP_ORIG_STL1_SK</v>
      </c>
    </row>
    <row r="263" spans="1:19" ht="14.4" x14ac:dyDescent="0.3">
      <c r="A263" s="169" t="s">
        <v>1373</v>
      </c>
      <c r="B263" s="171" t="str">
        <f t="shared" si="12"/>
        <v>D_CP_GROUP_ORIG_STL1_BTH</v>
      </c>
      <c r="C263" s="169" t="s">
        <v>438</v>
      </c>
      <c r="D263" s="169">
        <v>1145</v>
      </c>
      <c r="E263" s="169">
        <v>6</v>
      </c>
      <c r="F263" s="169" t="s">
        <v>438</v>
      </c>
      <c r="G263" s="169" t="s">
        <v>438</v>
      </c>
      <c r="H263" s="169">
        <v>22</v>
      </c>
      <c r="I263" s="136" t="str">
        <f t="shared" si="13"/>
        <v>TIMESTAMP(6)</v>
      </c>
      <c r="J263" s="169" t="s">
        <v>1</v>
      </c>
      <c r="K263" s="169" t="s">
        <v>1</v>
      </c>
      <c r="L263" s="169">
        <v>30</v>
      </c>
      <c r="M263" s="168"/>
      <c r="N263" s="168"/>
      <c r="O263" s="168"/>
      <c r="P263" s="168"/>
      <c r="Q263" s="168" t="s">
        <v>0</v>
      </c>
      <c r="R263" s="168" t="s">
        <v>1</v>
      </c>
      <c r="S263" s="178" t="str">
        <f t="shared" si="14"/>
        <v>D_CP_GROUP_ORIG_STL1_BTHRECORD_CLOSE_TS</v>
      </c>
    </row>
    <row r="264" spans="1:19" ht="14.4" x14ac:dyDescent="0.3">
      <c r="A264" s="169" t="s">
        <v>1373</v>
      </c>
      <c r="B264" s="171" t="str">
        <f t="shared" si="12"/>
        <v>D_CP_GROUP_ORIG_STL1_BTH</v>
      </c>
      <c r="C264" s="169" t="s">
        <v>440</v>
      </c>
      <c r="D264" s="169">
        <v>1146</v>
      </c>
      <c r="E264" s="169">
        <v>7</v>
      </c>
      <c r="F264" s="169" t="s">
        <v>440</v>
      </c>
      <c r="G264" s="169" t="s">
        <v>440</v>
      </c>
      <c r="H264" s="169">
        <v>22</v>
      </c>
      <c r="I264" s="136" t="str">
        <f t="shared" si="13"/>
        <v>TIMESTAMP(6)</v>
      </c>
      <c r="J264" s="169" t="s">
        <v>1</v>
      </c>
      <c r="K264" s="169" t="s">
        <v>1</v>
      </c>
      <c r="L264" s="169">
        <v>30</v>
      </c>
      <c r="M264" s="168"/>
      <c r="N264" s="168"/>
      <c r="O264" s="168"/>
      <c r="P264" s="168"/>
      <c r="Q264" s="168" t="s">
        <v>0</v>
      </c>
      <c r="R264" s="168" t="s">
        <v>1</v>
      </c>
      <c r="S264" s="178" t="str">
        <f t="shared" si="14"/>
        <v>D_CP_GROUP_ORIG_STL1_BTHRECORD_CREATE_TS</v>
      </c>
    </row>
    <row r="265" spans="1:19" ht="14.4" x14ac:dyDescent="0.3">
      <c r="A265" s="169" t="s">
        <v>1373</v>
      </c>
      <c r="B265" s="171" t="str">
        <f t="shared" si="12"/>
        <v>D_CP_GROUP_ORIG_STL1_BTH</v>
      </c>
      <c r="C265" s="169" t="s">
        <v>429</v>
      </c>
      <c r="D265" s="169">
        <v>1147</v>
      </c>
      <c r="E265" s="169">
        <v>8</v>
      </c>
      <c r="F265" s="169" t="s">
        <v>429</v>
      </c>
      <c r="G265" s="169" t="s">
        <v>429</v>
      </c>
      <c r="H265" s="169">
        <v>22</v>
      </c>
      <c r="I265" s="136" t="str">
        <f t="shared" si="13"/>
        <v>TIMESTAMP(6)</v>
      </c>
      <c r="J265" s="169" t="s">
        <v>1</v>
      </c>
      <c r="K265" s="169" t="s">
        <v>1</v>
      </c>
      <c r="L265" s="169">
        <v>30</v>
      </c>
      <c r="M265" s="168"/>
      <c r="N265" s="168"/>
      <c r="O265" s="168"/>
      <c r="P265" s="168"/>
      <c r="Q265" s="168" t="s">
        <v>0</v>
      </c>
      <c r="R265" s="168" t="s">
        <v>1</v>
      </c>
      <c r="S265" s="178" t="str">
        <f t="shared" si="14"/>
        <v>D_CP_GROUP_ORIG_STL1_BTHRECORD_UPDATE_TS</v>
      </c>
    </row>
    <row r="266" spans="1:19" ht="14.4" x14ac:dyDescent="0.3">
      <c r="A266" s="169" t="s">
        <v>1373</v>
      </c>
      <c r="B266" s="171" t="str">
        <f t="shared" si="12"/>
        <v>D_CP_GROUP_ORIG_STL1_BTH</v>
      </c>
      <c r="C266" s="169" t="s">
        <v>498</v>
      </c>
      <c r="D266" s="169">
        <v>1148</v>
      </c>
      <c r="E266" s="169">
        <v>9</v>
      </c>
      <c r="F266" s="169" t="s">
        <v>498</v>
      </c>
      <c r="G266" s="169" t="s">
        <v>498</v>
      </c>
      <c r="H266" s="169">
        <v>7</v>
      </c>
      <c r="I266" s="136" t="str">
        <f t="shared" si="13"/>
        <v>BIGINT</v>
      </c>
      <c r="J266" s="169" t="s">
        <v>1</v>
      </c>
      <c r="K266" s="169" t="s">
        <v>1</v>
      </c>
      <c r="L266" s="169">
        <v>30</v>
      </c>
      <c r="M266" s="168"/>
      <c r="N266" s="168"/>
      <c r="O266" s="168"/>
      <c r="P266" s="168"/>
      <c r="Q266" s="168" t="s">
        <v>0</v>
      </c>
      <c r="R266" s="168" t="s">
        <v>1</v>
      </c>
      <c r="S266" s="178" t="str">
        <f t="shared" si="14"/>
        <v>D_CP_GROUP_ORIG_STL1_BTHRUN_ID</v>
      </c>
    </row>
    <row r="267" spans="1:19" ht="14.4" x14ac:dyDescent="0.3">
      <c r="A267" s="169" t="s">
        <v>1373</v>
      </c>
      <c r="B267" s="171" t="str">
        <f t="shared" si="12"/>
        <v>D_CP_GROUP_ORIG_STL1_BTH</v>
      </c>
      <c r="C267" s="169" t="s">
        <v>1391</v>
      </c>
      <c r="D267" s="169">
        <v>1149</v>
      </c>
      <c r="E267" s="169">
        <v>10</v>
      </c>
      <c r="F267" s="169" t="s">
        <v>1391</v>
      </c>
      <c r="G267" s="169" t="s">
        <v>1391</v>
      </c>
      <c r="H267" s="169">
        <v>21</v>
      </c>
      <c r="I267" s="136" t="str">
        <f t="shared" si="13"/>
        <v>DECIMAL(19, 2)</v>
      </c>
      <c r="J267" s="169" t="s">
        <v>0</v>
      </c>
      <c r="K267" s="169" t="s">
        <v>1</v>
      </c>
      <c r="L267" s="169">
        <v>30</v>
      </c>
      <c r="M267" s="168"/>
      <c r="N267" s="168"/>
      <c r="O267" s="168"/>
      <c r="P267" s="168"/>
      <c r="Q267" s="168" t="s">
        <v>0</v>
      </c>
      <c r="R267" s="168" t="s">
        <v>1</v>
      </c>
      <c r="S267" s="178" t="str">
        <f t="shared" si="14"/>
        <v>D_CP_GROUP_ORIG_STL1_BTHTOTAL_ASSETS_CCY_AMT</v>
      </c>
    </row>
    <row r="268" spans="1:19" ht="14.4" x14ac:dyDescent="0.3">
      <c r="A268" s="169" t="s">
        <v>1373</v>
      </c>
      <c r="B268" s="171" t="str">
        <f t="shared" si="12"/>
        <v>D_CP_GROUP_ORIG_STL1_BTH</v>
      </c>
      <c r="C268" s="169" t="s">
        <v>1382</v>
      </c>
      <c r="D268" s="169">
        <v>1150</v>
      </c>
      <c r="E268" s="169">
        <v>11</v>
      </c>
      <c r="F268" s="169" t="s">
        <v>1382</v>
      </c>
      <c r="G268" s="169" t="s">
        <v>1382</v>
      </c>
      <c r="H268" s="169">
        <v>7</v>
      </c>
      <c r="I268" s="136" t="str">
        <f t="shared" si="13"/>
        <v>BIGINT</v>
      </c>
      <c r="J268" s="169" t="s">
        <v>0</v>
      </c>
      <c r="K268" s="169" t="s">
        <v>1</v>
      </c>
      <c r="L268" s="169">
        <v>30</v>
      </c>
      <c r="M268" s="168"/>
      <c r="N268" s="168"/>
      <c r="O268" s="168"/>
      <c r="P268" s="168"/>
      <c r="Q268" s="168" t="s">
        <v>0</v>
      </c>
      <c r="R268" s="168" t="s">
        <v>1</v>
      </c>
      <c r="S268" s="178" t="str">
        <f t="shared" si="14"/>
        <v>D_CP_GROUP_ORIG_STL1_BTHTOTAL_ASSETS_CURRENCY_ID</v>
      </c>
    </row>
    <row r="269" spans="1:19" ht="14.4" x14ac:dyDescent="0.3">
      <c r="A269" s="169" t="s">
        <v>1373</v>
      </c>
      <c r="B269" s="171" t="str">
        <f t="shared" si="12"/>
        <v>D_CP_GROUP_ORIG_STL1_BTH</v>
      </c>
      <c r="C269" s="169" t="s">
        <v>715</v>
      </c>
      <c r="D269" s="169">
        <v>1151</v>
      </c>
      <c r="E269" s="169">
        <v>12</v>
      </c>
      <c r="F269" s="169" t="s">
        <v>715</v>
      </c>
      <c r="G269" s="169" t="s">
        <v>715</v>
      </c>
      <c r="H269" s="169">
        <v>21</v>
      </c>
      <c r="I269" s="136" t="str">
        <f t="shared" si="13"/>
        <v>DECIMAL(19, 2)</v>
      </c>
      <c r="J269" s="169" t="s">
        <v>0</v>
      </c>
      <c r="K269" s="169" t="s">
        <v>1</v>
      </c>
      <c r="L269" s="169">
        <v>30</v>
      </c>
      <c r="M269" s="168"/>
      <c r="N269" s="168"/>
      <c r="O269" s="168"/>
      <c r="P269" s="168"/>
      <c r="Q269" s="168" t="s">
        <v>0</v>
      </c>
      <c r="R269" s="168" t="s">
        <v>1</v>
      </c>
      <c r="S269" s="178" t="str">
        <f t="shared" si="14"/>
        <v>D_CP_GROUP_ORIG_STL1_BTHTOTAL_ASSETS_RUB_AMT</v>
      </c>
    </row>
    <row r="270" spans="1:19" ht="14.4" x14ac:dyDescent="0.3">
      <c r="A270" s="169" t="s">
        <v>1373</v>
      </c>
      <c r="B270" s="171" t="str">
        <f t="shared" si="12"/>
        <v>D_CP_GROUP_ORIG_STL1_BTH</v>
      </c>
      <c r="C270" s="169" t="s">
        <v>492</v>
      </c>
      <c r="D270" s="169">
        <v>1152</v>
      </c>
      <c r="E270" s="169">
        <v>13</v>
      </c>
      <c r="F270" s="169" t="s">
        <v>492</v>
      </c>
      <c r="G270" s="169" t="s">
        <v>492</v>
      </c>
      <c r="H270" s="169">
        <v>34</v>
      </c>
      <c r="I270" s="136" t="str">
        <f t="shared" si="13"/>
        <v>DATE</v>
      </c>
      <c r="J270" s="169" t="s">
        <v>1</v>
      </c>
      <c r="K270" s="169" t="s">
        <v>1</v>
      </c>
      <c r="L270" s="169">
        <v>30</v>
      </c>
      <c r="M270" s="168"/>
      <c r="N270" s="168"/>
      <c r="O270" s="168"/>
      <c r="P270" s="168"/>
      <c r="Q270" s="168" t="s">
        <v>0</v>
      </c>
      <c r="R270" s="168" t="s">
        <v>1</v>
      </c>
      <c r="S270" s="178" t="str">
        <f t="shared" si="14"/>
        <v>D_CP_GROUP_ORIG_STL1_BTHVALIDITY_DT</v>
      </c>
    </row>
    <row r="271" spans="1:19" ht="14.4" x14ac:dyDescent="0.3">
      <c r="A271" s="169" t="s">
        <v>401</v>
      </c>
      <c r="B271" s="171" t="str">
        <f t="shared" si="12"/>
        <v>Таблица-хаб контрагента</v>
      </c>
      <c r="C271" s="169" t="s">
        <v>581</v>
      </c>
      <c r="D271" s="169">
        <v>1153</v>
      </c>
      <c r="E271" s="169">
        <v>1</v>
      </c>
      <c r="F271" s="169" t="s">
        <v>581</v>
      </c>
      <c r="G271" s="169" t="s">
        <v>581</v>
      </c>
      <c r="H271" s="169">
        <v>7</v>
      </c>
      <c r="I271" s="136" t="str">
        <f t="shared" si="13"/>
        <v>BIGINT</v>
      </c>
      <c r="J271" s="169" t="s">
        <v>1</v>
      </c>
      <c r="K271" s="169" t="s">
        <v>0</v>
      </c>
      <c r="L271" s="169">
        <v>30</v>
      </c>
      <c r="M271" s="168"/>
      <c r="N271" s="168"/>
      <c r="O271" s="168"/>
      <c r="P271" s="168"/>
      <c r="Q271" s="168" t="s">
        <v>0</v>
      </c>
      <c r="R271" s="168" t="s">
        <v>1</v>
      </c>
      <c r="S271" s="178" t="str">
        <f t="shared" si="14"/>
        <v>D_CP_ORIGCP_ORIG_ID</v>
      </c>
    </row>
    <row r="272" spans="1:19" ht="14.4" x14ac:dyDescent="0.3">
      <c r="A272" s="169" t="s">
        <v>401</v>
      </c>
      <c r="B272" s="171" t="str">
        <f t="shared" si="12"/>
        <v>Таблица-хаб контрагента</v>
      </c>
      <c r="C272" s="169" t="s">
        <v>440</v>
      </c>
      <c r="D272" s="169">
        <v>1154</v>
      </c>
      <c r="E272" s="169">
        <v>2</v>
      </c>
      <c r="F272" s="169" t="s">
        <v>440</v>
      </c>
      <c r="G272" s="169" t="s">
        <v>440</v>
      </c>
      <c r="H272" s="169">
        <v>22</v>
      </c>
      <c r="I272" s="136" t="str">
        <f t="shared" si="13"/>
        <v>TIMESTAMP(6)</v>
      </c>
      <c r="J272" s="169" t="s">
        <v>1</v>
      </c>
      <c r="K272" s="169" t="s">
        <v>1</v>
      </c>
      <c r="L272" s="169">
        <v>30</v>
      </c>
      <c r="M272" s="168"/>
      <c r="N272" s="168"/>
      <c r="O272" s="168"/>
      <c r="P272" s="168"/>
      <c r="Q272" s="168" t="s">
        <v>0</v>
      </c>
      <c r="R272" s="168" t="s">
        <v>1</v>
      </c>
      <c r="S272" s="178" t="str">
        <f t="shared" si="14"/>
        <v>D_CP_ORIGRECORD_CREATE_TS</v>
      </c>
    </row>
    <row r="273" spans="1:19" ht="14.4" x14ac:dyDescent="0.3">
      <c r="A273" s="169" t="s">
        <v>401</v>
      </c>
      <c r="B273" s="171" t="str">
        <f t="shared" si="12"/>
        <v>Таблица-хаб контрагента</v>
      </c>
      <c r="C273" s="169" t="s">
        <v>429</v>
      </c>
      <c r="D273" s="169">
        <v>1155</v>
      </c>
      <c r="E273" s="169">
        <v>3</v>
      </c>
      <c r="F273" s="169" t="s">
        <v>429</v>
      </c>
      <c r="G273" s="169" t="s">
        <v>429</v>
      </c>
      <c r="H273" s="169">
        <v>22</v>
      </c>
      <c r="I273" s="136" t="str">
        <f t="shared" si="13"/>
        <v>TIMESTAMP(6)</v>
      </c>
      <c r="J273" s="169" t="s">
        <v>1</v>
      </c>
      <c r="K273" s="169" t="s">
        <v>1</v>
      </c>
      <c r="L273" s="169">
        <v>30</v>
      </c>
      <c r="M273" s="168"/>
      <c r="N273" s="168"/>
      <c r="O273" s="168"/>
      <c r="P273" s="168"/>
      <c r="Q273" s="168" t="s">
        <v>0</v>
      </c>
      <c r="R273" s="168" t="s">
        <v>1</v>
      </c>
      <c r="S273" s="178" t="str">
        <f t="shared" si="14"/>
        <v>D_CP_ORIGRECORD_UPDATE_TS</v>
      </c>
    </row>
    <row r="274" spans="1:19" ht="14.4" x14ac:dyDescent="0.3">
      <c r="A274" s="169" t="s">
        <v>401</v>
      </c>
      <c r="B274" s="171" t="str">
        <f t="shared" si="12"/>
        <v>Таблица-хаб контрагента</v>
      </c>
      <c r="C274" s="169" t="s">
        <v>498</v>
      </c>
      <c r="D274" s="169">
        <v>1156</v>
      </c>
      <c r="E274" s="169">
        <v>4</v>
      </c>
      <c r="F274" s="169" t="s">
        <v>498</v>
      </c>
      <c r="G274" s="169" t="s">
        <v>498</v>
      </c>
      <c r="H274" s="169">
        <v>7</v>
      </c>
      <c r="I274" s="136" t="str">
        <f t="shared" si="13"/>
        <v>BIGINT</v>
      </c>
      <c r="J274" s="169" t="s">
        <v>1</v>
      </c>
      <c r="K274" s="169" t="s">
        <v>1</v>
      </c>
      <c r="L274" s="169">
        <v>30</v>
      </c>
      <c r="M274" s="168"/>
      <c r="N274" s="168"/>
      <c r="O274" s="168"/>
      <c r="P274" s="168"/>
      <c r="Q274" s="168" t="s">
        <v>0</v>
      </c>
      <c r="R274" s="168" t="s">
        <v>1</v>
      </c>
      <c r="S274" s="178" t="str">
        <f t="shared" si="14"/>
        <v>D_CP_ORIGRUN_ID</v>
      </c>
    </row>
    <row r="275" spans="1:19" ht="14.4" x14ac:dyDescent="0.3">
      <c r="A275" s="169" t="s">
        <v>401</v>
      </c>
      <c r="B275" s="171" t="str">
        <f t="shared" si="12"/>
        <v>Таблица-хаб контрагента</v>
      </c>
      <c r="C275" s="169" t="s">
        <v>527</v>
      </c>
      <c r="D275" s="169">
        <v>1157</v>
      </c>
      <c r="E275" s="169">
        <v>5</v>
      </c>
      <c r="F275" s="169" t="s">
        <v>527</v>
      </c>
      <c r="G275" s="169" t="s">
        <v>527</v>
      </c>
      <c r="H275" s="169">
        <v>7</v>
      </c>
      <c r="I275" s="136" t="str">
        <f t="shared" si="13"/>
        <v>BIGINT</v>
      </c>
      <c r="J275" s="169" t="s">
        <v>1</v>
      </c>
      <c r="K275" s="169" t="s">
        <v>1</v>
      </c>
      <c r="L275" s="169">
        <v>30</v>
      </c>
      <c r="M275" s="168"/>
      <c r="N275" s="168"/>
      <c r="O275" s="168"/>
      <c r="P275" s="168"/>
      <c r="Q275" s="168" t="s">
        <v>0</v>
      </c>
      <c r="R275" s="168" t="s">
        <v>1</v>
      </c>
      <c r="S275" s="178" t="str">
        <f t="shared" si="14"/>
        <v>D_CP_ORIGSRC_SYS_ID</v>
      </c>
    </row>
    <row r="276" spans="1:19" ht="14.4" x14ac:dyDescent="0.3">
      <c r="A276" s="169" t="s">
        <v>401</v>
      </c>
      <c r="B276" s="171" t="str">
        <f t="shared" si="12"/>
        <v>Таблица-хаб контрагента</v>
      </c>
      <c r="C276" s="169" t="s">
        <v>525</v>
      </c>
      <c r="D276" s="169">
        <v>1158</v>
      </c>
      <c r="E276" s="169">
        <v>6</v>
      </c>
      <c r="F276" s="169" t="s">
        <v>525</v>
      </c>
      <c r="G276" s="169" t="s">
        <v>525</v>
      </c>
      <c r="H276" s="169">
        <v>24</v>
      </c>
      <c r="I276" s="136" t="str">
        <f t="shared" si="13"/>
        <v xml:space="preserve">VARCHAR(40) </v>
      </c>
      <c r="J276" s="169" t="s">
        <v>0</v>
      </c>
      <c r="K276" s="169" t="s">
        <v>1</v>
      </c>
      <c r="L276" s="169">
        <v>30</v>
      </c>
      <c r="M276" s="168"/>
      <c r="N276" s="168"/>
      <c r="O276" s="168"/>
      <c r="P276" s="168"/>
      <c r="Q276" s="168" t="s">
        <v>0</v>
      </c>
      <c r="R276" s="168" t="s">
        <v>1</v>
      </c>
      <c r="S276" s="178" t="str">
        <f t="shared" si="14"/>
        <v>D_CP_ORIGSRC_SYS_KEY</v>
      </c>
    </row>
    <row r="277" spans="1:19" ht="14.4" x14ac:dyDescent="0.3">
      <c r="A277" s="169" t="s">
        <v>401</v>
      </c>
      <c r="B277" s="171" t="str">
        <f t="shared" si="12"/>
        <v>Таблица-хаб контрагента</v>
      </c>
      <c r="C277" s="169" t="s">
        <v>535</v>
      </c>
      <c r="D277" s="169">
        <v>1159</v>
      </c>
      <c r="E277" s="169">
        <v>7</v>
      </c>
      <c r="F277" s="169" t="s">
        <v>535</v>
      </c>
      <c r="G277" s="169" t="s">
        <v>535</v>
      </c>
      <c r="H277" s="169">
        <v>7</v>
      </c>
      <c r="I277" s="136" t="str">
        <f t="shared" si="13"/>
        <v>BIGINT</v>
      </c>
      <c r="J277" s="169" t="s">
        <v>0</v>
      </c>
      <c r="K277" s="169" t="s">
        <v>1</v>
      </c>
      <c r="L277" s="169">
        <v>30</v>
      </c>
      <c r="M277" s="168"/>
      <c r="N277" s="168"/>
      <c r="O277" s="168"/>
      <c r="P277" s="168"/>
      <c r="Q277" s="168" t="s">
        <v>0</v>
      </c>
      <c r="R277" s="168" t="s">
        <v>1</v>
      </c>
      <c r="S277" s="178" t="str">
        <f t="shared" si="14"/>
        <v>D_CP_ORIGSRC_SYS_KEY_ID</v>
      </c>
    </row>
    <row r="278" spans="1:19" ht="14.4" x14ac:dyDescent="0.3">
      <c r="A278" s="169" t="s">
        <v>411</v>
      </c>
      <c r="B278" s="171" t="str">
        <f t="shared" si="12"/>
        <v>Контрагент оригинальный</v>
      </c>
      <c r="C278" s="169" t="s">
        <v>1449</v>
      </c>
      <c r="D278" s="169">
        <v>91</v>
      </c>
      <c r="E278" s="169">
        <v>1</v>
      </c>
      <c r="F278" s="169" t="s">
        <v>1449</v>
      </c>
      <c r="G278" s="169" t="s">
        <v>1449</v>
      </c>
      <c r="H278" s="169">
        <v>21</v>
      </c>
      <c r="I278" s="136" t="str">
        <f t="shared" si="13"/>
        <v>DECIMAL(19, 2)</v>
      </c>
      <c r="J278" s="169" t="s">
        <v>0</v>
      </c>
      <c r="K278" s="169" t="s">
        <v>1</v>
      </c>
      <c r="L278" s="169">
        <v>30</v>
      </c>
      <c r="M278" s="168"/>
      <c r="N278" s="168"/>
      <c r="O278" s="168"/>
      <c r="P278" s="168"/>
      <c r="Q278" s="168" t="s">
        <v>0</v>
      </c>
      <c r="R278" s="168" t="s">
        <v>1</v>
      </c>
      <c r="S278" s="178" t="str">
        <f t="shared" si="14"/>
        <v>D_CP_ORIG_BHANNUAL_SALES_CCY_AMT</v>
      </c>
    </row>
    <row r="279" spans="1:19" ht="14.4" x14ac:dyDescent="0.3">
      <c r="A279" s="169" t="s">
        <v>411</v>
      </c>
      <c r="B279" s="171" t="str">
        <f t="shared" si="12"/>
        <v>Контрагент оригинальный</v>
      </c>
      <c r="C279" s="169" t="s">
        <v>1471</v>
      </c>
      <c r="D279" s="169">
        <v>92</v>
      </c>
      <c r="E279" s="169">
        <v>2</v>
      </c>
      <c r="F279" s="169" t="s">
        <v>1471</v>
      </c>
      <c r="G279" s="169" t="s">
        <v>1471</v>
      </c>
      <c r="H279" s="169">
        <v>7</v>
      </c>
      <c r="I279" s="136" t="str">
        <f t="shared" si="13"/>
        <v>BIGINT</v>
      </c>
      <c r="J279" s="169" t="s">
        <v>0</v>
      </c>
      <c r="K279" s="169" t="s">
        <v>1</v>
      </c>
      <c r="L279" s="169">
        <v>30</v>
      </c>
      <c r="M279" s="168"/>
      <c r="N279" s="168"/>
      <c r="O279" s="168"/>
      <c r="P279" s="168"/>
      <c r="Q279" s="168" t="s">
        <v>0</v>
      </c>
      <c r="R279" s="168" t="s">
        <v>1</v>
      </c>
      <c r="S279" s="178" t="str">
        <f t="shared" si="14"/>
        <v>D_CP_ORIG_BHANNUAL_SALES_CURRENCY_ID</v>
      </c>
    </row>
    <row r="280" spans="1:19" ht="14.4" x14ac:dyDescent="0.3">
      <c r="A280" s="169" t="s">
        <v>411</v>
      </c>
      <c r="B280" s="171" t="str">
        <f t="shared" si="12"/>
        <v>Контрагент оригинальный</v>
      </c>
      <c r="C280" s="169" t="s">
        <v>1499</v>
      </c>
      <c r="D280" s="169">
        <v>93</v>
      </c>
      <c r="E280" s="169">
        <v>3</v>
      </c>
      <c r="F280" s="169" t="s">
        <v>1499</v>
      </c>
      <c r="G280" s="169" t="s">
        <v>1499</v>
      </c>
      <c r="H280" s="169">
        <v>34</v>
      </c>
      <c r="I280" s="136" t="str">
        <f t="shared" si="13"/>
        <v>DATE</v>
      </c>
      <c r="J280" s="169" t="s">
        <v>0</v>
      </c>
      <c r="K280" s="169" t="s">
        <v>1</v>
      </c>
      <c r="L280" s="169">
        <v>30</v>
      </c>
      <c r="M280" s="168"/>
      <c r="N280" s="168"/>
      <c r="O280" s="168"/>
      <c r="P280" s="168"/>
      <c r="Q280" s="168" t="s">
        <v>0</v>
      </c>
      <c r="R280" s="168" t="s">
        <v>1</v>
      </c>
      <c r="S280" s="178" t="str">
        <f t="shared" si="14"/>
        <v>D_CP_ORIG_BHANNUAL_SALES_RPT_DT</v>
      </c>
    </row>
    <row r="281" spans="1:19" ht="14.4" x14ac:dyDescent="0.3">
      <c r="A281" s="169" t="s">
        <v>411</v>
      </c>
      <c r="B281" s="171" t="str">
        <f t="shared" si="12"/>
        <v>Контрагент оригинальный</v>
      </c>
      <c r="C281" s="169" t="s">
        <v>743</v>
      </c>
      <c r="D281" s="169">
        <v>94</v>
      </c>
      <c r="E281" s="169">
        <v>4</v>
      </c>
      <c r="F281" s="169" t="s">
        <v>743</v>
      </c>
      <c r="G281" s="169" t="s">
        <v>743</v>
      </c>
      <c r="H281" s="169">
        <v>15</v>
      </c>
      <c r="I281" s="136" t="str">
        <f t="shared" si="13"/>
        <v xml:space="preserve">CHAR(1) </v>
      </c>
      <c r="J281" s="169" t="s">
        <v>0</v>
      </c>
      <c r="K281" s="169" t="s">
        <v>1</v>
      </c>
      <c r="L281" s="169">
        <v>30</v>
      </c>
      <c r="M281" s="168"/>
      <c r="N281" s="168"/>
      <c r="O281" s="168"/>
      <c r="P281" s="168"/>
      <c r="Q281" s="168" t="s">
        <v>0</v>
      </c>
      <c r="R281" s="168" t="s">
        <v>1</v>
      </c>
      <c r="S281" s="178" t="str">
        <f t="shared" si="14"/>
        <v>D_CP_ORIG_BHBASEL3_ADJ_IND</v>
      </c>
    </row>
    <row r="282" spans="1:19" ht="14.4" x14ac:dyDescent="0.3">
      <c r="A282" s="169" t="s">
        <v>411</v>
      </c>
      <c r="B282" s="171" t="str">
        <f t="shared" si="12"/>
        <v>Контрагент оригинальный</v>
      </c>
      <c r="C282" s="169" t="s">
        <v>717</v>
      </c>
      <c r="D282" s="169">
        <v>95</v>
      </c>
      <c r="E282" s="169">
        <v>5</v>
      </c>
      <c r="F282" s="169" t="s">
        <v>717</v>
      </c>
      <c r="G282" s="169" t="s">
        <v>717</v>
      </c>
      <c r="H282" s="169">
        <v>15</v>
      </c>
      <c r="I282" s="136" t="str">
        <f t="shared" si="13"/>
        <v xml:space="preserve">CHAR(1) </v>
      </c>
      <c r="J282" s="169" t="s">
        <v>0</v>
      </c>
      <c r="K282" s="169" t="s">
        <v>1</v>
      </c>
      <c r="L282" s="169">
        <v>30</v>
      </c>
      <c r="M282" s="168"/>
      <c r="N282" s="168"/>
      <c r="O282" s="168"/>
      <c r="P282" s="168"/>
      <c r="Q282" s="168" t="s">
        <v>0</v>
      </c>
      <c r="R282" s="168" t="s">
        <v>1</v>
      </c>
      <c r="S282" s="178" t="str">
        <f t="shared" si="14"/>
        <v>D_CP_ORIG_BHCBRF_IND</v>
      </c>
    </row>
    <row r="283" spans="1:19" ht="14.4" x14ac:dyDescent="0.3">
      <c r="A283" s="169" t="s">
        <v>411</v>
      </c>
      <c r="B283" s="171" t="str">
        <f t="shared" si="12"/>
        <v>Контрагент оригинальный</v>
      </c>
      <c r="C283" s="169" t="s">
        <v>718</v>
      </c>
      <c r="D283" s="169">
        <v>96</v>
      </c>
      <c r="E283" s="169">
        <v>6</v>
      </c>
      <c r="F283" s="169" t="s">
        <v>718</v>
      </c>
      <c r="G283" s="169" t="s">
        <v>718</v>
      </c>
      <c r="H283" s="169">
        <v>7</v>
      </c>
      <c r="I283" s="136" t="str">
        <f t="shared" si="13"/>
        <v>BIGINT</v>
      </c>
      <c r="J283" s="169" t="s">
        <v>0</v>
      </c>
      <c r="K283" s="169" t="s">
        <v>1</v>
      </c>
      <c r="L283" s="169">
        <v>30</v>
      </c>
      <c r="M283" s="168"/>
      <c r="N283" s="168"/>
      <c r="O283" s="168"/>
      <c r="P283" s="168"/>
      <c r="Q283" s="168" t="s">
        <v>0</v>
      </c>
      <c r="R283" s="168" t="s">
        <v>1</v>
      </c>
      <c r="S283" s="178" t="str">
        <f t="shared" si="14"/>
        <v>D_CP_ORIG_BHCOUNTRY_ID</v>
      </c>
    </row>
    <row r="284" spans="1:19" ht="14.4" x14ac:dyDescent="0.3">
      <c r="A284" s="169" t="s">
        <v>411</v>
      </c>
      <c r="B284" s="171" t="str">
        <f t="shared" si="12"/>
        <v>Контрагент оригинальный</v>
      </c>
      <c r="C284" s="169" t="s">
        <v>725</v>
      </c>
      <c r="D284" s="169">
        <v>97</v>
      </c>
      <c r="E284" s="169">
        <v>7</v>
      </c>
      <c r="F284" s="169" t="s">
        <v>725</v>
      </c>
      <c r="G284" s="169" t="s">
        <v>725</v>
      </c>
      <c r="H284" s="169">
        <v>7</v>
      </c>
      <c r="I284" s="136" t="str">
        <f t="shared" si="13"/>
        <v>BIGINT</v>
      </c>
      <c r="J284" s="169" t="s">
        <v>0</v>
      </c>
      <c r="K284" s="169" t="s">
        <v>1</v>
      </c>
      <c r="L284" s="169">
        <v>30</v>
      </c>
      <c r="M284" s="168"/>
      <c r="N284" s="168"/>
      <c r="O284" s="168"/>
      <c r="P284" s="168"/>
      <c r="Q284" s="168" t="s">
        <v>0</v>
      </c>
      <c r="R284" s="168" t="s">
        <v>1</v>
      </c>
      <c r="S284" s="178" t="str">
        <f t="shared" si="14"/>
        <v>D_CP_ORIG_BHCP_FIN_POS_ID</v>
      </c>
    </row>
    <row r="285" spans="1:19" ht="14.4" x14ac:dyDescent="0.3">
      <c r="A285" s="169" t="s">
        <v>411</v>
      </c>
      <c r="B285" s="171" t="str">
        <f t="shared" si="12"/>
        <v>Контрагент оригинальный</v>
      </c>
      <c r="C285" s="169" t="s">
        <v>523</v>
      </c>
      <c r="D285" s="169">
        <v>98</v>
      </c>
      <c r="E285" s="169">
        <v>8</v>
      </c>
      <c r="F285" s="169" t="s">
        <v>523</v>
      </c>
      <c r="G285" s="169" t="s">
        <v>523</v>
      </c>
      <c r="H285" s="169">
        <v>7</v>
      </c>
      <c r="I285" s="136" t="str">
        <f t="shared" si="13"/>
        <v>BIGINT</v>
      </c>
      <c r="J285" s="169" t="s">
        <v>0</v>
      </c>
      <c r="K285" s="169" t="s">
        <v>1</v>
      </c>
      <c r="L285" s="169">
        <v>30</v>
      </c>
      <c r="M285" s="168"/>
      <c r="N285" s="168"/>
      <c r="O285" s="168"/>
      <c r="P285" s="168"/>
      <c r="Q285" s="168" t="s">
        <v>0</v>
      </c>
      <c r="R285" s="168" t="s">
        <v>1</v>
      </c>
      <c r="S285" s="178" t="str">
        <f t="shared" si="14"/>
        <v>D_CP_ORIG_BHCP_GROUP_ORIG_ID</v>
      </c>
    </row>
    <row r="286" spans="1:19" ht="14.4" x14ac:dyDescent="0.3">
      <c r="A286" s="169" t="s">
        <v>411</v>
      </c>
      <c r="B286" s="171" t="str">
        <f t="shared" si="12"/>
        <v>Контрагент оригинальный</v>
      </c>
      <c r="C286" s="169" t="s">
        <v>728</v>
      </c>
      <c r="D286" s="169">
        <v>99</v>
      </c>
      <c r="E286" s="169">
        <v>9</v>
      </c>
      <c r="F286" s="169" t="s">
        <v>728</v>
      </c>
      <c r="G286" s="169" t="s">
        <v>728</v>
      </c>
      <c r="H286" s="169">
        <v>24</v>
      </c>
      <c r="I286" s="136" t="str">
        <f t="shared" si="13"/>
        <v xml:space="preserve">VARCHAR(40) </v>
      </c>
      <c r="J286" s="169" t="s">
        <v>0</v>
      </c>
      <c r="K286" s="169" t="s">
        <v>1</v>
      </c>
      <c r="L286" s="169">
        <v>30</v>
      </c>
      <c r="M286" s="168"/>
      <c r="N286" s="168"/>
      <c r="O286" s="168"/>
      <c r="P286" s="168"/>
      <c r="Q286" s="168" t="s">
        <v>0</v>
      </c>
      <c r="R286" s="168" t="s">
        <v>1</v>
      </c>
      <c r="S286" s="178" t="str">
        <f t="shared" si="14"/>
        <v>D_CP_ORIG_BHCP_ID_IN_CRM</v>
      </c>
    </row>
    <row r="287" spans="1:19" ht="14.4" x14ac:dyDescent="0.3">
      <c r="A287" s="169" t="s">
        <v>411</v>
      </c>
      <c r="B287" s="171" t="str">
        <f t="shared" si="12"/>
        <v>Контрагент оригинальный</v>
      </c>
      <c r="C287" s="169" t="s">
        <v>1445</v>
      </c>
      <c r="D287" s="169">
        <v>100</v>
      </c>
      <c r="E287" s="169">
        <v>10</v>
      </c>
      <c r="F287" s="169" t="s">
        <v>1445</v>
      </c>
      <c r="G287" s="169" t="s">
        <v>1445</v>
      </c>
      <c r="H287" s="169">
        <v>24</v>
      </c>
      <c r="I287" s="136" t="str">
        <f t="shared" si="13"/>
        <v xml:space="preserve">VARCHAR(40) </v>
      </c>
      <c r="J287" s="169" t="s">
        <v>0</v>
      </c>
      <c r="K287" s="169" t="s">
        <v>1</v>
      </c>
      <c r="L287" s="169">
        <v>30</v>
      </c>
      <c r="M287" s="168"/>
      <c r="N287" s="168"/>
      <c r="O287" s="168"/>
      <c r="P287" s="168"/>
      <c r="Q287" s="168" t="s">
        <v>0</v>
      </c>
      <c r="R287" s="168" t="s">
        <v>1</v>
      </c>
      <c r="S287" s="178" t="str">
        <f t="shared" si="14"/>
        <v>D_CP_ORIG_BHCP_INN</v>
      </c>
    </row>
    <row r="288" spans="1:19" ht="14.4" x14ac:dyDescent="0.3">
      <c r="A288" s="169" t="s">
        <v>411</v>
      </c>
      <c r="B288" s="171" t="str">
        <f t="shared" si="12"/>
        <v>Контрагент оригинальный</v>
      </c>
      <c r="C288" s="169" t="s">
        <v>730</v>
      </c>
      <c r="D288" s="169">
        <v>101</v>
      </c>
      <c r="E288" s="169">
        <v>11</v>
      </c>
      <c r="F288" s="169" t="s">
        <v>730</v>
      </c>
      <c r="G288" s="169" t="s">
        <v>730</v>
      </c>
      <c r="H288" s="169">
        <v>15</v>
      </c>
      <c r="I288" s="136" t="str">
        <f t="shared" si="13"/>
        <v xml:space="preserve">CHAR(1) </v>
      </c>
      <c r="J288" s="169" t="s">
        <v>0</v>
      </c>
      <c r="K288" s="169" t="s">
        <v>1</v>
      </c>
      <c r="L288" s="169">
        <v>30</v>
      </c>
      <c r="M288" s="168"/>
      <c r="N288" s="168"/>
      <c r="O288" s="168"/>
      <c r="P288" s="168"/>
      <c r="Q288" s="168" t="s">
        <v>0</v>
      </c>
      <c r="R288" s="168" t="s">
        <v>1</v>
      </c>
      <c r="S288" s="178" t="str">
        <f t="shared" si="14"/>
        <v>D_CP_ORIG_BHCP_INN_VALID_IND</v>
      </c>
    </row>
    <row r="289" spans="1:19" ht="14.4" x14ac:dyDescent="0.3">
      <c r="A289" s="169" t="s">
        <v>411</v>
      </c>
      <c r="B289" s="171" t="str">
        <f t="shared" si="12"/>
        <v>Контрагент оригинальный</v>
      </c>
      <c r="C289" s="169" t="s">
        <v>732</v>
      </c>
      <c r="D289" s="169">
        <v>102</v>
      </c>
      <c r="E289" s="169">
        <v>12</v>
      </c>
      <c r="F289" s="169" t="s">
        <v>732</v>
      </c>
      <c r="G289" s="169" t="s">
        <v>732</v>
      </c>
      <c r="H289" s="169">
        <v>24</v>
      </c>
      <c r="I289" s="136" t="str">
        <f t="shared" si="13"/>
        <v xml:space="preserve">VARCHAR(40) </v>
      </c>
      <c r="J289" s="169" t="s">
        <v>0</v>
      </c>
      <c r="K289" s="169" t="s">
        <v>1</v>
      </c>
      <c r="L289" s="169">
        <v>30</v>
      </c>
      <c r="M289" s="168"/>
      <c r="N289" s="168"/>
      <c r="O289" s="168"/>
      <c r="P289" s="168"/>
      <c r="Q289" s="168" t="s">
        <v>0</v>
      </c>
      <c r="R289" s="168" t="s">
        <v>1</v>
      </c>
      <c r="S289" s="178" t="str">
        <f t="shared" si="14"/>
        <v>D_CP_ORIG_BHCP_KPP</v>
      </c>
    </row>
    <row r="290" spans="1:19" ht="14.4" x14ac:dyDescent="0.3">
      <c r="A290" s="169" t="s">
        <v>411</v>
      </c>
      <c r="B290" s="171" t="str">
        <f t="shared" si="12"/>
        <v>Контрагент оригинальный</v>
      </c>
      <c r="C290" s="169" t="s">
        <v>738</v>
      </c>
      <c r="D290" s="169">
        <v>103</v>
      </c>
      <c r="E290" s="169">
        <v>13</v>
      </c>
      <c r="F290" s="169" t="s">
        <v>738</v>
      </c>
      <c r="G290" s="169" t="s">
        <v>738</v>
      </c>
      <c r="H290" s="169">
        <v>21</v>
      </c>
      <c r="I290" s="136" t="str">
        <f t="shared" si="13"/>
        <v>DECIMAL(19, 2)</v>
      </c>
      <c r="J290" s="169" t="s">
        <v>0</v>
      </c>
      <c r="K290" s="169" t="s">
        <v>1</v>
      </c>
      <c r="L290" s="169">
        <v>30</v>
      </c>
      <c r="M290" s="168"/>
      <c r="N290" s="168"/>
      <c r="O290" s="168"/>
      <c r="P290" s="168"/>
      <c r="Q290" s="168" t="s">
        <v>0</v>
      </c>
      <c r="R290" s="168" t="s">
        <v>1</v>
      </c>
      <c r="S290" s="178" t="str">
        <f t="shared" si="14"/>
        <v>D_CP_ORIG_BHCP_LIMIT_CCY_AMT</v>
      </c>
    </row>
    <row r="291" spans="1:19" ht="14.4" x14ac:dyDescent="0.3">
      <c r="A291" s="169" t="s">
        <v>411</v>
      </c>
      <c r="B291" s="171" t="str">
        <f t="shared" si="12"/>
        <v>Контрагент оригинальный</v>
      </c>
      <c r="C291" s="169" t="s">
        <v>721</v>
      </c>
      <c r="D291" s="169">
        <v>104</v>
      </c>
      <c r="E291" s="169">
        <v>14</v>
      </c>
      <c r="F291" s="169" t="s">
        <v>721</v>
      </c>
      <c r="G291" s="169" t="s">
        <v>721</v>
      </c>
      <c r="H291" s="169">
        <v>7</v>
      </c>
      <c r="I291" s="136" t="str">
        <f t="shared" si="13"/>
        <v>BIGINT</v>
      </c>
      <c r="J291" s="169" t="s">
        <v>0</v>
      </c>
      <c r="K291" s="169" t="s">
        <v>1</v>
      </c>
      <c r="L291" s="169">
        <v>30</v>
      </c>
      <c r="M291" s="168"/>
      <c r="N291" s="168"/>
      <c r="O291" s="168"/>
      <c r="P291" s="168"/>
      <c r="Q291" s="168" t="s">
        <v>0</v>
      </c>
      <c r="R291" s="168" t="s">
        <v>1</v>
      </c>
      <c r="S291" s="178" t="str">
        <f t="shared" si="14"/>
        <v>D_CP_ORIG_BHCP_LIMIT_CURRENCY_ID</v>
      </c>
    </row>
    <row r="292" spans="1:19" ht="14.4" x14ac:dyDescent="0.3">
      <c r="A292" s="169" t="s">
        <v>411</v>
      </c>
      <c r="B292" s="171" t="str">
        <f t="shared" si="12"/>
        <v>Контрагент оригинальный</v>
      </c>
      <c r="C292" s="169" t="s">
        <v>739</v>
      </c>
      <c r="D292" s="169">
        <v>105</v>
      </c>
      <c r="E292" s="169">
        <v>15</v>
      </c>
      <c r="F292" s="169" t="s">
        <v>739</v>
      </c>
      <c r="G292" s="169" t="s">
        <v>739</v>
      </c>
      <c r="H292" s="169">
        <v>34</v>
      </c>
      <c r="I292" s="136" t="str">
        <f t="shared" si="13"/>
        <v>DATE</v>
      </c>
      <c r="J292" s="169" t="s">
        <v>0</v>
      </c>
      <c r="K292" s="169" t="s">
        <v>1</v>
      </c>
      <c r="L292" s="169">
        <v>30</v>
      </c>
      <c r="M292" s="168"/>
      <c r="N292" s="168"/>
      <c r="O292" s="168"/>
      <c r="P292" s="168"/>
      <c r="Q292" s="168" t="s">
        <v>0</v>
      </c>
      <c r="R292" s="168" t="s">
        <v>1</v>
      </c>
      <c r="S292" s="178" t="str">
        <f t="shared" si="14"/>
        <v>D_CP_ORIG_BHCP_LIMIT_ESTABLISHED_DT</v>
      </c>
    </row>
    <row r="293" spans="1:19" ht="14.4" x14ac:dyDescent="0.3">
      <c r="A293" s="169" t="s">
        <v>411</v>
      </c>
      <c r="B293" s="171" t="str">
        <f t="shared" si="12"/>
        <v>Контрагент оригинальный</v>
      </c>
      <c r="C293" s="169" t="s">
        <v>740</v>
      </c>
      <c r="D293" s="169">
        <v>106</v>
      </c>
      <c r="E293" s="169">
        <v>16</v>
      </c>
      <c r="F293" s="169" t="s">
        <v>740</v>
      </c>
      <c r="G293" s="169" t="s">
        <v>740</v>
      </c>
      <c r="H293" s="169">
        <v>34</v>
      </c>
      <c r="I293" s="136" t="str">
        <f t="shared" si="13"/>
        <v>DATE</v>
      </c>
      <c r="J293" s="169" t="s">
        <v>0</v>
      </c>
      <c r="K293" s="169" t="s">
        <v>1</v>
      </c>
      <c r="L293" s="169">
        <v>30</v>
      </c>
      <c r="M293" s="168"/>
      <c r="N293" s="168"/>
      <c r="O293" s="168"/>
      <c r="P293" s="168"/>
      <c r="Q293" s="168" t="s">
        <v>0</v>
      </c>
      <c r="R293" s="168" t="s">
        <v>1</v>
      </c>
      <c r="S293" s="178" t="str">
        <f t="shared" si="14"/>
        <v>D_CP_ORIG_BHCP_LIMIT_EXPIRATION_DT</v>
      </c>
    </row>
    <row r="294" spans="1:19" ht="14.4" x14ac:dyDescent="0.3">
      <c r="A294" s="169" t="s">
        <v>411</v>
      </c>
      <c r="B294" s="171" t="str">
        <f t="shared" si="12"/>
        <v>Контрагент оригинальный</v>
      </c>
      <c r="C294" s="169" t="s">
        <v>712</v>
      </c>
      <c r="D294" s="169">
        <v>107</v>
      </c>
      <c r="E294" s="169">
        <v>17</v>
      </c>
      <c r="F294" s="169" t="s">
        <v>712</v>
      </c>
      <c r="G294" s="169" t="s">
        <v>712</v>
      </c>
      <c r="H294" s="169">
        <v>24</v>
      </c>
      <c r="I294" s="136" t="str">
        <f t="shared" si="13"/>
        <v xml:space="preserve">VARCHAR(40) </v>
      </c>
      <c r="J294" s="169" t="s">
        <v>0</v>
      </c>
      <c r="K294" s="169" t="s">
        <v>1</v>
      </c>
      <c r="L294" s="169">
        <v>30</v>
      </c>
      <c r="M294" s="168"/>
      <c r="N294" s="168"/>
      <c r="O294" s="168"/>
      <c r="P294" s="168"/>
      <c r="Q294" s="168" t="s">
        <v>0</v>
      </c>
      <c r="R294" s="168" t="s">
        <v>1</v>
      </c>
      <c r="S294" s="178" t="str">
        <f t="shared" si="14"/>
        <v>D_CP_ORIG_BHCP_MIXED_ID</v>
      </c>
    </row>
    <row r="295" spans="1:19" ht="14.4" x14ac:dyDescent="0.3">
      <c r="A295" s="169" t="s">
        <v>411</v>
      </c>
      <c r="B295" s="171" t="str">
        <f t="shared" si="12"/>
        <v>Контрагент оригинальный</v>
      </c>
      <c r="C295" s="169" t="s">
        <v>713</v>
      </c>
      <c r="D295" s="169">
        <v>2048</v>
      </c>
      <c r="E295" s="169">
        <v>18</v>
      </c>
      <c r="F295" s="169" t="s">
        <v>713</v>
      </c>
      <c r="G295" s="169" t="s">
        <v>713</v>
      </c>
      <c r="H295" s="169">
        <v>13</v>
      </c>
      <c r="I295" s="136" t="str">
        <f t="shared" si="13"/>
        <v xml:space="preserve">VARCHAR(300) </v>
      </c>
      <c r="J295" s="169" t="s">
        <v>0</v>
      </c>
      <c r="K295" s="169" t="s">
        <v>1</v>
      </c>
      <c r="L295" s="169">
        <v>30</v>
      </c>
      <c r="M295" s="168"/>
      <c r="N295" s="168"/>
      <c r="O295" s="168"/>
      <c r="P295" s="168"/>
      <c r="Q295" s="168" t="s">
        <v>0</v>
      </c>
      <c r="R295" s="168" t="s">
        <v>1</v>
      </c>
      <c r="S295" s="178" t="str">
        <f t="shared" si="14"/>
        <v>D_CP_ORIG_BHCP_NM</v>
      </c>
    </row>
    <row r="296" spans="1:19" ht="14.4" x14ac:dyDescent="0.3">
      <c r="A296" s="169" t="s">
        <v>411</v>
      </c>
      <c r="B296" s="171" t="str">
        <f t="shared" si="12"/>
        <v>Контрагент оригинальный</v>
      </c>
      <c r="C296" s="169" t="s">
        <v>581</v>
      </c>
      <c r="D296" s="169">
        <v>108</v>
      </c>
      <c r="E296" s="169">
        <v>19</v>
      </c>
      <c r="F296" s="169" t="s">
        <v>581</v>
      </c>
      <c r="G296" s="169" t="s">
        <v>581</v>
      </c>
      <c r="H296" s="169">
        <v>7</v>
      </c>
      <c r="I296" s="136" t="str">
        <f t="shared" si="13"/>
        <v>BIGINT</v>
      </c>
      <c r="J296" s="169" t="s">
        <v>1</v>
      </c>
      <c r="K296" s="169" t="s">
        <v>0</v>
      </c>
      <c r="L296" s="169">
        <v>30</v>
      </c>
      <c r="M296" s="168"/>
      <c r="N296" s="168"/>
      <c r="O296" s="168"/>
      <c r="P296" s="168"/>
      <c r="Q296" s="168" t="s">
        <v>0</v>
      </c>
      <c r="R296" s="168" t="s">
        <v>1</v>
      </c>
      <c r="S296" s="178" t="str">
        <f t="shared" si="14"/>
        <v>D_CP_ORIG_BHCP_ORIG_ID</v>
      </c>
    </row>
    <row r="297" spans="1:19" ht="14.4" x14ac:dyDescent="0.3">
      <c r="A297" s="169" t="s">
        <v>411</v>
      </c>
      <c r="B297" s="171" t="str">
        <f t="shared" si="12"/>
        <v>Контрагент оригинальный</v>
      </c>
      <c r="C297" s="169" t="s">
        <v>1517</v>
      </c>
      <c r="D297" s="169">
        <v>109</v>
      </c>
      <c r="E297" s="169">
        <v>20</v>
      </c>
      <c r="F297" s="169" t="s">
        <v>1517</v>
      </c>
      <c r="G297" s="169" t="s">
        <v>1517</v>
      </c>
      <c r="H297" s="169">
        <v>3</v>
      </c>
      <c r="I297" s="136" t="str">
        <f t="shared" si="13"/>
        <v>DECIMAL(20, 6)</v>
      </c>
      <c r="J297" s="169" t="s">
        <v>0</v>
      </c>
      <c r="K297" s="169" t="s">
        <v>1</v>
      </c>
      <c r="L297" s="169">
        <v>30</v>
      </c>
      <c r="M297" s="168"/>
      <c r="N297" s="168"/>
      <c r="O297" s="168"/>
      <c r="P297" s="168"/>
      <c r="Q297" s="168" t="s">
        <v>0</v>
      </c>
      <c r="R297" s="168" t="s">
        <v>1</v>
      </c>
      <c r="S297" s="178" t="str">
        <f t="shared" si="14"/>
        <v>D_CP_ORIG_BHCP_PF_RATIO</v>
      </c>
    </row>
    <row r="298" spans="1:19" ht="14.4" x14ac:dyDescent="0.3">
      <c r="A298" s="169" t="s">
        <v>411</v>
      </c>
      <c r="B298" s="171" t="str">
        <f t="shared" si="12"/>
        <v>Контрагент оригинальный</v>
      </c>
      <c r="C298" s="169" t="s">
        <v>723</v>
      </c>
      <c r="D298" s="169">
        <v>110</v>
      </c>
      <c r="E298" s="169">
        <v>21</v>
      </c>
      <c r="F298" s="169" t="s">
        <v>723</v>
      </c>
      <c r="G298" s="169" t="s">
        <v>723</v>
      </c>
      <c r="H298" s="169">
        <v>7</v>
      </c>
      <c r="I298" s="136" t="str">
        <f t="shared" si="13"/>
        <v>BIGINT</v>
      </c>
      <c r="J298" s="169" t="s">
        <v>0</v>
      </c>
      <c r="K298" s="169" t="s">
        <v>1</v>
      </c>
      <c r="L298" s="169">
        <v>30</v>
      </c>
      <c r="M298" s="168"/>
      <c r="N298" s="168"/>
      <c r="O298" s="168"/>
      <c r="P298" s="168"/>
      <c r="Q298" s="168" t="s">
        <v>0</v>
      </c>
      <c r="R298" s="168" t="s">
        <v>1</v>
      </c>
      <c r="S298" s="178" t="str">
        <f t="shared" si="14"/>
        <v>D_CP_ORIG_BHCP_RELATION_TYPE_ID</v>
      </c>
    </row>
    <row r="299" spans="1:19" ht="14.4" x14ac:dyDescent="0.3">
      <c r="A299" s="169" t="s">
        <v>411</v>
      </c>
      <c r="B299" s="171" t="str">
        <f t="shared" si="12"/>
        <v>Контрагент оригинальный</v>
      </c>
      <c r="C299" s="169" t="s">
        <v>470</v>
      </c>
      <c r="D299" s="169">
        <v>111</v>
      </c>
      <c r="E299" s="169">
        <v>22</v>
      </c>
      <c r="F299" s="169" t="s">
        <v>470</v>
      </c>
      <c r="G299" s="169" t="s">
        <v>470</v>
      </c>
      <c r="H299" s="169">
        <v>7</v>
      </c>
      <c r="I299" s="136" t="str">
        <f t="shared" si="13"/>
        <v>BIGINT</v>
      </c>
      <c r="J299" s="169" t="s">
        <v>0</v>
      </c>
      <c r="K299" s="169" t="s">
        <v>1</v>
      </c>
      <c r="L299" s="169">
        <v>30</v>
      </c>
      <c r="M299" s="168"/>
      <c r="N299" s="168"/>
      <c r="O299" s="168"/>
      <c r="P299" s="168"/>
      <c r="Q299" s="168" t="s">
        <v>0</v>
      </c>
      <c r="R299" s="168" t="s">
        <v>1</v>
      </c>
      <c r="S299" s="178" t="str">
        <f t="shared" si="14"/>
        <v>D_CP_ORIG_BHCP_TYPE_ID</v>
      </c>
    </row>
    <row r="300" spans="1:19" ht="14.4" x14ac:dyDescent="0.3">
      <c r="A300" s="169" t="s">
        <v>411</v>
      </c>
      <c r="B300" s="171" t="str">
        <f t="shared" si="12"/>
        <v>Контрагент оригинальный</v>
      </c>
      <c r="C300" s="169" t="s">
        <v>1494</v>
      </c>
      <c r="D300" s="169">
        <v>112</v>
      </c>
      <c r="E300" s="169">
        <v>23</v>
      </c>
      <c r="F300" s="169" t="s">
        <v>1494</v>
      </c>
      <c r="G300" s="169" t="s">
        <v>1494</v>
      </c>
      <c r="H300" s="169">
        <v>7</v>
      </c>
      <c r="I300" s="136" t="str">
        <f t="shared" si="13"/>
        <v>BIGINT</v>
      </c>
      <c r="J300" s="169" t="s">
        <v>0</v>
      </c>
      <c r="K300" s="169" t="s">
        <v>1</v>
      </c>
      <c r="L300" s="169">
        <v>30</v>
      </c>
      <c r="M300" s="168"/>
      <c r="N300" s="168"/>
      <c r="O300" s="168"/>
      <c r="P300" s="168"/>
      <c r="Q300" s="168" t="s">
        <v>0</v>
      </c>
      <c r="R300" s="168" t="s">
        <v>1</v>
      </c>
      <c r="S300" s="178" t="str">
        <f t="shared" si="14"/>
        <v>D_CP_ORIG_BHCRM_CARD_TYPE_ID</v>
      </c>
    </row>
    <row r="301" spans="1:19" ht="14.4" x14ac:dyDescent="0.3">
      <c r="A301" s="169" t="s">
        <v>411</v>
      </c>
      <c r="B301" s="171" t="str">
        <f t="shared" si="12"/>
        <v>Контрагент оригинальный</v>
      </c>
      <c r="C301" s="169" t="s">
        <v>1465</v>
      </c>
      <c r="D301" s="169">
        <v>113</v>
      </c>
      <c r="E301" s="169">
        <v>24</v>
      </c>
      <c r="F301" s="169" t="s">
        <v>1465</v>
      </c>
      <c r="G301" s="169" t="s">
        <v>1465</v>
      </c>
      <c r="H301" s="169">
        <v>7</v>
      </c>
      <c r="I301" s="136" t="str">
        <f t="shared" si="13"/>
        <v>BIGINT</v>
      </c>
      <c r="J301" s="169" t="s">
        <v>0</v>
      </c>
      <c r="K301" s="169" t="s">
        <v>1</v>
      </c>
      <c r="L301" s="169">
        <v>30</v>
      </c>
      <c r="M301" s="168"/>
      <c r="N301" s="168"/>
      <c r="O301" s="168"/>
      <c r="P301" s="168"/>
      <c r="Q301" s="168" t="s">
        <v>0</v>
      </c>
      <c r="R301" s="168" t="s">
        <v>1</v>
      </c>
      <c r="S301" s="178" t="str">
        <f t="shared" si="14"/>
        <v>D_CP_ORIG_BHCRM_INDUSTRY_ID</v>
      </c>
    </row>
    <row r="302" spans="1:19" ht="14.4" x14ac:dyDescent="0.3">
      <c r="A302" s="169" t="s">
        <v>411</v>
      </c>
      <c r="B302" s="171" t="str">
        <f t="shared" si="12"/>
        <v>Контрагент оригинальный</v>
      </c>
      <c r="C302" s="169" t="s">
        <v>748</v>
      </c>
      <c r="D302" s="169">
        <v>114</v>
      </c>
      <c r="E302" s="169">
        <v>25</v>
      </c>
      <c r="F302" s="169" t="s">
        <v>748</v>
      </c>
      <c r="G302" s="169" t="s">
        <v>748</v>
      </c>
      <c r="H302" s="169">
        <v>13</v>
      </c>
      <c r="I302" s="136" t="str">
        <f t="shared" si="13"/>
        <v xml:space="preserve">VARCHAR(300) </v>
      </c>
      <c r="J302" s="169" t="s">
        <v>0</v>
      </c>
      <c r="K302" s="169" t="s">
        <v>1</v>
      </c>
      <c r="L302" s="169">
        <v>30</v>
      </c>
      <c r="M302" s="168"/>
      <c r="N302" s="168"/>
      <c r="O302" s="168"/>
      <c r="P302" s="168"/>
      <c r="Q302" s="168" t="s">
        <v>0</v>
      </c>
      <c r="R302" s="168" t="s">
        <v>1</v>
      </c>
      <c r="S302" s="178" t="str">
        <f t="shared" si="14"/>
        <v>D_CP_ORIG_BHCRM_SEGMENT_NM</v>
      </c>
    </row>
    <row r="303" spans="1:19" ht="14.4" x14ac:dyDescent="0.3">
      <c r="A303" s="169" t="s">
        <v>411</v>
      </c>
      <c r="B303" s="171" t="str">
        <f t="shared" si="12"/>
        <v>Контрагент оригинальный</v>
      </c>
      <c r="C303" s="169" t="s">
        <v>569</v>
      </c>
      <c r="D303" s="169">
        <v>115</v>
      </c>
      <c r="E303" s="169">
        <v>26</v>
      </c>
      <c r="F303" s="169" t="s">
        <v>569</v>
      </c>
      <c r="G303" s="169" t="s">
        <v>569</v>
      </c>
      <c r="H303" s="169">
        <v>7</v>
      </c>
      <c r="I303" s="136" t="str">
        <f t="shared" si="13"/>
        <v>BIGINT</v>
      </c>
      <c r="J303" s="169" t="s">
        <v>0</v>
      </c>
      <c r="K303" s="169" t="s">
        <v>1</v>
      </c>
      <c r="L303" s="169">
        <v>30</v>
      </c>
      <c r="M303" s="168"/>
      <c r="N303" s="168"/>
      <c r="O303" s="168"/>
      <c r="P303" s="168"/>
      <c r="Q303" s="168" t="s">
        <v>0</v>
      </c>
      <c r="R303" s="168" t="s">
        <v>1</v>
      </c>
      <c r="S303" s="178" t="str">
        <f t="shared" si="14"/>
        <v>D_CP_ORIG_BHECAP_INDUSTRY_ID</v>
      </c>
    </row>
    <row r="304" spans="1:19" ht="14.4" x14ac:dyDescent="0.3">
      <c r="A304" s="169" t="s">
        <v>411</v>
      </c>
      <c r="B304" s="171" t="str">
        <f t="shared" si="12"/>
        <v>Контрагент оригинальный</v>
      </c>
      <c r="C304" s="169" t="s">
        <v>473</v>
      </c>
      <c r="D304" s="169">
        <v>116</v>
      </c>
      <c r="E304" s="169">
        <v>27</v>
      </c>
      <c r="F304" s="169" t="s">
        <v>473</v>
      </c>
      <c r="G304" s="169" t="s">
        <v>473</v>
      </c>
      <c r="H304" s="169">
        <v>7</v>
      </c>
      <c r="I304" s="136" t="str">
        <f t="shared" si="13"/>
        <v>BIGINT</v>
      </c>
      <c r="J304" s="169" t="s">
        <v>0</v>
      </c>
      <c r="K304" s="169" t="s">
        <v>1</v>
      </c>
      <c r="L304" s="169">
        <v>30</v>
      </c>
      <c r="M304" s="168"/>
      <c r="N304" s="168"/>
      <c r="O304" s="168"/>
      <c r="P304" s="168"/>
      <c r="Q304" s="168" t="s">
        <v>0</v>
      </c>
      <c r="R304" s="168" t="s">
        <v>1</v>
      </c>
      <c r="S304" s="178" t="str">
        <f t="shared" si="14"/>
        <v>D_CP_ORIG_BHECAP_PARAM_INDUSTRY_ID</v>
      </c>
    </row>
    <row r="305" spans="1:19" ht="14.4" x14ac:dyDescent="0.3">
      <c r="A305" s="169" t="s">
        <v>411</v>
      </c>
      <c r="B305" s="171" t="str">
        <f t="shared" si="12"/>
        <v>Контрагент оригинальный</v>
      </c>
      <c r="C305" s="169" t="s">
        <v>515</v>
      </c>
      <c r="D305" s="169">
        <v>117</v>
      </c>
      <c r="E305" s="169">
        <v>28</v>
      </c>
      <c r="F305" s="169" t="s">
        <v>515</v>
      </c>
      <c r="G305" s="169" t="s">
        <v>515</v>
      </c>
      <c r="H305" s="169">
        <v>7</v>
      </c>
      <c r="I305" s="136" t="str">
        <f t="shared" si="13"/>
        <v>BIGINT</v>
      </c>
      <c r="J305" s="169" t="s">
        <v>0</v>
      </c>
      <c r="K305" s="169" t="s">
        <v>1</v>
      </c>
      <c r="L305" s="169">
        <v>30</v>
      </c>
      <c r="M305" s="168"/>
      <c r="N305" s="168"/>
      <c r="O305" s="168"/>
      <c r="P305" s="168"/>
      <c r="Q305" s="168" t="s">
        <v>0</v>
      </c>
      <c r="R305" s="168" t="s">
        <v>1</v>
      </c>
      <c r="S305" s="178" t="str">
        <f t="shared" si="14"/>
        <v>D_CP_ORIG_BHECAP_SEGMENT_ID</v>
      </c>
    </row>
    <row r="306" spans="1:19" ht="14.4" x14ac:dyDescent="0.3">
      <c r="A306" s="169" t="s">
        <v>411</v>
      </c>
      <c r="B306" s="171" t="str">
        <f t="shared" si="12"/>
        <v>Контрагент оригинальный</v>
      </c>
      <c r="C306" s="169" t="s">
        <v>726</v>
      </c>
      <c r="D306" s="169">
        <v>118</v>
      </c>
      <c r="E306" s="169">
        <v>29</v>
      </c>
      <c r="F306" s="169" t="s">
        <v>726</v>
      </c>
      <c r="G306" s="169" t="s">
        <v>726</v>
      </c>
      <c r="H306" s="169">
        <v>13</v>
      </c>
      <c r="I306" s="136" t="str">
        <f t="shared" si="13"/>
        <v xml:space="preserve">VARCHAR(300) </v>
      </c>
      <c r="J306" s="169" t="s">
        <v>0</v>
      </c>
      <c r="K306" s="169" t="s">
        <v>1</v>
      </c>
      <c r="L306" s="169">
        <v>30</v>
      </c>
      <c r="M306" s="168"/>
      <c r="N306" s="168"/>
      <c r="O306" s="168"/>
      <c r="P306" s="168"/>
      <c r="Q306" s="168" t="s">
        <v>0</v>
      </c>
      <c r="R306" s="168" t="s">
        <v>1</v>
      </c>
      <c r="S306" s="178" t="str">
        <f t="shared" si="14"/>
        <v>D_CP_ORIG_BHEFF_CITY</v>
      </c>
    </row>
    <row r="307" spans="1:19" ht="14.4" x14ac:dyDescent="0.3">
      <c r="A307" s="169" t="s">
        <v>411</v>
      </c>
      <c r="B307" s="171" t="str">
        <f t="shared" si="12"/>
        <v>Контрагент оригинальный</v>
      </c>
      <c r="C307" s="169" t="s">
        <v>720</v>
      </c>
      <c r="D307" s="169">
        <v>119</v>
      </c>
      <c r="E307" s="169">
        <v>30</v>
      </c>
      <c r="F307" s="169" t="s">
        <v>720</v>
      </c>
      <c r="G307" s="169" t="s">
        <v>720</v>
      </c>
      <c r="H307" s="169">
        <v>7</v>
      </c>
      <c r="I307" s="136" t="str">
        <f t="shared" si="13"/>
        <v>BIGINT</v>
      </c>
      <c r="J307" s="169" t="s">
        <v>0</v>
      </c>
      <c r="K307" s="169" t="s">
        <v>1</v>
      </c>
      <c r="L307" s="169">
        <v>30</v>
      </c>
      <c r="M307" s="168"/>
      <c r="N307" s="168"/>
      <c r="O307" s="168"/>
      <c r="P307" s="168"/>
      <c r="Q307" s="168" t="s">
        <v>0</v>
      </c>
      <c r="R307" s="168" t="s">
        <v>1</v>
      </c>
      <c r="S307" s="178" t="str">
        <f t="shared" si="14"/>
        <v>D_CP_ORIG_BHEFF_COUNTRY_ID</v>
      </c>
    </row>
    <row r="308" spans="1:19" ht="14.4" x14ac:dyDescent="0.3">
      <c r="A308" s="169" t="s">
        <v>411</v>
      </c>
      <c r="B308" s="171" t="str">
        <f t="shared" si="12"/>
        <v>Контрагент оригинальный</v>
      </c>
      <c r="C308" s="169" t="s">
        <v>1421</v>
      </c>
      <c r="D308" s="169">
        <v>120</v>
      </c>
      <c r="E308" s="169">
        <v>31</v>
      </c>
      <c r="F308" s="169" t="s">
        <v>1421</v>
      </c>
      <c r="G308" s="169" t="s">
        <v>1421</v>
      </c>
      <c r="H308" s="169">
        <v>27</v>
      </c>
      <c r="I308" s="136" t="str">
        <f t="shared" si="13"/>
        <v>INTEGER</v>
      </c>
      <c r="J308" s="169" t="s">
        <v>0</v>
      </c>
      <c r="K308" s="169" t="s">
        <v>1</v>
      </c>
      <c r="L308" s="169">
        <v>30</v>
      </c>
      <c r="M308" s="168"/>
      <c r="N308" s="168"/>
      <c r="O308" s="168"/>
      <c r="P308" s="168"/>
      <c r="Q308" s="168" t="s">
        <v>0</v>
      </c>
      <c r="R308" s="168" t="s">
        <v>1</v>
      </c>
      <c r="S308" s="178" t="str">
        <f t="shared" si="14"/>
        <v>D_CP_ORIG_BHEMPLOYEES_CNT</v>
      </c>
    </row>
    <row r="309" spans="1:19" ht="14.4" x14ac:dyDescent="0.3">
      <c r="A309" s="169" t="s">
        <v>411</v>
      </c>
      <c r="B309" s="171" t="str">
        <f t="shared" si="12"/>
        <v>Контрагент оригинальный</v>
      </c>
      <c r="C309" s="169" t="s">
        <v>1386</v>
      </c>
      <c r="D309" s="169">
        <v>121</v>
      </c>
      <c r="E309" s="169">
        <v>32</v>
      </c>
      <c r="F309" s="169" t="s">
        <v>1386</v>
      </c>
      <c r="G309" s="169" t="s">
        <v>1386</v>
      </c>
      <c r="H309" s="169">
        <v>7</v>
      </c>
      <c r="I309" s="136" t="str">
        <f t="shared" si="13"/>
        <v>BIGINT</v>
      </c>
      <c r="J309" s="169" t="s">
        <v>0</v>
      </c>
      <c r="K309" s="169" t="s">
        <v>1</v>
      </c>
      <c r="L309" s="169">
        <v>30</v>
      </c>
      <c r="M309" s="168"/>
      <c r="N309" s="168"/>
      <c r="O309" s="168"/>
      <c r="P309" s="168"/>
      <c r="Q309" s="168" t="s">
        <v>0</v>
      </c>
      <c r="R309" s="168" t="s">
        <v>1</v>
      </c>
      <c r="S309" s="178" t="str">
        <f t="shared" si="14"/>
        <v>D_CP_ORIG_BHERM_CP_SEGMENT_ID</v>
      </c>
    </row>
    <row r="310" spans="1:19" ht="14.4" x14ac:dyDescent="0.3">
      <c r="A310" s="169" t="s">
        <v>411</v>
      </c>
      <c r="B310" s="171" t="str">
        <f t="shared" si="12"/>
        <v>Контрагент оригинальный</v>
      </c>
      <c r="C310" s="169" t="s">
        <v>1422</v>
      </c>
      <c r="D310" s="169">
        <v>122</v>
      </c>
      <c r="E310" s="169">
        <v>33</v>
      </c>
      <c r="F310" s="169" t="s">
        <v>1422</v>
      </c>
      <c r="G310" s="169" t="s">
        <v>1422</v>
      </c>
      <c r="H310" s="169">
        <v>24</v>
      </c>
      <c r="I310" s="136" t="str">
        <f t="shared" si="13"/>
        <v xml:space="preserve">VARCHAR(40) </v>
      </c>
      <c r="J310" s="169" t="s">
        <v>0</v>
      </c>
      <c r="K310" s="169" t="s">
        <v>1</v>
      </c>
      <c r="L310" s="169">
        <v>30</v>
      </c>
      <c r="M310" s="168"/>
      <c r="N310" s="168"/>
      <c r="O310" s="168"/>
      <c r="P310" s="168"/>
      <c r="Q310" s="168" t="s">
        <v>0</v>
      </c>
      <c r="R310" s="168" t="s">
        <v>1</v>
      </c>
      <c r="S310" s="178" t="str">
        <f t="shared" si="14"/>
        <v>D_CP_ORIG_BHEXTRNL_RATING_GRADE</v>
      </c>
    </row>
    <row r="311" spans="1:19" ht="14.4" x14ac:dyDescent="0.3">
      <c r="A311" s="169" t="s">
        <v>411</v>
      </c>
      <c r="B311" s="171" t="str">
        <f t="shared" si="12"/>
        <v>Контрагент оригинальный</v>
      </c>
      <c r="C311" s="169" t="s">
        <v>595</v>
      </c>
      <c r="D311" s="169">
        <v>123</v>
      </c>
      <c r="E311" s="169">
        <v>34</v>
      </c>
      <c r="F311" s="169" t="s">
        <v>595</v>
      </c>
      <c r="G311" s="169" t="s">
        <v>595</v>
      </c>
      <c r="H311" s="169">
        <v>15</v>
      </c>
      <c r="I311" s="136" t="str">
        <f t="shared" si="13"/>
        <v xml:space="preserve">CHAR(1) </v>
      </c>
      <c r="J311" s="169" t="s">
        <v>0</v>
      </c>
      <c r="K311" s="169" t="s">
        <v>1</v>
      </c>
      <c r="L311" s="169">
        <v>30</v>
      </c>
      <c r="M311" s="168"/>
      <c r="N311" s="168"/>
      <c r="O311" s="168"/>
      <c r="P311" s="168"/>
      <c r="Q311" s="168" t="s">
        <v>0</v>
      </c>
      <c r="R311" s="168" t="s">
        <v>1</v>
      </c>
      <c r="S311" s="178" t="str">
        <f t="shared" si="14"/>
        <v>D_CP_ORIG_BHIN_DEFAULT_IND</v>
      </c>
    </row>
    <row r="312" spans="1:19" ht="14.4" x14ac:dyDescent="0.3">
      <c r="A312" s="169" t="s">
        <v>411</v>
      </c>
      <c r="B312" s="171" t="str">
        <f t="shared" si="12"/>
        <v>Контрагент оригинальный</v>
      </c>
      <c r="C312" s="169" t="s">
        <v>340</v>
      </c>
      <c r="D312" s="169">
        <v>124</v>
      </c>
      <c r="E312" s="169">
        <v>35</v>
      </c>
      <c r="F312" s="169" t="s">
        <v>340</v>
      </c>
      <c r="G312" s="169" t="s">
        <v>340</v>
      </c>
      <c r="H312" s="169">
        <v>13</v>
      </c>
      <c r="I312" s="136" t="str">
        <f t="shared" si="13"/>
        <v xml:space="preserve">VARCHAR(300) </v>
      </c>
      <c r="J312" s="169" t="s">
        <v>0</v>
      </c>
      <c r="K312" s="169" t="s">
        <v>1</v>
      </c>
      <c r="L312" s="169">
        <v>30</v>
      </c>
      <c r="M312" s="168"/>
      <c r="N312" s="168"/>
      <c r="O312" s="168"/>
      <c r="P312" s="168"/>
      <c r="Q312" s="168" t="s">
        <v>0</v>
      </c>
      <c r="R312" s="168" t="s">
        <v>1</v>
      </c>
      <c r="S312" s="178" t="str">
        <f t="shared" si="14"/>
        <v>D_CP_ORIG_BHLOCAL_CP_CLASS1</v>
      </c>
    </row>
    <row r="313" spans="1:19" ht="14.4" x14ac:dyDescent="0.3">
      <c r="A313" s="169" t="s">
        <v>411</v>
      </c>
      <c r="B313" s="171" t="str">
        <f t="shared" si="12"/>
        <v>Контрагент оригинальный</v>
      </c>
      <c r="C313" s="169" t="s">
        <v>339</v>
      </c>
      <c r="D313" s="169">
        <v>125</v>
      </c>
      <c r="E313" s="169">
        <v>36</v>
      </c>
      <c r="F313" s="169" t="s">
        <v>339</v>
      </c>
      <c r="G313" s="169" t="s">
        <v>339</v>
      </c>
      <c r="H313" s="169">
        <v>13</v>
      </c>
      <c r="I313" s="136" t="str">
        <f t="shared" si="13"/>
        <v xml:space="preserve">VARCHAR(300) </v>
      </c>
      <c r="J313" s="169" t="s">
        <v>0</v>
      </c>
      <c r="K313" s="169" t="s">
        <v>1</v>
      </c>
      <c r="L313" s="169">
        <v>30</v>
      </c>
      <c r="M313" s="168"/>
      <c r="N313" s="168"/>
      <c r="O313" s="168"/>
      <c r="P313" s="168"/>
      <c r="Q313" s="168" t="s">
        <v>0</v>
      </c>
      <c r="R313" s="168" t="s">
        <v>1</v>
      </c>
      <c r="S313" s="178" t="str">
        <f t="shared" si="14"/>
        <v>D_CP_ORIG_BHLOCAL_CP_CLASS2</v>
      </c>
    </row>
    <row r="314" spans="1:19" ht="14.4" x14ac:dyDescent="0.3">
      <c r="A314" s="169" t="s">
        <v>411</v>
      </c>
      <c r="B314" s="171" t="str">
        <f t="shared" si="12"/>
        <v>Контрагент оригинальный</v>
      </c>
      <c r="C314" s="169" t="s">
        <v>538</v>
      </c>
      <c r="D314" s="169">
        <v>126</v>
      </c>
      <c r="E314" s="169">
        <v>37</v>
      </c>
      <c r="F314" s="169" t="s">
        <v>538</v>
      </c>
      <c r="G314" s="169" t="s">
        <v>538</v>
      </c>
      <c r="H314" s="169">
        <v>7</v>
      </c>
      <c r="I314" s="136" t="str">
        <f t="shared" si="13"/>
        <v>BIGINT</v>
      </c>
      <c r="J314" s="169" t="s">
        <v>0</v>
      </c>
      <c r="K314" s="169" t="s">
        <v>1</v>
      </c>
      <c r="L314" s="169">
        <v>30</v>
      </c>
      <c r="M314" s="168"/>
      <c r="N314" s="168"/>
      <c r="O314" s="168"/>
      <c r="P314" s="168"/>
      <c r="Q314" s="168" t="s">
        <v>0</v>
      </c>
      <c r="R314" s="168" t="s">
        <v>1</v>
      </c>
      <c r="S314" s="178" t="str">
        <f t="shared" si="14"/>
        <v>D_CP_ORIG_BHNACE_INDUSTRY_ID</v>
      </c>
    </row>
    <row r="315" spans="1:19" ht="14.4" x14ac:dyDescent="0.3">
      <c r="A315" s="169" t="s">
        <v>411</v>
      </c>
      <c r="B315" s="171" t="str">
        <f t="shared" si="12"/>
        <v>Контрагент оригинальный</v>
      </c>
      <c r="C315" s="169" t="s">
        <v>507</v>
      </c>
      <c r="D315" s="169">
        <v>127</v>
      </c>
      <c r="E315" s="169">
        <v>38</v>
      </c>
      <c r="F315" s="169" t="s">
        <v>507</v>
      </c>
      <c r="G315" s="169" t="s">
        <v>507</v>
      </c>
      <c r="H315" s="169">
        <v>7</v>
      </c>
      <c r="I315" s="136" t="str">
        <f t="shared" si="13"/>
        <v>BIGINT</v>
      </c>
      <c r="J315" s="169" t="s">
        <v>0</v>
      </c>
      <c r="K315" s="169" t="s">
        <v>1</v>
      </c>
      <c r="L315" s="169">
        <v>30</v>
      </c>
      <c r="M315" s="168"/>
      <c r="N315" s="168"/>
      <c r="O315" s="168"/>
      <c r="P315" s="168"/>
      <c r="Q315" s="168" t="s">
        <v>0</v>
      </c>
      <c r="R315" s="168" t="s">
        <v>1</v>
      </c>
      <c r="S315" s="178" t="str">
        <f t="shared" si="14"/>
        <v>D_CP_ORIG_BHOKVED_INDUSTRY_ID</v>
      </c>
    </row>
    <row r="316" spans="1:19" ht="14.4" x14ac:dyDescent="0.3">
      <c r="A316" s="169" t="s">
        <v>411</v>
      </c>
      <c r="B316" s="171" t="str">
        <f t="shared" si="12"/>
        <v>Контрагент оригинальный</v>
      </c>
      <c r="C316" s="169" t="s">
        <v>736</v>
      </c>
      <c r="D316" s="169">
        <v>128</v>
      </c>
      <c r="E316" s="169">
        <v>39</v>
      </c>
      <c r="F316" s="169" t="s">
        <v>736</v>
      </c>
      <c r="G316" s="169" t="s">
        <v>736</v>
      </c>
      <c r="H316" s="169">
        <v>24</v>
      </c>
      <c r="I316" s="136" t="str">
        <f t="shared" si="13"/>
        <v xml:space="preserve">VARCHAR(40) </v>
      </c>
      <c r="J316" s="169" t="s">
        <v>0</v>
      </c>
      <c r="K316" s="169" t="s">
        <v>1</v>
      </c>
      <c r="L316" s="169">
        <v>30</v>
      </c>
      <c r="M316" s="168"/>
      <c r="N316" s="168"/>
      <c r="O316" s="168"/>
      <c r="P316" s="168"/>
      <c r="Q316" s="168" t="s">
        <v>0</v>
      </c>
      <c r="R316" s="168" t="s">
        <v>1</v>
      </c>
      <c r="S316" s="178" t="str">
        <f t="shared" si="14"/>
        <v>D_CP_ORIG_BHOWNERSHIP_TYPE</v>
      </c>
    </row>
    <row r="317" spans="1:19" ht="14.4" x14ac:dyDescent="0.3">
      <c r="A317" s="169" t="s">
        <v>411</v>
      </c>
      <c r="B317" s="171" t="str">
        <f t="shared" si="12"/>
        <v>Контрагент оригинальный</v>
      </c>
      <c r="C317" s="169" t="s">
        <v>630</v>
      </c>
      <c r="D317" s="169">
        <v>129</v>
      </c>
      <c r="E317" s="169">
        <v>40</v>
      </c>
      <c r="F317" s="169" t="s">
        <v>630</v>
      </c>
      <c r="G317" s="169" t="s">
        <v>630</v>
      </c>
      <c r="H317" s="169">
        <v>27</v>
      </c>
      <c r="I317" s="136" t="str">
        <f t="shared" si="13"/>
        <v>INTEGER</v>
      </c>
      <c r="J317" s="169" t="s">
        <v>0</v>
      </c>
      <c r="K317" s="169" t="s">
        <v>1</v>
      </c>
      <c r="L317" s="169">
        <v>30</v>
      </c>
      <c r="M317" s="168"/>
      <c r="N317" s="168"/>
      <c r="O317" s="168"/>
      <c r="P317" s="168"/>
      <c r="Q317" s="168" t="s">
        <v>0</v>
      </c>
      <c r="R317" s="168" t="s">
        <v>1</v>
      </c>
      <c r="S317" s="178" t="str">
        <f t="shared" si="14"/>
        <v>D_CP_ORIG_BHPAST_DUE_DAYS_CNT</v>
      </c>
    </row>
    <row r="318" spans="1:19" ht="14.4" x14ac:dyDescent="0.3">
      <c r="A318" s="169" t="s">
        <v>411</v>
      </c>
      <c r="B318" s="171" t="str">
        <f t="shared" si="12"/>
        <v>Контрагент оригинальный</v>
      </c>
      <c r="C318" s="169" t="s">
        <v>1461</v>
      </c>
      <c r="D318" s="169">
        <v>130</v>
      </c>
      <c r="E318" s="169">
        <v>41</v>
      </c>
      <c r="F318" s="169" t="s">
        <v>1461</v>
      </c>
      <c r="G318" s="169" t="s">
        <v>1461</v>
      </c>
      <c r="H318" s="169">
        <v>7</v>
      </c>
      <c r="I318" s="136" t="str">
        <f t="shared" si="13"/>
        <v>BIGINT</v>
      </c>
      <c r="J318" s="169" t="s">
        <v>0</v>
      </c>
      <c r="K318" s="169" t="s">
        <v>1</v>
      </c>
      <c r="L318" s="169">
        <v>30</v>
      </c>
      <c r="M318" s="168"/>
      <c r="N318" s="168"/>
      <c r="O318" s="168"/>
      <c r="P318" s="168"/>
      <c r="Q318" s="168" t="s">
        <v>0</v>
      </c>
      <c r="R318" s="168" t="s">
        <v>1</v>
      </c>
      <c r="S318" s="178" t="str">
        <f t="shared" si="14"/>
        <v>D_CP_ORIG_BHPD_MODEL_ID</v>
      </c>
    </row>
    <row r="319" spans="1:19" ht="14.4" x14ac:dyDescent="0.3">
      <c r="A319" s="169" t="s">
        <v>411</v>
      </c>
      <c r="B319" s="171" t="str">
        <f t="shared" si="12"/>
        <v>Контрагент оригинальный</v>
      </c>
      <c r="C319" s="169" t="s">
        <v>697</v>
      </c>
      <c r="D319" s="169">
        <v>131</v>
      </c>
      <c r="E319" s="169">
        <v>42</v>
      </c>
      <c r="F319" s="169" t="s">
        <v>697</v>
      </c>
      <c r="G319" s="169" t="s">
        <v>697</v>
      </c>
      <c r="H319" s="169">
        <v>3</v>
      </c>
      <c r="I319" s="136" t="str">
        <f t="shared" si="13"/>
        <v>DECIMAL(20, 6)</v>
      </c>
      <c r="J319" s="169" t="s">
        <v>0</v>
      </c>
      <c r="K319" s="169" t="s">
        <v>1</v>
      </c>
      <c r="L319" s="169">
        <v>30</v>
      </c>
      <c r="M319" s="168"/>
      <c r="N319" s="168"/>
      <c r="O319" s="168"/>
      <c r="P319" s="168"/>
      <c r="Q319" s="168" t="s">
        <v>0</v>
      </c>
      <c r="R319" s="168" t="s">
        <v>1</v>
      </c>
      <c r="S319" s="178" t="str">
        <f t="shared" si="14"/>
        <v>D_CP_ORIG_BHPD_PIT_PCT</v>
      </c>
    </row>
    <row r="320" spans="1:19" ht="14.4" x14ac:dyDescent="0.3">
      <c r="A320" s="169" t="s">
        <v>411</v>
      </c>
      <c r="B320" s="171" t="str">
        <f t="shared" si="12"/>
        <v>Контрагент оригинальный</v>
      </c>
      <c r="C320" s="169" t="s">
        <v>437</v>
      </c>
      <c r="D320" s="169">
        <v>132</v>
      </c>
      <c r="E320" s="169">
        <v>43</v>
      </c>
      <c r="F320" s="169" t="s">
        <v>437</v>
      </c>
      <c r="G320" s="169" t="s">
        <v>437</v>
      </c>
      <c r="H320" s="169">
        <v>3</v>
      </c>
      <c r="I320" s="136" t="str">
        <f t="shared" si="13"/>
        <v>DECIMAL(20, 6)</v>
      </c>
      <c r="J320" s="169" t="s">
        <v>0</v>
      </c>
      <c r="K320" s="169" t="s">
        <v>1</v>
      </c>
      <c r="L320" s="169">
        <v>30</v>
      </c>
      <c r="M320" s="168"/>
      <c r="N320" s="168"/>
      <c r="O320" s="168"/>
      <c r="P320" s="168"/>
      <c r="Q320" s="168" t="s">
        <v>0</v>
      </c>
      <c r="R320" s="168" t="s">
        <v>1</v>
      </c>
      <c r="S320" s="178" t="str">
        <f t="shared" si="14"/>
        <v>D_CP_ORIG_BHPD_TTC_PCT</v>
      </c>
    </row>
    <row r="321" spans="1:19" ht="14.4" x14ac:dyDescent="0.3">
      <c r="A321" s="169" t="s">
        <v>411</v>
      </c>
      <c r="B321" s="171" t="str">
        <f t="shared" si="12"/>
        <v>Контрагент оригинальный</v>
      </c>
      <c r="C321" s="169" t="s">
        <v>682</v>
      </c>
      <c r="D321" s="169">
        <v>133</v>
      </c>
      <c r="E321" s="169">
        <v>44</v>
      </c>
      <c r="F321" s="169" t="s">
        <v>682</v>
      </c>
      <c r="G321" s="169" t="s">
        <v>682</v>
      </c>
      <c r="H321" s="169">
        <v>27</v>
      </c>
      <c r="I321" s="136" t="str">
        <f t="shared" si="13"/>
        <v>INTEGER</v>
      </c>
      <c r="J321" s="169" t="s">
        <v>0</v>
      </c>
      <c r="K321" s="169" t="s">
        <v>1</v>
      </c>
      <c r="L321" s="169">
        <v>30</v>
      </c>
      <c r="M321" s="168"/>
      <c r="N321" s="168"/>
      <c r="O321" s="168"/>
      <c r="P321" s="168"/>
      <c r="Q321" s="168" t="s">
        <v>0</v>
      </c>
      <c r="R321" s="168" t="s">
        <v>1</v>
      </c>
      <c r="S321" s="178" t="str">
        <f t="shared" si="14"/>
        <v>D_CP_ORIG_BHPREV_RATING_GRADE</v>
      </c>
    </row>
    <row r="322" spans="1:19" ht="14.4" x14ac:dyDescent="0.3">
      <c r="A322" s="169" t="s">
        <v>411</v>
      </c>
      <c r="B322" s="171" t="str">
        <f t="shared" ref="B322:B385" si="15">IF(NOT(ISBLANK(A322)),VLOOKUP(A322,ERM_TABLE_NM,2,FALSE), "")</f>
        <v>Контрагент оригинальный</v>
      </c>
      <c r="C322" s="169" t="s">
        <v>747</v>
      </c>
      <c r="D322" s="169">
        <v>134</v>
      </c>
      <c r="E322" s="169">
        <v>45</v>
      </c>
      <c r="F322" s="169" t="s">
        <v>747</v>
      </c>
      <c r="G322" s="169" t="s">
        <v>747</v>
      </c>
      <c r="H322" s="169">
        <v>34</v>
      </c>
      <c r="I322" s="136" t="str">
        <f t="shared" ref="I322:I385" si="16">IF(NOT(ISBLANK(H322)),VLOOKUP(H322,ERM_DOMAIN_NM,2,FALSE), "")</f>
        <v>DATE</v>
      </c>
      <c r="J322" s="169" t="s">
        <v>0</v>
      </c>
      <c r="K322" s="169" t="s">
        <v>1</v>
      </c>
      <c r="L322" s="169">
        <v>30</v>
      </c>
      <c r="M322" s="168"/>
      <c r="N322" s="168"/>
      <c r="O322" s="168"/>
      <c r="P322" s="168"/>
      <c r="Q322" s="168" t="s">
        <v>0</v>
      </c>
      <c r="R322" s="168" t="s">
        <v>1</v>
      </c>
      <c r="S322" s="178" t="str">
        <f t="shared" si="14"/>
        <v>D_CP_ORIG_BHPREV_RATING_GRADE_ESTB_DT</v>
      </c>
    </row>
    <row r="323" spans="1:19" ht="14.4" x14ac:dyDescent="0.3">
      <c r="A323" s="169" t="s">
        <v>411</v>
      </c>
      <c r="B323" s="171" t="str">
        <f t="shared" si="15"/>
        <v>Контрагент оригинальный</v>
      </c>
      <c r="C323" s="169" t="s">
        <v>611</v>
      </c>
      <c r="D323" s="169">
        <v>135</v>
      </c>
      <c r="E323" s="169">
        <v>46</v>
      </c>
      <c r="F323" s="169" t="s">
        <v>611</v>
      </c>
      <c r="G323" s="169" t="s">
        <v>611</v>
      </c>
      <c r="H323" s="169">
        <v>27</v>
      </c>
      <c r="I323" s="136" t="str">
        <f t="shared" si="16"/>
        <v>INTEGER</v>
      </c>
      <c r="J323" s="169" t="s">
        <v>0</v>
      </c>
      <c r="K323" s="169" t="s">
        <v>1</v>
      </c>
      <c r="L323" s="169">
        <v>30</v>
      </c>
      <c r="M323" s="168"/>
      <c r="N323" s="168"/>
      <c r="O323" s="168"/>
      <c r="P323" s="168"/>
      <c r="Q323" s="168" t="s">
        <v>0</v>
      </c>
      <c r="R323" s="168" t="s">
        <v>1</v>
      </c>
      <c r="S323" s="178" t="str">
        <f t="shared" ref="S323:S386" si="17">CONCATENATE(A323,C323)</f>
        <v>D_CP_ORIG_BHRATING_GRADE</v>
      </c>
    </row>
    <row r="324" spans="1:19" ht="14.4" x14ac:dyDescent="0.3">
      <c r="A324" s="169" t="s">
        <v>411</v>
      </c>
      <c r="B324" s="171" t="str">
        <f t="shared" si="15"/>
        <v>Контрагент оригинальный</v>
      </c>
      <c r="C324" s="169" t="s">
        <v>658</v>
      </c>
      <c r="D324" s="169">
        <v>136</v>
      </c>
      <c r="E324" s="169">
        <v>47</v>
      </c>
      <c r="F324" s="169" t="s">
        <v>658</v>
      </c>
      <c r="G324" s="169" t="s">
        <v>658</v>
      </c>
      <c r="H324" s="169">
        <v>34</v>
      </c>
      <c r="I324" s="136" t="str">
        <f t="shared" si="16"/>
        <v>DATE</v>
      </c>
      <c r="J324" s="169" t="s">
        <v>0</v>
      </c>
      <c r="K324" s="169" t="s">
        <v>1</v>
      </c>
      <c r="L324" s="169">
        <v>30</v>
      </c>
      <c r="M324" s="168"/>
      <c r="N324" s="168"/>
      <c r="O324" s="168"/>
      <c r="P324" s="168"/>
      <c r="Q324" s="168" t="s">
        <v>0</v>
      </c>
      <c r="R324" s="168" t="s">
        <v>1</v>
      </c>
      <c r="S324" s="178" t="str">
        <f t="shared" si="17"/>
        <v>D_CP_ORIG_BHRATING_GRADE_ESTABLISHED_DT</v>
      </c>
    </row>
    <row r="325" spans="1:19" ht="14.4" x14ac:dyDescent="0.3">
      <c r="A325" s="169" t="s">
        <v>411</v>
      </c>
      <c r="B325" s="171" t="str">
        <f t="shared" si="15"/>
        <v>Контрагент оригинальный</v>
      </c>
      <c r="C325" s="169" t="s">
        <v>1444</v>
      </c>
      <c r="D325" s="169">
        <v>137</v>
      </c>
      <c r="E325" s="169">
        <v>48</v>
      </c>
      <c r="F325" s="169" t="s">
        <v>1444</v>
      </c>
      <c r="G325" s="169" t="s">
        <v>1444</v>
      </c>
      <c r="H325" s="169">
        <v>13</v>
      </c>
      <c r="I325" s="136" t="str">
        <f t="shared" si="16"/>
        <v xml:space="preserve">VARCHAR(300) </v>
      </c>
      <c r="J325" s="169" t="s">
        <v>0</v>
      </c>
      <c r="K325" s="169" t="s">
        <v>1</v>
      </c>
      <c r="L325" s="169">
        <v>30</v>
      </c>
      <c r="M325" s="168"/>
      <c r="N325" s="168"/>
      <c r="O325" s="168"/>
      <c r="P325" s="168"/>
      <c r="Q325" s="168" t="s">
        <v>0</v>
      </c>
      <c r="R325" s="168" t="s">
        <v>1</v>
      </c>
      <c r="S325" s="178" t="str">
        <f t="shared" si="17"/>
        <v>D_CP_ORIG_BHRATING_ID_IN_CRM</v>
      </c>
    </row>
    <row r="326" spans="1:19" ht="14.4" x14ac:dyDescent="0.3">
      <c r="A326" s="169" t="s">
        <v>411</v>
      </c>
      <c r="B326" s="171" t="str">
        <f t="shared" si="15"/>
        <v>Контрагент оригинальный</v>
      </c>
      <c r="C326" s="169" t="s">
        <v>440</v>
      </c>
      <c r="D326" s="169">
        <v>138</v>
      </c>
      <c r="E326" s="169">
        <v>49</v>
      </c>
      <c r="F326" s="169" t="s">
        <v>440</v>
      </c>
      <c r="G326" s="169" t="s">
        <v>440</v>
      </c>
      <c r="H326" s="169">
        <v>22</v>
      </c>
      <c r="I326" s="136" t="str">
        <f t="shared" si="16"/>
        <v>TIMESTAMP(6)</v>
      </c>
      <c r="J326" s="169" t="s">
        <v>1</v>
      </c>
      <c r="K326" s="169" t="s">
        <v>1</v>
      </c>
      <c r="L326" s="169">
        <v>30</v>
      </c>
      <c r="M326" s="168"/>
      <c r="N326" s="168"/>
      <c r="O326" s="168"/>
      <c r="P326" s="168"/>
      <c r="Q326" s="168" t="s">
        <v>0</v>
      </c>
      <c r="R326" s="168" t="s">
        <v>1</v>
      </c>
      <c r="S326" s="178" t="str">
        <f t="shared" si="17"/>
        <v>D_CP_ORIG_BHRECORD_CREATE_TS</v>
      </c>
    </row>
    <row r="327" spans="1:19" ht="14.4" x14ac:dyDescent="0.3">
      <c r="A327" s="169" t="s">
        <v>411</v>
      </c>
      <c r="B327" s="171" t="str">
        <f t="shared" si="15"/>
        <v>Контрагент оригинальный</v>
      </c>
      <c r="C327" s="169" t="s">
        <v>429</v>
      </c>
      <c r="D327" s="169">
        <v>139</v>
      </c>
      <c r="E327" s="169">
        <v>50</v>
      </c>
      <c r="F327" s="169" t="s">
        <v>429</v>
      </c>
      <c r="G327" s="169" t="s">
        <v>429</v>
      </c>
      <c r="H327" s="169">
        <v>22</v>
      </c>
      <c r="I327" s="136" t="str">
        <f t="shared" si="16"/>
        <v>TIMESTAMP(6)</v>
      </c>
      <c r="J327" s="169" t="s">
        <v>1</v>
      </c>
      <c r="K327" s="169" t="s">
        <v>1</v>
      </c>
      <c r="L327" s="169">
        <v>30</v>
      </c>
      <c r="M327" s="168"/>
      <c r="N327" s="168"/>
      <c r="O327" s="168"/>
      <c r="P327" s="168"/>
      <c r="Q327" s="168" t="s">
        <v>0</v>
      </c>
      <c r="R327" s="168" t="s">
        <v>1</v>
      </c>
      <c r="S327" s="178" t="str">
        <f t="shared" si="17"/>
        <v>D_CP_ORIG_BHRECORD_UPDATE_TS</v>
      </c>
    </row>
    <row r="328" spans="1:19" ht="14.4" x14ac:dyDescent="0.3">
      <c r="A328" s="169" t="s">
        <v>411</v>
      </c>
      <c r="B328" s="171" t="str">
        <f t="shared" si="15"/>
        <v>Контрагент оригинальный</v>
      </c>
      <c r="C328" s="169" t="s">
        <v>486</v>
      </c>
      <c r="D328" s="169">
        <v>140</v>
      </c>
      <c r="E328" s="169">
        <v>51</v>
      </c>
      <c r="F328" s="169" t="s">
        <v>486</v>
      </c>
      <c r="G328" s="169" t="s">
        <v>486</v>
      </c>
      <c r="H328" s="169">
        <v>7</v>
      </c>
      <c r="I328" s="136" t="str">
        <f t="shared" si="16"/>
        <v>BIGINT</v>
      </c>
      <c r="J328" s="169" t="s">
        <v>0</v>
      </c>
      <c r="K328" s="169" t="s">
        <v>1</v>
      </c>
      <c r="L328" s="169">
        <v>30</v>
      </c>
      <c r="M328" s="168"/>
      <c r="N328" s="168"/>
      <c r="O328" s="168"/>
      <c r="P328" s="168"/>
      <c r="Q328" s="168" t="s">
        <v>0</v>
      </c>
      <c r="R328" s="168" t="s">
        <v>1</v>
      </c>
      <c r="S328" s="178" t="str">
        <f t="shared" si="17"/>
        <v>D_CP_ORIG_BHREGLTRY_CP_TYPE_ID</v>
      </c>
    </row>
    <row r="329" spans="1:19" ht="14.4" x14ac:dyDescent="0.3">
      <c r="A329" s="169" t="s">
        <v>411</v>
      </c>
      <c r="B329" s="171" t="str">
        <f t="shared" si="15"/>
        <v>Контрагент оригинальный</v>
      </c>
      <c r="C329" s="169" t="s">
        <v>704</v>
      </c>
      <c r="D329" s="169">
        <v>141</v>
      </c>
      <c r="E329" s="169">
        <v>52</v>
      </c>
      <c r="F329" s="169" t="s">
        <v>704</v>
      </c>
      <c r="G329" s="169" t="s">
        <v>704</v>
      </c>
      <c r="H329" s="169">
        <v>3</v>
      </c>
      <c r="I329" s="136" t="str">
        <f t="shared" si="16"/>
        <v>DECIMAL(20, 6)</v>
      </c>
      <c r="J329" s="169" t="s">
        <v>0</v>
      </c>
      <c r="K329" s="169" t="s">
        <v>1</v>
      </c>
      <c r="L329" s="169">
        <v>30</v>
      </c>
      <c r="M329" s="168"/>
      <c r="N329" s="168"/>
      <c r="O329" s="168"/>
      <c r="P329" s="168"/>
      <c r="Q329" s="168" t="s">
        <v>0</v>
      </c>
      <c r="R329" s="168" t="s">
        <v>1</v>
      </c>
      <c r="S329" s="178" t="str">
        <f t="shared" si="17"/>
        <v>D_CP_ORIG_BHREG_PD_PCT</v>
      </c>
    </row>
    <row r="330" spans="1:19" ht="14.4" x14ac:dyDescent="0.3">
      <c r="A330" s="169" t="s">
        <v>411</v>
      </c>
      <c r="B330" s="171" t="str">
        <f t="shared" si="15"/>
        <v>Контрагент оригинальный</v>
      </c>
      <c r="C330" s="169" t="s">
        <v>745</v>
      </c>
      <c r="D330" s="169">
        <v>142</v>
      </c>
      <c r="E330" s="169">
        <v>53</v>
      </c>
      <c r="F330" s="169" t="s">
        <v>745</v>
      </c>
      <c r="G330" s="169" t="s">
        <v>745</v>
      </c>
      <c r="H330" s="169">
        <v>15</v>
      </c>
      <c r="I330" s="136" t="str">
        <f t="shared" si="16"/>
        <v xml:space="preserve">CHAR(1) </v>
      </c>
      <c r="J330" s="169" t="s">
        <v>0</v>
      </c>
      <c r="K330" s="169" t="s">
        <v>1</v>
      </c>
      <c r="L330" s="169">
        <v>30</v>
      </c>
      <c r="M330" s="168"/>
      <c r="N330" s="168"/>
      <c r="O330" s="168"/>
      <c r="P330" s="168"/>
      <c r="Q330" s="168" t="s">
        <v>0</v>
      </c>
      <c r="R330" s="168" t="s">
        <v>1</v>
      </c>
      <c r="S330" s="178" t="str">
        <f t="shared" si="17"/>
        <v>D_CP_ORIG_BHRETAIL_POOL_IND</v>
      </c>
    </row>
    <row r="331" spans="1:19" ht="14.4" x14ac:dyDescent="0.3">
      <c r="A331" s="169" t="s">
        <v>411</v>
      </c>
      <c r="B331" s="171" t="str">
        <f t="shared" si="15"/>
        <v>Контрагент оригинальный</v>
      </c>
      <c r="C331" s="169" t="s">
        <v>498</v>
      </c>
      <c r="D331" s="169">
        <v>143</v>
      </c>
      <c r="E331" s="169">
        <v>54</v>
      </c>
      <c r="F331" s="169" t="s">
        <v>498</v>
      </c>
      <c r="G331" s="169" t="s">
        <v>498</v>
      </c>
      <c r="H331" s="169">
        <v>7</v>
      </c>
      <c r="I331" s="136" t="str">
        <f t="shared" si="16"/>
        <v>BIGINT</v>
      </c>
      <c r="J331" s="169" t="s">
        <v>1</v>
      </c>
      <c r="K331" s="169" t="s">
        <v>1</v>
      </c>
      <c r="L331" s="169">
        <v>30</v>
      </c>
      <c r="M331" s="168"/>
      <c r="N331" s="168"/>
      <c r="O331" s="168"/>
      <c r="P331" s="168"/>
      <c r="Q331" s="168" t="s">
        <v>0</v>
      </c>
      <c r="R331" s="168" t="s">
        <v>1</v>
      </c>
      <c r="S331" s="178" t="str">
        <f t="shared" si="17"/>
        <v>D_CP_ORIG_BHRUN_ID</v>
      </c>
    </row>
    <row r="332" spans="1:19" ht="14.4" x14ac:dyDescent="0.3">
      <c r="A332" s="169" t="s">
        <v>411</v>
      </c>
      <c r="B332" s="171" t="str">
        <f t="shared" si="15"/>
        <v>Контрагент оригинальный</v>
      </c>
      <c r="C332" s="169" t="s">
        <v>734</v>
      </c>
      <c r="D332" s="169">
        <v>144</v>
      </c>
      <c r="E332" s="169">
        <v>55</v>
      </c>
      <c r="F332" s="169" t="s">
        <v>734</v>
      </c>
      <c r="G332" s="169" t="s">
        <v>734</v>
      </c>
      <c r="H332" s="169">
        <v>15</v>
      </c>
      <c r="I332" s="136" t="str">
        <f t="shared" si="16"/>
        <v xml:space="preserve">CHAR(1) </v>
      </c>
      <c r="J332" s="169" t="s">
        <v>0</v>
      </c>
      <c r="K332" s="169" t="s">
        <v>1</v>
      </c>
      <c r="L332" s="169">
        <v>30</v>
      </c>
      <c r="M332" s="168"/>
      <c r="N332" s="168"/>
      <c r="O332" s="168"/>
      <c r="P332" s="168"/>
      <c r="Q332" s="168" t="s">
        <v>0</v>
      </c>
      <c r="R332" s="168" t="s">
        <v>1</v>
      </c>
      <c r="S332" s="178" t="str">
        <f t="shared" si="17"/>
        <v>D_CP_ORIG_BHSBER_AFFILIATION_IND</v>
      </c>
    </row>
    <row r="333" spans="1:19" ht="14.4" x14ac:dyDescent="0.3">
      <c r="A333" s="169" t="s">
        <v>411</v>
      </c>
      <c r="B333" s="171" t="str">
        <f t="shared" si="15"/>
        <v>Контрагент оригинальный</v>
      </c>
      <c r="C333" s="169" t="s">
        <v>746</v>
      </c>
      <c r="D333" s="169">
        <v>145</v>
      </c>
      <c r="E333" s="169">
        <v>56</v>
      </c>
      <c r="F333" s="169" t="s">
        <v>746</v>
      </c>
      <c r="G333" s="169" t="s">
        <v>746</v>
      </c>
      <c r="H333" s="169">
        <v>15</v>
      </c>
      <c r="I333" s="136" t="str">
        <f t="shared" si="16"/>
        <v xml:space="preserve">CHAR(1) </v>
      </c>
      <c r="J333" s="169" t="s">
        <v>0</v>
      </c>
      <c r="K333" s="169" t="s">
        <v>1</v>
      </c>
      <c r="L333" s="169">
        <v>30</v>
      </c>
      <c r="M333" s="168"/>
      <c r="N333" s="168"/>
      <c r="O333" s="168"/>
      <c r="P333" s="168"/>
      <c r="Q333" s="168" t="s">
        <v>0</v>
      </c>
      <c r="R333" s="168" t="s">
        <v>1</v>
      </c>
      <c r="S333" s="178" t="str">
        <f t="shared" si="17"/>
        <v>D_CP_ORIG_BHSMB_IND</v>
      </c>
    </row>
    <row r="334" spans="1:19" ht="14.4" x14ac:dyDescent="0.3">
      <c r="A334" s="169" t="s">
        <v>411</v>
      </c>
      <c r="B334" s="171" t="str">
        <f t="shared" si="15"/>
        <v>Контрагент оригинальный</v>
      </c>
      <c r="C334" s="169" t="s">
        <v>716</v>
      </c>
      <c r="D334" s="169">
        <v>146</v>
      </c>
      <c r="E334" s="169">
        <v>57</v>
      </c>
      <c r="F334" s="169" t="s">
        <v>716</v>
      </c>
      <c r="G334" s="169" t="s">
        <v>716</v>
      </c>
      <c r="H334" s="169">
        <v>15</v>
      </c>
      <c r="I334" s="136" t="str">
        <f t="shared" si="16"/>
        <v xml:space="preserve">CHAR(1) </v>
      </c>
      <c r="J334" s="169" t="s">
        <v>0</v>
      </c>
      <c r="K334" s="169" t="s">
        <v>1</v>
      </c>
      <c r="L334" s="169">
        <v>30</v>
      </c>
      <c r="M334" s="168"/>
      <c r="N334" s="168"/>
      <c r="O334" s="168"/>
      <c r="P334" s="168"/>
      <c r="Q334" s="168" t="s">
        <v>0</v>
      </c>
      <c r="R334" s="168" t="s">
        <v>1</v>
      </c>
      <c r="S334" s="178" t="str">
        <f t="shared" si="17"/>
        <v>D_CP_ORIG_BHSTOCK_EXCHANGE_TRADING_IND</v>
      </c>
    </row>
    <row r="335" spans="1:19" ht="14.4" x14ac:dyDescent="0.3">
      <c r="A335" s="169" t="s">
        <v>411</v>
      </c>
      <c r="B335" s="171" t="str">
        <f t="shared" si="15"/>
        <v>Контрагент оригинальный</v>
      </c>
      <c r="C335" s="169" t="s">
        <v>1391</v>
      </c>
      <c r="D335" s="169">
        <v>147</v>
      </c>
      <c r="E335" s="169">
        <v>58</v>
      </c>
      <c r="F335" s="169" t="s">
        <v>1391</v>
      </c>
      <c r="G335" s="169" t="s">
        <v>1391</v>
      </c>
      <c r="H335" s="169">
        <v>21</v>
      </c>
      <c r="I335" s="136" t="str">
        <f t="shared" si="16"/>
        <v>DECIMAL(19, 2)</v>
      </c>
      <c r="J335" s="169" t="s">
        <v>0</v>
      </c>
      <c r="K335" s="169" t="s">
        <v>1</v>
      </c>
      <c r="L335" s="169">
        <v>30</v>
      </c>
      <c r="M335" s="168"/>
      <c r="N335" s="168"/>
      <c r="O335" s="168"/>
      <c r="P335" s="168"/>
      <c r="Q335" s="168" t="s">
        <v>0</v>
      </c>
      <c r="R335" s="168" t="s">
        <v>1</v>
      </c>
      <c r="S335" s="178" t="str">
        <f t="shared" si="17"/>
        <v>D_CP_ORIG_BHTOTAL_ASSETS_CCY_AMT</v>
      </c>
    </row>
    <row r="336" spans="1:19" ht="14.4" x14ac:dyDescent="0.3">
      <c r="A336" s="169" t="s">
        <v>411</v>
      </c>
      <c r="B336" s="171" t="str">
        <f t="shared" si="15"/>
        <v>Контрагент оригинальный</v>
      </c>
      <c r="C336" s="169" t="s">
        <v>1382</v>
      </c>
      <c r="D336" s="169">
        <v>148</v>
      </c>
      <c r="E336" s="169">
        <v>59</v>
      </c>
      <c r="F336" s="169" t="s">
        <v>1382</v>
      </c>
      <c r="G336" s="169" t="s">
        <v>1382</v>
      </c>
      <c r="H336" s="169">
        <v>7</v>
      </c>
      <c r="I336" s="136" t="str">
        <f t="shared" si="16"/>
        <v>BIGINT</v>
      </c>
      <c r="J336" s="169" t="s">
        <v>0</v>
      </c>
      <c r="K336" s="169" t="s">
        <v>1</v>
      </c>
      <c r="L336" s="169">
        <v>30</v>
      </c>
      <c r="M336" s="168"/>
      <c r="N336" s="168"/>
      <c r="O336" s="168"/>
      <c r="P336" s="168"/>
      <c r="Q336" s="168" t="s">
        <v>0</v>
      </c>
      <c r="R336" s="168" t="s">
        <v>1</v>
      </c>
      <c r="S336" s="178" t="str">
        <f t="shared" si="17"/>
        <v>D_CP_ORIG_BHTOTAL_ASSETS_CURRENCY_ID</v>
      </c>
    </row>
    <row r="337" spans="1:19" ht="14.4" x14ac:dyDescent="0.3">
      <c r="A337" s="169" t="s">
        <v>411</v>
      </c>
      <c r="B337" s="171" t="str">
        <f t="shared" si="15"/>
        <v>Контрагент оригинальный</v>
      </c>
      <c r="C337" s="169" t="s">
        <v>1454</v>
      </c>
      <c r="D337" s="169">
        <v>149</v>
      </c>
      <c r="E337" s="169">
        <v>60</v>
      </c>
      <c r="F337" s="169" t="s">
        <v>1454</v>
      </c>
      <c r="G337" s="169" t="s">
        <v>1454</v>
      </c>
      <c r="H337" s="169">
        <v>34</v>
      </c>
      <c r="I337" s="136" t="str">
        <f t="shared" si="16"/>
        <v>DATE</v>
      </c>
      <c r="J337" s="169" t="s">
        <v>0</v>
      </c>
      <c r="K337" s="169" t="s">
        <v>1</v>
      </c>
      <c r="L337" s="169">
        <v>30</v>
      </c>
      <c r="M337" s="168"/>
      <c r="N337" s="168"/>
      <c r="O337" s="168"/>
      <c r="P337" s="168"/>
      <c r="Q337" s="168" t="s">
        <v>0</v>
      </c>
      <c r="R337" s="168" t="s">
        <v>1</v>
      </c>
      <c r="S337" s="178" t="str">
        <f t="shared" si="17"/>
        <v>D_CP_ORIG_BHTOTAL_ASSETS_RPT_DT</v>
      </c>
    </row>
    <row r="338" spans="1:19" ht="14.4" x14ac:dyDescent="0.3">
      <c r="A338" s="169" t="s">
        <v>411</v>
      </c>
      <c r="B338" s="171" t="str">
        <f t="shared" si="15"/>
        <v>Контрагент оригинальный</v>
      </c>
      <c r="C338" s="169" t="s">
        <v>570</v>
      </c>
      <c r="D338" s="169">
        <v>150</v>
      </c>
      <c r="E338" s="169">
        <v>61</v>
      </c>
      <c r="F338" s="169" t="s">
        <v>570</v>
      </c>
      <c r="G338" s="169" t="s">
        <v>570</v>
      </c>
      <c r="H338" s="169">
        <v>15</v>
      </c>
      <c r="I338" s="136" t="str">
        <f t="shared" si="16"/>
        <v xml:space="preserve">CHAR(1) </v>
      </c>
      <c r="J338" s="169" t="s">
        <v>0</v>
      </c>
      <c r="K338" s="169" t="s">
        <v>1</v>
      </c>
      <c r="L338" s="169">
        <v>30</v>
      </c>
      <c r="M338" s="168"/>
      <c r="N338" s="168"/>
      <c r="O338" s="168"/>
      <c r="P338" s="168"/>
      <c r="Q338" s="168" t="s">
        <v>0</v>
      </c>
      <c r="R338" s="168" t="s">
        <v>1</v>
      </c>
      <c r="S338" s="178" t="str">
        <f t="shared" si="17"/>
        <v>D_CP_ORIG_BHUSE_ASSETS_FOR_SIZE_IND</v>
      </c>
    </row>
    <row r="339" spans="1:19" ht="14.4" x14ac:dyDescent="0.3">
      <c r="A339" s="169" t="s">
        <v>411</v>
      </c>
      <c r="B339" s="171" t="str">
        <f t="shared" si="15"/>
        <v>Контрагент оригинальный</v>
      </c>
      <c r="C339" s="169" t="s">
        <v>492</v>
      </c>
      <c r="D339" s="169">
        <v>151</v>
      </c>
      <c r="E339" s="169">
        <v>62</v>
      </c>
      <c r="F339" s="169" t="s">
        <v>492</v>
      </c>
      <c r="G339" s="169" t="s">
        <v>492</v>
      </c>
      <c r="H339" s="169">
        <v>34</v>
      </c>
      <c r="I339" s="136" t="str">
        <f t="shared" si="16"/>
        <v>DATE</v>
      </c>
      <c r="J339" s="169" t="s">
        <v>1</v>
      </c>
      <c r="K339" s="169" t="s">
        <v>1</v>
      </c>
      <c r="L339" s="169">
        <v>30</v>
      </c>
      <c r="M339" s="168"/>
      <c r="N339" s="168"/>
      <c r="O339" s="168"/>
      <c r="P339" s="168"/>
      <c r="Q339" s="168" t="s">
        <v>0</v>
      </c>
      <c r="R339" s="168" t="s">
        <v>1</v>
      </c>
      <c r="S339" s="178" t="str">
        <f t="shared" si="17"/>
        <v>D_CP_ORIG_BHVALIDITY_DT</v>
      </c>
    </row>
    <row r="340" spans="1:19" ht="14.4" x14ac:dyDescent="0.3">
      <c r="A340" s="169" t="s">
        <v>425</v>
      </c>
      <c r="B340" s="171" t="str">
        <f t="shared" si="15"/>
        <v>Определение унифицированных контрагентов из оригинальных</v>
      </c>
      <c r="C340" s="169" t="s">
        <v>581</v>
      </c>
      <c r="D340" s="169">
        <v>1160</v>
      </c>
      <c r="E340" s="169">
        <v>1</v>
      </c>
      <c r="F340" s="169" t="s">
        <v>581</v>
      </c>
      <c r="G340" s="169" t="s">
        <v>581</v>
      </c>
      <c r="H340" s="169">
        <v>7</v>
      </c>
      <c r="I340" s="136" t="str">
        <f t="shared" si="16"/>
        <v>BIGINT</v>
      </c>
      <c r="J340" s="169" t="s">
        <v>1</v>
      </c>
      <c r="K340" s="169" t="s">
        <v>0</v>
      </c>
      <c r="L340" s="169">
        <v>30</v>
      </c>
      <c r="M340" s="168"/>
      <c r="N340" s="168"/>
      <c r="O340" s="168"/>
      <c r="P340" s="168"/>
      <c r="Q340" s="168" t="s">
        <v>0</v>
      </c>
      <c r="R340" s="168" t="s">
        <v>1</v>
      </c>
      <c r="S340" s="178" t="str">
        <f t="shared" si="17"/>
        <v>D_CP_ORIG_X_CP_UNIF_BHCP_ORIG_ID</v>
      </c>
    </row>
    <row r="341" spans="1:19" ht="14.4" x14ac:dyDescent="0.3">
      <c r="A341" s="169" t="s">
        <v>425</v>
      </c>
      <c r="B341" s="171" t="str">
        <f t="shared" si="15"/>
        <v>Определение унифицированных контрагентов из оригинальных</v>
      </c>
      <c r="C341" s="169" t="s">
        <v>583</v>
      </c>
      <c r="D341" s="169">
        <v>1161</v>
      </c>
      <c r="E341" s="169">
        <v>2</v>
      </c>
      <c r="F341" s="169" t="s">
        <v>583</v>
      </c>
      <c r="G341" s="169" t="s">
        <v>583</v>
      </c>
      <c r="H341" s="169">
        <v>7</v>
      </c>
      <c r="I341" s="136" t="str">
        <f t="shared" si="16"/>
        <v>BIGINT</v>
      </c>
      <c r="J341" s="169" t="s">
        <v>1</v>
      </c>
      <c r="K341" s="169" t="s">
        <v>1</v>
      </c>
      <c r="L341" s="169">
        <v>30</v>
      </c>
      <c r="M341" s="168"/>
      <c r="N341" s="168"/>
      <c r="O341" s="168"/>
      <c r="P341" s="168"/>
      <c r="Q341" s="168" t="s">
        <v>0</v>
      </c>
      <c r="R341" s="168" t="s">
        <v>1</v>
      </c>
      <c r="S341" s="178" t="str">
        <f t="shared" si="17"/>
        <v>D_CP_ORIG_X_CP_UNIF_BHCP_UNIF_ID</v>
      </c>
    </row>
    <row r="342" spans="1:19" ht="14.4" x14ac:dyDescent="0.3">
      <c r="A342" s="169" t="s">
        <v>425</v>
      </c>
      <c r="B342" s="171" t="str">
        <f t="shared" si="15"/>
        <v>Определение унифицированных контрагентов из оригинальных</v>
      </c>
      <c r="C342" s="169" t="s">
        <v>440</v>
      </c>
      <c r="D342" s="169">
        <v>1162</v>
      </c>
      <c r="E342" s="169">
        <v>3</v>
      </c>
      <c r="F342" s="169" t="s">
        <v>440</v>
      </c>
      <c r="G342" s="169" t="s">
        <v>440</v>
      </c>
      <c r="H342" s="169">
        <v>22</v>
      </c>
      <c r="I342" s="136" t="str">
        <f t="shared" si="16"/>
        <v>TIMESTAMP(6)</v>
      </c>
      <c r="J342" s="169" t="s">
        <v>1</v>
      </c>
      <c r="K342" s="169" t="s">
        <v>1</v>
      </c>
      <c r="L342" s="169">
        <v>30</v>
      </c>
      <c r="M342" s="168"/>
      <c r="N342" s="168"/>
      <c r="O342" s="168"/>
      <c r="P342" s="168"/>
      <c r="Q342" s="168" t="s">
        <v>0</v>
      </c>
      <c r="R342" s="168" t="s">
        <v>1</v>
      </c>
      <c r="S342" s="178" t="str">
        <f t="shared" si="17"/>
        <v>D_CP_ORIG_X_CP_UNIF_BHRECORD_CREATE_TS</v>
      </c>
    </row>
    <row r="343" spans="1:19" ht="14.4" x14ac:dyDescent="0.3">
      <c r="A343" s="169" t="s">
        <v>425</v>
      </c>
      <c r="B343" s="171" t="str">
        <f t="shared" si="15"/>
        <v>Определение унифицированных контрагентов из оригинальных</v>
      </c>
      <c r="C343" s="169" t="s">
        <v>429</v>
      </c>
      <c r="D343" s="169">
        <v>1163</v>
      </c>
      <c r="E343" s="169">
        <v>4</v>
      </c>
      <c r="F343" s="169" t="s">
        <v>429</v>
      </c>
      <c r="G343" s="169" t="s">
        <v>429</v>
      </c>
      <c r="H343" s="169">
        <v>22</v>
      </c>
      <c r="I343" s="136" t="str">
        <f t="shared" si="16"/>
        <v>TIMESTAMP(6)</v>
      </c>
      <c r="J343" s="169" t="s">
        <v>1</v>
      </c>
      <c r="K343" s="169" t="s">
        <v>1</v>
      </c>
      <c r="L343" s="169">
        <v>30</v>
      </c>
      <c r="M343" s="168"/>
      <c r="N343" s="168"/>
      <c r="O343" s="168"/>
      <c r="P343" s="168"/>
      <c r="Q343" s="168" t="s">
        <v>0</v>
      </c>
      <c r="R343" s="168" t="s">
        <v>1</v>
      </c>
      <c r="S343" s="178" t="str">
        <f t="shared" si="17"/>
        <v>D_CP_ORIG_X_CP_UNIF_BHRECORD_UPDATE_TS</v>
      </c>
    </row>
    <row r="344" spans="1:19" ht="14.4" x14ac:dyDescent="0.3">
      <c r="A344" s="169" t="s">
        <v>425</v>
      </c>
      <c r="B344" s="171" t="str">
        <f t="shared" si="15"/>
        <v>Определение унифицированных контрагентов из оригинальных</v>
      </c>
      <c r="C344" s="169" t="s">
        <v>498</v>
      </c>
      <c r="D344" s="169">
        <v>1164</v>
      </c>
      <c r="E344" s="169">
        <v>5</v>
      </c>
      <c r="F344" s="169" t="s">
        <v>498</v>
      </c>
      <c r="G344" s="169" t="s">
        <v>498</v>
      </c>
      <c r="H344" s="169">
        <v>7</v>
      </c>
      <c r="I344" s="136" t="str">
        <f t="shared" si="16"/>
        <v>BIGINT</v>
      </c>
      <c r="J344" s="169" t="s">
        <v>1</v>
      </c>
      <c r="K344" s="169" t="s">
        <v>1</v>
      </c>
      <c r="L344" s="169">
        <v>30</v>
      </c>
      <c r="M344" s="168"/>
      <c r="N344" s="168"/>
      <c r="O344" s="168"/>
      <c r="P344" s="168"/>
      <c r="Q344" s="168" t="s">
        <v>0</v>
      </c>
      <c r="R344" s="168" t="s">
        <v>1</v>
      </c>
      <c r="S344" s="178" t="str">
        <f t="shared" si="17"/>
        <v>D_CP_ORIG_X_CP_UNIF_BHRUN_ID</v>
      </c>
    </row>
    <row r="345" spans="1:19" ht="14.4" x14ac:dyDescent="0.3">
      <c r="A345" s="169" t="s">
        <v>425</v>
      </c>
      <c r="B345" s="171" t="str">
        <f t="shared" si="15"/>
        <v>Определение унифицированных контрагентов из оригинальных</v>
      </c>
      <c r="C345" s="169" t="s">
        <v>492</v>
      </c>
      <c r="D345" s="169">
        <v>1165</v>
      </c>
      <c r="E345" s="169">
        <v>6</v>
      </c>
      <c r="F345" s="169" t="s">
        <v>492</v>
      </c>
      <c r="G345" s="169" t="s">
        <v>492</v>
      </c>
      <c r="H345" s="169">
        <v>34</v>
      </c>
      <c r="I345" s="136" t="str">
        <f t="shared" si="16"/>
        <v>DATE</v>
      </c>
      <c r="J345" s="169" t="s">
        <v>1</v>
      </c>
      <c r="K345" s="169" t="s">
        <v>1</v>
      </c>
      <c r="L345" s="169">
        <v>30</v>
      </c>
      <c r="M345" s="168"/>
      <c r="N345" s="168"/>
      <c r="O345" s="168"/>
      <c r="P345" s="168"/>
      <c r="Q345" s="168" t="s">
        <v>0</v>
      </c>
      <c r="R345" s="168" t="s">
        <v>1</v>
      </c>
      <c r="S345" s="178" t="str">
        <f t="shared" si="17"/>
        <v>D_CP_ORIG_X_CP_UNIF_BHVALIDITY_DT</v>
      </c>
    </row>
    <row r="346" spans="1:19" ht="14.4" x14ac:dyDescent="0.3">
      <c r="A346" s="169" t="s">
        <v>1340</v>
      </c>
      <c r="B346" s="171" t="str">
        <f t="shared" si="15"/>
        <v>D_CP_TEMP_GRP_SEL</v>
      </c>
      <c r="C346" s="169" t="s">
        <v>581</v>
      </c>
      <c r="D346" s="169">
        <v>1166</v>
      </c>
      <c r="E346" s="169">
        <v>1</v>
      </c>
      <c r="F346" s="169" t="s">
        <v>581</v>
      </c>
      <c r="G346" s="169" t="s">
        <v>581</v>
      </c>
      <c r="H346" s="169">
        <v>7</v>
      </c>
      <c r="I346" s="136" t="str">
        <f t="shared" si="16"/>
        <v>BIGINT</v>
      </c>
      <c r="J346" s="169" t="s">
        <v>1</v>
      </c>
      <c r="K346" s="169" t="s">
        <v>0</v>
      </c>
      <c r="L346" s="169">
        <v>30</v>
      </c>
      <c r="M346" s="168"/>
      <c r="N346" s="168"/>
      <c r="O346" s="168"/>
      <c r="P346" s="168"/>
      <c r="Q346" s="168" t="s">
        <v>0</v>
      </c>
      <c r="R346" s="168" t="s">
        <v>1</v>
      </c>
      <c r="S346" s="178" t="str">
        <f t="shared" si="17"/>
        <v>D_CP_TEMP_GRP_SELCP_ORIG_ID</v>
      </c>
    </row>
    <row r="347" spans="1:19" ht="14.4" x14ac:dyDescent="0.3">
      <c r="A347" s="169" t="s">
        <v>1340</v>
      </c>
      <c r="B347" s="171" t="str">
        <f t="shared" si="15"/>
        <v>D_CP_TEMP_GRP_SEL</v>
      </c>
      <c r="C347" s="169" t="s">
        <v>1408</v>
      </c>
      <c r="D347" s="169">
        <v>1167</v>
      </c>
      <c r="E347" s="169">
        <v>2</v>
      </c>
      <c r="F347" s="169" t="s">
        <v>1408</v>
      </c>
      <c r="G347" s="169" t="s">
        <v>1408</v>
      </c>
      <c r="H347" s="169">
        <v>7</v>
      </c>
      <c r="I347" s="136" t="str">
        <f t="shared" si="16"/>
        <v>BIGINT</v>
      </c>
      <c r="J347" s="169" t="s">
        <v>1</v>
      </c>
      <c r="K347" s="169" t="s">
        <v>1</v>
      </c>
      <c r="L347" s="169">
        <v>30</v>
      </c>
      <c r="M347" s="168"/>
      <c r="N347" s="168"/>
      <c r="O347" s="168"/>
      <c r="P347" s="168"/>
      <c r="Q347" s="168" t="s">
        <v>0</v>
      </c>
      <c r="R347" s="168" t="s">
        <v>1</v>
      </c>
      <c r="S347" s="178" t="str">
        <f t="shared" si="17"/>
        <v>D_CP_TEMP_GRP_SELDDPL_SUPERGROUP_ID</v>
      </c>
    </row>
    <row r="348" spans="1:19" ht="14.4" x14ac:dyDescent="0.3">
      <c r="A348" s="169" t="s">
        <v>1340</v>
      </c>
      <c r="B348" s="171" t="str">
        <f t="shared" si="15"/>
        <v>D_CP_TEMP_GRP_SEL</v>
      </c>
      <c r="C348" s="169" t="s">
        <v>1527</v>
      </c>
      <c r="D348" s="169">
        <v>1168</v>
      </c>
      <c r="E348" s="169">
        <v>3</v>
      </c>
      <c r="F348" s="169" t="s">
        <v>1527</v>
      </c>
      <c r="G348" s="169" t="s">
        <v>1527</v>
      </c>
      <c r="H348" s="169">
        <v>7</v>
      </c>
      <c r="I348" s="136" t="str">
        <f t="shared" si="16"/>
        <v>BIGINT</v>
      </c>
      <c r="J348" s="169" t="s">
        <v>0</v>
      </c>
      <c r="K348" s="169" t="s">
        <v>1</v>
      </c>
      <c r="L348" s="169">
        <v>30</v>
      </c>
      <c r="M348" s="168"/>
      <c r="N348" s="168"/>
      <c r="O348" s="168"/>
      <c r="P348" s="168"/>
      <c r="Q348" s="168" t="s">
        <v>0</v>
      </c>
      <c r="R348" s="168" t="s">
        <v>1</v>
      </c>
      <c r="S348" s="178" t="str">
        <f t="shared" si="17"/>
        <v>D_CP_TEMP_GRP_SELDDPL_SUPERGROUP_ID_AUTO</v>
      </c>
    </row>
    <row r="349" spans="1:19" ht="14.4" x14ac:dyDescent="0.3">
      <c r="A349" s="169" t="s">
        <v>1340</v>
      </c>
      <c r="B349" s="171" t="str">
        <f t="shared" si="15"/>
        <v>D_CP_TEMP_GRP_SEL</v>
      </c>
      <c r="C349" s="169" t="s">
        <v>1788</v>
      </c>
      <c r="D349" s="169">
        <v>1169</v>
      </c>
      <c r="E349" s="169">
        <v>4</v>
      </c>
      <c r="F349" s="169" t="s">
        <v>1788</v>
      </c>
      <c r="G349" s="169" t="s">
        <v>1788</v>
      </c>
      <c r="H349" s="169">
        <v>15</v>
      </c>
      <c r="I349" s="136" t="str">
        <f t="shared" si="16"/>
        <v xml:space="preserve">CHAR(1) </v>
      </c>
      <c r="J349" s="169" t="s">
        <v>0</v>
      </c>
      <c r="K349" s="169" t="s">
        <v>1</v>
      </c>
      <c r="L349" s="169">
        <v>30</v>
      </c>
      <c r="M349" s="168"/>
      <c r="N349" s="168"/>
      <c r="O349" s="168"/>
      <c r="P349" s="168"/>
      <c r="Q349" s="168" t="s">
        <v>0</v>
      </c>
      <c r="R349" s="168" t="s">
        <v>1</v>
      </c>
      <c r="S349" s="178" t="str">
        <f t="shared" si="17"/>
        <v>D_CP_TEMP_GRP_SELDDPL_VISIBILITY_STATUS</v>
      </c>
    </row>
    <row r="350" spans="1:19" ht="14.4" x14ac:dyDescent="0.3">
      <c r="A350" s="169" t="s">
        <v>1340</v>
      </c>
      <c r="B350" s="171" t="str">
        <f t="shared" si="15"/>
        <v>D_CP_TEMP_GRP_SEL</v>
      </c>
      <c r="C350" s="169" t="s">
        <v>440</v>
      </c>
      <c r="D350" s="169">
        <v>1170</v>
      </c>
      <c r="E350" s="169">
        <v>5</v>
      </c>
      <c r="F350" s="169" t="s">
        <v>440</v>
      </c>
      <c r="G350" s="169" t="s">
        <v>440</v>
      </c>
      <c r="H350" s="169">
        <v>22</v>
      </c>
      <c r="I350" s="136" t="str">
        <f t="shared" si="16"/>
        <v>TIMESTAMP(6)</v>
      </c>
      <c r="J350" s="169" t="s">
        <v>1</v>
      </c>
      <c r="K350" s="169" t="s">
        <v>1</v>
      </c>
      <c r="L350" s="169">
        <v>30</v>
      </c>
      <c r="M350" s="168"/>
      <c r="N350" s="168"/>
      <c r="O350" s="168"/>
      <c r="P350" s="168"/>
      <c r="Q350" s="168" t="s">
        <v>0</v>
      </c>
      <c r="R350" s="168" t="s">
        <v>1</v>
      </c>
      <c r="S350" s="178" t="str">
        <f t="shared" si="17"/>
        <v>D_CP_TEMP_GRP_SELRECORD_CREATE_TS</v>
      </c>
    </row>
    <row r="351" spans="1:19" ht="14.4" x14ac:dyDescent="0.3">
      <c r="A351" s="169" t="s">
        <v>1340</v>
      </c>
      <c r="B351" s="171" t="str">
        <f t="shared" si="15"/>
        <v>D_CP_TEMP_GRP_SEL</v>
      </c>
      <c r="C351" s="169" t="s">
        <v>429</v>
      </c>
      <c r="D351" s="169">
        <v>1171</v>
      </c>
      <c r="E351" s="169">
        <v>6</v>
      </c>
      <c r="F351" s="169" t="s">
        <v>429</v>
      </c>
      <c r="G351" s="169" t="s">
        <v>429</v>
      </c>
      <c r="H351" s="169">
        <v>22</v>
      </c>
      <c r="I351" s="136" t="str">
        <f t="shared" si="16"/>
        <v>TIMESTAMP(6)</v>
      </c>
      <c r="J351" s="169" t="s">
        <v>1</v>
      </c>
      <c r="K351" s="169" t="s">
        <v>1</v>
      </c>
      <c r="L351" s="169">
        <v>30</v>
      </c>
      <c r="M351" s="168"/>
      <c r="N351" s="168"/>
      <c r="O351" s="168"/>
      <c r="P351" s="168"/>
      <c r="Q351" s="168" t="s">
        <v>0</v>
      </c>
      <c r="R351" s="168" t="s">
        <v>1</v>
      </c>
      <c r="S351" s="178" t="str">
        <f t="shared" si="17"/>
        <v>D_CP_TEMP_GRP_SELRECORD_UPDATE_TS</v>
      </c>
    </row>
    <row r="352" spans="1:19" ht="14.4" x14ac:dyDescent="0.3">
      <c r="A352" s="169" t="s">
        <v>1340</v>
      </c>
      <c r="B352" s="171" t="str">
        <f t="shared" si="15"/>
        <v>D_CP_TEMP_GRP_SEL</v>
      </c>
      <c r="C352" s="169" t="s">
        <v>492</v>
      </c>
      <c r="D352" s="169">
        <v>1172</v>
      </c>
      <c r="E352" s="169">
        <v>7</v>
      </c>
      <c r="F352" s="169" t="s">
        <v>492</v>
      </c>
      <c r="G352" s="169" t="s">
        <v>492</v>
      </c>
      <c r="H352" s="169">
        <v>34</v>
      </c>
      <c r="I352" s="136" t="str">
        <f t="shared" si="16"/>
        <v>DATE</v>
      </c>
      <c r="J352" s="169" t="s">
        <v>1</v>
      </c>
      <c r="K352" s="169" t="s">
        <v>1</v>
      </c>
      <c r="L352" s="169">
        <v>30</v>
      </c>
      <c r="M352" s="168"/>
      <c r="N352" s="168"/>
      <c r="O352" s="168"/>
      <c r="P352" s="168"/>
      <c r="Q352" s="168" t="s">
        <v>0</v>
      </c>
      <c r="R352" s="168" t="s">
        <v>1</v>
      </c>
      <c r="S352" s="178" t="str">
        <f t="shared" si="17"/>
        <v>D_CP_TEMP_GRP_SELVALIDITY_DT</v>
      </c>
    </row>
    <row r="353" spans="1:19" ht="14.4" x14ac:dyDescent="0.3">
      <c r="A353" s="169" t="s">
        <v>388</v>
      </c>
      <c r="B353" s="171" t="str">
        <f t="shared" si="15"/>
        <v>Контрагент унифицированный</v>
      </c>
      <c r="C353" s="169" t="s">
        <v>1449</v>
      </c>
      <c r="D353" s="169">
        <v>1173</v>
      </c>
      <c r="E353" s="169">
        <v>1</v>
      </c>
      <c r="F353" s="169" t="s">
        <v>1449</v>
      </c>
      <c r="G353" s="169" t="s">
        <v>1449</v>
      </c>
      <c r="H353" s="169">
        <v>21</v>
      </c>
      <c r="I353" s="136" t="str">
        <f t="shared" si="16"/>
        <v>DECIMAL(19, 2)</v>
      </c>
      <c r="J353" s="169" t="s">
        <v>0</v>
      </c>
      <c r="K353" s="169" t="s">
        <v>1</v>
      </c>
      <c r="L353" s="169">
        <v>30</v>
      </c>
      <c r="M353" s="168"/>
      <c r="N353" s="168"/>
      <c r="O353" s="168"/>
      <c r="P353" s="168"/>
      <c r="Q353" s="168" t="s">
        <v>0</v>
      </c>
      <c r="R353" s="168" t="s">
        <v>1</v>
      </c>
      <c r="S353" s="178" t="str">
        <f t="shared" si="17"/>
        <v>D_CP_UNIF_BTHANNUAL_SALES_CCY_AMT</v>
      </c>
    </row>
    <row r="354" spans="1:19" ht="14.4" x14ac:dyDescent="0.3">
      <c r="A354" s="169" t="s">
        <v>388</v>
      </c>
      <c r="B354" s="171" t="str">
        <f t="shared" si="15"/>
        <v>Контрагент унифицированный</v>
      </c>
      <c r="C354" s="169" t="s">
        <v>1471</v>
      </c>
      <c r="D354" s="169">
        <v>1174</v>
      </c>
      <c r="E354" s="169">
        <v>2</v>
      </c>
      <c r="F354" s="169" t="s">
        <v>1471</v>
      </c>
      <c r="G354" s="169" t="s">
        <v>1471</v>
      </c>
      <c r="H354" s="169">
        <v>7</v>
      </c>
      <c r="I354" s="136" t="str">
        <f t="shared" si="16"/>
        <v>BIGINT</v>
      </c>
      <c r="J354" s="169" t="s">
        <v>0</v>
      </c>
      <c r="K354" s="169" t="s">
        <v>1</v>
      </c>
      <c r="L354" s="169">
        <v>30</v>
      </c>
      <c r="M354" s="168"/>
      <c r="N354" s="168"/>
      <c r="O354" s="168"/>
      <c r="P354" s="168"/>
      <c r="Q354" s="168" t="s">
        <v>0</v>
      </c>
      <c r="R354" s="168" t="s">
        <v>1</v>
      </c>
      <c r="S354" s="178" t="str">
        <f t="shared" si="17"/>
        <v>D_CP_UNIF_BTHANNUAL_SALES_CURRENCY_ID</v>
      </c>
    </row>
    <row r="355" spans="1:19" ht="14.4" x14ac:dyDescent="0.3">
      <c r="A355" s="169" t="s">
        <v>388</v>
      </c>
      <c r="B355" s="171" t="str">
        <f t="shared" si="15"/>
        <v>Контрагент унифицированный</v>
      </c>
      <c r="C355" s="169" t="s">
        <v>1499</v>
      </c>
      <c r="D355" s="169">
        <v>1175</v>
      </c>
      <c r="E355" s="169">
        <v>3</v>
      </c>
      <c r="F355" s="169" t="s">
        <v>1499</v>
      </c>
      <c r="G355" s="169" t="s">
        <v>1499</v>
      </c>
      <c r="H355" s="169">
        <v>34</v>
      </c>
      <c r="I355" s="136" t="str">
        <f t="shared" si="16"/>
        <v>DATE</v>
      </c>
      <c r="J355" s="169" t="s">
        <v>0</v>
      </c>
      <c r="K355" s="169" t="s">
        <v>1</v>
      </c>
      <c r="L355" s="169">
        <v>30</v>
      </c>
      <c r="M355" s="168"/>
      <c r="N355" s="168"/>
      <c r="O355" s="168"/>
      <c r="P355" s="168"/>
      <c r="Q355" s="168" t="s">
        <v>0</v>
      </c>
      <c r="R355" s="168" t="s">
        <v>1</v>
      </c>
      <c r="S355" s="178" t="str">
        <f t="shared" si="17"/>
        <v>D_CP_UNIF_BTHANNUAL_SALES_RPT_DT</v>
      </c>
    </row>
    <row r="356" spans="1:19" ht="14.4" x14ac:dyDescent="0.3">
      <c r="A356" s="169" t="s">
        <v>388</v>
      </c>
      <c r="B356" s="171" t="str">
        <f t="shared" si="15"/>
        <v>Контрагент унифицированный</v>
      </c>
      <c r="C356" s="169" t="s">
        <v>711</v>
      </c>
      <c r="D356" s="169">
        <v>1176</v>
      </c>
      <c r="E356" s="169">
        <v>4</v>
      </c>
      <c r="F356" s="169" t="s">
        <v>711</v>
      </c>
      <c r="G356" s="169" t="s">
        <v>711</v>
      </c>
      <c r="H356" s="169">
        <v>21</v>
      </c>
      <c r="I356" s="136" t="str">
        <f t="shared" si="16"/>
        <v>DECIMAL(19, 2)</v>
      </c>
      <c r="J356" s="169" t="s">
        <v>0</v>
      </c>
      <c r="K356" s="169" t="s">
        <v>1</v>
      </c>
      <c r="L356" s="169">
        <v>30</v>
      </c>
      <c r="M356" s="168"/>
      <c r="N356" s="168"/>
      <c r="O356" s="168"/>
      <c r="P356" s="168"/>
      <c r="Q356" s="168" t="s">
        <v>0</v>
      </c>
      <c r="R356" s="168" t="s">
        <v>1</v>
      </c>
      <c r="S356" s="178" t="str">
        <f t="shared" si="17"/>
        <v>D_CP_UNIF_BTHANNUAL_SALES_RUB_AMT</v>
      </c>
    </row>
    <row r="357" spans="1:19" ht="14.4" x14ac:dyDescent="0.3">
      <c r="A357" s="169" t="s">
        <v>388</v>
      </c>
      <c r="B357" s="171" t="str">
        <f t="shared" si="15"/>
        <v>Контрагент унифицированный</v>
      </c>
      <c r="C357" s="169" t="s">
        <v>743</v>
      </c>
      <c r="D357" s="169">
        <v>1177</v>
      </c>
      <c r="E357" s="169">
        <v>5</v>
      </c>
      <c r="F357" s="169" t="s">
        <v>743</v>
      </c>
      <c r="G357" s="169" t="s">
        <v>743</v>
      </c>
      <c r="H357" s="169">
        <v>15</v>
      </c>
      <c r="I357" s="136" t="str">
        <f t="shared" si="16"/>
        <v xml:space="preserve">CHAR(1) </v>
      </c>
      <c r="J357" s="169" t="s">
        <v>0</v>
      </c>
      <c r="K357" s="169" t="s">
        <v>1</v>
      </c>
      <c r="L357" s="169">
        <v>30</v>
      </c>
      <c r="M357" s="168"/>
      <c r="N357" s="168"/>
      <c r="O357" s="168"/>
      <c r="P357" s="168"/>
      <c r="Q357" s="168" t="s">
        <v>0</v>
      </c>
      <c r="R357" s="168" t="s">
        <v>1</v>
      </c>
      <c r="S357" s="178" t="str">
        <f t="shared" si="17"/>
        <v>D_CP_UNIF_BTHBASEL3_ADJ_IND</v>
      </c>
    </row>
    <row r="358" spans="1:19" ht="14.4" x14ac:dyDescent="0.3">
      <c r="A358" s="169" t="s">
        <v>388</v>
      </c>
      <c r="B358" s="171" t="str">
        <f t="shared" si="15"/>
        <v>Контрагент унифицированный</v>
      </c>
      <c r="C358" s="169" t="s">
        <v>717</v>
      </c>
      <c r="D358" s="169">
        <v>1178</v>
      </c>
      <c r="E358" s="169">
        <v>6</v>
      </c>
      <c r="F358" s="169" t="s">
        <v>717</v>
      </c>
      <c r="G358" s="169" t="s">
        <v>717</v>
      </c>
      <c r="H358" s="169">
        <v>15</v>
      </c>
      <c r="I358" s="136" t="str">
        <f t="shared" si="16"/>
        <v xml:space="preserve">CHAR(1) </v>
      </c>
      <c r="J358" s="169" t="s">
        <v>0</v>
      </c>
      <c r="K358" s="169" t="s">
        <v>1</v>
      </c>
      <c r="L358" s="169">
        <v>30</v>
      </c>
      <c r="M358" s="168"/>
      <c r="N358" s="168"/>
      <c r="O358" s="168"/>
      <c r="P358" s="168"/>
      <c r="Q358" s="168" t="s">
        <v>0</v>
      </c>
      <c r="R358" s="168" t="s">
        <v>1</v>
      </c>
      <c r="S358" s="178" t="str">
        <f t="shared" si="17"/>
        <v>D_CP_UNIF_BTHCBRF_IND</v>
      </c>
    </row>
    <row r="359" spans="1:19" ht="14.4" x14ac:dyDescent="0.3">
      <c r="A359" s="169" t="s">
        <v>388</v>
      </c>
      <c r="B359" s="171" t="str">
        <f t="shared" si="15"/>
        <v>Контрагент унифицированный</v>
      </c>
      <c r="C359" s="169" t="s">
        <v>718</v>
      </c>
      <c r="D359" s="169">
        <v>1179</v>
      </c>
      <c r="E359" s="169">
        <v>7</v>
      </c>
      <c r="F359" s="169" t="s">
        <v>718</v>
      </c>
      <c r="G359" s="169" t="s">
        <v>718</v>
      </c>
      <c r="H359" s="169">
        <v>7</v>
      </c>
      <c r="I359" s="136" t="str">
        <f t="shared" si="16"/>
        <v>BIGINT</v>
      </c>
      <c r="J359" s="169" t="s">
        <v>0</v>
      </c>
      <c r="K359" s="169" t="s">
        <v>1</v>
      </c>
      <c r="L359" s="169">
        <v>30</v>
      </c>
      <c r="M359" s="168"/>
      <c r="N359" s="168"/>
      <c r="O359" s="168"/>
      <c r="P359" s="168"/>
      <c r="Q359" s="168" t="s">
        <v>0</v>
      </c>
      <c r="R359" s="168" t="s">
        <v>1</v>
      </c>
      <c r="S359" s="178" t="str">
        <f t="shared" si="17"/>
        <v>D_CP_UNIF_BTHCOUNTRY_ID</v>
      </c>
    </row>
    <row r="360" spans="1:19" ht="14.4" x14ac:dyDescent="0.3">
      <c r="A360" s="169" t="s">
        <v>388</v>
      </c>
      <c r="B360" s="171" t="str">
        <f t="shared" si="15"/>
        <v>Контрагент унифицированный</v>
      </c>
      <c r="C360" s="169" t="s">
        <v>725</v>
      </c>
      <c r="D360" s="169">
        <v>1180</v>
      </c>
      <c r="E360" s="169">
        <v>8</v>
      </c>
      <c r="F360" s="169" t="s">
        <v>725</v>
      </c>
      <c r="G360" s="169" t="s">
        <v>725</v>
      </c>
      <c r="H360" s="169">
        <v>7</v>
      </c>
      <c r="I360" s="136" t="str">
        <f t="shared" si="16"/>
        <v>BIGINT</v>
      </c>
      <c r="J360" s="169" t="s">
        <v>0</v>
      </c>
      <c r="K360" s="169" t="s">
        <v>1</v>
      </c>
      <c r="L360" s="169">
        <v>30</v>
      </c>
      <c r="M360" s="168"/>
      <c r="N360" s="168"/>
      <c r="O360" s="168"/>
      <c r="P360" s="168"/>
      <c r="Q360" s="168" t="s">
        <v>0</v>
      </c>
      <c r="R360" s="168" t="s">
        <v>1</v>
      </c>
      <c r="S360" s="178" t="str">
        <f t="shared" si="17"/>
        <v>D_CP_UNIF_BTHCP_FIN_POS_ID</v>
      </c>
    </row>
    <row r="361" spans="1:19" ht="14.4" x14ac:dyDescent="0.3">
      <c r="A361" s="169" t="s">
        <v>388</v>
      </c>
      <c r="B361" s="171" t="str">
        <f t="shared" si="15"/>
        <v>Контрагент унифицированный</v>
      </c>
      <c r="C361" s="169" t="s">
        <v>523</v>
      </c>
      <c r="D361" s="169">
        <v>1181</v>
      </c>
      <c r="E361" s="169">
        <v>9</v>
      </c>
      <c r="F361" s="169" t="s">
        <v>523</v>
      </c>
      <c r="G361" s="169" t="s">
        <v>523</v>
      </c>
      <c r="H361" s="169">
        <v>7</v>
      </c>
      <c r="I361" s="136" t="str">
        <f t="shared" si="16"/>
        <v>BIGINT</v>
      </c>
      <c r="J361" s="169" t="s">
        <v>0</v>
      </c>
      <c r="K361" s="169" t="s">
        <v>1</v>
      </c>
      <c r="L361" s="169">
        <v>30</v>
      </c>
      <c r="M361" s="168"/>
      <c r="N361" s="168"/>
      <c r="O361" s="168"/>
      <c r="P361" s="168"/>
      <c r="Q361" s="168" t="s">
        <v>0</v>
      </c>
      <c r="R361" s="168" t="s">
        <v>1</v>
      </c>
      <c r="S361" s="178" t="str">
        <f t="shared" si="17"/>
        <v>D_CP_UNIF_BTHCP_GROUP_ORIG_ID</v>
      </c>
    </row>
    <row r="362" spans="1:19" ht="14.4" x14ac:dyDescent="0.3">
      <c r="A362" s="169" t="s">
        <v>388</v>
      </c>
      <c r="B362" s="171" t="str">
        <f t="shared" si="15"/>
        <v>Контрагент унифицированный</v>
      </c>
      <c r="C362" s="169" t="s">
        <v>728</v>
      </c>
      <c r="D362" s="169">
        <v>1182</v>
      </c>
      <c r="E362" s="169">
        <v>10</v>
      </c>
      <c r="F362" s="169" t="s">
        <v>728</v>
      </c>
      <c r="G362" s="169" t="s">
        <v>728</v>
      </c>
      <c r="H362" s="169">
        <v>24</v>
      </c>
      <c r="I362" s="136" t="str">
        <f t="shared" si="16"/>
        <v xml:space="preserve">VARCHAR(40) </v>
      </c>
      <c r="J362" s="169" t="s">
        <v>0</v>
      </c>
      <c r="K362" s="169" t="s">
        <v>1</v>
      </c>
      <c r="L362" s="169">
        <v>30</v>
      </c>
      <c r="M362" s="168"/>
      <c r="N362" s="168"/>
      <c r="O362" s="168"/>
      <c r="P362" s="168"/>
      <c r="Q362" s="168" t="s">
        <v>0</v>
      </c>
      <c r="R362" s="168" t="s">
        <v>1</v>
      </c>
      <c r="S362" s="178" t="str">
        <f t="shared" si="17"/>
        <v>D_CP_UNIF_BTHCP_ID_IN_CRM</v>
      </c>
    </row>
    <row r="363" spans="1:19" ht="14.4" x14ac:dyDescent="0.3">
      <c r="A363" s="169" t="s">
        <v>388</v>
      </c>
      <c r="B363" s="171" t="str">
        <f t="shared" si="15"/>
        <v>Контрагент унифицированный</v>
      </c>
      <c r="C363" s="169" t="s">
        <v>1445</v>
      </c>
      <c r="D363" s="169">
        <v>1183</v>
      </c>
      <c r="E363" s="169">
        <v>11</v>
      </c>
      <c r="F363" s="169" t="s">
        <v>1445</v>
      </c>
      <c r="G363" s="169" t="s">
        <v>1445</v>
      </c>
      <c r="H363" s="169">
        <v>24</v>
      </c>
      <c r="I363" s="136" t="str">
        <f t="shared" si="16"/>
        <v xml:space="preserve">VARCHAR(40) </v>
      </c>
      <c r="J363" s="169" t="s">
        <v>0</v>
      </c>
      <c r="K363" s="169" t="s">
        <v>1</v>
      </c>
      <c r="L363" s="169">
        <v>30</v>
      </c>
      <c r="M363" s="168"/>
      <c r="N363" s="168"/>
      <c r="O363" s="168"/>
      <c r="P363" s="168"/>
      <c r="Q363" s="168" t="s">
        <v>0</v>
      </c>
      <c r="R363" s="168" t="s">
        <v>1</v>
      </c>
      <c r="S363" s="178" t="str">
        <f t="shared" si="17"/>
        <v>D_CP_UNIF_BTHCP_INN</v>
      </c>
    </row>
    <row r="364" spans="1:19" ht="14.4" x14ac:dyDescent="0.3">
      <c r="A364" s="169" t="s">
        <v>388</v>
      </c>
      <c r="B364" s="171" t="str">
        <f t="shared" si="15"/>
        <v>Контрагент унифицированный</v>
      </c>
      <c r="C364" s="169" t="s">
        <v>730</v>
      </c>
      <c r="D364" s="169">
        <v>1184</v>
      </c>
      <c r="E364" s="169">
        <v>12</v>
      </c>
      <c r="F364" s="169" t="s">
        <v>730</v>
      </c>
      <c r="G364" s="169" t="s">
        <v>730</v>
      </c>
      <c r="H364" s="169">
        <v>15</v>
      </c>
      <c r="I364" s="136" t="str">
        <f t="shared" si="16"/>
        <v xml:space="preserve">CHAR(1) </v>
      </c>
      <c r="J364" s="169" t="s">
        <v>0</v>
      </c>
      <c r="K364" s="169" t="s">
        <v>1</v>
      </c>
      <c r="L364" s="169">
        <v>30</v>
      </c>
      <c r="M364" s="168"/>
      <c r="N364" s="168"/>
      <c r="O364" s="168"/>
      <c r="P364" s="168"/>
      <c r="Q364" s="168" t="s">
        <v>0</v>
      </c>
      <c r="R364" s="168" t="s">
        <v>1</v>
      </c>
      <c r="S364" s="178" t="str">
        <f t="shared" si="17"/>
        <v>D_CP_UNIF_BTHCP_INN_VALID_IND</v>
      </c>
    </row>
    <row r="365" spans="1:19" ht="14.4" x14ac:dyDescent="0.3">
      <c r="A365" s="169" t="s">
        <v>388</v>
      </c>
      <c r="B365" s="171" t="str">
        <f t="shared" si="15"/>
        <v>Контрагент унифицированный</v>
      </c>
      <c r="C365" s="169" t="s">
        <v>732</v>
      </c>
      <c r="D365" s="169">
        <v>1185</v>
      </c>
      <c r="E365" s="169">
        <v>13</v>
      </c>
      <c r="F365" s="169" t="s">
        <v>732</v>
      </c>
      <c r="G365" s="169" t="s">
        <v>732</v>
      </c>
      <c r="H365" s="169">
        <v>24</v>
      </c>
      <c r="I365" s="136" t="str">
        <f t="shared" si="16"/>
        <v xml:space="preserve">VARCHAR(40) </v>
      </c>
      <c r="J365" s="169" t="s">
        <v>0</v>
      </c>
      <c r="K365" s="169" t="s">
        <v>1</v>
      </c>
      <c r="L365" s="169">
        <v>30</v>
      </c>
      <c r="M365" s="168"/>
      <c r="N365" s="168"/>
      <c r="O365" s="168"/>
      <c r="P365" s="168"/>
      <c r="Q365" s="168" t="s">
        <v>0</v>
      </c>
      <c r="R365" s="168" t="s">
        <v>1</v>
      </c>
      <c r="S365" s="178" t="str">
        <f t="shared" si="17"/>
        <v>D_CP_UNIF_BTHCP_KPP</v>
      </c>
    </row>
    <row r="366" spans="1:19" ht="14.4" x14ac:dyDescent="0.3">
      <c r="A366" s="169" t="s">
        <v>388</v>
      </c>
      <c r="B366" s="171" t="str">
        <f t="shared" si="15"/>
        <v>Контрагент унифицированный</v>
      </c>
      <c r="C366" s="169" t="s">
        <v>738</v>
      </c>
      <c r="D366" s="169">
        <v>1186</v>
      </c>
      <c r="E366" s="169">
        <v>14</v>
      </c>
      <c r="F366" s="169" t="s">
        <v>738</v>
      </c>
      <c r="G366" s="169" t="s">
        <v>738</v>
      </c>
      <c r="H366" s="169">
        <v>21</v>
      </c>
      <c r="I366" s="136" t="str">
        <f t="shared" si="16"/>
        <v>DECIMAL(19, 2)</v>
      </c>
      <c r="J366" s="169" t="s">
        <v>0</v>
      </c>
      <c r="K366" s="169" t="s">
        <v>1</v>
      </c>
      <c r="L366" s="169">
        <v>30</v>
      </c>
      <c r="M366" s="168"/>
      <c r="N366" s="168"/>
      <c r="O366" s="168"/>
      <c r="P366" s="168"/>
      <c r="Q366" s="168" t="s">
        <v>0</v>
      </c>
      <c r="R366" s="168" t="s">
        <v>1</v>
      </c>
      <c r="S366" s="178" t="str">
        <f t="shared" si="17"/>
        <v>D_CP_UNIF_BTHCP_LIMIT_CCY_AMT</v>
      </c>
    </row>
    <row r="367" spans="1:19" ht="14.4" x14ac:dyDescent="0.3">
      <c r="A367" s="169" t="s">
        <v>388</v>
      </c>
      <c r="B367" s="171" t="str">
        <f t="shared" si="15"/>
        <v>Контрагент унифицированный</v>
      </c>
      <c r="C367" s="169" t="s">
        <v>721</v>
      </c>
      <c r="D367" s="169">
        <v>1187</v>
      </c>
      <c r="E367" s="169">
        <v>15</v>
      </c>
      <c r="F367" s="169" t="s">
        <v>721</v>
      </c>
      <c r="G367" s="169" t="s">
        <v>721</v>
      </c>
      <c r="H367" s="169">
        <v>7</v>
      </c>
      <c r="I367" s="136" t="str">
        <f t="shared" si="16"/>
        <v>BIGINT</v>
      </c>
      <c r="J367" s="169" t="s">
        <v>0</v>
      </c>
      <c r="K367" s="169" t="s">
        <v>1</v>
      </c>
      <c r="L367" s="169">
        <v>30</v>
      </c>
      <c r="M367" s="168"/>
      <c r="N367" s="168"/>
      <c r="O367" s="168"/>
      <c r="P367" s="168"/>
      <c r="Q367" s="168" t="s">
        <v>0</v>
      </c>
      <c r="R367" s="168" t="s">
        <v>1</v>
      </c>
      <c r="S367" s="178" t="str">
        <f t="shared" si="17"/>
        <v>D_CP_UNIF_BTHCP_LIMIT_CURRENCY_ID</v>
      </c>
    </row>
    <row r="368" spans="1:19" ht="14.4" x14ac:dyDescent="0.3">
      <c r="A368" s="169" t="s">
        <v>388</v>
      </c>
      <c r="B368" s="171" t="str">
        <f t="shared" si="15"/>
        <v>Контрагент унифицированный</v>
      </c>
      <c r="C368" s="169" t="s">
        <v>739</v>
      </c>
      <c r="D368" s="169">
        <v>1188</v>
      </c>
      <c r="E368" s="169">
        <v>16</v>
      </c>
      <c r="F368" s="169" t="s">
        <v>739</v>
      </c>
      <c r="G368" s="169" t="s">
        <v>739</v>
      </c>
      <c r="H368" s="169">
        <v>34</v>
      </c>
      <c r="I368" s="136" t="str">
        <f t="shared" si="16"/>
        <v>DATE</v>
      </c>
      <c r="J368" s="169" t="s">
        <v>0</v>
      </c>
      <c r="K368" s="169" t="s">
        <v>1</v>
      </c>
      <c r="L368" s="169">
        <v>30</v>
      </c>
      <c r="M368" s="168"/>
      <c r="N368" s="168"/>
      <c r="O368" s="168"/>
      <c r="P368" s="168"/>
      <c r="Q368" s="168" t="s">
        <v>0</v>
      </c>
      <c r="R368" s="168" t="s">
        <v>1</v>
      </c>
      <c r="S368" s="178" t="str">
        <f t="shared" si="17"/>
        <v>D_CP_UNIF_BTHCP_LIMIT_ESTABLISHED_DT</v>
      </c>
    </row>
    <row r="369" spans="1:19" ht="14.4" x14ac:dyDescent="0.3">
      <c r="A369" s="169" t="s">
        <v>388</v>
      </c>
      <c r="B369" s="171" t="str">
        <f t="shared" si="15"/>
        <v>Контрагент унифицированный</v>
      </c>
      <c r="C369" s="169" t="s">
        <v>740</v>
      </c>
      <c r="D369" s="169">
        <v>1189</v>
      </c>
      <c r="E369" s="169">
        <v>17</v>
      </c>
      <c r="F369" s="169" t="s">
        <v>740</v>
      </c>
      <c r="G369" s="169" t="s">
        <v>740</v>
      </c>
      <c r="H369" s="169">
        <v>34</v>
      </c>
      <c r="I369" s="136" t="str">
        <f t="shared" si="16"/>
        <v>DATE</v>
      </c>
      <c r="J369" s="169" t="s">
        <v>0</v>
      </c>
      <c r="K369" s="169" t="s">
        <v>1</v>
      </c>
      <c r="L369" s="169">
        <v>30</v>
      </c>
      <c r="M369" s="168"/>
      <c r="N369" s="168"/>
      <c r="O369" s="168"/>
      <c r="P369" s="168"/>
      <c r="Q369" s="168" t="s">
        <v>0</v>
      </c>
      <c r="R369" s="168" t="s">
        <v>1</v>
      </c>
      <c r="S369" s="178" t="str">
        <f t="shared" si="17"/>
        <v>D_CP_UNIF_BTHCP_LIMIT_EXPIRATION_DT</v>
      </c>
    </row>
    <row r="370" spans="1:19" ht="14.4" x14ac:dyDescent="0.3">
      <c r="A370" s="169" t="s">
        <v>388</v>
      </c>
      <c r="B370" s="171" t="str">
        <f t="shared" si="15"/>
        <v>Контрагент унифицированный</v>
      </c>
      <c r="C370" s="169" t="s">
        <v>712</v>
      </c>
      <c r="D370" s="169">
        <v>1190</v>
      </c>
      <c r="E370" s="169">
        <v>18</v>
      </c>
      <c r="F370" s="169" t="s">
        <v>712</v>
      </c>
      <c r="G370" s="169" t="s">
        <v>712</v>
      </c>
      <c r="H370" s="169">
        <v>24</v>
      </c>
      <c r="I370" s="136" t="str">
        <f t="shared" si="16"/>
        <v xml:space="preserve">VARCHAR(40) </v>
      </c>
      <c r="J370" s="169" t="s">
        <v>0</v>
      </c>
      <c r="K370" s="169" t="s">
        <v>1</v>
      </c>
      <c r="L370" s="169">
        <v>30</v>
      </c>
      <c r="M370" s="168"/>
      <c r="N370" s="168"/>
      <c r="O370" s="168"/>
      <c r="P370" s="168"/>
      <c r="Q370" s="168" t="s">
        <v>0</v>
      </c>
      <c r="R370" s="168" t="s">
        <v>1</v>
      </c>
      <c r="S370" s="178" t="str">
        <f t="shared" si="17"/>
        <v>D_CP_UNIF_BTHCP_MIXED_ID</v>
      </c>
    </row>
    <row r="371" spans="1:19" ht="14.4" x14ac:dyDescent="0.3">
      <c r="A371" s="169" t="s">
        <v>388</v>
      </c>
      <c r="B371" s="171" t="str">
        <f t="shared" si="15"/>
        <v>Контрагент унифицированный</v>
      </c>
      <c r="C371" s="169" t="s">
        <v>713</v>
      </c>
      <c r="D371" s="169">
        <v>1191</v>
      </c>
      <c r="E371" s="169">
        <v>19</v>
      </c>
      <c r="F371" s="169" t="s">
        <v>713</v>
      </c>
      <c r="G371" s="169" t="s">
        <v>713</v>
      </c>
      <c r="H371" s="169">
        <v>13</v>
      </c>
      <c r="I371" s="136" t="str">
        <f t="shared" si="16"/>
        <v xml:space="preserve">VARCHAR(300) </v>
      </c>
      <c r="J371" s="169" t="s">
        <v>0</v>
      </c>
      <c r="K371" s="169" t="s">
        <v>1</v>
      </c>
      <c r="L371" s="169">
        <v>30</v>
      </c>
      <c r="M371" s="168"/>
      <c r="N371" s="168"/>
      <c r="O371" s="168"/>
      <c r="P371" s="168"/>
      <c r="Q371" s="168" t="s">
        <v>0</v>
      </c>
      <c r="R371" s="168" t="s">
        <v>1</v>
      </c>
      <c r="S371" s="178" t="str">
        <f t="shared" si="17"/>
        <v>D_CP_UNIF_BTHCP_NM</v>
      </c>
    </row>
    <row r="372" spans="1:19" ht="14.4" x14ac:dyDescent="0.3">
      <c r="A372" s="169" t="s">
        <v>388</v>
      </c>
      <c r="B372" s="171" t="str">
        <f t="shared" si="15"/>
        <v>Контрагент унифицированный</v>
      </c>
      <c r="C372" s="169" t="s">
        <v>1517</v>
      </c>
      <c r="D372" s="169">
        <v>1192</v>
      </c>
      <c r="E372" s="169">
        <v>20</v>
      </c>
      <c r="F372" s="169" t="s">
        <v>1517</v>
      </c>
      <c r="G372" s="169" t="s">
        <v>1517</v>
      </c>
      <c r="H372" s="169">
        <v>3</v>
      </c>
      <c r="I372" s="136" t="str">
        <f t="shared" si="16"/>
        <v>DECIMAL(20, 6)</v>
      </c>
      <c r="J372" s="169" t="s">
        <v>0</v>
      </c>
      <c r="K372" s="169" t="s">
        <v>1</v>
      </c>
      <c r="L372" s="169">
        <v>30</v>
      </c>
      <c r="M372" s="168"/>
      <c r="N372" s="168"/>
      <c r="O372" s="168"/>
      <c r="P372" s="168"/>
      <c r="Q372" s="168" t="s">
        <v>0</v>
      </c>
      <c r="R372" s="168" t="s">
        <v>1</v>
      </c>
      <c r="S372" s="178" t="str">
        <f t="shared" si="17"/>
        <v>D_CP_UNIF_BTHCP_PF_RATIO</v>
      </c>
    </row>
    <row r="373" spans="1:19" ht="14.4" x14ac:dyDescent="0.3">
      <c r="A373" s="169" t="s">
        <v>388</v>
      </c>
      <c r="B373" s="171" t="str">
        <f t="shared" si="15"/>
        <v>Контрагент унифицированный</v>
      </c>
      <c r="C373" s="169" t="s">
        <v>723</v>
      </c>
      <c r="D373" s="169">
        <v>1193</v>
      </c>
      <c r="E373" s="169">
        <v>21</v>
      </c>
      <c r="F373" s="169" t="s">
        <v>723</v>
      </c>
      <c r="G373" s="169" t="s">
        <v>723</v>
      </c>
      <c r="H373" s="169">
        <v>7</v>
      </c>
      <c r="I373" s="136" t="str">
        <f t="shared" si="16"/>
        <v>BIGINT</v>
      </c>
      <c r="J373" s="169" t="s">
        <v>0</v>
      </c>
      <c r="K373" s="169" t="s">
        <v>1</v>
      </c>
      <c r="L373" s="169">
        <v>30</v>
      </c>
      <c r="M373" s="168"/>
      <c r="N373" s="168"/>
      <c r="O373" s="168"/>
      <c r="P373" s="168"/>
      <c r="Q373" s="168" t="s">
        <v>0</v>
      </c>
      <c r="R373" s="168" t="s">
        <v>1</v>
      </c>
      <c r="S373" s="178" t="str">
        <f t="shared" si="17"/>
        <v>D_CP_UNIF_BTHCP_RELATION_TYPE_ID</v>
      </c>
    </row>
    <row r="374" spans="1:19" ht="14.4" x14ac:dyDescent="0.3">
      <c r="A374" s="169" t="s">
        <v>388</v>
      </c>
      <c r="B374" s="171" t="str">
        <f t="shared" si="15"/>
        <v>Контрагент унифицированный</v>
      </c>
      <c r="C374" s="169" t="s">
        <v>470</v>
      </c>
      <c r="D374" s="169">
        <v>1194</v>
      </c>
      <c r="E374" s="169">
        <v>22</v>
      </c>
      <c r="F374" s="169" t="s">
        <v>470</v>
      </c>
      <c r="G374" s="169" t="s">
        <v>470</v>
      </c>
      <c r="H374" s="169">
        <v>7</v>
      </c>
      <c r="I374" s="136" t="str">
        <f t="shared" si="16"/>
        <v>BIGINT</v>
      </c>
      <c r="J374" s="169" t="s">
        <v>0</v>
      </c>
      <c r="K374" s="169" t="s">
        <v>1</v>
      </c>
      <c r="L374" s="169">
        <v>30</v>
      </c>
      <c r="M374" s="168"/>
      <c r="N374" s="168"/>
      <c r="O374" s="168"/>
      <c r="P374" s="168"/>
      <c r="Q374" s="168" t="s">
        <v>0</v>
      </c>
      <c r="R374" s="168" t="s">
        <v>1</v>
      </c>
      <c r="S374" s="178" t="str">
        <f t="shared" si="17"/>
        <v>D_CP_UNIF_BTHCP_TYPE_ID</v>
      </c>
    </row>
    <row r="375" spans="1:19" ht="14.4" x14ac:dyDescent="0.3">
      <c r="A375" s="169" t="s">
        <v>388</v>
      </c>
      <c r="B375" s="171" t="str">
        <f t="shared" si="15"/>
        <v>Контрагент унифицированный</v>
      </c>
      <c r="C375" s="169" t="s">
        <v>583</v>
      </c>
      <c r="D375" s="169">
        <v>1195</v>
      </c>
      <c r="E375" s="169">
        <v>23</v>
      </c>
      <c r="F375" s="169" t="s">
        <v>583</v>
      </c>
      <c r="G375" s="169" t="s">
        <v>583</v>
      </c>
      <c r="H375" s="169">
        <v>27</v>
      </c>
      <c r="I375" s="136" t="str">
        <f t="shared" si="16"/>
        <v>INTEGER</v>
      </c>
      <c r="J375" s="169" t="s">
        <v>1</v>
      </c>
      <c r="K375" s="169" t="s">
        <v>0</v>
      </c>
      <c r="L375" s="169">
        <v>30</v>
      </c>
      <c r="M375" s="168"/>
      <c r="N375" s="168"/>
      <c r="O375" s="168"/>
      <c r="P375" s="168"/>
      <c r="Q375" s="168" t="s">
        <v>0</v>
      </c>
      <c r="R375" s="168" t="s">
        <v>1</v>
      </c>
      <c r="S375" s="178" t="str">
        <f t="shared" si="17"/>
        <v>D_CP_UNIF_BTHCP_UNIF_ID</v>
      </c>
    </row>
    <row r="376" spans="1:19" ht="14.4" x14ac:dyDescent="0.3">
      <c r="A376" s="169" t="s">
        <v>388</v>
      </c>
      <c r="B376" s="171" t="str">
        <f t="shared" si="15"/>
        <v>Контрагент унифицированный</v>
      </c>
      <c r="C376" s="169" t="s">
        <v>707</v>
      </c>
      <c r="D376" s="169">
        <v>1196</v>
      </c>
      <c r="E376" s="169">
        <v>24</v>
      </c>
      <c r="F376" s="169" t="s">
        <v>707</v>
      </c>
      <c r="G376" s="169" t="s">
        <v>707</v>
      </c>
      <c r="H376" s="169">
        <v>7</v>
      </c>
      <c r="I376" s="136" t="str">
        <f t="shared" si="16"/>
        <v>BIGINT</v>
      </c>
      <c r="J376" s="169" t="s">
        <v>1</v>
      </c>
      <c r="K376" s="169" t="s">
        <v>1</v>
      </c>
      <c r="L376" s="169">
        <v>30</v>
      </c>
      <c r="M376" s="168"/>
      <c r="N376" s="168"/>
      <c r="O376" s="168"/>
      <c r="P376" s="168"/>
      <c r="Q376" s="168" t="s">
        <v>0</v>
      </c>
      <c r="R376" s="168" t="s">
        <v>1</v>
      </c>
      <c r="S376" s="178" t="str">
        <f t="shared" si="17"/>
        <v>D_CP_UNIF_BTHCP_UNIF_SK</v>
      </c>
    </row>
    <row r="377" spans="1:19" ht="14.4" x14ac:dyDescent="0.3">
      <c r="A377" s="169" t="s">
        <v>388</v>
      </c>
      <c r="B377" s="171" t="str">
        <f t="shared" si="15"/>
        <v>Контрагент унифицированный</v>
      </c>
      <c r="C377" s="169" t="s">
        <v>1494</v>
      </c>
      <c r="D377" s="169">
        <v>1197</v>
      </c>
      <c r="E377" s="169">
        <v>25</v>
      </c>
      <c r="F377" s="169" t="s">
        <v>1494</v>
      </c>
      <c r="G377" s="169" t="s">
        <v>1494</v>
      </c>
      <c r="H377" s="169">
        <v>7</v>
      </c>
      <c r="I377" s="136" t="str">
        <f t="shared" si="16"/>
        <v>BIGINT</v>
      </c>
      <c r="J377" s="169" t="s">
        <v>0</v>
      </c>
      <c r="K377" s="169" t="s">
        <v>1</v>
      </c>
      <c r="L377" s="169">
        <v>30</v>
      </c>
      <c r="M377" s="168"/>
      <c r="N377" s="168"/>
      <c r="O377" s="168"/>
      <c r="P377" s="168"/>
      <c r="Q377" s="168" t="s">
        <v>0</v>
      </c>
      <c r="R377" s="168" t="s">
        <v>1</v>
      </c>
      <c r="S377" s="178" t="str">
        <f t="shared" si="17"/>
        <v>D_CP_UNIF_BTHCRM_CARD_TYPE_ID</v>
      </c>
    </row>
    <row r="378" spans="1:19" ht="14.4" x14ac:dyDescent="0.3">
      <c r="A378" s="169" t="s">
        <v>388</v>
      </c>
      <c r="B378" s="171" t="str">
        <f t="shared" si="15"/>
        <v>Контрагент унифицированный</v>
      </c>
      <c r="C378" s="169" t="s">
        <v>1465</v>
      </c>
      <c r="D378" s="169">
        <v>1198</v>
      </c>
      <c r="E378" s="169">
        <v>26</v>
      </c>
      <c r="F378" s="169" t="s">
        <v>1465</v>
      </c>
      <c r="G378" s="169" t="s">
        <v>1465</v>
      </c>
      <c r="H378" s="169">
        <v>7</v>
      </c>
      <c r="I378" s="136" t="str">
        <f t="shared" si="16"/>
        <v>BIGINT</v>
      </c>
      <c r="J378" s="169" t="s">
        <v>0</v>
      </c>
      <c r="K378" s="169" t="s">
        <v>1</v>
      </c>
      <c r="L378" s="169">
        <v>30</v>
      </c>
      <c r="M378" s="168"/>
      <c r="N378" s="168"/>
      <c r="O378" s="168"/>
      <c r="P378" s="168"/>
      <c r="Q378" s="168" t="s">
        <v>0</v>
      </c>
      <c r="R378" s="168" t="s">
        <v>1</v>
      </c>
      <c r="S378" s="178" t="str">
        <f t="shared" si="17"/>
        <v>D_CP_UNIF_BTHCRM_INDUSTRY_ID</v>
      </c>
    </row>
    <row r="379" spans="1:19" ht="14.4" x14ac:dyDescent="0.3">
      <c r="A379" s="169" t="s">
        <v>388</v>
      </c>
      <c r="B379" s="171" t="str">
        <f t="shared" si="15"/>
        <v>Контрагент унифицированный</v>
      </c>
      <c r="C379" s="169" t="s">
        <v>748</v>
      </c>
      <c r="D379" s="169">
        <v>1199</v>
      </c>
      <c r="E379" s="169">
        <v>27</v>
      </c>
      <c r="F379" s="169" t="s">
        <v>748</v>
      </c>
      <c r="G379" s="169" t="s">
        <v>748</v>
      </c>
      <c r="H379" s="169">
        <v>13</v>
      </c>
      <c r="I379" s="136" t="str">
        <f t="shared" si="16"/>
        <v xml:space="preserve">VARCHAR(300) </v>
      </c>
      <c r="J379" s="169" t="s">
        <v>0</v>
      </c>
      <c r="K379" s="169" t="s">
        <v>1</v>
      </c>
      <c r="L379" s="169">
        <v>30</v>
      </c>
      <c r="M379" s="168"/>
      <c r="N379" s="168"/>
      <c r="O379" s="168"/>
      <c r="P379" s="168"/>
      <c r="Q379" s="168" t="s">
        <v>0</v>
      </c>
      <c r="R379" s="168" t="s">
        <v>1</v>
      </c>
      <c r="S379" s="178" t="str">
        <f t="shared" si="17"/>
        <v>D_CP_UNIF_BTHCRM_SEGMENT_NM</v>
      </c>
    </row>
    <row r="380" spans="1:19" ht="14.4" x14ac:dyDescent="0.3">
      <c r="A380" s="169" t="s">
        <v>388</v>
      </c>
      <c r="B380" s="171" t="str">
        <f t="shared" si="15"/>
        <v>Контрагент унифицированный</v>
      </c>
      <c r="C380" s="169" t="s">
        <v>614</v>
      </c>
      <c r="D380" s="169">
        <v>1200</v>
      </c>
      <c r="E380" s="169">
        <v>28</v>
      </c>
      <c r="F380" s="169" t="s">
        <v>614</v>
      </c>
      <c r="G380" s="169" t="s">
        <v>614</v>
      </c>
      <c r="H380" s="169">
        <v>7</v>
      </c>
      <c r="I380" s="136" t="str">
        <f t="shared" si="16"/>
        <v>BIGINT</v>
      </c>
      <c r="J380" s="169" t="s">
        <v>0</v>
      </c>
      <c r="K380" s="169" t="s">
        <v>1</v>
      </c>
      <c r="L380" s="169">
        <v>30</v>
      </c>
      <c r="M380" s="168"/>
      <c r="N380" s="168"/>
      <c r="O380" s="168"/>
      <c r="P380" s="168"/>
      <c r="Q380" s="168" t="s">
        <v>0</v>
      </c>
      <c r="R380" s="168" t="s">
        <v>1</v>
      </c>
      <c r="S380" s="178" t="str">
        <f t="shared" si="17"/>
        <v>D_CP_UNIF_BTHCURRENCY_ID</v>
      </c>
    </row>
    <row r="381" spans="1:19" ht="14.4" x14ac:dyDescent="0.3">
      <c r="A381" s="169" t="s">
        <v>388</v>
      </c>
      <c r="B381" s="171" t="str">
        <f t="shared" si="15"/>
        <v>Контрагент унифицированный</v>
      </c>
      <c r="C381" s="169" t="s">
        <v>569</v>
      </c>
      <c r="D381" s="169">
        <v>1201</v>
      </c>
      <c r="E381" s="169">
        <v>29</v>
      </c>
      <c r="F381" s="169" t="s">
        <v>569</v>
      </c>
      <c r="G381" s="169" t="s">
        <v>569</v>
      </c>
      <c r="H381" s="169">
        <v>7</v>
      </c>
      <c r="I381" s="136" t="str">
        <f t="shared" si="16"/>
        <v>BIGINT</v>
      </c>
      <c r="J381" s="169" t="s">
        <v>0</v>
      </c>
      <c r="K381" s="169" t="s">
        <v>1</v>
      </c>
      <c r="L381" s="169">
        <v>30</v>
      </c>
      <c r="M381" s="168"/>
      <c r="N381" s="168"/>
      <c r="O381" s="168"/>
      <c r="P381" s="168"/>
      <c r="Q381" s="168" t="s">
        <v>0</v>
      </c>
      <c r="R381" s="168" t="s">
        <v>1</v>
      </c>
      <c r="S381" s="178" t="str">
        <f t="shared" si="17"/>
        <v>D_CP_UNIF_BTHECAP_INDUSTRY_ID</v>
      </c>
    </row>
    <row r="382" spans="1:19" ht="14.4" x14ac:dyDescent="0.3">
      <c r="A382" s="169" t="s">
        <v>388</v>
      </c>
      <c r="B382" s="171" t="str">
        <f t="shared" si="15"/>
        <v>Контрагент унифицированный</v>
      </c>
      <c r="C382" s="169" t="s">
        <v>473</v>
      </c>
      <c r="D382" s="169">
        <v>1202</v>
      </c>
      <c r="E382" s="169">
        <v>30</v>
      </c>
      <c r="F382" s="169" t="s">
        <v>473</v>
      </c>
      <c r="G382" s="169" t="s">
        <v>473</v>
      </c>
      <c r="H382" s="169">
        <v>7</v>
      </c>
      <c r="I382" s="136" t="str">
        <f t="shared" si="16"/>
        <v>BIGINT</v>
      </c>
      <c r="J382" s="169" t="s">
        <v>0</v>
      </c>
      <c r="K382" s="169" t="s">
        <v>1</v>
      </c>
      <c r="L382" s="169">
        <v>30</v>
      </c>
      <c r="M382" s="168"/>
      <c r="N382" s="168"/>
      <c r="O382" s="168"/>
      <c r="P382" s="168"/>
      <c r="Q382" s="168" t="s">
        <v>0</v>
      </c>
      <c r="R382" s="168" t="s">
        <v>1</v>
      </c>
      <c r="S382" s="178" t="str">
        <f t="shared" si="17"/>
        <v>D_CP_UNIF_BTHECAP_PARAM_INDUSTRY_ID</v>
      </c>
    </row>
    <row r="383" spans="1:19" ht="14.4" x14ac:dyDescent="0.3">
      <c r="A383" s="169" t="s">
        <v>388</v>
      </c>
      <c r="B383" s="171" t="str">
        <f t="shared" si="15"/>
        <v>Контрагент унифицированный</v>
      </c>
      <c r="C383" s="169" t="s">
        <v>515</v>
      </c>
      <c r="D383" s="169">
        <v>1203</v>
      </c>
      <c r="E383" s="169">
        <v>31</v>
      </c>
      <c r="F383" s="169" t="s">
        <v>515</v>
      </c>
      <c r="G383" s="169" t="s">
        <v>515</v>
      </c>
      <c r="H383" s="169">
        <v>7</v>
      </c>
      <c r="I383" s="136" t="str">
        <f t="shared" si="16"/>
        <v>BIGINT</v>
      </c>
      <c r="J383" s="169" t="s">
        <v>0</v>
      </c>
      <c r="K383" s="169" t="s">
        <v>1</v>
      </c>
      <c r="L383" s="169">
        <v>30</v>
      </c>
      <c r="M383" s="168"/>
      <c r="N383" s="168"/>
      <c r="O383" s="168"/>
      <c r="P383" s="168"/>
      <c r="Q383" s="168" t="s">
        <v>0</v>
      </c>
      <c r="R383" s="168" t="s">
        <v>1</v>
      </c>
      <c r="S383" s="178" t="str">
        <f t="shared" si="17"/>
        <v>D_CP_UNIF_BTHECAP_SEGMENT_ID</v>
      </c>
    </row>
    <row r="384" spans="1:19" ht="14.4" x14ac:dyDescent="0.3">
      <c r="A384" s="169" t="s">
        <v>388</v>
      </c>
      <c r="B384" s="171" t="str">
        <f t="shared" si="15"/>
        <v>Контрагент унифицированный</v>
      </c>
      <c r="C384" s="169" t="s">
        <v>726</v>
      </c>
      <c r="D384" s="169">
        <v>1204</v>
      </c>
      <c r="E384" s="169">
        <v>32</v>
      </c>
      <c r="F384" s="169" t="s">
        <v>726</v>
      </c>
      <c r="G384" s="169" t="s">
        <v>726</v>
      </c>
      <c r="H384" s="169">
        <v>13</v>
      </c>
      <c r="I384" s="136" t="str">
        <f t="shared" si="16"/>
        <v xml:space="preserve">VARCHAR(300) </v>
      </c>
      <c r="J384" s="169" t="s">
        <v>0</v>
      </c>
      <c r="K384" s="169" t="s">
        <v>1</v>
      </c>
      <c r="L384" s="169">
        <v>30</v>
      </c>
      <c r="M384" s="168"/>
      <c r="N384" s="168"/>
      <c r="O384" s="168"/>
      <c r="P384" s="168"/>
      <c r="Q384" s="168" t="s">
        <v>0</v>
      </c>
      <c r="R384" s="168" t="s">
        <v>1</v>
      </c>
      <c r="S384" s="178" t="str">
        <f t="shared" si="17"/>
        <v>D_CP_UNIF_BTHEFF_CITY</v>
      </c>
    </row>
    <row r="385" spans="1:19" ht="14.4" x14ac:dyDescent="0.3">
      <c r="A385" s="169" t="s">
        <v>388</v>
      </c>
      <c r="B385" s="171" t="str">
        <f t="shared" si="15"/>
        <v>Контрагент унифицированный</v>
      </c>
      <c r="C385" s="169" t="s">
        <v>720</v>
      </c>
      <c r="D385" s="169">
        <v>1205</v>
      </c>
      <c r="E385" s="169">
        <v>33</v>
      </c>
      <c r="F385" s="169" t="s">
        <v>720</v>
      </c>
      <c r="G385" s="169" t="s">
        <v>720</v>
      </c>
      <c r="H385" s="169">
        <v>7</v>
      </c>
      <c r="I385" s="136" t="str">
        <f t="shared" si="16"/>
        <v>BIGINT</v>
      </c>
      <c r="J385" s="169" t="s">
        <v>0</v>
      </c>
      <c r="K385" s="169" t="s">
        <v>1</v>
      </c>
      <c r="L385" s="169">
        <v>30</v>
      </c>
      <c r="M385" s="168"/>
      <c r="N385" s="168"/>
      <c r="O385" s="168"/>
      <c r="P385" s="168"/>
      <c r="Q385" s="168" t="s">
        <v>0</v>
      </c>
      <c r="R385" s="168" t="s">
        <v>1</v>
      </c>
      <c r="S385" s="178" t="str">
        <f t="shared" si="17"/>
        <v>D_CP_UNIF_BTHEFF_COUNTRY_ID</v>
      </c>
    </row>
    <row r="386" spans="1:19" ht="14.4" x14ac:dyDescent="0.3">
      <c r="A386" s="169" t="s">
        <v>388</v>
      </c>
      <c r="B386" s="171" t="str">
        <f t="shared" ref="B386:B449" si="18">IF(NOT(ISBLANK(A386)),VLOOKUP(A386,ERM_TABLE_NM,2,FALSE), "")</f>
        <v>Контрагент унифицированный</v>
      </c>
      <c r="C386" s="169" t="s">
        <v>1421</v>
      </c>
      <c r="D386" s="169">
        <v>1206</v>
      </c>
      <c r="E386" s="169">
        <v>34</v>
      </c>
      <c r="F386" s="169" t="s">
        <v>1421</v>
      </c>
      <c r="G386" s="169" t="s">
        <v>1421</v>
      </c>
      <c r="H386" s="169">
        <v>27</v>
      </c>
      <c r="I386" s="136" t="str">
        <f t="shared" ref="I386:I449" si="19">IF(NOT(ISBLANK(H386)),VLOOKUP(H386,ERM_DOMAIN_NM,2,FALSE), "")</f>
        <v>INTEGER</v>
      </c>
      <c r="J386" s="169" t="s">
        <v>0</v>
      </c>
      <c r="K386" s="169" t="s">
        <v>1</v>
      </c>
      <c r="L386" s="169">
        <v>30</v>
      </c>
      <c r="M386" s="168"/>
      <c r="N386" s="168"/>
      <c r="O386" s="168"/>
      <c r="P386" s="168"/>
      <c r="Q386" s="168" t="s">
        <v>0</v>
      </c>
      <c r="R386" s="168" t="s">
        <v>1</v>
      </c>
      <c r="S386" s="178" t="str">
        <f t="shared" si="17"/>
        <v>D_CP_UNIF_BTHEMPLOYEES_CNT</v>
      </c>
    </row>
    <row r="387" spans="1:19" ht="14.4" x14ac:dyDescent="0.3">
      <c r="A387" s="169" t="s">
        <v>388</v>
      </c>
      <c r="B387" s="171" t="str">
        <f t="shared" si="18"/>
        <v>Контрагент унифицированный</v>
      </c>
      <c r="C387" s="169" t="s">
        <v>1386</v>
      </c>
      <c r="D387" s="169">
        <v>1207</v>
      </c>
      <c r="E387" s="169">
        <v>35</v>
      </c>
      <c r="F387" s="169" t="s">
        <v>1386</v>
      </c>
      <c r="G387" s="169" t="s">
        <v>1386</v>
      </c>
      <c r="H387" s="169">
        <v>7</v>
      </c>
      <c r="I387" s="136" t="str">
        <f t="shared" si="19"/>
        <v>BIGINT</v>
      </c>
      <c r="J387" s="169" t="s">
        <v>0</v>
      </c>
      <c r="K387" s="169" t="s">
        <v>1</v>
      </c>
      <c r="L387" s="169">
        <v>30</v>
      </c>
      <c r="M387" s="168"/>
      <c r="N387" s="168"/>
      <c r="O387" s="168"/>
      <c r="P387" s="168"/>
      <c r="Q387" s="168" t="s">
        <v>0</v>
      </c>
      <c r="R387" s="168" t="s">
        <v>1</v>
      </c>
      <c r="S387" s="178" t="str">
        <f t="shared" ref="S387:S450" si="20">CONCATENATE(A387,C387)</f>
        <v>D_CP_UNIF_BTHERM_CP_SEGMENT_ID</v>
      </c>
    </row>
    <row r="388" spans="1:19" ht="14.4" x14ac:dyDescent="0.3">
      <c r="A388" s="169" t="s">
        <v>388</v>
      </c>
      <c r="B388" s="171" t="str">
        <f t="shared" si="18"/>
        <v>Контрагент унифицированный</v>
      </c>
      <c r="C388" s="169" t="s">
        <v>1422</v>
      </c>
      <c r="D388" s="169">
        <v>1208</v>
      </c>
      <c r="E388" s="169">
        <v>36</v>
      </c>
      <c r="F388" s="169" t="s">
        <v>1422</v>
      </c>
      <c r="G388" s="169" t="s">
        <v>1422</v>
      </c>
      <c r="H388" s="169">
        <v>24</v>
      </c>
      <c r="I388" s="136" t="str">
        <f t="shared" si="19"/>
        <v xml:space="preserve">VARCHAR(40) </v>
      </c>
      <c r="J388" s="169" t="s">
        <v>0</v>
      </c>
      <c r="K388" s="169" t="s">
        <v>1</v>
      </c>
      <c r="L388" s="169">
        <v>30</v>
      </c>
      <c r="M388" s="168"/>
      <c r="N388" s="168"/>
      <c r="O388" s="168"/>
      <c r="P388" s="168"/>
      <c r="Q388" s="168" t="s">
        <v>0</v>
      </c>
      <c r="R388" s="168" t="s">
        <v>1</v>
      </c>
      <c r="S388" s="178" t="str">
        <f t="shared" si="20"/>
        <v>D_CP_UNIF_BTHEXTRNL_RATING_GRADE</v>
      </c>
    </row>
    <row r="389" spans="1:19" ht="14.4" x14ac:dyDescent="0.3">
      <c r="A389" s="169" t="s">
        <v>388</v>
      </c>
      <c r="B389" s="171" t="str">
        <f t="shared" si="18"/>
        <v>Контрагент унифицированный</v>
      </c>
      <c r="C389" s="169" t="s">
        <v>595</v>
      </c>
      <c r="D389" s="169">
        <v>1209</v>
      </c>
      <c r="E389" s="169">
        <v>37</v>
      </c>
      <c r="F389" s="169" t="s">
        <v>595</v>
      </c>
      <c r="G389" s="169" t="s">
        <v>595</v>
      </c>
      <c r="H389" s="169">
        <v>15</v>
      </c>
      <c r="I389" s="136" t="str">
        <f t="shared" si="19"/>
        <v xml:space="preserve">CHAR(1) </v>
      </c>
      <c r="J389" s="169" t="s">
        <v>0</v>
      </c>
      <c r="K389" s="169" t="s">
        <v>1</v>
      </c>
      <c r="L389" s="169">
        <v>30</v>
      </c>
      <c r="M389" s="168"/>
      <c r="N389" s="168"/>
      <c r="O389" s="168"/>
      <c r="P389" s="168"/>
      <c r="Q389" s="168" t="s">
        <v>0</v>
      </c>
      <c r="R389" s="168" t="s">
        <v>1</v>
      </c>
      <c r="S389" s="178" t="str">
        <f t="shared" si="20"/>
        <v>D_CP_UNIF_BTHIN_DEFAULT_IND</v>
      </c>
    </row>
    <row r="390" spans="1:19" ht="14.4" x14ac:dyDescent="0.3">
      <c r="A390" s="169" t="s">
        <v>388</v>
      </c>
      <c r="B390" s="171" t="str">
        <f t="shared" si="18"/>
        <v>Контрагент унифицированный</v>
      </c>
      <c r="C390" s="169" t="s">
        <v>340</v>
      </c>
      <c r="D390" s="169">
        <v>1210</v>
      </c>
      <c r="E390" s="169">
        <v>38</v>
      </c>
      <c r="F390" s="169" t="s">
        <v>340</v>
      </c>
      <c r="G390" s="169" t="s">
        <v>340</v>
      </c>
      <c r="H390" s="169">
        <v>13</v>
      </c>
      <c r="I390" s="136" t="str">
        <f t="shared" si="19"/>
        <v xml:space="preserve">VARCHAR(300) </v>
      </c>
      <c r="J390" s="169" t="s">
        <v>0</v>
      </c>
      <c r="K390" s="169" t="s">
        <v>1</v>
      </c>
      <c r="L390" s="169">
        <v>30</v>
      </c>
      <c r="M390" s="168"/>
      <c r="N390" s="168"/>
      <c r="O390" s="168"/>
      <c r="P390" s="168"/>
      <c r="Q390" s="168" t="s">
        <v>0</v>
      </c>
      <c r="R390" s="168" t="s">
        <v>1</v>
      </c>
      <c r="S390" s="178" t="str">
        <f t="shared" si="20"/>
        <v>D_CP_UNIF_BTHLOCAL_CP_CLASS1</v>
      </c>
    </row>
    <row r="391" spans="1:19" ht="14.4" x14ac:dyDescent="0.3">
      <c r="A391" s="169" t="s">
        <v>388</v>
      </c>
      <c r="B391" s="171" t="str">
        <f t="shared" si="18"/>
        <v>Контрагент унифицированный</v>
      </c>
      <c r="C391" s="169" t="s">
        <v>339</v>
      </c>
      <c r="D391" s="169">
        <v>1211</v>
      </c>
      <c r="E391" s="169">
        <v>39</v>
      </c>
      <c r="F391" s="169" t="s">
        <v>339</v>
      </c>
      <c r="G391" s="169" t="s">
        <v>339</v>
      </c>
      <c r="H391" s="169">
        <v>13</v>
      </c>
      <c r="I391" s="136" t="str">
        <f t="shared" si="19"/>
        <v xml:space="preserve">VARCHAR(300) </v>
      </c>
      <c r="J391" s="169" t="s">
        <v>0</v>
      </c>
      <c r="K391" s="169" t="s">
        <v>1</v>
      </c>
      <c r="L391" s="169">
        <v>30</v>
      </c>
      <c r="M391" s="168"/>
      <c r="N391" s="168"/>
      <c r="O391" s="168"/>
      <c r="P391" s="168"/>
      <c r="Q391" s="168" t="s">
        <v>0</v>
      </c>
      <c r="R391" s="168" t="s">
        <v>1</v>
      </c>
      <c r="S391" s="178" t="str">
        <f t="shared" si="20"/>
        <v>D_CP_UNIF_BTHLOCAL_CP_CLASS2</v>
      </c>
    </row>
    <row r="392" spans="1:19" ht="14.4" x14ac:dyDescent="0.3">
      <c r="A392" s="169" t="s">
        <v>388</v>
      </c>
      <c r="B392" s="171" t="str">
        <f t="shared" si="18"/>
        <v>Контрагент унифицированный</v>
      </c>
      <c r="C392" s="169" t="s">
        <v>538</v>
      </c>
      <c r="D392" s="169">
        <v>1212</v>
      </c>
      <c r="E392" s="169">
        <v>40</v>
      </c>
      <c r="F392" s="169" t="s">
        <v>538</v>
      </c>
      <c r="G392" s="169" t="s">
        <v>538</v>
      </c>
      <c r="H392" s="169">
        <v>7</v>
      </c>
      <c r="I392" s="136" t="str">
        <f t="shared" si="19"/>
        <v>BIGINT</v>
      </c>
      <c r="J392" s="169" t="s">
        <v>0</v>
      </c>
      <c r="K392" s="169" t="s">
        <v>1</v>
      </c>
      <c r="L392" s="169">
        <v>30</v>
      </c>
      <c r="M392" s="168"/>
      <c r="N392" s="168"/>
      <c r="O392" s="168"/>
      <c r="P392" s="168"/>
      <c r="Q392" s="168" t="s">
        <v>0</v>
      </c>
      <c r="R392" s="168" t="s">
        <v>1</v>
      </c>
      <c r="S392" s="178" t="str">
        <f t="shared" si="20"/>
        <v>D_CP_UNIF_BTHNACE_INDUSTRY_ID</v>
      </c>
    </row>
    <row r="393" spans="1:19" ht="14.4" x14ac:dyDescent="0.3">
      <c r="A393" s="169" t="s">
        <v>388</v>
      </c>
      <c r="B393" s="171" t="str">
        <f t="shared" si="18"/>
        <v>Контрагент унифицированный</v>
      </c>
      <c r="C393" s="169" t="s">
        <v>507</v>
      </c>
      <c r="D393" s="169">
        <v>1213</v>
      </c>
      <c r="E393" s="169">
        <v>41</v>
      </c>
      <c r="F393" s="169" t="s">
        <v>507</v>
      </c>
      <c r="G393" s="169" t="s">
        <v>507</v>
      </c>
      <c r="H393" s="169">
        <v>7</v>
      </c>
      <c r="I393" s="136" t="str">
        <f t="shared" si="19"/>
        <v>BIGINT</v>
      </c>
      <c r="J393" s="169" t="s">
        <v>0</v>
      </c>
      <c r="K393" s="169" t="s">
        <v>1</v>
      </c>
      <c r="L393" s="169">
        <v>30</v>
      </c>
      <c r="M393" s="168"/>
      <c r="N393" s="168"/>
      <c r="O393" s="168"/>
      <c r="P393" s="168"/>
      <c r="Q393" s="168" t="s">
        <v>0</v>
      </c>
      <c r="R393" s="168" t="s">
        <v>1</v>
      </c>
      <c r="S393" s="178" t="str">
        <f t="shared" si="20"/>
        <v>D_CP_UNIF_BTHOKVED_INDUSTRY_ID</v>
      </c>
    </row>
    <row r="394" spans="1:19" ht="14.4" x14ac:dyDescent="0.3">
      <c r="A394" s="169" t="s">
        <v>388</v>
      </c>
      <c r="B394" s="171" t="str">
        <f t="shared" si="18"/>
        <v>Контрагент унифицированный</v>
      </c>
      <c r="C394" s="169" t="s">
        <v>736</v>
      </c>
      <c r="D394" s="169">
        <v>1214</v>
      </c>
      <c r="E394" s="169">
        <v>42</v>
      </c>
      <c r="F394" s="169" t="s">
        <v>736</v>
      </c>
      <c r="G394" s="169" t="s">
        <v>736</v>
      </c>
      <c r="H394" s="169">
        <v>24</v>
      </c>
      <c r="I394" s="136" t="str">
        <f t="shared" si="19"/>
        <v xml:space="preserve">VARCHAR(40) </v>
      </c>
      <c r="J394" s="169" t="s">
        <v>0</v>
      </c>
      <c r="K394" s="169" t="s">
        <v>1</v>
      </c>
      <c r="L394" s="169">
        <v>30</v>
      </c>
      <c r="M394" s="168"/>
      <c r="N394" s="168"/>
      <c r="O394" s="168"/>
      <c r="P394" s="168"/>
      <c r="Q394" s="168" t="s">
        <v>0</v>
      </c>
      <c r="R394" s="168" t="s">
        <v>1</v>
      </c>
      <c r="S394" s="178" t="str">
        <f t="shared" si="20"/>
        <v>D_CP_UNIF_BTHOWNERSHIP_TYPE</v>
      </c>
    </row>
    <row r="395" spans="1:19" ht="14.4" x14ac:dyDescent="0.3">
      <c r="A395" s="169" t="s">
        <v>388</v>
      </c>
      <c r="B395" s="171" t="str">
        <f t="shared" si="18"/>
        <v>Контрагент унифицированный</v>
      </c>
      <c r="C395" s="169" t="s">
        <v>630</v>
      </c>
      <c r="D395" s="169">
        <v>1215</v>
      </c>
      <c r="E395" s="169">
        <v>43</v>
      </c>
      <c r="F395" s="169" t="s">
        <v>630</v>
      </c>
      <c r="G395" s="169" t="s">
        <v>630</v>
      </c>
      <c r="H395" s="169">
        <v>27</v>
      </c>
      <c r="I395" s="136" t="str">
        <f t="shared" si="19"/>
        <v>INTEGER</v>
      </c>
      <c r="J395" s="169" t="s">
        <v>0</v>
      </c>
      <c r="K395" s="169" t="s">
        <v>1</v>
      </c>
      <c r="L395" s="169">
        <v>30</v>
      </c>
      <c r="M395" s="168"/>
      <c r="N395" s="168"/>
      <c r="O395" s="168"/>
      <c r="P395" s="168"/>
      <c r="Q395" s="168" t="s">
        <v>0</v>
      </c>
      <c r="R395" s="168" t="s">
        <v>1</v>
      </c>
      <c r="S395" s="178" t="str">
        <f t="shared" si="20"/>
        <v>D_CP_UNIF_BTHPAST_DUE_DAYS_CNT</v>
      </c>
    </row>
    <row r="396" spans="1:19" ht="14.4" x14ac:dyDescent="0.3">
      <c r="A396" s="169" t="s">
        <v>388</v>
      </c>
      <c r="B396" s="171" t="str">
        <f t="shared" si="18"/>
        <v>Контрагент унифицированный</v>
      </c>
      <c r="C396" s="169" t="s">
        <v>1461</v>
      </c>
      <c r="D396" s="169">
        <v>1216</v>
      </c>
      <c r="E396" s="169">
        <v>44</v>
      </c>
      <c r="F396" s="169" t="s">
        <v>1461</v>
      </c>
      <c r="G396" s="169" t="s">
        <v>1461</v>
      </c>
      <c r="H396" s="169">
        <v>7</v>
      </c>
      <c r="I396" s="136" t="str">
        <f t="shared" si="19"/>
        <v>BIGINT</v>
      </c>
      <c r="J396" s="169" t="s">
        <v>0</v>
      </c>
      <c r="K396" s="169" t="s">
        <v>1</v>
      </c>
      <c r="L396" s="169">
        <v>30</v>
      </c>
      <c r="M396" s="168"/>
      <c r="N396" s="168"/>
      <c r="O396" s="168"/>
      <c r="P396" s="168"/>
      <c r="Q396" s="168" t="s">
        <v>0</v>
      </c>
      <c r="R396" s="168" t="s">
        <v>1</v>
      </c>
      <c r="S396" s="178" t="str">
        <f t="shared" si="20"/>
        <v>D_CP_UNIF_BTHPD_MODEL_ID</v>
      </c>
    </row>
    <row r="397" spans="1:19" ht="14.4" x14ac:dyDescent="0.3">
      <c r="A397" s="169" t="s">
        <v>388</v>
      </c>
      <c r="B397" s="171" t="str">
        <f t="shared" si="18"/>
        <v>Контрагент унифицированный</v>
      </c>
      <c r="C397" s="169" t="s">
        <v>697</v>
      </c>
      <c r="D397" s="169">
        <v>1217</v>
      </c>
      <c r="E397" s="169">
        <v>45</v>
      </c>
      <c r="F397" s="169" t="s">
        <v>697</v>
      </c>
      <c r="G397" s="169" t="s">
        <v>697</v>
      </c>
      <c r="H397" s="169">
        <v>3</v>
      </c>
      <c r="I397" s="136" t="str">
        <f t="shared" si="19"/>
        <v>DECIMAL(20, 6)</v>
      </c>
      <c r="J397" s="169" t="s">
        <v>0</v>
      </c>
      <c r="K397" s="169" t="s">
        <v>1</v>
      </c>
      <c r="L397" s="169">
        <v>30</v>
      </c>
      <c r="M397" s="168"/>
      <c r="N397" s="168"/>
      <c r="O397" s="168"/>
      <c r="P397" s="168"/>
      <c r="Q397" s="168" t="s">
        <v>0</v>
      </c>
      <c r="R397" s="168" t="s">
        <v>1</v>
      </c>
      <c r="S397" s="178" t="str">
        <f t="shared" si="20"/>
        <v>D_CP_UNIF_BTHPD_PIT_PCT</v>
      </c>
    </row>
    <row r="398" spans="1:19" ht="14.4" x14ac:dyDescent="0.3">
      <c r="A398" s="169" t="s">
        <v>388</v>
      </c>
      <c r="B398" s="171" t="str">
        <f t="shared" si="18"/>
        <v>Контрагент унифицированный</v>
      </c>
      <c r="C398" s="169" t="s">
        <v>437</v>
      </c>
      <c r="D398" s="169">
        <v>1218</v>
      </c>
      <c r="E398" s="169">
        <v>46</v>
      </c>
      <c r="F398" s="169" t="s">
        <v>437</v>
      </c>
      <c r="G398" s="169" t="s">
        <v>437</v>
      </c>
      <c r="H398" s="169">
        <v>3</v>
      </c>
      <c r="I398" s="136" t="str">
        <f t="shared" si="19"/>
        <v>DECIMAL(20, 6)</v>
      </c>
      <c r="J398" s="169" t="s">
        <v>0</v>
      </c>
      <c r="K398" s="169" t="s">
        <v>1</v>
      </c>
      <c r="L398" s="169">
        <v>30</v>
      </c>
      <c r="M398" s="168"/>
      <c r="N398" s="168"/>
      <c r="O398" s="168"/>
      <c r="P398" s="168"/>
      <c r="Q398" s="168" t="s">
        <v>0</v>
      </c>
      <c r="R398" s="168" t="s">
        <v>1</v>
      </c>
      <c r="S398" s="178" t="str">
        <f t="shared" si="20"/>
        <v>D_CP_UNIF_BTHPD_TTC_PCT</v>
      </c>
    </row>
    <row r="399" spans="1:19" ht="14.4" x14ac:dyDescent="0.3">
      <c r="A399" s="169" t="s">
        <v>388</v>
      </c>
      <c r="B399" s="171" t="str">
        <f t="shared" si="18"/>
        <v>Контрагент унифицированный</v>
      </c>
      <c r="C399" s="169" t="s">
        <v>682</v>
      </c>
      <c r="D399" s="169">
        <v>1219</v>
      </c>
      <c r="E399" s="169">
        <v>47</v>
      </c>
      <c r="F399" s="169" t="s">
        <v>682</v>
      </c>
      <c r="G399" s="169" t="s">
        <v>682</v>
      </c>
      <c r="H399" s="169">
        <v>27</v>
      </c>
      <c r="I399" s="136" t="str">
        <f t="shared" si="19"/>
        <v>INTEGER</v>
      </c>
      <c r="J399" s="169" t="s">
        <v>0</v>
      </c>
      <c r="K399" s="169" t="s">
        <v>1</v>
      </c>
      <c r="L399" s="169">
        <v>30</v>
      </c>
      <c r="M399" s="168"/>
      <c r="N399" s="168"/>
      <c r="O399" s="168"/>
      <c r="P399" s="168"/>
      <c r="Q399" s="168" t="s">
        <v>0</v>
      </c>
      <c r="R399" s="168" t="s">
        <v>1</v>
      </c>
      <c r="S399" s="178" t="str">
        <f t="shared" si="20"/>
        <v>D_CP_UNIF_BTHPREV_RATING_GRADE</v>
      </c>
    </row>
    <row r="400" spans="1:19" ht="14.4" x14ac:dyDescent="0.3">
      <c r="A400" s="169" t="s">
        <v>388</v>
      </c>
      <c r="B400" s="171" t="str">
        <f t="shared" si="18"/>
        <v>Контрагент унифицированный</v>
      </c>
      <c r="C400" s="169" t="s">
        <v>747</v>
      </c>
      <c r="D400" s="169">
        <v>1220</v>
      </c>
      <c r="E400" s="169">
        <v>48</v>
      </c>
      <c r="F400" s="169" t="s">
        <v>747</v>
      </c>
      <c r="G400" s="169" t="s">
        <v>747</v>
      </c>
      <c r="H400" s="169">
        <v>34</v>
      </c>
      <c r="I400" s="136" t="str">
        <f t="shared" si="19"/>
        <v>DATE</v>
      </c>
      <c r="J400" s="169" t="s">
        <v>0</v>
      </c>
      <c r="K400" s="169" t="s">
        <v>1</v>
      </c>
      <c r="L400" s="169">
        <v>30</v>
      </c>
      <c r="M400" s="168"/>
      <c r="N400" s="168"/>
      <c r="O400" s="168"/>
      <c r="P400" s="168"/>
      <c r="Q400" s="168" t="s">
        <v>0</v>
      </c>
      <c r="R400" s="168" t="s">
        <v>1</v>
      </c>
      <c r="S400" s="178" t="str">
        <f t="shared" si="20"/>
        <v>D_CP_UNIF_BTHPREV_RATING_GRADE_ESTB_DT</v>
      </c>
    </row>
    <row r="401" spans="1:19" ht="14.4" x14ac:dyDescent="0.3">
      <c r="A401" s="169" t="s">
        <v>388</v>
      </c>
      <c r="B401" s="171" t="str">
        <f t="shared" si="18"/>
        <v>Контрагент унифицированный</v>
      </c>
      <c r="C401" s="169" t="s">
        <v>611</v>
      </c>
      <c r="D401" s="169">
        <v>1221</v>
      </c>
      <c r="E401" s="169">
        <v>49</v>
      </c>
      <c r="F401" s="169" t="s">
        <v>611</v>
      </c>
      <c r="G401" s="169" t="s">
        <v>611</v>
      </c>
      <c r="H401" s="169">
        <v>27</v>
      </c>
      <c r="I401" s="136" t="str">
        <f t="shared" si="19"/>
        <v>INTEGER</v>
      </c>
      <c r="J401" s="169" t="s">
        <v>0</v>
      </c>
      <c r="K401" s="169" t="s">
        <v>1</v>
      </c>
      <c r="L401" s="169">
        <v>30</v>
      </c>
      <c r="M401" s="168"/>
      <c r="N401" s="168"/>
      <c r="O401" s="168"/>
      <c r="P401" s="168"/>
      <c r="Q401" s="168" t="s">
        <v>0</v>
      </c>
      <c r="R401" s="168" t="s">
        <v>1</v>
      </c>
      <c r="S401" s="178" t="str">
        <f t="shared" si="20"/>
        <v>D_CP_UNIF_BTHRATING_GRADE</v>
      </c>
    </row>
    <row r="402" spans="1:19" ht="14.4" x14ac:dyDescent="0.3">
      <c r="A402" s="169" t="s">
        <v>388</v>
      </c>
      <c r="B402" s="171" t="str">
        <f t="shared" si="18"/>
        <v>Контрагент унифицированный</v>
      </c>
      <c r="C402" s="169" t="s">
        <v>658</v>
      </c>
      <c r="D402" s="169">
        <v>1222</v>
      </c>
      <c r="E402" s="169">
        <v>50</v>
      </c>
      <c r="F402" s="169" t="s">
        <v>658</v>
      </c>
      <c r="G402" s="169" t="s">
        <v>658</v>
      </c>
      <c r="H402" s="169">
        <v>34</v>
      </c>
      <c r="I402" s="136" t="str">
        <f t="shared" si="19"/>
        <v>DATE</v>
      </c>
      <c r="J402" s="169" t="s">
        <v>0</v>
      </c>
      <c r="K402" s="169" t="s">
        <v>1</v>
      </c>
      <c r="L402" s="169">
        <v>30</v>
      </c>
      <c r="M402" s="168"/>
      <c r="N402" s="168"/>
      <c r="O402" s="168"/>
      <c r="P402" s="168"/>
      <c r="Q402" s="168" t="s">
        <v>0</v>
      </c>
      <c r="R402" s="168" t="s">
        <v>1</v>
      </c>
      <c r="S402" s="178" t="str">
        <f t="shared" si="20"/>
        <v>D_CP_UNIF_BTHRATING_GRADE_ESTABLISHED_DT</v>
      </c>
    </row>
    <row r="403" spans="1:19" ht="14.4" x14ac:dyDescent="0.3">
      <c r="A403" s="169" t="s">
        <v>388</v>
      </c>
      <c r="B403" s="171" t="str">
        <f t="shared" si="18"/>
        <v>Контрагент унифицированный</v>
      </c>
      <c r="C403" s="169" t="s">
        <v>1444</v>
      </c>
      <c r="D403" s="169">
        <v>1223</v>
      </c>
      <c r="E403" s="169">
        <v>51</v>
      </c>
      <c r="F403" s="169" t="s">
        <v>1444</v>
      </c>
      <c r="G403" s="169" t="s">
        <v>1444</v>
      </c>
      <c r="H403" s="169">
        <v>13</v>
      </c>
      <c r="I403" s="136" t="str">
        <f t="shared" si="19"/>
        <v xml:space="preserve">VARCHAR(300) </v>
      </c>
      <c r="J403" s="169" t="s">
        <v>0</v>
      </c>
      <c r="K403" s="169" t="s">
        <v>1</v>
      </c>
      <c r="L403" s="169">
        <v>30</v>
      </c>
      <c r="M403" s="168"/>
      <c r="N403" s="168"/>
      <c r="O403" s="168"/>
      <c r="P403" s="168"/>
      <c r="Q403" s="168" t="s">
        <v>0</v>
      </c>
      <c r="R403" s="168" t="s">
        <v>1</v>
      </c>
      <c r="S403" s="178" t="str">
        <f t="shared" si="20"/>
        <v>D_CP_UNIF_BTHRATING_ID_IN_CRM</v>
      </c>
    </row>
    <row r="404" spans="1:19" ht="14.4" x14ac:dyDescent="0.3">
      <c r="A404" s="169" t="s">
        <v>388</v>
      </c>
      <c r="B404" s="171" t="str">
        <f t="shared" si="18"/>
        <v>Контрагент унифицированный</v>
      </c>
      <c r="C404" s="169" t="s">
        <v>438</v>
      </c>
      <c r="D404" s="169">
        <v>1224</v>
      </c>
      <c r="E404" s="169">
        <v>52</v>
      </c>
      <c r="F404" s="169" t="s">
        <v>438</v>
      </c>
      <c r="G404" s="169" t="s">
        <v>438</v>
      </c>
      <c r="H404" s="169">
        <v>22</v>
      </c>
      <c r="I404" s="136" t="str">
        <f t="shared" si="19"/>
        <v>TIMESTAMP(6)</v>
      </c>
      <c r="J404" s="169" t="s">
        <v>1</v>
      </c>
      <c r="K404" s="169" t="s">
        <v>1</v>
      </c>
      <c r="L404" s="169">
        <v>30</v>
      </c>
      <c r="M404" s="168"/>
      <c r="N404" s="168"/>
      <c r="O404" s="168"/>
      <c r="P404" s="168"/>
      <c r="Q404" s="168" t="s">
        <v>0</v>
      </c>
      <c r="R404" s="168" t="s">
        <v>1</v>
      </c>
      <c r="S404" s="178" t="str">
        <f t="shared" si="20"/>
        <v>D_CP_UNIF_BTHRECORD_CLOSE_TS</v>
      </c>
    </row>
    <row r="405" spans="1:19" ht="14.4" x14ac:dyDescent="0.3">
      <c r="A405" s="169" t="s">
        <v>388</v>
      </c>
      <c r="B405" s="171" t="str">
        <f t="shared" si="18"/>
        <v>Контрагент унифицированный</v>
      </c>
      <c r="C405" s="169" t="s">
        <v>440</v>
      </c>
      <c r="D405" s="169">
        <v>1225</v>
      </c>
      <c r="E405" s="169">
        <v>53</v>
      </c>
      <c r="F405" s="169" t="s">
        <v>440</v>
      </c>
      <c r="G405" s="169" t="s">
        <v>440</v>
      </c>
      <c r="H405" s="169">
        <v>22</v>
      </c>
      <c r="I405" s="136" t="str">
        <f t="shared" si="19"/>
        <v>TIMESTAMP(6)</v>
      </c>
      <c r="J405" s="169" t="s">
        <v>1</v>
      </c>
      <c r="K405" s="169" t="s">
        <v>1</v>
      </c>
      <c r="L405" s="169">
        <v>30</v>
      </c>
      <c r="M405" s="168"/>
      <c r="N405" s="168"/>
      <c r="O405" s="168"/>
      <c r="P405" s="168"/>
      <c r="Q405" s="168" t="s">
        <v>0</v>
      </c>
      <c r="R405" s="168" t="s">
        <v>1</v>
      </c>
      <c r="S405" s="178" t="str">
        <f t="shared" si="20"/>
        <v>D_CP_UNIF_BTHRECORD_CREATE_TS</v>
      </c>
    </row>
    <row r="406" spans="1:19" ht="14.4" x14ac:dyDescent="0.3">
      <c r="A406" s="169" t="s">
        <v>388</v>
      </c>
      <c r="B406" s="171" t="str">
        <f t="shared" si="18"/>
        <v>Контрагент унифицированный</v>
      </c>
      <c r="C406" s="169" t="s">
        <v>429</v>
      </c>
      <c r="D406" s="169">
        <v>1226</v>
      </c>
      <c r="E406" s="169">
        <v>54</v>
      </c>
      <c r="F406" s="169" t="s">
        <v>429</v>
      </c>
      <c r="G406" s="169" t="s">
        <v>429</v>
      </c>
      <c r="H406" s="169">
        <v>22</v>
      </c>
      <c r="I406" s="136" t="str">
        <f t="shared" si="19"/>
        <v>TIMESTAMP(6)</v>
      </c>
      <c r="J406" s="169" t="s">
        <v>1</v>
      </c>
      <c r="K406" s="169" t="s">
        <v>1</v>
      </c>
      <c r="L406" s="169">
        <v>30</v>
      </c>
      <c r="M406" s="168"/>
      <c r="N406" s="168"/>
      <c r="O406" s="168"/>
      <c r="P406" s="168"/>
      <c r="Q406" s="168" t="s">
        <v>0</v>
      </c>
      <c r="R406" s="168" t="s">
        <v>1</v>
      </c>
      <c r="S406" s="178" t="str">
        <f t="shared" si="20"/>
        <v>D_CP_UNIF_BTHRECORD_UPDATE_TS</v>
      </c>
    </row>
    <row r="407" spans="1:19" ht="14.4" x14ac:dyDescent="0.3">
      <c r="A407" s="169" t="s">
        <v>388</v>
      </c>
      <c r="B407" s="171" t="str">
        <f t="shared" si="18"/>
        <v>Контрагент унифицированный</v>
      </c>
      <c r="C407" s="169" t="s">
        <v>486</v>
      </c>
      <c r="D407" s="169">
        <v>1227</v>
      </c>
      <c r="E407" s="169">
        <v>55</v>
      </c>
      <c r="F407" s="169" t="s">
        <v>486</v>
      </c>
      <c r="G407" s="169" t="s">
        <v>486</v>
      </c>
      <c r="H407" s="169">
        <v>7</v>
      </c>
      <c r="I407" s="136" t="str">
        <f t="shared" si="19"/>
        <v>BIGINT</v>
      </c>
      <c r="J407" s="169" t="s">
        <v>0</v>
      </c>
      <c r="K407" s="169" t="s">
        <v>1</v>
      </c>
      <c r="L407" s="169">
        <v>30</v>
      </c>
      <c r="M407" s="168"/>
      <c r="N407" s="168"/>
      <c r="O407" s="168"/>
      <c r="P407" s="168"/>
      <c r="Q407" s="168" t="s">
        <v>0</v>
      </c>
      <c r="R407" s="168" t="s">
        <v>1</v>
      </c>
      <c r="S407" s="178" t="str">
        <f t="shared" si="20"/>
        <v>D_CP_UNIF_BTHREGLTRY_CP_TYPE_ID</v>
      </c>
    </row>
    <row r="408" spans="1:19" ht="14.4" x14ac:dyDescent="0.3">
      <c r="A408" s="169" t="s">
        <v>388</v>
      </c>
      <c r="B408" s="171" t="str">
        <f t="shared" si="18"/>
        <v>Контрагент унифицированный</v>
      </c>
      <c r="C408" s="169" t="s">
        <v>704</v>
      </c>
      <c r="D408" s="169">
        <v>1228</v>
      </c>
      <c r="E408" s="169">
        <v>56</v>
      </c>
      <c r="F408" s="169" t="s">
        <v>704</v>
      </c>
      <c r="G408" s="169" t="s">
        <v>704</v>
      </c>
      <c r="H408" s="169">
        <v>3</v>
      </c>
      <c r="I408" s="136" t="str">
        <f t="shared" si="19"/>
        <v>DECIMAL(20, 6)</v>
      </c>
      <c r="J408" s="169" t="s">
        <v>0</v>
      </c>
      <c r="K408" s="169" t="s">
        <v>1</v>
      </c>
      <c r="L408" s="169">
        <v>30</v>
      </c>
      <c r="M408" s="168"/>
      <c r="N408" s="168"/>
      <c r="O408" s="168"/>
      <c r="P408" s="168"/>
      <c r="Q408" s="168" t="s">
        <v>0</v>
      </c>
      <c r="R408" s="168" t="s">
        <v>1</v>
      </c>
      <c r="S408" s="178" t="str">
        <f t="shared" si="20"/>
        <v>D_CP_UNIF_BTHREG_PD_PCT</v>
      </c>
    </row>
    <row r="409" spans="1:19" ht="14.4" x14ac:dyDescent="0.3">
      <c r="A409" s="169" t="s">
        <v>388</v>
      </c>
      <c r="B409" s="171" t="str">
        <f t="shared" si="18"/>
        <v>Контрагент унифицированный</v>
      </c>
      <c r="C409" s="169" t="s">
        <v>745</v>
      </c>
      <c r="D409" s="169">
        <v>1229</v>
      </c>
      <c r="E409" s="169">
        <v>57</v>
      </c>
      <c r="F409" s="169" t="s">
        <v>745</v>
      </c>
      <c r="G409" s="169" t="s">
        <v>745</v>
      </c>
      <c r="H409" s="169">
        <v>15</v>
      </c>
      <c r="I409" s="136" t="str">
        <f t="shared" si="19"/>
        <v xml:space="preserve">CHAR(1) </v>
      </c>
      <c r="J409" s="169" t="s">
        <v>0</v>
      </c>
      <c r="K409" s="169" t="s">
        <v>1</v>
      </c>
      <c r="L409" s="169">
        <v>30</v>
      </c>
      <c r="M409" s="168"/>
      <c r="N409" s="168"/>
      <c r="O409" s="168"/>
      <c r="P409" s="168"/>
      <c r="Q409" s="168" t="s">
        <v>0</v>
      </c>
      <c r="R409" s="168" t="s">
        <v>1</v>
      </c>
      <c r="S409" s="178" t="str">
        <f t="shared" si="20"/>
        <v>D_CP_UNIF_BTHRETAIL_POOL_IND</v>
      </c>
    </row>
    <row r="410" spans="1:19" ht="14.4" x14ac:dyDescent="0.3">
      <c r="A410" s="169" t="s">
        <v>388</v>
      </c>
      <c r="B410" s="171" t="str">
        <f t="shared" si="18"/>
        <v>Контрагент унифицированный</v>
      </c>
      <c r="C410" s="169" t="s">
        <v>498</v>
      </c>
      <c r="D410" s="169">
        <v>1230</v>
      </c>
      <c r="E410" s="169">
        <v>58</v>
      </c>
      <c r="F410" s="169" t="s">
        <v>498</v>
      </c>
      <c r="G410" s="169" t="s">
        <v>498</v>
      </c>
      <c r="H410" s="169">
        <v>7</v>
      </c>
      <c r="I410" s="136" t="str">
        <f t="shared" si="19"/>
        <v>BIGINT</v>
      </c>
      <c r="J410" s="169" t="s">
        <v>1</v>
      </c>
      <c r="K410" s="169" t="s">
        <v>1</v>
      </c>
      <c r="L410" s="169">
        <v>30</v>
      </c>
      <c r="M410" s="168"/>
      <c r="N410" s="168"/>
      <c r="O410" s="168"/>
      <c r="P410" s="168"/>
      <c r="Q410" s="168" t="s">
        <v>0</v>
      </c>
      <c r="R410" s="168" t="s">
        <v>1</v>
      </c>
      <c r="S410" s="178" t="str">
        <f t="shared" si="20"/>
        <v>D_CP_UNIF_BTHRUN_ID</v>
      </c>
    </row>
    <row r="411" spans="1:19" ht="14.4" x14ac:dyDescent="0.3">
      <c r="A411" s="169" t="s">
        <v>388</v>
      </c>
      <c r="B411" s="171" t="str">
        <f t="shared" si="18"/>
        <v>Контрагент унифицированный</v>
      </c>
      <c r="C411" s="169" t="s">
        <v>734</v>
      </c>
      <c r="D411" s="169">
        <v>1231</v>
      </c>
      <c r="E411" s="169">
        <v>59</v>
      </c>
      <c r="F411" s="169" t="s">
        <v>734</v>
      </c>
      <c r="G411" s="169" t="s">
        <v>734</v>
      </c>
      <c r="H411" s="169">
        <v>15</v>
      </c>
      <c r="I411" s="136" t="str">
        <f t="shared" si="19"/>
        <v xml:space="preserve">CHAR(1) </v>
      </c>
      <c r="J411" s="169" t="s">
        <v>0</v>
      </c>
      <c r="K411" s="169" t="s">
        <v>1</v>
      </c>
      <c r="L411" s="169">
        <v>30</v>
      </c>
      <c r="M411" s="168"/>
      <c r="N411" s="168"/>
      <c r="O411" s="168"/>
      <c r="P411" s="168"/>
      <c r="Q411" s="168" t="s">
        <v>0</v>
      </c>
      <c r="R411" s="168" t="s">
        <v>1</v>
      </c>
      <c r="S411" s="178" t="str">
        <f t="shared" si="20"/>
        <v>D_CP_UNIF_BTHSBER_AFFILIATION_IND</v>
      </c>
    </row>
    <row r="412" spans="1:19" ht="14.4" x14ac:dyDescent="0.3">
      <c r="A412" s="169" t="s">
        <v>388</v>
      </c>
      <c r="B412" s="171" t="str">
        <f t="shared" si="18"/>
        <v>Контрагент унифицированный</v>
      </c>
      <c r="C412" s="169" t="s">
        <v>746</v>
      </c>
      <c r="D412" s="169">
        <v>1232</v>
      </c>
      <c r="E412" s="169">
        <v>60</v>
      </c>
      <c r="F412" s="169" t="s">
        <v>746</v>
      </c>
      <c r="G412" s="169" t="s">
        <v>746</v>
      </c>
      <c r="H412" s="169">
        <v>15</v>
      </c>
      <c r="I412" s="136" t="str">
        <f t="shared" si="19"/>
        <v xml:space="preserve">CHAR(1) </v>
      </c>
      <c r="J412" s="169" t="s">
        <v>0</v>
      </c>
      <c r="K412" s="169" t="s">
        <v>1</v>
      </c>
      <c r="L412" s="169">
        <v>30</v>
      </c>
      <c r="M412" s="168"/>
      <c r="N412" s="168"/>
      <c r="O412" s="168"/>
      <c r="P412" s="168"/>
      <c r="Q412" s="168" t="s">
        <v>0</v>
      </c>
      <c r="R412" s="168" t="s">
        <v>1</v>
      </c>
      <c r="S412" s="178" t="str">
        <f t="shared" si="20"/>
        <v>D_CP_UNIF_BTHSMB_IND</v>
      </c>
    </row>
    <row r="413" spans="1:19" ht="14.4" x14ac:dyDescent="0.3">
      <c r="A413" s="169" t="s">
        <v>388</v>
      </c>
      <c r="B413" s="171" t="str">
        <f t="shared" si="18"/>
        <v>Контрагент унифицированный</v>
      </c>
      <c r="C413" s="169" t="s">
        <v>716</v>
      </c>
      <c r="D413" s="169">
        <v>1233</v>
      </c>
      <c r="E413" s="169">
        <v>61</v>
      </c>
      <c r="F413" s="169" t="s">
        <v>716</v>
      </c>
      <c r="G413" s="169" t="s">
        <v>716</v>
      </c>
      <c r="H413" s="169">
        <v>15</v>
      </c>
      <c r="I413" s="136" t="str">
        <f t="shared" si="19"/>
        <v xml:space="preserve">CHAR(1) </v>
      </c>
      <c r="J413" s="169" t="s">
        <v>0</v>
      </c>
      <c r="K413" s="169" t="s">
        <v>1</v>
      </c>
      <c r="L413" s="169">
        <v>30</v>
      </c>
      <c r="M413" s="168"/>
      <c r="N413" s="168"/>
      <c r="O413" s="168"/>
      <c r="P413" s="168"/>
      <c r="Q413" s="168" t="s">
        <v>0</v>
      </c>
      <c r="R413" s="168" t="s">
        <v>1</v>
      </c>
      <c r="S413" s="178" t="str">
        <f t="shared" si="20"/>
        <v>D_CP_UNIF_BTHSTOCK_EXCHANGE_TRADING_IND</v>
      </c>
    </row>
    <row r="414" spans="1:19" ht="14.4" x14ac:dyDescent="0.3">
      <c r="A414" s="169" t="s">
        <v>388</v>
      </c>
      <c r="B414" s="171" t="str">
        <f t="shared" si="18"/>
        <v>Контрагент унифицированный</v>
      </c>
      <c r="C414" s="169" t="s">
        <v>1391</v>
      </c>
      <c r="D414" s="169">
        <v>1234</v>
      </c>
      <c r="E414" s="169">
        <v>62</v>
      </c>
      <c r="F414" s="169" t="s">
        <v>1391</v>
      </c>
      <c r="G414" s="169" t="s">
        <v>1391</v>
      </c>
      <c r="H414" s="169">
        <v>21</v>
      </c>
      <c r="I414" s="136" t="str">
        <f t="shared" si="19"/>
        <v>DECIMAL(19, 2)</v>
      </c>
      <c r="J414" s="169" t="s">
        <v>0</v>
      </c>
      <c r="K414" s="169" t="s">
        <v>1</v>
      </c>
      <c r="L414" s="169">
        <v>30</v>
      </c>
      <c r="M414" s="168"/>
      <c r="N414" s="168"/>
      <c r="O414" s="168"/>
      <c r="P414" s="168"/>
      <c r="Q414" s="168" t="s">
        <v>0</v>
      </c>
      <c r="R414" s="168" t="s">
        <v>1</v>
      </c>
      <c r="S414" s="178" t="str">
        <f t="shared" si="20"/>
        <v>D_CP_UNIF_BTHTOTAL_ASSETS_CCY_AMT</v>
      </c>
    </row>
    <row r="415" spans="1:19" ht="14.4" x14ac:dyDescent="0.3">
      <c r="A415" s="169" t="s">
        <v>388</v>
      </c>
      <c r="B415" s="171" t="str">
        <f t="shared" si="18"/>
        <v>Контрагент унифицированный</v>
      </c>
      <c r="C415" s="169" t="s">
        <v>1382</v>
      </c>
      <c r="D415" s="169">
        <v>1235</v>
      </c>
      <c r="E415" s="169">
        <v>63</v>
      </c>
      <c r="F415" s="169" t="s">
        <v>1382</v>
      </c>
      <c r="G415" s="169" t="s">
        <v>1382</v>
      </c>
      <c r="H415" s="169">
        <v>7</v>
      </c>
      <c r="I415" s="136" t="str">
        <f t="shared" si="19"/>
        <v>BIGINT</v>
      </c>
      <c r="J415" s="169" t="s">
        <v>0</v>
      </c>
      <c r="K415" s="169" t="s">
        <v>1</v>
      </c>
      <c r="L415" s="169">
        <v>30</v>
      </c>
      <c r="M415" s="168"/>
      <c r="N415" s="168"/>
      <c r="O415" s="168"/>
      <c r="P415" s="168"/>
      <c r="Q415" s="168" t="s">
        <v>0</v>
      </c>
      <c r="R415" s="168" t="s">
        <v>1</v>
      </c>
      <c r="S415" s="178" t="str">
        <f t="shared" si="20"/>
        <v>D_CP_UNIF_BTHTOTAL_ASSETS_CURRENCY_ID</v>
      </c>
    </row>
    <row r="416" spans="1:19" ht="14.4" x14ac:dyDescent="0.3">
      <c r="A416" s="169" t="s">
        <v>388</v>
      </c>
      <c r="B416" s="171" t="str">
        <f t="shared" si="18"/>
        <v>Контрагент унифицированный</v>
      </c>
      <c r="C416" s="169" t="s">
        <v>1454</v>
      </c>
      <c r="D416" s="169">
        <v>1236</v>
      </c>
      <c r="E416" s="169">
        <v>64</v>
      </c>
      <c r="F416" s="169" t="s">
        <v>1454</v>
      </c>
      <c r="G416" s="169" t="s">
        <v>1454</v>
      </c>
      <c r="H416" s="169">
        <v>34</v>
      </c>
      <c r="I416" s="136" t="str">
        <f t="shared" si="19"/>
        <v>DATE</v>
      </c>
      <c r="J416" s="169" t="s">
        <v>0</v>
      </c>
      <c r="K416" s="169" t="s">
        <v>1</v>
      </c>
      <c r="L416" s="169">
        <v>30</v>
      </c>
      <c r="M416" s="168"/>
      <c r="N416" s="168"/>
      <c r="O416" s="168"/>
      <c r="P416" s="168"/>
      <c r="Q416" s="168" t="s">
        <v>0</v>
      </c>
      <c r="R416" s="168" t="s">
        <v>1</v>
      </c>
      <c r="S416" s="178" t="str">
        <f t="shared" si="20"/>
        <v>D_CP_UNIF_BTHTOTAL_ASSETS_RPT_DT</v>
      </c>
    </row>
    <row r="417" spans="1:19" ht="14.4" x14ac:dyDescent="0.3">
      <c r="A417" s="169" t="s">
        <v>388</v>
      </c>
      <c r="B417" s="171" t="str">
        <f t="shared" si="18"/>
        <v>Контрагент унифицированный</v>
      </c>
      <c r="C417" s="169" t="s">
        <v>715</v>
      </c>
      <c r="D417" s="169">
        <v>1237</v>
      </c>
      <c r="E417" s="169">
        <v>65</v>
      </c>
      <c r="F417" s="169" t="s">
        <v>715</v>
      </c>
      <c r="G417" s="169" t="s">
        <v>715</v>
      </c>
      <c r="H417" s="169">
        <v>21</v>
      </c>
      <c r="I417" s="136" t="str">
        <f t="shared" si="19"/>
        <v>DECIMAL(19, 2)</v>
      </c>
      <c r="J417" s="169" t="s">
        <v>0</v>
      </c>
      <c r="K417" s="169" t="s">
        <v>1</v>
      </c>
      <c r="L417" s="169">
        <v>30</v>
      </c>
      <c r="M417" s="168"/>
      <c r="N417" s="168"/>
      <c r="O417" s="168"/>
      <c r="P417" s="168"/>
      <c r="Q417" s="168" t="s">
        <v>0</v>
      </c>
      <c r="R417" s="168" t="s">
        <v>1</v>
      </c>
      <c r="S417" s="178" t="str">
        <f t="shared" si="20"/>
        <v>D_CP_UNIF_BTHTOTAL_ASSETS_RUB_AMT</v>
      </c>
    </row>
    <row r="418" spans="1:19" ht="14.4" x14ac:dyDescent="0.3">
      <c r="A418" s="169" t="s">
        <v>388</v>
      </c>
      <c r="B418" s="171" t="str">
        <f t="shared" si="18"/>
        <v>Контрагент унифицированный</v>
      </c>
      <c r="C418" s="169" t="s">
        <v>570</v>
      </c>
      <c r="D418" s="169">
        <v>1238</v>
      </c>
      <c r="E418" s="169">
        <v>66</v>
      </c>
      <c r="F418" s="169" t="s">
        <v>570</v>
      </c>
      <c r="G418" s="169" t="s">
        <v>570</v>
      </c>
      <c r="H418" s="169">
        <v>15</v>
      </c>
      <c r="I418" s="136" t="str">
        <f t="shared" si="19"/>
        <v xml:space="preserve">CHAR(1) </v>
      </c>
      <c r="J418" s="169" t="s">
        <v>0</v>
      </c>
      <c r="K418" s="169" t="s">
        <v>1</v>
      </c>
      <c r="L418" s="169">
        <v>30</v>
      </c>
      <c r="M418" s="168"/>
      <c r="N418" s="168"/>
      <c r="O418" s="168"/>
      <c r="P418" s="168"/>
      <c r="Q418" s="168" t="s">
        <v>0</v>
      </c>
      <c r="R418" s="168" t="s">
        <v>1</v>
      </c>
      <c r="S418" s="178" t="str">
        <f t="shared" si="20"/>
        <v>D_CP_UNIF_BTHUSE_ASSETS_FOR_SIZE_IND</v>
      </c>
    </row>
    <row r="419" spans="1:19" ht="14.4" x14ac:dyDescent="0.3">
      <c r="A419" s="169" t="s">
        <v>388</v>
      </c>
      <c r="B419" s="171" t="str">
        <f t="shared" si="18"/>
        <v>Контрагент унифицированный</v>
      </c>
      <c r="C419" s="169" t="s">
        <v>492</v>
      </c>
      <c r="D419" s="169">
        <v>1239</v>
      </c>
      <c r="E419" s="169">
        <v>67</v>
      </c>
      <c r="F419" s="169" t="s">
        <v>492</v>
      </c>
      <c r="G419" s="169" t="s">
        <v>492</v>
      </c>
      <c r="H419" s="169">
        <v>34</v>
      </c>
      <c r="I419" s="136" t="str">
        <f t="shared" si="19"/>
        <v>DATE</v>
      </c>
      <c r="J419" s="169" t="s">
        <v>1</v>
      </c>
      <c r="K419" s="169" t="s">
        <v>1</v>
      </c>
      <c r="L419" s="169">
        <v>30</v>
      </c>
      <c r="M419" s="168"/>
      <c r="N419" s="168"/>
      <c r="O419" s="168"/>
      <c r="P419" s="168"/>
      <c r="Q419" s="168" t="s">
        <v>0</v>
      </c>
      <c r="R419" s="168" t="s">
        <v>1</v>
      </c>
      <c r="S419" s="178" t="str">
        <f t="shared" si="20"/>
        <v>D_CP_UNIF_BTHVALIDITY_DT</v>
      </c>
    </row>
    <row r="420" spans="1:19" ht="14.4" x14ac:dyDescent="0.3">
      <c r="A420" s="169" t="s">
        <v>2031</v>
      </c>
      <c r="B420" s="171" t="str">
        <f t="shared" si="18"/>
        <v>D_CS_ECAP_GEN_PARAMS</v>
      </c>
      <c r="C420" s="169" t="s">
        <v>2062</v>
      </c>
      <c r="D420" s="169">
        <v>1240</v>
      </c>
      <c r="E420" s="169">
        <v>1</v>
      </c>
      <c r="F420" s="169" t="s">
        <v>2062</v>
      </c>
      <c r="G420" s="169" t="s">
        <v>2062</v>
      </c>
      <c r="H420" s="169">
        <v>25</v>
      </c>
      <c r="I420" s="136" t="str">
        <f t="shared" si="19"/>
        <v xml:space="preserve">CHAR(100) </v>
      </c>
      <c r="J420" s="169" t="s">
        <v>0</v>
      </c>
      <c r="K420" s="169" t="s">
        <v>1</v>
      </c>
      <c r="L420" s="169">
        <v>30</v>
      </c>
      <c r="M420" s="168"/>
      <c r="N420" s="168"/>
      <c r="O420" s="168"/>
      <c r="P420" s="168"/>
      <c r="Q420" s="168" t="s">
        <v>0</v>
      </c>
      <c r="R420" s="168" t="s">
        <v>1</v>
      </c>
      <c r="S420" s="178" t="str">
        <f t="shared" si="20"/>
        <v>D_CS_ECAP_GEN_PARAMSCHAR_VALUE</v>
      </c>
    </row>
    <row r="421" spans="1:19" ht="14.4" x14ac:dyDescent="0.3">
      <c r="A421" s="169" t="s">
        <v>2031</v>
      </c>
      <c r="B421" s="171" t="str">
        <f t="shared" si="18"/>
        <v>D_CS_ECAP_GEN_PARAMS</v>
      </c>
      <c r="C421" s="169" t="s">
        <v>2063</v>
      </c>
      <c r="D421" s="169">
        <v>1241</v>
      </c>
      <c r="E421" s="169">
        <v>2</v>
      </c>
      <c r="F421" s="169" t="s">
        <v>2063</v>
      </c>
      <c r="G421" s="169" t="s">
        <v>2063</v>
      </c>
      <c r="H421" s="169">
        <v>9</v>
      </c>
      <c r="I421" s="136" t="str">
        <f t="shared" si="19"/>
        <v xml:space="preserve">CHAR(32) </v>
      </c>
      <c r="J421" s="169" t="s">
        <v>0</v>
      </c>
      <c r="K421" s="169" t="s">
        <v>1</v>
      </c>
      <c r="L421" s="169">
        <v>30</v>
      </c>
      <c r="M421" s="168"/>
      <c r="N421" s="168"/>
      <c r="O421" s="168"/>
      <c r="P421" s="168"/>
      <c r="Q421" s="168" t="s">
        <v>0</v>
      </c>
      <c r="R421" s="168" t="s">
        <v>1</v>
      </c>
      <c r="S421" s="178" t="str">
        <f t="shared" si="20"/>
        <v>D_CS_ECAP_GEN_PARAMSCONFIG_SET_ID</v>
      </c>
    </row>
    <row r="422" spans="1:19" ht="14.4" x14ac:dyDescent="0.3">
      <c r="A422" s="169" t="s">
        <v>2031</v>
      </c>
      <c r="B422" s="171" t="str">
        <f t="shared" si="18"/>
        <v>D_CS_ECAP_GEN_PARAMS</v>
      </c>
      <c r="C422" s="169" t="s">
        <v>2064</v>
      </c>
      <c r="D422" s="169">
        <v>1242</v>
      </c>
      <c r="E422" s="169">
        <v>3</v>
      </c>
      <c r="F422" s="169" t="s">
        <v>2064</v>
      </c>
      <c r="G422" s="169" t="s">
        <v>2064</v>
      </c>
      <c r="H422" s="169">
        <v>34</v>
      </c>
      <c r="I422" s="136" t="str">
        <f t="shared" si="19"/>
        <v>DATE</v>
      </c>
      <c r="J422" s="169" t="s">
        <v>0</v>
      </c>
      <c r="K422" s="169" t="s">
        <v>1</v>
      </c>
      <c r="L422" s="169">
        <v>30</v>
      </c>
      <c r="M422" s="168"/>
      <c r="N422" s="168"/>
      <c r="O422" s="168"/>
      <c r="P422" s="168"/>
      <c r="Q422" s="168" t="s">
        <v>0</v>
      </c>
      <c r="R422" s="168" t="s">
        <v>1</v>
      </c>
      <c r="S422" s="178" t="str">
        <f t="shared" si="20"/>
        <v>D_CS_ECAP_GEN_PARAMSDATE_VALUE</v>
      </c>
    </row>
    <row r="423" spans="1:19" ht="14.4" x14ac:dyDescent="0.3">
      <c r="A423" s="169" t="s">
        <v>2031</v>
      </c>
      <c r="B423" s="171" t="str">
        <f t="shared" si="18"/>
        <v>D_CS_ECAP_GEN_PARAMS</v>
      </c>
      <c r="C423" s="169" t="s">
        <v>2065</v>
      </c>
      <c r="D423" s="169">
        <v>1243</v>
      </c>
      <c r="E423" s="169">
        <v>4</v>
      </c>
      <c r="F423" s="169" t="s">
        <v>2065</v>
      </c>
      <c r="G423" s="169" t="s">
        <v>2065</v>
      </c>
      <c r="H423" s="169">
        <v>8</v>
      </c>
      <c r="I423" s="136" t="str">
        <f t="shared" si="19"/>
        <v>DECIMAL(15, 6)</v>
      </c>
      <c r="J423" s="169" t="s">
        <v>0</v>
      </c>
      <c r="K423" s="169" t="s">
        <v>1</v>
      </c>
      <c r="L423" s="169">
        <v>30</v>
      </c>
      <c r="M423" s="168"/>
      <c r="N423" s="168"/>
      <c r="O423" s="168"/>
      <c r="P423" s="168"/>
      <c r="Q423" s="168" t="s">
        <v>0</v>
      </c>
      <c r="R423" s="168" t="s">
        <v>1</v>
      </c>
      <c r="S423" s="178" t="str">
        <f t="shared" si="20"/>
        <v>D_CS_ECAP_GEN_PARAMSNUM_VALUE</v>
      </c>
    </row>
    <row r="424" spans="1:19" ht="14.4" x14ac:dyDescent="0.3">
      <c r="A424" s="169" t="s">
        <v>2031</v>
      </c>
      <c r="B424" s="171" t="str">
        <f t="shared" si="18"/>
        <v>D_CS_ECAP_GEN_PARAMS</v>
      </c>
      <c r="C424" s="169" t="s">
        <v>1388</v>
      </c>
      <c r="D424" s="169">
        <v>1244</v>
      </c>
      <c r="E424" s="169">
        <v>5</v>
      </c>
      <c r="F424" s="169" t="s">
        <v>1388</v>
      </c>
      <c r="G424" s="169" t="s">
        <v>1388</v>
      </c>
      <c r="H424" s="169">
        <v>25</v>
      </c>
      <c r="I424" s="136" t="str">
        <f t="shared" si="19"/>
        <v xml:space="preserve">CHAR(100) </v>
      </c>
      <c r="J424" s="169" t="s">
        <v>0</v>
      </c>
      <c r="K424" s="169" t="s">
        <v>1</v>
      </c>
      <c r="L424" s="169">
        <v>30</v>
      </c>
      <c r="M424" s="168"/>
      <c r="N424" s="168"/>
      <c r="O424" s="168"/>
      <c r="P424" s="168"/>
      <c r="Q424" s="168" t="s">
        <v>0</v>
      </c>
      <c r="R424" s="168" t="s">
        <v>1</v>
      </c>
      <c r="S424" s="178" t="str">
        <f t="shared" si="20"/>
        <v>D_CS_ECAP_GEN_PARAMSPARAM_DESC</v>
      </c>
    </row>
    <row r="425" spans="1:19" ht="14.4" x14ac:dyDescent="0.3">
      <c r="A425" s="169" t="s">
        <v>2031</v>
      </c>
      <c r="B425" s="171" t="str">
        <f t="shared" si="18"/>
        <v>D_CS_ECAP_GEN_PARAMS</v>
      </c>
      <c r="C425" s="169" t="s">
        <v>1515</v>
      </c>
      <c r="D425" s="169">
        <v>1245</v>
      </c>
      <c r="E425" s="169">
        <v>6</v>
      </c>
      <c r="F425" s="169" t="s">
        <v>1515</v>
      </c>
      <c r="G425" s="169" t="s">
        <v>1515</v>
      </c>
      <c r="H425" s="169">
        <v>9</v>
      </c>
      <c r="I425" s="136" t="str">
        <f t="shared" si="19"/>
        <v xml:space="preserve">CHAR(32) </v>
      </c>
      <c r="J425" s="169" t="s">
        <v>0</v>
      </c>
      <c r="K425" s="169" t="s">
        <v>1</v>
      </c>
      <c r="L425" s="169">
        <v>30</v>
      </c>
      <c r="M425" s="168"/>
      <c r="N425" s="168"/>
      <c r="O425" s="168"/>
      <c r="P425" s="168"/>
      <c r="Q425" s="168" t="s">
        <v>0</v>
      </c>
      <c r="R425" s="168" t="s">
        <v>1</v>
      </c>
      <c r="S425" s="178" t="str">
        <f t="shared" si="20"/>
        <v>D_CS_ECAP_GEN_PARAMSPARAM_NAME</v>
      </c>
    </row>
    <row r="426" spans="1:19" ht="14.4" x14ac:dyDescent="0.3">
      <c r="A426" s="169" t="s">
        <v>2031</v>
      </c>
      <c r="B426" s="171" t="str">
        <f t="shared" si="18"/>
        <v>D_CS_ECAP_GEN_PARAMS</v>
      </c>
      <c r="C426" s="169" t="s">
        <v>520</v>
      </c>
      <c r="D426" s="169">
        <v>1246</v>
      </c>
      <c r="E426" s="169">
        <v>7</v>
      </c>
      <c r="F426" s="169" t="s">
        <v>520</v>
      </c>
      <c r="G426" s="169" t="s">
        <v>520</v>
      </c>
      <c r="H426" s="169">
        <v>27</v>
      </c>
      <c r="I426" s="136" t="str">
        <f t="shared" si="19"/>
        <v>INTEGER</v>
      </c>
      <c r="J426" s="169" t="s">
        <v>0</v>
      </c>
      <c r="K426" s="169" t="s">
        <v>0</v>
      </c>
      <c r="L426" s="169">
        <v>30</v>
      </c>
      <c r="M426" s="168"/>
      <c r="N426" s="168"/>
      <c r="O426" s="168"/>
      <c r="P426" s="168"/>
      <c r="Q426" s="168" t="s">
        <v>0</v>
      </c>
      <c r="R426" s="168" t="s">
        <v>1</v>
      </c>
      <c r="S426" s="178" t="str">
        <f t="shared" si="20"/>
        <v>D_CS_ECAP_GEN_PARAMSSESSION_ID</v>
      </c>
    </row>
    <row r="427" spans="1:19" ht="14.4" x14ac:dyDescent="0.3">
      <c r="A427" s="169" t="s">
        <v>2031</v>
      </c>
      <c r="B427" s="171" t="str">
        <f t="shared" si="18"/>
        <v>D_CS_ECAP_GEN_PARAMS</v>
      </c>
      <c r="C427" s="169" t="s">
        <v>2066</v>
      </c>
      <c r="D427" s="169">
        <v>1247</v>
      </c>
      <c r="E427" s="169">
        <v>8</v>
      </c>
      <c r="F427" s="169" t="s">
        <v>2066</v>
      </c>
      <c r="G427" s="169" t="s">
        <v>2066</v>
      </c>
      <c r="H427" s="169">
        <v>27</v>
      </c>
      <c r="I427" s="136" t="str">
        <f t="shared" si="19"/>
        <v>INTEGER</v>
      </c>
      <c r="J427" s="169" t="s">
        <v>0</v>
      </c>
      <c r="K427" s="169" t="s">
        <v>1</v>
      </c>
      <c r="L427" s="169">
        <v>30</v>
      </c>
      <c r="M427" s="168"/>
      <c r="N427" s="168"/>
      <c r="O427" s="168"/>
      <c r="P427" s="168"/>
      <c r="Q427" s="168" t="s">
        <v>0</v>
      </c>
      <c r="R427" s="168" t="s">
        <v>1</v>
      </c>
      <c r="S427" s="178" t="str">
        <f t="shared" si="20"/>
        <v>D_CS_ECAP_GEN_PARAMSST_SESSION_ID</v>
      </c>
    </row>
    <row r="428" spans="1:19" ht="14.4" x14ac:dyDescent="0.3">
      <c r="A428" s="169" t="s">
        <v>2031</v>
      </c>
      <c r="B428" s="171" t="str">
        <f t="shared" si="18"/>
        <v>D_CS_ECAP_GEN_PARAMS</v>
      </c>
      <c r="C428" s="169" t="s">
        <v>2067</v>
      </c>
      <c r="D428" s="169">
        <v>1248</v>
      </c>
      <c r="E428" s="169">
        <v>9</v>
      </c>
      <c r="F428" s="169" t="s">
        <v>2067</v>
      </c>
      <c r="G428" s="169" t="s">
        <v>2067</v>
      </c>
      <c r="H428" s="169">
        <v>22</v>
      </c>
      <c r="I428" s="136" t="str">
        <f t="shared" si="19"/>
        <v>TIMESTAMP(6)</v>
      </c>
      <c r="J428" s="169" t="s">
        <v>0</v>
      </c>
      <c r="K428" s="169" t="s">
        <v>1</v>
      </c>
      <c r="L428" s="169">
        <v>30</v>
      </c>
      <c r="M428" s="168"/>
      <c r="N428" s="168"/>
      <c r="O428" s="168"/>
      <c r="P428" s="168"/>
      <c r="Q428" s="168" t="s">
        <v>0</v>
      </c>
      <c r="R428" s="168" t="s">
        <v>1</v>
      </c>
      <c r="S428" s="178" t="str">
        <f t="shared" si="20"/>
        <v>D_CS_ECAP_GEN_PARAMSVALID_FROM_DTTM</v>
      </c>
    </row>
    <row r="429" spans="1:19" ht="14.4" x14ac:dyDescent="0.3">
      <c r="A429" s="169" t="s">
        <v>2031</v>
      </c>
      <c r="B429" s="171" t="str">
        <f t="shared" si="18"/>
        <v>D_CS_ECAP_GEN_PARAMS</v>
      </c>
      <c r="C429" s="169" t="s">
        <v>2068</v>
      </c>
      <c r="D429" s="169">
        <v>1249</v>
      </c>
      <c r="E429" s="169">
        <v>10</v>
      </c>
      <c r="F429" s="169" t="s">
        <v>2068</v>
      </c>
      <c r="G429" s="169" t="s">
        <v>2068</v>
      </c>
      <c r="H429" s="169">
        <v>22</v>
      </c>
      <c r="I429" s="136" t="str">
        <f t="shared" si="19"/>
        <v>TIMESTAMP(6)</v>
      </c>
      <c r="J429" s="169" t="s">
        <v>0</v>
      </c>
      <c r="K429" s="169" t="s">
        <v>1</v>
      </c>
      <c r="L429" s="169">
        <v>30</v>
      </c>
      <c r="M429" s="168"/>
      <c r="N429" s="168"/>
      <c r="O429" s="168"/>
      <c r="P429" s="168"/>
      <c r="Q429" s="168" t="s">
        <v>0</v>
      </c>
      <c r="R429" s="168" t="s">
        <v>1</v>
      </c>
      <c r="S429" s="178" t="str">
        <f t="shared" si="20"/>
        <v>D_CS_ECAP_GEN_PARAMSVALID_TO_DTTM</v>
      </c>
    </row>
    <row r="430" spans="1:19" ht="14.4" x14ac:dyDescent="0.3">
      <c r="A430" s="169" t="s">
        <v>2034</v>
      </c>
      <c r="B430" s="171" t="str">
        <f t="shared" si="18"/>
        <v>D_CS_MAP_INDUSTRY</v>
      </c>
      <c r="C430" s="169" t="s">
        <v>471</v>
      </c>
      <c r="D430" s="169">
        <v>152</v>
      </c>
      <c r="E430" s="169">
        <v>1</v>
      </c>
      <c r="F430" s="169" t="s">
        <v>471</v>
      </c>
      <c r="G430" s="169" t="s">
        <v>471</v>
      </c>
      <c r="H430" s="169">
        <v>42</v>
      </c>
      <c r="I430" s="136" t="str">
        <f t="shared" si="19"/>
        <v xml:space="preserve">CHAR(10) </v>
      </c>
      <c r="J430" s="169" t="s">
        <v>0</v>
      </c>
      <c r="K430" s="169" t="s">
        <v>1</v>
      </c>
      <c r="L430" s="169">
        <v>30</v>
      </c>
      <c r="M430" s="168"/>
      <c r="N430" s="168"/>
      <c r="O430" s="168"/>
      <c r="P430" s="168"/>
      <c r="Q430" s="168" t="s">
        <v>0</v>
      </c>
      <c r="R430" s="168" t="s">
        <v>1</v>
      </c>
      <c r="S430" s="178" t="str">
        <f t="shared" si="20"/>
        <v>D_CS_MAP_INDUSTRYINDUSTRY_CD</v>
      </c>
    </row>
    <row r="431" spans="1:19" ht="14.4" x14ac:dyDescent="0.3">
      <c r="A431" s="169" t="s">
        <v>2034</v>
      </c>
      <c r="B431" s="171" t="str">
        <f t="shared" si="18"/>
        <v>D_CS_MAP_INDUSTRY</v>
      </c>
      <c r="C431" s="169" t="s">
        <v>2069</v>
      </c>
      <c r="D431" s="169">
        <v>153</v>
      </c>
      <c r="E431" s="169">
        <v>2</v>
      </c>
      <c r="F431" s="169" t="s">
        <v>2069</v>
      </c>
      <c r="G431" s="169" t="s">
        <v>2069</v>
      </c>
      <c r="H431" s="169">
        <v>25</v>
      </c>
      <c r="I431" s="136" t="str">
        <f t="shared" si="19"/>
        <v xml:space="preserve">CHAR(100) </v>
      </c>
      <c r="J431" s="169" t="s">
        <v>0</v>
      </c>
      <c r="K431" s="169" t="s">
        <v>1</v>
      </c>
      <c r="L431" s="169">
        <v>30</v>
      </c>
      <c r="M431" s="168"/>
      <c r="N431" s="168"/>
      <c r="O431" s="168"/>
      <c r="P431" s="168"/>
      <c r="Q431" s="168" t="s">
        <v>0</v>
      </c>
      <c r="R431" s="168" t="s">
        <v>1</v>
      </c>
      <c r="S431" s="178" t="str">
        <f t="shared" si="20"/>
        <v>D_CS_MAP_INDUSTRYINDUSTRY_DESC</v>
      </c>
    </row>
    <row r="432" spans="1:19" ht="14.4" x14ac:dyDescent="0.3">
      <c r="A432" s="169" t="s">
        <v>2034</v>
      </c>
      <c r="B432" s="171" t="str">
        <f t="shared" si="18"/>
        <v>D_CS_MAP_INDUSTRY</v>
      </c>
      <c r="C432" s="169" t="s">
        <v>520</v>
      </c>
      <c r="D432" s="169">
        <v>154</v>
      </c>
      <c r="E432" s="169">
        <v>3</v>
      </c>
      <c r="F432" s="169" t="s">
        <v>520</v>
      </c>
      <c r="G432" s="169" t="s">
        <v>520</v>
      </c>
      <c r="H432" s="169">
        <v>27</v>
      </c>
      <c r="I432" s="136" t="str">
        <f t="shared" si="19"/>
        <v>INTEGER</v>
      </c>
      <c r="J432" s="169" t="s">
        <v>0</v>
      </c>
      <c r="K432" s="169" t="s">
        <v>0</v>
      </c>
      <c r="L432" s="169">
        <v>30</v>
      </c>
      <c r="M432" s="168"/>
      <c r="N432" s="168"/>
      <c r="O432" s="168"/>
      <c r="P432" s="168"/>
      <c r="Q432" s="168" t="s">
        <v>0</v>
      </c>
      <c r="R432" s="168" t="s">
        <v>1</v>
      </c>
      <c r="S432" s="178" t="str">
        <f t="shared" si="20"/>
        <v>D_CS_MAP_INDUSTRYSESSION_ID</v>
      </c>
    </row>
    <row r="433" spans="1:19" ht="14.4" x14ac:dyDescent="0.3">
      <c r="A433" s="169" t="s">
        <v>2034</v>
      </c>
      <c r="B433" s="171" t="str">
        <f t="shared" si="18"/>
        <v>D_CS_MAP_INDUSTRY</v>
      </c>
      <c r="C433" s="169" t="s">
        <v>2066</v>
      </c>
      <c r="D433" s="169">
        <v>155</v>
      </c>
      <c r="E433" s="169">
        <v>4</v>
      </c>
      <c r="F433" s="169" t="s">
        <v>2066</v>
      </c>
      <c r="G433" s="169" t="s">
        <v>2066</v>
      </c>
      <c r="H433" s="169">
        <v>27</v>
      </c>
      <c r="I433" s="136" t="str">
        <f t="shared" si="19"/>
        <v>INTEGER</v>
      </c>
      <c r="J433" s="169" t="s">
        <v>0</v>
      </c>
      <c r="K433" s="169" t="s">
        <v>1</v>
      </c>
      <c r="L433" s="169">
        <v>30</v>
      </c>
      <c r="M433" s="168"/>
      <c r="N433" s="168"/>
      <c r="O433" s="168"/>
      <c r="P433" s="168"/>
      <c r="Q433" s="168" t="s">
        <v>0</v>
      </c>
      <c r="R433" s="168" t="s">
        <v>1</v>
      </c>
      <c r="S433" s="178" t="str">
        <f t="shared" si="20"/>
        <v>D_CS_MAP_INDUSTRYST_SESSION_ID</v>
      </c>
    </row>
    <row r="434" spans="1:19" ht="14.4" x14ac:dyDescent="0.3">
      <c r="A434" s="169" t="s">
        <v>2034</v>
      </c>
      <c r="B434" s="171" t="str">
        <f t="shared" si="18"/>
        <v>D_CS_MAP_INDUSTRY</v>
      </c>
      <c r="C434" s="169" t="s">
        <v>2070</v>
      </c>
      <c r="D434" s="169">
        <v>156</v>
      </c>
      <c r="E434" s="169">
        <v>5</v>
      </c>
      <c r="F434" s="169" t="s">
        <v>2070</v>
      </c>
      <c r="G434" s="169" t="s">
        <v>2070</v>
      </c>
      <c r="H434" s="169">
        <v>54</v>
      </c>
      <c r="I434" s="136" t="str">
        <f t="shared" si="19"/>
        <v xml:space="preserve">CHAR(20) </v>
      </c>
      <c r="J434" s="169" t="s">
        <v>0</v>
      </c>
      <c r="K434" s="169" t="s">
        <v>1</v>
      </c>
      <c r="L434" s="169">
        <v>30</v>
      </c>
      <c r="M434" s="168"/>
      <c r="N434" s="168"/>
      <c r="O434" s="168"/>
      <c r="P434" s="168"/>
      <c r="Q434" s="168" t="s">
        <v>0</v>
      </c>
      <c r="R434" s="168" t="s">
        <v>1</v>
      </c>
      <c r="S434" s="178" t="str">
        <f t="shared" si="20"/>
        <v>D_CS_MAP_INDUSTRYTGT_INDUSTRY</v>
      </c>
    </row>
    <row r="435" spans="1:19" ht="14.4" x14ac:dyDescent="0.3">
      <c r="A435" s="169" t="s">
        <v>2034</v>
      </c>
      <c r="B435" s="171" t="str">
        <f t="shared" si="18"/>
        <v>D_CS_MAP_INDUSTRY</v>
      </c>
      <c r="C435" s="169" t="s">
        <v>2067</v>
      </c>
      <c r="D435" s="169">
        <v>164</v>
      </c>
      <c r="E435" s="169">
        <v>6</v>
      </c>
      <c r="F435" s="169" t="s">
        <v>2067</v>
      </c>
      <c r="G435" s="169" t="s">
        <v>2067</v>
      </c>
      <c r="H435" s="169">
        <v>22</v>
      </c>
      <c r="I435" s="136" t="str">
        <f t="shared" si="19"/>
        <v>TIMESTAMP(6)</v>
      </c>
      <c r="J435" s="169" t="s">
        <v>0</v>
      </c>
      <c r="K435" s="169" t="s">
        <v>1</v>
      </c>
      <c r="L435" s="169">
        <v>30</v>
      </c>
      <c r="M435" s="168"/>
      <c r="N435" s="168"/>
      <c r="O435" s="168"/>
      <c r="P435" s="168"/>
      <c r="Q435" s="168" t="s">
        <v>0</v>
      </c>
      <c r="R435" s="168" t="s">
        <v>1</v>
      </c>
      <c r="S435" s="178" t="str">
        <f t="shared" si="20"/>
        <v>D_CS_MAP_INDUSTRYVALID_FROM_DTTM</v>
      </c>
    </row>
    <row r="436" spans="1:19" ht="14.4" x14ac:dyDescent="0.3">
      <c r="A436" s="169" t="s">
        <v>2034</v>
      </c>
      <c r="B436" s="171" t="str">
        <f t="shared" si="18"/>
        <v>D_CS_MAP_INDUSTRY</v>
      </c>
      <c r="C436" s="169" t="s">
        <v>2068</v>
      </c>
      <c r="D436" s="169">
        <v>165</v>
      </c>
      <c r="E436" s="169">
        <v>7</v>
      </c>
      <c r="F436" s="169" t="s">
        <v>2068</v>
      </c>
      <c r="G436" s="169" t="s">
        <v>2068</v>
      </c>
      <c r="H436" s="169">
        <v>22</v>
      </c>
      <c r="I436" s="136" t="str">
        <f t="shared" si="19"/>
        <v>TIMESTAMP(6)</v>
      </c>
      <c r="J436" s="169" t="s">
        <v>0</v>
      </c>
      <c r="K436" s="169" t="s">
        <v>1</v>
      </c>
      <c r="L436" s="169">
        <v>30</v>
      </c>
      <c r="M436" s="168"/>
      <c r="N436" s="168"/>
      <c r="O436" s="168"/>
      <c r="P436" s="168"/>
      <c r="Q436" s="168" t="s">
        <v>0</v>
      </c>
      <c r="R436" s="168" t="s">
        <v>1</v>
      </c>
      <c r="S436" s="178" t="str">
        <f t="shared" si="20"/>
        <v>D_CS_MAP_INDUSTRYVALID_TO_DTTM</v>
      </c>
    </row>
    <row r="437" spans="1:19" ht="14.4" x14ac:dyDescent="0.3">
      <c r="A437" s="169" t="s">
        <v>2034</v>
      </c>
      <c r="B437" s="171" t="str">
        <f t="shared" si="18"/>
        <v>D_CS_MAP_INDUSTRY</v>
      </c>
      <c r="C437" s="169" t="s">
        <v>2071</v>
      </c>
      <c r="D437" s="169">
        <v>166</v>
      </c>
      <c r="E437" s="169">
        <v>8</v>
      </c>
      <c r="F437" s="169" t="s">
        <v>2071</v>
      </c>
      <c r="G437" s="169" t="s">
        <v>2071</v>
      </c>
      <c r="H437" s="169">
        <v>9</v>
      </c>
      <c r="I437" s="136" t="str">
        <f t="shared" si="19"/>
        <v xml:space="preserve">CHAR(32) </v>
      </c>
      <c r="J437" s="169" t="s">
        <v>0</v>
      </c>
      <c r="K437" s="169" t="s">
        <v>1</v>
      </c>
      <c r="L437" s="169">
        <v>30</v>
      </c>
      <c r="M437" s="168"/>
      <c r="N437" s="168"/>
      <c r="O437" s="168"/>
      <c r="P437" s="168"/>
      <c r="Q437" s="168" t="s">
        <v>0</v>
      </c>
      <c r="R437" s="168" t="s">
        <v>1</v>
      </c>
      <c r="S437" s="178" t="str">
        <f t="shared" si="20"/>
        <v>D_CS_MAP_INDUSTRYX_NAME_REP</v>
      </c>
    </row>
    <row r="438" spans="1:19" ht="14.4" x14ac:dyDescent="0.3">
      <c r="A438" s="169" t="s">
        <v>2029</v>
      </c>
      <c r="B438" s="171" t="str">
        <f t="shared" si="18"/>
        <v>D_CS_ST_PERIODS</v>
      </c>
      <c r="C438" s="169" t="s">
        <v>2072</v>
      </c>
      <c r="D438" s="169">
        <v>167</v>
      </c>
      <c r="E438" s="169">
        <v>1</v>
      </c>
      <c r="F438" s="169" t="s">
        <v>2072</v>
      </c>
      <c r="G438" s="169" t="s">
        <v>2072</v>
      </c>
      <c r="H438" s="169">
        <v>46</v>
      </c>
      <c r="I438" s="136" t="str">
        <f t="shared" si="19"/>
        <v>DECIMAL(7, 4)</v>
      </c>
      <c r="J438" s="169" t="s">
        <v>0</v>
      </c>
      <c r="K438" s="169" t="s">
        <v>1</v>
      </c>
      <c r="L438" s="169">
        <v>30</v>
      </c>
      <c r="M438" s="168"/>
      <c r="N438" s="168"/>
      <c r="O438" s="168"/>
      <c r="P438" s="168"/>
      <c r="Q438" s="168" t="s">
        <v>0</v>
      </c>
      <c r="R438" s="168" t="s">
        <v>1</v>
      </c>
      <c r="S438" s="178" t="str">
        <f t="shared" si="20"/>
        <v>D_CS_ST_PERIODSDURATION</v>
      </c>
    </row>
    <row r="439" spans="1:19" ht="14.4" x14ac:dyDescent="0.3">
      <c r="A439" s="169" t="s">
        <v>2029</v>
      </c>
      <c r="B439" s="171" t="str">
        <f t="shared" si="18"/>
        <v>D_CS_ST_PERIODS</v>
      </c>
      <c r="C439" s="169" t="s">
        <v>1426</v>
      </c>
      <c r="D439" s="169">
        <v>168</v>
      </c>
      <c r="E439" s="169">
        <v>2</v>
      </c>
      <c r="F439" s="169" t="s">
        <v>1426</v>
      </c>
      <c r="G439" s="169" t="s">
        <v>1426</v>
      </c>
      <c r="H439" s="169">
        <v>25</v>
      </c>
      <c r="I439" s="136" t="str">
        <f t="shared" si="19"/>
        <v xml:space="preserve">CHAR(100) </v>
      </c>
      <c r="J439" s="169" t="s">
        <v>0</v>
      </c>
      <c r="K439" s="169" t="s">
        <v>1</v>
      </c>
      <c r="L439" s="169">
        <v>30</v>
      </c>
      <c r="M439" s="168"/>
      <c r="N439" s="168"/>
      <c r="O439" s="168"/>
      <c r="P439" s="168"/>
      <c r="Q439" s="168" t="s">
        <v>0</v>
      </c>
      <c r="R439" s="168" t="s">
        <v>1</v>
      </c>
      <c r="S439" s="178" t="str">
        <f t="shared" si="20"/>
        <v>D_CS_ST_PERIODSNAME</v>
      </c>
    </row>
    <row r="440" spans="1:19" ht="14.4" x14ac:dyDescent="0.3">
      <c r="A440" s="169" t="s">
        <v>2029</v>
      </c>
      <c r="B440" s="171" t="str">
        <f t="shared" si="18"/>
        <v>D_CS_ST_PERIODS</v>
      </c>
      <c r="C440" s="169" t="s">
        <v>2073</v>
      </c>
      <c r="D440" s="169">
        <v>169</v>
      </c>
      <c r="E440" s="169">
        <v>3</v>
      </c>
      <c r="F440" s="169" t="s">
        <v>2073</v>
      </c>
      <c r="G440" s="169" t="s">
        <v>2073</v>
      </c>
      <c r="H440" s="169">
        <v>27</v>
      </c>
      <c r="I440" s="136" t="str">
        <f t="shared" si="19"/>
        <v>INTEGER</v>
      </c>
      <c r="J440" s="169" t="s">
        <v>0</v>
      </c>
      <c r="K440" s="169" t="s">
        <v>0</v>
      </c>
      <c r="L440" s="169">
        <v>30</v>
      </c>
      <c r="M440" s="168"/>
      <c r="N440" s="168"/>
      <c r="O440" s="168"/>
      <c r="P440" s="168"/>
      <c r="Q440" s="168" t="s">
        <v>0</v>
      </c>
      <c r="R440" s="168" t="s">
        <v>1</v>
      </c>
      <c r="S440" s="178" t="str">
        <f t="shared" si="20"/>
        <v>D_CS_ST_PERIODSPERIOD_ID</v>
      </c>
    </row>
    <row r="441" spans="1:19" ht="14.4" x14ac:dyDescent="0.3">
      <c r="A441" s="169" t="s">
        <v>2029</v>
      </c>
      <c r="B441" s="171" t="str">
        <f t="shared" si="18"/>
        <v>D_CS_ST_PERIODS</v>
      </c>
      <c r="C441" s="169" t="s">
        <v>2066</v>
      </c>
      <c r="D441" s="169">
        <v>170</v>
      </c>
      <c r="E441" s="169">
        <v>4</v>
      </c>
      <c r="F441" s="169" t="s">
        <v>2066</v>
      </c>
      <c r="G441" s="169" t="s">
        <v>2066</v>
      </c>
      <c r="H441" s="169">
        <v>27</v>
      </c>
      <c r="I441" s="136" t="str">
        <f t="shared" si="19"/>
        <v>INTEGER</v>
      </c>
      <c r="J441" s="169" t="s">
        <v>0</v>
      </c>
      <c r="K441" s="169" t="s">
        <v>1</v>
      </c>
      <c r="L441" s="169">
        <v>30</v>
      </c>
      <c r="M441" s="168"/>
      <c r="N441" s="168"/>
      <c r="O441" s="168"/>
      <c r="P441" s="168"/>
      <c r="Q441" s="168" t="s">
        <v>0</v>
      </c>
      <c r="R441" s="168" t="s">
        <v>1</v>
      </c>
      <c r="S441" s="178" t="str">
        <f t="shared" si="20"/>
        <v>D_CS_ST_PERIODSST_SESSION_ID</v>
      </c>
    </row>
    <row r="442" spans="1:19" ht="14.4" x14ac:dyDescent="0.3">
      <c r="A442" s="169" t="s">
        <v>2030</v>
      </c>
      <c r="B442" s="171" t="str">
        <f t="shared" si="18"/>
        <v>D_CS_ST_SCENARIOS</v>
      </c>
      <c r="C442" s="169" t="s">
        <v>1426</v>
      </c>
      <c r="D442" s="169">
        <v>1250</v>
      </c>
      <c r="E442" s="169">
        <v>1</v>
      </c>
      <c r="F442" s="169" t="s">
        <v>1426</v>
      </c>
      <c r="G442" s="169" t="s">
        <v>1426</v>
      </c>
      <c r="H442" s="169">
        <v>25</v>
      </c>
      <c r="I442" s="136" t="str">
        <f t="shared" si="19"/>
        <v xml:space="preserve">CHAR(100) </v>
      </c>
      <c r="J442" s="169" t="s">
        <v>0</v>
      </c>
      <c r="K442" s="169" t="s">
        <v>1</v>
      </c>
      <c r="L442" s="169">
        <v>30</v>
      </c>
      <c r="M442" s="168"/>
      <c r="N442" s="168"/>
      <c r="O442" s="168"/>
      <c r="P442" s="168"/>
      <c r="Q442" s="168" t="s">
        <v>0</v>
      </c>
      <c r="R442" s="168" t="s">
        <v>1</v>
      </c>
      <c r="S442" s="178" t="str">
        <f t="shared" si="20"/>
        <v>D_CS_ST_SCENARIOSNAME</v>
      </c>
    </row>
    <row r="443" spans="1:19" ht="14.4" x14ac:dyDescent="0.3">
      <c r="A443" s="169" t="s">
        <v>2030</v>
      </c>
      <c r="B443" s="171" t="str">
        <f t="shared" si="18"/>
        <v>D_CS_ST_SCENARIOS</v>
      </c>
      <c r="C443" s="169" t="s">
        <v>2074</v>
      </c>
      <c r="D443" s="169">
        <v>1251</v>
      </c>
      <c r="E443" s="169">
        <v>2</v>
      </c>
      <c r="F443" s="169" t="s">
        <v>2074</v>
      </c>
      <c r="G443" s="169" t="s">
        <v>2074</v>
      </c>
      <c r="H443" s="169">
        <v>9</v>
      </c>
      <c r="I443" s="136" t="str">
        <f t="shared" si="19"/>
        <v xml:space="preserve">CHAR(32) </v>
      </c>
      <c r="J443" s="169" t="s">
        <v>0</v>
      </c>
      <c r="K443" s="169" t="s">
        <v>0</v>
      </c>
      <c r="L443" s="169">
        <v>30</v>
      </c>
      <c r="M443" s="168"/>
      <c r="N443" s="168"/>
      <c r="O443" s="168"/>
      <c r="P443" s="168"/>
      <c r="Q443" s="168" t="s">
        <v>0</v>
      </c>
      <c r="R443" s="168" t="s">
        <v>1</v>
      </c>
      <c r="S443" s="178" t="str">
        <f t="shared" si="20"/>
        <v>D_CS_ST_SCENARIOSSCENARIO_ID</v>
      </c>
    </row>
    <row r="444" spans="1:19" ht="14.4" x14ac:dyDescent="0.3">
      <c r="A444" s="169" t="s">
        <v>2030</v>
      </c>
      <c r="B444" s="171" t="str">
        <f t="shared" si="18"/>
        <v>D_CS_ST_SCENARIOS</v>
      </c>
      <c r="C444" s="169" t="s">
        <v>2066</v>
      </c>
      <c r="D444" s="169">
        <v>1252</v>
      </c>
      <c r="E444" s="169">
        <v>3</v>
      </c>
      <c r="F444" s="169" t="s">
        <v>2066</v>
      </c>
      <c r="G444" s="169" t="s">
        <v>2066</v>
      </c>
      <c r="H444" s="169">
        <v>27</v>
      </c>
      <c r="I444" s="136" t="str">
        <f t="shared" si="19"/>
        <v>INTEGER</v>
      </c>
      <c r="J444" s="169" t="s">
        <v>0</v>
      </c>
      <c r="K444" s="169" t="s">
        <v>1</v>
      </c>
      <c r="L444" s="169">
        <v>30</v>
      </c>
      <c r="M444" s="168"/>
      <c r="N444" s="168"/>
      <c r="O444" s="168"/>
      <c r="P444" s="168"/>
      <c r="Q444" s="168" t="s">
        <v>0</v>
      </c>
      <c r="R444" s="168" t="s">
        <v>1</v>
      </c>
      <c r="S444" s="178" t="str">
        <f t="shared" si="20"/>
        <v>D_CS_ST_SCENARIOSST_SESSION_ID</v>
      </c>
    </row>
    <row r="445" spans="1:19" ht="14.4" x14ac:dyDescent="0.3">
      <c r="A445" s="169" t="s">
        <v>2041</v>
      </c>
      <c r="B445" s="171" t="str">
        <f t="shared" si="18"/>
        <v>D_CUST_CASHFLOWS</v>
      </c>
      <c r="C445" s="169" t="s">
        <v>1888</v>
      </c>
      <c r="D445" s="169">
        <v>1253</v>
      </c>
      <c r="E445" s="169">
        <v>1</v>
      </c>
      <c r="F445" s="169" t="s">
        <v>1888</v>
      </c>
      <c r="G445" s="169" t="s">
        <v>1888</v>
      </c>
      <c r="H445" s="169">
        <v>34</v>
      </c>
      <c r="I445" s="136" t="str">
        <f t="shared" si="19"/>
        <v>DATE</v>
      </c>
      <c r="J445" s="169" t="s">
        <v>0</v>
      </c>
      <c r="K445" s="169" t="s">
        <v>1</v>
      </c>
      <c r="L445" s="169">
        <v>30</v>
      </c>
      <c r="M445" s="168"/>
      <c r="N445" s="168"/>
      <c r="O445" s="168"/>
      <c r="P445" s="168"/>
      <c r="Q445" s="168" t="s">
        <v>0</v>
      </c>
      <c r="R445" s="168" t="s">
        <v>1</v>
      </c>
      <c r="S445" s="178" t="str">
        <f t="shared" si="20"/>
        <v>D_CUST_CASHFLOWSCF_DATE</v>
      </c>
    </row>
    <row r="446" spans="1:19" ht="14.4" x14ac:dyDescent="0.3">
      <c r="A446" s="169" t="s">
        <v>2041</v>
      </c>
      <c r="B446" s="171" t="str">
        <f t="shared" si="18"/>
        <v>D_CUST_CASHFLOWS</v>
      </c>
      <c r="C446" s="169" t="s">
        <v>1889</v>
      </c>
      <c r="D446" s="169">
        <v>1254</v>
      </c>
      <c r="E446" s="169">
        <v>2</v>
      </c>
      <c r="F446" s="169" t="s">
        <v>1889</v>
      </c>
      <c r="G446" s="169" t="s">
        <v>1889</v>
      </c>
      <c r="H446" s="169">
        <v>40</v>
      </c>
      <c r="I446" s="136" t="str">
        <f t="shared" si="19"/>
        <v>DECIMAL(26, 4)</v>
      </c>
      <c r="J446" s="169" t="s">
        <v>0</v>
      </c>
      <c r="K446" s="169" t="s">
        <v>1</v>
      </c>
      <c r="L446" s="169">
        <v>30</v>
      </c>
      <c r="M446" s="168"/>
      <c r="N446" s="168"/>
      <c r="O446" s="168"/>
      <c r="P446" s="168"/>
      <c r="Q446" s="168" t="s">
        <v>0</v>
      </c>
      <c r="R446" s="168" t="s">
        <v>1</v>
      </c>
      <c r="S446" s="178" t="str">
        <f t="shared" si="20"/>
        <v>D_CUST_CASHFLOWSCF_VALUE</v>
      </c>
    </row>
    <row r="447" spans="1:19" ht="14.4" x14ac:dyDescent="0.3">
      <c r="A447" s="169" t="s">
        <v>2041</v>
      </c>
      <c r="B447" s="171" t="str">
        <f t="shared" si="18"/>
        <v>D_CUST_CASHFLOWS</v>
      </c>
      <c r="C447" s="169" t="s">
        <v>1875</v>
      </c>
      <c r="D447" s="169">
        <v>1255</v>
      </c>
      <c r="E447" s="169">
        <v>3</v>
      </c>
      <c r="F447" s="169" t="s">
        <v>1875</v>
      </c>
      <c r="G447" s="169" t="s">
        <v>1875</v>
      </c>
      <c r="H447" s="169">
        <v>22</v>
      </c>
      <c r="I447" s="136" t="str">
        <f t="shared" si="19"/>
        <v>TIMESTAMP(6)</v>
      </c>
      <c r="J447" s="169" t="s">
        <v>1</v>
      </c>
      <c r="K447" s="169" t="s">
        <v>1</v>
      </c>
      <c r="L447" s="169">
        <v>30</v>
      </c>
      <c r="M447" s="168"/>
      <c r="N447" s="168"/>
      <c r="O447" s="168"/>
      <c r="P447" s="168"/>
      <c r="Q447" s="168" t="s">
        <v>0</v>
      </c>
      <c r="R447" s="168" t="s">
        <v>1</v>
      </c>
      <c r="S447" s="178" t="str">
        <f t="shared" si="20"/>
        <v>D_CUST_CASHFLOWSEXTRACTION_TS</v>
      </c>
    </row>
    <row r="448" spans="1:19" ht="14.4" x14ac:dyDescent="0.3">
      <c r="A448" s="169" t="s">
        <v>2041</v>
      </c>
      <c r="B448" s="171" t="str">
        <f t="shared" si="18"/>
        <v>D_CUST_CASHFLOWS</v>
      </c>
      <c r="C448" s="169" t="s">
        <v>1890</v>
      </c>
      <c r="D448" s="169">
        <v>1256</v>
      </c>
      <c r="E448" s="169">
        <v>4</v>
      </c>
      <c r="F448" s="169" t="s">
        <v>1890</v>
      </c>
      <c r="G448" s="169" t="s">
        <v>1890</v>
      </c>
      <c r="H448" s="169">
        <v>9</v>
      </c>
      <c r="I448" s="136" t="str">
        <f t="shared" si="19"/>
        <v xml:space="preserve">CHAR(32) </v>
      </c>
      <c r="J448" s="169" t="s">
        <v>0</v>
      </c>
      <c r="K448" s="169" t="s">
        <v>1</v>
      </c>
      <c r="L448" s="169">
        <v>30</v>
      </c>
      <c r="M448" s="168"/>
      <c r="N448" s="168"/>
      <c r="O448" s="168"/>
      <c r="P448" s="168"/>
      <c r="Q448" s="168" t="s">
        <v>0</v>
      </c>
      <c r="R448" s="168" t="s">
        <v>1</v>
      </c>
      <c r="S448" s="178" t="str">
        <f t="shared" si="20"/>
        <v>D_CUST_CASHFLOWSISSUE_KEY</v>
      </c>
    </row>
    <row r="449" spans="1:19" ht="14.4" x14ac:dyDescent="0.3">
      <c r="A449" s="169" t="s">
        <v>2041</v>
      </c>
      <c r="B449" s="171" t="str">
        <f t="shared" si="18"/>
        <v>D_CUST_CASHFLOWS</v>
      </c>
      <c r="C449" s="169" t="s">
        <v>440</v>
      </c>
      <c r="D449" s="169">
        <v>1257</v>
      </c>
      <c r="E449" s="169">
        <v>5</v>
      </c>
      <c r="F449" s="169" t="s">
        <v>440</v>
      </c>
      <c r="G449" s="169" t="s">
        <v>440</v>
      </c>
      <c r="H449" s="169">
        <v>22</v>
      </c>
      <c r="I449" s="136" t="str">
        <f t="shared" si="19"/>
        <v>TIMESTAMP(6)</v>
      </c>
      <c r="J449" s="169" t="s">
        <v>1</v>
      </c>
      <c r="K449" s="169" t="s">
        <v>1</v>
      </c>
      <c r="L449" s="169">
        <v>30</v>
      </c>
      <c r="M449" s="168"/>
      <c r="N449" s="168"/>
      <c r="O449" s="168"/>
      <c r="P449" s="168"/>
      <c r="Q449" s="168" t="s">
        <v>0</v>
      </c>
      <c r="R449" s="168" t="s">
        <v>1</v>
      </c>
      <c r="S449" s="178" t="str">
        <f t="shared" si="20"/>
        <v>D_CUST_CASHFLOWSRECORD_CREATE_TS</v>
      </c>
    </row>
    <row r="450" spans="1:19" ht="14.4" x14ac:dyDescent="0.3">
      <c r="A450" s="169" t="s">
        <v>2041</v>
      </c>
      <c r="B450" s="171" t="str">
        <f t="shared" ref="B450:B513" si="21">IF(NOT(ISBLANK(A450)),VLOOKUP(A450,ERM_TABLE_NM,2,FALSE), "")</f>
        <v>D_CUST_CASHFLOWS</v>
      </c>
      <c r="C450" s="169" t="s">
        <v>429</v>
      </c>
      <c r="D450" s="169">
        <v>1258</v>
      </c>
      <c r="E450" s="169">
        <v>6</v>
      </c>
      <c r="F450" s="169" t="s">
        <v>429</v>
      </c>
      <c r="G450" s="169" t="s">
        <v>429</v>
      </c>
      <c r="H450" s="169">
        <v>22</v>
      </c>
      <c r="I450" s="136" t="str">
        <f t="shared" ref="I450:I513" si="22">IF(NOT(ISBLANK(H450)),VLOOKUP(H450,ERM_DOMAIN_NM,2,FALSE), "")</f>
        <v>TIMESTAMP(6)</v>
      </c>
      <c r="J450" s="169" t="s">
        <v>1</v>
      </c>
      <c r="K450" s="169" t="s">
        <v>1</v>
      </c>
      <c r="L450" s="169">
        <v>30</v>
      </c>
      <c r="M450" s="168"/>
      <c r="N450" s="168"/>
      <c r="O450" s="168"/>
      <c r="P450" s="168"/>
      <c r="Q450" s="168" t="s">
        <v>0</v>
      </c>
      <c r="R450" s="168" t="s">
        <v>1</v>
      </c>
      <c r="S450" s="178" t="str">
        <f t="shared" si="20"/>
        <v>D_CUST_CASHFLOWSRECORD_UPDATE_TS</v>
      </c>
    </row>
    <row r="451" spans="1:19" ht="14.4" x14ac:dyDescent="0.3">
      <c r="A451" s="169" t="s">
        <v>2041</v>
      </c>
      <c r="B451" s="171" t="str">
        <f t="shared" si="21"/>
        <v>D_CUST_CASHFLOWS</v>
      </c>
      <c r="C451" s="169" t="s">
        <v>498</v>
      </c>
      <c r="D451" s="169">
        <v>1259</v>
      </c>
      <c r="E451" s="169">
        <v>7</v>
      </c>
      <c r="F451" s="169" t="s">
        <v>498</v>
      </c>
      <c r="G451" s="169" t="s">
        <v>498</v>
      </c>
      <c r="H451" s="169">
        <v>7</v>
      </c>
      <c r="I451" s="136" t="str">
        <f t="shared" si="22"/>
        <v>BIGINT</v>
      </c>
      <c r="J451" s="169" t="s">
        <v>0</v>
      </c>
      <c r="K451" s="169" t="s">
        <v>0</v>
      </c>
      <c r="L451" s="169">
        <v>30</v>
      </c>
      <c r="M451" s="168"/>
      <c r="N451" s="168"/>
      <c r="O451" s="168"/>
      <c r="P451" s="168"/>
      <c r="Q451" s="168" t="s">
        <v>0</v>
      </c>
      <c r="R451" s="168" t="s">
        <v>1</v>
      </c>
      <c r="S451" s="178" t="str">
        <f t="shared" ref="S451:S514" si="23">CONCATENATE(A451,C451)</f>
        <v>D_CUST_CASHFLOWSRUN_ID</v>
      </c>
    </row>
    <row r="452" spans="1:19" ht="14.4" x14ac:dyDescent="0.3">
      <c r="A452" s="169" t="s">
        <v>2041</v>
      </c>
      <c r="B452" s="171" t="str">
        <f t="shared" si="21"/>
        <v>D_CUST_CASHFLOWS</v>
      </c>
      <c r="C452" s="169" t="s">
        <v>1887</v>
      </c>
      <c r="D452" s="169">
        <v>1260</v>
      </c>
      <c r="E452" s="169">
        <v>8</v>
      </c>
      <c r="F452" s="169" t="s">
        <v>1887</v>
      </c>
      <c r="G452" s="169" t="s">
        <v>1887</v>
      </c>
      <c r="H452" s="169">
        <v>34</v>
      </c>
      <c r="I452" s="136" t="str">
        <f t="shared" si="22"/>
        <v>DATE</v>
      </c>
      <c r="J452" s="169" t="s">
        <v>0</v>
      </c>
      <c r="K452" s="169" t="s">
        <v>1</v>
      </c>
      <c r="L452" s="169">
        <v>30</v>
      </c>
      <c r="M452" s="168"/>
      <c r="N452" s="168"/>
      <c r="O452" s="168"/>
      <c r="P452" s="168"/>
      <c r="Q452" s="168" t="s">
        <v>0</v>
      </c>
      <c r="R452" s="168" t="s">
        <v>1</v>
      </c>
      <c r="S452" s="178" t="str">
        <f t="shared" si="23"/>
        <v>D_CUST_CASHFLOWSVALIDITY_DATE</v>
      </c>
    </row>
    <row r="453" spans="1:19" ht="14.4" x14ac:dyDescent="0.3">
      <c r="A453" s="169" t="s">
        <v>1328</v>
      </c>
      <c r="B453" s="171" t="str">
        <f t="shared" si="21"/>
        <v>D_CUST_CASHFLOW_BTH</v>
      </c>
      <c r="C453" s="169" t="s">
        <v>1383</v>
      </c>
      <c r="D453" s="169">
        <v>2047</v>
      </c>
      <c r="E453" s="169">
        <v>1</v>
      </c>
      <c r="F453" s="169" t="s">
        <v>1383</v>
      </c>
      <c r="G453" s="169" t="s">
        <v>1383</v>
      </c>
      <c r="H453" s="169">
        <v>21</v>
      </c>
      <c r="I453" s="136" t="str">
        <f t="shared" si="22"/>
        <v>DECIMAL(19, 2)</v>
      </c>
      <c r="J453" s="169" t="s">
        <v>0</v>
      </c>
      <c r="K453" s="169" t="s">
        <v>1</v>
      </c>
      <c r="L453" s="169">
        <v>30</v>
      </c>
      <c r="M453" s="168"/>
      <c r="N453" s="168"/>
      <c r="O453" s="168"/>
      <c r="P453" s="168"/>
      <c r="Q453" s="168" t="s">
        <v>0</v>
      </c>
      <c r="R453" s="168" t="s">
        <v>1</v>
      </c>
      <c r="S453" s="178" t="str">
        <f t="shared" si="23"/>
        <v>D_CUST_CASHFLOW_BTHCASHFLOW_CCY_AMT</v>
      </c>
    </row>
    <row r="454" spans="1:19" ht="14.4" x14ac:dyDescent="0.3">
      <c r="A454" s="169" t="s">
        <v>1328</v>
      </c>
      <c r="B454" s="171" t="str">
        <f t="shared" si="21"/>
        <v>D_CUST_CASHFLOW_BTH</v>
      </c>
      <c r="C454" s="169" t="s">
        <v>779</v>
      </c>
      <c r="D454" s="169">
        <v>171</v>
      </c>
      <c r="E454" s="169">
        <v>2</v>
      </c>
      <c r="F454" s="169" t="s">
        <v>779</v>
      </c>
      <c r="G454" s="169" t="s">
        <v>779</v>
      </c>
      <c r="H454" s="169">
        <v>34</v>
      </c>
      <c r="I454" s="136" t="str">
        <f t="shared" si="22"/>
        <v>DATE</v>
      </c>
      <c r="J454" s="169" t="s">
        <v>1</v>
      </c>
      <c r="K454" s="169" t="s">
        <v>1</v>
      </c>
      <c r="L454" s="169">
        <v>30</v>
      </c>
      <c r="M454" s="168"/>
      <c r="N454" s="168"/>
      <c r="O454" s="168"/>
      <c r="P454" s="168"/>
      <c r="Q454" s="168" t="s">
        <v>0</v>
      </c>
      <c r="R454" s="168" t="s">
        <v>1</v>
      </c>
      <c r="S454" s="178" t="str">
        <f t="shared" si="23"/>
        <v>D_CUST_CASHFLOW_BTHCASHFLOW_DT</v>
      </c>
    </row>
    <row r="455" spans="1:19" ht="14.4" x14ac:dyDescent="0.3">
      <c r="A455" s="169" t="s">
        <v>1328</v>
      </c>
      <c r="B455" s="171" t="str">
        <f t="shared" si="21"/>
        <v>D_CUST_CASHFLOW_BTH</v>
      </c>
      <c r="C455" s="169" t="s">
        <v>781</v>
      </c>
      <c r="D455" s="169">
        <v>172</v>
      </c>
      <c r="E455" s="169">
        <v>3</v>
      </c>
      <c r="F455" s="169" t="s">
        <v>781</v>
      </c>
      <c r="G455" s="169" t="s">
        <v>781</v>
      </c>
      <c r="H455" s="169">
        <v>27</v>
      </c>
      <c r="I455" s="136" t="str">
        <f t="shared" si="22"/>
        <v>INTEGER</v>
      </c>
      <c r="J455" s="169" t="s">
        <v>0</v>
      </c>
      <c r="K455" s="169" t="s">
        <v>1</v>
      </c>
      <c r="L455" s="169">
        <v>30</v>
      </c>
      <c r="M455" s="168"/>
      <c r="N455" s="168"/>
      <c r="O455" s="168"/>
      <c r="P455" s="168"/>
      <c r="Q455" s="168" t="s">
        <v>0</v>
      </c>
      <c r="R455" s="168" t="s">
        <v>1</v>
      </c>
      <c r="S455" s="178" t="str">
        <f t="shared" si="23"/>
        <v>D_CUST_CASHFLOW_BTHCASHFLOW_NUM</v>
      </c>
    </row>
    <row r="456" spans="1:19" ht="14.4" x14ac:dyDescent="0.3">
      <c r="A456" s="169" t="s">
        <v>1328</v>
      </c>
      <c r="B456" s="171" t="str">
        <f t="shared" si="21"/>
        <v>D_CUST_CASHFLOW_BTH</v>
      </c>
      <c r="C456" s="169" t="s">
        <v>780</v>
      </c>
      <c r="D456" s="169">
        <v>173</v>
      </c>
      <c r="E456" s="169">
        <v>4</v>
      </c>
      <c r="F456" s="169" t="s">
        <v>780</v>
      </c>
      <c r="G456" s="169" t="s">
        <v>780</v>
      </c>
      <c r="H456" s="169">
        <v>21</v>
      </c>
      <c r="I456" s="136" t="str">
        <f t="shared" si="22"/>
        <v>DECIMAL(19, 2)</v>
      </c>
      <c r="J456" s="169" t="s">
        <v>0</v>
      </c>
      <c r="K456" s="169" t="s">
        <v>1</v>
      </c>
      <c r="L456" s="169">
        <v>30</v>
      </c>
      <c r="M456" s="168"/>
      <c r="N456" s="168"/>
      <c r="O456" s="168"/>
      <c r="P456" s="168"/>
      <c r="Q456" s="168" t="s">
        <v>0</v>
      </c>
      <c r="R456" s="168" t="s">
        <v>1</v>
      </c>
      <c r="S456" s="178" t="str">
        <f t="shared" si="23"/>
        <v>D_CUST_CASHFLOW_BTHCASHFLOW_RUB_AMT</v>
      </c>
    </row>
    <row r="457" spans="1:19" ht="14.4" x14ac:dyDescent="0.3">
      <c r="A457" s="169" t="s">
        <v>1328</v>
      </c>
      <c r="B457" s="171" t="str">
        <f t="shared" si="21"/>
        <v>D_CUST_CASHFLOW_BTH</v>
      </c>
      <c r="C457" s="169" t="s">
        <v>585</v>
      </c>
      <c r="D457" s="169">
        <v>174</v>
      </c>
      <c r="E457" s="169">
        <v>5</v>
      </c>
      <c r="F457" s="169" t="s">
        <v>585</v>
      </c>
      <c r="G457" s="169" t="s">
        <v>585</v>
      </c>
      <c r="H457" s="169">
        <v>7</v>
      </c>
      <c r="I457" s="136" t="str">
        <f t="shared" si="22"/>
        <v>BIGINT</v>
      </c>
      <c r="J457" s="169" t="s">
        <v>1</v>
      </c>
      <c r="K457" s="169" t="s">
        <v>0</v>
      </c>
      <c r="L457" s="169">
        <v>30</v>
      </c>
      <c r="M457" s="168"/>
      <c r="N457" s="168"/>
      <c r="O457" s="168"/>
      <c r="P457" s="168"/>
      <c r="Q457" s="168" t="s">
        <v>0</v>
      </c>
      <c r="R457" s="168" t="s">
        <v>1</v>
      </c>
      <c r="S457" s="178" t="str">
        <f t="shared" si="23"/>
        <v>D_CUST_CASHFLOW_BTHCLAIM_ORIG_ID</v>
      </c>
    </row>
    <row r="458" spans="1:19" ht="14.4" x14ac:dyDescent="0.3">
      <c r="A458" s="169" t="s">
        <v>1328</v>
      </c>
      <c r="B458" s="171" t="str">
        <f t="shared" si="21"/>
        <v>D_CUST_CASHFLOW_BTH</v>
      </c>
      <c r="C458" s="169" t="s">
        <v>614</v>
      </c>
      <c r="D458" s="169">
        <v>175</v>
      </c>
      <c r="E458" s="169">
        <v>6</v>
      </c>
      <c r="F458" s="169" t="s">
        <v>614</v>
      </c>
      <c r="G458" s="169" t="s">
        <v>614</v>
      </c>
      <c r="H458" s="169">
        <v>7</v>
      </c>
      <c r="I458" s="136" t="str">
        <f t="shared" si="22"/>
        <v>BIGINT</v>
      </c>
      <c r="J458" s="169" t="s">
        <v>0</v>
      </c>
      <c r="K458" s="169" t="s">
        <v>1</v>
      </c>
      <c r="L458" s="169">
        <v>30</v>
      </c>
      <c r="M458" s="168"/>
      <c r="N458" s="168"/>
      <c r="O458" s="168"/>
      <c r="P458" s="168"/>
      <c r="Q458" s="168" t="s">
        <v>0</v>
      </c>
      <c r="R458" s="168" t="s">
        <v>1</v>
      </c>
      <c r="S458" s="178" t="str">
        <f t="shared" si="23"/>
        <v>D_CUST_CASHFLOW_BTHCURRENCY_ID</v>
      </c>
    </row>
    <row r="459" spans="1:19" ht="14.4" x14ac:dyDescent="0.3">
      <c r="A459" s="169" t="s">
        <v>1328</v>
      </c>
      <c r="B459" s="171" t="str">
        <f t="shared" si="21"/>
        <v>D_CUST_CASHFLOW_BTH</v>
      </c>
      <c r="C459" s="169" t="s">
        <v>531</v>
      </c>
      <c r="D459" s="169">
        <v>176</v>
      </c>
      <c r="E459" s="169">
        <v>7</v>
      </c>
      <c r="F459" s="169" t="s">
        <v>531</v>
      </c>
      <c r="G459" s="169" t="s">
        <v>531</v>
      </c>
      <c r="H459" s="169">
        <v>7</v>
      </c>
      <c r="I459" s="136" t="str">
        <f t="shared" si="22"/>
        <v>BIGINT</v>
      </c>
      <c r="J459" s="169" t="s">
        <v>1</v>
      </c>
      <c r="K459" s="169" t="s">
        <v>1</v>
      </c>
      <c r="L459" s="169">
        <v>30</v>
      </c>
      <c r="M459" s="168"/>
      <c r="N459" s="168"/>
      <c r="O459" s="168"/>
      <c r="P459" s="168"/>
      <c r="Q459" s="168" t="s">
        <v>0</v>
      </c>
      <c r="R459" s="168" t="s">
        <v>1</v>
      </c>
      <c r="S459" s="178" t="str">
        <f t="shared" si="23"/>
        <v>D_CUST_CASHFLOW_BTHPYMNT_CAT_ID</v>
      </c>
    </row>
    <row r="460" spans="1:19" ht="14.4" x14ac:dyDescent="0.3">
      <c r="A460" s="169" t="s">
        <v>1328</v>
      </c>
      <c r="B460" s="171" t="str">
        <f t="shared" si="21"/>
        <v>D_CUST_CASHFLOW_BTH</v>
      </c>
      <c r="C460" s="169" t="s">
        <v>438</v>
      </c>
      <c r="D460" s="169">
        <v>177</v>
      </c>
      <c r="E460" s="169">
        <v>8</v>
      </c>
      <c r="F460" s="169" t="s">
        <v>438</v>
      </c>
      <c r="G460" s="169" t="s">
        <v>438</v>
      </c>
      <c r="H460" s="169">
        <v>22</v>
      </c>
      <c r="I460" s="136" t="str">
        <f t="shared" si="22"/>
        <v>TIMESTAMP(6)</v>
      </c>
      <c r="J460" s="169" t="s">
        <v>1</v>
      </c>
      <c r="K460" s="169" t="s">
        <v>1</v>
      </c>
      <c r="L460" s="169">
        <v>30</v>
      </c>
      <c r="M460" s="168"/>
      <c r="N460" s="168"/>
      <c r="O460" s="168"/>
      <c r="P460" s="168"/>
      <c r="Q460" s="168" t="s">
        <v>0</v>
      </c>
      <c r="R460" s="168" t="s">
        <v>1</v>
      </c>
      <c r="S460" s="178" t="str">
        <f t="shared" si="23"/>
        <v>D_CUST_CASHFLOW_BTHRECORD_CLOSE_TS</v>
      </c>
    </row>
    <row r="461" spans="1:19" ht="14.4" x14ac:dyDescent="0.3">
      <c r="A461" s="169" t="s">
        <v>1328</v>
      </c>
      <c r="B461" s="171" t="str">
        <f t="shared" si="21"/>
        <v>D_CUST_CASHFLOW_BTH</v>
      </c>
      <c r="C461" s="169" t="s">
        <v>440</v>
      </c>
      <c r="D461" s="169">
        <v>178</v>
      </c>
      <c r="E461" s="169">
        <v>9</v>
      </c>
      <c r="F461" s="169" t="s">
        <v>440</v>
      </c>
      <c r="G461" s="169" t="s">
        <v>440</v>
      </c>
      <c r="H461" s="169">
        <v>22</v>
      </c>
      <c r="I461" s="136" t="str">
        <f t="shared" si="22"/>
        <v>TIMESTAMP(6)</v>
      </c>
      <c r="J461" s="169" t="s">
        <v>1</v>
      </c>
      <c r="K461" s="169" t="s">
        <v>1</v>
      </c>
      <c r="L461" s="169">
        <v>30</v>
      </c>
      <c r="M461" s="168"/>
      <c r="N461" s="168"/>
      <c r="O461" s="168"/>
      <c r="P461" s="168"/>
      <c r="Q461" s="168" t="s">
        <v>0</v>
      </c>
      <c r="R461" s="168" t="s">
        <v>1</v>
      </c>
      <c r="S461" s="178" t="str">
        <f t="shared" si="23"/>
        <v>D_CUST_CASHFLOW_BTHRECORD_CREATE_TS</v>
      </c>
    </row>
    <row r="462" spans="1:19" ht="14.4" x14ac:dyDescent="0.3">
      <c r="A462" s="169" t="s">
        <v>1328</v>
      </c>
      <c r="B462" s="171" t="str">
        <f t="shared" si="21"/>
        <v>D_CUST_CASHFLOW_BTH</v>
      </c>
      <c r="C462" s="169" t="s">
        <v>429</v>
      </c>
      <c r="D462" s="169">
        <v>179</v>
      </c>
      <c r="E462" s="169">
        <v>10</v>
      </c>
      <c r="F462" s="169" t="s">
        <v>429</v>
      </c>
      <c r="G462" s="169" t="s">
        <v>429</v>
      </c>
      <c r="H462" s="169">
        <v>22</v>
      </c>
      <c r="I462" s="136" t="str">
        <f t="shared" si="22"/>
        <v>TIMESTAMP(6)</v>
      </c>
      <c r="J462" s="169" t="s">
        <v>1</v>
      </c>
      <c r="K462" s="169" t="s">
        <v>1</v>
      </c>
      <c r="L462" s="169">
        <v>30</v>
      </c>
      <c r="M462" s="168"/>
      <c r="N462" s="168"/>
      <c r="O462" s="168"/>
      <c r="P462" s="168"/>
      <c r="Q462" s="168" t="s">
        <v>0</v>
      </c>
      <c r="R462" s="168" t="s">
        <v>1</v>
      </c>
      <c r="S462" s="178" t="str">
        <f t="shared" si="23"/>
        <v>D_CUST_CASHFLOW_BTHRECORD_UPDATE_TS</v>
      </c>
    </row>
    <row r="463" spans="1:19" ht="14.4" x14ac:dyDescent="0.3">
      <c r="A463" s="169" t="s">
        <v>1328</v>
      </c>
      <c r="B463" s="171" t="str">
        <f t="shared" si="21"/>
        <v>D_CUST_CASHFLOW_BTH</v>
      </c>
      <c r="C463" s="169" t="s">
        <v>498</v>
      </c>
      <c r="D463" s="169">
        <v>180</v>
      </c>
      <c r="E463" s="169">
        <v>11</v>
      </c>
      <c r="F463" s="169" t="s">
        <v>498</v>
      </c>
      <c r="G463" s="169" t="s">
        <v>498</v>
      </c>
      <c r="H463" s="169">
        <v>7</v>
      </c>
      <c r="I463" s="136" t="str">
        <f t="shared" si="22"/>
        <v>BIGINT</v>
      </c>
      <c r="J463" s="169" t="s">
        <v>1</v>
      </c>
      <c r="K463" s="169" t="s">
        <v>1</v>
      </c>
      <c r="L463" s="169">
        <v>30</v>
      </c>
      <c r="M463" s="168"/>
      <c r="N463" s="168"/>
      <c r="O463" s="168"/>
      <c r="P463" s="168"/>
      <c r="Q463" s="168" t="s">
        <v>0</v>
      </c>
      <c r="R463" s="168" t="s">
        <v>1</v>
      </c>
      <c r="S463" s="178" t="str">
        <f t="shared" si="23"/>
        <v>D_CUST_CASHFLOW_BTHRUN_ID</v>
      </c>
    </row>
    <row r="464" spans="1:19" ht="14.4" x14ac:dyDescent="0.3">
      <c r="A464" s="169" t="s">
        <v>1328</v>
      </c>
      <c r="B464" s="171" t="str">
        <f t="shared" si="21"/>
        <v>D_CUST_CASHFLOW_BTH</v>
      </c>
      <c r="C464" s="169" t="s">
        <v>492</v>
      </c>
      <c r="D464" s="169">
        <v>181</v>
      </c>
      <c r="E464" s="169">
        <v>12</v>
      </c>
      <c r="F464" s="169" t="s">
        <v>492</v>
      </c>
      <c r="G464" s="169" t="s">
        <v>492</v>
      </c>
      <c r="H464" s="169">
        <v>34</v>
      </c>
      <c r="I464" s="136" t="str">
        <f t="shared" si="22"/>
        <v>DATE</v>
      </c>
      <c r="J464" s="169" t="s">
        <v>1</v>
      </c>
      <c r="K464" s="169" t="s">
        <v>1</v>
      </c>
      <c r="L464" s="169">
        <v>30</v>
      </c>
      <c r="M464" s="168"/>
      <c r="N464" s="168"/>
      <c r="O464" s="168"/>
      <c r="P464" s="168"/>
      <c r="Q464" s="168" t="s">
        <v>0</v>
      </c>
      <c r="R464" s="168" t="s">
        <v>1</v>
      </c>
      <c r="S464" s="178" t="str">
        <f t="shared" si="23"/>
        <v>D_CUST_CASHFLOW_BTHVALIDITY_DT</v>
      </c>
    </row>
    <row r="465" spans="1:19" ht="14.4" x14ac:dyDescent="0.3">
      <c r="A465" s="169" t="s">
        <v>1775</v>
      </c>
      <c r="B465" s="171" t="str">
        <f t="shared" si="21"/>
        <v>D_DATA_LOAD_LOG</v>
      </c>
      <c r="C465" s="169" t="s">
        <v>1794</v>
      </c>
      <c r="D465" s="169">
        <v>182</v>
      </c>
      <c r="E465" s="169">
        <v>1</v>
      </c>
      <c r="F465" s="169" t="s">
        <v>1794</v>
      </c>
      <c r="G465" s="169" t="s">
        <v>1794</v>
      </c>
      <c r="H465" s="169">
        <v>24</v>
      </c>
      <c r="I465" s="136" t="str">
        <f t="shared" si="22"/>
        <v xml:space="preserve">VARCHAR(40) </v>
      </c>
      <c r="J465" s="169" t="s">
        <v>0</v>
      </c>
      <c r="K465" s="169" t="s">
        <v>1</v>
      </c>
      <c r="L465" s="169">
        <v>30</v>
      </c>
      <c r="M465" s="168"/>
      <c r="N465" s="168"/>
      <c r="O465" s="168"/>
      <c r="P465" s="168"/>
      <c r="Q465" s="168" t="s">
        <v>0</v>
      </c>
      <c r="R465" s="168" t="s">
        <v>1</v>
      </c>
      <c r="S465" s="178" t="str">
        <f t="shared" si="23"/>
        <v>D_DATA_LOAD_LOGLAYER_CD</v>
      </c>
    </row>
    <row r="466" spans="1:19" ht="14.4" x14ac:dyDescent="0.3">
      <c r="A466" s="169" t="s">
        <v>1775</v>
      </c>
      <c r="B466" s="171" t="str">
        <f t="shared" si="21"/>
        <v>D_DATA_LOAD_LOG</v>
      </c>
      <c r="C466" s="169" t="s">
        <v>440</v>
      </c>
      <c r="D466" s="169">
        <v>183</v>
      </c>
      <c r="E466" s="169">
        <v>2</v>
      </c>
      <c r="F466" s="169" t="s">
        <v>440</v>
      </c>
      <c r="G466" s="169" t="s">
        <v>440</v>
      </c>
      <c r="H466" s="169">
        <v>22</v>
      </c>
      <c r="I466" s="136" t="str">
        <f t="shared" si="22"/>
        <v>TIMESTAMP(6)</v>
      </c>
      <c r="J466" s="169" t="s">
        <v>1</v>
      </c>
      <c r="K466" s="169" t="s">
        <v>1</v>
      </c>
      <c r="L466" s="169">
        <v>30</v>
      </c>
      <c r="M466" s="168"/>
      <c r="N466" s="168"/>
      <c r="O466" s="168"/>
      <c r="P466" s="168"/>
      <c r="Q466" s="168" t="s">
        <v>0</v>
      </c>
      <c r="R466" s="168" t="s">
        <v>1</v>
      </c>
      <c r="S466" s="178" t="str">
        <f t="shared" si="23"/>
        <v>D_DATA_LOAD_LOGRECORD_CREATE_TS</v>
      </c>
    </row>
    <row r="467" spans="1:19" ht="14.4" x14ac:dyDescent="0.3">
      <c r="A467" s="169" t="s">
        <v>1775</v>
      </c>
      <c r="B467" s="171" t="str">
        <f t="shared" si="21"/>
        <v>D_DATA_LOAD_LOG</v>
      </c>
      <c r="C467" s="169" t="s">
        <v>429</v>
      </c>
      <c r="D467" s="169">
        <v>184</v>
      </c>
      <c r="E467" s="169">
        <v>3</v>
      </c>
      <c r="F467" s="169" t="s">
        <v>429</v>
      </c>
      <c r="G467" s="169" t="s">
        <v>429</v>
      </c>
      <c r="H467" s="169">
        <v>22</v>
      </c>
      <c r="I467" s="136" t="str">
        <f t="shared" si="22"/>
        <v>TIMESTAMP(6)</v>
      </c>
      <c r="J467" s="169" t="s">
        <v>1</v>
      </c>
      <c r="K467" s="169" t="s">
        <v>1</v>
      </c>
      <c r="L467" s="169">
        <v>30</v>
      </c>
      <c r="M467" s="168"/>
      <c r="N467" s="168"/>
      <c r="O467" s="168"/>
      <c r="P467" s="168"/>
      <c r="Q467" s="168" t="s">
        <v>0</v>
      </c>
      <c r="R467" s="168" t="s">
        <v>1</v>
      </c>
      <c r="S467" s="178" t="str">
        <f t="shared" si="23"/>
        <v>D_DATA_LOAD_LOGRECORD_UPDATE_TS</v>
      </c>
    </row>
    <row r="468" spans="1:19" ht="14.4" x14ac:dyDescent="0.3">
      <c r="A468" s="169" t="s">
        <v>1775</v>
      </c>
      <c r="B468" s="171" t="str">
        <f t="shared" si="21"/>
        <v>D_DATA_LOAD_LOG</v>
      </c>
      <c r="C468" s="169" t="s">
        <v>498</v>
      </c>
      <c r="D468" s="169">
        <v>192</v>
      </c>
      <c r="E468" s="169">
        <v>4</v>
      </c>
      <c r="F468" s="169" t="s">
        <v>498</v>
      </c>
      <c r="G468" s="169" t="s">
        <v>498</v>
      </c>
      <c r="H468" s="169">
        <v>7</v>
      </c>
      <c r="I468" s="136" t="str">
        <f t="shared" si="22"/>
        <v>BIGINT</v>
      </c>
      <c r="J468" s="169" t="s">
        <v>1</v>
      </c>
      <c r="K468" s="169" t="s">
        <v>1</v>
      </c>
      <c r="L468" s="169">
        <v>30</v>
      </c>
      <c r="M468" s="168"/>
      <c r="N468" s="168"/>
      <c r="O468" s="168"/>
      <c r="P468" s="168"/>
      <c r="Q468" s="168" t="s">
        <v>0</v>
      </c>
      <c r="R468" s="168" t="s">
        <v>1</v>
      </c>
      <c r="S468" s="178" t="str">
        <f t="shared" si="23"/>
        <v>D_DATA_LOAD_LOGRUN_ID</v>
      </c>
    </row>
    <row r="469" spans="1:19" ht="14.4" x14ac:dyDescent="0.3">
      <c r="A469" s="169" t="s">
        <v>1775</v>
      </c>
      <c r="B469" s="171" t="str">
        <f t="shared" si="21"/>
        <v>D_DATA_LOAD_LOG</v>
      </c>
      <c r="C469" s="169" t="s">
        <v>527</v>
      </c>
      <c r="D469" s="169">
        <v>193</v>
      </c>
      <c r="E469" s="169">
        <v>5</v>
      </c>
      <c r="F469" s="169" t="s">
        <v>527</v>
      </c>
      <c r="G469" s="169" t="s">
        <v>527</v>
      </c>
      <c r="H469" s="169">
        <v>7</v>
      </c>
      <c r="I469" s="136" t="str">
        <f t="shared" si="22"/>
        <v>BIGINT</v>
      </c>
      <c r="J469" s="169" t="s">
        <v>1</v>
      </c>
      <c r="K469" s="169" t="s">
        <v>0</v>
      </c>
      <c r="L469" s="169">
        <v>30</v>
      </c>
      <c r="M469" s="168"/>
      <c r="N469" s="168"/>
      <c r="O469" s="168"/>
      <c r="P469" s="168"/>
      <c r="Q469" s="168" t="s">
        <v>0</v>
      </c>
      <c r="R469" s="168" t="s">
        <v>1</v>
      </c>
      <c r="S469" s="178" t="str">
        <f t="shared" si="23"/>
        <v>D_DATA_LOAD_LOGSRC_SYS_ID</v>
      </c>
    </row>
    <row r="470" spans="1:19" ht="14.4" x14ac:dyDescent="0.3">
      <c r="A470" s="169" t="s">
        <v>1775</v>
      </c>
      <c r="B470" s="171" t="str">
        <f t="shared" si="21"/>
        <v>D_DATA_LOAD_LOG</v>
      </c>
      <c r="C470" s="169" t="s">
        <v>1795</v>
      </c>
      <c r="D470" s="169">
        <v>194</v>
      </c>
      <c r="E470" s="169">
        <v>6</v>
      </c>
      <c r="F470" s="169" t="s">
        <v>1795</v>
      </c>
      <c r="G470" s="169" t="s">
        <v>1795</v>
      </c>
      <c r="H470" s="169">
        <v>24</v>
      </c>
      <c r="I470" s="136" t="str">
        <f t="shared" si="22"/>
        <v xml:space="preserve">VARCHAR(40) </v>
      </c>
      <c r="J470" s="169" t="s">
        <v>0</v>
      </c>
      <c r="K470" s="169" t="s">
        <v>1</v>
      </c>
      <c r="L470" s="169">
        <v>30</v>
      </c>
      <c r="M470" s="168"/>
      <c r="N470" s="168"/>
      <c r="O470" s="168"/>
      <c r="P470" s="168"/>
      <c r="Q470" s="168" t="s">
        <v>0</v>
      </c>
      <c r="R470" s="168" t="s">
        <v>1</v>
      </c>
      <c r="S470" s="178" t="str">
        <f t="shared" si="23"/>
        <v>D_DATA_LOAD_LOGSTATUS_CD</v>
      </c>
    </row>
    <row r="471" spans="1:19" ht="14.4" x14ac:dyDescent="0.3">
      <c r="A471" s="169" t="s">
        <v>1775</v>
      </c>
      <c r="B471" s="171" t="str">
        <f t="shared" si="21"/>
        <v>D_DATA_LOAD_LOG</v>
      </c>
      <c r="C471" s="169" t="s">
        <v>1791</v>
      </c>
      <c r="D471" s="169">
        <v>195</v>
      </c>
      <c r="E471" s="169">
        <v>7</v>
      </c>
      <c r="F471" s="169" t="s">
        <v>1791</v>
      </c>
      <c r="G471" s="169" t="s">
        <v>1791</v>
      </c>
      <c r="H471" s="169">
        <v>24</v>
      </c>
      <c r="I471" s="136" t="str">
        <f t="shared" si="22"/>
        <v xml:space="preserve">VARCHAR(40) </v>
      </c>
      <c r="J471" s="169" t="s">
        <v>1</v>
      </c>
      <c r="K471" s="169" t="s">
        <v>0</v>
      </c>
      <c r="L471" s="169">
        <v>30</v>
      </c>
      <c r="M471" s="168"/>
      <c r="N471" s="168"/>
      <c r="O471" s="168"/>
      <c r="P471" s="168"/>
      <c r="Q471" s="168" t="s">
        <v>0</v>
      </c>
      <c r="R471" s="168" t="s">
        <v>1</v>
      </c>
      <c r="S471" s="178" t="str">
        <f t="shared" si="23"/>
        <v>D_DATA_LOAD_LOGTABLE_NM</v>
      </c>
    </row>
    <row r="472" spans="1:19" ht="14.4" x14ac:dyDescent="0.3">
      <c r="A472" s="169" t="s">
        <v>1775</v>
      </c>
      <c r="B472" s="171" t="str">
        <f t="shared" si="21"/>
        <v>D_DATA_LOAD_LOG</v>
      </c>
      <c r="C472" s="169" t="s">
        <v>492</v>
      </c>
      <c r="D472" s="169">
        <v>196</v>
      </c>
      <c r="E472" s="169">
        <v>8</v>
      </c>
      <c r="F472" s="169" t="s">
        <v>492</v>
      </c>
      <c r="G472" s="169" t="s">
        <v>492</v>
      </c>
      <c r="H472" s="169">
        <v>34</v>
      </c>
      <c r="I472" s="136" t="str">
        <f t="shared" si="22"/>
        <v>DATE</v>
      </c>
      <c r="J472" s="169" t="s">
        <v>0</v>
      </c>
      <c r="K472" s="169" t="s">
        <v>0</v>
      </c>
      <c r="L472" s="169">
        <v>30</v>
      </c>
      <c r="M472" s="168"/>
      <c r="N472" s="168"/>
      <c r="O472" s="168"/>
      <c r="P472" s="168"/>
      <c r="Q472" s="168" t="s">
        <v>0</v>
      </c>
      <c r="R472" s="168" t="s">
        <v>1</v>
      </c>
      <c r="S472" s="178" t="str">
        <f t="shared" si="23"/>
        <v>D_DATA_LOAD_LOGVALIDITY_DT</v>
      </c>
    </row>
    <row r="473" spans="1:19" ht="14.4" x14ac:dyDescent="0.3">
      <c r="A473" s="169" t="s">
        <v>1331</v>
      </c>
      <c r="B473" s="171" t="str">
        <f t="shared" si="21"/>
        <v>D_DDPL_GROUP</v>
      </c>
      <c r="C473" s="169" t="s">
        <v>581</v>
      </c>
      <c r="D473" s="169">
        <v>1261</v>
      </c>
      <c r="E473" s="169">
        <v>1</v>
      </c>
      <c r="F473" s="169" t="s">
        <v>581</v>
      </c>
      <c r="G473" s="169" t="s">
        <v>581</v>
      </c>
      <c r="H473" s="169">
        <v>7</v>
      </c>
      <c r="I473" s="136" t="str">
        <f t="shared" si="22"/>
        <v>BIGINT</v>
      </c>
      <c r="J473" s="169" t="s">
        <v>1</v>
      </c>
      <c r="K473" s="169" t="s">
        <v>1</v>
      </c>
      <c r="L473" s="169">
        <v>30</v>
      </c>
      <c r="M473" s="168"/>
      <c r="N473" s="168"/>
      <c r="O473" s="168"/>
      <c r="P473" s="168"/>
      <c r="Q473" s="168" t="s">
        <v>0</v>
      </c>
      <c r="R473" s="168" t="s">
        <v>1</v>
      </c>
      <c r="S473" s="178" t="str">
        <f t="shared" si="23"/>
        <v>D_DDPL_GROUPCP_ORIG_ID</v>
      </c>
    </row>
    <row r="474" spans="1:19" ht="14.4" x14ac:dyDescent="0.3">
      <c r="A474" s="169" t="s">
        <v>1331</v>
      </c>
      <c r="B474" s="171" t="str">
        <f t="shared" si="21"/>
        <v>D_DDPL_GROUP</v>
      </c>
      <c r="C474" s="169" t="s">
        <v>1484</v>
      </c>
      <c r="D474" s="169">
        <v>1262</v>
      </c>
      <c r="E474" s="169">
        <v>2</v>
      </c>
      <c r="F474" s="169" t="s">
        <v>1484</v>
      </c>
      <c r="G474" s="169" t="s">
        <v>1484</v>
      </c>
      <c r="H474" s="169">
        <v>7</v>
      </c>
      <c r="I474" s="136" t="str">
        <f t="shared" si="22"/>
        <v>BIGINT</v>
      </c>
      <c r="J474" s="169" t="s">
        <v>1</v>
      </c>
      <c r="K474" s="169" t="s">
        <v>1</v>
      </c>
      <c r="L474" s="169">
        <v>30</v>
      </c>
      <c r="M474" s="168"/>
      <c r="N474" s="168"/>
      <c r="O474" s="168"/>
      <c r="P474" s="168"/>
      <c r="Q474" s="168" t="s">
        <v>0</v>
      </c>
      <c r="R474" s="168" t="s">
        <v>1</v>
      </c>
      <c r="S474" s="178" t="str">
        <f t="shared" si="23"/>
        <v>D_DDPL_GROUPDDPL_GROUP_ID</v>
      </c>
    </row>
    <row r="475" spans="1:19" ht="14.4" x14ac:dyDescent="0.3">
      <c r="A475" s="169" t="s">
        <v>1331</v>
      </c>
      <c r="B475" s="171" t="str">
        <f t="shared" si="21"/>
        <v>D_DDPL_GROUP</v>
      </c>
      <c r="C475" s="169" t="s">
        <v>438</v>
      </c>
      <c r="D475" s="169">
        <v>1263</v>
      </c>
      <c r="E475" s="169">
        <v>3</v>
      </c>
      <c r="F475" s="169" t="s">
        <v>438</v>
      </c>
      <c r="G475" s="169" t="s">
        <v>438</v>
      </c>
      <c r="H475" s="169">
        <v>22</v>
      </c>
      <c r="I475" s="136" t="str">
        <f t="shared" si="22"/>
        <v>TIMESTAMP(6)</v>
      </c>
      <c r="J475" s="169" t="s">
        <v>1</v>
      </c>
      <c r="K475" s="169" t="s">
        <v>1</v>
      </c>
      <c r="L475" s="169">
        <v>30</v>
      </c>
      <c r="M475" s="168"/>
      <c r="N475" s="168"/>
      <c r="O475" s="168"/>
      <c r="P475" s="168"/>
      <c r="Q475" s="168" t="s">
        <v>0</v>
      </c>
      <c r="R475" s="168" t="s">
        <v>1</v>
      </c>
      <c r="S475" s="178" t="str">
        <f t="shared" si="23"/>
        <v>D_DDPL_GROUPRECORD_CLOSE_TS</v>
      </c>
    </row>
    <row r="476" spans="1:19" ht="14.4" x14ac:dyDescent="0.3">
      <c r="A476" s="169" t="s">
        <v>1331</v>
      </c>
      <c r="B476" s="171" t="str">
        <f t="shared" si="21"/>
        <v>D_DDPL_GROUP</v>
      </c>
      <c r="C476" s="169" t="s">
        <v>440</v>
      </c>
      <c r="D476" s="169">
        <v>1264</v>
      </c>
      <c r="E476" s="169">
        <v>4</v>
      </c>
      <c r="F476" s="169" t="s">
        <v>440</v>
      </c>
      <c r="G476" s="169" t="s">
        <v>440</v>
      </c>
      <c r="H476" s="169">
        <v>22</v>
      </c>
      <c r="I476" s="136" t="str">
        <f t="shared" si="22"/>
        <v>TIMESTAMP(6)</v>
      </c>
      <c r="J476" s="169" t="s">
        <v>1</v>
      </c>
      <c r="K476" s="169" t="s">
        <v>1</v>
      </c>
      <c r="L476" s="169">
        <v>30</v>
      </c>
      <c r="M476" s="168"/>
      <c r="N476" s="168"/>
      <c r="O476" s="168"/>
      <c r="P476" s="168"/>
      <c r="Q476" s="168" t="s">
        <v>0</v>
      </c>
      <c r="R476" s="168" t="s">
        <v>1</v>
      </c>
      <c r="S476" s="178" t="str">
        <f t="shared" si="23"/>
        <v>D_DDPL_GROUPRECORD_CREATE_TS</v>
      </c>
    </row>
    <row r="477" spans="1:19" ht="14.4" x14ac:dyDescent="0.3">
      <c r="A477" s="169" t="s">
        <v>1331</v>
      </c>
      <c r="B477" s="171" t="str">
        <f t="shared" si="21"/>
        <v>D_DDPL_GROUP</v>
      </c>
      <c r="C477" s="169" t="s">
        <v>429</v>
      </c>
      <c r="D477" s="169">
        <v>1265</v>
      </c>
      <c r="E477" s="169">
        <v>5</v>
      </c>
      <c r="F477" s="169" t="s">
        <v>429</v>
      </c>
      <c r="G477" s="169" t="s">
        <v>429</v>
      </c>
      <c r="H477" s="169">
        <v>22</v>
      </c>
      <c r="I477" s="136" t="str">
        <f t="shared" si="22"/>
        <v>TIMESTAMP(6)</v>
      </c>
      <c r="J477" s="169" t="s">
        <v>1</v>
      </c>
      <c r="K477" s="169" t="s">
        <v>1</v>
      </c>
      <c r="L477" s="169">
        <v>30</v>
      </c>
      <c r="M477" s="168"/>
      <c r="N477" s="168"/>
      <c r="O477" s="168"/>
      <c r="P477" s="168"/>
      <c r="Q477" s="168" t="s">
        <v>0</v>
      </c>
      <c r="R477" s="168" t="s">
        <v>1</v>
      </c>
      <c r="S477" s="178" t="str">
        <f t="shared" si="23"/>
        <v>D_DDPL_GROUPRECORD_UPDATE_TS</v>
      </c>
    </row>
    <row r="478" spans="1:19" ht="14.4" x14ac:dyDescent="0.3">
      <c r="A478" s="169" t="s">
        <v>1331</v>
      </c>
      <c r="B478" s="171" t="str">
        <f t="shared" si="21"/>
        <v>D_DDPL_GROUP</v>
      </c>
      <c r="C478" s="169" t="s">
        <v>1405</v>
      </c>
      <c r="D478" s="169">
        <v>1266</v>
      </c>
      <c r="E478" s="169">
        <v>6</v>
      </c>
      <c r="F478" s="169" t="s">
        <v>1405</v>
      </c>
      <c r="G478" s="169" t="s">
        <v>1405</v>
      </c>
      <c r="H478" s="169">
        <v>7</v>
      </c>
      <c r="I478" s="136" t="str">
        <f t="shared" si="22"/>
        <v>BIGINT</v>
      </c>
      <c r="J478" s="169" t="s">
        <v>1</v>
      </c>
      <c r="K478" s="169" t="s">
        <v>0</v>
      </c>
      <c r="L478" s="169">
        <v>30</v>
      </c>
      <c r="M478" s="168"/>
      <c r="N478" s="168"/>
      <c r="O478" s="168"/>
      <c r="P478" s="168"/>
      <c r="Q478" s="168" t="s">
        <v>0</v>
      </c>
      <c r="R478" s="168" t="s">
        <v>1</v>
      </c>
      <c r="S478" s="178" t="str">
        <f t="shared" si="23"/>
        <v>D_DDPL_GROUPRULE_ID</v>
      </c>
    </row>
    <row r="479" spans="1:19" ht="14.4" x14ac:dyDescent="0.3">
      <c r="A479" s="169" t="s">
        <v>1331</v>
      </c>
      <c r="B479" s="171" t="str">
        <f t="shared" si="21"/>
        <v>D_DDPL_GROUP</v>
      </c>
      <c r="C479" s="169" t="s">
        <v>498</v>
      </c>
      <c r="D479" s="169">
        <v>1267</v>
      </c>
      <c r="E479" s="169">
        <v>7</v>
      </c>
      <c r="F479" s="169" t="s">
        <v>498</v>
      </c>
      <c r="G479" s="169" t="s">
        <v>498</v>
      </c>
      <c r="H479" s="169">
        <v>7</v>
      </c>
      <c r="I479" s="136" t="str">
        <f t="shared" si="22"/>
        <v>BIGINT</v>
      </c>
      <c r="J479" s="169" t="s">
        <v>1</v>
      </c>
      <c r="K479" s="169" t="s">
        <v>1</v>
      </c>
      <c r="L479" s="169">
        <v>30</v>
      </c>
      <c r="M479" s="168"/>
      <c r="N479" s="168"/>
      <c r="O479" s="168"/>
      <c r="P479" s="168"/>
      <c r="Q479" s="168" t="s">
        <v>0</v>
      </c>
      <c r="R479" s="168" t="s">
        <v>1</v>
      </c>
      <c r="S479" s="178" t="str">
        <f t="shared" si="23"/>
        <v>D_DDPL_GROUPRUN_ID</v>
      </c>
    </row>
    <row r="480" spans="1:19" ht="14.4" x14ac:dyDescent="0.3">
      <c r="A480" s="169" t="s">
        <v>1331</v>
      </c>
      <c r="B480" s="171" t="str">
        <f t="shared" si="21"/>
        <v>D_DDPL_GROUP</v>
      </c>
      <c r="C480" s="169" t="s">
        <v>492</v>
      </c>
      <c r="D480" s="169">
        <v>1268</v>
      </c>
      <c r="E480" s="169">
        <v>8</v>
      </c>
      <c r="F480" s="169" t="s">
        <v>492</v>
      </c>
      <c r="G480" s="169" t="s">
        <v>492</v>
      </c>
      <c r="H480" s="169">
        <v>34</v>
      </c>
      <c r="I480" s="136" t="str">
        <f t="shared" si="22"/>
        <v>DATE</v>
      </c>
      <c r="J480" s="169" t="s">
        <v>1</v>
      </c>
      <c r="K480" s="169" t="s">
        <v>1</v>
      </c>
      <c r="L480" s="169">
        <v>30</v>
      </c>
      <c r="M480" s="168"/>
      <c r="N480" s="168"/>
      <c r="O480" s="168"/>
      <c r="P480" s="168"/>
      <c r="Q480" s="168" t="s">
        <v>0</v>
      </c>
      <c r="R480" s="168" t="s">
        <v>1</v>
      </c>
      <c r="S480" s="178" t="str">
        <f t="shared" si="23"/>
        <v>D_DDPL_GROUPVALIDITY_DT</v>
      </c>
    </row>
    <row r="481" spans="1:19" ht="14.4" x14ac:dyDescent="0.3">
      <c r="A481" s="169" t="s">
        <v>1310</v>
      </c>
      <c r="B481" s="171" t="str">
        <f t="shared" si="21"/>
        <v>D_DDPL_HIGHER_PRIORITY</v>
      </c>
      <c r="C481" s="169" t="s">
        <v>581</v>
      </c>
      <c r="D481" s="169">
        <v>197</v>
      </c>
      <c r="E481" s="169">
        <v>1</v>
      </c>
      <c r="F481" s="169" t="s">
        <v>581</v>
      </c>
      <c r="G481" s="169" t="s">
        <v>581</v>
      </c>
      <c r="H481" s="169">
        <v>7</v>
      </c>
      <c r="I481" s="136" t="str">
        <f t="shared" si="22"/>
        <v>BIGINT</v>
      </c>
      <c r="J481" s="169" t="s">
        <v>1</v>
      </c>
      <c r="K481" s="169" t="s">
        <v>1</v>
      </c>
      <c r="L481" s="169">
        <v>30</v>
      </c>
      <c r="M481" s="168"/>
      <c r="N481" s="168"/>
      <c r="O481" s="168"/>
      <c r="P481" s="168"/>
      <c r="Q481" s="168" t="s">
        <v>0</v>
      </c>
      <c r="R481" s="168" t="s">
        <v>1</v>
      </c>
      <c r="S481" s="178" t="str">
        <f t="shared" si="23"/>
        <v>D_DDPL_HIGHER_PRIORITYCP_ORIG_ID</v>
      </c>
    </row>
    <row r="482" spans="1:19" ht="14.4" x14ac:dyDescent="0.3">
      <c r="A482" s="169" t="s">
        <v>1310</v>
      </c>
      <c r="B482" s="171" t="str">
        <f t="shared" si="21"/>
        <v>D_DDPL_HIGHER_PRIORITY</v>
      </c>
      <c r="C482" s="169" t="s">
        <v>1408</v>
      </c>
      <c r="D482" s="169">
        <v>198</v>
      </c>
      <c r="E482" s="169">
        <v>2</v>
      </c>
      <c r="F482" s="169" t="s">
        <v>1408</v>
      </c>
      <c r="G482" s="169" t="s">
        <v>1408</v>
      </c>
      <c r="H482" s="169">
        <v>7</v>
      </c>
      <c r="I482" s="136" t="str">
        <f t="shared" si="22"/>
        <v>BIGINT</v>
      </c>
      <c r="J482" s="169" t="s">
        <v>1</v>
      </c>
      <c r="K482" s="169" t="s">
        <v>0</v>
      </c>
      <c r="L482" s="169">
        <v>30</v>
      </c>
      <c r="M482" s="168"/>
      <c r="N482" s="168"/>
      <c r="O482" s="168"/>
      <c r="P482" s="168"/>
      <c r="Q482" s="168" t="s">
        <v>0</v>
      </c>
      <c r="R482" s="168" t="s">
        <v>1</v>
      </c>
      <c r="S482" s="178" t="str">
        <f t="shared" si="23"/>
        <v>D_DDPL_HIGHER_PRIORITYDDPL_SUPERGROUP_ID</v>
      </c>
    </row>
    <row r="483" spans="1:19" ht="14.4" x14ac:dyDescent="0.3">
      <c r="A483" s="169" t="s">
        <v>1310</v>
      </c>
      <c r="B483" s="171" t="str">
        <f t="shared" si="21"/>
        <v>D_DDPL_HIGHER_PRIORITY</v>
      </c>
      <c r="C483" s="169" t="s">
        <v>1469</v>
      </c>
      <c r="D483" s="169">
        <v>199</v>
      </c>
      <c r="E483" s="169">
        <v>3</v>
      </c>
      <c r="F483" s="169" t="s">
        <v>1469</v>
      </c>
      <c r="G483" s="169" t="s">
        <v>1469</v>
      </c>
      <c r="H483" s="169">
        <v>15</v>
      </c>
      <c r="I483" s="136" t="str">
        <f t="shared" si="22"/>
        <v xml:space="preserve">CHAR(1) </v>
      </c>
      <c r="J483" s="169" t="s">
        <v>1</v>
      </c>
      <c r="K483" s="169" t="s">
        <v>1</v>
      </c>
      <c r="L483" s="169">
        <v>30</v>
      </c>
      <c r="M483" s="168"/>
      <c r="N483" s="168"/>
      <c r="O483" s="168"/>
      <c r="P483" s="168"/>
      <c r="Q483" s="168" t="s">
        <v>0</v>
      </c>
      <c r="R483" s="168" t="s">
        <v>1</v>
      </c>
      <c r="S483" s="178" t="str">
        <f t="shared" si="23"/>
        <v>D_DDPL_HIGHER_PRIORITYHIGH_PRIORITY_IND</v>
      </c>
    </row>
    <row r="484" spans="1:19" ht="14.4" x14ac:dyDescent="0.3">
      <c r="A484" s="169" t="s">
        <v>1310</v>
      </c>
      <c r="B484" s="171" t="str">
        <f t="shared" si="21"/>
        <v>D_DDPL_HIGHER_PRIORITY</v>
      </c>
      <c r="C484" s="169" t="s">
        <v>440</v>
      </c>
      <c r="D484" s="169">
        <v>223</v>
      </c>
      <c r="E484" s="169">
        <v>4</v>
      </c>
      <c r="F484" s="169" t="s">
        <v>440</v>
      </c>
      <c r="G484" s="169" t="s">
        <v>440</v>
      </c>
      <c r="H484" s="169">
        <v>22</v>
      </c>
      <c r="I484" s="136" t="str">
        <f t="shared" si="22"/>
        <v>TIMESTAMP(6)</v>
      </c>
      <c r="J484" s="169" t="s">
        <v>1</v>
      </c>
      <c r="K484" s="169" t="s">
        <v>1</v>
      </c>
      <c r="L484" s="169">
        <v>30</v>
      </c>
      <c r="M484" s="168"/>
      <c r="N484" s="168"/>
      <c r="O484" s="168"/>
      <c r="P484" s="168"/>
      <c r="Q484" s="168" t="s">
        <v>0</v>
      </c>
      <c r="R484" s="168" t="s">
        <v>1</v>
      </c>
      <c r="S484" s="178" t="str">
        <f t="shared" si="23"/>
        <v>D_DDPL_HIGHER_PRIORITYRECORD_CREATE_TS</v>
      </c>
    </row>
    <row r="485" spans="1:19" ht="14.4" x14ac:dyDescent="0.3">
      <c r="A485" s="169" t="s">
        <v>1310</v>
      </c>
      <c r="B485" s="171" t="str">
        <f t="shared" si="21"/>
        <v>D_DDPL_HIGHER_PRIORITY</v>
      </c>
      <c r="C485" s="169" t="s">
        <v>429</v>
      </c>
      <c r="D485" s="169">
        <v>224</v>
      </c>
      <c r="E485" s="169">
        <v>5</v>
      </c>
      <c r="F485" s="169" t="s">
        <v>429</v>
      </c>
      <c r="G485" s="169" t="s">
        <v>429</v>
      </c>
      <c r="H485" s="169">
        <v>22</v>
      </c>
      <c r="I485" s="136" t="str">
        <f t="shared" si="22"/>
        <v>TIMESTAMP(6)</v>
      </c>
      <c r="J485" s="169" t="s">
        <v>1</v>
      </c>
      <c r="K485" s="169" t="s">
        <v>1</v>
      </c>
      <c r="L485" s="169">
        <v>30</v>
      </c>
      <c r="M485" s="168"/>
      <c r="N485" s="168"/>
      <c r="O485" s="168"/>
      <c r="P485" s="168"/>
      <c r="Q485" s="168" t="s">
        <v>0</v>
      </c>
      <c r="R485" s="168" t="s">
        <v>1</v>
      </c>
      <c r="S485" s="178" t="str">
        <f t="shared" si="23"/>
        <v>D_DDPL_HIGHER_PRIORITYRECORD_UPDATE_TS</v>
      </c>
    </row>
    <row r="486" spans="1:19" ht="14.4" x14ac:dyDescent="0.3">
      <c r="A486" s="169" t="s">
        <v>1310</v>
      </c>
      <c r="B486" s="171" t="str">
        <f t="shared" si="21"/>
        <v>D_DDPL_HIGHER_PRIORITY</v>
      </c>
      <c r="C486" s="169" t="s">
        <v>498</v>
      </c>
      <c r="D486" s="169">
        <v>225</v>
      </c>
      <c r="E486" s="169">
        <v>6</v>
      </c>
      <c r="F486" s="169" t="s">
        <v>498</v>
      </c>
      <c r="G486" s="169" t="s">
        <v>498</v>
      </c>
      <c r="H486" s="169">
        <v>7</v>
      </c>
      <c r="I486" s="136" t="str">
        <f t="shared" si="22"/>
        <v>BIGINT</v>
      </c>
      <c r="J486" s="169" t="s">
        <v>0</v>
      </c>
      <c r="K486" s="169" t="s">
        <v>1</v>
      </c>
      <c r="L486" s="169">
        <v>30</v>
      </c>
      <c r="M486" s="168"/>
      <c r="N486" s="168"/>
      <c r="O486" s="168"/>
      <c r="P486" s="168"/>
      <c r="Q486" s="168" t="s">
        <v>0</v>
      </c>
      <c r="R486" s="168" t="s">
        <v>1</v>
      </c>
      <c r="S486" s="178" t="str">
        <f t="shared" si="23"/>
        <v>D_DDPL_HIGHER_PRIORITYRUN_ID</v>
      </c>
    </row>
    <row r="487" spans="1:19" ht="14.4" x14ac:dyDescent="0.3">
      <c r="A487" s="169" t="s">
        <v>1310</v>
      </c>
      <c r="B487" s="171" t="str">
        <f t="shared" si="21"/>
        <v>D_DDPL_HIGHER_PRIORITY</v>
      </c>
      <c r="C487" s="169" t="s">
        <v>492</v>
      </c>
      <c r="D487" s="169">
        <v>226</v>
      </c>
      <c r="E487" s="169">
        <v>7</v>
      </c>
      <c r="F487" s="169" t="s">
        <v>492</v>
      </c>
      <c r="G487" s="169" t="s">
        <v>492</v>
      </c>
      <c r="H487" s="169">
        <v>34</v>
      </c>
      <c r="I487" s="136" t="str">
        <f t="shared" si="22"/>
        <v>DATE</v>
      </c>
      <c r="J487" s="169" t="s">
        <v>1</v>
      </c>
      <c r="K487" s="169" t="s">
        <v>1</v>
      </c>
      <c r="L487" s="169">
        <v>30</v>
      </c>
      <c r="M487" s="168"/>
      <c r="N487" s="168"/>
      <c r="O487" s="168"/>
      <c r="P487" s="168"/>
      <c r="Q487" s="168" t="s">
        <v>0</v>
      </c>
      <c r="R487" s="168" t="s">
        <v>1</v>
      </c>
      <c r="S487" s="178" t="str">
        <f t="shared" si="23"/>
        <v>D_DDPL_HIGHER_PRIORITYVALIDITY_DT</v>
      </c>
    </row>
    <row r="488" spans="1:19" ht="14.4" x14ac:dyDescent="0.3">
      <c r="A488" s="169" t="s">
        <v>1351</v>
      </c>
      <c r="B488" s="171" t="str">
        <f t="shared" si="21"/>
        <v>D_DDPL_RULE</v>
      </c>
      <c r="C488" s="169" t="s">
        <v>52</v>
      </c>
      <c r="D488" s="169">
        <v>227</v>
      </c>
      <c r="E488" s="169">
        <v>1</v>
      </c>
      <c r="F488" s="169" t="s">
        <v>52</v>
      </c>
      <c r="G488" s="169" t="s">
        <v>52</v>
      </c>
      <c r="H488" s="169">
        <v>34</v>
      </c>
      <c r="I488" s="136" t="str">
        <f t="shared" si="22"/>
        <v>DATE</v>
      </c>
      <c r="J488" s="169" t="s">
        <v>1</v>
      </c>
      <c r="K488" s="169" t="s">
        <v>1</v>
      </c>
      <c r="L488" s="169">
        <v>30</v>
      </c>
      <c r="M488" s="168"/>
      <c r="N488" s="168"/>
      <c r="O488" s="168"/>
      <c r="P488" s="168"/>
      <c r="Q488" s="168" t="s">
        <v>0</v>
      </c>
      <c r="R488" s="168" t="s">
        <v>1</v>
      </c>
      <c r="S488" s="178" t="str">
        <f t="shared" si="23"/>
        <v>D_DDPL_RULEEND_DT</v>
      </c>
    </row>
    <row r="489" spans="1:19" ht="14.4" x14ac:dyDescent="0.3">
      <c r="A489" s="169" t="s">
        <v>1351</v>
      </c>
      <c r="B489" s="171" t="str">
        <f t="shared" si="21"/>
        <v>D_DDPL_RULE</v>
      </c>
      <c r="C489" s="169" t="s">
        <v>1405</v>
      </c>
      <c r="D489" s="169">
        <v>228</v>
      </c>
      <c r="E489" s="169">
        <v>2</v>
      </c>
      <c r="F489" s="169" t="s">
        <v>1405</v>
      </c>
      <c r="G489" s="169" t="s">
        <v>1405</v>
      </c>
      <c r="H489" s="169">
        <v>27</v>
      </c>
      <c r="I489" s="136" t="str">
        <f t="shared" si="22"/>
        <v>INTEGER</v>
      </c>
      <c r="J489" s="169" t="s">
        <v>1</v>
      </c>
      <c r="K489" s="169" t="s">
        <v>0</v>
      </c>
      <c r="L489" s="169">
        <v>30</v>
      </c>
      <c r="M489" s="168"/>
      <c r="N489" s="168"/>
      <c r="O489" s="168"/>
      <c r="P489" s="168"/>
      <c r="Q489" s="168" t="s">
        <v>0</v>
      </c>
      <c r="R489" s="168" t="s">
        <v>1</v>
      </c>
      <c r="S489" s="178" t="str">
        <f t="shared" si="23"/>
        <v>D_DDPL_RULERULE_ID</v>
      </c>
    </row>
    <row r="490" spans="1:19" ht="14.4" x14ac:dyDescent="0.3">
      <c r="A490" s="169" t="s">
        <v>1351</v>
      </c>
      <c r="B490" s="171" t="str">
        <f t="shared" si="21"/>
        <v>D_DDPL_RULE</v>
      </c>
      <c r="C490" s="169" t="s">
        <v>1550</v>
      </c>
      <c r="D490" s="169">
        <v>229</v>
      </c>
      <c r="E490" s="169">
        <v>3</v>
      </c>
      <c r="F490" s="169" t="s">
        <v>1550</v>
      </c>
      <c r="G490" s="169" t="s">
        <v>1550</v>
      </c>
      <c r="H490" s="169">
        <v>31</v>
      </c>
      <c r="I490" s="136" t="str">
        <f t="shared" si="22"/>
        <v xml:space="preserve">VARCHAR(255) </v>
      </c>
      <c r="J490" s="169" t="s">
        <v>1</v>
      </c>
      <c r="K490" s="169" t="s">
        <v>1</v>
      </c>
      <c r="L490" s="169">
        <v>30</v>
      </c>
      <c r="M490" s="168"/>
      <c r="N490" s="168"/>
      <c r="O490" s="168"/>
      <c r="P490" s="168"/>
      <c r="Q490" s="168" t="s">
        <v>0</v>
      </c>
      <c r="R490" s="168" t="s">
        <v>1</v>
      </c>
      <c r="S490" s="178" t="str">
        <f t="shared" si="23"/>
        <v>D_DDPL_RULERULE_NM</v>
      </c>
    </row>
    <row r="491" spans="1:19" ht="14.4" x14ac:dyDescent="0.3">
      <c r="A491" s="169" t="s">
        <v>1351</v>
      </c>
      <c r="B491" s="171" t="str">
        <f t="shared" si="21"/>
        <v>D_DDPL_RULE</v>
      </c>
      <c r="C491" s="169" t="s">
        <v>51</v>
      </c>
      <c r="D491" s="169">
        <v>230</v>
      </c>
      <c r="E491" s="169">
        <v>4</v>
      </c>
      <c r="F491" s="169" t="s">
        <v>51</v>
      </c>
      <c r="G491" s="169" t="s">
        <v>51</v>
      </c>
      <c r="H491" s="169">
        <v>34</v>
      </c>
      <c r="I491" s="136" t="str">
        <f t="shared" si="22"/>
        <v>DATE</v>
      </c>
      <c r="J491" s="169" t="s">
        <v>1</v>
      </c>
      <c r="K491" s="169" t="s">
        <v>1</v>
      </c>
      <c r="L491" s="169">
        <v>30</v>
      </c>
      <c r="M491" s="168"/>
      <c r="N491" s="168"/>
      <c r="O491" s="168"/>
      <c r="P491" s="168"/>
      <c r="Q491" s="168" t="s">
        <v>0</v>
      </c>
      <c r="R491" s="168" t="s">
        <v>1</v>
      </c>
      <c r="S491" s="178" t="str">
        <f t="shared" si="23"/>
        <v>D_DDPL_RULESTART_DT</v>
      </c>
    </row>
    <row r="492" spans="1:19" ht="14.4" x14ac:dyDescent="0.3">
      <c r="A492" s="169" t="s">
        <v>1362</v>
      </c>
      <c r="B492" s="171" t="str">
        <f t="shared" si="21"/>
        <v>D_DDPL_RULE_DETAIL</v>
      </c>
      <c r="C492" s="169" t="s">
        <v>1438</v>
      </c>
      <c r="D492" s="169">
        <v>1269</v>
      </c>
      <c r="E492" s="169">
        <v>1</v>
      </c>
      <c r="F492" s="169" t="s">
        <v>1438</v>
      </c>
      <c r="G492" s="169" t="s">
        <v>1438</v>
      </c>
      <c r="H492" s="169">
        <v>24</v>
      </c>
      <c r="I492" s="136" t="str">
        <f t="shared" si="22"/>
        <v xml:space="preserve">VARCHAR(40) </v>
      </c>
      <c r="J492" s="169" t="s">
        <v>1</v>
      </c>
      <c r="K492" s="169" t="s">
        <v>0</v>
      </c>
      <c r="L492" s="169">
        <v>30</v>
      </c>
      <c r="M492" s="168"/>
      <c r="N492" s="168"/>
      <c r="O492" s="168"/>
      <c r="P492" s="168"/>
      <c r="Q492" s="168" t="s">
        <v>0</v>
      </c>
      <c r="R492" s="168" t="s">
        <v>1</v>
      </c>
      <c r="S492" s="178" t="str">
        <f t="shared" si="23"/>
        <v>D_DDPL_RULE_DETAILCOLUMN_NM</v>
      </c>
    </row>
    <row r="493" spans="1:19" ht="14.4" x14ac:dyDescent="0.3">
      <c r="A493" s="169" t="s">
        <v>1362</v>
      </c>
      <c r="B493" s="171" t="str">
        <f t="shared" si="21"/>
        <v>D_DDPL_RULE_DETAIL</v>
      </c>
      <c r="C493" s="169" t="s">
        <v>1432</v>
      </c>
      <c r="D493" s="169">
        <v>1270</v>
      </c>
      <c r="E493" s="169">
        <v>2</v>
      </c>
      <c r="F493" s="169" t="s">
        <v>1432</v>
      </c>
      <c r="G493" s="169" t="s">
        <v>1432</v>
      </c>
      <c r="H493" s="169">
        <v>15</v>
      </c>
      <c r="I493" s="136" t="str">
        <f t="shared" si="22"/>
        <v xml:space="preserve">CHAR(1) </v>
      </c>
      <c r="J493" s="169" t="s">
        <v>1</v>
      </c>
      <c r="K493" s="169" t="s">
        <v>1</v>
      </c>
      <c r="L493" s="169">
        <v>30</v>
      </c>
      <c r="M493" s="168"/>
      <c r="N493" s="168"/>
      <c r="O493" s="168"/>
      <c r="P493" s="168"/>
      <c r="Q493" s="168" t="s">
        <v>0</v>
      </c>
      <c r="R493" s="168" t="s">
        <v>1</v>
      </c>
      <c r="S493" s="178" t="str">
        <f t="shared" si="23"/>
        <v>D_DDPL_RULE_DETAILCOLUMN_TRUNCATE_IND</v>
      </c>
    </row>
    <row r="494" spans="1:19" ht="14.4" x14ac:dyDescent="0.3">
      <c r="A494" s="169" t="s">
        <v>1362</v>
      </c>
      <c r="B494" s="171" t="str">
        <f t="shared" si="21"/>
        <v>D_DDPL_RULE_DETAIL</v>
      </c>
      <c r="C494" s="169" t="s">
        <v>52</v>
      </c>
      <c r="D494" s="169">
        <v>1271</v>
      </c>
      <c r="E494" s="169">
        <v>3</v>
      </c>
      <c r="F494" s="169" t="s">
        <v>52</v>
      </c>
      <c r="G494" s="169" t="s">
        <v>52</v>
      </c>
      <c r="H494" s="169">
        <v>34</v>
      </c>
      <c r="I494" s="136" t="str">
        <f t="shared" si="22"/>
        <v>DATE</v>
      </c>
      <c r="J494" s="169" t="s">
        <v>1</v>
      </c>
      <c r="K494" s="169" t="s">
        <v>1</v>
      </c>
      <c r="L494" s="169">
        <v>30</v>
      </c>
      <c r="M494" s="168"/>
      <c r="N494" s="168"/>
      <c r="O494" s="168"/>
      <c r="P494" s="168"/>
      <c r="Q494" s="168" t="s">
        <v>0</v>
      </c>
      <c r="R494" s="168" t="s">
        <v>1</v>
      </c>
      <c r="S494" s="178" t="str">
        <f t="shared" si="23"/>
        <v>D_DDPL_RULE_DETAILEND_DT</v>
      </c>
    </row>
    <row r="495" spans="1:19" ht="14.4" x14ac:dyDescent="0.3">
      <c r="A495" s="169" t="s">
        <v>1362</v>
      </c>
      <c r="B495" s="171" t="str">
        <f t="shared" si="21"/>
        <v>D_DDPL_RULE_DETAIL</v>
      </c>
      <c r="C495" s="169" t="s">
        <v>1405</v>
      </c>
      <c r="D495" s="169">
        <v>1272</v>
      </c>
      <c r="E495" s="169">
        <v>4</v>
      </c>
      <c r="F495" s="169" t="s">
        <v>1405</v>
      </c>
      <c r="G495" s="169" t="s">
        <v>1405</v>
      </c>
      <c r="H495" s="169">
        <v>27</v>
      </c>
      <c r="I495" s="136" t="str">
        <f t="shared" si="22"/>
        <v>INTEGER</v>
      </c>
      <c r="J495" s="169" t="s">
        <v>1</v>
      </c>
      <c r="K495" s="169" t="s">
        <v>0</v>
      </c>
      <c r="L495" s="169">
        <v>30</v>
      </c>
      <c r="M495" s="168"/>
      <c r="N495" s="168"/>
      <c r="O495" s="168"/>
      <c r="P495" s="168"/>
      <c r="Q495" s="168" t="s">
        <v>0</v>
      </c>
      <c r="R495" s="168" t="s">
        <v>1</v>
      </c>
      <c r="S495" s="178" t="str">
        <f t="shared" si="23"/>
        <v>D_DDPL_RULE_DETAILRULE_ID</v>
      </c>
    </row>
    <row r="496" spans="1:19" ht="14.4" x14ac:dyDescent="0.3">
      <c r="A496" s="169" t="s">
        <v>1362</v>
      </c>
      <c r="B496" s="171" t="str">
        <f t="shared" si="21"/>
        <v>D_DDPL_RULE_DETAIL</v>
      </c>
      <c r="C496" s="169" t="s">
        <v>51</v>
      </c>
      <c r="D496" s="169">
        <v>1273</v>
      </c>
      <c r="E496" s="169">
        <v>5</v>
      </c>
      <c r="F496" s="169" t="s">
        <v>51</v>
      </c>
      <c r="G496" s="169" t="s">
        <v>51</v>
      </c>
      <c r="H496" s="169">
        <v>34</v>
      </c>
      <c r="I496" s="136" t="str">
        <f t="shared" si="22"/>
        <v>DATE</v>
      </c>
      <c r="J496" s="169" t="s">
        <v>1</v>
      </c>
      <c r="K496" s="169" t="s">
        <v>1</v>
      </c>
      <c r="L496" s="169">
        <v>30</v>
      </c>
      <c r="M496" s="168"/>
      <c r="N496" s="168"/>
      <c r="O496" s="168"/>
      <c r="P496" s="168"/>
      <c r="Q496" s="168" t="s">
        <v>0</v>
      </c>
      <c r="R496" s="168" t="s">
        <v>1</v>
      </c>
      <c r="S496" s="178" t="str">
        <f t="shared" si="23"/>
        <v>D_DDPL_RULE_DETAILSTART_DT</v>
      </c>
    </row>
    <row r="497" spans="1:19" ht="14.4" x14ac:dyDescent="0.3">
      <c r="A497" s="169" t="s">
        <v>1308</v>
      </c>
      <c r="B497" s="171" t="str">
        <f t="shared" si="21"/>
        <v>D_DDPL_STATUS</v>
      </c>
      <c r="C497" s="169" t="s">
        <v>1404</v>
      </c>
      <c r="D497" s="169">
        <v>1274</v>
      </c>
      <c r="E497" s="169">
        <v>1</v>
      </c>
      <c r="F497" s="169" t="s">
        <v>1404</v>
      </c>
      <c r="G497" s="169" t="s">
        <v>1404</v>
      </c>
      <c r="H497" s="169">
        <v>15</v>
      </c>
      <c r="I497" s="136" t="str">
        <f t="shared" si="22"/>
        <v xml:space="preserve">CHAR(1) </v>
      </c>
      <c r="J497" s="169" t="s">
        <v>0</v>
      </c>
      <c r="K497" s="169" t="s">
        <v>1</v>
      </c>
      <c r="L497" s="169">
        <v>30</v>
      </c>
      <c r="M497" s="168"/>
      <c r="N497" s="168"/>
      <c r="O497" s="168"/>
      <c r="P497" s="168"/>
      <c r="Q497" s="168" t="s">
        <v>0</v>
      </c>
      <c r="R497" s="168" t="s">
        <v>1</v>
      </c>
      <c r="S497" s="178" t="str">
        <f t="shared" si="23"/>
        <v>D_DDPL_STATUSDDPL_STATUS_CD</v>
      </c>
    </row>
    <row r="498" spans="1:19" ht="14.4" x14ac:dyDescent="0.3">
      <c r="A498" s="169" t="s">
        <v>1308</v>
      </c>
      <c r="B498" s="171" t="str">
        <f t="shared" si="21"/>
        <v>D_DDPL_STATUS</v>
      </c>
      <c r="C498" s="169" t="s">
        <v>1408</v>
      </c>
      <c r="D498" s="169">
        <v>1275</v>
      </c>
      <c r="E498" s="169">
        <v>2</v>
      </c>
      <c r="F498" s="169" t="s">
        <v>1408</v>
      </c>
      <c r="G498" s="169" t="s">
        <v>1408</v>
      </c>
      <c r="H498" s="169">
        <v>7</v>
      </c>
      <c r="I498" s="136" t="str">
        <f t="shared" si="22"/>
        <v>BIGINT</v>
      </c>
      <c r="J498" s="169" t="s">
        <v>1</v>
      </c>
      <c r="K498" s="169" t="s">
        <v>0</v>
      </c>
      <c r="L498" s="169">
        <v>30</v>
      </c>
      <c r="M498" s="168"/>
      <c r="N498" s="168"/>
      <c r="O498" s="168"/>
      <c r="P498" s="168"/>
      <c r="Q498" s="168" t="s">
        <v>0</v>
      </c>
      <c r="R498" s="168" t="s">
        <v>1</v>
      </c>
      <c r="S498" s="178" t="str">
        <f t="shared" si="23"/>
        <v>D_DDPL_STATUSDDPL_SUPERGROUP_ID</v>
      </c>
    </row>
    <row r="499" spans="1:19" ht="14.4" x14ac:dyDescent="0.3">
      <c r="A499" s="169" t="s">
        <v>1308</v>
      </c>
      <c r="B499" s="171" t="str">
        <f t="shared" si="21"/>
        <v>D_DDPL_STATUS</v>
      </c>
      <c r="C499" s="169" t="s">
        <v>440</v>
      </c>
      <c r="D499" s="169">
        <v>1276</v>
      </c>
      <c r="E499" s="169">
        <v>3</v>
      </c>
      <c r="F499" s="169" t="s">
        <v>440</v>
      </c>
      <c r="G499" s="169" t="s">
        <v>440</v>
      </c>
      <c r="H499" s="169">
        <v>22</v>
      </c>
      <c r="I499" s="136" t="str">
        <f t="shared" si="22"/>
        <v>TIMESTAMP(6)</v>
      </c>
      <c r="J499" s="169" t="s">
        <v>1</v>
      </c>
      <c r="K499" s="169" t="s">
        <v>1</v>
      </c>
      <c r="L499" s="169">
        <v>30</v>
      </c>
      <c r="M499" s="168"/>
      <c r="N499" s="168"/>
      <c r="O499" s="168"/>
      <c r="P499" s="168"/>
      <c r="Q499" s="168" t="s">
        <v>0</v>
      </c>
      <c r="R499" s="168" t="s">
        <v>1</v>
      </c>
      <c r="S499" s="178" t="str">
        <f t="shared" si="23"/>
        <v>D_DDPL_STATUSRECORD_CREATE_TS</v>
      </c>
    </row>
    <row r="500" spans="1:19" ht="14.4" x14ac:dyDescent="0.3">
      <c r="A500" s="169" t="s">
        <v>1308</v>
      </c>
      <c r="B500" s="171" t="str">
        <f t="shared" si="21"/>
        <v>D_DDPL_STATUS</v>
      </c>
      <c r="C500" s="169" t="s">
        <v>429</v>
      </c>
      <c r="D500" s="169">
        <v>1277</v>
      </c>
      <c r="E500" s="169">
        <v>4</v>
      </c>
      <c r="F500" s="169" t="s">
        <v>429</v>
      </c>
      <c r="G500" s="169" t="s">
        <v>429</v>
      </c>
      <c r="H500" s="169">
        <v>22</v>
      </c>
      <c r="I500" s="136" t="str">
        <f t="shared" si="22"/>
        <v>TIMESTAMP(6)</v>
      </c>
      <c r="J500" s="169" t="s">
        <v>1</v>
      </c>
      <c r="K500" s="169" t="s">
        <v>1</v>
      </c>
      <c r="L500" s="169">
        <v>30</v>
      </c>
      <c r="M500" s="168"/>
      <c r="N500" s="168"/>
      <c r="O500" s="168"/>
      <c r="P500" s="168"/>
      <c r="Q500" s="168" t="s">
        <v>0</v>
      </c>
      <c r="R500" s="168" t="s">
        <v>1</v>
      </c>
      <c r="S500" s="178" t="str">
        <f t="shared" si="23"/>
        <v>D_DDPL_STATUSRECORD_UPDATE_TS</v>
      </c>
    </row>
    <row r="501" spans="1:19" ht="14.4" x14ac:dyDescent="0.3">
      <c r="A501" s="169" t="s">
        <v>1308</v>
      </c>
      <c r="B501" s="171" t="str">
        <f t="shared" si="21"/>
        <v>D_DDPL_STATUS</v>
      </c>
      <c r="C501" s="169" t="s">
        <v>498</v>
      </c>
      <c r="D501" s="169">
        <v>1278</v>
      </c>
      <c r="E501" s="169">
        <v>5</v>
      </c>
      <c r="F501" s="169" t="s">
        <v>498</v>
      </c>
      <c r="G501" s="169" t="s">
        <v>498</v>
      </c>
      <c r="H501" s="169">
        <v>7</v>
      </c>
      <c r="I501" s="136" t="str">
        <f t="shared" si="22"/>
        <v>BIGINT</v>
      </c>
      <c r="J501" s="169" t="s">
        <v>1</v>
      </c>
      <c r="K501" s="169" t="s">
        <v>1</v>
      </c>
      <c r="L501" s="169">
        <v>30</v>
      </c>
      <c r="M501" s="168"/>
      <c r="N501" s="168"/>
      <c r="O501" s="168"/>
      <c r="P501" s="168"/>
      <c r="Q501" s="168" t="s">
        <v>0</v>
      </c>
      <c r="R501" s="168" t="s">
        <v>1</v>
      </c>
      <c r="S501" s="178" t="str">
        <f t="shared" si="23"/>
        <v>D_DDPL_STATUSRUN_ID</v>
      </c>
    </row>
    <row r="502" spans="1:19" ht="14.4" x14ac:dyDescent="0.3">
      <c r="A502" s="169" t="s">
        <v>1308</v>
      </c>
      <c r="B502" s="171" t="str">
        <f t="shared" si="21"/>
        <v>D_DDPL_STATUS</v>
      </c>
      <c r="C502" s="169" t="s">
        <v>492</v>
      </c>
      <c r="D502" s="169">
        <v>1279</v>
      </c>
      <c r="E502" s="169">
        <v>6</v>
      </c>
      <c r="F502" s="169" t="s">
        <v>492</v>
      </c>
      <c r="G502" s="169" t="s">
        <v>492</v>
      </c>
      <c r="H502" s="169">
        <v>34</v>
      </c>
      <c r="I502" s="136" t="str">
        <f t="shared" si="22"/>
        <v>DATE</v>
      </c>
      <c r="J502" s="169" t="s">
        <v>1</v>
      </c>
      <c r="K502" s="169" t="s">
        <v>1</v>
      </c>
      <c r="L502" s="169">
        <v>30</v>
      </c>
      <c r="M502" s="168"/>
      <c r="N502" s="168"/>
      <c r="O502" s="168"/>
      <c r="P502" s="168"/>
      <c r="Q502" s="168" t="s">
        <v>0</v>
      </c>
      <c r="R502" s="168" t="s">
        <v>1</v>
      </c>
      <c r="S502" s="178" t="str">
        <f t="shared" si="23"/>
        <v>D_DDPL_STATUSVALIDITY_DT</v>
      </c>
    </row>
    <row r="503" spans="1:19" ht="14.4" x14ac:dyDescent="0.3">
      <c r="A503" s="169" t="s">
        <v>1334</v>
      </c>
      <c r="B503" s="171" t="str">
        <f t="shared" si="21"/>
        <v>D_DDPL_SUPERGROUP</v>
      </c>
      <c r="C503" s="169" t="s">
        <v>1484</v>
      </c>
      <c r="D503" s="169">
        <v>1280</v>
      </c>
      <c r="E503" s="169">
        <v>1</v>
      </c>
      <c r="F503" s="169" t="s">
        <v>1484</v>
      </c>
      <c r="G503" s="169" t="s">
        <v>1484</v>
      </c>
      <c r="H503" s="169">
        <v>7</v>
      </c>
      <c r="I503" s="136" t="str">
        <f t="shared" si="22"/>
        <v>BIGINT</v>
      </c>
      <c r="J503" s="169" t="s">
        <v>1</v>
      </c>
      <c r="K503" s="169" t="s">
        <v>1</v>
      </c>
      <c r="L503" s="169">
        <v>30</v>
      </c>
      <c r="M503" s="168"/>
      <c r="N503" s="168"/>
      <c r="O503" s="168"/>
      <c r="P503" s="168"/>
      <c r="Q503" s="168" t="s">
        <v>0</v>
      </c>
      <c r="R503" s="168" t="s">
        <v>1</v>
      </c>
      <c r="S503" s="178" t="str">
        <f t="shared" si="23"/>
        <v>D_DDPL_SUPERGROUPDDPL_GROUP_ID</v>
      </c>
    </row>
    <row r="504" spans="1:19" ht="14.4" x14ac:dyDescent="0.3">
      <c r="A504" s="169" t="s">
        <v>1334</v>
      </c>
      <c r="B504" s="171" t="str">
        <f t="shared" si="21"/>
        <v>D_DDPL_SUPERGROUP</v>
      </c>
      <c r="C504" s="169" t="s">
        <v>1408</v>
      </c>
      <c r="D504" s="169">
        <v>1281</v>
      </c>
      <c r="E504" s="169">
        <v>2</v>
      </c>
      <c r="F504" s="169" t="s">
        <v>1408</v>
      </c>
      <c r="G504" s="169" t="s">
        <v>1408</v>
      </c>
      <c r="H504" s="169">
        <v>7</v>
      </c>
      <c r="I504" s="136" t="str">
        <f t="shared" si="22"/>
        <v>BIGINT</v>
      </c>
      <c r="J504" s="169" t="s">
        <v>1</v>
      </c>
      <c r="K504" s="169" t="s">
        <v>0</v>
      </c>
      <c r="L504" s="169">
        <v>30</v>
      </c>
      <c r="M504" s="168"/>
      <c r="N504" s="168"/>
      <c r="O504" s="168"/>
      <c r="P504" s="168"/>
      <c r="Q504" s="168" t="s">
        <v>0</v>
      </c>
      <c r="R504" s="168" t="s">
        <v>1</v>
      </c>
      <c r="S504" s="178" t="str">
        <f t="shared" si="23"/>
        <v>D_DDPL_SUPERGROUPDDPL_SUPERGROUP_ID</v>
      </c>
    </row>
    <row r="505" spans="1:19" ht="14.4" x14ac:dyDescent="0.3">
      <c r="A505" s="169" t="s">
        <v>1334</v>
      </c>
      <c r="B505" s="171" t="str">
        <f t="shared" si="21"/>
        <v>D_DDPL_SUPERGROUP</v>
      </c>
      <c r="C505" s="169" t="s">
        <v>438</v>
      </c>
      <c r="D505" s="169">
        <v>1282</v>
      </c>
      <c r="E505" s="169">
        <v>3</v>
      </c>
      <c r="F505" s="169" t="s">
        <v>438</v>
      </c>
      <c r="G505" s="169" t="s">
        <v>438</v>
      </c>
      <c r="H505" s="169">
        <v>22</v>
      </c>
      <c r="I505" s="136" t="str">
        <f t="shared" si="22"/>
        <v>TIMESTAMP(6)</v>
      </c>
      <c r="J505" s="169" t="s">
        <v>1</v>
      </c>
      <c r="K505" s="169" t="s">
        <v>1</v>
      </c>
      <c r="L505" s="169">
        <v>30</v>
      </c>
      <c r="M505" s="168"/>
      <c r="N505" s="168"/>
      <c r="O505" s="168"/>
      <c r="P505" s="168"/>
      <c r="Q505" s="168" t="s">
        <v>0</v>
      </c>
      <c r="R505" s="168" t="s">
        <v>1</v>
      </c>
      <c r="S505" s="178" t="str">
        <f t="shared" si="23"/>
        <v>D_DDPL_SUPERGROUPRECORD_CLOSE_TS</v>
      </c>
    </row>
    <row r="506" spans="1:19" ht="14.4" x14ac:dyDescent="0.3">
      <c r="A506" s="169" t="s">
        <v>1334</v>
      </c>
      <c r="B506" s="171" t="str">
        <f t="shared" si="21"/>
        <v>D_DDPL_SUPERGROUP</v>
      </c>
      <c r="C506" s="169" t="s">
        <v>440</v>
      </c>
      <c r="D506" s="169">
        <v>1283</v>
      </c>
      <c r="E506" s="169">
        <v>4</v>
      </c>
      <c r="F506" s="169" t="s">
        <v>440</v>
      </c>
      <c r="G506" s="169" t="s">
        <v>440</v>
      </c>
      <c r="H506" s="169">
        <v>22</v>
      </c>
      <c r="I506" s="136" t="str">
        <f t="shared" si="22"/>
        <v>TIMESTAMP(6)</v>
      </c>
      <c r="J506" s="169" t="s">
        <v>1</v>
      </c>
      <c r="K506" s="169" t="s">
        <v>1</v>
      </c>
      <c r="L506" s="169">
        <v>30</v>
      </c>
      <c r="M506" s="168"/>
      <c r="N506" s="168"/>
      <c r="O506" s="168"/>
      <c r="P506" s="168"/>
      <c r="Q506" s="168" t="s">
        <v>0</v>
      </c>
      <c r="R506" s="168" t="s">
        <v>1</v>
      </c>
      <c r="S506" s="178" t="str">
        <f t="shared" si="23"/>
        <v>D_DDPL_SUPERGROUPRECORD_CREATE_TS</v>
      </c>
    </row>
    <row r="507" spans="1:19" ht="14.4" x14ac:dyDescent="0.3">
      <c r="A507" s="169" t="s">
        <v>1334</v>
      </c>
      <c r="B507" s="171" t="str">
        <f t="shared" si="21"/>
        <v>D_DDPL_SUPERGROUP</v>
      </c>
      <c r="C507" s="169" t="s">
        <v>429</v>
      </c>
      <c r="D507" s="169">
        <v>1284</v>
      </c>
      <c r="E507" s="169">
        <v>5</v>
      </c>
      <c r="F507" s="169" t="s">
        <v>429</v>
      </c>
      <c r="G507" s="169" t="s">
        <v>429</v>
      </c>
      <c r="H507" s="169">
        <v>22</v>
      </c>
      <c r="I507" s="136" t="str">
        <f t="shared" si="22"/>
        <v>TIMESTAMP(6)</v>
      </c>
      <c r="J507" s="169" t="s">
        <v>1</v>
      </c>
      <c r="K507" s="169" t="s">
        <v>1</v>
      </c>
      <c r="L507" s="169">
        <v>30</v>
      </c>
      <c r="M507" s="168"/>
      <c r="N507" s="168"/>
      <c r="O507" s="168"/>
      <c r="P507" s="168"/>
      <c r="Q507" s="168" t="s">
        <v>0</v>
      </c>
      <c r="R507" s="168" t="s">
        <v>1</v>
      </c>
      <c r="S507" s="178" t="str">
        <f t="shared" si="23"/>
        <v>D_DDPL_SUPERGROUPRECORD_UPDATE_TS</v>
      </c>
    </row>
    <row r="508" spans="1:19" ht="14.4" x14ac:dyDescent="0.3">
      <c r="A508" s="169" t="s">
        <v>1334</v>
      </c>
      <c r="B508" s="171" t="str">
        <f t="shared" si="21"/>
        <v>D_DDPL_SUPERGROUP</v>
      </c>
      <c r="C508" s="169" t="s">
        <v>498</v>
      </c>
      <c r="D508" s="169">
        <v>1285</v>
      </c>
      <c r="E508" s="169">
        <v>6</v>
      </c>
      <c r="F508" s="169" t="s">
        <v>498</v>
      </c>
      <c r="G508" s="169" t="s">
        <v>498</v>
      </c>
      <c r="H508" s="169">
        <v>7</v>
      </c>
      <c r="I508" s="136" t="str">
        <f t="shared" si="22"/>
        <v>BIGINT</v>
      </c>
      <c r="J508" s="169" t="s">
        <v>1</v>
      </c>
      <c r="K508" s="169" t="s">
        <v>1</v>
      </c>
      <c r="L508" s="169">
        <v>30</v>
      </c>
      <c r="M508" s="168"/>
      <c r="N508" s="168"/>
      <c r="O508" s="168"/>
      <c r="P508" s="168"/>
      <c r="Q508" s="168" t="s">
        <v>0</v>
      </c>
      <c r="R508" s="168" t="s">
        <v>1</v>
      </c>
      <c r="S508" s="178" t="str">
        <f t="shared" si="23"/>
        <v>D_DDPL_SUPERGROUPRUN_ID</v>
      </c>
    </row>
    <row r="509" spans="1:19" ht="14.4" x14ac:dyDescent="0.3">
      <c r="A509" s="169" t="s">
        <v>1334</v>
      </c>
      <c r="B509" s="171" t="str">
        <f t="shared" si="21"/>
        <v>D_DDPL_SUPERGROUP</v>
      </c>
      <c r="C509" s="169" t="s">
        <v>492</v>
      </c>
      <c r="D509" s="169">
        <v>1286</v>
      </c>
      <c r="E509" s="169">
        <v>7</v>
      </c>
      <c r="F509" s="169" t="s">
        <v>492</v>
      </c>
      <c r="G509" s="169" t="s">
        <v>492</v>
      </c>
      <c r="H509" s="169">
        <v>34</v>
      </c>
      <c r="I509" s="136" t="str">
        <f t="shared" si="22"/>
        <v>DATE</v>
      </c>
      <c r="J509" s="169" t="s">
        <v>1</v>
      </c>
      <c r="K509" s="169" t="s">
        <v>1</v>
      </c>
      <c r="L509" s="169">
        <v>30</v>
      </c>
      <c r="M509" s="168"/>
      <c r="N509" s="168"/>
      <c r="O509" s="168"/>
      <c r="P509" s="168"/>
      <c r="Q509" s="168" t="s">
        <v>0</v>
      </c>
      <c r="R509" s="168" t="s">
        <v>1</v>
      </c>
      <c r="S509" s="178" t="str">
        <f t="shared" si="23"/>
        <v>D_DDPL_SUPERGROUPVALIDITY_DT</v>
      </c>
    </row>
    <row r="510" spans="1:19" ht="14.4" x14ac:dyDescent="0.3">
      <c r="A510" s="169" t="s">
        <v>1320</v>
      </c>
      <c r="B510" s="171" t="str">
        <f t="shared" si="21"/>
        <v>D_DDPL_SUPERGROUP_FINAL</v>
      </c>
      <c r="C510" s="169" t="s">
        <v>581</v>
      </c>
      <c r="D510" s="169">
        <v>1287</v>
      </c>
      <c r="E510" s="169">
        <v>1</v>
      </c>
      <c r="F510" s="169" t="s">
        <v>581</v>
      </c>
      <c r="G510" s="169" t="s">
        <v>581</v>
      </c>
      <c r="H510" s="169">
        <v>7</v>
      </c>
      <c r="I510" s="136" t="str">
        <f t="shared" si="22"/>
        <v>BIGINT</v>
      </c>
      <c r="J510" s="169" t="s">
        <v>1</v>
      </c>
      <c r="K510" s="169" t="s">
        <v>0</v>
      </c>
      <c r="L510" s="169">
        <v>30</v>
      </c>
      <c r="M510" s="168"/>
      <c r="N510" s="168"/>
      <c r="O510" s="168"/>
      <c r="P510" s="168"/>
      <c r="Q510" s="168" t="s">
        <v>0</v>
      </c>
      <c r="R510" s="168" t="s">
        <v>1</v>
      </c>
      <c r="S510" s="178" t="str">
        <f t="shared" si="23"/>
        <v>D_DDPL_SUPERGROUP_FINALCP_ORIG_ID</v>
      </c>
    </row>
    <row r="511" spans="1:19" ht="14.4" x14ac:dyDescent="0.3">
      <c r="A511" s="169" t="s">
        <v>1320</v>
      </c>
      <c r="B511" s="171" t="str">
        <f t="shared" si="21"/>
        <v>D_DDPL_SUPERGROUP_FINAL</v>
      </c>
      <c r="C511" s="169" t="s">
        <v>1408</v>
      </c>
      <c r="D511" s="169">
        <v>1288</v>
      </c>
      <c r="E511" s="169">
        <v>2</v>
      </c>
      <c r="F511" s="169" t="s">
        <v>1408</v>
      </c>
      <c r="G511" s="169" t="s">
        <v>1408</v>
      </c>
      <c r="H511" s="169">
        <v>7</v>
      </c>
      <c r="I511" s="136" t="str">
        <f t="shared" si="22"/>
        <v>BIGINT</v>
      </c>
      <c r="J511" s="169" t="s">
        <v>1</v>
      </c>
      <c r="K511" s="169" t="s">
        <v>1</v>
      </c>
      <c r="L511" s="169">
        <v>30</v>
      </c>
      <c r="M511" s="168"/>
      <c r="N511" s="168"/>
      <c r="O511" s="168"/>
      <c r="P511" s="168"/>
      <c r="Q511" s="168" t="s">
        <v>0</v>
      </c>
      <c r="R511" s="168" t="s">
        <v>1</v>
      </c>
      <c r="S511" s="178" t="str">
        <f t="shared" si="23"/>
        <v>D_DDPL_SUPERGROUP_FINALDDPL_SUPERGROUP_ID</v>
      </c>
    </row>
    <row r="512" spans="1:19" ht="14.4" x14ac:dyDescent="0.3">
      <c r="A512" s="169" t="s">
        <v>1320</v>
      </c>
      <c r="B512" s="171" t="str">
        <f t="shared" si="21"/>
        <v>D_DDPL_SUPERGROUP_FINAL</v>
      </c>
      <c r="C512" s="169" t="s">
        <v>438</v>
      </c>
      <c r="D512" s="169">
        <v>1289</v>
      </c>
      <c r="E512" s="169">
        <v>3</v>
      </c>
      <c r="F512" s="169" t="s">
        <v>438</v>
      </c>
      <c r="G512" s="169" t="s">
        <v>438</v>
      </c>
      <c r="H512" s="169">
        <v>22</v>
      </c>
      <c r="I512" s="136" t="str">
        <f t="shared" si="22"/>
        <v>TIMESTAMP(6)</v>
      </c>
      <c r="J512" s="169" t="s">
        <v>1</v>
      </c>
      <c r="K512" s="169" t="s">
        <v>1</v>
      </c>
      <c r="L512" s="169">
        <v>30</v>
      </c>
      <c r="M512" s="168"/>
      <c r="N512" s="168"/>
      <c r="O512" s="168"/>
      <c r="P512" s="168"/>
      <c r="Q512" s="168" t="s">
        <v>0</v>
      </c>
      <c r="R512" s="168" t="s">
        <v>1</v>
      </c>
      <c r="S512" s="178" t="str">
        <f t="shared" si="23"/>
        <v>D_DDPL_SUPERGROUP_FINALRECORD_CLOSE_TS</v>
      </c>
    </row>
    <row r="513" spans="1:19" ht="14.4" x14ac:dyDescent="0.3">
      <c r="A513" s="169" t="s">
        <v>1320</v>
      </c>
      <c r="B513" s="171" t="str">
        <f t="shared" si="21"/>
        <v>D_DDPL_SUPERGROUP_FINAL</v>
      </c>
      <c r="C513" s="169" t="s">
        <v>440</v>
      </c>
      <c r="D513" s="169">
        <v>1290</v>
      </c>
      <c r="E513" s="169">
        <v>4</v>
      </c>
      <c r="F513" s="169" t="s">
        <v>440</v>
      </c>
      <c r="G513" s="169" t="s">
        <v>440</v>
      </c>
      <c r="H513" s="169">
        <v>22</v>
      </c>
      <c r="I513" s="136" t="str">
        <f t="shared" si="22"/>
        <v>TIMESTAMP(6)</v>
      </c>
      <c r="J513" s="169" t="s">
        <v>1</v>
      </c>
      <c r="K513" s="169" t="s">
        <v>1</v>
      </c>
      <c r="L513" s="169">
        <v>30</v>
      </c>
      <c r="M513" s="168"/>
      <c r="N513" s="168"/>
      <c r="O513" s="168"/>
      <c r="P513" s="168"/>
      <c r="Q513" s="168" t="s">
        <v>0</v>
      </c>
      <c r="R513" s="168" t="s">
        <v>1</v>
      </c>
      <c r="S513" s="178" t="str">
        <f t="shared" si="23"/>
        <v>D_DDPL_SUPERGROUP_FINALRECORD_CREATE_TS</v>
      </c>
    </row>
    <row r="514" spans="1:19" ht="14.4" x14ac:dyDescent="0.3">
      <c r="A514" s="169" t="s">
        <v>1320</v>
      </c>
      <c r="B514" s="171" t="str">
        <f t="shared" ref="B514:B577" si="24">IF(NOT(ISBLANK(A514)),VLOOKUP(A514,ERM_TABLE_NM,2,FALSE), "")</f>
        <v>D_DDPL_SUPERGROUP_FINAL</v>
      </c>
      <c r="C514" s="169" t="s">
        <v>429</v>
      </c>
      <c r="D514" s="169">
        <v>1291</v>
      </c>
      <c r="E514" s="169">
        <v>5</v>
      </c>
      <c r="F514" s="169" t="s">
        <v>429</v>
      </c>
      <c r="G514" s="169" t="s">
        <v>429</v>
      </c>
      <c r="H514" s="169">
        <v>22</v>
      </c>
      <c r="I514" s="136" t="str">
        <f t="shared" ref="I514:I577" si="25">IF(NOT(ISBLANK(H514)),VLOOKUP(H514,ERM_DOMAIN_NM,2,FALSE), "")</f>
        <v>TIMESTAMP(6)</v>
      </c>
      <c r="J514" s="169" t="s">
        <v>1</v>
      </c>
      <c r="K514" s="169" t="s">
        <v>1</v>
      </c>
      <c r="L514" s="169">
        <v>30</v>
      </c>
      <c r="M514" s="168"/>
      <c r="N514" s="168"/>
      <c r="O514" s="168"/>
      <c r="P514" s="168"/>
      <c r="Q514" s="168" t="s">
        <v>0</v>
      </c>
      <c r="R514" s="168" t="s">
        <v>1</v>
      </c>
      <c r="S514" s="178" t="str">
        <f t="shared" si="23"/>
        <v>D_DDPL_SUPERGROUP_FINALRECORD_UPDATE_TS</v>
      </c>
    </row>
    <row r="515" spans="1:19" ht="14.4" x14ac:dyDescent="0.3">
      <c r="A515" s="169" t="s">
        <v>1320</v>
      </c>
      <c r="B515" s="171" t="str">
        <f t="shared" si="24"/>
        <v>D_DDPL_SUPERGROUP_FINAL</v>
      </c>
      <c r="C515" s="169" t="s">
        <v>498</v>
      </c>
      <c r="D515" s="169">
        <v>1292</v>
      </c>
      <c r="E515" s="169">
        <v>6</v>
      </c>
      <c r="F515" s="169" t="s">
        <v>498</v>
      </c>
      <c r="G515" s="169" t="s">
        <v>498</v>
      </c>
      <c r="H515" s="169">
        <v>7</v>
      </c>
      <c r="I515" s="136" t="str">
        <f t="shared" si="25"/>
        <v>BIGINT</v>
      </c>
      <c r="J515" s="169" t="s">
        <v>1</v>
      </c>
      <c r="K515" s="169" t="s">
        <v>1</v>
      </c>
      <c r="L515" s="169">
        <v>30</v>
      </c>
      <c r="M515" s="168"/>
      <c r="N515" s="168"/>
      <c r="O515" s="168"/>
      <c r="P515" s="168"/>
      <c r="Q515" s="168" t="s">
        <v>0</v>
      </c>
      <c r="R515" s="168" t="s">
        <v>1</v>
      </c>
      <c r="S515" s="178" t="str">
        <f t="shared" ref="S515:S578" si="26">CONCATENATE(A515,C515)</f>
        <v>D_DDPL_SUPERGROUP_FINALRUN_ID</v>
      </c>
    </row>
    <row r="516" spans="1:19" ht="14.4" x14ac:dyDescent="0.3">
      <c r="A516" s="169" t="s">
        <v>1320</v>
      </c>
      <c r="B516" s="171" t="str">
        <f t="shared" si="24"/>
        <v>D_DDPL_SUPERGROUP_FINAL</v>
      </c>
      <c r="C516" s="169" t="s">
        <v>492</v>
      </c>
      <c r="D516" s="169">
        <v>1293</v>
      </c>
      <c r="E516" s="169">
        <v>7</v>
      </c>
      <c r="F516" s="169" t="s">
        <v>492</v>
      </c>
      <c r="G516" s="169" t="s">
        <v>492</v>
      </c>
      <c r="H516" s="169">
        <v>34</v>
      </c>
      <c r="I516" s="136" t="str">
        <f t="shared" si="25"/>
        <v>DATE</v>
      </c>
      <c r="J516" s="169" t="s">
        <v>1</v>
      </c>
      <c r="K516" s="169" t="s">
        <v>1</v>
      </c>
      <c r="L516" s="169">
        <v>30</v>
      </c>
      <c r="M516" s="168"/>
      <c r="N516" s="168"/>
      <c r="O516" s="168"/>
      <c r="P516" s="168"/>
      <c r="Q516" s="168" t="s">
        <v>0</v>
      </c>
      <c r="R516" s="168" t="s">
        <v>1</v>
      </c>
      <c r="S516" s="178" t="str">
        <f t="shared" si="26"/>
        <v>D_DDPL_SUPERGROUP_FINALVALIDITY_DT</v>
      </c>
    </row>
    <row r="517" spans="1:19" ht="14.4" x14ac:dyDescent="0.3">
      <c r="A517" s="169" t="s">
        <v>1345</v>
      </c>
      <c r="B517" s="171" t="str">
        <f t="shared" si="24"/>
        <v>D_DIC_BASEL2_INT_CLASS</v>
      </c>
      <c r="C517" s="169" t="s">
        <v>1597</v>
      </c>
      <c r="D517" s="169">
        <v>231</v>
      </c>
      <c r="E517" s="169">
        <v>1</v>
      </c>
      <c r="F517" s="169" t="s">
        <v>1597</v>
      </c>
      <c r="G517" s="169" t="s">
        <v>1597</v>
      </c>
      <c r="H517" s="169">
        <v>24</v>
      </c>
      <c r="I517" s="136" t="str">
        <f t="shared" si="25"/>
        <v xml:space="preserve">VARCHAR(40) </v>
      </c>
      <c r="J517" s="169" t="s">
        <v>0</v>
      </c>
      <c r="K517" s="169" t="s">
        <v>1</v>
      </c>
      <c r="L517" s="169">
        <v>30</v>
      </c>
      <c r="M517" s="168"/>
      <c r="N517" s="168"/>
      <c r="O517" s="168"/>
      <c r="P517" s="168"/>
      <c r="Q517" s="168" t="s">
        <v>0</v>
      </c>
      <c r="R517" s="168" t="s">
        <v>1</v>
      </c>
      <c r="S517" s="178" t="str">
        <f t="shared" si="26"/>
        <v>D_DIC_BASEL2_INT_CLASSBASEL2_INT_CLASS_CD</v>
      </c>
    </row>
    <row r="518" spans="1:19" ht="14.4" x14ac:dyDescent="0.3">
      <c r="A518" s="169" t="s">
        <v>1345</v>
      </c>
      <c r="B518" s="171" t="str">
        <f t="shared" si="24"/>
        <v>D_DIC_BASEL2_INT_CLASS</v>
      </c>
      <c r="C518" s="169" t="s">
        <v>1420</v>
      </c>
      <c r="D518" s="169">
        <v>232</v>
      </c>
      <c r="E518" s="169">
        <v>2</v>
      </c>
      <c r="F518" s="169" t="s">
        <v>1420</v>
      </c>
      <c r="G518" s="169" t="s">
        <v>1420</v>
      </c>
      <c r="H518" s="169">
        <v>7</v>
      </c>
      <c r="I518" s="136" t="str">
        <f t="shared" si="25"/>
        <v>BIGINT</v>
      </c>
      <c r="J518" s="169" t="s">
        <v>1</v>
      </c>
      <c r="K518" s="169" t="s">
        <v>0</v>
      </c>
      <c r="L518" s="169">
        <v>30</v>
      </c>
      <c r="M518" s="168"/>
      <c r="N518" s="168"/>
      <c r="O518" s="168"/>
      <c r="P518" s="168"/>
      <c r="Q518" s="168" t="s">
        <v>0</v>
      </c>
      <c r="R518" s="168" t="s">
        <v>1</v>
      </c>
      <c r="S518" s="178" t="str">
        <f t="shared" si="26"/>
        <v>D_DIC_BASEL2_INT_CLASSBASEL2_INT_CLASS_ID</v>
      </c>
    </row>
    <row r="519" spans="1:19" ht="14.4" x14ac:dyDescent="0.3">
      <c r="A519" s="169" t="s">
        <v>1345</v>
      </c>
      <c r="B519" s="171" t="str">
        <f t="shared" si="24"/>
        <v>D_DIC_BASEL2_INT_CLASS</v>
      </c>
      <c r="C519" s="169" t="s">
        <v>1584</v>
      </c>
      <c r="D519" s="169">
        <v>233</v>
      </c>
      <c r="E519" s="169">
        <v>3</v>
      </c>
      <c r="F519" s="169" t="s">
        <v>1584</v>
      </c>
      <c r="G519" s="169" t="s">
        <v>1584</v>
      </c>
      <c r="H519" s="169">
        <v>13</v>
      </c>
      <c r="I519" s="136" t="str">
        <f t="shared" si="25"/>
        <v xml:space="preserve">VARCHAR(300) </v>
      </c>
      <c r="J519" s="169" t="s">
        <v>0</v>
      </c>
      <c r="K519" s="169" t="s">
        <v>1</v>
      </c>
      <c r="L519" s="169">
        <v>30</v>
      </c>
      <c r="M519" s="168"/>
      <c r="N519" s="168"/>
      <c r="O519" s="168"/>
      <c r="P519" s="168"/>
      <c r="Q519" s="168" t="s">
        <v>0</v>
      </c>
      <c r="R519" s="168" t="s">
        <v>1</v>
      </c>
      <c r="S519" s="178" t="str">
        <f t="shared" si="26"/>
        <v>D_DIC_BASEL2_INT_CLASSBASEL2_INT_CLASS_NM</v>
      </c>
    </row>
    <row r="520" spans="1:19" ht="14.4" x14ac:dyDescent="0.3">
      <c r="A520" s="169" t="s">
        <v>1345</v>
      </c>
      <c r="B520" s="171" t="str">
        <f t="shared" si="24"/>
        <v>D_DIC_BASEL2_INT_CLASS</v>
      </c>
      <c r="C520" s="169" t="s">
        <v>1481</v>
      </c>
      <c r="D520" s="169">
        <v>234</v>
      </c>
      <c r="E520" s="169">
        <v>4</v>
      </c>
      <c r="F520" s="169" t="s">
        <v>1481</v>
      </c>
      <c r="G520" s="169" t="s">
        <v>1481</v>
      </c>
      <c r="H520" s="169">
        <v>13</v>
      </c>
      <c r="I520" s="136" t="str">
        <f t="shared" si="25"/>
        <v xml:space="preserve">VARCHAR(300) </v>
      </c>
      <c r="J520" s="169" t="s">
        <v>0</v>
      </c>
      <c r="K520" s="169" t="s">
        <v>1</v>
      </c>
      <c r="L520" s="169">
        <v>30</v>
      </c>
      <c r="M520" s="168"/>
      <c r="N520" s="168"/>
      <c r="O520" s="168"/>
      <c r="P520" s="168"/>
      <c r="Q520" s="168" t="s">
        <v>0</v>
      </c>
      <c r="R520" s="168" t="s">
        <v>1</v>
      </c>
      <c r="S520" s="178" t="str">
        <f t="shared" si="26"/>
        <v>D_DIC_BASEL2_INT_CLASSBASEL2_INT_SUBCLASS_NM</v>
      </c>
    </row>
    <row r="521" spans="1:19" ht="14.4" x14ac:dyDescent="0.3">
      <c r="A521" s="169" t="s">
        <v>1345</v>
      </c>
      <c r="B521" s="171" t="str">
        <f t="shared" si="24"/>
        <v>D_DIC_BASEL2_INT_CLASS</v>
      </c>
      <c r="C521" s="169" t="s">
        <v>452</v>
      </c>
      <c r="D521" s="169">
        <v>235</v>
      </c>
      <c r="E521" s="169">
        <v>5</v>
      </c>
      <c r="F521" s="169" t="s">
        <v>452</v>
      </c>
      <c r="G521" s="169" t="s">
        <v>452</v>
      </c>
      <c r="H521" s="169">
        <v>24</v>
      </c>
      <c r="I521" s="136" t="str">
        <f t="shared" si="25"/>
        <v xml:space="preserve">VARCHAR(40) </v>
      </c>
      <c r="J521" s="169" t="s">
        <v>0</v>
      </c>
      <c r="K521" s="169" t="s">
        <v>1</v>
      </c>
      <c r="L521" s="169">
        <v>30</v>
      </c>
      <c r="M521" s="168"/>
      <c r="N521" s="168"/>
      <c r="O521" s="168"/>
      <c r="P521" s="168"/>
      <c r="Q521" s="168" t="s">
        <v>0</v>
      </c>
      <c r="R521" s="168" t="s">
        <v>1</v>
      </c>
      <c r="S521" s="178" t="str">
        <f t="shared" si="26"/>
        <v>D_DIC_BASEL2_INT_CLASSCONFIGURATION_CD</v>
      </c>
    </row>
    <row r="522" spans="1:19" ht="14.4" x14ac:dyDescent="0.3">
      <c r="A522" s="169" t="s">
        <v>1345</v>
      </c>
      <c r="B522" s="171" t="str">
        <f t="shared" si="24"/>
        <v>D_DIC_BASEL2_INT_CLASS</v>
      </c>
      <c r="C522" s="169" t="s">
        <v>52</v>
      </c>
      <c r="D522" s="169">
        <v>236</v>
      </c>
      <c r="E522" s="169">
        <v>6</v>
      </c>
      <c r="F522" s="169" t="s">
        <v>52</v>
      </c>
      <c r="G522" s="169" t="s">
        <v>52</v>
      </c>
      <c r="H522" s="169">
        <v>34</v>
      </c>
      <c r="I522" s="136" t="str">
        <f t="shared" si="25"/>
        <v>DATE</v>
      </c>
      <c r="J522" s="169" t="s">
        <v>1</v>
      </c>
      <c r="K522" s="169" t="s">
        <v>1</v>
      </c>
      <c r="L522" s="169">
        <v>30</v>
      </c>
      <c r="M522" s="168"/>
      <c r="N522" s="168"/>
      <c r="O522" s="168"/>
      <c r="P522" s="168"/>
      <c r="Q522" s="168" t="s">
        <v>0</v>
      </c>
      <c r="R522" s="168" t="s">
        <v>1</v>
      </c>
      <c r="S522" s="178" t="str">
        <f t="shared" si="26"/>
        <v>D_DIC_BASEL2_INT_CLASSEND_DT</v>
      </c>
    </row>
    <row r="523" spans="1:19" ht="14.4" x14ac:dyDescent="0.3">
      <c r="A523" s="169" t="s">
        <v>1345</v>
      </c>
      <c r="B523" s="171" t="str">
        <f t="shared" si="24"/>
        <v>D_DIC_BASEL2_INT_CLASS</v>
      </c>
      <c r="C523" s="169" t="s">
        <v>51</v>
      </c>
      <c r="D523" s="169">
        <v>237</v>
      </c>
      <c r="E523" s="169">
        <v>7</v>
      </c>
      <c r="F523" s="169" t="s">
        <v>51</v>
      </c>
      <c r="G523" s="169" t="s">
        <v>51</v>
      </c>
      <c r="H523" s="169">
        <v>34</v>
      </c>
      <c r="I523" s="136" t="str">
        <f t="shared" si="25"/>
        <v>DATE</v>
      </c>
      <c r="J523" s="169" t="s">
        <v>1</v>
      </c>
      <c r="K523" s="169" t="s">
        <v>1</v>
      </c>
      <c r="L523" s="169">
        <v>30</v>
      </c>
      <c r="M523" s="168"/>
      <c r="N523" s="168"/>
      <c r="O523" s="168"/>
      <c r="P523" s="168"/>
      <c r="Q523" s="168" t="s">
        <v>0</v>
      </c>
      <c r="R523" s="168" t="s">
        <v>1</v>
      </c>
      <c r="S523" s="178" t="str">
        <f t="shared" si="26"/>
        <v>D_DIC_BASEL2_INT_CLASSSTART_DT</v>
      </c>
    </row>
    <row r="524" spans="1:19" ht="14.4" x14ac:dyDescent="0.3">
      <c r="A524" s="169" t="s">
        <v>396</v>
      </c>
      <c r="B524" s="171" t="str">
        <f t="shared" si="24"/>
        <v>Справочник типов бизнес-сегментов</v>
      </c>
      <c r="C524" s="169" t="s">
        <v>1533</v>
      </c>
      <c r="D524" s="169">
        <v>245</v>
      </c>
      <c r="E524" s="169">
        <v>1</v>
      </c>
      <c r="F524" s="169" t="s">
        <v>1533</v>
      </c>
      <c r="G524" s="169" t="s">
        <v>1533</v>
      </c>
      <c r="H524" s="169">
        <v>24</v>
      </c>
      <c r="I524" s="136" t="str">
        <f t="shared" si="25"/>
        <v xml:space="preserve">VARCHAR(40) </v>
      </c>
      <c r="J524" s="169" t="s">
        <v>1</v>
      </c>
      <c r="K524" s="169" t="s">
        <v>1</v>
      </c>
      <c r="L524" s="169">
        <v>30</v>
      </c>
      <c r="M524" s="168"/>
      <c r="N524" s="168"/>
      <c r="O524" s="168"/>
      <c r="P524" s="168"/>
      <c r="Q524" s="168" t="s">
        <v>0</v>
      </c>
      <c r="R524" s="168" t="s">
        <v>1</v>
      </c>
      <c r="S524" s="178" t="str">
        <f t="shared" si="26"/>
        <v>D_DIC_BUSINESS_SEGMENTBUSINESS_SEGMENT_CD</v>
      </c>
    </row>
    <row r="525" spans="1:19" ht="14.4" x14ac:dyDescent="0.3">
      <c r="A525" s="169" t="s">
        <v>396</v>
      </c>
      <c r="B525" s="171" t="str">
        <f t="shared" si="24"/>
        <v>Справочник типов бизнес-сегментов</v>
      </c>
      <c r="C525" s="169" t="s">
        <v>1398</v>
      </c>
      <c r="D525" s="169">
        <v>246</v>
      </c>
      <c r="E525" s="169">
        <v>2</v>
      </c>
      <c r="F525" s="169" t="s">
        <v>1398</v>
      </c>
      <c r="G525" s="169" t="s">
        <v>1398</v>
      </c>
      <c r="H525" s="169">
        <v>13</v>
      </c>
      <c r="I525" s="136" t="str">
        <f t="shared" si="25"/>
        <v xml:space="preserve">VARCHAR(300) </v>
      </c>
      <c r="J525" s="169" t="s">
        <v>0</v>
      </c>
      <c r="K525" s="169" t="s">
        <v>1</v>
      </c>
      <c r="L525" s="169">
        <v>30</v>
      </c>
      <c r="M525" s="168"/>
      <c r="N525" s="168"/>
      <c r="O525" s="168"/>
      <c r="P525" s="168"/>
      <c r="Q525" s="168" t="s">
        <v>0</v>
      </c>
      <c r="R525" s="168" t="s">
        <v>1</v>
      </c>
      <c r="S525" s="178" t="str">
        <f t="shared" si="26"/>
        <v>D_DIC_BUSINESS_SEGMENTBUSINESS_SEGMENT_DSC</v>
      </c>
    </row>
    <row r="526" spans="1:19" ht="14.4" x14ac:dyDescent="0.3">
      <c r="A526" s="169" t="s">
        <v>396</v>
      </c>
      <c r="B526" s="171" t="str">
        <f t="shared" si="24"/>
        <v>Справочник типов бизнес-сегментов</v>
      </c>
      <c r="C526" s="169" t="s">
        <v>686</v>
      </c>
      <c r="D526" s="169">
        <v>247</v>
      </c>
      <c r="E526" s="169">
        <v>3</v>
      </c>
      <c r="F526" s="169" t="s">
        <v>686</v>
      </c>
      <c r="G526" s="169" t="s">
        <v>686</v>
      </c>
      <c r="H526" s="169">
        <v>7</v>
      </c>
      <c r="I526" s="136" t="str">
        <f t="shared" si="25"/>
        <v>BIGINT</v>
      </c>
      <c r="J526" s="169" t="s">
        <v>1</v>
      </c>
      <c r="K526" s="169" t="s">
        <v>0</v>
      </c>
      <c r="L526" s="169">
        <v>30</v>
      </c>
      <c r="M526" s="168"/>
      <c r="N526" s="168"/>
      <c r="O526" s="168"/>
      <c r="P526" s="168"/>
      <c r="Q526" s="168" t="s">
        <v>0</v>
      </c>
      <c r="R526" s="168" t="s">
        <v>1</v>
      </c>
      <c r="S526" s="178" t="str">
        <f t="shared" si="26"/>
        <v>D_DIC_BUSINESS_SEGMENTBUSINESS_SEGMENT_ID</v>
      </c>
    </row>
    <row r="527" spans="1:19" ht="14.4" x14ac:dyDescent="0.3">
      <c r="A527" s="169" t="s">
        <v>396</v>
      </c>
      <c r="B527" s="171" t="str">
        <f t="shared" si="24"/>
        <v>Справочник типов бизнес-сегментов</v>
      </c>
      <c r="C527" s="169" t="s">
        <v>1385</v>
      </c>
      <c r="D527" s="169">
        <v>248</v>
      </c>
      <c r="E527" s="169">
        <v>4</v>
      </c>
      <c r="F527" s="169" t="s">
        <v>1385</v>
      </c>
      <c r="G527" s="169" t="s">
        <v>1385</v>
      </c>
      <c r="H527" s="169">
        <v>13</v>
      </c>
      <c r="I527" s="136" t="str">
        <f t="shared" si="25"/>
        <v xml:space="preserve">VARCHAR(300) </v>
      </c>
      <c r="J527" s="169" t="s">
        <v>1</v>
      </c>
      <c r="K527" s="169" t="s">
        <v>1</v>
      </c>
      <c r="L527" s="169">
        <v>30</v>
      </c>
      <c r="M527" s="168"/>
      <c r="N527" s="168"/>
      <c r="O527" s="168"/>
      <c r="P527" s="168"/>
      <c r="Q527" s="168" t="s">
        <v>0</v>
      </c>
      <c r="R527" s="168" t="s">
        <v>1</v>
      </c>
      <c r="S527" s="178" t="str">
        <f t="shared" si="26"/>
        <v>D_DIC_BUSINESS_SEGMENTBUSINESS_SEGMENT_NM</v>
      </c>
    </row>
    <row r="528" spans="1:19" ht="14.4" x14ac:dyDescent="0.3">
      <c r="A528" s="169" t="s">
        <v>396</v>
      </c>
      <c r="B528" s="171" t="str">
        <f t="shared" si="24"/>
        <v>Справочник типов бизнес-сегментов</v>
      </c>
      <c r="C528" s="169" t="s">
        <v>52</v>
      </c>
      <c r="D528" s="169">
        <v>249</v>
      </c>
      <c r="E528" s="169">
        <v>5</v>
      </c>
      <c r="F528" s="169" t="s">
        <v>52</v>
      </c>
      <c r="G528" s="169" t="s">
        <v>52</v>
      </c>
      <c r="H528" s="169">
        <v>34</v>
      </c>
      <c r="I528" s="136" t="str">
        <f t="shared" si="25"/>
        <v>DATE</v>
      </c>
      <c r="J528" s="169" t="s">
        <v>1</v>
      </c>
      <c r="K528" s="169" t="s">
        <v>1</v>
      </c>
      <c r="L528" s="169">
        <v>30</v>
      </c>
      <c r="M528" s="168"/>
      <c r="N528" s="168"/>
      <c r="O528" s="168"/>
      <c r="P528" s="168"/>
      <c r="Q528" s="168" t="s">
        <v>0</v>
      </c>
      <c r="R528" s="168" t="s">
        <v>1</v>
      </c>
      <c r="S528" s="178" t="str">
        <f t="shared" si="26"/>
        <v>D_DIC_BUSINESS_SEGMENTEND_DT</v>
      </c>
    </row>
    <row r="529" spans="1:19" ht="14.4" x14ac:dyDescent="0.3">
      <c r="A529" s="169" t="s">
        <v>396</v>
      </c>
      <c r="B529" s="171" t="str">
        <f t="shared" si="24"/>
        <v>Справочник типов бизнес-сегментов</v>
      </c>
      <c r="C529" s="169" t="s">
        <v>51</v>
      </c>
      <c r="D529" s="169">
        <v>250</v>
      </c>
      <c r="E529" s="169">
        <v>6</v>
      </c>
      <c r="F529" s="169" t="s">
        <v>51</v>
      </c>
      <c r="G529" s="169" t="s">
        <v>51</v>
      </c>
      <c r="H529" s="169">
        <v>34</v>
      </c>
      <c r="I529" s="136" t="str">
        <f t="shared" si="25"/>
        <v>DATE</v>
      </c>
      <c r="J529" s="169" t="s">
        <v>1</v>
      </c>
      <c r="K529" s="169" t="s">
        <v>1</v>
      </c>
      <c r="L529" s="169">
        <v>30</v>
      </c>
      <c r="M529" s="168"/>
      <c r="N529" s="168"/>
      <c r="O529" s="168"/>
      <c r="P529" s="168"/>
      <c r="Q529" s="168" t="s">
        <v>0</v>
      </c>
      <c r="R529" s="168" t="s">
        <v>1</v>
      </c>
      <c r="S529" s="178" t="str">
        <f t="shared" si="26"/>
        <v>D_DIC_BUSINESS_SEGMENTSTART_DT</v>
      </c>
    </row>
    <row r="530" spans="1:19" ht="14.4" x14ac:dyDescent="0.3">
      <c r="A530" s="169" t="s">
        <v>418</v>
      </c>
      <c r="B530" s="171" t="str">
        <f t="shared" si="24"/>
        <v>Тип условных обязательств</v>
      </c>
      <c r="C530" s="169" t="s">
        <v>561</v>
      </c>
      <c r="D530" s="169">
        <v>1294</v>
      </c>
      <c r="E530" s="169">
        <v>1</v>
      </c>
      <c r="F530" s="169" t="s">
        <v>561</v>
      </c>
      <c r="G530" s="169" t="s">
        <v>561</v>
      </c>
      <c r="H530" s="169">
        <v>24</v>
      </c>
      <c r="I530" s="136" t="str">
        <f t="shared" si="25"/>
        <v xml:space="preserve">VARCHAR(40) </v>
      </c>
      <c r="J530" s="169" t="s">
        <v>0</v>
      </c>
      <c r="K530" s="169" t="s">
        <v>1</v>
      </c>
      <c r="L530" s="169">
        <v>30</v>
      </c>
      <c r="M530" s="168"/>
      <c r="N530" s="168"/>
      <c r="O530" s="168"/>
      <c r="P530" s="168"/>
      <c r="Q530" s="168" t="s">
        <v>0</v>
      </c>
      <c r="R530" s="168" t="s">
        <v>1</v>
      </c>
      <c r="S530" s="178" t="str">
        <f t="shared" si="26"/>
        <v>D_DIC_CCF_TYPECCF_SET_CD</v>
      </c>
    </row>
    <row r="531" spans="1:19" ht="14.4" x14ac:dyDescent="0.3">
      <c r="A531" s="169" t="s">
        <v>418</v>
      </c>
      <c r="B531" s="171" t="str">
        <f t="shared" si="24"/>
        <v>Тип условных обязательств</v>
      </c>
      <c r="C531" s="169" t="s">
        <v>557</v>
      </c>
      <c r="D531" s="169">
        <v>1295</v>
      </c>
      <c r="E531" s="169">
        <v>2</v>
      </c>
      <c r="F531" s="169" t="s">
        <v>557</v>
      </c>
      <c r="G531" s="169" t="s">
        <v>557</v>
      </c>
      <c r="H531" s="169">
        <v>24</v>
      </c>
      <c r="I531" s="136" t="str">
        <f t="shared" si="25"/>
        <v xml:space="preserve">VARCHAR(40) </v>
      </c>
      <c r="J531" s="169" t="s">
        <v>1</v>
      </c>
      <c r="K531" s="169" t="s">
        <v>1</v>
      </c>
      <c r="L531" s="169">
        <v>30</v>
      </c>
      <c r="M531" s="168"/>
      <c r="N531" s="168"/>
      <c r="O531" s="168"/>
      <c r="P531" s="168"/>
      <c r="Q531" s="168" t="s">
        <v>0</v>
      </c>
      <c r="R531" s="168" t="s">
        <v>1</v>
      </c>
      <c r="S531" s="178" t="str">
        <f t="shared" si="26"/>
        <v>D_DIC_CCF_TYPECCF_TYPE_CD</v>
      </c>
    </row>
    <row r="532" spans="1:19" ht="14.4" x14ac:dyDescent="0.3">
      <c r="A532" s="169" t="s">
        <v>418</v>
      </c>
      <c r="B532" s="171" t="str">
        <f t="shared" si="24"/>
        <v>Тип условных обязательств</v>
      </c>
      <c r="C532" s="169" t="s">
        <v>559</v>
      </c>
      <c r="D532" s="169">
        <v>1296</v>
      </c>
      <c r="E532" s="169">
        <v>3</v>
      </c>
      <c r="F532" s="169" t="s">
        <v>559</v>
      </c>
      <c r="G532" s="169" t="s">
        <v>559</v>
      </c>
      <c r="H532" s="169">
        <v>13</v>
      </c>
      <c r="I532" s="136" t="str">
        <f t="shared" si="25"/>
        <v xml:space="preserve">VARCHAR(300) </v>
      </c>
      <c r="J532" s="169" t="s">
        <v>0</v>
      </c>
      <c r="K532" s="169" t="s">
        <v>1</v>
      </c>
      <c r="L532" s="169">
        <v>30</v>
      </c>
      <c r="M532" s="168"/>
      <c r="N532" s="168"/>
      <c r="O532" s="168"/>
      <c r="P532" s="168"/>
      <c r="Q532" s="168" t="s">
        <v>0</v>
      </c>
      <c r="R532" s="168" t="s">
        <v>1</v>
      </c>
      <c r="S532" s="178" t="str">
        <f t="shared" si="26"/>
        <v>D_DIC_CCF_TYPECCF_TYPE_DSC</v>
      </c>
    </row>
    <row r="533" spans="1:19" ht="14.4" x14ac:dyDescent="0.3">
      <c r="A533" s="169" t="s">
        <v>418</v>
      </c>
      <c r="B533" s="171" t="str">
        <f t="shared" si="24"/>
        <v>Тип условных обязательств</v>
      </c>
      <c r="C533" s="169" t="s">
        <v>869</v>
      </c>
      <c r="D533" s="169">
        <v>1297</v>
      </c>
      <c r="E533" s="169">
        <v>4</v>
      </c>
      <c r="F533" s="169" t="s">
        <v>869</v>
      </c>
      <c r="G533" s="169" t="s">
        <v>869</v>
      </c>
      <c r="H533" s="169">
        <v>7</v>
      </c>
      <c r="I533" s="136" t="str">
        <f t="shared" si="25"/>
        <v>BIGINT</v>
      </c>
      <c r="J533" s="169" t="s">
        <v>1</v>
      </c>
      <c r="K533" s="169" t="s">
        <v>0</v>
      </c>
      <c r="L533" s="169">
        <v>30</v>
      </c>
      <c r="M533" s="168"/>
      <c r="N533" s="168"/>
      <c r="O533" s="168"/>
      <c r="P533" s="168"/>
      <c r="Q533" s="168" t="s">
        <v>0</v>
      </c>
      <c r="R533" s="168" t="s">
        <v>1</v>
      </c>
      <c r="S533" s="178" t="str">
        <f t="shared" si="26"/>
        <v>D_DIC_CCF_TYPECCF_TYPE_ID</v>
      </c>
    </row>
    <row r="534" spans="1:19" ht="14.4" x14ac:dyDescent="0.3">
      <c r="A534" s="169" t="s">
        <v>418</v>
      </c>
      <c r="B534" s="171" t="str">
        <f t="shared" si="24"/>
        <v>Тип условных обязательств</v>
      </c>
      <c r="C534" s="169" t="s">
        <v>562</v>
      </c>
      <c r="D534" s="169">
        <v>1298</v>
      </c>
      <c r="E534" s="169">
        <v>5</v>
      </c>
      <c r="F534" s="169" t="s">
        <v>562</v>
      </c>
      <c r="G534" s="169" t="s">
        <v>562</v>
      </c>
      <c r="H534" s="169">
        <v>24</v>
      </c>
      <c r="I534" s="136" t="str">
        <f t="shared" si="25"/>
        <v xml:space="preserve">VARCHAR(40) </v>
      </c>
      <c r="J534" s="169" t="s">
        <v>0</v>
      </c>
      <c r="K534" s="169" t="s">
        <v>1</v>
      </c>
      <c r="L534" s="169">
        <v>30</v>
      </c>
      <c r="M534" s="168"/>
      <c r="N534" s="168"/>
      <c r="O534" s="168"/>
      <c r="P534" s="168"/>
      <c r="Q534" s="168" t="s">
        <v>0</v>
      </c>
      <c r="R534" s="168" t="s">
        <v>1</v>
      </c>
      <c r="S534" s="178" t="str">
        <f t="shared" si="26"/>
        <v>D_DIC_CCF_TYPECCF_TYPE_NM</v>
      </c>
    </row>
    <row r="535" spans="1:19" ht="14.4" x14ac:dyDescent="0.3">
      <c r="A535" s="169" t="s">
        <v>418</v>
      </c>
      <c r="B535" s="171" t="str">
        <f t="shared" si="24"/>
        <v>Тип условных обязательств</v>
      </c>
      <c r="C535" s="169" t="s">
        <v>1607</v>
      </c>
      <c r="D535" s="169">
        <v>1299</v>
      </c>
      <c r="E535" s="169">
        <v>6</v>
      </c>
      <c r="F535" s="169" t="s">
        <v>1607</v>
      </c>
      <c r="G535" s="169" t="s">
        <v>1607</v>
      </c>
      <c r="H535" s="169">
        <v>13</v>
      </c>
      <c r="I535" s="136" t="str">
        <f t="shared" si="25"/>
        <v xml:space="preserve">VARCHAR(300) </v>
      </c>
      <c r="J535" s="169" t="s">
        <v>0</v>
      </c>
      <c r="K535" s="169" t="s">
        <v>1</v>
      </c>
      <c r="L535" s="169">
        <v>30</v>
      </c>
      <c r="M535" s="168"/>
      <c r="N535" s="168"/>
      <c r="O535" s="168"/>
      <c r="P535" s="168"/>
      <c r="Q535" s="168" t="s">
        <v>0</v>
      </c>
      <c r="R535" s="168" t="s">
        <v>1</v>
      </c>
      <c r="S535" s="178" t="str">
        <f t="shared" si="26"/>
        <v>D_DIC_CCF_TYPECCF_TYPE_REP_DSC</v>
      </c>
    </row>
    <row r="536" spans="1:19" ht="14.4" x14ac:dyDescent="0.3">
      <c r="A536" s="169" t="s">
        <v>418</v>
      </c>
      <c r="B536" s="171" t="str">
        <f t="shared" si="24"/>
        <v>Тип условных обязательств</v>
      </c>
      <c r="C536" s="169" t="s">
        <v>1504</v>
      </c>
      <c r="D536" s="169">
        <v>1300</v>
      </c>
      <c r="E536" s="169">
        <v>7</v>
      </c>
      <c r="F536" s="169" t="s">
        <v>1504</v>
      </c>
      <c r="G536" s="169" t="s">
        <v>1504</v>
      </c>
      <c r="H536" s="169">
        <v>19</v>
      </c>
      <c r="I536" s="136" t="str">
        <f t="shared" si="25"/>
        <v xml:space="preserve">VARCHAR(1000) </v>
      </c>
      <c r="J536" s="169" t="s">
        <v>0</v>
      </c>
      <c r="K536" s="169" t="s">
        <v>1</v>
      </c>
      <c r="L536" s="169">
        <v>30</v>
      </c>
      <c r="M536" s="168"/>
      <c r="N536" s="168"/>
      <c r="O536" s="168"/>
      <c r="P536" s="168"/>
      <c r="Q536" s="168" t="s">
        <v>0</v>
      </c>
      <c r="R536" s="168" t="s">
        <v>1</v>
      </c>
      <c r="S536" s="178" t="str">
        <f t="shared" si="26"/>
        <v>D_DIC_CCF_TYPECOMMENTARY</v>
      </c>
    </row>
    <row r="537" spans="1:19" ht="14.4" x14ac:dyDescent="0.3">
      <c r="A537" s="169" t="s">
        <v>418</v>
      </c>
      <c r="B537" s="171" t="str">
        <f t="shared" si="24"/>
        <v>Тип условных обязательств</v>
      </c>
      <c r="C537" s="169" t="s">
        <v>564</v>
      </c>
      <c r="D537" s="169">
        <v>1301</v>
      </c>
      <c r="E537" s="169">
        <v>8</v>
      </c>
      <c r="F537" s="169" t="s">
        <v>564</v>
      </c>
      <c r="G537" s="169" t="s">
        <v>564</v>
      </c>
      <c r="H537" s="169">
        <v>3</v>
      </c>
      <c r="I537" s="136" t="str">
        <f t="shared" si="25"/>
        <v>DECIMAL(20, 6)</v>
      </c>
      <c r="J537" s="169" t="s">
        <v>0</v>
      </c>
      <c r="K537" s="169" t="s">
        <v>1</v>
      </c>
      <c r="L537" s="169">
        <v>30</v>
      </c>
      <c r="M537" s="168"/>
      <c r="N537" s="168"/>
      <c r="O537" s="168"/>
      <c r="P537" s="168"/>
      <c r="Q537" s="168" t="s">
        <v>0</v>
      </c>
      <c r="R537" s="168" t="s">
        <v>1</v>
      </c>
      <c r="S537" s="178" t="str">
        <f t="shared" si="26"/>
        <v>D_DIC_CCF_TYPEECAP_CCF_PCT</v>
      </c>
    </row>
    <row r="538" spans="1:19" ht="14.4" x14ac:dyDescent="0.3">
      <c r="A538" s="169" t="s">
        <v>418</v>
      </c>
      <c r="B538" s="171" t="str">
        <f t="shared" si="24"/>
        <v>Тип условных обязательств</v>
      </c>
      <c r="C538" s="169" t="s">
        <v>52</v>
      </c>
      <c r="D538" s="169">
        <v>1302</v>
      </c>
      <c r="E538" s="169">
        <v>9</v>
      </c>
      <c r="F538" s="169" t="s">
        <v>52</v>
      </c>
      <c r="G538" s="169" t="s">
        <v>52</v>
      </c>
      <c r="H538" s="169">
        <v>34</v>
      </c>
      <c r="I538" s="136" t="str">
        <f t="shared" si="25"/>
        <v>DATE</v>
      </c>
      <c r="J538" s="169" t="s">
        <v>1</v>
      </c>
      <c r="K538" s="169" t="s">
        <v>1</v>
      </c>
      <c r="L538" s="169">
        <v>30</v>
      </c>
      <c r="M538" s="168"/>
      <c r="N538" s="168"/>
      <c r="O538" s="168"/>
      <c r="P538" s="168"/>
      <c r="Q538" s="168" t="s">
        <v>0</v>
      </c>
      <c r="R538" s="168" t="s">
        <v>1</v>
      </c>
      <c r="S538" s="178" t="str">
        <f t="shared" si="26"/>
        <v>D_DIC_CCF_TYPEEND_DT</v>
      </c>
    </row>
    <row r="539" spans="1:19" ht="14.4" x14ac:dyDescent="0.3">
      <c r="A539" s="169" t="s">
        <v>418</v>
      </c>
      <c r="B539" s="171" t="str">
        <f t="shared" si="24"/>
        <v>Тип условных обязательств</v>
      </c>
      <c r="C539" s="169" t="s">
        <v>51</v>
      </c>
      <c r="D539" s="169">
        <v>1303</v>
      </c>
      <c r="E539" s="169">
        <v>10</v>
      </c>
      <c r="F539" s="169" t="s">
        <v>51</v>
      </c>
      <c r="G539" s="169" t="s">
        <v>51</v>
      </c>
      <c r="H539" s="169">
        <v>34</v>
      </c>
      <c r="I539" s="136" t="str">
        <f t="shared" si="25"/>
        <v>DATE</v>
      </c>
      <c r="J539" s="169" t="s">
        <v>1</v>
      </c>
      <c r="K539" s="169" t="s">
        <v>1</v>
      </c>
      <c r="L539" s="169">
        <v>30</v>
      </c>
      <c r="M539" s="168"/>
      <c r="N539" s="168"/>
      <c r="O539" s="168"/>
      <c r="P539" s="168"/>
      <c r="Q539" s="168" t="s">
        <v>0</v>
      </c>
      <c r="R539" s="168" t="s">
        <v>1</v>
      </c>
      <c r="S539" s="178" t="str">
        <f t="shared" si="26"/>
        <v>D_DIC_CCF_TYPESTART_DT</v>
      </c>
    </row>
    <row r="540" spans="1:19" ht="14.4" x14ac:dyDescent="0.3">
      <c r="A540" s="169" t="s">
        <v>409</v>
      </c>
      <c r="B540" s="171" t="str">
        <f t="shared" si="24"/>
        <v>Справочник приоритетов обеспечения</v>
      </c>
      <c r="C540" s="169" t="s">
        <v>578</v>
      </c>
      <c r="D540" s="169">
        <v>1304</v>
      </c>
      <c r="E540" s="169">
        <v>1</v>
      </c>
      <c r="F540" s="169" t="s">
        <v>578</v>
      </c>
      <c r="G540" s="169" t="s">
        <v>578</v>
      </c>
      <c r="H540" s="169">
        <v>24</v>
      </c>
      <c r="I540" s="136" t="str">
        <f t="shared" si="25"/>
        <v xml:space="preserve">VARCHAR(40) </v>
      </c>
      <c r="J540" s="169" t="s">
        <v>1</v>
      </c>
      <c r="K540" s="169" t="s">
        <v>1</v>
      </c>
      <c r="L540" s="169">
        <v>30</v>
      </c>
      <c r="M540" s="168"/>
      <c r="N540" s="168"/>
      <c r="O540" s="168"/>
      <c r="P540" s="168"/>
      <c r="Q540" s="168" t="s">
        <v>0</v>
      </c>
      <c r="R540" s="168" t="s">
        <v>1</v>
      </c>
      <c r="S540" s="178" t="str">
        <f t="shared" si="26"/>
        <v>D_DIC_COLLATERAL_PRIORITYCOLLATERAL_PRIORITY_CD</v>
      </c>
    </row>
    <row r="541" spans="1:19" ht="14.4" x14ac:dyDescent="0.3">
      <c r="A541" s="169" t="s">
        <v>409</v>
      </c>
      <c r="B541" s="171" t="str">
        <f t="shared" si="24"/>
        <v>Справочник приоритетов обеспечения</v>
      </c>
      <c r="C541" s="169" t="s">
        <v>579</v>
      </c>
      <c r="D541" s="169">
        <v>1305</v>
      </c>
      <c r="E541" s="169">
        <v>2</v>
      </c>
      <c r="F541" s="169" t="s">
        <v>579</v>
      </c>
      <c r="G541" s="169" t="s">
        <v>579</v>
      </c>
      <c r="H541" s="169">
        <v>7</v>
      </c>
      <c r="I541" s="136" t="str">
        <f t="shared" si="25"/>
        <v>BIGINT</v>
      </c>
      <c r="J541" s="169" t="s">
        <v>1</v>
      </c>
      <c r="K541" s="169" t="s">
        <v>0</v>
      </c>
      <c r="L541" s="169">
        <v>30</v>
      </c>
      <c r="M541" s="168"/>
      <c r="N541" s="168"/>
      <c r="O541" s="168"/>
      <c r="P541" s="168"/>
      <c r="Q541" s="168" t="s">
        <v>0</v>
      </c>
      <c r="R541" s="168" t="s">
        <v>1</v>
      </c>
      <c r="S541" s="178" t="str">
        <f t="shared" si="26"/>
        <v>D_DIC_COLLATERAL_PRIORITYCOLLATERAL_PRIORITY_ID</v>
      </c>
    </row>
    <row r="542" spans="1:19" ht="14.4" x14ac:dyDescent="0.3">
      <c r="A542" s="169" t="s">
        <v>409</v>
      </c>
      <c r="B542" s="171" t="str">
        <f t="shared" si="24"/>
        <v>Справочник приоритетов обеспечения</v>
      </c>
      <c r="C542" s="169" t="s">
        <v>52</v>
      </c>
      <c r="D542" s="169">
        <v>1306</v>
      </c>
      <c r="E542" s="169">
        <v>3</v>
      </c>
      <c r="F542" s="169" t="s">
        <v>52</v>
      </c>
      <c r="G542" s="169" t="s">
        <v>52</v>
      </c>
      <c r="H542" s="169">
        <v>34</v>
      </c>
      <c r="I542" s="136" t="str">
        <f t="shared" si="25"/>
        <v>DATE</v>
      </c>
      <c r="J542" s="169" t="s">
        <v>1</v>
      </c>
      <c r="K542" s="169" t="s">
        <v>1</v>
      </c>
      <c r="L542" s="169">
        <v>30</v>
      </c>
      <c r="M542" s="168"/>
      <c r="N542" s="168"/>
      <c r="O542" s="168"/>
      <c r="P542" s="168"/>
      <c r="Q542" s="168" t="s">
        <v>0</v>
      </c>
      <c r="R542" s="168" t="s">
        <v>1</v>
      </c>
      <c r="S542" s="178" t="str">
        <f t="shared" si="26"/>
        <v>D_DIC_COLLATERAL_PRIORITYEND_DT</v>
      </c>
    </row>
    <row r="543" spans="1:19" ht="14.4" x14ac:dyDescent="0.3">
      <c r="A543" s="169" t="s">
        <v>409</v>
      </c>
      <c r="B543" s="171" t="str">
        <f t="shared" si="24"/>
        <v>Справочник приоритетов обеспечения</v>
      </c>
      <c r="C543" s="169" t="s">
        <v>51</v>
      </c>
      <c r="D543" s="169">
        <v>1307</v>
      </c>
      <c r="E543" s="169">
        <v>4</v>
      </c>
      <c r="F543" s="169" t="s">
        <v>51</v>
      </c>
      <c r="G543" s="169" t="s">
        <v>51</v>
      </c>
      <c r="H543" s="169">
        <v>34</v>
      </c>
      <c r="I543" s="136" t="str">
        <f t="shared" si="25"/>
        <v>DATE</v>
      </c>
      <c r="J543" s="169" t="s">
        <v>1</v>
      </c>
      <c r="K543" s="169" t="s">
        <v>1</v>
      </c>
      <c r="L543" s="169">
        <v>30</v>
      </c>
      <c r="M543" s="168"/>
      <c r="N543" s="168"/>
      <c r="O543" s="168"/>
      <c r="P543" s="168"/>
      <c r="Q543" s="168" t="s">
        <v>0</v>
      </c>
      <c r="R543" s="168" t="s">
        <v>1</v>
      </c>
      <c r="S543" s="178" t="str">
        <f t="shared" si="26"/>
        <v>D_DIC_COLLATERAL_PRIORITYSTART_DT</v>
      </c>
    </row>
    <row r="544" spans="1:19" ht="14.4" x14ac:dyDescent="0.3">
      <c r="A544" s="169" t="s">
        <v>413</v>
      </c>
      <c r="B544" s="171" t="str">
        <f t="shared" si="24"/>
        <v>Справочник стран с параметрами стратегической значимости и уровня развития страны</v>
      </c>
      <c r="C544" s="169" t="s">
        <v>718</v>
      </c>
      <c r="D544" s="169">
        <v>1308</v>
      </c>
      <c r="E544" s="169">
        <v>1</v>
      </c>
      <c r="F544" s="169" t="s">
        <v>718</v>
      </c>
      <c r="G544" s="169" t="s">
        <v>718</v>
      </c>
      <c r="H544" s="169">
        <v>7</v>
      </c>
      <c r="I544" s="136" t="str">
        <f t="shared" si="25"/>
        <v>BIGINT</v>
      </c>
      <c r="J544" s="169" t="s">
        <v>1</v>
      </c>
      <c r="K544" s="169" t="s">
        <v>0</v>
      </c>
      <c r="L544" s="169">
        <v>30</v>
      </c>
      <c r="M544" s="168"/>
      <c r="N544" s="168"/>
      <c r="O544" s="168"/>
      <c r="P544" s="168"/>
      <c r="Q544" s="168" t="s">
        <v>0</v>
      </c>
      <c r="R544" s="168" t="s">
        <v>1</v>
      </c>
      <c r="S544" s="178" t="str">
        <f t="shared" si="26"/>
        <v>D_DIC_COUNTRYCOUNTRY_ID</v>
      </c>
    </row>
    <row r="545" spans="1:19" ht="14.4" x14ac:dyDescent="0.3">
      <c r="A545" s="169" t="s">
        <v>413</v>
      </c>
      <c r="B545" s="171" t="str">
        <f t="shared" si="24"/>
        <v>Справочник стран с параметрами стратегической значимости и уровня развития страны</v>
      </c>
      <c r="C545" s="169" t="s">
        <v>957</v>
      </c>
      <c r="D545" s="169">
        <v>1309</v>
      </c>
      <c r="E545" s="169">
        <v>2</v>
      </c>
      <c r="F545" s="169" t="s">
        <v>957</v>
      </c>
      <c r="G545" s="169" t="s">
        <v>957</v>
      </c>
      <c r="H545" s="169">
        <v>13</v>
      </c>
      <c r="I545" s="136" t="str">
        <f t="shared" si="25"/>
        <v xml:space="preserve">VARCHAR(300) </v>
      </c>
      <c r="J545" s="169" t="s">
        <v>0</v>
      </c>
      <c r="K545" s="169" t="s">
        <v>1</v>
      </c>
      <c r="L545" s="169">
        <v>30</v>
      </c>
      <c r="M545" s="168"/>
      <c r="N545" s="168"/>
      <c r="O545" s="168"/>
      <c r="P545" s="168"/>
      <c r="Q545" s="168" t="s">
        <v>0</v>
      </c>
      <c r="R545" s="168" t="s">
        <v>1</v>
      </c>
      <c r="S545" s="178" t="str">
        <f t="shared" si="26"/>
        <v>D_DIC_COUNTRYCOUNTRY_REP_NM</v>
      </c>
    </row>
    <row r="546" spans="1:19" ht="14.4" x14ac:dyDescent="0.3">
      <c r="A546" s="169" t="s">
        <v>413</v>
      </c>
      <c r="B546" s="171" t="str">
        <f t="shared" si="24"/>
        <v>Справочник стран с параметрами стратегической значимости и уровня развития страны</v>
      </c>
      <c r="C546" s="169" t="s">
        <v>475</v>
      </c>
      <c r="D546" s="169">
        <v>1310</v>
      </c>
      <c r="E546" s="169">
        <v>3</v>
      </c>
      <c r="F546" s="169" t="s">
        <v>475</v>
      </c>
      <c r="G546" s="169" t="s">
        <v>475</v>
      </c>
      <c r="H546" s="169">
        <v>7</v>
      </c>
      <c r="I546" s="136" t="str">
        <f t="shared" si="25"/>
        <v>BIGINT</v>
      </c>
      <c r="J546" s="169" t="s">
        <v>1</v>
      </c>
      <c r="K546" s="169" t="s">
        <v>1</v>
      </c>
      <c r="L546" s="169">
        <v>30</v>
      </c>
      <c r="M546" s="168"/>
      <c r="N546" s="168"/>
      <c r="O546" s="168"/>
      <c r="P546" s="168"/>
      <c r="Q546" s="168" t="s">
        <v>0</v>
      </c>
      <c r="R546" s="168" t="s">
        <v>1</v>
      </c>
      <c r="S546" s="178" t="str">
        <f t="shared" si="26"/>
        <v>D_DIC_COUNTRYCTRY_MATURITY_CLASS_ID</v>
      </c>
    </row>
    <row r="547" spans="1:19" ht="14.4" x14ac:dyDescent="0.3">
      <c r="A547" s="169" t="s">
        <v>413</v>
      </c>
      <c r="B547" s="171" t="str">
        <f t="shared" si="24"/>
        <v>Справочник стран с параметрами стратегической значимости и уровня развития страны</v>
      </c>
      <c r="C547" s="169" t="s">
        <v>461</v>
      </c>
      <c r="D547" s="169">
        <v>1311</v>
      </c>
      <c r="E547" s="169">
        <v>4</v>
      </c>
      <c r="F547" s="169" t="s">
        <v>461</v>
      </c>
      <c r="G547" s="169" t="s">
        <v>461</v>
      </c>
      <c r="H547" s="169">
        <v>7</v>
      </c>
      <c r="I547" s="136" t="str">
        <f t="shared" si="25"/>
        <v>BIGINT</v>
      </c>
      <c r="J547" s="169" t="s">
        <v>1</v>
      </c>
      <c r="K547" s="169" t="s">
        <v>1</v>
      </c>
      <c r="L547" s="169">
        <v>30</v>
      </c>
      <c r="M547" s="168"/>
      <c r="N547" s="168"/>
      <c r="O547" s="168"/>
      <c r="P547" s="168"/>
      <c r="Q547" s="168" t="s">
        <v>0</v>
      </c>
      <c r="R547" s="168" t="s">
        <v>1</v>
      </c>
      <c r="S547" s="178" t="str">
        <f t="shared" si="26"/>
        <v>D_DIC_COUNTRYCTRY_STRAT_IMPORTANCE_CLASS_ID</v>
      </c>
    </row>
    <row r="548" spans="1:19" ht="14.4" x14ac:dyDescent="0.3">
      <c r="A548" s="169" t="s">
        <v>413</v>
      </c>
      <c r="B548" s="171" t="str">
        <f t="shared" si="24"/>
        <v>Справочник стран с параметрами стратегической значимости и уровня развития страны</v>
      </c>
      <c r="C548" s="169" t="s">
        <v>52</v>
      </c>
      <c r="D548" s="169">
        <v>1312</v>
      </c>
      <c r="E548" s="169">
        <v>5</v>
      </c>
      <c r="F548" s="169" t="s">
        <v>52</v>
      </c>
      <c r="G548" s="169" t="s">
        <v>52</v>
      </c>
      <c r="H548" s="169">
        <v>34</v>
      </c>
      <c r="I548" s="136" t="str">
        <f t="shared" si="25"/>
        <v>DATE</v>
      </c>
      <c r="J548" s="169" t="s">
        <v>1</v>
      </c>
      <c r="K548" s="169" t="s">
        <v>1</v>
      </c>
      <c r="L548" s="169">
        <v>30</v>
      </c>
      <c r="M548" s="168"/>
      <c r="N548" s="168"/>
      <c r="O548" s="168"/>
      <c r="P548" s="168"/>
      <c r="Q548" s="168" t="s">
        <v>0</v>
      </c>
      <c r="R548" s="168" t="s">
        <v>1</v>
      </c>
      <c r="S548" s="178" t="str">
        <f t="shared" si="26"/>
        <v>D_DIC_COUNTRYEND_DT</v>
      </c>
    </row>
    <row r="549" spans="1:19" ht="14.4" x14ac:dyDescent="0.3">
      <c r="A549" s="169" t="s">
        <v>413</v>
      </c>
      <c r="B549" s="171" t="str">
        <f t="shared" si="24"/>
        <v>Справочник стран с параметрами стратегической значимости и уровня развития страны</v>
      </c>
      <c r="C549" s="169" t="s">
        <v>1539</v>
      </c>
      <c r="D549" s="169">
        <v>1313</v>
      </c>
      <c r="E549" s="169">
        <v>6</v>
      </c>
      <c r="F549" s="169" t="s">
        <v>1539</v>
      </c>
      <c r="G549" s="169" t="s">
        <v>1539</v>
      </c>
      <c r="H549" s="169">
        <v>13</v>
      </c>
      <c r="I549" s="136" t="str">
        <f t="shared" si="25"/>
        <v xml:space="preserve">VARCHAR(300) </v>
      </c>
      <c r="J549" s="169" t="s">
        <v>0</v>
      </c>
      <c r="K549" s="169" t="s">
        <v>1</v>
      </c>
      <c r="L549" s="169">
        <v>30</v>
      </c>
      <c r="M549" s="168"/>
      <c r="N549" s="168"/>
      <c r="O549" s="168"/>
      <c r="P549" s="168"/>
      <c r="Q549" s="168" t="s">
        <v>0</v>
      </c>
      <c r="R549" s="168" t="s">
        <v>1</v>
      </c>
      <c r="S549" s="178" t="str">
        <f t="shared" si="26"/>
        <v>D_DIC_COUNTRYFULL_COUNTRY_NM</v>
      </c>
    </row>
    <row r="550" spans="1:19" ht="14.4" x14ac:dyDescent="0.3">
      <c r="A550" s="169" t="s">
        <v>413</v>
      </c>
      <c r="B550" s="171" t="str">
        <f t="shared" si="24"/>
        <v>Справочник стран с параметрами стратегической значимости и уровня развития страны</v>
      </c>
      <c r="C550" s="169" t="s">
        <v>51</v>
      </c>
      <c r="D550" s="169">
        <v>1314</v>
      </c>
      <c r="E550" s="169">
        <v>7</v>
      </c>
      <c r="F550" s="169" t="s">
        <v>51</v>
      </c>
      <c r="G550" s="169" t="s">
        <v>51</v>
      </c>
      <c r="H550" s="169">
        <v>34</v>
      </c>
      <c r="I550" s="136" t="str">
        <f t="shared" si="25"/>
        <v>DATE</v>
      </c>
      <c r="J550" s="169" t="s">
        <v>1</v>
      </c>
      <c r="K550" s="169" t="s">
        <v>1</v>
      </c>
      <c r="L550" s="169">
        <v>30</v>
      </c>
      <c r="M550" s="168"/>
      <c r="N550" s="168"/>
      <c r="O550" s="168"/>
      <c r="P550" s="168"/>
      <c r="Q550" s="168" t="s">
        <v>0</v>
      </c>
      <c r="R550" s="168" t="s">
        <v>1</v>
      </c>
      <c r="S550" s="178" t="str">
        <f t="shared" si="26"/>
        <v>D_DIC_COUNTRYSTART_DT</v>
      </c>
    </row>
    <row r="551" spans="1:19" ht="14.4" x14ac:dyDescent="0.3">
      <c r="A551" s="169" t="s">
        <v>1316</v>
      </c>
      <c r="B551" s="171" t="str">
        <f t="shared" si="24"/>
        <v>D_DIC_COUNTRY_IMPORT_CLASS</v>
      </c>
      <c r="C551" s="169" t="s">
        <v>462</v>
      </c>
      <c r="D551" s="169">
        <v>1315</v>
      </c>
      <c r="E551" s="169">
        <v>1</v>
      </c>
      <c r="F551" s="169" t="s">
        <v>462</v>
      </c>
      <c r="G551" s="169" t="s">
        <v>462</v>
      </c>
      <c r="H551" s="169">
        <v>13</v>
      </c>
      <c r="I551" s="136" t="str">
        <f t="shared" si="25"/>
        <v xml:space="preserve">VARCHAR(300) </v>
      </c>
      <c r="J551" s="169" t="s">
        <v>1</v>
      </c>
      <c r="K551" s="169" t="s">
        <v>1</v>
      </c>
      <c r="L551" s="169">
        <v>30</v>
      </c>
      <c r="M551" s="168"/>
      <c r="N551" s="168"/>
      <c r="O551" s="168"/>
      <c r="P551" s="168"/>
      <c r="Q551" s="168" t="s">
        <v>0</v>
      </c>
      <c r="R551" s="168" t="s">
        <v>1</v>
      </c>
      <c r="S551" s="178" t="str">
        <f t="shared" si="26"/>
        <v>D_DIC_COUNTRY_IMPORT_CLASSCTRY_STRAT_IMPORTANCE_CLASS_CD</v>
      </c>
    </row>
    <row r="552" spans="1:19" ht="14.4" x14ac:dyDescent="0.3">
      <c r="A552" s="169" t="s">
        <v>1316</v>
      </c>
      <c r="B552" s="171" t="str">
        <f t="shared" si="24"/>
        <v>D_DIC_COUNTRY_IMPORT_CLASS</v>
      </c>
      <c r="C552" s="169" t="s">
        <v>461</v>
      </c>
      <c r="D552" s="169">
        <v>1316</v>
      </c>
      <c r="E552" s="169">
        <v>2</v>
      </c>
      <c r="F552" s="169" t="s">
        <v>461</v>
      </c>
      <c r="G552" s="169" t="s">
        <v>461</v>
      </c>
      <c r="H552" s="169">
        <v>7</v>
      </c>
      <c r="I552" s="136" t="str">
        <f t="shared" si="25"/>
        <v>BIGINT</v>
      </c>
      <c r="J552" s="169" t="s">
        <v>1</v>
      </c>
      <c r="K552" s="169" t="s">
        <v>0</v>
      </c>
      <c r="L552" s="169">
        <v>30</v>
      </c>
      <c r="M552" s="168"/>
      <c r="N552" s="168"/>
      <c r="O552" s="168"/>
      <c r="P552" s="168"/>
      <c r="Q552" s="168" t="s">
        <v>0</v>
      </c>
      <c r="R552" s="168" t="s">
        <v>1</v>
      </c>
      <c r="S552" s="178" t="str">
        <f t="shared" si="26"/>
        <v>D_DIC_COUNTRY_IMPORT_CLASSCTRY_STRAT_IMPORTANCE_CLASS_ID</v>
      </c>
    </row>
    <row r="553" spans="1:19" ht="14.4" x14ac:dyDescent="0.3">
      <c r="A553" s="169" t="s">
        <v>1316</v>
      </c>
      <c r="B553" s="171" t="str">
        <f t="shared" si="24"/>
        <v>D_DIC_COUNTRY_IMPORT_CLASS</v>
      </c>
      <c r="C553" s="169" t="s">
        <v>463</v>
      </c>
      <c r="D553" s="169">
        <v>1317</v>
      </c>
      <c r="E553" s="169">
        <v>3</v>
      </c>
      <c r="F553" s="169" t="s">
        <v>463</v>
      </c>
      <c r="G553" s="169" t="s">
        <v>463</v>
      </c>
      <c r="H553" s="169">
        <v>13</v>
      </c>
      <c r="I553" s="136" t="str">
        <f t="shared" si="25"/>
        <v xml:space="preserve">VARCHAR(300) </v>
      </c>
      <c r="J553" s="169" t="s">
        <v>1</v>
      </c>
      <c r="K553" s="169" t="s">
        <v>1</v>
      </c>
      <c r="L553" s="169">
        <v>30</v>
      </c>
      <c r="M553" s="168"/>
      <c r="N553" s="168"/>
      <c r="O553" s="168"/>
      <c r="P553" s="168"/>
      <c r="Q553" s="168" t="s">
        <v>0</v>
      </c>
      <c r="R553" s="168" t="s">
        <v>1</v>
      </c>
      <c r="S553" s="178" t="str">
        <f t="shared" si="26"/>
        <v>D_DIC_COUNTRY_IMPORT_CLASSCTRY_STRAT_IMPORTANCE_CLASS_NM</v>
      </c>
    </row>
    <row r="554" spans="1:19" ht="14.4" x14ac:dyDescent="0.3">
      <c r="A554" s="169" t="s">
        <v>1316</v>
      </c>
      <c r="B554" s="171" t="str">
        <f t="shared" si="24"/>
        <v>D_DIC_COUNTRY_IMPORT_CLASS</v>
      </c>
      <c r="C554" s="169" t="s">
        <v>464</v>
      </c>
      <c r="D554" s="169">
        <v>1318</v>
      </c>
      <c r="E554" s="169">
        <v>4</v>
      </c>
      <c r="F554" s="169" t="s">
        <v>464</v>
      </c>
      <c r="G554" s="169" t="s">
        <v>464</v>
      </c>
      <c r="H554" s="169">
        <v>13</v>
      </c>
      <c r="I554" s="136" t="str">
        <f t="shared" si="25"/>
        <v xml:space="preserve">VARCHAR(300) </v>
      </c>
      <c r="J554" s="169" t="s">
        <v>0</v>
      </c>
      <c r="K554" s="169" t="s">
        <v>1</v>
      </c>
      <c r="L554" s="169">
        <v>30</v>
      </c>
      <c r="M554" s="168"/>
      <c r="N554" s="168"/>
      <c r="O554" s="168"/>
      <c r="P554" s="168"/>
      <c r="Q554" s="168" t="s">
        <v>0</v>
      </c>
      <c r="R554" s="168" t="s">
        <v>1</v>
      </c>
      <c r="S554" s="178" t="str">
        <f t="shared" si="26"/>
        <v>D_DIC_COUNTRY_IMPORT_CLASSCTRY_STRAT_IMPORTANCE_REP_NM</v>
      </c>
    </row>
    <row r="555" spans="1:19" ht="14.4" x14ac:dyDescent="0.3">
      <c r="A555" s="169" t="s">
        <v>1316</v>
      </c>
      <c r="B555" s="171" t="str">
        <f t="shared" si="24"/>
        <v>D_DIC_COUNTRY_IMPORT_CLASS</v>
      </c>
      <c r="C555" s="169" t="s">
        <v>52</v>
      </c>
      <c r="D555" s="169">
        <v>1319</v>
      </c>
      <c r="E555" s="169">
        <v>5</v>
      </c>
      <c r="F555" s="169" t="s">
        <v>52</v>
      </c>
      <c r="G555" s="169" t="s">
        <v>52</v>
      </c>
      <c r="H555" s="169">
        <v>34</v>
      </c>
      <c r="I555" s="136" t="str">
        <f t="shared" si="25"/>
        <v>DATE</v>
      </c>
      <c r="J555" s="169" t="s">
        <v>1</v>
      </c>
      <c r="K555" s="169" t="s">
        <v>1</v>
      </c>
      <c r="L555" s="169">
        <v>30</v>
      </c>
      <c r="M555" s="168"/>
      <c r="N555" s="168"/>
      <c r="O555" s="168"/>
      <c r="P555" s="168"/>
      <c r="Q555" s="168" t="s">
        <v>0</v>
      </c>
      <c r="R555" s="168" t="s">
        <v>1</v>
      </c>
      <c r="S555" s="178" t="str">
        <f t="shared" si="26"/>
        <v>D_DIC_COUNTRY_IMPORT_CLASSEND_DT</v>
      </c>
    </row>
    <row r="556" spans="1:19" ht="14.4" x14ac:dyDescent="0.3">
      <c r="A556" s="169" t="s">
        <v>1316</v>
      </c>
      <c r="B556" s="171" t="str">
        <f t="shared" si="24"/>
        <v>D_DIC_COUNTRY_IMPORT_CLASS</v>
      </c>
      <c r="C556" s="169" t="s">
        <v>51</v>
      </c>
      <c r="D556" s="169">
        <v>1320</v>
      </c>
      <c r="E556" s="169">
        <v>6</v>
      </c>
      <c r="F556" s="169" t="s">
        <v>51</v>
      </c>
      <c r="G556" s="169" t="s">
        <v>51</v>
      </c>
      <c r="H556" s="169">
        <v>34</v>
      </c>
      <c r="I556" s="136" t="str">
        <f t="shared" si="25"/>
        <v>DATE</v>
      </c>
      <c r="J556" s="169" t="s">
        <v>1</v>
      </c>
      <c r="K556" s="169" t="s">
        <v>1</v>
      </c>
      <c r="L556" s="169">
        <v>30</v>
      </c>
      <c r="M556" s="168"/>
      <c r="N556" s="168"/>
      <c r="O556" s="168"/>
      <c r="P556" s="168"/>
      <c r="Q556" s="168" t="s">
        <v>0</v>
      </c>
      <c r="R556" s="168" t="s">
        <v>1</v>
      </c>
      <c r="S556" s="178" t="str">
        <f t="shared" si="26"/>
        <v>D_DIC_COUNTRY_IMPORT_CLASSSTART_DT</v>
      </c>
    </row>
    <row r="557" spans="1:19" ht="14.4" x14ac:dyDescent="0.3">
      <c r="A557" s="169" t="s">
        <v>414</v>
      </c>
      <c r="B557" s="171" t="str">
        <f t="shared" si="24"/>
        <v>Классы развитости стран</v>
      </c>
      <c r="C557" s="169" t="s">
        <v>481</v>
      </c>
      <c r="D557" s="169">
        <v>1321</v>
      </c>
      <c r="E557" s="169">
        <v>1</v>
      </c>
      <c r="F557" s="169" t="s">
        <v>481</v>
      </c>
      <c r="G557" s="169" t="s">
        <v>481</v>
      </c>
      <c r="H557" s="169">
        <v>13</v>
      </c>
      <c r="I557" s="136" t="str">
        <f t="shared" si="25"/>
        <v xml:space="preserve">VARCHAR(300) </v>
      </c>
      <c r="J557" s="169" t="s">
        <v>1</v>
      </c>
      <c r="K557" s="169" t="s">
        <v>1</v>
      </c>
      <c r="L557" s="169">
        <v>30</v>
      </c>
      <c r="M557" s="168"/>
      <c r="N557" s="168"/>
      <c r="O557" s="168"/>
      <c r="P557" s="168"/>
      <c r="Q557" s="168" t="s">
        <v>0</v>
      </c>
      <c r="R557" s="168" t="s">
        <v>1</v>
      </c>
      <c r="S557" s="178" t="str">
        <f t="shared" si="26"/>
        <v>D_DIC_COUNTRY_MATURITY_CLASSCTRY_MATURITY_CLASS_CD</v>
      </c>
    </row>
    <row r="558" spans="1:19" ht="14.4" x14ac:dyDescent="0.3">
      <c r="A558" s="169" t="s">
        <v>414</v>
      </c>
      <c r="B558" s="171" t="str">
        <f t="shared" si="24"/>
        <v>Классы развитости стран</v>
      </c>
      <c r="C558" s="169" t="s">
        <v>475</v>
      </c>
      <c r="D558" s="169">
        <v>1322</v>
      </c>
      <c r="E558" s="169">
        <v>2</v>
      </c>
      <c r="F558" s="169" t="s">
        <v>475</v>
      </c>
      <c r="G558" s="169" t="s">
        <v>475</v>
      </c>
      <c r="H558" s="169">
        <v>7</v>
      </c>
      <c r="I558" s="136" t="str">
        <f t="shared" si="25"/>
        <v>BIGINT</v>
      </c>
      <c r="J558" s="169" t="s">
        <v>1</v>
      </c>
      <c r="K558" s="169" t="s">
        <v>0</v>
      </c>
      <c r="L558" s="169">
        <v>30</v>
      </c>
      <c r="M558" s="168"/>
      <c r="N558" s="168"/>
      <c r="O558" s="168"/>
      <c r="P558" s="168"/>
      <c r="Q558" s="168" t="s">
        <v>0</v>
      </c>
      <c r="R558" s="168" t="s">
        <v>1</v>
      </c>
      <c r="S558" s="178" t="str">
        <f t="shared" si="26"/>
        <v>D_DIC_COUNTRY_MATURITY_CLASSCTRY_MATURITY_CLASS_ID</v>
      </c>
    </row>
    <row r="559" spans="1:19" ht="14.4" x14ac:dyDescent="0.3">
      <c r="A559" s="169" t="s">
        <v>414</v>
      </c>
      <c r="B559" s="171" t="str">
        <f t="shared" si="24"/>
        <v>Классы развитости стран</v>
      </c>
      <c r="C559" s="169" t="s">
        <v>477</v>
      </c>
      <c r="D559" s="169">
        <v>1323</v>
      </c>
      <c r="E559" s="169">
        <v>3</v>
      </c>
      <c r="F559" s="169" t="s">
        <v>477</v>
      </c>
      <c r="G559" s="169" t="s">
        <v>477</v>
      </c>
      <c r="H559" s="169">
        <v>13</v>
      </c>
      <c r="I559" s="136" t="str">
        <f t="shared" si="25"/>
        <v xml:space="preserve">VARCHAR(300) </v>
      </c>
      <c r="J559" s="169" t="s">
        <v>0</v>
      </c>
      <c r="K559" s="169" t="s">
        <v>1</v>
      </c>
      <c r="L559" s="169">
        <v>30</v>
      </c>
      <c r="M559" s="168"/>
      <c r="N559" s="168"/>
      <c r="O559" s="168"/>
      <c r="P559" s="168"/>
      <c r="Q559" s="168" t="s">
        <v>0</v>
      </c>
      <c r="R559" s="168" t="s">
        <v>1</v>
      </c>
      <c r="S559" s="178" t="str">
        <f t="shared" si="26"/>
        <v>D_DIC_COUNTRY_MATURITY_CLASSCTRY_MATURITY_CLASS_NM</v>
      </c>
    </row>
    <row r="560" spans="1:19" ht="14.4" x14ac:dyDescent="0.3">
      <c r="A560" s="169" t="s">
        <v>414</v>
      </c>
      <c r="B560" s="171" t="str">
        <f t="shared" si="24"/>
        <v>Классы развитости стран</v>
      </c>
      <c r="C560" s="169" t="s">
        <v>479</v>
      </c>
      <c r="D560" s="169">
        <v>1324</v>
      </c>
      <c r="E560" s="169">
        <v>4</v>
      </c>
      <c r="F560" s="169" t="s">
        <v>479</v>
      </c>
      <c r="G560" s="169" t="s">
        <v>479</v>
      </c>
      <c r="H560" s="169">
        <v>13</v>
      </c>
      <c r="I560" s="136" t="str">
        <f t="shared" si="25"/>
        <v xml:space="preserve">VARCHAR(300) </v>
      </c>
      <c r="J560" s="169" t="s">
        <v>0</v>
      </c>
      <c r="K560" s="169" t="s">
        <v>1</v>
      </c>
      <c r="L560" s="169">
        <v>30</v>
      </c>
      <c r="M560" s="168"/>
      <c r="N560" s="168"/>
      <c r="O560" s="168"/>
      <c r="P560" s="168"/>
      <c r="Q560" s="168" t="s">
        <v>0</v>
      </c>
      <c r="R560" s="168" t="s">
        <v>1</v>
      </c>
      <c r="S560" s="178" t="str">
        <f t="shared" si="26"/>
        <v>D_DIC_COUNTRY_MATURITY_CLASSCTRY_MATURITY_CLASS_REP_NM</v>
      </c>
    </row>
    <row r="561" spans="1:19" ht="14.4" x14ac:dyDescent="0.3">
      <c r="A561" s="169" t="s">
        <v>414</v>
      </c>
      <c r="B561" s="171" t="str">
        <f t="shared" si="24"/>
        <v>Классы развитости стран</v>
      </c>
      <c r="C561" s="169" t="s">
        <v>52</v>
      </c>
      <c r="D561" s="169">
        <v>1325</v>
      </c>
      <c r="E561" s="169">
        <v>5</v>
      </c>
      <c r="F561" s="169" t="s">
        <v>52</v>
      </c>
      <c r="G561" s="169" t="s">
        <v>52</v>
      </c>
      <c r="H561" s="169">
        <v>34</v>
      </c>
      <c r="I561" s="136" t="str">
        <f t="shared" si="25"/>
        <v>DATE</v>
      </c>
      <c r="J561" s="169" t="s">
        <v>1</v>
      </c>
      <c r="K561" s="169" t="s">
        <v>1</v>
      </c>
      <c r="L561" s="169">
        <v>30</v>
      </c>
      <c r="M561" s="168"/>
      <c r="N561" s="168"/>
      <c r="O561" s="168"/>
      <c r="P561" s="168"/>
      <c r="Q561" s="168" t="s">
        <v>0</v>
      </c>
      <c r="R561" s="168" t="s">
        <v>1</v>
      </c>
      <c r="S561" s="178" t="str">
        <f t="shared" si="26"/>
        <v>D_DIC_COUNTRY_MATURITY_CLASSEND_DT</v>
      </c>
    </row>
    <row r="562" spans="1:19" ht="14.4" x14ac:dyDescent="0.3">
      <c r="A562" s="169" t="s">
        <v>414</v>
      </c>
      <c r="B562" s="171" t="str">
        <f t="shared" si="24"/>
        <v>Классы развитости стран</v>
      </c>
      <c r="C562" s="169" t="s">
        <v>51</v>
      </c>
      <c r="D562" s="169">
        <v>1326</v>
      </c>
      <c r="E562" s="169">
        <v>6</v>
      </c>
      <c r="F562" s="169" t="s">
        <v>51</v>
      </c>
      <c r="G562" s="169" t="s">
        <v>51</v>
      </c>
      <c r="H562" s="169">
        <v>34</v>
      </c>
      <c r="I562" s="136" t="str">
        <f t="shared" si="25"/>
        <v>DATE</v>
      </c>
      <c r="J562" s="169" t="s">
        <v>1</v>
      </c>
      <c r="K562" s="169" t="s">
        <v>1</v>
      </c>
      <c r="L562" s="169">
        <v>30</v>
      </c>
      <c r="M562" s="168"/>
      <c r="N562" s="168"/>
      <c r="O562" s="168"/>
      <c r="P562" s="168"/>
      <c r="Q562" s="168" t="s">
        <v>0</v>
      </c>
      <c r="R562" s="168" t="s">
        <v>1</v>
      </c>
      <c r="S562" s="178" t="str">
        <f t="shared" si="26"/>
        <v>D_DIC_COUNTRY_MATURITY_CLASSSTART_DT</v>
      </c>
    </row>
    <row r="563" spans="1:19" ht="14.4" x14ac:dyDescent="0.3">
      <c r="A563" s="169" t="s">
        <v>1367</v>
      </c>
      <c r="B563" s="171" t="str">
        <f t="shared" si="24"/>
        <v>D_DIC_CP_RELATION_TYPE</v>
      </c>
      <c r="C563" s="169" t="s">
        <v>452</v>
      </c>
      <c r="D563" s="169">
        <v>1327</v>
      </c>
      <c r="E563" s="169">
        <v>1</v>
      </c>
      <c r="F563" s="169" t="s">
        <v>452</v>
      </c>
      <c r="G563" s="169" t="s">
        <v>452</v>
      </c>
      <c r="H563" s="169">
        <v>24</v>
      </c>
      <c r="I563" s="136" t="str">
        <f t="shared" si="25"/>
        <v xml:space="preserve">VARCHAR(40) </v>
      </c>
      <c r="J563" s="169" t="s">
        <v>0</v>
      </c>
      <c r="K563" s="169" t="s">
        <v>1</v>
      </c>
      <c r="L563" s="169">
        <v>30</v>
      </c>
      <c r="M563" s="168"/>
      <c r="N563" s="168"/>
      <c r="O563" s="168"/>
      <c r="P563" s="168"/>
      <c r="Q563" s="168" t="s">
        <v>0</v>
      </c>
      <c r="R563" s="168" t="s">
        <v>1</v>
      </c>
      <c r="S563" s="178" t="str">
        <f t="shared" si="26"/>
        <v>D_DIC_CP_RELATION_TYPECONFIGURATION_CD</v>
      </c>
    </row>
    <row r="564" spans="1:19" ht="14.4" x14ac:dyDescent="0.3">
      <c r="A564" s="169" t="s">
        <v>1367</v>
      </c>
      <c r="B564" s="171" t="str">
        <f t="shared" si="24"/>
        <v>D_DIC_CP_RELATION_TYPE</v>
      </c>
      <c r="C564" s="169" t="s">
        <v>944</v>
      </c>
      <c r="D564" s="169">
        <v>1328</v>
      </c>
      <c r="E564" s="169">
        <v>2</v>
      </c>
      <c r="F564" s="169" t="s">
        <v>944</v>
      </c>
      <c r="G564" s="169" t="s">
        <v>944</v>
      </c>
      <c r="H564" s="169">
        <v>24</v>
      </c>
      <c r="I564" s="136" t="str">
        <f t="shared" si="25"/>
        <v xml:space="preserve">VARCHAR(40) </v>
      </c>
      <c r="J564" s="169" t="s">
        <v>1</v>
      </c>
      <c r="K564" s="169" t="s">
        <v>1</v>
      </c>
      <c r="L564" s="169">
        <v>30</v>
      </c>
      <c r="M564" s="168"/>
      <c r="N564" s="168"/>
      <c r="O564" s="168"/>
      <c r="P564" s="168"/>
      <c r="Q564" s="168" t="s">
        <v>0</v>
      </c>
      <c r="R564" s="168" t="s">
        <v>1</v>
      </c>
      <c r="S564" s="178" t="str">
        <f t="shared" si="26"/>
        <v>D_DIC_CP_RELATION_TYPECP_RELATION_TYPE_CD</v>
      </c>
    </row>
    <row r="565" spans="1:19" ht="14.4" x14ac:dyDescent="0.3">
      <c r="A565" s="169" t="s">
        <v>1367</v>
      </c>
      <c r="B565" s="171" t="str">
        <f t="shared" si="24"/>
        <v>D_DIC_CP_RELATION_TYPE</v>
      </c>
      <c r="C565" s="169" t="s">
        <v>946</v>
      </c>
      <c r="D565" s="169">
        <v>1329</v>
      </c>
      <c r="E565" s="169">
        <v>3</v>
      </c>
      <c r="F565" s="169" t="s">
        <v>946</v>
      </c>
      <c r="G565" s="169" t="s">
        <v>946</v>
      </c>
      <c r="H565" s="169">
        <v>13</v>
      </c>
      <c r="I565" s="136" t="str">
        <f t="shared" si="25"/>
        <v xml:space="preserve">VARCHAR(300) </v>
      </c>
      <c r="J565" s="169" t="s">
        <v>0</v>
      </c>
      <c r="K565" s="169" t="s">
        <v>1</v>
      </c>
      <c r="L565" s="169">
        <v>30</v>
      </c>
      <c r="M565" s="168"/>
      <c r="N565" s="168"/>
      <c r="O565" s="168"/>
      <c r="P565" s="168"/>
      <c r="Q565" s="168" t="s">
        <v>0</v>
      </c>
      <c r="R565" s="168" t="s">
        <v>1</v>
      </c>
      <c r="S565" s="178" t="str">
        <f t="shared" si="26"/>
        <v>D_DIC_CP_RELATION_TYPECP_RELATION_TYPE_DSC</v>
      </c>
    </row>
    <row r="566" spans="1:19" ht="14.4" x14ac:dyDescent="0.3">
      <c r="A566" s="169" t="s">
        <v>1367</v>
      </c>
      <c r="B566" s="171" t="str">
        <f t="shared" si="24"/>
        <v>D_DIC_CP_RELATION_TYPE</v>
      </c>
      <c r="C566" s="169" t="s">
        <v>723</v>
      </c>
      <c r="D566" s="169">
        <v>1330</v>
      </c>
      <c r="E566" s="169">
        <v>4</v>
      </c>
      <c r="F566" s="169" t="s">
        <v>723</v>
      </c>
      <c r="G566" s="169" t="s">
        <v>723</v>
      </c>
      <c r="H566" s="169">
        <v>7</v>
      </c>
      <c r="I566" s="136" t="str">
        <f t="shared" si="25"/>
        <v>BIGINT</v>
      </c>
      <c r="J566" s="169" t="s">
        <v>1</v>
      </c>
      <c r="K566" s="169" t="s">
        <v>0</v>
      </c>
      <c r="L566" s="169">
        <v>30</v>
      </c>
      <c r="M566" s="168"/>
      <c r="N566" s="168"/>
      <c r="O566" s="168"/>
      <c r="P566" s="168"/>
      <c r="Q566" s="168" t="s">
        <v>0</v>
      </c>
      <c r="R566" s="168" t="s">
        <v>1</v>
      </c>
      <c r="S566" s="178" t="str">
        <f t="shared" si="26"/>
        <v>D_DIC_CP_RELATION_TYPECP_RELATION_TYPE_ID</v>
      </c>
    </row>
    <row r="567" spans="1:19" ht="14.4" x14ac:dyDescent="0.3">
      <c r="A567" s="169" t="s">
        <v>1367</v>
      </c>
      <c r="B567" s="171" t="str">
        <f t="shared" si="24"/>
        <v>D_DIC_CP_RELATION_TYPE</v>
      </c>
      <c r="C567" s="169" t="s">
        <v>945</v>
      </c>
      <c r="D567" s="169">
        <v>1331</v>
      </c>
      <c r="E567" s="169">
        <v>5</v>
      </c>
      <c r="F567" s="169" t="s">
        <v>945</v>
      </c>
      <c r="G567" s="169" t="s">
        <v>945</v>
      </c>
      <c r="H567" s="169">
        <v>24</v>
      </c>
      <c r="I567" s="136" t="str">
        <f t="shared" si="25"/>
        <v xml:space="preserve">VARCHAR(40) </v>
      </c>
      <c r="J567" s="169" t="s">
        <v>1</v>
      </c>
      <c r="K567" s="169" t="s">
        <v>1</v>
      </c>
      <c r="L567" s="169">
        <v>30</v>
      </c>
      <c r="M567" s="168"/>
      <c r="N567" s="168"/>
      <c r="O567" s="168"/>
      <c r="P567" s="168"/>
      <c r="Q567" s="168" t="s">
        <v>0</v>
      </c>
      <c r="R567" s="168" t="s">
        <v>1</v>
      </c>
      <c r="S567" s="178" t="str">
        <f t="shared" si="26"/>
        <v>D_DIC_CP_RELATION_TYPECP_RELATION_TYPE_NM</v>
      </c>
    </row>
    <row r="568" spans="1:19" ht="14.4" x14ac:dyDescent="0.3">
      <c r="A568" s="169" t="s">
        <v>1367</v>
      </c>
      <c r="B568" s="171" t="str">
        <f t="shared" si="24"/>
        <v>D_DIC_CP_RELATION_TYPE</v>
      </c>
      <c r="C568" s="169" t="s">
        <v>947</v>
      </c>
      <c r="D568" s="169">
        <v>1332</v>
      </c>
      <c r="E568" s="169">
        <v>6</v>
      </c>
      <c r="F568" s="169" t="s">
        <v>947</v>
      </c>
      <c r="G568" s="169" t="s">
        <v>947</v>
      </c>
      <c r="H568" s="169">
        <v>13</v>
      </c>
      <c r="I568" s="136" t="str">
        <f t="shared" si="25"/>
        <v xml:space="preserve">VARCHAR(300) </v>
      </c>
      <c r="J568" s="169" t="s">
        <v>0</v>
      </c>
      <c r="K568" s="169" t="s">
        <v>1</v>
      </c>
      <c r="L568" s="169">
        <v>30</v>
      </c>
      <c r="M568" s="168"/>
      <c r="N568" s="168"/>
      <c r="O568" s="168"/>
      <c r="P568" s="168"/>
      <c r="Q568" s="168" t="s">
        <v>0</v>
      </c>
      <c r="R568" s="168" t="s">
        <v>1</v>
      </c>
      <c r="S568" s="178" t="str">
        <f t="shared" si="26"/>
        <v>D_DIC_CP_RELATION_TYPECP_RELATION_TYPE_REP_DSC</v>
      </c>
    </row>
    <row r="569" spans="1:19" ht="14.4" x14ac:dyDescent="0.3">
      <c r="A569" s="169" t="s">
        <v>1367</v>
      </c>
      <c r="B569" s="171" t="str">
        <f t="shared" si="24"/>
        <v>D_DIC_CP_RELATION_TYPE</v>
      </c>
      <c r="C569" s="169" t="s">
        <v>52</v>
      </c>
      <c r="D569" s="169">
        <v>1333</v>
      </c>
      <c r="E569" s="169">
        <v>7</v>
      </c>
      <c r="F569" s="169" t="s">
        <v>52</v>
      </c>
      <c r="G569" s="169" t="s">
        <v>52</v>
      </c>
      <c r="H569" s="169">
        <v>34</v>
      </c>
      <c r="I569" s="136" t="str">
        <f t="shared" si="25"/>
        <v>DATE</v>
      </c>
      <c r="J569" s="169" t="s">
        <v>1</v>
      </c>
      <c r="K569" s="169" t="s">
        <v>1</v>
      </c>
      <c r="L569" s="169">
        <v>30</v>
      </c>
      <c r="M569" s="168"/>
      <c r="N569" s="168"/>
      <c r="O569" s="168"/>
      <c r="P569" s="168"/>
      <c r="Q569" s="168" t="s">
        <v>0</v>
      </c>
      <c r="R569" s="168" t="s">
        <v>1</v>
      </c>
      <c r="S569" s="178" t="str">
        <f t="shared" si="26"/>
        <v>D_DIC_CP_RELATION_TYPEEND_DT</v>
      </c>
    </row>
    <row r="570" spans="1:19" ht="14.4" x14ac:dyDescent="0.3">
      <c r="A570" s="169" t="s">
        <v>1367</v>
      </c>
      <c r="B570" s="171" t="str">
        <f t="shared" si="24"/>
        <v>D_DIC_CP_RELATION_TYPE</v>
      </c>
      <c r="C570" s="169" t="s">
        <v>51</v>
      </c>
      <c r="D570" s="169">
        <v>1334</v>
      </c>
      <c r="E570" s="169">
        <v>8</v>
      </c>
      <c r="F570" s="169" t="s">
        <v>51</v>
      </c>
      <c r="G570" s="169" t="s">
        <v>51</v>
      </c>
      <c r="H570" s="169">
        <v>34</v>
      </c>
      <c r="I570" s="136" t="str">
        <f t="shared" si="25"/>
        <v>DATE</v>
      </c>
      <c r="J570" s="169" t="s">
        <v>1</v>
      </c>
      <c r="K570" s="169" t="s">
        <v>1</v>
      </c>
      <c r="L570" s="169">
        <v>30</v>
      </c>
      <c r="M570" s="168"/>
      <c r="N570" s="168"/>
      <c r="O570" s="168"/>
      <c r="P570" s="168"/>
      <c r="Q570" s="168" t="s">
        <v>0</v>
      </c>
      <c r="R570" s="168" t="s">
        <v>1</v>
      </c>
      <c r="S570" s="178" t="str">
        <f t="shared" si="26"/>
        <v>D_DIC_CP_RELATION_TYPESTART_DT</v>
      </c>
    </row>
    <row r="571" spans="1:19" ht="14.4" x14ac:dyDescent="0.3">
      <c r="A571" s="169" t="s">
        <v>1368</v>
      </c>
      <c r="B571" s="171" t="str">
        <f t="shared" si="24"/>
        <v>D_DIC_CP_TYPE</v>
      </c>
      <c r="C571" s="169" t="s">
        <v>452</v>
      </c>
      <c r="D571" s="169">
        <v>1335</v>
      </c>
      <c r="E571" s="169">
        <v>1</v>
      </c>
      <c r="F571" s="169" t="s">
        <v>452</v>
      </c>
      <c r="G571" s="169" t="s">
        <v>452</v>
      </c>
      <c r="H571" s="169">
        <v>24</v>
      </c>
      <c r="I571" s="136" t="str">
        <f t="shared" si="25"/>
        <v xml:space="preserve">VARCHAR(40) </v>
      </c>
      <c r="J571" s="169" t="s">
        <v>0</v>
      </c>
      <c r="K571" s="169" t="s">
        <v>1</v>
      </c>
      <c r="L571" s="169">
        <v>30</v>
      </c>
      <c r="M571" s="168"/>
      <c r="N571" s="168"/>
      <c r="O571" s="168"/>
      <c r="P571" s="168"/>
      <c r="Q571" s="168" t="s">
        <v>0</v>
      </c>
      <c r="R571" s="168" t="s">
        <v>1</v>
      </c>
      <c r="S571" s="178" t="str">
        <f t="shared" si="26"/>
        <v>D_DIC_CP_TYPECONFIGURATION_CD</v>
      </c>
    </row>
    <row r="572" spans="1:19" ht="14.4" x14ac:dyDescent="0.3">
      <c r="A572" s="169" t="s">
        <v>1368</v>
      </c>
      <c r="B572" s="171" t="str">
        <f t="shared" si="24"/>
        <v>D_DIC_CP_TYPE</v>
      </c>
      <c r="C572" s="169" t="s">
        <v>1525</v>
      </c>
      <c r="D572" s="169">
        <v>1336</v>
      </c>
      <c r="E572" s="169">
        <v>2</v>
      </c>
      <c r="F572" s="169" t="s">
        <v>1525</v>
      </c>
      <c r="G572" s="169" t="s">
        <v>1525</v>
      </c>
      <c r="H572" s="169">
        <v>13</v>
      </c>
      <c r="I572" s="136" t="str">
        <f t="shared" si="25"/>
        <v xml:space="preserve">VARCHAR(300) </v>
      </c>
      <c r="J572" s="169" t="s">
        <v>1</v>
      </c>
      <c r="K572" s="169" t="s">
        <v>1</v>
      </c>
      <c r="L572" s="169">
        <v>30</v>
      </c>
      <c r="M572" s="168"/>
      <c r="N572" s="168"/>
      <c r="O572" s="168"/>
      <c r="P572" s="168"/>
      <c r="Q572" s="168" t="s">
        <v>0</v>
      </c>
      <c r="R572" s="168" t="s">
        <v>1</v>
      </c>
      <c r="S572" s="178" t="str">
        <f t="shared" si="26"/>
        <v>D_DIC_CP_TYPECP_TYPE_CD</v>
      </c>
    </row>
    <row r="573" spans="1:19" ht="14.4" x14ac:dyDescent="0.3">
      <c r="A573" s="169" t="s">
        <v>1368</v>
      </c>
      <c r="B573" s="171" t="str">
        <f t="shared" si="24"/>
        <v>D_DIC_CP_TYPE</v>
      </c>
      <c r="C573" s="169" t="s">
        <v>926</v>
      </c>
      <c r="D573" s="169">
        <v>1337</v>
      </c>
      <c r="E573" s="169">
        <v>3</v>
      </c>
      <c r="F573" s="169" t="s">
        <v>926</v>
      </c>
      <c r="G573" s="169" t="s">
        <v>926</v>
      </c>
      <c r="H573" s="169">
        <v>19</v>
      </c>
      <c r="I573" s="136" t="str">
        <f t="shared" si="25"/>
        <v xml:space="preserve">VARCHAR(1000) </v>
      </c>
      <c r="J573" s="169" t="s">
        <v>0</v>
      </c>
      <c r="K573" s="169" t="s">
        <v>1</v>
      </c>
      <c r="L573" s="169">
        <v>30</v>
      </c>
      <c r="M573" s="168"/>
      <c r="N573" s="168"/>
      <c r="O573" s="168"/>
      <c r="P573" s="168"/>
      <c r="Q573" s="168" t="s">
        <v>0</v>
      </c>
      <c r="R573" s="168" t="s">
        <v>1</v>
      </c>
      <c r="S573" s="178" t="str">
        <f t="shared" si="26"/>
        <v>D_DIC_CP_TYPECP_TYPE_DSC</v>
      </c>
    </row>
    <row r="574" spans="1:19" ht="14.4" x14ac:dyDescent="0.3">
      <c r="A574" s="169" t="s">
        <v>1368</v>
      </c>
      <c r="B574" s="171" t="str">
        <f t="shared" si="24"/>
        <v>D_DIC_CP_TYPE</v>
      </c>
      <c r="C574" s="169" t="s">
        <v>470</v>
      </c>
      <c r="D574" s="169">
        <v>1338</v>
      </c>
      <c r="E574" s="169">
        <v>4</v>
      </c>
      <c r="F574" s="169" t="s">
        <v>470</v>
      </c>
      <c r="G574" s="169" t="s">
        <v>470</v>
      </c>
      <c r="H574" s="169">
        <v>7</v>
      </c>
      <c r="I574" s="136" t="str">
        <f t="shared" si="25"/>
        <v>BIGINT</v>
      </c>
      <c r="J574" s="169" t="s">
        <v>1</v>
      </c>
      <c r="K574" s="169" t="s">
        <v>0</v>
      </c>
      <c r="L574" s="169">
        <v>30</v>
      </c>
      <c r="M574" s="168"/>
      <c r="N574" s="168"/>
      <c r="O574" s="168"/>
      <c r="P574" s="168"/>
      <c r="Q574" s="168" t="s">
        <v>0</v>
      </c>
      <c r="R574" s="168" t="s">
        <v>1</v>
      </c>
      <c r="S574" s="178" t="str">
        <f t="shared" si="26"/>
        <v>D_DIC_CP_TYPECP_TYPE_ID</v>
      </c>
    </row>
    <row r="575" spans="1:19" ht="14.4" x14ac:dyDescent="0.3">
      <c r="A575" s="169" t="s">
        <v>1368</v>
      </c>
      <c r="B575" s="171" t="str">
        <f t="shared" si="24"/>
        <v>D_DIC_CP_TYPE</v>
      </c>
      <c r="C575" s="169" t="s">
        <v>1619</v>
      </c>
      <c r="D575" s="169">
        <v>1339</v>
      </c>
      <c r="E575" s="169">
        <v>5</v>
      </c>
      <c r="F575" s="169" t="s">
        <v>1619</v>
      </c>
      <c r="G575" s="169" t="s">
        <v>1619</v>
      </c>
      <c r="H575" s="169">
        <v>13</v>
      </c>
      <c r="I575" s="136" t="str">
        <f t="shared" si="25"/>
        <v xml:space="preserve">VARCHAR(300) </v>
      </c>
      <c r="J575" s="169" t="s">
        <v>1</v>
      </c>
      <c r="K575" s="169" t="s">
        <v>1</v>
      </c>
      <c r="L575" s="169">
        <v>30</v>
      </c>
      <c r="M575" s="168"/>
      <c r="N575" s="168"/>
      <c r="O575" s="168"/>
      <c r="P575" s="168"/>
      <c r="Q575" s="168" t="s">
        <v>0</v>
      </c>
      <c r="R575" s="168" t="s">
        <v>1</v>
      </c>
      <c r="S575" s="178" t="str">
        <f t="shared" si="26"/>
        <v>D_DIC_CP_TYPECP_TYPE_NM</v>
      </c>
    </row>
    <row r="576" spans="1:19" ht="14.4" x14ac:dyDescent="0.3">
      <c r="A576" s="169" t="s">
        <v>1368</v>
      </c>
      <c r="B576" s="171" t="str">
        <f t="shared" si="24"/>
        <v>D_DIC_CP_TYPE</v>
      </c>
      <c r="C576" s="169" t="s">
        <v>52</v>
      </c>
      <c r="D576" s="169">
        <v>1340</v>
      </c>
      <c r="E576" s="169">
        <v>6</v>
      </c>
      <c r="F576" s="169" t="s">
        <v>52</v>
      </c>
      <c r="G576" s="169" t="s">
        <v>52</v>
      </c>
      <c r="H576" s="169">
        <v>34</v>
      </c>
      <c r="I576" s="136" t="str">
        <f t="shared" si="25"/>
        <v>DATE</v>
      </c>
      <c r="J576" s="169" t="s">
        <v>1</v>
      </c>
      <c r="K576" s="169" t="s">
        <v>1</v>
      </c>
      <c r="L576" s="169">
        <v>30</v>
      </c>
      <c r="M576" s="168"/>
      <c r="N576" s="168"/>
      <c r="O576" s="168"/>
      <c r="P576" s="168"/>
      <c r="Q576" s="168" t="s">
        <v>0</v>
      </c>
      <c r="R576" s="168" t="s">
        <v>1</v>
      </c>
      <c r="S576" s="178" t="str">
        <f t="shared" si="26"/>
        <v>D_DIC_CP_TYPEEND_DT</v>
      </c>
    </row>
    <row r="577" spans="1:19" ht="14.4" x14ac:dyDescent="0.3">
      <c r="A577" s="169" t="s">
        <v>1368</v>
      </c>
      <c r="B577" s="171" t="str">
        <f t="shared" si="24"/>
        <v>D_DIC_CP_TYPE</v>
      </c>
      <c r="C577" s="169" t="s">
        <v>51</v>
      </c>
      <c r="D577" s="169">
        <v>1341</v>
      </c>
      <c r="E577" s="169">
        <v>7</v>
      </c>
      <c r="F577" s="169" t="s">
        <v>51</v>
      </c>
      <c r="G577" s="169" t="s">
        <v>51</v>
      </c>
      <c r="H577" s="169">
        <v>34</v>
      </c>
      <c r="I577" s="136" t="str">
        <f t="shared" si="25"/>
        <v>DATE</v>
      </c>
      <c r="J577" s="169" t="s">
        <v>1</v>
      </c>
      <c r="K577" s="169" t="s">
        <v>1</v>
      </c>
      <c r="L577" s="169">
        <v>30</v>
      </c>
      <c r="M577" s="168"/>
      <c r="N577" s="168"/>
      <c r="O577" s="168"/>
      <c r="P577" s="168"/>
      <c r="Q577" s="168" t="s">
        <v>0</v>
      </c>
      <c r="R577" s="168" t="s">
        <v>1</v>
      </c>
      <c r="S577" s="178" t="str">
        <f t="shared" si="26"/>
        <v>D_DIC_CP_TYPESTART_DT</v>
      </c>
    </row>
    <row r="578" spans="1:19" ht="14.4" x14ac:dyDescent="0.3">
      <c r="A578" s="169" t="s">
        <v>1368</v>
      </c>
      <c r="B578" s="171" t="str">
        <f t="shared" ref="B578:B641" si="27">IF(NOT(ISBLANK(A578)),VLOOKUP(A578,ERM_TABLE_NM,2,FALSE), "")</f>
        <v>D_DIC_CP_TYPE</v>
      </c>
      <c r="C578" s="169" t="s">
        <v>925</v>
      </c>
      <c r="D578" s="169">
        <v>1342</v>
      </c>
      <c r="E578" s="169">
        <v>8</v>
      </c>
      <c r="F578" s="169" t="s">
        <v>925</v>
      </c>
      <c r="G578" s="169" t="s">
        <v>925</v>
      </c>
      <c r="H578" s="169">
        <v>13</v>
      </c>
      <c r="I578" s="136" t="str">
        <f t="shared" ref="I578:I641" si="28">IF(NOT(ISBLANK(H578)),VLOOKUP(H578,ERM_DOMAIN_NM,2,FALSE), "")</f>
        <v xml:space="preserve">VARCHAR(300) </v>
      </c>
      <c r="J578" s="169" t="s">
        <v>0</v>
      </c>
      <c r="K578" s="169" t="s">
        <v>1</v>
      </c>
      <c r="L578" s="169">
        <v>30</v>
      </c>
      <c r="M578" s="168"/>
      <c r="N578" s="168"/>
      <c r="O578" s="168"/>
      <c r="P578" s="168"/>
      <c r="Q578" s="168" t="s">
        <v>0</v>
      </c>
      <c r="R578" s="168" t="s">
        <v>1</v>
      </c>
      <c r="S578" s="178" t="str">
        <f t="shared" si="26"/>
        <v>D_DIC_CP_TYPEX_COUNTERPARTY_TYPE_REP_NM</v>
      </c>
    </row>
    <row r="579" spans="1:19" ht="14.4" x14ac:dyDescent="0.3">
      <c r="A579" s="169" t="s">
        <v>1368</v>
      </c>
      <c r="B579" s="171" t="str">
        <f t="shared" si="27"/>
        <v>D_DIC_CP_TYPE</v>
      </c>
      <c r="C579" s="169" t="s">
        <v>1589</v>
      </c>
      <c r="D579" s="169">
        <v>1343</v>
      </c>
      <c r="E579" s="169">
        <v>9</v>
      </c>
      <c r="F579" s="169" t="s">
        <v>1589</v>
      </c>
      <c r="G579" s="169" t="s">
        <v>1589</v>
      </c>
      <c r="H579" s="169">
        <v>24</v>
      </c>
      <c r="I579" s="136" t="str">
        <f t="shared" si="28"/>
        <v xml:space="preserve">VARCHAR(40) </v>
      </c>
      <c r="J579" s="169" t="s">
        <v>0</v>
      </c>
      <c r="K579" s="169" t="s">
        <v>1</v>
      </c>
      <c r="L579" s="169">
        <v>30</v>
      </c>
      <c r="M579" s="168"/>
      <c r="N579" s="168"/>
      <c r="O579" s="168"/>
      <c r="P579" s="168"/>
      <c r="Q579" s="168" t="s">
        <v>0</v>
      </c>
      <c r="R579" s="168" t="s">
        <v>1</v>
      </c>
      <c r="S579" s="178" t="str">
        <f t="shared" ref="S579:S642" si="29">CONCATENATE(A579,C579)</f>
        <v>D_DIC_CP_TYPEX_DEFAULT_REP_CLASS_ID</v>
      </c>
    </row>
    <row r="580" spans="1:19" ht="14.4" x14ac:dyDescent="0.3">
      <c r="A580" s="169" t="s">
        <v>410</v>
      </c>
      <c r="B580" s="171" t="str">
        <f t="shared" si="27"/>
        <v>Список отраслей для построения отчетов по расчету экономического капитала</v>
      </c>
      <c r="C580" s="169" t="s">
        <v>452</v>
      </c>
      <c r="D580" s="169">
        <v>251</v>
      </c>
      <c r="E580" s="169">
        <v>1</v>
      </c>
      <c r="F580" s="169" t="s">
        <v>452</v>
      </c>
      <c r="G580" s="169" t="s">
        <v>452</v>
      </c>
      <c r="H580" s="169">
        <v>24</v>
      </c>
      <c r="I580" s="136" t="str">
        <f t="shared" si="28"/>
        <v xml:space="preserve">VARCHAR(40) </v>
      </c>
      <c r="J580" s="169" t="s">
        <v>0</v>
      </c>
      <c r="K580" s="169" t="s">
        <v>1</v>
      </c>
      <c r="L580" s="169">
        <v>30</v>
      </c>
      <c r="M580" s="168"/>
      <c r="N580" s="168"/>
      <c r="O580" s="168"/>
      <c r="P580" s="168"/>
      <c r="Q580" s="168" t="s">
        <v>0</v>
      </c>
      <c r="R580" s="168" t="s">
        <v>1</v>
      </c>
      <c r="S580" s="178" t="str">
        <f t="shared" si="29"/>
        <v>D_DIC_ECAP_INDUSTRYCONFIGURATION_CD</v>
      </c>
    </row>
    <row r="581" spans="1:19" ht="14.4" x14ac:dyDescent="0.3">
      <c r="A581" s="169" t="s">
        <v>410</v>
      </c>
      <c r="B581" s="171" t="str">
        <f t="shared" si="27"/>
        <v>Список отраслей для построения отчетов по расчету экономического капитала</v>
      </c>
      <c r="C581" s="169" t="s">
        <v>571</v>
      </c>
      <c r="D581" s="169">
        <v>252</v>
      </c>
      <c r="E581" s="169">
        <v>2</v>
      </c>
      <c r="F581" s="169" t="s">
        <v>571</v>
      </c>
      <c r="G581" s="169" t="s">
        <v>571</v>
      </c>
      <c r="H581" s="169">
        <v>24</v>
      </c>
      <c r="I581" s="136" t="str">
        <f t="shared" si="28"/>
        <v xml:space="preserve">VARCHAR(40) </v>
      </c>
      <c r="J581" s="169" t="s">
        <v>1</v>
      </c>
      <c r="K581" s="169" t="s">
        <v>1</v>
      </c>
      <c r="L581" s="169">
        <v>30</v>
      </c>
      <c r="M581" s="168"/>
      <c r="N581" s="168"/>
      <c r="O581" s="168"/>
      <c r="P581" s="168"/>
      <c r="Q581" s="168" t="s">
        <v>0</v>
      </c>
      <c r="R581" s="168" t="s">
        <v>1</v>
      </c>
      <c r="S581" s="178" t="str">
        <f t="shared" si="29"/>
        <v>D_DIC_ECAP_INDUSTRYECAP_INDUSTRY_CD</v>
      </c>
    </row>
    <row r="582" spans="1:19" ht="14.4" x14ac:dyDescent="0.3">
      <c r="A582" s="169" t="s">
        <v>410</v>
      </c>
      <c r="B582" s="171" t="str">
        <f t="shared" si="27"/>
        <v>Список отраслей для построения отчетов по расчету экономического капитала</v>
      </c>
      <c r="C582" s="169" t="s">
        <v>576</v>
      </c>
      <c r="D582" s="169">
        <v>253</v>
      </c>
      <c r="E582" s="169">
        <v>3</v>
      </c>
      <c r="F582" s="169" t="s">
        <v>576</v>
      </c>
      <c r="G582" s="169" t="s">
        <v>576</v>
      </c>
      <c r="H582" s="169">
        <v>13</v>
      </c>
      <c r="I582" s="136" t="str">
        <f t="shared" si="28"/>
        <v xml:space="preserve">VARCHAR(300) </v>
      </c>
      <c r="J582" s="169" t="s">
        <v>0</v>
      </c>
      <c r="K582" s="169" t="s">
        <v>1</v>
      </c>
      <c r="L582" s="169">
        <v>30</v>
      </c>
      <c r="M582" s="168"/>
      <c r="N582" s="168"/>
      <c r="O582" s="168"/>
      <c r="P582" s="168"/>
      <c r="Q582" s="168" t="s">
        <v>0</v>
      </c>
      <c r="R582" s="168" t="s">
        <v>1</v>
      </c>
      <c r="S582" s="178" t="str">
        <f t="shared" si="29"/>
        <v>D_DIC_ECAP_INDUSTRYECAP_INDUSTRY_ENG_NM</v>
      </c>
    </row>
    <row r="583" spans="1:19" ht="14.4" x14ac:dyDescent="0.3">
      <c r="A583" s="169" t="s">
        <v>410</v>
      </c>
      <c r="B583" s="171" t="str">
        <f t="shared" si="27"/>
        <v>Список отраслей для построения отчетов по расчету экономического капитала</v>
      </c>
      <c r="C583" s="169" t="s">
        <v>569</v>
      </c>
      <c r="D583" s="169">
        <v>254</v>
      </c>
      <c r="E583" s="169">
        <v>4</v>
      </c>
      <c r="F583" s="169" t="s">
        <v>569</v>
      </c>
      <c r="G583" s="169" t="s">
        <v>569</v>
      </c>
      <c r="H583" s="169">
        <v>7</v>
      </c>
      <c r="I583" s="136" t="str">
        <f t="shared" si="28"/>
        <v>BIGINT</v>
      </c>
      <c r="J583" s="169" t="s">
        <v>1</v>
      </c>
      <c r="K583" s="169" t="s">
        <v>0</v>
      </c>
      <c r="L583" s="169">
        <v>30</v>
      </c>
      <c r="M583" s="168"/>
      <c r="N583" s="168"/>
      <c r="O583" s="168"/>
      <c r="P583" s="168"/>
      <c r="Q583" s="168" t="s">
        <v>0</v>
      </c>
      <c r="R583" s="168" t="s">
        <v>1</v>
      </c>
      <c r="S583" s="178" t="str">
        <f t="shared" si="29"/>
        <v>D_DIC_ECAP_INDUSTRYECAP_INDUSTRY_ID</v>
      </c>
    </row>
    <row r="584" spans="1:19" ht="14.4" x14ac:dyDescent="0.3">
      <c r="A584" s="169" t="s">
        <v>410</v>
      </c>
      <c r="B584" s="171" t="str">
        <f t="shared" si="27"/>
        <v>Список отраслей для построения отчетов по расчету экономического капитала</v>
      </c>
      <c r="C584" s="169" t="s">
        <v>1437</v>
      </c>
      <c r="D584" s="169">
        <v>255</v>
      </c>
      <c r="E584" s="169">
        <v>5</v>
      </c>
      <c r="F584" s="169" t="s">
        <v>1437</v>
      </c>
      <c r="G584" s="169" t="s">
        <v>1437</v>
      </c>
      <c r="H584" s="169">
        <v>24</v>
      </c>
      <c r="I584" s="136" t="str">
        <f t="shared" si="28"/>
        <v xml:space="preserve">VARCHAR(40) </v>
      </c>
      <c r="J584" s="169" t="s">
        <v>0</v>
      </c>
      <c r="K584" s="169" t="s">
        <v>1</v>
      </c>
      <c r="L584" s="169">
        <v>30</v>
      </c>
      <c r="M584" s="168"/>
      <c r="N584" s="168"/>
      <c r="O584" s="168"/>
      <c r="P584" s="168"/>
      <c r="Q584" s="168" t="s">
        <v>0</v>
      </c>
      <c r="R584" s="168" t="s">
        <v>1</v>
      </c>
      <c r="S584" s="178" t="str">
        <f t="shared" si="29"/>
        <v>D_DIC_ECAP_INDUSTRYECAP_INDUSTRY_LETTER_CD</v>
      </c>
    </row>
    <row r="585" spans="1:19" ht="14.4" x14ac:dyDescent="0.3">
      <c r="A585" s="169" t="s">
        <v>410</v>
      </c>
      <c r="B585" s="171" t="str">
        <f t="shared" si="27"/>
        <v>Список отраслей для построения отчетов по расчету экономического капитала</v>
      </c>
      <c r="C585" s="169" t="s">
        <v>573</v>
      </c>
      <c r="D585" s="169">
        <v>256</v>
      </c>
      <c r="E585" s="169">
        <v>6</v>
      </c>
      <c r="F585" s="169" t="s">
        <v>573</v>
      </c>
      <c r="G585" s="169" t="s">
        <v>573</v>
      </c>
      <c r="H585" s="169">
        <v>13</v>
      </c>
      <c r="I585" s="136" t="str">
        <f t="shared" si="28"/>
        <v xml:space="preserve">VARCHAR(300) </v>
      </c>
      <c r="J585" s="169" t="s">
        <v>1</v>
      </c>
      <c r="K585" s="169" t="s">
        <v>1</v>
      </c>
      <c r="L585" s="169">
        <v>30</v>
      </c>
      <c r="M585" s="168"/>
      <c r="N585" s="168"/>
      <c r="O585" s="168"/>
      <c r="P585" s="168"/>
      <c r="Q585" s="168" t="s">
        <v>0</v>
      </c>
      <c r="R585" s="168" t="s">
        <v>1</v>
      </c>
      <c r="S585" s="178" t="str">
        <f t="shared" si="29"/>
        <v>D_DIC_ECAP_INDUSTRYECAP_INDUSTRY_NM</v>
      </c>
    </row>
    <row r="586" spans="1:19" ht="14.4" x14ac:dyDescent="0.3">
      <c r="A586" s="169" t="s">
        <v>410</v>
      </c>
      <c r="B586" s="171" t="str">
        <f t="shared" si="27"/>
        <v>Список отраслей для построения отчетов по расчету экономического капитала</v>
      </c>
      <c r="C586" s="169" t="s">
        <v>574</v>
      </c>
      <c r="D586" s="169">
        <v>257</v>
      </c>
      <c r="E586" s="169">
        <v>7</v>
      </c>
      <c r="F586" s="169" t="s">
        <v>574</v>
      </c>
      <c r="G586" s="169" t="s">
        <v>574</v>
      </c>
      <c r="H586" s="169">
        <v>13</v>
      </c>
      <c r="I586" s="136" t="str">
        <f t="shared" si="28"/>
        <v xml:space="preserve">VARCHAR(300) </v>
      </c>
      <c r="J586" s="169" t="s">
        <v>0</v>
      </c>
      <c r="K586" s="169" t="s">
        <v>1</v>
      </c>
      <c r="L586" s="169">
        <v>30</v>
      </c>
      <c r="M586" s="168"/>
      <c r="N586" s="168"/>
      <c r="O586" s="168"/>
      <c r="P586" s="168"/>
      <c r="Q586" s="168" t="s">
        <v>0</v>
      </c>
      <c r="R586" s="168" t="s">
        <v>1</v>
      </c>
      <c r="S586" s="178" t="str">
        <f t="shared" si="29"/>
        <v>D_DIC_ECAP_INDUSTRYECAP_INDUSTRY_REP_NM</v>
      </c>
    </row>
    <row r="587" spans="1:19" ht="14.4" x14ac:dyDescent="0.3">
      <c r="A587" s="169" t="s">
        <v>410</v>
      </c>
      <c r="B587" s="171" t="str">
        <f t="shared" si="27"/>
        <v>Список отраслей для построения отчетов по расчету экономического капитала</v>
      </c>
      <c r="C587" s="169" t="s">
        <v>52</v>
      </c>
      <c r="D587" s="169">
        <v>258</v>
      </c>
      <c r="E587" s="169">
        <v>8</v>
      </c>
      <c r="F587" s="169" t="s">
        <v>52</v>
      </c>
      <c r="G587" s="169" t="s">
        <v>52</v>
      </c>
      <c r="H587" s="169">
        <v>34</v>
      </c>
      <c r="I587" s="136" t="str">
        <f t="shared" si="28"/>
        <v>DATE</v>
      </c>
      <c r="J587" s="169" t="s">
        <v>1</v>
      </c>
      <c r="K587" s="169" t="s">
        <v>1</v>
      </c>
      <c r="L587" s="169">
        <v>30</v>
      </c>
      <c r="M587" s="168"/>
      <c r="N587" s="168"/>
      <c r="O587" s="168"/>
      <c r="P587" s="168"/>
      <c r="Q587" s="168" t="s">
        <v>0</v>
      </c>
      <c r="R587" s="168" t="s">
        <v>1</v>
      </c>
      <c r="S587" s="178" t="str">
        <f t="shared" si="29"/>
        <v>D_DIC_ECAP_INDUSTRYEND_DT</v>
      </c>
    </row>
    <row r="588" spans="1:19" ht="14.4" x14ac:dyDescent="0.3">
      <c r="A588" s="169" t="s">
        <v>410</v>
      </c>
      <c r="B588" s="171" t="str">
        <f t="shared" si="27"/>
        <v>Список отраслей для построения отчетов по расчету экономического капитала</v>
      </c>
      <c r="C588" s="169" t="s">
        <v>51</v>
      </c>
      <c r="D588" s="169">
        <v>266</v>
      </c>
      <c r="E588" s="169">
        <v>9</v>
      </c>
      <c r="F588" s="169" t="s">
        <v>51</v>
      </c>
      <c r="G588" s="169" t="s">
        <v>51</v>
      </c>
      <c r="H588" s="169">
        <v>34</v>
      </c>
      <c r="I588" s="136" t="str">
        <f t="shared" si="28"/>
        <v>DATE</v>
      </c>
      <c r="J588" s="169" t="s">
        <v>1</v>
      </c>
      <c r="K588" s="169" t="s">
        <v>1</v>
      </c>
      <c r="L588" s="169">
        <v>30</v>
      </c>
      <c r="M588" s="168"/>
      <c r="N588" s="168"/>
      <c r="O588" s="168"/>
      <c r="P588" s="168"/>
      <c r="Q588" s="168" t="s">
        <v>0</v>
      </c>
      <c r="R588" s="168" t="s">
        <v>1</v>
      </c>
      <c r="S588" s="178" t="str">
        <f t="shared" si="29"/>
        <v>D_DIC_ECAP_INDUSTRYSTART_DT</v>
      </c>
    </row>
    <row r="589" spans="1:19" ht="14.4" x14ac:dyDescent="0.3">
      <c r="A589" s="169" t="s">
        <v>1357</v>
      </c>
      <c r="B589" s="171" t="str">
        <f t="shared" si="27"/>
        <v>D_DIC_ECAP_PARAM_INDUSTRY</v>
      </c>
      <c r="C589" s="169" t="s">
        <v>452</v>
      </c>
      <c r="D589" s="169">
        <v>267</v>
      </c>
      <c r="E589" s="169">
        <v>1</v>
      </c>
      <c r="F589" s="169" t="s">
        <v>452</v>
      </c>
      <c r="G589" s="169" t="s">
        <v>452</v>
      </c>
      <c r="H589" s="169">
        <v>24</v>
      </c>
      <c r="I589" s="136" t="str">
        <f t="shared" si="28"/>
        <v xml:space="preserve">VARCHAR(40) </v>
      </c>
      <c r="J589" s="169" t="s">
        <v>0</v>
      </c>
      <c r="K589" s="169" t="s">
        <v>1</v>
      </c>
      <c r="L589" s="169">
        <v>30</v>
      </c>
      <c r="M589" s="168"/>
      <c r="N589" s="168"/>
      <c r="O589" s="168"/>
      <c r="P589" s="168"/>
      <c r="Q589" s="168" t="s">
        <v>0</v>
      </c>
      <c r="R589" s="168" t="s">
        <v>1</v>
      </c>
      <c r="S589" s="178" t="str">
        <f t="shared" si="29"/>
        <v>D_DIC_ECAP_PARAM_INDUSTRYCONFIGURATION_CD</v>
      </c>
    </row>
    <row r="590" spans="1:19" ht="14.4" x14ac:dyDescent="0.3">
      <c r="A590" s="169" t="s">
        <v>1357</v>
      </c>
      <c r="B590" s="171" t="str">
        <f t="shared" si="27"/>
        <v>D_DIC_ECAP_PARAM_INDUSTRY</v>
      </c>
      <c r="C590" s="169" t="s">
        <v>473</v>
      </c>
      <c r="D590" s="169">
        <v>268</v>
      </c>
      <c r="E590" s="169">
        <v>2</v>
      </c>
      <c r="F590" s="169" t="s">
        <v>473</v>
      </c>
      <c r="G590" s="169" t="s">
        <v>473</v>
      </c>
      <c r="H590" s="169">
        <v>7</v>
      </c>
      <c r="I590" s="136" t="str">
        <f t="shared" si="28"/>
        <v>BIGINT</v>
      </c>
      <c r="J590" s="169" t="s">
        <v>1</v>
      </c>
      <c r="K590" s="169" t="s">
        <v>0</v>
      </c>
      <c r="L590" s="169">
        <v>30</v>
      </c>
      <c r="M590" s="168"/>
      <c r="N590" s="168"/>
      <c r="O590" s="168"/>
      <c r="P590" s="168"/>
      <c r="Q590" s="168" t="s">
        <v>0</v>
      </c>
      <c r="R590" s="168" t="s">
        <v>1</v>
      </c>
      <c r="S590" s="178" t="str">
        <f t="shared" si="29"/>
        <v>D_DIC_ECAP_PARAM_INDUSTRYECAP_PARAM_INDUSTRY_ID</v>
      </c>
    </row>
    <row r="591" spans="1:19" ht="14.4" x14ac:dyDescent="0.3">
      <c r="A591" s="169" t="s">
        <v>1357</v>
      </c>
      <c r="B591" s="171" t="str">
        <f t="shared" si="27"/>
        <v>D_DIC_ECAP_PARAM_INDUSTRY</v>
      </c>
      <c r="C591" s="169" t="s">
        <v>52</v>
      </c>
      <c r="D591" s="169">
        <v>269</v>
      </c>
      <c r="E591" s="169">
        <v>3</v>
      </c>
      <c r="F591" s="169" t="s">
        <v>52</v>
      </c>
      <c r="G591" s="169" t="s">
        <v>52</v>
      </c>
      <c r="H591" s="169">
        <v>34</v>
      </c>
      <c r="I591" s="136" t="str">
        <f t="shared" si="28"/>
        <v>DATE</v>
      </c>
      <c r="J591" s="169" t="s">
        <v>1</v>
      </c>
      <c r="K591" s="169" t="s">
        <v>1</v>
      </c>
      <c r="L591" s="169">
        <v>30</v>
      </c>
      <c r="M591" s="168"/>
      <c r="N591" s="168"/>
      <c r="O591" s="168"/>
      <c r="P591" s="168"/>
      <c r="Q591" s="168" t="s">
        <v>0</v>
      </c>
      <c r="R591" s="168" t="s">
        <v>1</v>
      </c>
      <c r="S591" s="178" t="str">
        <f t="shared" si="29"/>
        <v>D_DIC_ECAP_PARAM_INDUSTRYEND_DT</v>
      </c>
    </row>
    <row r="592" spans="1:19" ht="14.4" x14ac:dyDescent="0.3">
      <c r="A592" s="169" t="s">
        <v>1357</v>
      </c>
      <c r="B592" s="171" t="str">
        <f t="shared" si="27"/>
        <v>D_DIC_ECAP_PARAM_INDUSTRY</v>
      </c>
      <c r="C592" s="169" t="s">
        <v>471</v>
      </c>
      <c r="D592" s="169">
        <v>270</v>
      </c>
      <c r="E592" s="169">
        <v>4</v>
      </c>
      <c r="F592" s="169" t="s">
        <v>471</v>
      </c>
      <c r="G592" s="169" t="s">
        <v>471</v>
      </c>
      <c r="H592" s="169">
        <v>24</v>
      </c>
      <c r="I592" s="136" t="str">
        <f t="shared" si="28"/>
        <v xml:space="preserve">VARCHAR(40) </v>
      </c>
      <c r="J592" s="169" t="s">
        <v>1</v>
      </c>
      <c r="K592" s="169" t="s">
        <v>1</v>
      </c>
      <c r="L592" s="169">
        <v>30</v>
      </c>
      <c r="M592" s="168"/>
      <c r="N592" s="168"/>
      <c r="O592" s="168"/>
      <c r="P592" s="168"/>
      <c r="Q592" s="168" t="s">
        <v>0</v>
      </c>
      <c r="R592" s="168" t="s">
        <v>1</v>
      </c>
      <c r="S592" s="178" t="str">
        <f t="shared" si="29"/>
        <v>D_DIC_ECAP_PARAM_INDUSTRYINDUSTRY_CD</v>
      </c>
    </row>
    <row r="593" spans="1:19" ht="14.4" x14ac:dyDescent="0.3">
      <c r="A593" s="169" t="s">
        <v>1357</v>
      </c>
      <c r="B593" s="171" t="str">
        <f t="shared" si="27"/>
        <v>D_DIC_ECAP_PARAM_INDUSTRY</v>
      </c>
      <c r="C593" s="169" t="s">
        <v>472</v>
      </c>
      <c r="D593" s="169">
        <v>271</v>
      </c>
      <c r="E593" s="169">
        <v>5</v>
      </c>
      <c r="F593" s="169" t="s">
        <v>472</v>
      </c>
      <c r="G593" s="169" t="s">
        <v>472</v>
      </c>
      <c r="H593" s="169">
        <v>13</v>
      </c>
      <c r="I593" s="136" t="str">
        <f t="shared" si="28"/>
        <v xml:space="preserve">VARCHAR(300) </v>
      </c>
      <c r="J593" s="169" t="s">
        <v>1</v>
      </c>
      <c r="K593" s="169" t="s">
        <v>1</v>
      </c>
      <c r="L593" s="169">
        <v>30</v>
      </c>
      <c r="M593" s="168"/>
      <c r="N593" s="168"/>
      <c r="O593" s="168"/>
      <c r="P593" s="168"/>
      <c r="Q593" s="168" t="s">
        <v>0</v>
      </c>
      <c r="R593" s="168" t="s">
        <v>1</v>
      </c>
      <c r="S593" s="178" t="str">
        <f t="shared" si="29"/>
        <v>D_DIC_ECAP_PARAM_INDUSTRYINDUSTRY_DSC</v>
      </c>
    </row>
    <row r="594" spans="1:19" ht="14.4" x14ac:dyDescent="0.3">
      <c r="A594" s="169" t="s">
        <v>1357</v>
      </c>
      <c r="B594" s="171" t="str">
        <f t="shared" si="27"/>
        <v>D_DIC_ECAP_PARAM_INDUSTRY</v>
      </c>
      <c r="C594" s="169" t="s">
        <v>1457</v>
      </c>
      <c r="D594" s="169">
        <v>272</v>
      </c>
      <c r="E594" s="169">
        <v>6</v>
      </c>
      <c r="F594" s="169" t="s">
        <v>1457</v>
      </c>
      <c r="G594" s="169" t="s">
        <v>1457</v>
      </c>
      <c r="H594" s="169">
        <v>13</v>
      </c>
      <c r="I594" s="136" t="str">
        <f t="shared" si="28"/>
        <v xml:space="preserve">VARCHAR(300) </v>
      </c>
      <c r="J594" s="169" t="s">
        <v>0</v>
      </c>
      <c r="K594" s="169" t="s">
        <v>1</v>
      </c>
      <c r="L594" s="169">
        <v>30</v>
      </c>
      <c r="M594" s="168"/>
      <c r="N594" s="168"/>
      <c r="O594" s="168"/>
      <c r="P594" s="168"/>
      <c r="Q594" s="168" t="s">
        <v>0</v>
      </c>
      <c r="R594" s="168" t="s">
        <v>1</v>
      </c>
      <c r="S594" s="178" t="str">
        <f t="shared" si="29"/>
        <v>D_DIC_ECAP_PARAM_INDUSTRYINDUSTRY_ENG_NM</v>
      </c>
    </row>
    <row r="595" spans="1:19" ht="14.4" x14ac:dyDescent="0.3">
      <c r="A595" s="169" t="s">
        <v>1357</v>
      </c>
      <c r="B595" s="171" t="str">
        <f t="shared" si="27"/>
        <v>D_DIC_ECAP_PARAM_INDUSTRY</v>
      </c>
      <c r="C595" s="169" t="s">
        <v>51</v>
      </c>
      <c r="D595" s="169">
        <v>273</v>
      </c>
      <c r="E595" s="169">
        <v>7</v>
      </c>
      <c r="F595" s="169" t="s">
        <v>51</v>
      </c>
      <c r="G595" s="169" t="s">
        <v>51</v>
      </c>
      <c r="H595" s="169">
        <v>34</v>
      </c>
      <c r="I595" s="136" t="str">
        <f t="shared" si="28"/>
        <v>DATE</v>
      </c>
      <c r="J595" s="169" t="s">
        <v>1</v>
      </c>
      <c r="K595" s="169" t="s">
        <v>1</v>
      </c>
      <c r="L595" s="169">
        <v>30</v>
      </c>
      <c r="M595" s="168"/>
      <c r="N595" s="168"/>
      <c r="O595" s="168"/>
      <c r="P595" s="168"/>
      <c r="Q595" s="168" t="s">
        <v>0</v>
      </c>
      <c r="R595" s="168" t="s">
        <v>1</v>
      </c>
      <c r="S595" s="178" t="str">
        <f t="shared" si="29"/>
        <v>D_DIC_ECAP_PARAM_INDUSTRYSTART_DT</v>
      </c>
    </row>
    <row r="596" spans="1:19" ht="14.4" x14ac:dyDescent="0.3">
      <c r="A596" s="169" t="s">
        <v>1357</v>
      </c>
      <c r="B596" s="171" t="str">
        <f t="shared" si="27"/>
        <v>D_DIC_ECAP_PARAM_INDUSTRY</v>
      </c>
      <c r="C596" s="169" t="s">
        <v>474</v>
      </c>
      <c r="D596" s="169">
        <v>274</v>
      </c>
      <c r="E596" s="169">
        <v>8</v>
      </c>
      <c r="F596" s="169" t="s">
        <v>474</v>
      </c>
      <c r="G596" s="169" t="s">
        <v>474</v>
      </c>
      <c r="H596" s="169">
        <v>13</v>
      </c>
      <c r="I596" s="136" t="str">
        <f t="shared" si="28"/>
        <v xml:space="preserve">VARCHAR(300) </v>
      </c>
      <c r="J596" s="169" t="s">
        <v>0</v>
      </c>
      <c r="K596" s="169" t="s">
        <v>1</v>
      </c>
      <c r="L596" s="169">
        <v>30</v>
      </c>
      <c r="M596" s="168"/>
      <c r="N596" s="168"/>
      <c r="O596" s="168"/>
      <c r="P596" s="168"/>
      <c r="Q596" s="168" t="s">
        <v>0</v>
      </c>
      <c r="R596" s="168" t="s">
        <v>1</v>
      </c>
      <c r="S596" s="178" t="str">
        <f t="shared" si="29"/>
        <v>D_DIC_ECAP_PARAM_INDUSTRYTGT_INDUSTRY_NM</v>
      </c>
    </row>
    <row r="597" spans="1:19" ht="14.4" x14ac:dyDescent="0.3">
      <c r="A597" s="169" t="s">
        <v>395</v>
      </c>
      <c r="B597" s="171" t="str">
        <f t="shared" si="27"/>
        <v>Данные о сегментах для расчета экономического капитала</v>
      </c>
      <c r="C597" s="169" t="s">
        <v>452</v>
      </c>
      <c r="D597" s="169">
        <v>275</v>
      </c>
      <c r="E597" s="169">
        <v>1</v>
      </c>
      <c r="F597" s="169" t="s">
        <v>452</v>
      </c>
      <c r="G597" s="169" t="s">
        <v>452</v>
      </c>
      <c r="H597" s="169">
        <v>24</v>
      </c>
      <c r="I597" s="136" t="str">
        <f t="shared" si="28"/>
        <v xml:space="preserve">VARCHAR(40) </v>
      </c>
      <c r="J597" s="169" t="s">
        <v>0</v>
      </c>
      <c r="K597" s="169" t="s">
        <v>1</v>
      </c>
      <c r="L597" s="169">
        <v>30</v>
      </c>
      <c r="M597" s="168"/>
      <c r="N597" s="168"/>
      <c r="O597" s="168"/>
      <c r="P597" s="168"/>
      <c r="Q597" s="168" t="s">
        <v>0</v>
      </c>
      <c r="R597" s="168" t="s">
        <v>1</v>
      </c>
      <c r="S597" s="178" t="str">
        <f t="shared" si="29"/>
        <v>D_DIC_ECAP_SEGMENTCONFIGURATION_CD</v>
      </c>
    </row>
    <row r="598" spans="1:19" ht="14.4" x14ac:dyDescent="0.3">
      <c r="A598" s="169" t="s">
        <v>395</v>
      </c>
      <c r="B598" s="171" t="str">
        <f t="shared" si="27"/>
        <v>Данные о сегментах для расчета экономического капитала</v>
      </c>
      <c r="C598" s="169" t="s">
        <v>937</v>
      </c>
      <c r="D598" s="169">
        <v>276</v>
      </c>
      <c r="E598" s="169">
        <v>2</v>
      </c>
      <c r="F598" s="169" t="s">
        <v>937</v>
      </c>
      <c r="G598" s="169" t="s">
        <v>937</v>
      </c>
      <c r="H598" s="169">
        <v>24</v>
      </c>
      <c r="I598" s="136" t="str">
        <f t="shared" si="28"/>
        <v xml:space="preserve">VARCHAR(40) </v>
      </c>
      <c r="J598" s="169" t="s">
        <v>1</v>
      </c>
      <c r="K598" s="169" t="s">
        <v>1</v>
      </c>
      <c r="L598" s="169">
        <v>30</v>
      </c>
      <c r="M598" s="168"/>
      <c r="N598" s="168"/>
      <c r="O598" s="168"/>
      <c r="P598" s="168"/>
      <c r="Q598" s="168" t="s">
        <v>0</v>
      </c>
      <c r="R598" s="168" t="s">
        <v>1</v>
      </c>
      <c r="S598" s="178" t="str">
        <f t="shared" si="29"/>
        <v>D_DIC_ECAP_SEGMENTECAP_SEGMENT_CD</v>
      </c>
    </row>
    <row r="599" spans="1:19" ht="14.4" x14ac:dyDescent="0.3">
      <c r="A599" s="169" t="s">
        <v>395</v>
      </c>
      <c r="B599" s="171" t="str">
        <f t="shared" si="27"/>
        <v>Данные о сегментах для расчета экономического капитала</v>
      </c>
      <c r="C599" s="169" t="s">
        <v>943</v>
      </c>
      <c r="D599" s="169">
        <v>277</v>
      </c>
      <c r="E599" s="169">
        <v>3</v>
      </c>
      <c r="F599" s="169" t="s">
        <v>943</v>
      </c>
      <c r="G599" s="169" t="s">
        <v>943</v>
      </c>
      <c r="H599" s="169">
        <v>19</v>
      </c>
      <c r="I599" s="136" t="str">
        <f t="shared" si="28"/>
        <v xml:space="preserve">VARCHAR(1000) </v>
      </c>
      <c r="J599" s="169" t="s">
        <v>0</v>
      </c>
      <c r="K599" s="169" t="s">
        <v>1</v>
      </c>
      <c r="L599" s="169">
        <v>30</v>
      </c>
      <c r="M599" s="168"/>
      <c r="N599" s="168"/>
      <c r="O599" s="168"/>
      <c r="P599" s="168"/>
      <c r="Q599" s="168" t="s">
        <v>0</v>
      </c>
      <c r="R599" s="168" t="s">
        <v>1</v>
      </c>
      <c r="S599" s="178" t="str">
        <f t="shared" si="29"/>
        <v>D_DIC_ECAP_SEGMENTECAP_SEGMENT_DSC</v>
      </c>
    </row>
    <row r="600" spans="1:19" ht="14.4" x14ac:dyDescent="0.3">
      <c r="A600" s="169" t="s">
        <v>395</v>
      </c>
      <c r="B600" s="171" t="str">
        <f t="shared" si="27"/>
        <v>Данные о сегментах для расчета экономического капитала</v>
      </c>
      <c r="C600" s="169" t="s">
        <v>515</v>
      </c>
      <c r="D600" s="169">
        <v>278</v>
      </c>
      <c r="E600" s="169">
        <v>4</v>
      </c>
      <c r="F600" s="169" t="s">
        <v>515</v>
      </c>
      <c r="G600" s="169" t="s">
        <v>515</v>
      </c>
      <c r="H600" s="169">
        <v>7</v>
      </c>
      <c r="I600" s="136" t="str">
        <f t="shared" si="28"/>
        <v>BIGINT</v>
      </c>
      <c r="J600" s="169" t="s">
        <v>1</v>
      </c>
      <c r="K600" s="169" t="s">
        <v>0</v>
      </c>
      <c r="L600" s="169">
        <v>30</v>
      </c>
      <c r="M600" s="168"/>
      <c r="N600" s="168"/>
      <c r="O600" s="168"/>
      <c r="P600" s="168"/>
      <c r="Q600" s="168" t="s">
        <v>0</v>
      </c>
      <c r="R600" s="168" t="s">
        <v>1</v>
      </c>
      <c r="S600" s="178" t="str">
        <f t="shared" si="29"/>
        <v>D_DIC_ECAP_SEGMENTECAP_SEGMENT_ID</v>
      </c>
    </row>
    <row r="601" spans="1:19" ht="14.4" x14ac:dyDescent="0.3">
      <c r="A601" s="169" t="s">
        <v>395</v>
      </c>
      <c r="B601" s="171" t="str">
        <f t="shared" si="27"/>
        <v>Данные о сегментах для расчета экономического капитала</v>
      </c>
      <c r="C601" s="169" t="s">
        <v>938</v>
      </c>
      <c r="D601" s="169">
        <v>279</v>
      </c>
      <c r="E601" s="169">
        <v>5</v>
      </c>
      <c r="F601" s="169" t="s">
        <v>938</v>
      </c>
      <c r="G601" s="169" t="s">
        <v>938</v>
      </c>
      <c r="H601" s="169">
        <v>13</v>
      </c>
      <c r="I601" s="136" t="str">
        <f t="shared" si="28"/>
        <v xml:space="preserve">VARCHAR(300) </v>
      </c>
      <c r="J601" s="169" t="s">
        <v>0</v>
      </c>
      <c r="K601" s="169" t="s">
        <v>1</v>
      </c>
      <c r="L601" s="169">
        <v>30</v>
      </c>
      <c r="M601" s="168"/>
      <c r="N601" s="168"/>
      <c r="O601" s="168"/>
      <c r="P601" s="168"/>
      <c r="Q601" s="168" t="s">
        <v>0</v>
      </c>
      <c r="R601" s="168" t="s">
        <v>1</v>
      </c>
      <c r="S601" s="178" t="str">
        <f t="shared" si="29"/>
        <v>D_DIC_ECAP_SEGMENTECAP_SEGMENT_NM</v>
      </c>
    </row>
    <row r="602" spans="1:19" ht="14.4" x14ac:dyDescent="0.3">
      <c r="A602" s="169" t="s">
        <v>395</v>
      </c>
      <c r="B602" s="171" t="str">
        <f t="shared" si="27"/>
        <v>Данные о сегментах для расчета экономического капитала</v>
      </c>
      <c r="C602" s="169" t="s">
        <v>940</v>
      </c>
      <c r="D602" s="169">
        <v>280</v>
      </c>
      <c r="E602" s="169">
        <v>6</v>
      </c>
      <c r="F602" s="169" t="s">
        <v>940</v>
      </c>
      <c r="G602" s="169" t="s">
        <v>940</v>
      </c>
      <c r="H602" s="169">
        <v>13</v>
      </c>
      <c r="I602" s="136" t="str">
        <f t="shared" si="28"/>
        <v xml:space="preserve">VARCHAR(300) </v>
      </c>
      <c r="J602" s="169" t="s">
        <v>0</v>
      </c>
      <c r="K602" s="169" t="s">
        <v>1</v>
      </c>
      <c r="L602" s="169">
        <v>30</v>
      </c>
      <c r="M602" s="168"/>
      <c r="N602" s="168"/>
      <c r="O602" s="168"/>
      <c r="P602" s="168"/>
      <c r="Q602" s="168" t="s">
        <v>0</v>
      </c>
      <c r="R602" s="168" t="s">
        <v>1</v>
      </c>
      <c r="S602" s="178" t="str">
        <f t="shared" si="29"/>
        <v>D_DIC_ECAP_SEGMENTECAP_SEGMENT_REP_NM</v>
      </c>
    </row>
    <row r="603" spans="1:19" ht="14.4" x14ac:dyDescent="0.3">
      <c r="A603" s="169" t="s">
        <v>395</v>
      </c>
      <c r="B603" s="171" t="str">
        <f t="shared" si="27"/>
        <v>Данные о сегментах для расчета экономического капитала</v>
      </c>
      <c r="C603" s="169" t="s">
        <v>52</v>
      </c>
      <c r="D603" s="169">
        <v>281</v>
      </c>
      <c r="E603" s="169">
        <v>7</v>
      </c>
      <c r="F603" s="169" t="s">
        <v>52</v>
      </c>
      <c r="G603" s="169" t="s">
        <v>52</v>
      </c>
      <c r="H603" s="169">
        <v>34</v>
      </c>
      <c r="I603" s="136" t="str">
        <f t="shared" si="28"/>
        <v>DATE</v>
      </c>
      <c r="J603" s="169" t="s">
        <v>1</v>
      </c>
      <c r="K603" s="169" t="s">
        <v>1</v>
      </c>
      <c r="L603" s="169">
        <v>30</v>
      </c>
      <c r="M603" s="168"/>
      <c r="N603" s="168"/>
      <c r="O603" s="168"/>
      <c r="P603" s="168"/>
      <c r="Q603" s="168" t="s">
        <v>0</v>
      </c>
      <c r="R603" s="168" t="s">
        <v>1</v>
      </c>
      <c r="S603" s="178" t="str">
        <f t="shared" si="29"/>
        <v>D_DIC_ECAP_SEGMENTEND_DT</v>
      </c>
    </row>
    <row r="604" spans="1:19" ht="14.4" x14ac:dyDescent="0.3">
      <c r="A604" s="169" t="s">
        <v>395</v>
      </c>
      <c r="B604" s="171" t="str">
        <f t="shared" si="27"/>
        <v>Данные о сегментах для расчета экономического капитала</v>
      </c>
      <c r="C604" s="169" t="s">
        <v>936</v>
      </c>
      <c r="D604" s="169">
        <v>282</v>
      </c>
      <c r="E604" s="169">
        <v>8</v>
      </c>
      <c r="F604" s="169" t="s">
        <v>936</v>
      </c>
      <c r="G604" s="169" t="s">
        <v>936</v>
      </c>
      <c r="H604" s="169">
        <v>7</v>
      </c>
      <c r="I604" s="136" t="str">
        <f t="shared" si="28"/>
        <v>BIGINT</v>
      </c>
      <c r="J604" s="169" t="s">
        <v>1</v>
      </c>
      <c r="K604" s="169" t="s">
        <v>1</v>
      </c>
      <c r="L604" s="169">
        <v>30</v>
      </c>
      <c r="M604" s="168"/>
      <c r="N604" s="168"/>
      <c r="O604" s="168"/>
      <c r="P604" s="168"/>
      <c r="Q604" s="168" t="s">
        <v>0</v>
      </c>
      <c r="R604" s="168" t="s">
        <v>1</v>
      </c>
      <c r="S604" s="178" t="str">
        <f t="shared" si="29"/>
        <v>D_DIC_ECAP_SEGMENTENTITY_ID</v>
      </c>
    </row>
    <row r="605" spans="1:19" ht="14.4" x14ac:dyDescent="0.3">
      <c r="A605" s="169" t="s">
        <v>395</v>
      </c>
      <c r="B605" s="171" t="str">
        <f t="shared" si="27"/>
        <v>Данные о сегментах для расчета экономического капитала</v>
      </c>
      <c r="C605" s="169" t="s">
        <v>51</v>
      </c>
      <c r="D605" s="169">
        <v>283</v>
      </c>
      <c r="E605" s="169">
        <v>9</v>
      </c>
      <c r="F605" s="169" t="s">
        <v>51</v>
      </c>
      <c r="G605" s="169" t="s">
        <v>51</v>
      </c>
      <c r="H605" s="169">
        <v>34</v>
      </c>
      <c r="I605" s="136" t="str">
        <f t="shared" si="28"/>
        <v>DATE</v>
      </c>
      <c r="J605" s="169" t="s">
        <v>1</v>
      </c>
      <c r="K605" s="169" t="s">
        <v>1</v>
      </c>
      <c r="L605" s="169">
        <v>30</v>
      </c>
      <c r="M605" s="168"/>
      <c r="N605" s="168"/>
      <c r="O605" s="168"/>
      <c r="P605" s="168"/>
      <c r="Q605" s="168" t="s">
        <v>0</v>
      </c>
      <c r="R605" s="168" t="s">
        <v>1</v>
      </c>
      <c r="S605" s="178" t="str">
        <f t="shared" si="29"/>
        <v>D_DIC_ECAP_SEGMENTSTART_DT</v>
      </c>
    </row>
    <row r="606" spans="1:19" ht="14.4" x14ac:dyDescent="0.3">
      <c r="A606" s="169" t="s">
        <v>399</v>
      </c>
      <c r="B606" s="171" t="str">
        <f t="shared" si="27"/>
        <v>Тип финансового вложения</v>
      </c>
      <c r="C606" s="169" t="s">
        <v>452</v>
      </c>
      <c r="D606" s="169">
        <v>284</v>
      </c>
      <c r="E606" s="169">
        <v>1</v>
      </c>
      <c r="F606" s="169" t="s">
        <v>452</v>
      </c>
      <c r="G606" s="169" t="s">
        <v>452</v>
      </c>
      <c r="H606" s="169">
        <v>24</v>
      </c>
      <c r="I606" s="136" t="str">
        <f t="shared" si="28"/>
        <v xml:space="preserve">VARCHAR(40) </v>
      </c>
      <c r="J606" s="169" t="s">
        <v>0</v>
      </c>
      <c r="K606" s="169" t="s">
        <v>1</v>
      </c>
      <c r="L606" s="169">
        <v>30</v>
      </c>
      <c r="M606" s="168"/>
      <c r="N606" s="168"/>
      <c r="O606" s="168"/>
      <c r="P606" s="168"/>
      <c r="Q606" s="168" t="s">
        <v>0</v>
      </c>
      <c r="R606" s="168" t="s">
        <v>1</v>
      </c>
      <c r="S606" s="178" t="str">
        <f t="shared" si="29"/>
        <v>D_DIC_EQUITY_INV_TYPECONFIGURATION_CD</v>
      </c>
    </row>
    <row r="607" spans="1:19" ht="14.4" x14ac:dyDescent="0.3">
      <c r="A607" s="169" t="s">
        <v>399</v>
      </c>
      <c r="B607" s="171" t="str">
        <f t="shared" si="27"/>
        <v>Тип финансового вложения</v>
      </c>
      <c r="C607" s="169" t="s">
        <v>52</v>
      </c>
      <c r="D607" s="169">
        <v>285</v>
      </c>
      <c r="E607" s="169">
        <v>2</v>
      </c>
      <c r="F607" s="169" t="s">
        <v>52</v>
      </c>
      <c r="G607" s="169" t="s">
        <v>52</v>
      </c>
      <c r="H607" s="169">
        <v>34</v>
      </c>
      <c r="I607" s="136" t="str">
        <f t="shared" si="28"/>
        <v>DATE</v>
      </c>
      <c r="J607" s="169" t="s">
        <v>1</v>
      </c>
      <c r="K607" s="169" t="s">
        <v>1</v>
      </c>
      <c r="L607" s="169">
        <v>30</v>
      </c>
      <c r="M607" s="168"/>
      <c r="N607" s="168"/>
      <c r="O607" s="168"/>
      <c r="P607" s="168"/>
      <c r="Q607" s="168" t="s">
        <v>0</v>
      </c>
      <c r="R607" s="168" t="s">
        <v>1</v>
      </c>
      <c r="S607" s="178" t="str">
        <f t="shared" si="29"/>
        <v>D_DIC_EQUITY_INV_TYPEEND_DT</v>
      </c>
    </row>
    <row r="608" spans="1:19" ht="14.4" x14ac:dyDescent="0.3">
      <c r="A608" s="169" t="s">
        <v>399</v>
      </c>
      <c r="B608" s="171" t="str">
        <f t="shared" si="27"/>
        <v>Тип финансового вложения</v>
      </c>
      <c r="C608" s="169" t="s">
        <v>768</v>
      </c>
      <c r="D608" s="169">
        <v>286</v>
      </c>
      <c r="E608" s="169">
        <v>3</v>
      </c>
      <c r="F608" s="169" t="s">
        <v>768</v>
      </c>
      <c r="G608" s="169" t="s">
        <v>768</v>
      </c>
      <c r="H608" s="169">
        <v>24</v>
      </c>
      <c r="I608" s="136" t="str">
        <f t="shared" si="28"/>
        <v xml:space="preserve">VARCHAR(40) </v>
      </c>
      <c r="J608" s="169" t="s">
        <v>1</v>
      </c>
      <c r="K608" s="169" t="s">
        <v>1</v>
      </c>
      <c r="L608" s="169">
        <v>30</v>
      </c>
      <c r="M608" s="168"/>
      <c r="N608" s="168"/>
      <c r="O608" s="168"/>
      <c r="P608" s="168"/>
      <c r="Q608" s="168" t="s">
        <v>0</v>
      </c>
      <c r="R608" s="168" t="s">
        <v>1</v>
      </c>
      <c r="S608" s="178" t="str">
        <f t="shared" si="29"/>
        <v>D_DIC_EQUITY_INV_TYPEEQUITY_INV_TYPE_CD</v>
      </c>
    </row>
    <row r="609" spans="1:19" ht="14.4" x14ac:dyDescent="0.3">
      <c r="A609" s="169" t="s">
        <v>399</v>
      </c>
      <c r="B609" s="171" t="str">
        <f t="shared" si="27"/>
        <v>Тип финансового вложения</v>
      </c>
      <c r="C609" s="169" t="s">
        <v>774</v>
      </c>
      <c r="D609" s="169">
        <v>287</v>
      </c>
      <c r="E609" s="169">
        <v>4</v>
      </c>
      <c r="F609" s="169" t="s">
        <v>774</v>
      </c>
      <c r="G609" s="169" t="s">
        <v>774</v>
      </c>
      <c r="H609" s="169">
        <v>19</v>
      </c>
      <c r="I609" s="136" t="str">
        <f t="shared" si="28"/>
        <v xml:space="preserve">VARCHAR(1000) </v>
      </c>
      <c r="J609" s="169" t="s">
        <v>0</v>
      </c>
      <c r="K609" s="169" t="s">
        <v>1</v>
      </c>
      <c r="L609" s="169">
        <v>30</v>
      </c>
      <c r="M609" s="168"/>
      <c r="N609" s="168"/>
      <c r="O609" s="168"/>
      <c r="P609" s="168"/>
      <c r="Q609" s="168" t="s">
        <v>0</v>
      </c>
      <c r="R609" s="168" t="s">
        <v>1</v>
      </c>
      <c r="S609" s="178" t="str">
        <f t="shared" si="29"/>
        <v>D_DIC_EQUITY_INV_TYPEEQUITY_INV_TYPE_DSC</v>
      </c>
    </row>
    <row r="610" spans="1:19" ht="14.4" x14ac:dyDescent="0.3">
      <c r="A610" s="169" t="s">
        <v>399</v>
      </c>
      <c r="B610" s="171" t="str">
        <f t="shared" si="27"/>
        <v>Тип финансового вложения</v>
      </c>
      <c r="C610" s="169" t="s">
        <v>680</v>
      </c>
      <c r="D610" s="169">
        <v>288</v>
      </c>
      <c r="E610" s="169">
        <v>5</v>
      </c>
      <c r="F610" s="169" t="s">
        <v>680</v>
      </c>
      <c r="G610" s="169" t="s">
        <v>680</v>
      </c>
      <c r="H610" s="169">
        <v>7</v>
      </c>
      <c r="I610" s="136" t="str">
        <f t="shared" si="28"/>
        <v>BIGINT</v>
      </c>
      <c r="J610" s="169" t="s">
        <v>1</v>
      </c>
      <c r="K610" s="169" t="s">
        <v>0</v>
      </c>
      <c r="L610" s="169">
        <v>30</v>
      </c>
      <c r="M610" s="168"/>
      <c r="N610" s="168"/>
      <c r="O610" s="168"/>
      <c r="P610" s="168"/>
      <c r="Q610" s="168" t="s">
        <v>0</v>
      </c>
      <c r="R610" s="168" t="s">
        <v>1</v>
      </c>
      <c r="S610" s="178" t="str">
        <f t="shared" si="29"/>
        <v>D_DIC_EQUITY_INV_TYPEEQUITY_INV_TYPE_ID</v>
      </c>
    </row>
    <row r="611" spans="1:19" ht="14.4" x14ac:dyDescent="0.3">
      <c r="A611" s="169" t="s">
        <v>399</v>
      </c>
      <c r="B611" s="171" t="str">
        <f t="shared" si="27"/>
        <v>Тип финансового вложения</v>
      </c>
      <c r="C611" s="169" t="s">
        <v>770</v>
      </c>
      <c r="D611" s="169">
        <v>289</v>
      </c>
      <c r="E611" s="169">
        <v>6</v>
      </c>
      <c r="F611" s="169" t="s">
        <v>770</v>
      </c>
      <c r="G611" s="169" t="s">
        <v>770</v>
      </c>
      <c r="H611" s="169">
        <v>13</v>
      </c>
      <c r="I611" s="136" t="str">
        <f t="shared" si="28"/>
        <v xml:space="preserve">VARCHAR(300) </v>
      </c>
      <c r="J611" s="169" t="s">
        <v>1</v>
      </c>
      <c r="K611" s="169" t="s">
        <v>1</v>
      </c>
      <c r="L611" s="169">
        <v>30</v>
      </c>
      <c r="M611" s="168"/>
      <c r="N611" s="168"/>
      <c r="O611" s="168"/>
      <c r="P611" s="168"/>
      <c r="Q611" s="168" t="s">
        <v>0</v>
      </c>
      <c r="R611" s="168" t="s">
        <v>1</v>
      </c>
      <c r="S611" s="178" t="str">
        <f t="shared" si="29"/>
        <v>D_DIC_EQUITY_INV_TYPEEQUITY_INV_TYPE_NM</v>
      </c>
    </row>
    <row r="612" spans="1:19" ht="14.4" x14ac:dyDescent="0.3">
      <c r="A612" s="169" t="s">
        <v>399</v>
      </c>
      <c r="B612" s="171" t="str">
        <f t="shared" si="27"/>
        <v>Тип финансового вложения</v>
      </c>
      <c r="C612" s="169" t="s">
        <v>772</v>
      </c>
      <c r="D612" s="169">
        <v>297</v>
      </c>
      <c r="E612" s="169">
        <v>7</v>
      </c>
      <c r="F612" s="169" t="s">
        <v>772</v>
      </c>
      <c r="G612" s="169" t="s">
        <v>772</v>
      </c>
      <c r="H612" s="169">
        <v>13</v>
      </c>
      <c r="I612" s="136" t="str">
        <f t="shared" si="28"/>
        <v xml:space="preserve">VARCHAR(300) </v>
      </c>
      <c r="J612" s="169" t="s">
        <v>0</v>
      </c>
      <c r="K612" s="169" t="s">
        <v>1</v>
      </c>
      <c r="L612" s="169">
        <v>30</v>
      </c>
      <c r="M612" s="168"/>
      <c r="N612" s="168"/>
      <c r="O612" s="168"/>
      <c r="P612" s="168"/>
      <c r="Q612" s="168" t="s">
        <v>0</v>
      </c>
      <c r="R612" s="168" t="s">
        <v>1</v>
      </c>
      <c r="S612" s="178" t="str">
        <f t="shared" si="29"/>
        <v>D_DIC_EQUITY_INV_TYPEEQUITY_INV_TYPE_REP_NM</v>
      </c>
    </row>
    <row r="613" spans="1:19" ht="14.4" x14ac:dyDescent="0.3">
      <c r="A613" s="169" t="s">
        <v>399</v>
      </c>
      <c r="B613" s="171" t="str">
        <f t="shared" si="27"/>
        <v>Тип финансового вложения</v>
      </c>
      <c r="C613" s="169" t="s">
        <v>51</v>
      </c>
      <c r="D613" s="169">
        <v>2046</v>
      </c>
      <c r="E613" s="169">
        <v>8</v>
      </c>
      <c r="F613" s="169" t="s">
        <v>51</v>
      </c>
      <c r="G613" s="169" t="s">
        <v>51</v>
      </c>
      <c r="H613" s="169">
        <v>34</v>
      </c>
      <c r="I613" s="136" t="str">
        <f t="shared" si="28"/>
        <v>DATE</v>
      </c>
      <c r="J613" s="169" t="s">
        <v>1</v>
      </c>
      <c r="K613" s="169" t="s">
        <v>1</v>
      </c>
      <c r="L613" s="169">
        <v>30</v>
      </c>
      <c r="M613" s="168"/>
      <c r="N613" s="168"/>
      <c r="O613" s="168"/>
      <c r="P613" s="168"/>
      <c r="Q613" s="168" t="s">
        <v>0</v>
      </c>
      <c r="R613" s="168" t="s">
        <v>1</v>
      </c>
      <c r="S613" s="178" t="str">
        <f t="shared" si="29"/>
        <v>D_DIC_EQUITY_INV_TYPESTART_DT</v>
      </c>
    </row>
    <row r="614" spans="1:19" ht="14.4" x14ac:dyDescent="0.3">
      <c r="A614" s="169" t="s">
        <v>1311</v>
      </c>
      <c r="B614" s="171" t="str">
        <f t="shared" si="27"/>
        <v>D_DIC_ERM_CP_SEGMENT</v>
      </c>
      <c r="C614" s="169" t="s">
        <v>52</v>
      </c>
      <c r="D614" s="169">
        <v>298</v>
      </c>
      <c r="E614" s="169">
        <v>1</v>
      </c>
      <c r="F614" s="169" t="s">
        <v>52</v>
      </c>
      <c r="G614" s="169" t="s">
        <v>52</v>
      </c>
      <c r="H614" s="169">
        <v>34</v>
      </c>
      <c r="I614" s="136" t="str">
        <f t="shared" si="28"/>
        <v>DATE</v>
      </c>
      <c r="J614" s="169" t="s">
        <v>1</v>
      </c>
      <c r="K614" s="169" t="s">
        <v>1</v>
      </c>
      <c r="L614" s="169">
        <v>30</v>
      </c>
      <c r="M614" s="168"/>
      <c r="N614" s="168"/>
      <c r="O614" s="168"/>
      <c r="P614" s="168"/>
      <c r="Q614" s="168" t="s">
        <v>0</v>
      </c>
      <c r="R614" s="168" t="s">
        <v>1</v>
      </c>
      <c r="S614" s="178" t="str">
        <f t="shared" si="29"/>
        <v>D_DIC_ERM_CP_SEGMENTEND_DT</v>
      </c>
    </row>
    <row r="615" spans="1:19" ht="14.4" x14ac:dyDescent="0.3">
      <c r="A615" s="169" t="s">
        <v>1311</v>
      </c>
      <c r="B615" s="171" t="str">
        <f t="shared" si="27"/>
        <v>D_DIC_ERM_CP_SEGMENT</v>
      </c>
      <c r="C615" s="169" t="s">
        <v>1534</v>
      </c>
      <c r="D615" s="169">
        <v>299</v>
      </c>
      <c r="E615" s="169">
        <v>2</v>
      </c>
      <c r="F615" s="169" t="s">
        <v>1534</v>
      </c>
      <c r="G615" s="169" t="s">
        <v>1534</v>
      </c>
      <c r="H615" s="169">
        <v>24</v>
      </c>
      <c r="I615" s="136" t="str">
        <f t="shared" si="28"/>
        <v xml:space="preserve">VARCHAR(40) </v>
      </c>
      <c r="J615" s="169" t="s">
        <v>0</v>
      </c>
      <c r="K615" s="169" t="s">
        <v>1</v>
      </c>
      <c r="L615" s="169">
        <v>30</v>
      </c>
      <c r="M615" s="168"/>
      <c r="N615" s="168"/>
      <c r="O615" s="168"/>
      <c r="P615" s="168"/>
      <c r="Q615" s="168" t="s">
        <v>0</v>
      </c>
      <c r="R615" s="168" t="s">
        <v>1</v>
      </c>
      <c r="S615" s="178" t="str">
        <f t="shared" si="29"/>
        <v>D_DIC_ERM_CP_SEGMENTERM_CP_SEGMENT_CD</v>
      </c>
    </row>
    <row r="616" spans="1:19" ht="14.4" x14ac:dyDescent="0.3">
      <c r="A616" s="169" t="s">
        <v>1311</v>
      </c>
      <c r="B616" s="171" t="str">
        <f t="shared" si="27"/>
        <v>D_DIC_ERM_CP_SEGMENT</v>
      </c>
      <c r="C616" s="169" t="s">
        <v>1401</v>
      </c>
      <c r="D616" s="169">
        <v>300</v>
      </c>
      <c r="E616" s="169">
        <v>3</v>
      </c>
      <c r="F616" s="169" t="s">
        <v>1401</v>
      </c>
      <c r="G616" s="169" t="s">
        <v>1401</v>
      </c>
      <c r="H616" s="169">
        <v>19</v>
      </c>
      <c r="I616" s="136" t="str">
        <f t="shared" si="28"/>
        <v xml:space="preserve">VARCHAR(1000) </v>
      </c>
      <c r="J616" s="169" t="s">
        <v>0</v>
      </c>
      <c r="K616" s="169" t="s">
        <v>1</v>
      </c>
      <c r="L616" s="169">
        <v>30</v>
      </c>
      <c r="M616" s="168"/>
      <c r="N616" s="168"/>
      <c r="O616" s="168"/>
      <c r="P616" s="168"/>
      <c r="Q616" s="168" t="s">
        <v>0</v>
      </c>
      <c r="R616" s="168" t="s">
        <v>1</v>
      </c>
      <c r="S616" s="178" t="str">
        <f t="shared" si="29"/>
        <v>D_DIC_ERM_CP_SEGMENTERM_CP_SEGMENT_DSC</v>
      </c>
    </row>
    <row r="617" spans="1:19" ht="14.4" x14ac:dyDescent="0.3">
      <c r="A617" s="169" t="s">
        <v>1311</v>
      </c>
      <c r="B617" s="171" t="str">
        <f t="shared" si="27"/>
        <v>D_DIC_ERM_CP_SEGMENT</v>
      </c>
      <c r="C617" s="169" t="s">
        <v>1386</v>
      </c>
      <c r="D617" s="169">
        <v>301</v>
      </c>
      <c r="E617" s="169">
        <v>4</v>
      </c>
      <c r="F617" s="169" t="s">
        <v>1386</v>
      </c>
      <c r="G617" s="169" t="s">
        <v>1386</v>
      </c>
      <c r="H617" s="169">
        <v>7</v>
      </c>
      <c r="I617" s="136" t="str">
        <f t="shared" si="28"/>
        <v>BIGINT</v>
      </c>
      <c r="J617" s="169" t="s">
        <v>1</v>
      </c>
      <c r="K617" s="169" t="s">
        <v>0</v>
      </c>
      <c r="L617" s="169">
        <v>30</v>
      </c>
      <c r="M617" s="168"/>
      <c r="N617" s="168"/>
      <c r="O617" s="168"/>
      <c r="P617" s="168"/>
      <c r="Q617" s="168" t="s">
        <v>0</v>
      </c>
      <c r="R617" s="168" t="s">
        <v>1</v>
      </c>
      <c r="S617" s="178" t="str">
        <f t="shared" si="29"/>
        <v>D_DIC_ERM_CP_SEGMENTERM_CP_SEGMENT_ID</v>
      </c>
    </row>
    <row r="618" spans="1:19" ht="14.4" x14ac:dyDescent="0.3">
      <c r="A618" s="169" t="s">
        <v>1311</v>
      </c>
      <c r="B618" s="171" t="str">
        <f t="shared" si="27"/>
        <v>D_DIC_ERM_CP_SEGMENT</v>
      </c>
      <c r="C618" s="169" t="s">
        <v>1387</v>
      </c>
      <c r="D618" s="169">
        <v>302</v>
      </c>
      <c r="E618" s="169">
        <v>5</v>
      </c>
      <c r="F618" s="169" t="s">
        <v>1387</v>
      </c>
      <c r="G618" s="169" t="s">
        <v>1387</v>
      </c>
      <c r="H618" s="169">
        <v>13</v>
      </c>
      <c r="I618" s="136" t="str">
        <f t="shared" si="28"/>
        <v xml:space="preserve">VARCHAR(300) </v>
      </c>
      <c r="J618" s="169" t="s">
        <v>0</v>
      </c>
      <c r="K618" s="169" t="s">
        <v>1</v>
      </c>
      <c r="L618" s="169">
        <v>30</v>
      </c>
      <c r="M618" s="168"/>
      <c r="N618" s="168"/>
      <c r="O618" s="168"/>
      <c r="P618" s="168"/>
      <c r="Q618" s="168" t="s">
        <v>0</v>
      </c>
      <c r="R618" s="168" t="s">
        <v>1</v>
      </c>
      <c r="S618" s="178" t="str">
        <f t="shared" si="29"/>
        <v>D_DIC_ERM_CP_SEGMENTERM_CP_SEGMENT_NM</v>
      </c>
    </row>
    <row r="619" spans="1:19" ht="14.4" x14ac:dyDescent="0.3">
      <c r="A619" s="169" t="s">
        <v>1311</v>
      </c>
      <c r="B619" s="171" t="str">
        <f t="shared" si="27"/>
        <v>D_DIC_ERM_CP_SEGMENT</v>
      </c>
      <c r="C619" s="169" t="s">
        <v>51</v>
      </c>
      <c r="D619" s="169">
        <v>303</v>
      </c>
      <c r="E619" s="169">
        <v>6</v>
      </c>
      <c r="F619" s="169" t="s">
        <v>51</v>
      </c>
      <c r="G619" s="169" t="s">
        <v>51</v>
      </c>
      <c r="H619" s="169">
        <v>34</v>
      </c>
      <c r="I619" s="136" t="str">
        <f t="shared" si="28"/>
        <v>DATE</v>
      </c>
      <c r="J619" s="169" t="s">
        <v>1</v>
      </c>
      <c r="K619" s="169" t="s">
        <v>1</v>
      </c>
      <c r="L619" s="169">
        <v>30</v>
      </c>
      <c r="M619" s="168"/>
      <c r="N619" s="168"/>
      <c r="O619" s="168"/>
      <c r="P619" s="168"/>
      <c r="Q619" s="168" t="s">
        <v>0</v>
      </c>
      <c r="R619" s="168" t="s">
        <v>1</v>
      </c>
      <c r="S619" s="178" t="str">
        <f t="shared" si="29"/>
        <v>D_DIC_ERM_CP_SEGMENTSTART_DT</v>
      </c>
    </row>
    <row r="620" spans="1:19" ht="14.4" x14ac:dyDescent="0.3">
      <c r="A620" s="169" t="s">
        <v>390</v>
      </c>
      <c r="B620" s="171" t="str">
        <f t="shared" si="27"/>
        <v>Справочник типов плавающих ставок</v>
      </c>
      <c r="C620" s="169" t="s">
        <v>52</v>
      </c>
      <c r="D620" s="169">
        <v>304</v>
      </c>
      <c r="E620" s="169">
        <v>1</v>
      </c>
      <c r="F620" s="169" t="s">
        <v>52</v>
      </c>
      <c r="G620" s="169" t="s">
        <v>52</v>
      </c>
      <c r="H620" s="169">
        <v>34</v>
      </c>
      <c r="I620" s="136" t="str">
        <f t="shared" si="28"/>
        <v>DATE</v>
      </c>
      <c r="J620" s="169" t="s">
        <v>1</v>
      </c>
      <c r="K620" s="169" t="s">
        <v>1</v>
      </c>
      <c r="L620" s="169">
        <v>30</v>
      </c>
      <c r="M620" s="168"/>
      <c r="N620" s="168"/>
      <c r="O620" s="168"/>
      <c r="P620" s="168"/>
      <c r="Q620" s="168" t="s">
        <v>0</v>
      </c>
      <c r="R620" s="168" t="s">
        <v>1</v>
      </c>
      <c r="S620" s="178" t="str">
        <f t="shared" si="29"/>
        <v>D_DIC_FLOATING_RATEEND_DT</v>
      </c>
    </row>
    <row r="621" spans="1:19" ht="14.4" x14ac:dyDescent="0.3">
      <c r="A621" s="169" t="s">
        <v>390</v>
      </c>
      <c r="B621" s="171" t="str">
        <f t="shared" si="27"/>
        <v>Справочник типов плавающих ставок</v>
      </c>
      <c r="C621" s="169" t="s">
        <v>454</v>
      </c>
      <c r="D621" s="169">
        <v>305</v>
      </c>
      <c r="E621" s="169">
        <v>2</v>
      </c>
      <c r="F621" s="169" t="s">
        <v>454</v>
      </c>
      <c r="G621" s="169" t="s">
        <v>454</v>
      </c>
      <c r="H621" s="169">
        <v>24</v>
      </c>
      <c r="I621" s="136" t="str">
        <f t="shared" si="28"/>
        <v xml:space="preserve">VARCHAR(40) </v>
      </c>
      <c r="J621" s="169" t="s">
        <v>0</v>
      </c>
      <c r="K621" s="169" t="s">
        <v>1</v>
      </c>
      <c r="L621" s="169">
        <v>30</v>
      </c>
      <c r="M621" s="168"/>
      <c r="N621" s="168"/>
      <c r="O621" s="168"/>
      <c r="P621" s="168"/>
      <c r="Q621" s="168" t="s">
        <v>0</v>
      </c>
      <c r="R621" s="168" t="s">
        <v>1</v>
      </c>
      <c r="S621" s="178" t="str">
        <f t="shared" si="29"/>
        <v>D_DIC_FLOATING_RATEFLOATING_RATE_BASE</v>
      </c>
    </row>
    <row r="622" spans="1:19" ht="14.4" x14ac:dyDescent="0.3">
      <c r="A622" s="169" t="s">
        <v>390</v>
      </c>
      <c r="B622" s="171" t="str">
        <f t="shared" si="27"/>
        <v>Справочник типов плавающих ставок</v>
      </c>
      <c r="C622" s="169" t="s">
        <v>1598</v>
      </c>
      <c r="D622" s="169">
        <v>306</v>
      </c>
      <c r="E622" s="169">
        <v>3</v>
      </c>
      <c r="F622" s="169" t="s">
        <v>1598</v>
      </c>
      <c r="G622" s="169" t="s">
        <v>1598</v>
      </c>
      <c r="H622" s="169">
        <v>24</v>
      </c>
      <c r="I622" s="136" t="str">
        <f t="shared" si="28"/>
        <v xml:space="preserve">VARCHAR(40) </v>
      </c>
      <c r="J622" s="169" t="s">
        <v>1</v>
      </c>
      <c r="K622" s="169" t="s">
        <v>1</v>
      </c>
      <c r="L622" s="169">
        <v>30</v>
      </c>
      <c r="M622" s="168"/>
      <c r="N622" s="168"/>
      <c r="O622" s="168"/>
      <c r="P622" s="168"/>
      <c r="Q622" s="168" t="s">
        <v>0</v>
      </c>
      <c r="R622" s="168" t="s">
        <v>1</v>
      </c>
      <c r="S622" s="178" t="str">
        <f t="shared" si="29"/>
        <v>D_DIC_FLOATING_RATEFLOATING_RATE_CD</v>
      </c>
    </row>
    <row r="623" spans="1:19" ht="14.4" x14ac:dyDescent="0.3">
      <c r="A623" s="169" t="s">
        <v>390</v>
      </c>
      <c r="B623" s="171" t="str">
        <f t="shared" si="27"/>
        <v>Справочник типов плавающих ставок</v>
      </c>
      <c r="C623" s="169" t="s">
        <v>460</v>
      </c>
      <c r="D623" s="169">
        <v>307</v>
      </c>
      <c r="E623" s="169">
        <v>4</v>
      </c>
      <c r="F623" s="169" t="s">
        <v>460</v>
      </c>
      <c r="G623" s="169" t="s">
        <v>460</v>
      </c>
      <c r="H623" s="169">
        <v>7</v>
      </c>
      <c r="I623" s="136" t="str">
        <f t="shared" si="28"/>
        <v>BIGINT</v>
      </c>
      <c r="J623" s="169" t="s">
        <v>0</v>
      </c>
      <c r="K623" s="169" t="s">
        <v>1</v>
      </c>
      <c r="L623" s="169">
        <v>30</v>
      </c>
      <c r="M623" s="168"/>
      <c r="N623" s="168"/>
      <c r="O623" s="168"/>
      <c r="P623" s="168"/>
      <c r="Q623" s="168" t="s">
        <v>0</v>
      </c>
      <c r="R623" s="168" t="s">
        <v>1</v>
      </c>
      <c r="S623" s="178" t="str">
        <f t="shared" si="29"/>
        <v>D_DIC_FLOATING_RATEFLOATING_RATE_CURRENCY_ID</v>
      </c>
    </row>
    <row r="624" spans="1:19" ht="14.4" x14ac:dyDescent="0.3">
      <c r="A624" s="169" t="s">
        <v>390</v>
      </c>
      <c r="B624" s="171" t="str">
        <f t="shared" si="27"/>
        <v>Справочник типов плавающих ставок</v>
      </c>
      <c r="C624" s="169" t="s">
        <v>458</v>
      </c>
      <c r="D624" s="169">
        <v>308</v>
      </c>
      <c r="E624" s="169">
        <v>5</v>
      </c>
      <c r="F624" s="169" t="s">
        <v>458</v>
      </c>
      <c r="G624" s="169" t="s">
        <v>458</v>
      </c>
      <c r="H624" s="169">
        <v>7</v>
      </c>
      <c r="I624" s="136" t="str">
        <f t="shared" si="28"/>
        <v>BIGINT</v>
      </c>
      <c r="J624" s="169" t="s">
        <v>1</v>
      </c>
      <c r="K624" s="169" t="s">
        <v>0</v>
      </c>
      <c r="L624" s="169">
        <v>30</v>
      </c>
      <c r="M624" s="168"/>
      <c r="N624" s="168"/>
      <c r="O624" s="168"/>
      <c r="P624" s="168"/>
      <c r="Q624" s="168" t="s">
        <v>0</v>
      </c>
      <c r="R624" s="168" t="s">
        <v>1</v>
      </c>
      <c r="S624" s="178" t="str">
        <f t="shared" si="29"/>
        <v>D_DIC_FLOATING_RATEFLOATING_RATE_ID</v>
      </c>
    </row>
    <row r="625" spans="1:19" ht="14.4" x14ac:dyDescent="0.3">
      <c r="A625" s="169" t="s">
        <v>390</v>
      </c>
      <c r="B625" s="171" t="str">
        <f t="shared" si="27"/>
        <v>Справочник типов плавающих ставок</v>
      </c>
      <c r="C625" s="169" t="s">
        <v>456</v>
      </c>
      <c r="D625" s="169">
        <v>309</v>
      </c>
      <c r="E625" s="169">
        <v>6</v>
      </c>
      <c r="F625" s="169" t="s">
        <v>456</v>
      </c>
      <c r="G625" s="169" t="s">
        <v>456</v>
      </c>
      <c r="H625" s="169">
        <v>24</v>
      </c>
      <c r="I625" s="136" t="str">
        <f t="shared" si="28"/>
        <v xml:space="preserve">VARCHAR(40) </v>
      </c>
      <c r="J625" s="169" t="s">
        <v>0</v>
      </c>
      <c r="K625" s="169" t="s">
        <v>1</v>
      </c>
      <c r="L625" s="169">
        <v>30</v>
      </c>
      <c r="M625" s="168"/>
      <c r="N625" s="168"/>
      <c r="O625" s="168"/>
      <c r="P625" s="168"/>
      <c r="Q625" s="168" t="s">
        <v>0</v>
      </c>
      <c r="R625" s="168" t="s">
        <v>1</v>
      </c>
      <c r="S625" s="178" t="str">
        <f t="shared" si="29"/>
        <v>D_DIC_FLOATING_RATEFLOATING_RATE_TERM</v>
      </c>
    </row>
    <row r="626" spans="1:19" ht="14.4" x14ac:dyDescent="0.3">
      <c r="A626" s="169" t="s">
        <v>390</v>
      </c>
      <c r="B626" s="171" t="str">
        <f t="shared" si="27"/>
        <v>Справочник типов плавающих ставок</v>
      </c>
      <c r="C626" s="169" t="s">
        <v>51</v>
      </c>
      <c r="D626" s="169">
        <v>310</v>
      </c>
      <c r="E626" s="169">
        <v>7</v>
      </c>
      <c r="F626" s="169" t="s">
        <v>51</v>
      </c>
      <c r="G626" s="169" t="s">
        <v>51</v>
      </c>
      <c r="H626" s="169">
        <v>34</v>
      </c>
      <c r="I626" s="136" t="str">
        <f t="shared" si="28"/>
        <v>DATE</v>
      </c>
      <c r="J626" s="169" t="s">
        <v>1</v>
      </c>
      <c r="K626" s="169" t="s">
        <v>1</v>
      </c>
      <c r="L626" s="169">
        <v>30</v>
      </c>
      <c r="M626" s="168"/>
      <c r="N626" s="168"/>
      <c r="O626" s="168"/>
      <c r="P626" s="168"/>
      <c r="Q626" s="168" t="s">
        <v>0</v>
      </c>
      <c r="R626" s="168" t="s">
        <v>1</v>
      </c>
      <c r="S626" s="178" t="str">
        <f t="shared" si="29"/>
        <v>D_DIC_FLOATING_RATESTART_DT</v>
      </c>
    </row>
    <row r="627" spans="1:19" ht="14.4" x14ac:dyDescent="0.3">
      <c r="A627" s="169" t="s">
        <v>2055</v>
      </c>
      <c r="B627" s="171" t="str">
        <f t="shared" si="27"/>
        <v>D_DIC_FM_DEAL_TYPE</v>
      </c>
      <c r="C627" s="169" t="s">
        <v>52</v>
      </c>
      <c r="D627" s="169">
        <v>311</v>
      </c>
      <c r="E627" s="169">
        <v>1</v>
      </c>
      <c r="F627" s="169" t="s">
        <v>52</v>
      </c>
      <c r="G627" s="169" t="s">
        <v>52</v>
      </c>
      <c r="H627" s="169">
        <v>34</v>
      </c>
      <c r="I627" s="136" t="str">
        <f t="shared" si="28"/>
        <v>DATE</v>
      </c>
      <c r="J627" s="169" t="s">
        <v>1</v>
      </c>
      <c r="K627" s="169" t="s">
        <v>1</v>
      </c>
      <c r="L627" s="169">
        <v>30</v>
      </c>
      <c r="M627" s="168"/>
      <c r="N627" s="168"/>
      <c r="O627" s="168"/>
      <c r="P627" s="168"/>
      <c r="Q627" s="168" t="s">
        <v>0</v>
      </c>
      <c r="R627" s="168" t="s">
        <v>1</v>
      </c>
      <c r="S627" s="178" t="str">
        <f t="shared" si="29"/>
        <v>D_DIC_FM_DEAL_TYPEEND_DT</v>
      </c>
    </row>
    <row r="628" spans="1:19" ht="14.4" x14ac:dyDescent="0.3">
      <c r="A628" s="169" t="s">
        <v>2055</v>
      </c>
      <c r="B628" s="171" t="str">
        <f t="shared" si="27"/>
        <v>D_DIC_FM_DEAL_TYPE</v>
      </c>
      <c r="C628" s="169" t="s">
        <v>2075</v>
      </c>
      <c r="D628" s="169">
        <v>312</v>
      </c>
      <c r="E628" s="169">
        <v>2</v>
      </c>
      <c r="F628" s="169" t="s">
        <v>2075</v>
      </c>
      <c r="G628" s="169" t="s">
        <v>2075</v>
      </c>
      <c r="H628" s="169">
        <v>24</v>
      </c>
      <c r="I628" s="136" t="str">
        <f t="shared" si="28"/>
        <v xml:space="preserve">VARCHAR(40) </v>
      </c>
      <c r="J628" s="169" t="s">
        <v>1</v>
      </c>
      <c r="K628" s="169" t="s">
        <v>1</v>
      </c>
      <c r="L628" s="169">
        <v>30</v>
      </c>
      <c r="M628" s="168"/>
      <c r="N628" s="168"/>
      <c r="O628" s="168"/>
      <c r="P628" s="168"/>
      <c r="Q628" s="168" t="s">
        <v>0</v>
      </c>
      <c r="R628" s="168" t="s">
        <v>1</v>
      </c>
      <c r="S628" s="178" t="str">
        <f t="shared" si="29"/>
        <v>D_DIC_FM_DEAL_TYPEFM_DEAL_TYPE_CD</v>
      </c>
    </row>
    <row r="629" spans="1:19" ht="14.4" x14ac:dyDescent="0.3">
      <c r="A629" s="169" t="s">
        <v>2055</v>
      </c>
      <c r="B629" s="171" t="str">
        <f t="shared" si="27"/>
        <v>D_DIC_FM_DEAL_TYPE</v>
      </c>
      <c r="C629" s="169" t="s">
        <v>2076</v>
      </c>
      <c r="D629" s="169">
        <v>313</v>
      </c>
      <c r="E629" s="169">
        <v>3</v>
      </c>
      <c r="F629" s="169" t="s">
        <v>2076</v>
      </c>
      <c r="G629" s="169" t="s">
        <v>2076</v>
      </c>
      <c r="H629" s="169">
        <v>13</v>
      </c>
      <c r="I629" s="136" t="str">
        <f t="shared" si="28"/>
        <v xml:space="preserve">VARCHAR(300) </v>
      </c>
      <c r="J629" s="169" t="s">
        <v>0</v>
      </c>
      <c r="K629" s="169" t="s">
        <v>1</v>
      </c>
      <c r="L629" s="169">
        <v>30</v>
      </c>
      <c r="M629" s="168"/>
      <c r="N629" s="168"/>
      <c r="O629" s="168"/>
      <c r="P629" s="168"/>
      <c r="Q629" s="168" t="s">
        <v>0</v>
      </c>
      <c r="R629" s="168" t="s">
        <v>1</v>
      </c>
      <c r="S629" s="178" t="str">
        <f t="shared" si="29"/>
        <v>D_DIC_FM_DEAL_TYPEFM_DEAL_TYPE_DSC</v>
      </c>
    </row>
    <row r="630" spans="1:19" ht="14.4" x14ac:dyDescent="0.3">
      <c r="A630" s="169" t="s">
        <v>2055</v>
      </c>
      <c r="B630" s="171" t="str">
        <f t="shared" si="27"/>
        <v>D_DIC_FM_DEAL_TYPE</v>
      </c>
      <c r="C630" s="169" t="s">
        <v>2056</v>
      </c>
      <c r="D630" s="169">
        <v>314</v>
      </c>
      <c r="E630" s="169">
        <v>4</v>
      </c>
      <c r="F630" s="169" t="s">
        <v>2056</v>
      </c>
      <c r="G630" s="169" t="s">
        <v>2056</v>
      </c>
      <c r="H630" s="169">
        <v>7</v>
      </c>
      <c r="I630" s="136" t="str">
        <f t="shared" si="28"/>
        <v>BIGINT</v>
      </c>
      <c r="J630" s="169" t="s">
        <v>1</v>
      </c>
      <c r="K630" s="169" t="s">
        <v>0</v>
      </c>
      <c r="L630" s="169">
        <v>30</v>
      </c>
      <c r="M630" s="168"/>
      <c r="N630" s="168"/>
      <c r="O630" s="168"/>
      <c r="P630" s="168"/>
      <c r="Q630" s="168" t="s">
        <v>0</v>
      </c>
      <c r="R630" s="168" t="s">
        <v>1</v>
      </c>
      <c r="S630" s="178" t="str">
        <f t="shared" si="29"/>
        <v>D_DIC_FM_DEAL_TYPEFM_DEAL_TYPE_ID</v>
      </c>
    </row>
    <row r="631" spans="1:19" ht="14.4" x14ac:dyDescent="0.3">
      <c r="A631" s="169" t="s">
        <v>2055</v>
      </c>
      <c r="B631" s="171" t="str">
        <f t="shared" si="27"/>
        <v>D_DIC_FM_DEAL_TYPE</v>
      </c>
      <c r="C631" s="169" t="s">
        <v>51</v>
      </c>
      <c r="D631" s="169">
        <v>315</v>
      </c>
      <c r="E631" s="169">
        <v>5</v>
      </c>
      <c r="F631" s="169" t="s">
        <v>51</v>
      </c>
      <c r="G631" s="169" t="s">
        <v>51</v>
      </c>
      <c r="H631" s="169">
        <v>34</v>
      </c>
      <c r="I631" s="136" t="str">
        <f t="shared" si="28"/>
        <v>DATE</v>
      </c>
      <c r="J631" s="169" t="s">
        <v>1</v>
      </c>
      <c r="K631" s="169" t="s">
        <v>1</v>
      </c>
      <c r="L631" s="169">
        <v>30</v>
      </c>
      <c r="M631" s="168"/>
      <c r="N631" s="168"/>
      <c r="O631" s="168"/>
      <c r="P631" s="168"/>
      <c r="Q631" s="168" t="s">
        <v>0</v>
      </c>
      <c r="R631" s="168" t="s">
        <v>1</v>
      </c>
      <c r="S631" s="178" t="str">
        <f t="shared" si="29"/>
        <v>D_DIC_FM_DEAL_TYPESTART_DT</v>
      </c>
    </row>
    <row r="632" spans="1:19" ht="14.4" x14ac:dyDescent="0.3">
      <c r="A632" s="169" t="s">
        <v>1324</v>
      </c>
      <c r="B632" s="171" t="str">
        <f t="shared" si="27"/>
        <v>D_DIC_IFRS_CLASS</v>
      </c>
      <c r="C632" s="169" t="s">
        <v>52</v>
      </c>
      <c r="D632" s="169">
        <v>1344</v>
      </c>
      <c r="E632" s="169">
        <v>1</v>
      </c>
      <c r="F632" s="169" t="s">
        <v>52</v>
      </c>
      <c r="G632" s="169" t="s">
        <v>52</v>
      </c>
      <c r="H632" s="169">
        <v>34</v>
      </c>
      <c r="I632" s="136" t="str">
        <f t="shared" si="28"/>
        <v>DATE</v>
      </c>
      <c r="J632" s="169" t="s">
        <v>1</v>
      </c>
      <c r="K632" s="169" t="s">
        <v>1</v>
      </c>
      <c r="L632" s="169">
        <v>30</v>
      </c>
      <c r="M632" s="168"/>
      <c r="N632" s="168"/>
      <c r="O632" s="168"/>
      <c r="P632" s="168"/>
      <c r="Q632" s="168" t="s">
        <v>0</v>
      </c>
      <c r="R632" s="168" t="s">
        <v>1</v>
      </c>
      <c r="S632" s="178" t="str">
        <f t="shared" si="29"/>
        <v>D_DIC_IFRS_CLASSEND_DT</v>
      </c>
    </row>
    <row r="633" spans="1:19" ht="14.4" x14ac:dyDescent="0.3">
      <c r="A633" s="169" t="s">
        <v>1324</v>
      </c>
      <c r="B633" s="171" t="str">
        <f t="shared" si="27"/>
        <v>D_DIC_IFRS_CLASS</v>
      </c>
      <c r="C633" s="169" t="s">
        <v>1577</v>
      </c>
      <c r="D633" s="169">
        <v>1345</v>
      </c>
      <c r="E633" s="169">
        <v>2</v>
      </c>
      <c r="F633" s="169" t="s">
        <v>1577</v>
      </c>
      <c r="G633" s="169" t="s">
        <v>1577</v>
      </c>
      <c r="H633" s="169">
        <v>24</v>
      </c>
      <c r="I633" s="136" t="str">
        <f t="shared" si="28"/>
        <v xml:space="preserve">VARCHAR(40) </v>
      </c>
      <c r="J633" s="169" t="s">
        <v>1</v>
      </c>
      <c r="K633" s="169" t="s">
        <v>1</v>
      </c>
      <c r="L633" s="169">
        <v>30</v>
      </c>
      <c r="M633" s="168"/>
      <c r="N633" s="168"/>
      <c r="O633" s="168"/>
      <c r="P633" s="168"/>
      <c r="Q633" s="168" t="s">
        <v>0</v>
      </c>
      <c r="R633" s="168" t="s">
        <v>1</v>
      </c>
      <c r="S633" s="178" t="str">
        <f t="shared" si="29"/>
        <v>D_DIC_IFRS_CLASSIFRS_CLASS_CD</v>
      </c>
    </row>
    <row r="634" spans="1:19" ht="14.4" x14ac:dyDescent="0.3">
      <c r="A634" s="169" t="s">
        <v>1324</v>
      </c>
      <c r="B634" s="171" t="str">
        <f t="shared" si="27"/>
        <v>D_DIC_IFRS_CLASS</v>
      </c>
      <c r="C634" s="169" t="s">
        <v>1453</v>
      </c>
      <c r="D634" s="169">
        <v>1346</v>
      </c>
      <c r="E634" s="169">
        <v>3</v>
      </c>
      <c r="F634" s="169" t="s">
        <v>1453</v>
      </c>
      <c r="G634" s="169" t="s">
        <v>1453</v>
      </c>
      <c r="H634" s="169">
        <v>7</v>
      </c>
      <c r="I634" s="136" t="str">
        <f t="shared" si="28"/>
        <v>BIGINT</v>
      </c>
      <c r="J634" s="169" t="s">
        <v>1</v>
      </c>
      <c r="K634" s="169" t="s">
        <v>0</v>
      </c>
      <c r="L634" s="169">
        <v>30</v>
      </c>
      <c r="M634" s="168"/>
      <c r="N634" s="168"/>
      <c r="O634" s="168"/>
      <c r="P634" s="168"/>
      <c r="Q634" s="168" t="s">
        <v>0</v>
      </c>
      <c r="R634" s="168" t="s">
        <v>1</v>
      </c>
      <c r="S634" s="178" t="str">
        <f t="shared" si="29"/>
        <v>D_DIC_IFRS_CLASSIFRS_CLASS_ID</v>
      </c>
    </row>
    <row r="635" spans="1:19" ht="14.4" x14ac:dyDescent="0.3">
      <c r="A635" s="169" t="s">
        <v>1324</v>
      </c>
      <c r="B635" s="171" t="str">
        <f t="shared" si="27"/>
        <v>D_DIC_IFRS_CLASS</v>
      </c>
      <c r="C635" s="169" t="s">
        <v>51</v>
      </c>
      <c r="D635" s="169">
        <v>1347</v>
      </c>
      <c r="E635" s="169">
        <v>4</v>
      </c>
      <c r="F635" s="169" t="s">
        <v>51</v>
      </c>
      <c r="G635" s="169" t="s">
        <v>51</v>
      </c>
      <c r="H635" s="169">
        <v>34</v>
      </c>
      <c r="I635" s="136" t="str">
        <f t="shared" si="28"/>
        <v>DATE</v>
      </c>
      <c r="J635" s="169" t="s">
        <v>1</v>
      </c>
      <c r="K635" s="169" t="s">
        <v>1</v>
      </c>
      <c r="L635" s="169">
        <v>30</v>
      </c>
      <c r="M635" s="168"/>
      <c r="N635" s="168"/>
      <c r="O635" s="168"/>
      <c r="P635" s="168"/>
      <c r="Q635" s="168" t="s">
        <v>0</v>
      </c>
      <c r="R635" s="168" t="s">
        <v>1</v>
      </c>
      <c r="S635" s="178" t="str">
        <f t="shared" si="29"/>
        <v>D_DIC_IFRS_CLASSSTART_DT</v>
      </c>
    </row>
    <row r="636" spans="1:19" ht="14.4" x14ac:dyDescent="0.3">
      <c r="A636" s="169" t="s">
        <v>1348</v>
      </c>
      <c r="B636" s="171" t="str">
        <f t="shared" si="27"/>
        <v>D_DIC_INT_ORG_HIER_SCEN</v>
      </c>
      <c r="C636" s="169" t="s">
        <v>52</v>
      </c>
      <c r="D636" s="169">
        <v>316</v>
      </c>
      <c r="E636" s="169">
        <v>1</v>
      </c>
      <c r="F636" s="169" t="s">
        <v>52</v>
      </c>
      <c r="G636" s="169" t="s">
        <v>52</v>
      </c>
      <c r="H636" s="169">
        <v>34</v>
      </c>
      <c r="I636" s="136" t="str">
        <f t="shared" si="28"/>
        <v>DATE</v>
      </c>
      <c r="J636" s="169" t="s">
        <v>1</v>
      </c>
      <c r="K636" s="169" t="s">
        <v>1</v>
      </c>
      <c r="L636" s="169">
        <v>30</v>
      </c>
      <c r="M636" s="168"/>
      <c r="N636" s="168"/>
      <c r="O636" s="168"/>
      <c r="P636" s="168"/>
      <c r="Q636" s="168" t="s">
        <v>0</v>
      </c>
      <c r="R636" s="168" t="s">
        <v>1</v>
      </c>
      <c r="S636" s="178" t="str">
        <f t="shared" si="29"/>
        <v>D_DIC_INT_ORG_HIER_SCENEND_DT</v>
      </c>
    </row>
    <row r="637" spans="1:19" ht="14.4" x14ac:dyDescent="0.3">
      <c r="A637" s="169" t="s">
        <v>1348</v>
      </c>
      <c r="B637" s="171" t="str">
        <f t="shared" si="27"/>
        <v>D_DIC_INT_ORG_HIER_SCEN</v>
      </c>
      <c r="C637" s="169" t="s">
        <v>1568</v>
      </c>
      <c r="D637" s="169">
        <v>317</v>
      </c>
      <c r="E637" s="169">
        <v>2</v>
      </c>
      <c r="F637" s="169" t="s">
        <v>1568</v>
      </c>
      <c r="G637" s="169" t="s">
        <v>1568</v>
      </c>
      <c r="H637" s="169">
        <v>24</v>
      </c>
      <c r="I637" s="136" t="str">
        <f t="shared" si="28"/>
        <v xml:space="preserve">VARCHAR(40) </v>
      </c>
      <c r="J637" s="169" t="s">
        <v>1</v>
      </c>
      <c r="K637" s="169" t="s">
        <v>1</v>
      </c>
      <c r="L637" s="169">
        <v>30</v>
      </c>
      <c r="M637" s="168"/>
      <c r="N637" s="168"/>
      <c r="O637" s="168"/>
      <c r="P637" s="168"/>
      <c r="Q637" s="168" t="s">
        <v>0</v>
      </c>
      <c r="R637" s="168" t="s">
        <v>1</v>
      </c>
      <c r="S637" s="178" t="str">
        <f t="shared" si="29"/>
        <v>D_DIC_INT_ORG_HIER_SCENINT_ORG_HIER_SCEN_CD</v>
      </c>
    </row>
    <row r="638" spans="1:19" ht="14.4" x14ac:dyDescent="0.3">
      <c r="A638" s="169" t="s">
        <v>1348</v>
      </c>
      <c r="B638" s="171" t="str">
        <f t="shared" si="27"/>
        <v>D_DIC_INT_ORG_HIER_SCEN</v>
      </c>
      <c r="C638" s="169" t="s">
        <v>817</v>
      </c>
      <c r="D638" s="169">
        <v>318</v>
      </c>
      <c r="E638" s="169">
        <v>3</v>
      </c>
      <c r="F638" s="169" t="s">
        <v>817</v>
      </c>
      <c r="G638" s="169" t="s">
        <v>817</v>
      </c>
      <c r="H638" s="169">
        <v>13</v>
      </c>
      <c r="I638" s="136" t="str">
        <f t="shared" si="28"/>
        <v xml:space="preserve">VARCHAR(300) </v>
      </c>
      <c r="J638" s="169" t="s">
        <v>0</v>
      </c>
      <c r="K638" s="169" t="s">
        <v>1</v>
      </c>
      <c r="L638" s="169">
        <v>30</v>
      </c>
      <c r="M638" s="168"/>
      <c r="N638" s="168"/>
      <c r="O638" s="168"/>
      <c r="P638" s="168"/>
      <c r="Q638" s="168" t="s">
        <v>0</v>
      </c>
      <c r="R638" s="168" t="s">
        <v>1</v>
      </c>
      <c r="S638" s="178" t="str">
        <f t="shared" si="29"/>
        <v>D_DIC_INT_ORG_HIER_SCENINT_ORG_HIER_SCEN_DSC</v>
      </c>
    </row>
    <row r="639" spans="1:19" ht="14.4" x14ac:dyDescent="0.3">
      <c r="A639" s="169" t="s">
        <v>1348</v>
      </c>
      <c r="B639" s="171" t="str">
        <f t="shared" si="27"/>
        <v>D_DIC_INT_ORG_HIER_SCEN</v>
      </c>
      <c r="C639" s="169" t="s">
        <v>818</v>
      </c>
      <c r="D639" s="169">
        <v>326</v>
      </c>
      <c r="E639" s="169">
        <v>4</v>
      </c>
      <c r="F639" s="169" t="s">
        <v>818</v>
      </c>
      <c r="G639" s="169" t="s">
        <v>818</v>
      </c>
      <c r="H639" s="169">
        <v>7</v>
      </c>
      <c r="I639" s="136" t="str">
        <f t="shared" si="28"/>
        <v>BIGINT</v>
      </c>
      <c r="J639" s="169" t="s">
        <v>1</v>
      </c>
      <c r="K639" s="169" t="s">
        <v>0</v>
      </c>
      <c r="L639" s="169">
        <v>30</v>
      </c>
      <c r="M639" s="168"/>
      <c r="N639" s="168"/>
      <c r="O639" s="168"/>
      <c r="P639" s="168"/>
      <c r="Q639" s="168" t="s">
        <v>0</v>
      </c>
      <c r="R639" s="168" t="s">
        <v>1</v>
      </c>
      <c r="S639" s="178" t="str">
        <f t="shared" si="29"/>
        <v>D_DIC_INT_ORG_HIER_SCENINT_ORG_HIER_SCEN_ID</v>
      </c>
    </row>
    <row r="640" spans="1:19" ht="14.4" x14ac:dyDescent="0.3">
      <c r="A640" s="169" t="s">
        <v>1348</v>
      </c>
      <c r="B640" s="171" t="str">
        <f t="shared" si="27"/>
        <v>D_DIC_INT_ORG_HIER_SCEN</v>
      </c>
      <c r="C640" s="169" t="s">
        <v>51</v>
      </c>
      <c r="D640" s="169">
        <v>327</v>
      </c>
      <c r="E640" s="169">
        <v>5</v>
      </c>
      <c r="F640" s="169" t="s">
        <v>51</v>
      </c>
      <c r="G640" s="169" t="s">
        <v>51</v>
      </c>
      <c r="H640" s="169">
        <v>34</v>
      </c>
      <c r="I640" s="136" t="str">
        <f t="shared" si="28"/>
        <v>DATE</v>
      </c>
      <c r="J640" s="169" t="s">
        <v>1</v>
      </c>
      <c r="K640" s="169" t="s">
        <v>1</v>
      </c>
      <c r="L640" s="169">
        <v>30</v>
      </c>
      <c r="M640" s="168"/>
      <c r="N640" s="168"/>
      <c r="O640" s="168"/>
      <c r="P640" s="168"/>
      <c r="Q640" s="168" t="s">
        <v>0</v>
      </c>
      <c r="R640" s="168" t="s">
        <v>1</v>
      </c>
      <c r="S640" s="178" t="str">
        <f t="shared" si="29"/>
        <v>D_DIC_INT_ORG_HIER_SCENSTART_DT</v>
      </c>
    </row>
    <row r="641" spans="1:19" ht="14.4" x14ac:dyDescent="0.3">
      <c r="A641" s="169" t="s">
        <v>408</v>
      </c>
      <c r="B641" s="171" t="str">
        <f t="shared" si="27"/>
        <v>Справочник классификации индустрий по классификации NACE для дочерних банков</v>
      </c>
      <c r="C641" s="169" t="s">
        <v>52</v>
      </c>
      <c r="D641" s="169">
        <v>328</v>
      </c>
      <c r="E641" s="169">
        <v>1</v>
      </c>
      <c r="F641" s="169" t="s">
        <v>52</v>
      </c>
      <c r="G641" s="169" t="s">
        <v>52</v>
      </c>
      <c r="H641" s="169">
        <v>34</v>
      </c>
      <c r="I641" s="136" t="str">
        <f t="shared" si="28"/>
        <v>DATE</v>
      </c>
      <c r="J641" s="169" t="s">
        <v>1</v>
      </c>
      <c r="K641" s="169" t="s">
        <v>1</v>
      </c>
      <c r="L641" s="169">
        <v>30</v>
      </c>
      <c r="M641" s="168"/>
      <c r="N641" s="168"/>
      <c r="O641" s="168"/>
      <c r="P641" s="168"/>
      <c r="Q641" s="168" t="s">
        <v>0</v>
      </c>
      <c r="R641" s="168" t="s">
        <v>1</v>
      </c>
      <c r="S641" s="178" t="str">
        <f t="shared" si="29"/>
        <v>D_DIC_NACE_INDUSTRYEND_DT</v>
      </c>
    </row>
    <row r="642" spans="1:19" ht="14.4" x14ac:dyDescent="0.3">
      <c r="A642" s="169" t="s">
        <v>408</v>
      </c>
      <c r="B642" s="171" t="str">
        <f t="shared" ref="B642:B705" si="30">IF(NOT(ISBLANK(A642)),VLOOKUP(A642,ERM_TABLE_NM,2,FALSE), "")</f>
        <v>Справочник классификации индустрий по классификации NACE для дочерних банков</v>
      </c>
      <c r="C642" s="169" t="s">
        <v>541</v>
      </c>
      <c r="D642" s="169">
        <v>329</v>
      </c>
      <c r="E642" s="169">
        <v>2</v>
      </c>
      <c r="F642" s="169" t="s">
        <v>541</v>
      </c>
      <c r="G642" s="169" t="s">
        <v>541</v>
      </c>
      <c r="H642" s="169">
        <v>24</v>
      </c>
      <c r="I642" s="136" t="str">
        <f t="shared" ref="I642:I705" si="31">IF(NOT(ISBLANK(H642)),VLOOKUP(H642,ERM_DOMAIN_NM,2,FALSE), "")</f>
        <v xml:space="preserve">VARCHAR(40) </v>
      </c>
      <c r="J642" s="169" t="s">
        <v>1</v>
      </c>
      <c r="K642" s="169" t="s">
        <v>1</v>
      </c>
      <c r="L642" s="169">
        <v>30</v>
      </c>
      <c r="M642" s="168"/>
      <c r="N642" s="168"/>
      <c r="O642" s="168"/>
      <c r="P642" s="168"/>
      <c r="Q642" s="168" t="s">
        <v>0</v>
      </c>
      <c r="R642" s="168" t="s">
        <v>1</v>
      </c>
      <c r="S642" s="178" t="str">
        <f t="shared" si="29"/>
        <v>D_DIC_NACE_INDUSTRYNACE_INDUSTRY_CD</v>
      </c>
    </row>
    <row r="643" spans="1:19" ht="14.4" x14ac:dyDescent="0.3">
      <c r="A643" s="169" t="s">
        <v>408</v>
      </c>
      <c r="B643" s="171" t="str">
        <f t="shared" si="30"/>
        <v>Справочник классификации индустрий по классификации NACE для дочерних банков</v>
      </c>
      <c r="C643" s="169" t="s">
        <v>538</v>
      </c>
      <c r="D643" s="169">
        <v>330</v>
      </c>
      <c r="E643" s="169">
        <v>3</v>
      </c>
      <c r="F643" s="169" t="s">
        <v>538</v>
      </c>
      <c r="G643" s="169" t="s">
        <v>538</v>
      </c>
      <c r="H643" s="169">
        <v>7</v>
      </c>
      <c r="I643" s="136" t="str">
        <f t="shared" si="31"/>
        <v>BIGINT</v>
      </c>
      <c r="J643" s="169" t="s">
        <v>1</v>
      </c>
      <c r="K643" s="169" t="s">
        <v>0</v>
      </c>
      <c r="L643" s="169">
        <v>30</v>
      </c>
      <c r="M643" s="168"/>
      <c r="N643" s="168"/>
      <c r="O643" s="168"/>
      <c r="P643" s="168"/>
      <c r="Q643" s="168" t="s">
        <v>0</v>
      </c>
      <c r="R643" s="168" t="s">
        <v>1</v>
      </c>
      <c r="S643" s="178" t="str">
        <f t="shared" ref="S643:S706" si="32">CONCATENATE(A643,C643)</f>
        <v>D_DIC_NACE_INDUSTRYNACE_INDUSTRY_ID</v>
      </c>
    </row>
    <row r="644" spans="1:19" ht="14.4" x14ac:dyDescent="0.3">
      <c r="A644" s="169" t="s">
        <v>408</v>
      </c>
      <c r="B644" s="171" t="str">
        <f t="shared" si="30"/>
        <v>Справочник классификации индустрий по классификации NACE для дочерних банков</v>
      </c>
      <c r="C644" s="169" t="s">
        <v>543</v>
      </c>
      <c r="D644" s="169">
        <v>331</v>
      </c>
      <c r="E644" s="169">
        <v>4</v>
      </c>
      <c r="F644" s="169" t="s">
        <v>543</v>
      </c>
      <c r="G644" s="169" t="s">
        <v>543</v>
      </c>
      <c r="H644" s="169">
        <v>13</v>
      </c>
      <c r="I644" s="136" t="str">
        <f t="shared" si="31"/>
        <v xml:space="preserve">VARCHAR(300) </v>
      </c>
      <c r="J644" s="169" t="s">
        <v>1</v>
      </c>
      <c r="K644" s="169" t="s">
        <v>1</v>
      </c>
      <c r="L644" s="169">
        <v>30</v>
      </c>
      <c r="M644" s="168"/>
      <c r="N644" s="168"/>
      <c r="O644" s="168"/>
      <c r="P644" s="168"/>
      <c r="Q644" s="168" t="s">
        <v>0</v>
      </c>
      <c r="R644" s="168" t="s">
        <v>1</v>
      </c>
      <c r="S644" s="178" t="str">
        <f t="shared" si="32"/>
        <v>D_DIC_NACE_INDUSTRYNACE_INDUSTRY_NM</v>
      </c>
    </row>
    <row r="645" spans="1:19" ht="14.4" x14ac:dyDescent="0.3">
      <c r="A645" s="169" t="s">
        <v>408</v>
      </c>
      <c r="B645" s="171" t="str">
        <f t="shared" si="30"/>
        <v>Справочник классификации индустрий по классификации NACE для дочерних банков</v>
      </c>
      <c r="C645" s="169" t="s">
        <v>2077</v>
      </c>
      <c r="D645" s="169">
        <v>332</v>
      </c>
      <c r="E645" s="169">
        <v>5</v>
      </c>
      <c r="F645" s="169" t="s">
        <v>2077</v>
      </c>
      <c r="G645" s="169" t="s">
        <v>2077</v>
      </c>
      <c r="H645" s="169">
        <v>24</v>
      </c>
      <c r="I645" s="136" t="str">
        <f t="shared" si="31"/>
        <v xml:space="preserve">VARCHAR(40) </v>
      </c>
      <c r="J645" s="169" t="s">
        <v>1</v>
      </c>
      <c r="K645" s="169" t="s">
        <v>1</v>
      </c>
      <c r="L645" s="169">
        <v>30</v>
      </c>
      <c r="M645" s="168"/>
      <c r="N645" s="168"/>
      <c r="O645" s="168"/>
      <c r="P645" s="168"/>
      <c r="Q645" s="168" t="s">
        <v>0</v>
      </c>
      <c r="R645" s="168" t="s">
        <v>1</v>
      </c>
      <c r="S645" s="178" t="str">
        <f t="shared" si="32"/>
        <v>D_DIC_NACE_INDUSTRYNACE_LEVEL_CD</v>
      </c>
    </row>
    <row r="646" spans="1:19" ht="14.4" x14ac:dyDescent="0.3">
      <c r="A646" s="169" t="s">
        <v>408</v>
      </c>
      <c r="B646" s="171" t="str">
        <f t="shared" si="30"/>
        <v>Справочник классификации индустрий по классификации NACE для дочерних банков</v>
      </c>
      <c r="C646" s="169" t="s">
        <v>51</v>
      </c>
      <c r="D646" s="169">
        <v>333</v>
      </c>
      <c r="E646" s="169">
        <v>6</v>
      </c>
      <c r="F646" s="169" t="s">
        <v>51</v>
      </c>
      <c r="G646" s="169" t="s">
        <v>51</v>
      </c>
      <c r="H646" s="169">
        <v>34</v>
      </c>
      <c r="I646" s="136" t="str">
        <f t="shared" si="31"/>
        <v>DATE</v>
      </c>
      <c r="J646" s="169" t="s">
        <v>1</v>
      </c>
      <c r="K646" s="169" t="s">
        <v>1</v>
      </c>
      <c r="L646" s="169">
        <v>30</v>
      </c>
      <c r="M646" s="168"/>
      <c r="N646" s="168"/>
      <c r="O646" s="168"/>
      <c r="P646" s="168"/>
      <c r="Q646" s="168" t="s">
        <v>0</v>
      </c>
      <c r="R646" s="168" t="s">
        <v>1</v>
      </c>
      <c r="S646" s="178" t="str">
        <f t="shared" si="32"/>
        <v>D_DIC_NACE_INDUSTRYSTART_DT</v>
      </c>
    </row>
    <row r="647" spans="1:19" ht="14.4" x14ac:dyDescent="0.3">
      <c r="A647" s="169" t="s">
        <v>387</v>
      </c>
      <c r="B647" s="171" t="str">
        <f t="shared" si="30"/>
        <v>Справочник типов графиков платежей для дочерних банков</v>
      </c>
      <c r="C647" s="169" t="s">
        <v>52</v>
      </c>
      <c r="D647" s="169">
        <v>334</v>
      </c>
      <c r="E647" s="169">
        <v>1</v>
      </c>
      <c r="F647" s="169" t="s">
        <v>52</v>
      </c>
      <c r="G647" s="169" t="s">
        <v>52</v>
      </c>
      <c r="H647" s="169">
        <v>34</v>
      </c>
      <c r="I647" s="136" t="str">
        <f t="shared" si="31"/>
        <v>DATE</v>
      </c>
      <c r="J647" s="169" t="s">
        <v>1</v>
      </c>
      <c r="K647" s="169" t="s">
        <v>1</v>
      </c>
      <c r="L647" s="169">
        <v>30</v>
      </c>
      <c r="M647" s="168"/>
      <c r="N647" s="168"/>
      <c r="O647" s="168"/>
      <c r="P647" s="168"/>
      <c r="Q647" s="168" t="s">
        <v>0</v>
      </c>
      <c r="R647" s="168" t="s">
        <v>1</v>
      </c>
      <c r="S647" s="178" t="str">
        <f t="shared" si="32"/>
        <v>D_DIC_PRIN_PM_SCHED_TYPEEND_DT</v>
      </c>
    </row>
    <row r="648" spans="1:19" ht="14.4" x14ac:dyDescent="0.3">
      <c r="A648" s="169" t="s">
        <v>387</v>
      </c>
      <c r="B648" s="171" t="str">
        <f t="shared" si="30"/>
        <v>Справочник типов графиков платежей для дочерних банков</v>
      </c>
      <c r="C648" s="169" t="s">
        <v>1379</v>
      </c>
      <c r="D648" s="169">
        <v>335</v>
      </c>
      <c r="E648" s="169">
        <v>2</v>
      </c>
      <c r="F648" s="169" t="s">
        <v>1379</v>
      </c>
      <c r="G648" s="169" t="s">
        <v>1379</v>
      </c>
      <c r="H648" s="169">
        <v>24</v>
      </c>
      <c r="I648" s="136" t="str">
        <f t="shared" si="31"/>
        <v xml:space="preserve">VARCHAR(40) </v>
      </c>
      <c r="J648" s="169" t="s">
        <v>1</v>
      </c>
      <c r="K648" s="169" t="s">
        <v>1</v>
      </c>
      <c r="L648" s="169">
        <v>30</v>
      </c>
      <c r="M648" s="168"/>
      <c r="N648" s="168"/>
      <c r="O648" s="168"/>
      <c r="P648" s="168"/>
      <c r="Q648" s="168" t="s">
        <v>0</v>
      </c>
      <c r="R648" s="168" t="s">
        <v>1</v>
      </c>
      <c r="S648" s="178" t="str">
        <f t="shared" si="32"/>
        <v>D_DIC_PRIN_PM_SCHED_TYPEPRIN_PM_SCHED_TYPE_CD</v>
      </c>
    </row>
    <row r="649" spans="1:19" ht="14.4" x14ac:dyDescent="0.3">
      <c r="A649" s="169" t="s">
        <v>387</v>
      </c>
      <c r="B649" s="171" t="str">
        <f t="shared" si="30"/>
        <v>Справочник типов графиков платежей для дочерних банков</v>
      </c>
      <c r="C649" s="169" t="s">
        <v>555</v>
      </c>
      <c r="D649" s="169">
        <v>336</v>
      </c>
      <c r="E649" s="169">
        <v>3</v>
      </c>
      <c r="F649" s="169" t="s">
        <v>555</v>
      </c>
      <c r="G649" s="169" t="s">
        <v>555</v>
      </c>
      <c r="H649" s="169">
        <v>7</v>
      </c>
      <c r="I649" s="136" t="str">
        <f t="shared" si="31"/>
        <v>BIGINT</v>
      </c>
      <c r="J649" s="169" t="s">
        <v>1</v>
      </c>
      <c r="K649" s="169" t="s">
        <v>0</v>
      </c>
      <c r="L649" s="169">
        <v>30</v>
      </c>
      <c r="M649" s="168"/>
      <c r="N649" s="168"/>
      <c r="O649" s="168"/>
      <c r="P649" s="168"/>
      <c r="Q649" s="168" t="s">
        <v>0</v>
      </c>
      <c r="R649" s="168" t="s">
        <v>1</v>
      </c>
      <c r="S649" s="178" t="str">
        <f t="shared" si="32"/>
        <v>D_DIC_PRIN_PM_SCHED_TYPEPRIN_PM_SCHED_TYPE_ID</v>
      </c>
    </row>
    <row r="650" spans="1:19" ht="14.4" x14ac:dyDescent="0.3">
      <c r="A650" s="169" t="s">
        <v>387</v>
      </c>
      <c r="B650" s="171" t="str">
        <f t="shared" si="30"/>
        <v>Справочник типов графиков платежей для дочерних банков</v>
      </c>
      <c r="C650" s="169" t="s">
        <v>1608</v>
      </c>
      <c r="D650" s="169">
        <v>337</v>
      </c>
      <c r="E650" s="169">
        <v>4</v>
      </c>
      <c r="F650" s="169" t="s">
        <v>1608</v>
      </c>
      <c r="G650" s="169" t="s">
        <v>1608</v>
      </c>
      <c r="H650" s="169">
        <v>13</v>
      </c>
      <c r="I650" s="136" t="str">
        <f t="shared" si="31"/>
        <v xml:space="preserve">VARCHAR(300) </v>
      </c>
      <c r="J650" s="169" t="s">
        <v>1</v>
      </c>
      <c r="K650" s="169" t="s">
        <v>1</v>
      </c>
      <c r="L650" s="169">
        <v>30</v>
      </c>
      <c r="M650" s="168"/>
      <c r="N650" s="168"/>
      <c r="O650" s="168"/>
      <c r="P650" s="168"/>
      <c r="Q650" s="168" t="s">
        <v>0</v>
      </c>
      <c r="R650" s="168" t="s">
        <v>1</v>
      </c>
      <c r="S650" s="178" t="str">
        <f t="shared" si="32"/>
        <v>D_DIC_PRIN_PM_SCHED_TYPEPRIN_PM_SCHED_TYPE_NM</v>
      </c>
    </row>
    <row r="651" spans="1:19" ht="14.4" x14ac:dyDescent="0.3">
      <c r="A651" s="169" t="s">
        <v>387</v>
      </c>
      <c r="B651" s="171" t="str">
        <f t="shared" si="30"/>
        <v>Справочник типов графиков платежей для дочерних банков</v>
      </c>
      <c r="C651" s="169" t="s">
        <v>51</v>
      </c>
      <c r="D651" s="169">
        <v>338</v>
      </c>
      <c r="E651" s="169">
        <v>5</v>
      </c>
      <c r="F651" s="169" t="s">
        <v>51</v>
      </c>
      <c r="G651" s="169" t="s">
        <v>51</v>
      </c>
      <c r="H651" s="169">
        <v>34</v>
      </c>
      <c r="I651" s="136" t="str">
        <f t="shared" si="31"/>
        <v>DATE</v>
      </c>
      <c r="J651" s="169" t="s">
        <v>1</v>
      </c>
      <c r="K651" s="169" t="s">
        <v>1</v>
      </c>
      <c r="L651" s="169">
        <v>30</v>
      </c>
      <c r="M651" s="168"/>
      <c r="N651" s="168"/>
      <c r="O651" s="168"/>
      <c r="P651" s="168"/>
      <c r="Q651" s="168" t="s">
        <v>0</v>
      </c>
      <c r="R651" s="168" t="s">
        <v>1</v>
      </c>
      <c r="S651" s="178" t="str">
        <f t="shared" si="32"/>
        <v>D_DIC_PRIN_PM_SCHED_TYPESTART_DT</v>
      </c>
    </row>
    <row r="652" spans="1:19" ht="14.4" x14ac:dyDescent="0.3">
      <c r="A652" s="169" t="s">
        <v>415</v>
      </c>
      <c r="B652" s="171" t="str">
        <f t="shared" si="30"/>
        <v>Классификатор контрагента</v>
      </c>
      <c r="C652" s="169" t="s">
        <v>763</v>
      </c>
      <c r="D652" s="169">
        <v>339</v>
      </c>
      <c r="E652" s="169">
        <v>1</v>
      </c>
      <c r="F652" s="169" t="s">
        <v>763</v>
      </c>
      <c r="G652" s="169" t="s">
        <v>763</v>
      </c>
      <c r="H652" s="169">
        <v>13</v>
      </c>
      <c r="I652" s="136" t="str">
        <f t="shared" si="31"/>
        <v xml:space="preserve">VARCHAR(300) </v>
      </c>
      <c r="J652" s="169" t="s">
        <v>0</v>
      </c>
      <c r="K652" s="169" t="s">
        <v>1</v>
      </c>
      <c r="L652" s="169">
        <v>30</v>
      </c>
      <c r="M652" s="168"/>
      <c r="N652" s="168"/>
      <c r="O652" s="168"/>
      <c r="P652" s="168"/>
      <c r="Q652" s="168" t="s">
        <v>0</v>
      </c>
      <c r="R652" s="168" t="s">
        <v>1</v>
      </c>
      <c r="S652" s="178" t="str">
        <f t="shared" si="32"/>
        <v>D_DIC_REGLTRY_CP_TYPEBASELI_CP_CD</v>
      </c>
    </row>
    <row r="653" spans="1:19" ht="14.4" x14ac:dyDescent="0.3">
      <c r="A653" s="169" t="s">
        <v>415</v>
      </c>
      <c r="B653" s="171" t="str">
        <f t="shared" si="30"/>
        <v>Классификатор контрагента</v>
      </c>
      <c r="C653" s="169" t="s">
        <v>452</v>
      </c>
      <c r="D653" s="169">
        <v>340</v>
      </c>
      <c r="E653" s="169">
        <v>2</v>
      </c>
      <c r="F653" s="169" t="s">
        <v>452</v>
      </c>
      <c r="G653" s="169" t="s">
        <v>452</v>
      </c>
      <c r="H653" s="169">
        <v>24</v>
      </c>
      <c r="I653" s="136" t="str">
        <f t="shared" si="31"/>
        <v xml:space="preserve">VARCHAR(40) </v>
      </c>
      <c r="J653" s="169" t="s">
        <v>0</v>
      </c>
      <c r="K653" s="169" t="s">
        <v>1</v>
      </c>
      <c r="L653" s="169">
        <v>30</v>
      </c>
      <c r="M653" s="168"/>
      <c r="N653" s="168"/>
      <c r="O653" s="168"/>
      <c r="P653" s="168"/>
      <c r="Q653" s="168" t="s">
        <v>0</v>
      </c>
      <c r="R653" s="168" t="s">
        <v>1</v>
      </c>
      <c r="S653" s="178" t="str">
        <f t="shared" si="32"/>
        <v>D_DIC_REGLTRY_CP_TYPECONFIGURATION_CD</v>
      </c>
    </row>
    <row r="654" spans="1:19" ht="14.4" x14ac:dyDescent="0.3">
      <c r="A654" s="169" t="s">
        <v>415</v>
      </c>
      <c r="B654" s="171" t="str">
        <f t="shared" si="30"/>
        <v>Классификатор контрагента</v>
      </c>
      <c r="C654" s="169" t="s">
        <v>755</v>
      </c>
      <c r="D654" s="169">
        <v>341</v>
      </c>
      <c r="E654" s="169">
        <v>3</v>
      </c>
      <c r="F654" s="169" t="s">
        <v>755</v>
      </c>
      <c r="G654" s="169" t="s">
        <v>755</v>
      </c>
      <c r="H654" s="169">
        <v>13</v>
      </c>
      <c r="I654" s="136" t="str">
        <f t="shared" si="31"/>
        <v xml:space="preserve">VARCHAR(300) </v>
      </c>
      <c r="J654" s="169" t="s">
        <v>0</v>
      </c>
      <c r="K654" s="169" t="s">
        <v>1</v>
      </c>
      <c r="L654" s="169">
        <v>30</v>
      </c>
      <c r="M654" s="168"/>
      <c r="N654" s="168"/>
      <c r="O654" s="168"/>
      <c r="P654" s="168"/>
      <c r="Q654" s="168" t="s">
        <v>0</v>
      </c>
      <c r="R654" s="168" t="s">
        <v>1</v>
      </c>
      <c r="S654" s="178" t="str">
        <f t="shared" si="32"/>
        <v>D_DIC_REGLTRY_CP_TYPECP_CLASS_NM</v>
      </c>
    </row>
    <row r="655" spans="1:19" ht="14.4" x14ac:dyDescent="0.3">
      <c r="A655" s="169" t="s">
        <v>415</v>
      </c>
      <c r="B655" s="171" t="str">
        <f t="shared" si="30"/>
        <v>Классификатор контрагента</v>
      </c>
      <c r="C655" s="169" t="s">
        <v>757</v>
      </c>
      <c r="D655" s="169">
        <v>342</v>
      </c>
      <c r="E655" s="169">
        <v>4</v>
      </c>
      <c r="F655" s="169" t="s">
        <v>757</v>
      </c>
      <c r="G655" s="169" t="s">
        <v>757</v>
      </c>
      <c r="H655" s="169">
        <v>13</v>
      </c>
      <c r="I655" s="136" t="str">
        <f t="shared" si="31"/>
        <v xml:space="preserve">VARCHAR(300) </v>
      </c>
      <c r="J655" s="169" t="s">
        <v>0</v>
      </c>
      <c r="K655" s="169" t="s">
        <v>1</v>
      </c>
      <c r="L655" s="169">
        <v>30</v>
      </c>
      <c r="M655" s="168"/>
      <c r="N655" s="168"/>
      <c r="O655" s="168"/>
      <c r="P655" s="168"/>
      <c r="Q655" s="168" t="s">
        <v>0</v>
      </c>
      <c r="R655" s="168" t="s">
        <v>1</v>
      </c>
      <c r="S655" s="178" t="str">
        <f t="shared" si="32"/>
        <v>D_DIC_REGLTRY_CP_TYPECP_CLASS_REP_NM</v>
      </c>
    </row>
    <row r="656" spans="1:19" ht="14.4" x14ac:dyDescent="0.3">
      <c r="A656" s="169" t="s">
        <v>415</v>
      </c>
      <c r="B656" s="171" t="str">
        <f t="shared" si="30"/>
        <v>Классификатор контрагента</v>
      </c>
      <c r="C656" s="169" t="s">
        <v>759</v>
      </c>
      <c r="D656" s="169">
        <v>343</v>
      </c>
      <c r="E656" s="169">
        <v>5</v>
      </c>
      <c r="F656" s="169" t="s">
        <v>759</v>
      </c>
      <c r="G656" s="169" t="s">
        <v>759</v>
      </c>
      <c r="H656" s="169">
        <v>13</v>
      </c>
      <c r="I656" s="136" t="str">
        <f t="shared" si="31"/>
        <v xml:space="preserve">VARCHAR(300) </v>
      </c>
      <c r="J656" s="169" t="s">
        <v>0</v>
      </c>
      <c r="K656" s="169" t="s">
        <v>1</v>
      </c>
      <c r="L656" s="169">
        <v>30</v>
      </c>
      <c r="M656" s="168"/>
      <c r="N656" s="168"/>
      <c r="O656" s="168"/>
      <c r="P656" s="168"/>
      <c r="Q656" s="168" t="s">
        <v>0</v>
      </c>
      <c r="R656" s="168" t="s">
        <v>1</v>
      </c>
      <c r="S656" s="178" t="str">
        <f t="shared" si="32"/>
        <v>D_DIC_REGLTRY_CP_TYPECP_SUBCLASS_NM</v>
      </c>
    </row>
    <row r="657" spans="1:19" ht="14.4" x14ac:dyDescent="0.3">
      <c r="A657" s="169" t="s">
        <v>415</v>
      </c>
      <c r="B657" s="171" t="str">
        <f t="shared" si="30"/>
        <v>Классификатор контрагента</v>
      </c>
      <c r="C657" s="169" t="s">
        <v>761</v>
      </c>
      <c r="D657" s="169">
        <v>344</v>
      </c>
      <c r="E657" s="169">
        <v>6</v>
      </c>
      <c r="F657" s="169" t="s">
        <v>761</v>
      </c>
      <c r="G657" s="169" t="s">
        <v>761</v>
      </c>
      <c r="H657" s="169">
        <v>13</v>
      </c>
      <c r="I657" s="136" t="str">
        <f t="shared" si="31"/>
        <v xml:space="preserve">VARCHAR(300) </v>
      </c>
      <c r="J657" s="169" t="s">
        <v>0</v>
      </c>
      <c r="K657" s="169" t="s">
        <v>1</v>
      </c>
      <c r="L657" s="169">
        <v>30</v>
      </c>
      <c r="M657" s="168"/>
      <c r="N657" s="168"/>
      <c r="O657" s="168"/>
      <c r="P657" s="168"/>
      <c r="Q657" s="168" t="s">
        <v>0</v>
      </c>
      <c r="R657" s="168" t="s">
        <v>1</v>
      </c>
      <c r="S657" s="178" t="str">
        <f t="shared" si="32"/>
        <v>D_DIC_REGLTRY_CP_TYPECP_SUBCLASS_REP_NM</v>
      </c>
    </row>
    <row r="658" spans="1:19" ht="14.4" x14ac:dyDescent="0.3">
      <c r="A658" s="169" t="s">
        <v>415</v>
      </c>
      <c r="B658" s="171" t="str">
        <f t="shared" si="30"/>
        <v>Классификатор контрагента</v>
      </c>
      <c r="C658" s="169" t="s">
        <v>1564</v>
      </c>
      <c r="D658" s="169">
        <v>345</v>
      </c>
      <c r="E658" s="169">
        <v>7</v>
      </c>
      <c r="F658" s="169" t="s">
        <v>1564</v>
      </c>
      <c r="G658" s="169" t="s">
        <v>1564</v>
      </c>
      <c r="H658" s="169">
        <v>15</v>
      </c>
      <c r="I658" s="136" t="str">
        <f t="shared" si="31"/>
        <v xml:space="preserve">CHAR(1) </v>
      </c>
      <c r="J658" s="169" t="s">
        <v>0</v>
      </c>
      <c r="K658" s="169" t="s">
        <v>1</v>
      </c>
      <c r="L658" s="169">
        <v>30</v>
      </c>
      <c r="M658" s="168"/>
      <c r="N658" s="168"/>
      <c r="O658" s="168"/>
      <c r="P658" s="168"/>
      <c r="Q658" s="168" t="s">
        <v>0</v>
      </c>
      <c r="R658" s="168" t="s">
        <v>1</v>
      </c>
      <c r="S658" s="178" t="str">
        <f t="shared" si="32"/>
        <v>D_DIC_REGLTRY_CP_TYPEELIGIBLE_TREAT_GUARANTOR_IND</v>
      </c>
    </row>
    <row r="659" spans="1:19" ht="14.4" x14ac:dyDescent="0.3">
      <c r="A659" s="169" t="s">
        <v>415</v>
      </c>
      <c r="B659" s="171" t="str">
        <f t="shared" si="30"/>
        <v>Классификатор контрагента</v>
      </c>
      <c r="C659" s="169" t="s">
        <v>1448</v>
      </c>
      <c r="D659" s="169">
        <v>346</v>
      </c>
      <c r="E659" s="169">
        <v>8</v>
      </c>
      <c r="F659" s="169" t="s">
        <v>1448</v>
      </c>
      <c r="G659" s="169" t="s">
        <v>1448</v>
      </c>
      <c r="H659" s="169">
        <v>15</v>
      </c>
      <c r="I659" s="136" t="str">
        <f t="shared" si="31"/>
        <v xml:space="preserve">CHAR(1) </v>
      </c>
      <c r="J659" s="169" t="s">
        <v>0</v>
      </c>
      <c r="K659" s="169" t="s">
        <v>1</v>
      </c>
      <c r="L659" s="169">
        <v>30</v>
      </c>
      <c r="M659" s="168"/>
      <c r="N659" s="168"/>
      <c r="O659" s="168"/>
      <c r="P659" s="168"/>
      <c r="Q659" s="168" t="s">
        <v>0</v>
      </c>
      <c r="R659" s="168" t="s">
        <v>1</v>
      </c>
      <c r="S659" s="178" t="str">
        <f t="shared" si="32"/>
        <v>D_DIC_REGLTRY_CP_TYPEELIGIBLE_TREAT_OBLIGOR_IND</v>
      </c>
    </row>
    <row r="660" spans="1:19" ht="14.4" x14ac:dyDescent="0.3">
      <c r="A660" s="169" t="s">
        <v>415</v>
      </c>
      <c r="B660" s="171" t="str">
        <f t="shared" si="30"/>
        <v>Классификатор контрагента</v>
      </c>
      <c r="C660" s="169" t="s">
        <v>52</v>
      </c>
      <c r="D660" s="169">
        <v>347</v>
      </c>
      <c r="E660" s="169">
        <v>9</v>
      </c>
      <c r="F660" s="169" t="s">
        <v>52</v>
      </c>
      <c r="G660" s="169" t="s">
        <v>52</v>
      </c>
      <c r="H660" s="169">
        <v>34</v>
      </c>
      <c r="I660" s="136" t="str">
        <f t="shared" si="31"/>
        <v>DATE</v>
      </c>
      <c r="J660" s="169" t="s">
        <v>1</v>
      </c>
      <c r="K660" s="169" t="s">
        <v>1</v>
      </c>
      <c r="L660" s="169">
        <v>30</v>
      </c>
      <c r="M660" s="168"/>
      <c r="N660" s="168"/>
      <c r="O660" s="168"/>
      <c r="P660" s="168"/>
      <c r="Q660" s="168" t="s">
        <v>0</v>
      </c>
      <c r="R660" s="168" t="s">
        <v>1</v>
      </c>
      <c r="S660" s="178" t="str">
        <f t="shared" si="32"/>
        <v>D_DIC_REGLTRY_CP_TYPEEND_DT</v>
      </c>
    </row>
    <row r="661" spans="1:19" ht="14.4" x14ac:dyDescent="0.3">
      <c r="A661" s="169" t="s">
        <v>415</v>
      </c>
      <c r="B661" s="171" t="str">
        <f t="shared" si="30"/>
        <v>Классификатор контрагента</v>
      </c>
      <c r="C661" s="169" t="s">
        <v>749</v>
      </c>
      <c r="D661" s="169">
        <v>348</v>
      </c>
      <c r="E661" s="169">
        <v>10</v>
      </c>
      <c r="F661" s="169" t="s">
        <v>749</v>
      </c>
      <c r="G661" s="169" t="s">
        <v>749</v>
      </c>
      <c r="H661" s="169">
        <v>13</v>
      </c>
      <c r="I661" s="136" t="str">
        <f t="shared" si="31"/>
        <v xml:space="preserve">VARCHAR(300) </v>
      </c>
      <c r="J661" s="169" t="s">
        <v>0</v>
      </c>
      <c r="K661" s="169" t="s">
        <v>1</v>
      </c>
      <c r="L661" s="169">
        <v>30</v>
      </c>
      <c r="M661" s="168"/>
      <c r="N661" s="168"/>
      <c r="O661" s="168"/>
      <c r="P661" s="168"/>
      <c r="Q661" s="168" t="s">
        <v>0</v>
      </c>
      <c r="R661" s="168" t="s">
        <v>1</v>
      </c>
      <c r="S661" s="178" t="str">
        <f t="shared" si="32"/>
        <v>D_DIC_REGLTRY_CP_TYPEREGLTRY_CP_TYPE_CD</v>
      </c>
    </row>
    <row r="662" spans="1:19" ht="14.4" x14ac:dyDescent="0.3">
      <c r="A662" s="169" t="s">
        <v>415</v>
      </c>
      <c r="B662" s="171" t="str">
        <f t="shared" si="30"/>
        <v>Классификатор контрагента</v>
      </c>
      <c r="C662" s="169" t="s">
        <v>765</v>
      </c>
      <c r="D662" s="169">
        <v>349</v>
      </c>
      <c r="E662" s="169">
        <v>11</v>
      </c>
      <c r="F662" s="169" t="s">
        <v>765</v>
      </c>
      <c r="G662" s="169" t="s">
        <v>765</v>
      </c>
      <c r="H662" s="169">
        <v>19</v>
      </c>
      <c r="I662" s="136" t="str">
        <f t="shared" si="31"/>
        <v xml:space="preserve">VARCHAR(1000) </v>
      </c>
      <c r="J662" s="169" t="s">
        <v>0</v>
      </c>
      <c r="K662" s="169" t="s">
        <v>1</v>
      </c>
      <c r="L662" s="169">
        <v>30</v>
      </c>
      <c r="M662" s="168"/>
      <c r="N662" s="168"/>
      <c r="O662" s="168"/>
      <c r="P662" s="168"/>
      <c r="Q662" s="168" t="s">
        <v>0</v>
      </c>
      <c r="R662" s="168" t="s">
        <v>1</v>
      </c>
      <c r="S662" s="178" t="str">
        <f t="shared" si="32"/>
        <v>D_DIC_REGLTRY_CP_TYPEREGLTRY_CP_TYPE_DSC</v>
      </c>
    </row>
    <row r="663" spans="1:19" ht="14.4" x14ac:dyDescent="0.3">
      <c r="A663" s="169" t="s">
        <v>415</v>
      </c>
      <c r="B663" s="171" t="str">
        <f t="shared" si="30"/>
        <v>Классификатор контрагента</v>
      </c>
      <c r="C663" s="169" t="s">
        <v>486</v>
      </c>
      <c r="D663" s="169">
        <v>350</v>
      </c>
      <c r="E663" s="169">
        <v>12</v>
      </c>
      <c r="F663" s="169" t="s">
        <v>486</v>
      </c>
      <c r="G663" s="169" t="s">
        <v>486</v>
      </c>
      <c r="H663" s="169">
        <v>7</v>
      </c>
      <c r="I663" s="136" t="str">
        <f t="shared" si="31"/>
        <v>BIGINT</v>
      </c>
      <c r="J663" s="169" t="s">
        <v>1</v>
      </c>
      <c r="K663" s="169" t="s">
        <v>0</v>
      </c>
      <c r="L663" s="169">
        <v>30</v>
      </c>
      <c r="M663" s="168"/>
      <c r="N663" s="168"/>
      <c r="O663" s="168"/>
      <c r="P663" s="168"/>
      <c r="Q663" s="168" t="s">
        <v>0</v>
      </c>
      <c r="R663" s="168" t="s">
        <v>1</v>
      </c>
      <c r="S663" s="178" t="str">
        <f t="shared" si="32"/>
        <v>D_DIC_REGLTRY_CP_TYPEREGLTRY_CP_TYPE_ID</v>
      </c>
    </row>
    <row r="664" spans="1:19" ht="14.4" x14ac:dyDescent="0.3">
      <c r="A664" s="169" t="s">
        <v>415</v>
      </c>
      <c r="B664" s="171" t="str">
        <f t="shared" si="30"/>
        <v>Классификатор контрагента</v>
      </c>
      <c r="C664" s="169" t="s">
        <v>751</v>
      </c>
      <c r="D664" s="169">
        <v>351</v>
      </c>
      <c r="E664" s="169">
        <v>13</v>
      </c>
      <c r="F664" s="169" t="s">
        <v>751</v>
      </c>
      <c r="G664" s="169" t="s">
        <v>751</v>
      </c>
      <c r="H664" s="169">
        <v>13</v>
      </c>
      <c r="I664" s="136" t="str">
        <f t="shared" si="31"/>
        <v xml:space="preserve">VARCHAR(300) </v>
      </c>
      <c r="J664" s="169" t="s">
        <v>0</v>
      </c>
      <c r="K664" s="169" t="s">
        <v>1</v>
      </c>
      <c r="L664" s="169">
        <v>30</v>
      </c>
      <c r="M664" s="168"/>
      <c r="N664" s="168"/>
      <c r="O664" s="168"/>
      <c r="P664" s="168"/>
      <c r="Q664" s="168" t="s">
        <v>0</v>
      </c>
      <c r="R664" s="168" t="s">
        <v>1</v>
      </c>
      <c r="S664" s="178" t="str">
        <f t="shared" si="32"/>
        <v>D_DIC_REGLTRY_CP_TYPEREGLTRY_CP_TYPE_NM</v>
      </c>
    </row>
    <row r="665" spans="1:19" ht="14.4" x14ac:dyDescent="0.3">
      <c r="A665" s="169" t="s">
        <v>415</v>
      </c>
      <c r="B665" s="171" t="str">
        <f t="shared" si="30"/>
        <v>Классификатор контрагента</v>
      </c>
      <c r="C665" s="169" t="s">
        <v>753</v>
      </c>
      <c r="D665" s="169">
        <v>352</v>
      </c>
      <c r="E665" s="169">
        <v>14</v>
      </c>
      <c r="F665" s="169" t="s">
        <v>753</v>
      </c>
      <c r="G665" s="169" t="s">
        <v>753</v>
      </c>
      <c r="H665" s="169">
        <v>13</v>
      </c>
      <c r="I665" s="136" t="str">
        <f t="shared" si="31"/>
        <v xml:space="preserve">VARCHAR(300) </v>
      </c>
      <c r="J665" s="169" t="s">
        <v>0</v>
      </c>
      <c r="K665" s="169" t="s">
        <v>1</v>
      </c>
      <c r="L665" s="169">
        <v>30</v>
      </c>
      <c r="M665" s="168"/>
      <c r="N665" s="168"/>
      <c r="O665" s="168"/>
      <c r="P665" s="168"/>
      <c r="Q665" s="168" t="s">
        <v>0</v>
      </c>
      <c r="R665" s="168" t="s">
        <v>1</v>
      </c>
      <c r="S665" s="178" t="str">
        <f t="shared" si="32"/>
        <v>D_DIC_REGLTRY_CP_TYPEREGLTRY_CP_TYPE_REP_NM</v>
      </c>
    </row>
    <row r="666" spans="1:19" ht="14.4" x14ac:dyDescent="0.3">
      <c r="A666" s="169" t="s">
        <v>415</v>
      </c>
      <c r="B666" s="171" t="str">
        <f t="shared" si="30"/>
        <v>Классификатор контрагента</v>
      </c>
      <c r="C666" s="169" t="s">
        <v>51</v>
      </c>
      <c r="D666" s="169">
        <v>353</v>
      </c>
      <c r="E666" s="169">
        <v>15</v>
      </c>
      <c r="F666" s="169" t="s">
        <v>51</v>
      </c>
      <c r="G666" s="169" t="s">
        <v>51</v>
      </c>
      <c r="H666" s="169">
        <v>34</v>
      </c>
      <c r="I666" s="136" t="str">
        <f t="shared" si="31"/>
        <v>DATE</v>
      </c>
      <c r="J666" s="169" t="s">
        <v>1</v>
      </c>
      <c r="K666" s="169" t="s">
        <v>1</v>
      </c>
      <c r="L666" s="169">
        <v>30</v>
      </c>
      <c r="M666" s="168"/>
      <c r="N666" s="168"/>
      <c r="O666" s="168"/>
      <c r="P666" s="168"/>
      <c r="Q666" s="168" t="s">
        <v>0</v>
      </c>
      <c r="R666" s="168" t="s">
        <v>1</v>
      </c>
      <c r="S666" s="178" t="str">
        <f t="shared" si="32"/>
        <v>D_DIC_REGLTRY_CP_TYPESTART_DT</v>
      </c>
    </row>
    <row r="667" spans="1:19" ht="14.4" x14ac:dyDescent="0.3">
      <c r="A667" s="169" t="s">
        <v>1347</v>
      </c>
      <c r="B667" s="171" t="str">
        <f t="shared" si="30"/>
        <v>D_DIC_REGLTRY_PRODUCT_TYPE</v>
      </c>
      <c r="C667" s="169" t="s">
        <v>452</v>
      </c>
      <c r="D667" s="169">
        <v>354</v>
      </c>
      <c r="E667" s="169">
        <v>1</v>
      </c>
      <c r="F667" s="169" t="s">
        <v>452</v>
      </c>
      <c r="G667" s="169" t="s">
        <v>452</v>
      </c>
      <c r="H667" s="169">
        <v>24</v>
      </c>
      <c r="I667" s="136" t="str">
        <f t="shared" si="31"/>
        <v xml:space="preserve">VARCHAR(40) </v>
      </c>
      <c r="J667" s="169" t="s">
        <v>0</v>
      </c>
      <c r="K667" s="169" t="s">
        <v>1</v>
      </c>
      <c r="L667" s="169">
        <v>30</v>
      </c>
      <c r="M667" s="168"/>
      <c r="N667" s="168"/>
      <c r="O667" s="168"/>
      <c r="P667" s="168"/>
      <c r="Q667" s="168" t="s">
        <v>0</v>
      </c>
      <c r="R667" s="168" t="s">
        <v>1</v>
      </c>
      <c r="S667" s="178" t="str">
        <f t="shared" si="32"/>
        <v>D_DIC_REGLTRY_PRODUCT_TYPECONFIGURATION_CD</v>
      </c>
    </row>
    <row r="668" spans="1:19" ht="14.4" x14ac:dyDescent="0.3">
      <c r="A668" s="169" t="s">
        <v>1347</v>
      </c>
      <c r="B668" s="171" t="str">
        <f t="shared" si="30"/>
        <v>D_DIC_REGLTRY_PRODUCT_TYPE</v>
      </c>
      <c r="C668" s="169" t="s">
        <v>52</v>
      </c>
      <c r="D668" s="169">
        <v>355</v>
      </c>
      <c r="E668" s="169">
        <v>2</v>
      </c>
      <c r="F668" s="169" t="s">
        <v>52</v>
      </c>
      <c r="G668" s="169" t="s">
        <v>52</v>
      </c>
      <c r="H668" s="169">
        <v>34</v>
      </c>
      <c r="I668" s="136" t="str">
        <f t="shared" si="31"/>
        <v>DATE</v>
      </c>
      <c r="J668" s="169" t="s">
        <v>1</v>
      </c>
      <c r="K668" s="169" t="s">
        <v>1</v>
      </c>
      <c r="L668" s="169">
        <v>30</v>
      </c>
      <c r="M668" s="168"/>
      <c r="N668" s="168"/>
      <c r="O668" s="168"/>
      <c r="P668" s="168"/>
      <c r="Q668" s="168" t="s">
        <v>0</v>
      </c>
      <c r="R668" s="168" t="s">
        <v>1</v>
      </c>
      <c r="S668" s="178" t="str">
        <f t="shared" si="32"/>
        <v>D_DIC_REGLTRY_PRODUCT_TYPEEND_DT</v>
      </c>
    </row>
    <row r="669" spans="1:19" ht="14.4" x14ac:dyDescent="0.3">
      <c r="A669" s="169" t="s">
        <v>1347</v>
      </c>
      <c r="B669" s="171" t="str">
        <f t="shared" si="30"/>
        <v>D_DIC_REGLTRY_PRODUCT_TYPE</v>
      </c>
      <c r="C669" s="169" t="s">
        <v>914</v>
      </c>
      <c r="D669" s="169">
        <v>356</v>
      </c>
      <c r="E669" s="169">
        <v>3</v>
      </c>
      <c r="F669" s="169" t="s">
        <v>914</v>
      </c>
      <c r="G669" s="169" t="s">
        <v>914</v>
      </c>
      <c r="H669" s="169">
        <v>13</v>
      </c>
      <c r="I669" s="136" t="str">
        <f t="shared" si="31"/>
        <v xml:space="preserve">VARCHAR(300) </v>
      </c>
      <c r="J669" s="169" t="s">
        <v>0</v>
      </c>
      <c r="K669" s="169" t="s">
        <v>1</v>
      </c>
      <c r="L669" s="169">
        <v>30</v>
      </c>
      <c r="M669" s="168"/>
      <c r="N669" s="168"/>
      <c r="O669" s="168"/>
      <c r="P669" s="168"/>
      <c r="Q669" s="168" t="s">
        <v>0</v>
      </c>
      <c r="R669" s="168" t="s">
        <v>1</v>
      </c>
      <c r="S669" s="178" t="str">
        <f t="shared" si="32"/>
        <v>D_DIC_REGLTRY_PRODUCT_TYPEIRB_PRODUCT_CLASS_NM</v>
      </c>
    </row>
    <row r="670" spans="1:19" ht="14.4" x14ac:dyDescent="0.3">
      <c r="A670" s="169" t="s">
        <v>1347</v>
      </c>
      <c r="B670" s="171" t="str">
        <f t="shared" si="30"/>
        <v>D_DIC_REGLTRY_PRODUCT_TYPE</v>
      </c>
      <c r="C670" s="169" t="s">
        <v>915</v>
      </c>
      <c r="D670" s="169">
        <v>357</v>
      </c>
      <c r="E670" s="169">
        <v>4</v>
      </c>
      <c r="F670" s="169" t="s">
        <v>915</v>
      </c>
      <c r="G670" s="169" t="s">
        <v>915</v>
      </c>
      <c r="H670" s="169">
        <v>13</v>
      </c>
      <c r="I670" s="136" t="str">
        <f t="shared" si="31"/>
        <v xml:space="preserve">VARCHAR(300) </v>
      </c>
      <c r="J670" s="169" t="s">
        <v>0</v>
      </c>
      <c r="K670" s="169" t="s">
        <v>1</v>
      </c>
      <c r="L670" s="169">
        <v>30</v>
      </c>
      <c r="M670" s="168"/>
      <c r="N670" s="168"/>
      <c r="O670" s="168"/>
      <c r="P670" s="168"/>
      <c r="Q670" s="168" t="s">
        <v>0</v>
      </c>
      <c r="R670" s="168" t="s">
        <v>1</v>
      </c>
      <c r="S670" s="178" t="str">
        <f t="shared" si="32"/>
        <v>D_DIC_REGLTRY_PRODUCT_TYPEIRB_PRODUCT_CLASS_REP_NM</v>
      </c>
    </row>
    <row r="671" spans="1:19" ht="14.4" x14ac:dyDescent="0.3">
      <c r="A671" s="169" t="s">
        <v>1347</v>
      </c>
      <c r="B671" s="171" t="str">
        <f t="shared" si="30"/>
        <v>D_DIC_REGLTRY_PRODUCT_TYPE</v>
      </c>
      <c r="C671" s="169" t="s">
        <v>916</v>
      </c>
      <c r="D671" s="169">
        <v>358</v>
      </c>
      <c r="E671" s="169">
        <v>5</v>
      </c>
      <c r="F671" s="169" t="s">
        <v>916</v>
      </c>
      <c r="G671" s="169" t="s">
        <v>916</v>
      </c>
      <c r="H671" s="169">
        <v>13</v>
      </c>
      <c r="I671" s="136" t="str">
        <f t="shared" si="31"/>
        <v xml:space="preserve">VARCHAR(300) </v>
      </c>
      <c r="J671" s="169" t="s">
        <v>0</v>
      </c>
      <c r="K671" s="169" t="s">
        <v>1</v>
      </c>
      <c r="L671" s="169">
        <v>30</v>
      </c>
      <c r="M671" s="168"/>
      <c r="N671" s="168"/>
      <c r="O671" s="168"/>
      <c r="P671" s="168"/>
      <c r="Q671" s="168" t="s">
        <v>0</v>
      </c>
      <c r="R671" s="168" t="s">
        <v>1</v>
      </c>
      <c r="S671" s="178" t="str">
        <f t="shared" si="32"/>
        <v>D_DIC_REGLTRY_PRODUCT_TYPEIRB_PRODUCT_SUBCLASS_NM</v>
      </c>
    </row>
    <row r="672" spans="1:19" ht="14.4" x14ac:dyDescent="0.3">
      <c r="A672" s="169" t="s">
        <v>1347</v>
      </c>
      <c r="B672" s="171" t="str">
        <f t="shared" si="30"/>
        <v>D_DIC_REGLTRY_PRODUCT_TYPE</v>
      </c>
      <c r="C672" s="169" t="s">
        <v>917</v>
      </c>
      <c r="D672" s="169">
        <v>359</v>
      </c>
      <c r="E672" s="169">
        <v>6</v>
      </c>
      <c r="F672" s="169" t="s">
        <v>917</v>
      </c>
      <c r="G672" s="169" t="s">
        <v>917</v>
      </c>
      <c r="H672" s="169">
        <v>13</v>
      </c>
      <c r="I672" s="136" t="str">
        <f t="shared" si="31"/>
        <v xml:space="preserve">VARCHAR(300) </v>
      </c>
      <c r="J672" s="169" t="s">
        <v>0</v>
      </c>
      <c r="K672" s="169" t="s">
        <v>1</v>
      </c>
      <c r="L672" s="169">
        <v>30</v>
      </c>
      <c r="M672" s="168"/>
      <c r="N672" s="168"/>
      <c r="O672" s="168"/>
      <c r="P672" s="168"/>
      <c r="Q672" s="168" t="s">
        <v>0</v>
      </c>
      <c r="R672" s="168" t="s">
        <v>1</v>
      </c>
      <c r="S672" s="178" t="str">
        <f t="shared" si="32"/>
        <v>D_DIC_REGLTRY_PRODUCT_TYPEIRB_PRODUCT_SUBCLASS_REP_NM</v>
      </c>
    </row>
    <row r="673" spans="1:19" ht="14.4" x14ac:dyDescent="0.3">
      <c r="A673" s="169" t="s">
        <v>1347</v>
      </c>
      <c r="B673" s="171" t="str">
        <f t="shared" si="30"/>
        <v>D_DIC_REGLTRY_PRODUCT_TYPE</v>
      </c>
      <c r="C673" s="169" t="s">
        <v>909</v>
      </c>
      <c r="D673" s="169">
        <v>360</v>
      </c>
      <c r="E673" s="169">
        <v>7</v>
      </c>
      <c r="F673" s="169" t="s">
        <v>909</v>
      </c>
      <c r="G673" s="169" t="s">
        <v>909</v>
      </c>
      <c r="H673" s="169">
        <v>13</v>
      </c>
      <c r="I673" s="136" t="str">
        <f t="shared" si="31"/>
        <v xml:space="preserve">VARCHAR(300) </v>
      </c>
      <c r="J673" s="169" t="s">
        <v>1</v>
      </c>
      <c r="K673" s="169" t="s">
        <v>1</v>
      </c>
      <c r="L673" s="169">
        <v>30</v>
      </c>
      <c r="M673" s="168"/>
      <c r="N673" s="168"/>
      <c r="O673" s="168"/>
      <c r="P673" s="168"/>
      <c r="Q673" s="168" t="s">
        <v>0</v>
      </c>
      <c r="R673" s="168" t="s">
        <v>1</v>
      </c>
      <c r="S673" s="178" t="str">
        <f t="shared" si="32"/>
        <v>D_DIC_REGLTRY_PRODUCT_TYPEREGLTRY_PRODUCT_TYPE_CD</v>
      </c>
    </row>
    <row r="674" spans="1:19" ht="14.4" x14ac:dyDescent="0.3">
      <c r="A674" s="169" t="s">
        <v>1347</v>
      </c>
      <c r="B674" s="171" t="str">
        <f t="shared" si="30"/>
        <v>D_DIC_REGLTRY_PRODUCT_TYPE</v>
      </c>
      <c r="C674" s="169" t="s">
        <v>910</v>
      </c>
      <c r="D674" s="169">
        <v>361</v>
      </c>
      <c r="E674" s="169">
        <v>8</v>
      </c>
      <c r="F674" s="169" t="s">
        <v>910</v>
      </c>
      <c r="G674" s="169" t="s">
        <v>910</v>
      </c>
      <c r="H674" s="169">
        <v>13</v>
      </c>
      <c r="I674" s="136" t="str">
        <f t="shared" si="31"/>
        <v xml:space="preserve">VARCHAR(300) </v>
      </c>
      <c r="J674" s="169" t="s">
        <v>0</v>
      </c>
      <c r="K674" s="169" t="s">
        <v>1</v>
      </c>
      <c r="L674" s="169">
        <v>30</v>
      </c>
      <c r="M674" s="168"/>
      <c r="N674" s="168"/>
      <c r="O674" s="168"/>
      <c r="P674" s="168"/>
      <c r="Q674" s="168" t="s">
        <v>0</v>
      </c>
      <c r="R674" s="168" t="s">
        <v>1</v>
      </c>
      <c r="S674" s="178" t="str">
        <f t="shared" si="32"/>
        <v>D_DIC_REGLTRY_PRODUCT_TYPEREGLTRY_PRODUCT_TYPE_DSC</v>
      </c>
    </row>
    <row r="675" spans="1:19" ht="14.4" x14ac:dyDescent="0.3">
      <c r="A675" s="169" t="s">
        <v>1347</v>
      </c>
      <c r="B675" s="171" t="str">
        <f t="shared" si="30"/>
        <v>D_DIC_REGLTRY_PRODUCT_TYPE</v>
      </c>
      <c r="C675" s="169" t="s">
        <v>511</v>
      </c>
      <c r="D675" s="169">
        <v>362</v>
      </c>
      <c r="E675" s="169">
        <v>9</v>
      </c>
      <c r="F675" s="169" t="s">
        <v>511</v>
      </c>
      <c r="G675" s="169" t="s">
        <v>511</v>
      </c>
      <c r="H675" s="169">
        <v>7</v>
      </c>
      <c r="I675" s="136" t="str">
        <f t="shared" si="31"/>
        <v>BIGINT</v>
      </c>
      <c r="J675" s="169" t="s">
        <v>1</v>
      </c>
      <c r="K675" s="169" t="s">
        <v>0</v>
      </c>
      <c r="L675" s="169">
        <v>30</v>
      </c>
      <c r="M675" s="168"/>
      <c r="N675" s="168"/>
      <c r="O675" s="168"/>
      <c r="P675" s="168"/>
      <c r="Q675" s="168" t="s">
        <v>0</v>
      </c>
      <c r="R675" s="168" t="s">
        <v>1</v>
      </c>
      <c r="S675" s="178" t="str">
        <f t="shared" si="32"/>
        <v>D_DIC_REGLTRY_PRODUCT_TYPEREGLTRY_PRODUCT_TYPE_ID</v>
      </c>
    </row>
    <row r="676" spans="1:19" ht="14.4" x14ac:dyDescent="0.3">
      <c r="A676" s="169" t="s">
        <v>1347</v>
      </c>
      <c r="B676" s="171" t="str">
        <f t="shared" si="30"/>
        <v>D_DIC_REGLTRY_PRODUCT_TYPE</v>
      </c>
      <c r="C676" s="169" t="s">
        <v>911</v>
      </c>
      <c r="D676" s="169">
        <v>363</v>
      </c>
      <c r="E676" s="169">
        <v>10</v>
      </c>
      <c r="F676" s="169" t="s">
        <v>911</v>
      </c>
      <c r="G676" s="169" t="s">
        <v>911</v>
      </c>
      <c r="H676" s="169">
        <v>13</v>
      </c>
      <c r="I676" s="136" t="str">
        <f t="shared" si="31"/>
        <v xml:space="preserve">VARCHAR(300) </v>
      </c>
      <c r="J676" s="169" t="s">
        <v>0</v>
      </c>
      <c r="K676" s="169" t="s">
        <v>1</v>
      </c>
      <c r="L676" s="169">
        <v>30</v>
      </c>
      <c r="M676" s="168"/>
      <c r="N676" s="168"/>
      <c r="O676" s="168"/>
      <c r="P676" s="168"/>
      <c r="Q676" s="168" t="s">
        <v>0</v>
      </c>
      <c r="R676" s="168" t="s">
        <v>1</v>
      </c>
      <c r="S676" s="178" t="str">
        <f t="shared" si="32"/>
        <v>D_DIC_REGLTRY_PRODUCT_TYPEREGLTRY_PRODUCT_TYPE_REP_DSC</v>
      </c>
    </row>
    <row r="677" spans="1:19" ht="14.4" x14ac:dyDescent="0.3">
      <c r="A677" s="169" t="s">
        <v>1347</v>
      </c>
      <c r="B677" s="171" t="str">
        <f t="shared" si="30"/>
        <v>D_DIC_REGLTRY_PRODUCT_TYPE</v>
      </c>
      <c r="C677" s="169" t="s">
        <v>51</v>
      </c>
      <c r="D677" s="169">
        <v>364</v>
      </c>
      <c r="E677" s="169">
        <v>11</v>
      </c>
      <c r="F677" s="169" t="s">
        <v>51</v>
      </c>
      <c r="G677" s="169" t="s">
        <v>51</v>
      </c>
      <c r="H677" s="169">
        <v>34</v>
      </c>
      <c r="I677" s="136" t="str">
        <f t="shared" si="31"/>
        <v>DATE</v>
      </c>
      <c r="J677" s="169" t="s">
        <v>1</v>
      </c>
      <c r="K677" s="169" t="s">
        <v>1</v>
      </c>
      <c r="L677" s="169">
        <v>30</v>
      </c>
      <c r="M677" s="168"/>
      <c r="N677" s="168"/>
      <c r="O677" s="168"/>
      <c r="P677" s="168"/>
      <c r="Q677" s="168" t="s">
        <v>0</v>
      </c>
      <c r="R677" s="168" t="s">
        <v>1</v>
      </c>
      <c r="S677" s="178" t="str">
        <f t="shared" si="32"/>
        <v>D_DIC_REGLTRY_PRODUCT_TYPESTART_DT</v>
      </c>
    </row>
    <row r="678" spans="1:19" ht="14.4" x14ac:dyDescent="0.3">
      <c r="A678" s="169" t="s">
        <v>1347</v>
      </c>
      <c r="B678" s="171" t="str">
        <f t="shared" si="30"/>
        <v>D_DIC_REGLTRY_PRODUCT_TYPE</v>
      </c>
      <c r="C678" s="169" t="s">
        <v>912</v>
      </c>
      <c r="D678" s="169">
        <v>365</v>
      </c>
      <c r="E678" s="169">
        <v>12</v>
      </c>
      <c r="F678" s="169" t="s">
        <v>912</v>
      </c>
      <c r="G678" s="169" t="s">
        <v>912</v>
      </c>
      <c r="H678" s="169">
        <v>13</v>
      </c>
      <c r="I678" s="136" t="str">
        <f t="shared" si="31"/>
        <v xml:space="preserve">VARCHAR(300) </v>
      </c>
      <c r="J678" s="169" t="s">
        <v>0</v>
      </c>
      <c r="K678" s="169" t="s">
        <v>1</v>
      </c>
      <c r="L678" s="169">
        <v>30</v>
      </c>
      <c r="M678" s="168"/>
      <c r="N678" s="168"/>
      <c r="O678" s="168"/>
      <c r="P678" s="168"/>
      <c r="Q678" s="168" t="s">
        <v>0</v>
      </c>
      <c r="R678" s="168" t="s">
        <v>1</v>
      </c>
      <c r="S678" s="178" t="str">
        <f t="shared" si="32"/>
        <v>D_DIC_REGLTRY_PRODUCT_TYPESTD_PRODUCT_CLASS_NM</v>
      </c>
    </row>
    <row r="679" spans="1:19" ht="14.4" x14ac:dyDescent="0.3">
      <c r="A679" s="169" t="s">
        <v>1347</v>
      </c>
      <c r="B679" s="171" t="str">
        <f t="shared" si="30"/>
        <v>D_DIC_REGLTRY_PRODUCT_TYPE</v>
      </c>
      <c r="C679" s="169" t="s">
        <v>913</v>
      </c>
      <c r="D679" s="169">
        <v>366</v>
      </c>
      <c r="E679" s="169">
        <v>13</v>
      </c>
      <c r="F679" s="169" t="s">
        <v>913</v>
      </c>
      <c r="G679" s="169" t="s">
        <v>913</v>
      </c>
      <c r="H679" s="169">
        <v>13</v>
      </c>
      <c r="I679" s="136" t="str">
        <f t="shared" si="31"/>
        <v xml:space="preserve">VARCHAR(300) </v>
      </c>
      <c r="J679" s="169" t="s">
        <v>0</v>
      </c>
      <c r="K679" s="169" t="s">
        <v>1</v>
      </c>
      <c r="L679" s="169">
        <v>30</v>
      </c>
      <c r="M679" s="168"/>
      <c r="N679" s="168"/>
      <c r="O679" s="168"/>
      <c r="P679" s="168"/>
      <c r="Q679" s="168" t="s">
        <v>0</v>
      </c>
      <c r="R679" s="168" t="s">
        <v>1</v>
      </c>
      <c r="S679" s="178" t="str">
        <f t="shared" si="32"/>
        <v>D_DIC_REGLTRY_PRODUCT_TYPESTD_PRODUCT_SUBCLASS_NM</v>
      </c>
    </row>
    <row r="680" spans="1:19" ht="14.4" x14ac:dyDescent="0.3">
      <c r="A680" s="169" t="s">
        <v>417</v>
      </c>
      <c r="B680" s="171" t="str">
        <f t="shared" si="30"/>
        <v>Классификатор актива для отчетности</v>
      </c>
      <c r="C680" s="169" t="s">
        <v>446</v>
      </c>
      <c r="D680" s="169">
        <v>1348</v>
      </c>
      <c r="E680" s="169">
        <v>1</v>
      </c>
      <c r="F680" s="169" t="s">
        <v>446</v>
      </c>
      <c r="G680" s="169" t="s">
        <v>446</v>
      </c>
      <c r="H680" s="169">
        <v>13</v>
      </c>
      <c r="I680" s="136" t="str">
        <f t="shared" si="31"/>
        <v xml:space="preserve">VARCHAR(300) </v>
      </c>
      <c r="J680" s="169" t="s">
        <v>0</v>
      </c>
      <c r="K680" s="169" t="s">
        <v>1</v>
      </c>
      <c r="L680" s="169">
        <v>30</v>
      </c>
      <c r="M680" s="168"/>
      <c r="N680" s="168"/>
      <c r="O680" s="168"/>
      <c r="P680" s="168"/>
      <c r="Q680" s="168" t="s">
        <v>0</v>
      </c>
      <c r="R680" s="168" t="s">
        <v>1</v>
      </c>
      <c r="S680" s="178" t="str">
        <f t="shared" si="32"/>
        <v>D_DIC_REP_CLASSBUSINESS_BLOCK_NM</v>
      </c>
    </row>
    <row r="681" spans="1:19" ht="14.4" x14ac:dyDescent="0.3">
      <c r="A681" s="169" t="s">
        <v>417</v>
      </c>
      <c r="B681" s="171" t="str">
        <f t="shared" si="30"/>
        <v>Классификатор актива для отчетности</v>
      </c>
      <c r="C681" s="169" t="s">
        <v>450</v>
      </c>
      <c r="D681" s="169">
        <v>1349</v>
      </c>
      <c r="E681" s="169">
        <v>2</v>
      </c>
      <c r="F681" s="169" t="s">
        <v>450</v>
      </c>
      <c r="G681" s="169" t="s">
        <v>450</v>
      </c>
      <c r="H681" s="169">
        <v>13</v>
      </c>
      <c r="I681" s="136" t="str">
        <f t="shared" si="31"/>
        <v xml:space="preserve">VARCHAR(300) </v>
      </c>
      <c r="J681" s="169" t="s">
        <v>0</v>
      </c>
      <c r="K681" s="169" t="s">
        <v>1</v>
      </c>
      <c r="L681" s="169">
        <v>30</v>
      </c>
      <c r="M681" s="168"/>
      <c r="N681" s="168"/>
      <c r="O681" s="168"/>
      <c r="P681" s="168"/>
      <c r="Q681" s="168" t="s">
        <v>0</v>
      </c>
      <c r="R681" s="168" t="s">
        <v>1</v>
      </c>
      <c r="S681" s="178" t="str">
        <f t="shared" si="32"/>
        <v>D_DIC_REP_CLASSBUSINESS_BLOCK_REP_NM</v>
      </c>
    </row>
    <row r="682" spans="1:19" ht="14.4" x14ac:dyDescent="0.3">
      <c r="A682" s="169" t="s">
        <v>417</v>
      </c>
      <c r="B682" s="171" t="str">
        <f t="shared" si="30"/>
        <v>Классификатор актива для отчетности</v>
      </c>
      <c r="C682" s="169" t="s">
        <v>452</v>
      </c>
      <c r="D682" s="169">
        <v>1350</v>
      </c>
      <c r="E682" s="169">
        <v>3</v>
      </c>
      <c r="F682" s="169" t="s">
        <v>452</v>
      </c>
      <c r="G682" s="169" t="s">
        <v>452</v>
      </c>
      <c r="H682" s="169">
        <v>24</v>
      </c>
      <c r="I682" s="136" t="str">
        <f t="shared" si="31"/>
        <v xml:space="preserve">VARCHAR(40) </v>
      </c>
      <c r="J682" s="169" t="s">
        <v>0</v>
      </c>
      <c r="K682" s="169" t="s">
        <v>1</v>
      </c>
      <c r="L682" s="169">
        <v>30</v>
      </c>
      <c r="M682" s="168"/>
      <c r="N682" s="168"/>
      <c r="O682" s="168"/>
      <c r="P682" s="168"/>
      <c r="Q682" s="168" t="s">
        <v>0</v>
      </c>
      <c r="R682" s="168" t="s">
        <v>1</v>
      </c>
      <c r="S682" s="178" t="str">
        <f t="shared" si="32"/>
        <v>D_DIC_REP_CLASSCONFIGURATION_CD</v>
      </c>
    </row>
    <row r="683" spans="1:19" ht="14.4" x14ac:dyDescent="0.3">
      <c r="A683" s="169" t="s">
        <v>417</v>
      </c>
      <c r="B683" s="171" t="str">
        <f t="shared" si="30"/>
        <v>Классификатор актива для отчетности</v>
      </c>
      <c r="C683" s="169" t="s">
        <v>52</v>
      </c>
      <c r="D683" s="169">
        <v>1351</v>
      </c>
      <c r="E683" s="169">
        <v>4</v>
      </c>
      <c r="F683" s="169" t="s">
        <v>52</v>
      </c>
      <c r="G683" s="169" t="s">
        <v>52</v>
      </c>
      <c r="H683" s="169">
        <v>34</v>
      </c>
      <c r="I683" s="136" t="str">
        <f t="shared" si="31"/>
        <v>DATE</v>
      </c>
      <c r="J683" s="169" t="s">
        <v>1</v>
      </c>
      <c r="K683" s="169" t="s">
        <v>1</v>
      </c>
      <c r="L683" s="169">
        <v>30</v>
      </c>
      <c r="M683" s="168"/>
      <c r="N683" s="168"/>
      <c r="O683" s="168"/>
      <c r="P683" s="168"/>
      <c r="Q683" s="168" t="s">
        <v>0</v>
      </c>
      <c r="R683" s="168" t="s">
        <v>1</v>
      </c>
      <c r="S683" s="178" t="str">
        <f t="shared" si="32"/>
        <v>D_DIC_REP_CLASSEND_DT</v>
      </c>
    </row>
    <row r="684" spans="1:19" ht="14.4" x14ac:dyDescent="0.3">
      <c r="A684" s="169" t="s">
        <v>417</v>
      </c>
      <c r="B684" s="171" t="str">
        <f t="shared" si="30"/>
        <v>Классификатор актива для отчетности</v>
      </c>
      <c r="C684" s="169" t="s">
        <v>442</v>
      </c>
      <c r="D684" s="169">
        <v>1352</v>
      </c>
      <c r="E684" s="169">
        <v>5</v>
      </c>
      <c r="F684" s="169" t="s">
        <v>442</v>
      </c>
      <c r="G684" s="169" t="s">
        <v>442</v>
      </c>
      <c r="H684" s="169">
        <v>24</v>
      </c>
      <c r="I684" s="136" t="str">
        <f t="shared" si="31"/>
        <v xml:space="preserve">VARCHAR(40) </v>
      </c>
      <c r="J684" s="169" t="s">
        <v>1</v>
      </c>
      <c r="K684" s="169" t="s">
        <v>1</v>
      </c>
      <c r="L684" s="169">
        <v>30</v>
      </c>
      <c r="M684" s="168"/>
      <c r="N684" s="168"/>
      <c r="O684" s="168"/>
      <c r="P684" s="168"/>
      <c r="Q684" s="168" t="s">
        <v>0</v>
      </c>
      <c r="R684" s="168" t="s">
        <v>1</v>
      </c>
      <c r="S684" s="178" t="str">
        <f t="shared" si="32"/>
        <v>D_DIC_REP_CLASSREP_CLASS_CD</v>
      </c>
    </row>
    <row r="685" spans="1:19" ht="14.4" x14ac:dyDescent="0.3">
      <c r="A685" s="169" t="s">
        <v>417</v>
      </c>
      <c r="B685" s="171" t="str">
        <f t="shared" si="30"/>
        <v>Классификатор актива для отчетности</v>
      </c>
      <c r="C685" s="169" t="s">
        <v>1547</v>
      </c>
      <c r="D685" s="169">
        <v>1353</v>
      </c>
      <c r="E685" s="169">
        <v>6</v>
      </c>
      <c r="F685" s="169" t="s">
        <v>1547</v>
      </c>
      <c r="G685" s="169" t="s">
        <v>1547</v>
      </c>
      <c r="H685" s="169">
        <v>19</v>
      </c>
      <c r="I685" s="136" t="str">
        <f t="shared" si="31"/>
        <v xml:space="preserve">VARCHAR(1000) </v>
      </c>
      <c r="J685" s="169" t="s">
        <v>0</v>
      </c>
      <c r="K685" s="169" t="s">
        <v>1</v>
      </c>
      <c r="L685" s="169">
        <v>30</v>
      </c>
      <c r="M685" s="168"/>
      <c r="N685" s="168"/>
      <c r="O685" s="168"/>
      <c r="P685" s="168"/>
      <c r="Q685" s="168" t="s">
        <v>0</v>
      </c>
      <c r="R685" s="168" t="s">
        <v>1</v>
      </c>
      <c r="S685" s="178" t="str">
        <f t="shared" si="32"/>
        <v>D_DIC_REP_CLASSREP_CLASS_DSC</v>
      </c>
    </row>
    <row r="686" spans="1:19" ht="14.4" x14ac:dyDescent="0.3">
      <c r="A686" s="169" t="s">
        <v>417</v>
      </c>
      <c r="B686" s="171" t="str">
        <f t="shared" si="30"/>
        <v>Классификатор актива для отчетности</v>
      </c>
      <c r="C686" s="169" t="s">
        <v>444</v>
      </c>
      <c r="D686" s="169">
        <v>1354</v>
      </c>
      <c r="E686" s="169">
        <v>7</v>
      </c>
      <c r="F686" s="169" t="s">
        <v>444</v>
      </c>
      <c r="G686" s="169" t="s">
        <v>444</v>
      </c>
      <c r="H686" s="169">
        <v>7</v>
      </c>
      <c r="I686" s="136" t="str">
        <f t="shared" si="31"/>
        <v>BIGINT</v>
      </c>
      <c r="J686" s="169" t="s">
        <v>1</v>
      </c>
      <c r="K686" s="169" t="s">
        <v>0</v>
      </c>
      <c r="L686" s="169">
        <v>30</v>
      </c>
      <c r="M686" s="168"/>
      <c r="N686" s="168"/>
      <c r="O686" s="168"/>
      <c r="P686" s="168"/>
      <c r="Q686" s="168" t="s">
        <v>0</v>
      </c>
      <c r="R686" s="168" t="s">
        <v>1</v>
      </c>
      <c r="S686" s="178" t="str">
        <f t="shared" si="32"/>
        <v>D_DIC_REP_CLASSREP_CLASS_ID</v>
      </c>
    </row>
    <row r="687" spans="1:19" ht="14.4" x14ac:dyDescent="0.3">
      <c r="A687" s="169" t="s">
        <v>417</v>
      </c>
      <c r="B687" s="171" t="str">
        <f t="shared" si="30"/>
        <v>Классификатор актива для отчетности</v>
      </c>
      <c r="C687" s="169" t="s">
        <v>51</v>
      </c>
      <c r="D687" s="169">
        <v>1355</v>
      </c>
      <c r="E687" s="169">
        <v>8</v>
      </c>
      <c r="F687" s="169" t="s">
        <v>51</v>
      </c>
      <c r="G687" s="169" t="s">
        <v>51</v>
      </c>
      <c r="H687" s="169">
        <v>34</v>
      </c>
      <c r="I687" s="136" t="str">
        <f t="shared" si="31"/>
        <v>DATE</v>
      </c>
      <c r="J687" s="169" t="s">
        <v>1</v>
      </c>
      <c r="K687" s="169" t="s">
        <v>1</v>
      </c>
      <c r="L687" s="169">
        <v>30</v>
      </c>
      <c r="M687" s="168"/>
      <c r="N687" s="168"/>
      <c r="O687" s="168"/>
      <c r="P687" s="168"/>
      <c r="Q687" s="168" t="s">
        <v>0</v>
      </c>
      <c r="R687" s="168" t="s">
        <v>1</v>
      </c>
      <c r="S687" s="178" t="str">
        <f t="shared" si="32"/>
        <v>D_DIC_REP_CLASSSTART_DT</v>
      </c>
    </row>
    <row r="688" spans="1:19" ht="14.4" x14ac:dyDescent="0.3">
      <c r="A688" s="169" t="s">
        <v>417</v>
      </c>
      <c r="B688" s="171" t="str">
        <f t="shared" si="30"/>
        <v>Классификатор актива для отчетности</v>
      </c>
      <c r="C688" s="169" t="s">
        <v>448</v>
      </c>
      <c r="D688" s="169">
        <v>1356</v>
      </c>
      <c r="E688" s="169">
        <v>9</v>
      </c>
      <c r="F688" s="169" t="s">
        <v>448</v>
      </c>
      <c r="G688" s="169" t="s">
        <v>448</v>
      </c>
      <c r="H688" s="169">
        <v>13</v>
      </c>
      <c r="I688" s="136" t="str">
        <f t="shared" si="31"/>
        <v xml:space="preserve">VARCHAR(300) </v>
      </c>
      <c r="J688" s="169" t="s">
        <v>0</v>
      </c>
      <c r="K688" s="169" t="s">
        <v>1</v>
      </c>
      <c r="L688" s="169">
        <v>30</v>
      </c>
      <c r="M688" s="168"/>
      <c r="N688" s="168"/>
      <c r="O688" s="168"/>
      <c r="P688" s="168"/>
      <c r="Q688" s="168" t="s">
        <v>0</v>
      </c>
      <c r="R688" s="168" t="s">
        <v>1</v>
      </c>
      <c r="S688" s="178" t="str">
        <f t="shared" si="32"/>
        <v>D_DIC_REP_CLASSSUBCLASS_CD</v>
      </c>
    </row>
    <row r="689" spans="1:19" ht="14.4" x14ac:dyDescent="0.3">
      <c r="A689" s="169" t="s">
        <v>417</v>
      </c>
      <c r="B689" s="171" t="str">
        <f t="shared" si="30"/>
        <v>Классификатор актива для отчетности</v>
      </c>
      <c r="C689" s="169" t="s">
        <v>959</v>
      </c>
      <c r="D689" s="169">
        <v>1357</v>
      </c>
      <c r="E689" s="169">
        <v>10</v>
      </c>
      <c r="F689" s="169" t="s">
        <v>959</v>
      </c>
      <c r="G689" s="169" t="s">
        <v>959</v>
      </c>
      <c r="H689" s="169">
        <v>13</v>
      </c>
      <c r="I689" s="136" t="str">
        <f t="shared" si="31"/>
        <v xml:space="preserve">VARCHAR(300) </v>
      </c>
      <c r="J689" s="169" t="s">
        <v>0</v>
      </c>
      <c r="K689" s="169" t="s">
        <v>1</v>
      </c>
      <c r="L689" s="169">
        <v>30</v>
      </c>
      <c r="M689" s="168"/>
      <c r="N689" s="168"/>
      <c r="O689" s="168"/>
      <c r="P689" s="168"/>
      <c r="Q689" s="168" t="s">
        <v>0</v>
      </c>
      <c r="R689" s="168" t="s">
        <v>1</v>
      </c>
      <c r="S689" s="178" t="str">
        <f t="shared" si="32"/>
        <v>D_DIC_REP_CLASSSUBCLASS_REP_NM</v>
      </c>
    </row>
    <row r="690" spans="1:19" ht="14.4" x14ac:dyDescent="0.3">
      <c r="A690" s="169" t="s">
        <v>403</v>
      </c>
      <c r="B690" s="171" t="str">
        <f t="shared" si="30"/>
        <v>Справочник риск-факторов</v>
      </c>
      <c r="C690" s="169" t="s">
        <v>802</v>
      </c>
      <c r="D690" s="169">
        <v>1358</v>
      </c>
      <c r="E690" s="169">
        <v>1</v>
      </c>
      <c r="F690" s="169" t="s">
        <v>802</v>
      </c>
      <c r="G690" s="169" t="s">
        <v>802</v>
      </c>
      <c r="H690" s="169">
        <v>15</v>
      </c>
      <c r="I690" s="136" t="str">
        <f t="shared" si="31"/>
        <v xml:space="preserve">CHAR(1) </v>
      </c>
      <c r="J690" s="169" t="s">
        <v>0</v>
      </c>
      <c r="K690" s="169" t="s">
        <v>1</v>
      </c>
      <c r="L690" s="169">
        <v>30</v>
      </c>
      <c r="M690" s="168"/>
      <c r="N690" s="168"/>
      <c r="O690" s="168"/>
      <c r="P690" s="168"/>
      <c r="Q690" s="168" t="s">
        <v>0</v>
      </c>
      <c r="R690" s="168" t="s">
        <v>1</v>
      </c>
      <c r="S690" s="178" t="str">
        <f t="shared" si="32"/>
        <v>D_DIC_RISK_FACTORCOLL_FACTOR_IND</v>
      </c>
    </row>
    <row r="691" spans="1:19" ht="14.4" x14ac:dyDescent="0.3">
      <c r="A691" s="169" t="s">
        <v>403</v>
      </c>
      <c r="B691" s="171" t="str">
        <f t="shared" si="30"/>
        <v>Справочник риск-факторов</v>
      </c>
      <c r="C691" s="169" t="s">
        <v>803</v>
      </c>
      <c r="D691" s="169">
        <v>1359</v>
      </c>
      <c r="E691" s="169">
        <v>2</v>
      </c>
      <c r="F691" s="169" t="s">
        <v>803</v>
      </c>
      <c r="G691" s="169" t="s">
        <v>803</v>
      </c>
      <c r="H691" s="169">
        <v>3</v>
      </c>
      <c r="I691" s="136" t="str">
        <f t="shared" si="31"/>
        <v>DECIMAL(20, 6)</v>
      </c>
      <c r="J691" s="169" t="s">
        <v>0</v>
      </c>
      <c r="K691" s="169" t="s">
        <v>1</v>
      </c>
      <c r="L691" s="169">
        <v>30</v>
      </c>
      <c r="M691" s="168"/>
      <c r="N691" s="168"/>
      <c r="O691" s="168"/>
      <c r="P691" s="168"/>
      <c r="Q691" s="168" t="s">
        <v>0</v>
      </c>
      <c r="R691" s="168" t="s">
        <v>1</v>
      </c>
      <c r="S691" s="178" t="str">
        <f t="shared" si="32"/>
        <v>D_DIC_RISK_FACTORCOLL_WT</v>
      </c>
    </row>
    <row r="692" spans="1:19" ht="14.4" x14ac:dyDescent="0.3">
      <c r="A692" s="169" t="s">
        <v>403</v>
      </c>
      <c r="B692" s="171" t="str">
        <f t="shared" si="30"/>
        <v>Справочник риск-факторов</v>
      </c>
      <c r="C692" s="169" t="s">
        <v>792</v>
      </c>
      <c r="D692" s="169">
        <v>1360</v>
      </c>
      <c r="E692" s="169">
        <v>3</v>
      </c>
      <c r="F692" s="169" t="s">
        <v>792</v>
      </c>
      <c r="G692" s="169" t="s">
        <v>792</v>
      </c>
      <c r="H692" s="169">
        <v>24</v>
      </c>
      <c r="I692" s="136" t="str">
        <f t="shared" si="31"/>
        <v xml:space="preserve">VARCHAR(40) </v>
      </c>
      <c r="J692" s="169" t="s">
        <v>0</v>
      </c>
      <c r="K692" s="169" t="s">
        <v>1</v>
      </c>
      <c r="L692" s="169">
        <v>30</v>
      </c>
      <c r="M692" s="168"/>
      <c r="N692" s="168"/>
      <c r="O692" s="168"/>
      <c r="P692" s="168"/>
      <c r="Q692" s="168" t="s">
        <v>0</v>
      </c>
      <c r="R692" s="168" t="s">
        <v>1</v>
      </c>
      <c r="S692" s="178" t="str">
        <f t="shared" si="32"/>
        <v>D_DIC_RISK_FACTORCONFIG_SET_CD</v>
      </c>
    </row>
    <row r="693" spans="1:19" ht="14.4" x14ac:dyDescent="0.3">
      <c r="A693" s="169" t="s">
        <v>403</v>
      </c>
      <c r="B693" s="171" t="str">
        <f t="shared" si="30"/>
        <v>Справочник риск-факторов</v>
      </c>
      <c r="C693" s="169" t="s">
        <v>52</v>
      </c>
      <c r="D693" s="169">
        <v>1361</v>
      </c>
      <c r="E693" s="169">
        <v>4</v>
      </c>
      <c r="F693" s="169" t="s">
        <v>52</v>
      </c>
      <c r="G693" s="169" t="s">
        <v>52</v>
      </c>
      <c r="H693" s="169">
        <v>34</v>
      </c>
      <c r="I693" s="136" t="str">
        <f t="shared" si="31"/>
        <v>DATE</v>
      </c>
      <c r="J693" s="169" t="s">
        <v>1</v>
      </c>
      <c r="K693" s="169" t="s">
        <v>1</v>
      </c>
      <c r="L693" s="169">
        <v>30</v>
      </c>
      <c r="M693" s="168"/>
      <c r="N693" s="168"/>
      <c r="O693" s="168"/>
      <c r="P693" s="168"/>
      <c r="Q693" s="168" t="s">
        <v>0</v>
      </c>
      <c r="R693" s="168" t="s">
        <v>1</v>
      </c>
      <c r="S693" s="178" t="str">
        <f t="shared" si="32"/>
        <v>D_DIC_RISK_FACTOREND_DT</v>
      </c>
    </row>
    <row r="694" spans="1:19" ht="14.4" x14ac:dyDescent="0.3">
      <c r="A694" s="169" t="s">
        <v>403</v>
      </c>
      <c r="B694" s="171" t="str">
        <f t="shared" si="30"/>
        <v>Справочник риск-факторов</v>
      </c>
      <c r="C694" s="169" t="s">
        <v>804</v>
      </c>
      <c r="D694" s="169">
        <v>1362</v>
      </c>
      <c r="E694" s="169">
        <v>5</v>
      </c>
      <c r="F694" s="169" t="s">
        <v>804</v>
      </c>
      <c r="G694" s="169" t="s">
        <v>804</v>
      </c>
      <c r="H694" s="169">
        <v>3</v>
      </c>
      <c r="I694" s="136" t="str">
        <f t="shared" si="31"/>
        <v>DECIMAL(20, 6)</v>
      </c>
      <c r="J694" s="169" t="s">
        <v>0</v>
      </c>
      <c r="K694" s="169" t="s">
        <v>1</v>
      </c>
      <c r="L694" s="169">
        <v>30</v>
      </c>
      <c r="M694" s="168"/>
      <c r="N694" s="168"/>
      <c r="O694" s="168"/>
      <c r="P694" s="168"/>
      <c r="Q694" s="168" t="s">
        <v>0</v>
      </c>
      <c r="R694" s="168" t="s">
        <v>1</v>
      </c>
      <c r="S694" s="178" t="str">
        <f t="shared" si="32"/>
        <v>D_DIC_RISK_FACTORIMP_SAMPLE_MEAN_SHIFT</v>
      </c>
    </row>
    <row r="695" spans="1:19" ht="14.4" x14ac:dyDescent="0.3">
      <c r="A695" s="169" t="s">
        <v>403</v>
      </c>
      <c r="B695" s="171" t="str">
        <f t="shared" si="30"/>
        <v>Справочник риск-факторов</v>
      </c>
      <c r="C695" s="169" t="s">
        <v>556</v>
      </c>
      <c r="D695" s="169">
        <v>1363</v>
      </c>
      <c r="E695" s="169">
        <v>6</v>
      </c>
      <c r="F695" s="169" t="s">
        <v>556</v>
      </c>
      <c r="G695" s="169" t="s">
        <v>556</v>
      </c>
      <c r="H695" s="169">
        <v>7</v>
      </c>
      <c r="I695" s="136" t="str">
        <f t="shared" si="31"/>
        <v>BIGINT</v>
      </c>
      <c r="J695" s="169" t="s">
        <v>1</v>
      </c>
      <c r="K695" s="169" t="s">
        <v>0</v>
      </c>
      <c r="L695" s="169">
        <v>30</v>
      </c>
      <c r="M695" s="168"/>
      <c r="N695" s="168"/>
      <c r="O695" s="168"/>
      <c r="P695" s="168"/>
      <c r="Q695" s="168" t="s">
        <v>0</v>
      </c>
      <c r="R695" s="168" t="s">
        <v>1</v>
      </c>
      <c r="S695" s="178" t="str">
        <f t="shared" si="32"/>
        <v>D_DIC_RISK_FACTORRISK_FACTOR_ID</v>
      </c>
    </row>
    <row r="696" spans="1:19" ht="14.4" x14ac:dyDescent="0.3">
      <c r="A696" s="169" t="s">
        <v>403</v>
      </c>
      <c r="B696" s="171" t="str">
        <f t="shared" si="30"/>
        <v>Справочник риск-факторов</v>
      </c>
      <c r="C696" s="169" t="s">
        <v>798</v>
      </c>
      <c r="D696" s="169">
        <v>1364</v>
      </c>
      <c r="E696" s="169">
        <v>7</v>
      </c>
      <c r="F696" s="169" t="s">
        <v>798</v>
      </c>
      <c r="G696" s="169" t="s">
        <v>798</v>
      </c>
      <c r="H696" s="169">
        <v>3</v>
      </c>
      <c r="I696" s="136" t="str">
        <f t="shared" si="31"/>
        <v>DECIMAL(20, 6)</v>
      </c>
      <c r="J696" s="169" t="s">
        <v>0</v>
      </c>
      <c r="K696" s="169" t="s">
        <v>1</v>
      </c>
      <c r="L696" s="169">
        <v>30</v>
      </c>
      <c r="M696" s="168"/>
      <c r="N696" s="168"/>
      <c r="O696" s="168"/>
      <c r="P696" s="168"/>
      <c r="Q696" s="168" t="s">
        <v>0</v>
      </c>
      <c r="R696" s="168" t="s">
        <v>1</v>
      </c>
      <c r="S696" s="178" t="str">
        <f t="shared" si="32"/>
        <v>D_DIC_RISK_FACTORRISK_FACTOR_MEAN</v>
      </c>
    </row>
    <row r="697" spans="1:19" ht="14.4" x14ac:dyDescent="0.3">
      <c r="A697" s="169" t="s">
        <v>403</v>
      </c>
      <c r="B697" s="171" t="str">
        <f t="shared" si="30"/>
        <v>Справочник риск-факторов</v>
      </c>
      <c r="C697" s="169" t="s">
        <v>807</v>
      </c>
      <c r="D697" s="169">
        <v>1365</v>
      </c>
      <c r="E697" s="169">
        <v>8</v>
      </c>
      <c r="F697" s="169" t="s">
        <v>807</v>
      </c>
      <c r="G697" s="169" t="s">
        <v>807</v>
      </c>
      <c r="H697" s="169">
        <v>13</v>
      </c>
      <c r="I697" s="136" t="str">
        <f t="shared" si="31"/>
        <v xml:space="preserve">VARCHAR(300) </v>
      </c>
      <c r="J697" s="169" t="s">
        <v>0</v>
      </c>
      <c r="K697" s="169" t="s">
        <v>1</v>
      </c>
      <c r="L697" s="169">
        <v>30</v>
      </c>
      <c r="M697" s="168"/>
      <c r="N697" s="168"/>
      <c r="O697" s="168"/>
      <c r="P697" s="168"/>
      <c r="Q697" s="168" t="s">
        <v>0</v>
      </c>
      <c r="R697" s="168" t="s">
        <v>1</v>
      </c>
      <c r="S697" s="178" t="str">
        <f t="shared" si="32"/>
        <v>D_DIC_RISK_FACTORRISK_FACTOR_MEASURE_TYPE_CD</v>
      </c>
    </row>
    <row r="698" spans="1:19" ht="14.4" x14ac:dyDescent="0.3">
      <c r="A698" s="169" t="s">
        <v>403</v>
      </c>
      <c r="B698" s="171" t="str">
        <f t="shared" si="30"/>
        <v>Справочник риск-факторов</v>
      </c>
      <c r="C698" s="169" t="s">
        <v>794</v>
      </c>
      <c r="D698" s="169">
        <v>1366</v>
      </c>
      <c r="E698" s="169">
        <v>9</v>
      </c>
      <c r="F698" s="169" t="s">
        <v>794</v>
      </c>
      <c r="G698" s="169" t="s">
        <v>794</v>
      </c>
      <c r="H698" s="169">
        <v>13</v>
      </c>
      <c r="I698" s="136" t="str">
        <f t="shared" si="31"/>
        <v xml:space="preserve">VARCHAR(300) </v>
      </c>
      <c r="J698" s="169" t="s">
        <v>0</v>
      </c>
      <c r="K698" s="169" t="s">
        <v>1</v>
      </c>
      <c r="L698" s="169">
        <v>30</v>
      </c>
      <c r="M698" s="168"/>
      <c r="N698" s="168"/>
      <c r="O698" s="168"/>
      <c r="P698" s="168"/>
      <c r="Q698" s="168" t="s">
        <v>0</v>
      </c>
      <c r="R698" s="168" t="s">
        <v>1</v>
      </c>
      <c r="S698" s="178" t="str">
        <f t="shared" si="32"/>
        <v>D_DIC_RISK_FACTORRISK_FACTOR_NM</v>
      </c>
    </row>
    <row r="699" spans="1:19" ht="14.4" x14ac:dyDescent="0.3">
      <c r="A699" s="169" t="s">
        <v>403</v>
      </c>
      <c r="B699" s="171" t="str">
        <f t="shared" si="30"/>
        <v>Справочник риск-факторов</v>
      </c>
      <c r="C699" s="169" t="s">
        <v>796</v>
      </c>
      <c r="D699" s="169">
        <v>1367</v>
      </c>
      <c r="E699" s="169">
        <v>10</v>
      </c>
      <c r="F699" s="169" t="s">
        <v>796</v>
      </c>
      <c r="G699" s="169" t="s">
        <v>796</v>
      </c>
      <c r="H699" s="169">
        <v>13</v>
      </c>
      <c r="I699" s="136" t="str">
        <f t="shared" si="31"/>
        <v xml:space="preserve">VARCHAR(300) </v>
      </c>
      <c r="J699" s="169" t="s">
        <v>0</v>
      </c>
      <c r="K699" s="169" t="s">
        <v>1</v>
      </c>
      <c r="L699" s="169">
        <v>30</v>
      </c>
      <c r="M699" s="168"/>
      <c r="N699" s="168"/>
      <c r="O699" s="168"/>
      <c r="P699" s="168"/>
      <c r="Q699" s="168" t="s">
        <v>0</v>
      </c>
      <c r="R699" s="168" t="s">
        <v>1</v>
      </c>
      <c r="S699" s="178" t="str">
        <f t="shared" si="32"/>
        <v>D_DIC_RISK_FACTORRISK_FACTOR_REP_NM</v>
      </c>
    </row>
    <row r="700" spans="1:19" ht="14.4" x14ac:dyDescent="0.3">
      <c r="A700" s="169" t="s">
        <v>403</v>
      </c>
      <c r="B700" s="171" t="str">
        <f t="shared" si="30"/>
        <v>Справочник риск-факторов</v>
      </c>
      <c r="C700" s="169" t="s">
        <v>805</v>
      </c>
      <c r="D700" s="169">
        <v>1368</v>
      </c>
      <c r="E700" s="169">
        <v>11</v>
      </c>
      <c r="F700" s="169" t="s">
        <v>805</v>
      </c>
      <c r="G700" s="169" t="s">
        <v>805</v>
      </c>
      <c r="H700" s="169">
        <v>13</v>
      </c>
      <c r="I700" s="136" t="str">
        <f t="shared" si="31"/>
        <v xml:space="preserve">VARCHAR(300) </v>
      </c>
      <c r="J700" s="169" t="s">
        <v>0</v>
      </c>
      <c r="K700" s="169" t="s">
        <v>1</v>
      </c>
      <c r="L700" s="169">
        <v>30</v>
      </c>
      <c r="M700" s="168"/>
      <c r="N700" s="168"/>
      <c r="O700" s="168"/>
      <c r="P700" s="168"/>
      <c r="Q700" s="168" t="s">
        <v>0</v>
      </c>
      <c r="R700" s="168" t="s">
        <v>1</v>
      </c>
      <c r="S700" s="178" t="str">
        <f t="shared" si="32"/>
        <v>D_DIC_RISK_FACTORRISK_FACTOR_ROLE_CD</v>
      </c>
    </row>
    <row r="701" spans="1:19" ht="14.4" x14ac:dyDescent="0.3">
      <c r="A701" s="169" t="s">
        <v>403</v>
      </c>
      <c r="B701" s="171" t="str">
        <f t="shared" si="30"/>
        <v>Справочник риск-факторов</v>
      </c>
      <c r="C701" s="169" t="s">
        <v>800</v>
      </c>
      <c r="D701" s="169">
        <v>1369</v>
      </c>
      <c r="E701" s="169">
        <v>12</v>
      </c>
      <c r="F701" s="169" t="s">
        <v>800</v>
      </c>
      <c r="G701" s="169" t="s">
        <v>800</v>
      </c>
      <c r="H701" s="169">
        <v>3</v>
      </c>
      <c r="I701" s="136" t="str">
        <f t="shared" si="31"/>
        <v>DECIMAL(20, 6)</v>
      </c>
      <c r="J701" s="169" t="s">
        <v>0</v>
      </c>
      <c r="K701" s="169" t="s">
        <v>1</v>
      </c>
      <c r="L701" s="169">
        <v>30</v>
      </c>
      <c r="M701" s="168"/>
      <c r="N701" s="168"/>
      <c r="O701" s="168"/>
      <c r="P701" s="168"/>
      <c r="Q701" s="168" t="s">
        <v>0</v>
      </c>
      <c r="R701" s="168" t="s">
        <v>1</v>
      </c>
      <c r="S701" s="178" t="str">
        <f t="shared" si="32"/>
        <v>D_DIC_RISK_FACTORRISK_FACTOR_STD_DEV</v>
      </c>
    </row>
    <row r="702" spans="1:19" ht="14.4" x14ac:dyDescent="0.3">
      <c r="A702" s="169" t="s">
        <v>403</v>
      </c>
      <c r="B702" s="171" t="str">
        <f t="shared" si="30"/>
        <v>Справочник риск-факторов</v>
      </c>
      <c r="C702" s="169" t="s">
        <v>51</v>
      </c>
      <c r="D702" s="169">
        <v>1370</v>
      </c>
      <c r="E702" s="169">
        <v>13</v>
      </c>
      <c r="F702" s="169" t="s">
        <v>51</v>
      </c>
      <c r="G702" s="169" t="s">
        <v>51</v>
      </c>
      <c r="H702" s="169">
        <v>34</v>
      </c>
      <c r="I702" s="136" t="str">
        <f t="shared" si="31"/>
        <v>DATE</v>
      </c>
      <c r="J702" s="169" t="s">
        <v>1</v>
      </c>
      <c r="K702" s="169" t="s">
        <v>1</v>
      </c>
      <c r="L702" s="169">
        <v>30</v>
      </c>
      <c r="M702" s="168"/>
      <c r="N702" s="168"/>
      <c r="O702" s="168"/>
      <c r="P702" s="168"/>
      <c r="Q702" s="168" t="s">
        <v>0</v>
      </c>
      <c r="R702" s="168" t="s">
        <v>1</v>
      </c>
      <c r="S702" s="178" t="str">
        <f t="shared" si="32"/>
        <v>D_DIC_RISK_FACTORSTART_DT</v>
      </c>
    </row>
    <row r="703" spans="1:19" ht="14.4" x14ac:dyDescent="0.3">
      <c r="A703" s="169" t="s">
        <v>1354</v>
      </c>
      <c r="B703" s="171" t="str">
        <f t="shared" si="30"/>
        <v>D_DIC_SUBSIDIARY_LOAN_TYPE</v>
      </c>
      <c r="C703" s="169" t="s">
        <v>52</v>
      </c>
      <c r="D703" s="169">
        <v>1371</v>
      </c>
      <c r="E703" s="169">
        <v>1</v>
      </c>
      <c r="F703" s="169" t="s">
        <v>52</v>
      </c>
      <c r="G703" s="169" t="s">
        <v>52</v>
      </c>
      <c r="H703" s="169">
        <v>34</v>
      </c>
      <c r="I703" s="136" t="str">
        <f t="shared" si="31"/>
        <v>DATE</v>
      </c>
      <c r="J703" s="169" t="s">
        <v>1</v>
      </c>
      <c r="K703" s="169" t="s">
        <v>1</v>
      </c>
      <c r="L703" s="169">
        <v>30</v>
      </c>
      <c r="M703" s="168"/>
      <c r="N703" s="168"/>
      <c r="O703" s="168"/>
      <c r="P703" s="168"/>
      <c r="Q703" s="168" t="s">
        <v>0</v>
      </c>
      <c r="R703" s="168" t="s">
        <v>1</v>
      </c>
      <c r="S703" s="178" t="str">
        <f t="shared" si="32"/>
        <v>D_DIC_SUBSIDIARY_LOAN_TYPEEND_DT</v>
      </c>
    </row>
    <row r="704" spans="1:19" ht="14.4" x14ac:dyDescent="0.3">
      <c r="A704" s="169" t="s">
        <v>1354</v>
      </c>
      <c r="B704" s="171" t="str">
        <f t="shared" si="30"/>
        <v>D_DIC_SUBSIDIARY_LOAN_TYPE</v>
      </c>
      <c r="C704" s="169" t="s">
        <v>51</v>
      </c>
      <c r="D704" s="169">
        <v>1372</v>
      </c>
      <c r="E704" s="169">
        <v>2</v>
      </c>
      <c r="F704" s="169" t="s">
        <v>51</v>
      </c>
      <c r="G704" s="169" t="s">
        <v>51</v>
      </c>
      <c r="H704" s="169">
        <v>34</v>
      </c>
      <c r="I704" s="136" t="str">
        <f t="shared" si="31"/>
        <v>DATE</v>
      </c>
      <c r="J704" s="169" t="s">
        <v>1</v>
      </c>
      <c r="K704" s="169" t="s">
        <v>1</v>
      </c>
      <c r="L704" s="169">
        <v>30</v>
      </c>
      <c r="M704" s="168"/>
      <c r="N704" s="168"/>
      <c r="O704" s="168"/>
      <c r="P704" s="168"/>
      <c r="Q704" s="168" t="s">
        <v>0</v>
      </c>
      <c r="R704" s="168" t="s">
        <v>1</v>
      </c>
      <c r="S704" s="178" t="str">
        <f t="shared" si="32"/>
        <v>D_DIC_SUBSIDIARY_LOAN_TYPESTART_DT</v>
      </c>
    </row>
    <row r="705" spans="1:19" ht="14.4" x14ac:dyDescent="0.3">
      <c r="A705" s="169" t="s">
        <v>1354</v>
      </c>
      <c r="B705" s="171" t="str">
        <f t="shared" si="30"/>
        <v>D_DIC_SUBSIDIARY_LOAN_TYPE</v>
      </c>
      <c r="C705" s="169" t="s">
        <v>1424</v>
      </c>
      <c r="D705" s="169">
        <v>1373</v>
      </c>
      <c r="E705" s="169">
        <v>3</v>
      </c>
      <c r="F705" s="169" t="s">
        <v>1424</v>
      </c>
      <c r="G705" s="169" t="s">
        <v>1424</v>
      </c>
      <c r="H705" s="169">
        <v>24</v>
      </c>
      <c r="I705" s="136" t="str">
        <f t="shared" si="31"/>
        <v xml:space="preserve">VARCHAR(40) </v>
      </c>
      <c r="J705" s="169" t="s">
        <v>1</v>
      </c>
      <c r="K705" s="169" t="s">
        <v>1</v>
      </c>
      <c r="L705" s="169">
        <v>30</v>
      </c>
      <c r="M705" s="168"/>
      <c r="N705" s="168"/>
      <c r="O705" s="168"/>
      <c r="P705" s="168"/>
      <c r="Q705" s="168" t="s">
        <v>0</v>
      </c>
      <c r="R705" s="168" t="s">
        <v>1</v>
      </c>
      <c r="S705" s="178" t="str">
        <f t="shared" si="32"/>
        <v>D_DIC_SUBSIDIARY_LOAN_TYPESUBSIDIARY_LOAN_TYPE_CD</v>
      </c>
    </row>
    <row r="706" spans="1:19" ht="14.4" x14ac:dyDescent="0.3">
      <c r="A706" s="169" t="s">
        <v>1354</v>
      </c>
      <c r="B706" s="171" t="str">
        <f t="shared" ref="B706:B769" si="33">IF(NOT(ISBLANK(A706)),VLOOKUP(A706,ERM_TABLE_NM,2,FALSE), "")</f>
        <v>D_DIC_SUBSIDIARY_LOAN_TYPE</v>
      </c>
      <c r="C706" s="169" t="s">
        <v>1544</v>
      </c>
      <c r="D706" s="169">
        <v>1374</v>
      </c>
      <c r="E706" s="169">
        <v>4</v>
      </c>
      <c r="F706" s="169" t="s">
        <v>1544</v>
      </c>
      <c r="G706" s="169" t="s">
        <v>1544</v>
      </c>
      <c r="H706" s="169">
        <v>7</v>
      </c>
      <c r="I706" s="136" t="str">
        <f t="shared" ref="I706:I769" si="34">IF(NOT(ISBLANK(H706)),VLOOKUP(H706,ERM_DOMAIN_NM,2,FALSE), "")</f>
        <v>BIGINT</v>
      </c>
      <c r="J706" s="169" t="s">
        <v>1</v>
      </c>
      <c r="K706" s="169" t="s">
        <v>0</v>
      </c>
      <c r="L706" s="169">
        <v>30</v>
      </c>
      <c r="M706" s="168"/>
      <c r="N706" s="168"/>
      <c r="O706" s="168"/>
      <c r="P706" s="168"/>
      <c r="Q706" s="168" t="s">
        <v>0</v>
      </c>
      <c r="R706" s="168" t="s">
        <v>1</v>
      </c>
      <c r="S706" s="178" t="str">
        <f t="shared" si="32"/>
        <v>D_DIC_SUBSIDIARY_LOAN_TYPESUBSIDIARY_LOAN_TYPE_ID</v>
      </c>
    </row>
    <row r="707" spans="1:19" ht="14.4" x14ac:dyDescent="0.3">
      <c r="A707" s="169" t="s">
        <v>1354</v>
      </c>
      <c r="B707" s="171" t="str">
        <f t="shared" si="33"/>
        <v>D_DIC_SUBSIDIARY_LOAN_TYPE</v>
      </c>
      <c r="C707" s="169" t="s">
        <v>1410</v>
      </c>
      <c r="D707" s="169">
        <v>1375</v>
      </c>
      <c r="E707" s="169">
        <v>5</v>
      </c>
      <c r="F707" s="169" t="s">
        <v>1410</v>
      </c>
      <c r="G707" s="169" t="s">
        <v>1410</v>
      </c>
      <c r="H707" s="169">
        <v>13</v>
      </c>
      <c r="I707" s="136" t="str">
        <f t="shared" si="34"/>
        <v xml:space="preserve">VARCHAR(300) </v>
      </c>
      <c r="J707" s="169" t="s">
        <v>1</v>
      </c>
      <c r="K707" s="169" t="s">
        <v>1</v>
      </c>
      <c r="L707" s="169">
        <v>30</v>
      </c>
      <c r="M707" s="168"/>
      <c r="N707" s="168"/>
      <c r="O707" s="168"/>
      <c r="P707" s="168"/>
      <c r="Q707" s="168" t="s">
        <v>0</v>
      </c>
      <c r="R707" s="168" t="s">
        <v>1</v>
      </c>
      <c r="S707" s="178" t="str">
        <f t="shared" ref="S707:S770" si="35">CONCATENATE(A707,C707)</f>
        <v>D_DIC_SUBSIDIARY_LOAN_TYPESUBSIDIARY_LOAN_TYPE_NM</v>
      </c>
    </row>
    <row r="708" spans="1:19" ht="14.4" x14ac:dyDescent="0.3">
      <c r="A708" s="169" t="s">
        <v>1326</v>
      </c>
      <c r="B708" s="171" t="str">
        <f t="shared" si="33"/>
        <v>D_DYN_CHECK_PARAM</v>
      </c>
      <c r="C708" s="169" t="s">
        <v>483</v>
      </c>
      <c r="D708" s="169">
        <v>1376</v>
      </c>
      <c r="E708" s="169">
        <v>1</v>
      </c>
      <c r="F708" s="169" t="s">
        <v>483</v>
      </c>
      <c r="G708" s="169" t="s">
        <v>483</v>
      </c>
      <c r="H708" s="169">
        <v>15</v>
      </c>
      <c r="I708" s="136" t="str">
        <f t="shared" si="34"/>
        <v xml:space="preserve">CHAR(1) </v>
      </c>
      <c r="J708" s="169" t="s">
        <v>1</v>
      </c>
      <c r="K708" s="169" t="s">
        <v>1</v>
      </c>
      <c r="L708" s="169">
        <v>30</v>
      </c>
      <c r="M708" s="168"/>
      <c r="N708" s="168"/>
      <c r="O708" s="168"/>
      <c r="P708" s="168"/>
      <c r="Q708" s="168" t="s">
        <v>0</v>
      </c>
      <c r="R708" s="168" t="s">
        <v>1</v>
      </c>
      <c r="S708" s="178" t="str">
        <f t="shared" si="35"/>
        <v>D_DYN_CHECK_PARAMCHECK_CLASS_CD</v>
      </c>
    </row>
    <row r="709" spans="1:19" ht="14.4" x14ac:dyDescent="0.3">
      <c r="A709" s="169" t="s">
        <v>1326</v>
      </c>
      <c r="B709" s="171" t="str">
        <f t="shared" si="33"/>
        <v>D_DYN_CHECK_PARAM</v>
      </c>
      <c r="C709" s="169" t="s">
        <v>1395</v>
      </c>
      <c r="D709" s="169">
        <v>1377</v>
      </c>
      <c r="E709" s="169">
        <v>2</v>
      </c>
      <c r="F709" s="169" t="s">
        <v>1395</v>
      </c>
      <c r="G709" s="169" t="s">
        <v>1395</v>
      </c>
      <c r="H709" s="169">
        <v>7</v>
      </c>
      <c r="I709" s="136" t="str">
        <f t="shared" si="34"/>
        <v>BIGINT</v>
      </c>
      <c r="J709" s="169" t="s">
        <v>1</v>
      </c>
      <c r="K709" s="169" t="s">
        <v>1</v>
      </c>
      <c r="L709" s="169">
        <v>30</v>
      </c>
      <c r="M709" s="168"/>
      <c r="N709" s="168"/>
      <c r="O709" s="168"/>
      <c r="P709" s="168"/>
      <c r="Q709" s="168" t="s">
        <v>0</v>
      </c>
      <c r="R709" s="168" t="s">
        <v>1</v>
      </c>
      <c r="S709" s="178" t="str">
        <f t="shared" si="35"/>
        <v>D_DYN_CHECK_PARAMPARAM_CALC_ID</v>
      </c>
    </row>
    <row r="710" spans="1:19" ht="14.4" x14ac:dyDescent="0.3">
      <c r="A710" s="169" t="s">
        <v>1326</v>
      </c>
      <c r="B710" s="171" t="str">
        <f t="shared" si="33"/>
        <v>D_DYN_CHECK_PARAM</v>
      </c>
      <c r="C710" s="169" t="s">
        <v>1521</v>
      </c>
      <c r="D710" s="169">
        <v>1378</v>
      </c>
      <c r="E710" s="169">
        <v>3</v>
      </c>
      <c r="F710" s="169" t="s">
        <v>1521</v>
      </c>
      <c r="G710" s="169" t="s">
        <v>1521</v>
      </c>
      <c r="H710" s="169">
        <v>22</v>
      </c>
      <c r="I710" s="136" t="str">
        <f t="shared" si="34"/>
        <v>TIMESTAMP(6)</v>
      </c>
      <c r="J710" s="169" t="s">
        <v>0</v>
      </c>
      <c r="K710" s="169" t="s">
        <v>1</v>
      </c>
      <c r="L710" s="169">
        <v>30</v>
      </c>
      <c r="M710" s="168"/>
      <c r="N710" s="168"/>
      <c r="O710" s="168"/>
      <c r="P710" s="168"/>
      <c r="Q710" s="168" t="s">
        <v>0</v>
      </c>
      <c r="R710" s="168" t="s">
        <v>1</v>
      </c>
      <c r="S710" s="178" t="str">
        <f t="shared" si="35"/>
        <v>D_DYN_CHECK_PARAMPARAM_TECH_TS</v>
      </c>
    </row>
    <row r="711" spans="1:19" ht="14.4" x14ac:dyDescent="0.3">
      <c r="A711" s="169" t="s">
        <v>1326</v>
      </c>
      <c r="B711" s="171" t="str">
        <f t="shared" si="33"/>
        <v>D_DYN_CHECK_PARAM</v>
      </c>
      <c r="C711" s="169" t="s">
        <v>484</v>
      </c>
      <c r="D711" s="169">
        <v>1379</v>
      </c>
      <c r="E711" s="169">
        <v>4</v>
      </c>
      <c r="F711" s="169" t="s">
        <v>484</v>
      </c>
      <c r="G711" s="169" t="s">
        <v>484</v>
      </c>
      <c r="H711" s="169">
        <v>34</v>
      </c>
      <c r="I711" s="136" t="str">
        <f t="shared" si="34"/>
        <v>DATE</v>
      </c>
      <c r="J711" s="169" t="s">
        <v>1</v>
      </c>
      <c r="K711" s="169" t="s">
        <v>1</v>
      </c>
      <c r="L711" s="169">
        <v>30</v>
      </c>
      <c r="M711" s="168"/>
      <c r="N711" s="168"/>
      <c r="O711" s="168"/>
      <c r="P711" s="168"/>
      <c r="Q711" s="168" t="s">
        <v>0</v>
      </c>
      <c r="R711" s="168" t="s">
        <v>1</v>
      </c>
      <c r="S711" s="178" t="str">
        <f t="shared" si="35"/>
        <v>D_DYN_CHECK_PARAMPARAM_VALIDITY_DT</v>
      </c>
    </row>
    <row r="712" spans="1:19" ht="14.4" x14ac:dyDescent="0.3">
      <c r="A712" s="169" t="s">
        <v>1326</v>
      </c>
      <c r="B712" s="171" t="str">
        <f t="shared" si="33"/>
        <v>D_DYN_CHECK_PARAM</v>
      </c>
      <c r="C712" s="169" t="s">
        <v>440</v>
      </c>
      <c r="D712" s="169">
        <v>1380</v>
      </c>
      <c r="E712" s="169">
        <v>5</v>
      </c>
      <c r="F712" s="169" t="s">
        <v>440</v>
      </c>
      <c r="G712" s="169" t="s">
        <v>440</v>
      </c>
      <c r="H712" s="169">
        <v>22</v>
      </c>
      <c r="I712" s="136" t="str">
        <f t="shared" si="34"/>
        <v>TIMESTAMP(6)</v>
      </c>
      <c r="J712" s="169" t="s">
        <v>1</v>
      </c>
      <c r="K712" s="169" t="s">
        <v>0</v>
      </c>
      <c r="L712" s="169">
        <v>30</v>
      </c>
      <c r="M712" s="168"/>
      <c r="N712" s="168"/>
      <c r="O712" s="168"/>
      <c r="P712" s="168"/>
      <c r="Q712" s="168" t="s">
        <v>0</v>
      </c>
      <c r="R712" s="168" t="s">
        <v>1</v>
      </c>
      <c r="S712" s="178" t="str">
        <f t="shared" si="35"/>
        <v>D_DYN_CHECK_PARAMRECORD_CREATE_TS</v>
      </c>
    </row>
    <row r="713" spans="1:19" ht="14.4" x14ac:dyDescent="0.3">
      <c r="A713" s="169" t="s">
        <v>1356</v>
      </c>
      <c r="B713" s="171" t="str">
        <f t="shared" si="33"/>
        <v>D_DYN_CRM_CARD_TYPE</v>
      </c>
      <c r="C713" s="169" t="s">
        <v>1610</v>
      </c>
      <c r="D713" s="169">
        <v>1381</v>
      </c>
      <c r="E713" s="169">
        <v>1</v>
      </c>
      <c r="F713" s="169" t="s">
        <v>1610</v>
      </c>
      <c r="G713" s="169" t="s">
        <v>1610</v>
      </c>
      <c r="H713" s="169">
        <v>24</v>
      </c>
      <c r="I713" s="136" t="str">
        <f t="shared" si="34"/>
        <v xml:space="preserve">VARCHAR(40) </v>
      </c>
      <c r="J713" s="169" t="s">
        <v>1</v>
      </c>
      <c r="K713" s="169" t="s">
        <v>1</v>
      </c>
      <c r="L713" s="169">
        <v>30</v>
      </c>
      <c r="M713" s="168"/>
      <c r="N713" s="168"/>
      <c r="O713" s="168"/>
      <c r="P713" s="168"/>
      <c r="Q713" s="168" t="s">
        <v>0</v>
      </c>
      <c r="R713" s="168" t="s">
        <v>1</v>
      </c>
      <c r="S713" s="178" t="str">
        <f t="shared" si="35"/>
        <v>D_DYN_CRM_CARD_TYPECRM_CARD_TYPE_CD</v>
      </c>
    </row>
    <row r="714" spans="1:19" ht="14.4" x14ac:dyDescent="0.3">
      <c r="A714" s="169" t="s">
        <v>1356</v>
      </c>
      <c r="B714" s="171" t="str">
        <f t="shared" si="33"/>
        <v>D_DYN_CRM_CARD_TYPE</v>
      </c>
      <c r="C714" s="169" t="s">
        <v>1494</v>
      </c>
      <c r="D714" s="169">
        <v>1382</v>
      </c>
      <c r="E714" s="169">
        <v>2</v>
      </c>
      <c r="F714" s="169" t="s">
        <v>1494</v>
      </c>
      <c r="G714" s="169" t="s">
        <v>1494</v>
      </c>
      <c r="H714" s="169">
        <v>7</v>
      </c>
      <c r="I714" s="136" t="str">
        <f t="shared" si="34"/>
        <v>BIGINT</v>
      </c>
      <c r="J714" s="169" t="s">
        <v>1</v>
      </c>
      <c r="K714" s="169" t="s">
        <v>0</v>
      </c>
      <c r="L714" s="169">
        <v>30</v>
      </c>
      <c r="M714" s="168"/>
      <c r="N714" s="168"/>
      <c r="O714" s="168"/>
      <c r="P714" s="168"/>
      <c r="Q714" s="168" t="s">
        <v>0</v>
      </c>
      <c r="R714" s="168" t="s">
        <v>1</v>
      </c>
      <c r="S714" s="178" t="str">
        <f t="shared" si="35"/>
        <v>D_DYN_CRM_CARD_TYPECRM_CARD_TYPE_ID</v>
      </c>
    </row>
    <row r="715" spans="1:19" ht="14.4" x14ac:dyDescent="0.3">
      <c r="A715" s="169" t="s">
        <v>1356</v>
      </c>
      <c r="B715" s="171" t="str">
        <f t="shared" si="33"/>
        <v>D_DYN_CRM_CARD_TYPE</v>
      </c>
      <c r="C715" s="169" t="s">
        <v>440</v>
      </c>
      <c r="D715" s="169">
        <v>1383</v>
      </c>
      <c r="E715" s="169">
        <v>3</v>
      </c>
      <c r="F715" s="169" t="s">
        <v>440</v>
      </c>
      <c r="G715" s="169" t="s">
        <v>440</v>
      </c>
      <c r="H715" s="169">
        <v>22</v>
      </c>
      <c r="I715" s="136" t="str">
        <f t="shared" si="34"/>
        <v>TIMESTAMP(6)</v>
      </c>
      <c r="J715" s="169" t="s">
        <v>1</v>
      </c>
      <c r="K715" s="169" t="s">
        <v>1</v>
      </c>
      <c r="L715" s="169">
        <v>30</v>
      </c>
      <c r="M715" s="168"/>
      <c r="N715" s="168"/>
      <c r="O715" s="168"/>
      <c r="P715" s="168"/>
      <c r="Q715" s="168" t="s">
        <v>0</v>
      </c>
      <c r="R715" s="168" t="s">
        <v>1</v>
      </c>
      <c r="S715" s="178" t="str">
        <f t="shared" si="35"/>
        <v>D_DYN_CRM_CARD_TYPERECORD_CREATE_TS</v>
      </c>
    </row>
    <row r="716" spans="1:19" ht="14.4" x14ac:dyDescent="0.3">
      <c r="A716" s="169" t="s">
        <v>1356</v>
      </c>
      <c r="B716" s="171" t="str">
        <f t="shared" si="33"/>
        <v>D_DYN_CRM_CARD_TYPE</v>
      </c>
      <c r="C716" s="169" t="s">
        <v>429</v>
      </c>
      <c r="D716" s="169">
        <v>1384</v>
      </c>
      <c r="E716" s="169">
        <v>4</v>
      </c>
      <c r="F716" s="169" t="s">
        <v>429</v>
      </c>
      <c r="G716" s="169" t="s">
        <v>429</v>
      </c>
      <c r="H716" s="169">
        <v>22</v>
      </c>
      <c r="I716" s="136" t="str">
        <f t="shared" si="34"/>
        <v>TIMESTAMP(6)</v>
      </c>
      <c r="J716" s="169" t="s">
        <v>1</v>
      </c>
      <c r="K716" s="169" t="s">
        <v>1</v>
      </c>
      <c r="L716" s="169">
        <v>30</v>
      </c>
      <c r="M716" s="168"/>
      <c r="N716" s="168"/>
      <c r="O716" s="168"/>
      <c r="P716" s="168"/>
      <c r="Q716" s="168" t="s">
        <v>0</v>
      </c>
      <c r="R716" s="168" t="s">
        <v>1</v>
      </c>
      <c r="S716" s="178" t="str">
        <f t="shared" si="35"/>
        <v>D_DYN_CRM_CARD_TYPERECORD_UPDATE_TS</v>
      </c>
    </row>
    <row r="717" spans="1:19" ht="14.4" x14ac:dyDescent="0.3">
      <c r="A717" s="169" t="s">
        <v>1356</v>
      </c>
      <c r="B717" s="171" t="str">
        <f t="shared" si="33"/>
        <v>D_DYN_CRM_CARD_TYPE</v>
      </c>
      <c r="C717" s="169" t="s">
        <v>498</v>
      </c>
      <c r="D717" s="169">
        <v>1385</v>
      </c>
      <c r="E717" s="169">
        <v>5</v>
      </c>
      <c r="F717" s="169" t="s">
        <v>498</v>
      </c>
      <c r="G717" s="169" t="s">
        <v>498</v>
      </c>
      <c r="H717" s="169">
        <v>7</v>
      </c>
      <c r="I717" s="136" t="str">
        <f t="shared" si="34"/>
        <v>BIGINT</v>
      </c>
      <c r="J717" s="169" t="s">
        <v>1</v>
      </c>
      <c r="K717" s="169" t="s">
        <v>1</v>
      </c>
      <c r="L717" s="169">
        <v>30</v>
      </c>
      <c r="M717" s="168"/>
      <c r="N717" s="168"/>
      <c r="O717" s="168"/>
      <c r="P717" s="168"/>
      <c r="Q717" s="168" t="s">
        <v>0</v>
      </c>
      <c r="R717" s="168" t="s">
        <v>1</v>
      </c>
      <c r="S717" s="178" t="str">
        <f t="shared" si="35"/>
        <v>D_DYN_CRM_CARD_TYPERUN_ID</v>
      </c>
    </row>
    <row r="718" spans="1:19" ht="14.4" x14ac:dyDescent="0.3">
      <c r="A718" s="169" t="s">
        <v>1356</v>
      </c>
      <c r="B718" s="171" t="str">
        <f t="shared" si="33"/>
        <v>D_DYN_CRM_CARD_TYPE</v>
      </c>
      <c r="C718" s="169" t="s">
        <v>527</v>
      </c>
      <c r="D718" s="169">
        <v>1386</v>
      </c>
      <c r="E718" s="169">
        <v>6</v>
      </c>
      <c r="F718" s="169" t="s">
        <v>527</v>
      </c>
      <c r="G718" s="169" t="s">
        <v>527</v>
      </c>
      <c r="H718" s="169">
        <v>7</v>
      </c>
      <c r="I718" s="136" t="str">
        <f t="shared" si="34"/>
        <v>BIGINT</v>
      </c>
      <c r="J718" s="169" t="s">
        <v>1</v>
      </c>
      <c r="K718" s="169" t="s">
        <v>1</v>
      </c>
      <c r="L718" s="169">
        <v>30</v>
      </c>
      <c r="M718" s="168"/>
      <c r="N718" s="168"/>
      <c r="O718" s="168"/>
      <c r="P718" s="168"/>
      <c r="Q718" s="168" t="s">
        <v>0</v>
      </c>
      <c r="R718" s="168" t="s">
        <v>1</v>
      </c>
      <c r="S718" s="178" t="str">
        <f t="shared" si="35"/>
        <v>D_DYN_CRM_CARD_TYPESRC_SYS_ID</v>
      </c>
    </row>
    <row r="719" spans="1:19" ht="14.4" x14ac:dyDescent="0.3">
      <c r="A719" s="169" t="s">
        <v>1369</v>
      </c>
      <c r="B719" s="171" t="str">
        <f t="shared" si="33"/>
        <v>D_DYN_CRM_INDUSTRY</v>
      </c>
      <c r="C719" s="169" t="s">
        <v>1443</v>
      </c>
      <c r="D719" s="169">
        <v>367</v>
      </c>
      <c r="E719" s="169">
        <v>1</v>
      </c>
      <c r="F719" s="169" t="s">
        <v>1443</v>
      </c>
      <c r="G719" s="169" t="s">
        <v>1443</v>
      </c>
      <c r="H719" s="169">
        <v>24</v>
      </c>
      <c r="I719" s="136" t="str">
        <f t="shared" si="34"/>
        <v xml:space="preserve">VARCHAR(40) </v>
      </c>
      <c r="J719" s="169" t="s">
        <v>1</v>
      </c>
      <c r="K719" s="169" t="s">
        <v>1</v>
      </c>
      <c r="L719" s="169">
        <v>30</v>
      </c>
      <c r="M719" s="168"/>
      <c r="N719" s="168"/>
      <c r="O719" s="168"/>
      <c r="P719" s="168"/>
      <c r="Q719" s="168" t="s">
        <v>0</v>
      </c>
      <c r="R719" s="168" t="s">
        <v>1</v>
      </c>
      <c r="S719" s="178" t="str">
        <f t="shared" si="35"/>
        <v>D_DYN_CRM_INDUSTRYCRM_INDUSTRY_CD</v>
      </c>
    </row>
    <row r="720" spans="1:19" ht="14.4" x14ac:dyDescent="0.3">
      <c r="A720" s="169" t="s">
        <v>1369</v>
      </c>
      <c r="B720" s="171" t="str">
        <f t="shared" si="33"/>
        <v>D_DYN_CRM_INDUSTRY</v>
      </c>
      <c r="C720" s="169" t="s">
        <v>1465</v>
      </c>
      <c r="D720" s="169">
        <v>368</v>
      </c>
      <c r="E720" s="169">
        <v>2</v>
      </c>
      <c r="F720" s="169" t="s">
        <v>1465</v>
      </c>
      <c r="G720" s="169" t="s">
        <v>1465</v>
      </c>
      <c r="H720" s="169">
        <v>7</v>
      </c>
      <c r="I720" s="136" t="str">
        <f t="shared" si="34"/>
        <v>BIGINT</v>
      </c>
      <c r="J720" s="169" t="s">
        <v>1</v>
      </c>
      <c r="K720" s="169" t="s">
        <v>0</v>
      </c>
      <c r="L720" s="169">
        <v>30</v>
      </c>
      <c r="M720" s="168"/>
      <c r="N720" s="168"/>
      <c r="O720" s="168"/>
      <c r="P720" s="168"/>
      <c r="Q720" s="168" t="s">
        <v>0</v>
      </c>
      <c r="R720" s="168" t="s">
        <v>1</v>
      </c>
      <c r="S720" s="178" t="str">
        <f t="shared" si="35"/>
        <v>D_DYN_CRM_INDUSTRYCRM_INDUSTRY_ID</v>
      </c>
    </row>
    <row r="721" spans="1:19" ht="14.4" x14ac:dyDescent="0.3">
      <c r="A721" s="169" t="s">
        <v>1369</v>
      </c>
      <c r="B721" s="171" t="str">
        <f t="shared" si="33"/>
        <v>D_DYN_CRM_INDUSTRY</v>
      </c>
      <c r="C721" s="169" t="s">
        <v>440</v>
      </c>
      <c r="D721" s="169">
        <v>369</v>
      </c>
      <c r="E721" s="169">
        <v>3</v>
      </c>
      <c r="F721" s="169" t="s">
        <v>440</v>
      </c>
      <c r="G721" s="169" t="s">
        <v>440</v>
      </c>
      <c r="H721" s="169">
        <v>22</v>
      </c>
      <c r="I721" s="136" t="str">
        <f t="shared" si="34"/>
        <v>TIMESTAMP(6)</v>
      </c>
      <c r="J721" s="169" t="s">
        <v>1</v>
      </c>
      <c r="K721" s="169" t="s">
        <v>1</v>
      </c>
      <c r="L721" s="169">
        <v>30</v>
      </c>
      <c r="M721" s="168"/>
      <c r="N721" s="168"/>
      <c r="O721" s="168"/>
      <c r="P721" s="168"/>
      <c r="Q721" s="168" t="s">
        <v>0</v>
      </c>
      <c r="R721" s="168" t="s">
        <v>1</v>
      </c>
      <c r="S721" s="178" t="str">
        <f t="shared" si="35"/>
        <v>D_DYN_CRM_INDUSTRYRECORD_CREATE_TS</v>
      </c>
    </row>
    <row r="722" spans="1:19" ht="14.4" x14ac:dyDescent="0.3">
      <c r="A722" s="169" t="s">
        <v>1369</v>
      </c>
      <c r="B722" s="171" t="str">
        <f t="shared" si="33"/>
        <v>D_DYN_CRM_INDUSTRY</v>
      </c>
      <c r="C722" s="169" t="s">
        <v>429</v>
      </c>
      <c r="D722" s="169">
        <v>370</v>
      </c>
      <c r="E722" s="169">
        <v>4</v>
      </c>
      <c r="F722" s="169" t="s">
        <v>429</v>
      </c>
      <c r="G722" s="169" t="s">
        <v>429</v>
      </c>
      <c r="H722" s="169">
        <v>22</v>
      </c>
      <c r="I722" s="136" t="str">
        <f t="shared" si="34"/>
        <v>TIMESTAMP(6)</v>
      </c>
      <c r="J722" s="169" t="s">
        <v>1</v>
      </c>
      <c r="K722" s="169" t="s">
        <v>1</v>
      </c>
      <c r="L722" s="169">
        <v>30</v>
      </c>
      <c r="M722" s="168"/>
      <c r="N722" s="168"/>
      <c r="O722" s="168"/>
      <c r="P722" s="168"/>
      <c r="Q722" s="168" t="s">
        <v>0</v>
      </c>
      <c r="R722" s="168" t="s">
        <v>1</v>
      </c>
      <c r="S722" s="178" t="str">
        <f t="shared" si="35"/>
        <v>D_DYN_CRM_INDUSTRYRECORD_UPDATE_TS</v>
      </c>
    </row>
    <row r="723" spans="1:19" ht="14.4" x14ac:dyDescent="0.3">
      <c r="A723" s="169" t="s">
        <v>1369</v>
      </c>
      <c r="B723" s="171" t="str">
        <f t="shared" si="33"/>
        <v>D_DYN_CRM_INDUSTRY</v>
      </c>
      <c r="C723" s="169" t="s">
        <v>498</v>
      </c>
      <c r="D723" s="169">
        <v>371</v>
      </c>
      <c r="E723" s="169">
        <v>5</v>
      </c>
      <c r="F723" s="169" t="s">
        <v>498</v>
      </c>
      <c r="G723" s="169" t="s">
        <v>498</v>
      </c>
      <c r="H723" s="169">
        <v>7</v>
      </c>
      <c r="I723" s="136" t="str">
        <f t="shared" si="34"/>
        <v>BIGINT</v>
      </c>
      <c r="J723" s="169" t="s">
        <v>1</v>
      </c>
      <c r="K723" s="169" t="s">
        <v>1</v>
      </c>
      <c r="L723" s="169">
        <v>30</v>
      </c>
      <c r="M723" s="168"/>
      <c r="N723" s="168"/>
      <c r="O723" s="168"/>
      <c r="P723" s="168"/>
      <c r="Q723" s="168" t="s">
        <v>0</v>
      </c>
      <c r="R723" s="168" t="s">
        <v>1</v>
      </c>
      <c r="S723" s="178" t="str">
        <f t="shared" si="35"/>
        <v>D_DYN_CRM_INDUSTRYRUN_ID</v>
      </c>
    </row>
    <row r="724" spans="1:19" ht="14.4" x14ac:dyDescent="0.3">
      <c r="A724" s="169" t="s">
        <v>1369</v>
      </c>
      <c r="B724" s="171" t="str">
        <f t="shared" si="33"/>
        <v>D_DYN_CRM_INDUSTRY</v>
      </c>
      <c r="C724" s="169" t="s">
        <v>527</v>
      </c>
      <c r="D724" s="169">
        <v>372</v>
      </c>
      <c r="E724" s="169">
        <v>6</v>
      </c>
      <c r="F724" s="169" t="s">
        <v>527</v>
      </c>
      <c r="G724" s="169" t="s">
        <v>527</v>
      </c>
      <c r="H724" s="169">
        <v>7</v>
      </c>
      <c r="I724" s="136" t="str">
        <f t="shared" si="34"/>
        <v>BIGINT</v>
      </c>
      <c r="J724" s="169" t="s">
        <v>1</v>
      </c>
      <c r="K724" s="169" t="s">
        <v>1</v>
      </c>
      <c r="L724" s="169">
        <v>30</v>
      </c>
      <c r="M724" s="168"/>
      <c r="N724" s="168"/>
      <c r="O724" s="168"/>
      <c r="P724" s="168"/>
      <c r="Q724" s="168" t="s">
        <v>0</v>
      </c>
      <c r="R724" s="168" t="s">
        <v>1</v>
      </c>
      <c r="S724" s="178" t="str">
        <f t="shared" si="35"/>
        <v>D_DYN_CRM_INDUSTRYSRC_SYS_ID</v>
      </c>
    </row>
    <row r="725" spans="1:19" ht="14.4" x14ac:dyDescent="0.3">
      <c r="A725" s="169" t="s">
        <v>1358</v>
      </c>
      <c r="B725" s="171" t="str">
        <f t="shared" si="33"/>
        <v>D_DYN_PD_MODEL</v>
      </c>
      <c r="C725" s="169" t="s">
        <v>1572</v>
      </c>
      <c r="D725" s="169">
        <v>1387</v>
      </c>
      <c r="E725" s="169">
        <v>1</v>
      </c>
      <c r="F725" s="169" t="s">
        <v>1572</v>
      </c>
      <c r="G725" s="169" t="s">
        <v>1572</v>
      </c>
      <c r="H725" s="169">
        <v>24</v>
      </c>
      <c r="I725" s="136" t="str">
        <f t="shared" si="34"/>
        <v xml:space="preserve">VARCHAR(40) </v>
      </c>
      <c r="J725" s="169" t="s">
        <v>1</v>
      </c>
      <c r="K725" s="169" t="s">
        <v>1</v>
      </c>
      <c r="L725" s="169">
        <v>30</v>
      </c>
      <c r="M725" s="168"/>
      <c r="N725" s="168"/>
      <c r="O725" s="168"/>
      <c r="P725" s="168"/>
      <c r="Q725" s="168" t="s">
        <v>0</v>
      </c>
      <c r="R725" s="168" t="s">
        <v>1</v>
      </c>
      <c r="S725" s="178" t="str">
        <f t="shared" si="35"/>
        <v>D_DYN_PD_MODELPD_MODEL_CD</v>
      </c>
    </row>
    <row r="726" spans="1:19" ht="14.4" x14ac:dyDescent="0.3">
      <c r="A726" s="169" t="s">
        <v>1358</v>
      </c>
      <c r="B726" s="171" t="str">
        <f t="shared" si="33"/>
        <v>D_DYN_PD_MODEL</v>
      </c>
      <c r="C726" s="169" t="s">
        <v>1461</v>
      </c>
      <c r="D726" s="169">
        <v>1388</v>
      </c>
      <c r="E726" s="169">
        <v>2</v>
      </c>
      <c r="F726" s="169" t="s">
        <v>1461</v>
      </c>
      <c r="G726" s="169" t="s">
        <v>1461</v>
      </c>
      <c r="H726" s="169">
        <v>7</v>
      </c>
      <c r="I726" s="136" t="str">
        <f t="shared" si="34"/>
        <v>BIGINT</v>
      </c>
      <c r="J726" s="169" t="s">
        <v>1</v>
      </c>
      <c r="K726" s="169" t="s">
        <v>0</v>
      </c>
      <c r="L726" s="169">
        <v>30</v>
      </c>
      <c r="M726" s="168"/>
      <c r="N726" s="168"/>
      <c r="O726" s="168"/>
      <c r="P726" s="168"/>
      <c r="Q726" s="168" t="s">
        <v>0</v>
      </c>
      <c r="R726" s="168" t="s">
        <v>1</v>
      </c>
      <c r="S726" s="178" t="str">
        <f t="shared" si="35"/>
        <v>D_DYN_PD_MODELPD_MODEL_ID</v>
      </c>
    </row>
    <row r="727" spans="1:19" ht="14.4" x14ac:dyDescent="0.3">
      <c r="A727" s="169" t="s">
        <v>1358</v>
      </c>
      <c r="B727" s="171" t="str">
        <f t="shared" si="33"/>
        <v>D_DYN_PD_MODEL</v>
      </c>
      <c r="C727" s="169" t="s">
        <v>440</v>
      </c>
      <c r="D727" s="169">
        <v>1389</v>
      </c>
      <c r="E727" s="169">
        <v>3</v>
      </c>
      <c r="F727" s="169" t="s">
        <v>440</v>
      </c>
      <c r="G727" s="169" t="s">
        <v>440</v>
      </c>
      <c r="H727" s="169">
        <v>22</v>
      </c>
      <c r="I727" s="136" t="str">
        <f t="shared" si="34"/>
        <v>TIMESTAMP(6)</v>
      </c>
      <c r="J727" s="169" t="s">
        <v>1</v>
      </c>
      <c r="K727" s="169" t="s">
        <v>1</v>
      </c>
      <c r="L727" s="169">
        <v>30</v>
      </c>
      <c r="M727" s="168"/>
      <c r="N727" s="168"/>
      <c r="O727" s="168"/>
      <c r="P727" s="168"/>
      <c r="Q727" s="168" t="s">
        <v>0</v>
      </c>
      <c r="R727" s="168" t="s">
        <v>1</v>
      </c>
      <c r="S727" s="178" t="str">
        <f t="shared" si="35"/>
        <v>D_DYN_PD_MODELRECORD_CREATE_TS</v>
      </c>
    </row>
    <row r="728" spans="1:19" ht="14.4" x14ac:dyDescent="0.3">
      <c r="A728" s="169" t="s">
        <v>1358</v>
      </c>
      <c r="B728" s="171" t="str">
        <f t="shared" si="33"/>
        <v>D_DYN_PD_MODEL</v>
      </c>
      <c r="C728" s="169" t="s">
        <v>429</v>
      </c>
      <c r="D728" s="169">
        <v>1390</v>
      </c>
      <c r="E728" s="169">
        <v>4</v>
      </c>
      <c r="F728" s="169" t="s">
        <v>429</v>
      </c>
      <c r="G728" s="169" t="s">
        <v>429</v>
      </c>
      <c r="H728" s="169">
        <v>22</v>
      </c>
      <c r="I728" s="136" t="str">
        <f t="shared" si="34"/>
        <v>TIMESTAMP(6)</v>
      </c>
      <c r="J728" s="169" t="s">
        <v>1</v>
      </c>
      <c r="K728" s="169" t="s">
        <v>1</v>
      </c>
      <c r="L728" s="169">
        <v>30</v>
      </c>
      <c r="M728" s="168"/>
      <c r="N728" s="168"/>
      <c r="O728" s="168"/>
      <c r="P728" s="168"/>
      <c r="Q728" s="168" t="s">
        <v>0</v>
      </c>
      <c r="R728" s="168" t="s">
        <v>1</v>
      </c>
      <c r="S728" s="178" t="str">
        <f t="shared" si="35"/>
        <v>D_DYN_PD_MODELRECORD_UPDATE_TS</v>
      </c>
    </row>
    <row r="729" spans="1:19" ht="14.4" x14ac:dyDescent="0.3">
      <c r="A729" s="169" t="s">
        <v>1358</v>
      </c>
      <c r="B729" s="171" t="str">
        <f t="shared" si="33"/>
        <v>D_DYN_PD_MODEL</v>
      </c>
      <c r="C729" s="169" t="s">
        <v>498</v>
      </c>
      <c r="D729" s="169">
        <v>1391</v>
      </c>
      <c r="E729" s="169">
        <v>5</v>
      </c>
      <c r="F729" s="169" t="s">
        <v>498</v>
      </c>
      <c r="G729" s="169" t="s">
        <v>498</v>
      </c>
      <c r="H729" s="169">
        <v>7</v>
      </c>
      <c r="I729" s="136" t="str">
        <f t="shared" si="34"/>
        <v>BIGINT</v>
      </c>
      <c r="J729" s="169" t="s">
        <v>1</v>
      </c>
      <c r="K729" s="169" t="s">
        <v>1</v>
      </c>
      <c r="L729" s="169">
        <v>30</v>
      </c>
      <c r="M729" s="168"/>
      <c r="N729" s="168"/>
      <c r="O729" s="168"/>
      <c r="P729" s="168"/>
      <c r="Q729" s="168" t="s">
        <v>0</v>
      </c>
      <c r="R729" s="168" t="s">
        <v>1</v>
      </c>
      <c r="S729" s="178" t="str">
        <f t="shared" si="35"/>
        <v>D_DYN_PD_MODELRUN_ID</v>
      </c>
    </row>
    <row r="730" spans="1:19" ht="14.4" x14ac:dyDescent="0.3">
      <c r="A730" s="169" t="s">
        <v>1358</v>
      </c>
      <c r="B730" s="171" t="str">
        <f t="shared" si="33"/>
        <v>D_DYN_PD_MODEL</v>
      </c>
      <c r="C730" s="169" t="s">
        <v>527</v>
      </c>
      <c r="D730" s="169">
        <v>1392</v>
      </c>
      <c r="E730" s="169">
        <v>6</v>
      </c>
      <c r="F730" s="169" t="s">
        <v>527</v>
      </c>
      <c r="G730" s="169" t="s">
        <v>527</v>
      </c>
      <c r="H730" s="169">
        <v>7</v>
      </c>
      <c r="I730" s="136" t="str">
        <f t="shared" si="34"/>
        <v>BIGINT</v>
      </c>
      <c r="J730" s="169" t="s">
        <v>1</v>
      </c>
      <c r="K730" s="169" t="s">
        <v>1</v>
      </c>
      <c r="L730" s="169">
        <v>30</v>
      </c>
      <c r="M730" s="168"/>
      <c r="N730" s="168"/>
      <c r="O730" s="168"/>
      <c r="P730" s="168"/>
      <c r="Q730" s="168" t="s">
        <v>0</v>
      </c>
      <c r="R730" s="168" t="s">
        <v>1</v>
      </c>
      <c r="S730" s="178" t="str">
        <f t="shared" si="35"/>
        <v>D_DYN_PD_MODELSRC_SYS_ID</v>
      </c>
    </row>
    <row r="731" spans="1:19" ht="14.4" x14ac:dyDescent="0.3">
      <c r="A731" s="169" t="s">
        <v>1307</v>
      </c>
      <c r="B731" s="171" t="str">
        <f t="shared" si="33"/>
        <v>D_DYN_SRC_SYS</v>
      </c>
      <c r="C731" s="169" t="s">
        <v>440</v>
      </c>
      <c r="D731" s="169">
        <v>373</v>
      </c>
      <c r="E731" s="169">
        <v>1</v>
      </c>
      <c r="F731" s="169" t="s">
        <v>440</v>
      </c>
      <c r="G731" s="169" t="s">
        <v>440</v>
      </c>
      <c r="H731" s="169">
        <v>22</v>
      </c>
      <c r="I731" s="136" t="str">
        <f t="shared" si="34"/>
        <v>TIMESTAMP(6)</v>
      </c>
      <c r="J731" s="169" t="s">
        <v>1</v>
      </c>
      <c r="K731" s="169" t="s">
        <v>1</v>
      </c>
      <c r="L731" s="169">
        <v>30</v>
      </c>
      <c r="M731" s="168"/>
      <c r="N731" s="168"/>
      <c r="O731" s="168"/>
      <c r="P731" s="168"/>
      <c r="Q731" s="168" t="s">
        <v>0</v>
      </c>
      <c r="R731" s="168" t="s">
        <v>1</v>
      </c>
      <c r="S731" s="178" t="str">
        <f t="shared" si="35"/>
        <v>D_DYN_SRC_SYSRECORD_CREATE_TS</v>
      </c>
    </row>
    <row r="732" spans="1:19" ht="14.4" x14ac:dyDescent="0.3">
      <c r="A732" s="169" t="s">
        <v>1307</v>
      </c>
      <c r="B732" s="171" t="str">
        <f t="shared" si="33"/>
        <v>D_DYN_SRC_SYS</v>
      </c>
      <c r="C732" s="169" t="s">
        <v>429</v>
      </c>
      <c r="D732" s="169">
        <v>374</v>
      </c>
      <c r="E732" s="169">
        <v>2</v>
      </c>
      <c r="F732" s="169" t="s">
        <v>429</v>
      </c>
      <c r="G732" s="169" t="s">
        <v>429</v>
      </c>
      <c r="H732" s="169">
        <v>22</v>
      </c>
      <c r="I732" s="136" t="str">
        <f t="shared" si="34"/>
        <v>TIMESTAMP(6)</v>
      </c>
      <c r="J732" s="169" t="s">
        <v>1</v>
      </c>
      <c r="K732" s="169" t="s">
        <v>1</v>
      </c>
      <c r="L732" s="169">
        <v>30</v>
      </c>
      <c r="M732" s="168"/>
      <c r="N732" s="168"/>
      <c r="O732" s="168"/>
      <c r="P732" s="168"/>
      <c r="Q732" s="168" t="s">
        <v>0</v>
      </c>
      <c r="R732" s="168" t="s">
        <v>1</v>
      </c>
      <c r="S732" s="178" t="str">
        <f t="shared" si="35"/>
        <v>D_DYN_SRC_SYSRECORD_UPDATE_TS</v>
      </c>
    </row>
    <row r="733" spans="1:19" ht="14.4" x14ac:dyDescent="0.3">
      <c r="A733" s="169" t="s">
        <v>1307</v>
      </c>
      <c r="B733" s="171" t="str">
        <f t="shared" si="33"/>
        <v>D_DYN_SRC_SYS</v>
      </c>
      <c r="C733" s="169" t="s">
        <v>498</v>
      </c>
      <c r="D733" s="169">
        <v>375</v>
      </c>
      <c r="E733" s="169">
        <v>3</v>
      </c>
      <c r="F733" s="169" t="s">
        <v>498</v>
      </c>
      <c r="G733" s="169" t="s">
        <v>498</v>
      </c>
      <c r="H733" s="169">
        <v>7</v>
      </c>
      <c r="I733" s="136" t="str">
        <f t="shared" si="34"/>
        <v>BIGINT</v>
      </c>
      <c r="J733" s="169" t="s">
        <v>1</v>
      </c>
      <c r="K733" s="169" t="s">
        <v>1</v>
      </c>
      <c r="L733" s="169">
        <v>30</v>
      </c>
      <c r="M733" s="168"/>
      <c r="N733" s="168"/>
      <c r="O733" s="168"/>
      <c r="P733" s="168"/>
      <c r="Q733" s="168" t="s">
        <v>0</v>
      </c>
      <c r="R733" s="168" t="s">
        <v>1</v>
      </c>
      <c r="S733" s="178" t="str">
        <f t="shared" si="35"/>
        <v>D_DYN_SRC_SYSRUN_ID</v>
      </c>
    </row>
    <row r="734" spans="1:19" ht="14.4" x14ac:dyDescent="0.3">
      <c r="A734" s="169" t="s">
        <v>1307</v>
      </c>
      <c r="B734" s="171" t="str">
        <f t="shared" si="33"/>
        <v>D_DYN_SRC_SYS</v>
      </c>
      <c r="C734" s="169" t="s">
        <v>824</v>
      </c>
      <c r="D734" s="169">
        <v>376</v>
      </c>
      <c r="E734" s="169">
        <v>4</v>
      </c>
      <c r="F734" s="169" t="s">
        <v>824</v>
      </c>
      <c r="G734" s="169" t="s">
        <v>824</v>
      </c>
      <c r="H734" s="169">
        <v>13</v>
      </c>
      <c r="I734" s="136" t="str">
        <f t="shared" si="34"/>
        <v xml:space="preserve">VARCHAR(300) </v>
      </c>
      <c r="J734" s="169" t="s">
        <v>1</v>
      </c>
      <c r="K734" s="169" t="s">
        <v>1</v>
      </c>
      <c r="L734" s="169">
        <v>30</v>
      </c>
      <c r="M734" s="168"/>
      <c r="N734" s="168"/>
      <c r="O734" s="168"/>
      <c r="P734" s="168"/>
      <c r="Q734" s="168" t="s">
        <v>0</v>
      </c>
      <c r="R734" s="168" t="s">
        <v>1</v>
      </c>
      <c r="S734" s="178" t="str">
        <f t="shared" si="35"/>
        <v>D_DYN_SRC_SYSSRC_SYS_DSC</v>
      </c>
    </row>
    <row r="735" spans="1:19" ht="14.4" x14ac:dyDescent="0.3">
      <c r="A735" s="169" t="s">
        <v>1307</v>
      </c>
      <c r="B735" s="171" t="str">
        <f t="shared" si="33"/>
        <v>D_DYN_SRC_SYS</v>
      </c>
      <c r="C735" s="169" t="s">
        <v>527</v>
      </c>
      <c r="D735" s="169">
        <v>377</v>
      </c>
      <c r="E735" s="169">
        <v>5</v>
      </c>
      <c r="F735" s="169" t="s">
        <v>527</v>
      </c>
      <c r="G735" s="169" t="s">
        <v>527</v>
      </c>
      <c r="H735" s="169">
        <v>7</v>
      </c>
      <c r="I735" s="136" t="str">
        <f t="shared" si="34"/>
        <v>BIGINT</v>
      </c>
      <c r="J735" s="169" t="s">
        <v>1</v>
      </c>
      <c r="K735" s="169" t="s">
        <v>0</v>
      </c>
      <c r="L735" s="169">
        <v>30</v>
      </c>
      <c r="M735" s="168"/>
      <c r="N735" s="168"/>
      <c r="O735" s="168"/>
      <c r="P735" s="168"/>
      <c r="Q735" s="168" t="s">
        <v>0</v>
      </c>
      <c r="R735" s="168" t="s">
        <v>1</v>
      </c>
      <c r="S735" s="178" t="str">
        <f t="shared" si="35"/>
        <v>D_DYN_SRC_SYSSRC_SYS_ID</v>
      </c>
    </row>
    <row r="736" spans="1:19" ht="14.4" x14ac:dyDescent="0.3">
      <c r="A736" s="169" t="s">
        <v>1307</v>
      </c>
      <c r="B736" s="171" t="str">
        <f t="shared" si="33"/>
        <v>D_DYN_SRC_SYS</v>
      </c>
      <c r="C736" s="169" t="s">
        <v>1506</v>
      </c>
      <c r="D736" s="169">
        <v>378</v>
      </c>
      <c r="E736" s="169">
        <v>6</v>
      </c>
      <c r="F736" s="169" t="s">
        <v>1506</v>
      </c>
      <c r="G736" s="169" t="s">
        <v>1506</v>
      </c>
      <c r="H736" s="169">
        <v>24</v>
      </c>
      <c r="I736" s="136" t="str">
        <f t="shared" si="34"/>
        <v xml:space="preserve">VARCHAR(40) </v>
      </c>
      <c r="J736" s="169" t="s">
        <v>0</v>
      </c>
      <c r="K736" s="169" t="s">
        <v>1</v>
      </c>
      <c r="L736" s="169">
        <v>30</v>
      </c>
      <c r="M736" s="168"/>
      <c r="N736" s="168"/>
      <c r="O736" s="168"/>
      <c r="P736" s="168"/>
      <c r="Q736" s="168" t="s">
        <v>0</v>
      </c>
      <c r="R736" s="168" t="s">
        <v>1</v>
      </c>
      <c r="S736" s="178" t="str">
        <f t="shared" si="35"/>
        <v>D_DYN_SRC_SYSSRC_SYS_INSTANCE_CD</v>
      </c>
    </row>
    <row r="737" spans="1:19" ht="14.4" x14ac:dyDescent="0.3">
      <c r="A737" s="169" t="s">
        <v>1307</v>
      </c>
      <c r="B737" s="171" t="str">
        <f t="shared" si="33"/>
        <v>D_DYN_SRC_SYS</v>
      </c>
      <c r="C737" s="169" t="s">
        <v>1595</v>
      </c>
      <c r="D737" s="169">
        <v>379</v>
      </c>
      <c r="E737" s="169">
        <v>7</v>
      </c>
      <c r="F737" s="169" t="s">
        <v>1595</v>
      </c>
      <c r="G737" s="169" t="s">
        <v>1595</v>
      </c>
      <c r="H737" s="169">
        <v>24</v>
      </c>
      <c r="I737" s="136" t="str">
        <f t="shared" si="34"/>
        <v xml:space="preserve">VARCHAR(40) </v>
      </c>
      <c r="J737" s="169" t="s">
        <v>0</v>
      </c>
      <c r="K737" s="169" t="s">
        <v>1</v>
      </c>
      <c r="L737" s="169">
        <v>30</v>
      </c>
      <c r="M737" s="168"/>
      <c r="N737" s="168"/>
      <c r="O737" s="168"/>
      <c r="P737" s="168"/>
      <c r="Q737" s="168" t="s">
        <v>0</v>
      </c>
      <c r="R737" s="168" t="s">
        <v>1</v>
      </c>
      <c r="S737" s="178" t="str">
        <f t="shared" si="35"/>
        <v>D_DYN_SRC_SYSSRC_SYS_TYPE_CD</v>
      </c>
    </row>
    <row r="738" spans="1:19" ht="14.4" x14ac:dyDescent="0.3">
      <c r="A738" s="169" t="s">
        <v>2044</v>
      </c>
      <c r="B738" s="171" t="str">
        <f t="shared" si="33"/>
        <v>D_ECAP_AGGREGATED_RESULTS</v>
      </c>
      <c r="C738" s="169" t="s">
        <v>2078</v>
      </c>
      <c r="D738" s="169">
        <v>1393</v>
      </c>
      <c r="E738" s="169">
        <v>1</v>
      </c>
      <c r="F738" s="169" t="s">
        <v>2078</v>
      </c>
      <c r="G738" s="169" t="s">
        <v>2078</v>
      </c>
      <c r="H738" s="169">
        <v>1</v>
      </c>
      <c r="I738" s="136" t="str">
        <f t="shared" si="34"/>
        <v>DECIMAL(16, 0)</v>
      </c>
      <c r="J738" s="169" t="s">
        <v>0</v>
      </c>
      <c r="K738" s="169" t="s">
        <v>1</v>
      </c>
      <c r="L738" s="169">
        <v>30</v>
      </c>
      <c r="M738" s="168"/>
      <c r="N738" s="168"/>
      <c r="O738" s="168"/>
      <c r="P738" s="168"/>
      <c r="Q738" s="168" t="s">
        <v>0</v>
      </c>
      <c r="R738" s="168" t="s">
        <v>1</v>
      </c>
      <c r="S738" s="178" t="str">
        <f t="shared" si="35"/>
        <v>D_ECAP_AGGREGATED_RESULTSADD_ECAP_DEF_T0</v>
      </c>
    </row>
    <row r="739" spans="1:19" ht="14.4" x14ac:dyDescent="0.3">
      <c r="A739" s="169" t="s">
        <v>2044</v>
      </c>
      <c r="B739" s="171" t="str">
        <f t="shared" si="33"/>
        <v>D_ECAP_AGGREGATED_RESULTS</v>
      </c>
      <c r="C739" s="169" t="s">
        <v>2079</v>
      </c>
      <c r="D739" s="169">
        <v>1394</v>
      </c>
      <c r="E739" s="169">
        <v>2</v>
      </c>
      <c r="F739" s="169" t="s">
        <v>2079</v>
      </c>
      <c r="G739" s="169" t="s">
        <v>2079</v>
      </c>
      <c r="H739" s="169">
        <v>1</v>
      </c>
      <c r="I739" s="136" t="str">
        <f t="shared" si="34"/>
        <v>DECIMAL(16, 0)</v>
      </c>
      <c r="J739" s="169" t="s">
        <v>0</v>
      </c>
      <c r="K739" s="169" t="s">
        <v>1</v>
      </c>
      <c r="L739" s="169">
        <v>30</v>
      </c>
      <c r="M739" s="168"/>
      <c r="N739" s="168"/>
      <c r="O739" s="168"/>
      <c r="P739" s="168"/>
      <c r="Q739" s="168" t="s">
        <v>0</v>
      </c>
      <c r="R739" s="168" t="s">
        <v>1</v>
      </c>
      <c r="S739" s="178" t="str">
        <f t="shared" si="35"/>
        <v>D_ECAP_AGGREGATED_RESULTSALLOC_PERCENTILE_VALUE</v>
      </c>
    </row>
    <row r="740" spans="1:19" ht="14.4" x14ac:dyDescent="0.3">
      <c r="A740" s="169" t="s">
        <v>2044</v>
      </c>
      <c r="B740" s="171" t="str">
        <f t="shared" si="33"/>
        <v>D_ECAP_AGGREGATED_RESULTS</v>
      </c>
      <c r="C740" s="169" t="s">
        <v>2080</v>
      </c>
      <c r="D740" s="169">
        <v>1395</v>
      </c>
      <c r="E740" s="169">
        <v>3</v>
      </c>
      <c r="F740" s="169" t="s">
        <v>2080</v>
      </c>
      <c r="G740" s="169" t="s">
        <v>2080</v>
      </c>
      <c r="H740" s="169">
        <v>1</v>
      </c>
      <c r="I740" s="136" t="str">
        <f t="shared" si="34"/>
        <v>DECIMAL(16, 0)</v>
      </c>
      <c r="J740" s="169" t="s">
        <v>1</v>
      </c>
      <c r="K740" s="169" t="s">
        <v>0</v>
      </c>
      <c r="L740" s="169">
        <v>30</v>
      </c>
      <c r="M740" s="168"/>
      <c r="N740" s="168"/>
      <c r="O740" s="168"/>
      <c r="P740" s="168"/>
      <c r="Q740" s="168" t="s">
        <v>0</v>
      </c>
      <c r="R740" s="168" t="s">
        <v>1</v>
      </c>
      <c r="S740" s="178" t="str">
        <f t="shared" si="35"/>
        <v>D_ECAP_AGGREGATED_RESULTSCALC_SESSION_ID</v>
      </c>
    </row>
    <row r="741" spans="1:19" ht="14.4" x14ac:dyDescent="0.3">
      <c r="A741" s="169" t="s">
        <v>2044</v>
      </c>
      <c r="B741" s="171" t="str">
        <f t="shared" si="33"/>
        <v>D_ECAP_AGGREGATED_RESULTS</v>
      </c>
      <c r="C741" s="169" t="s">
        <v>2081</v>
      </c>
      <c r="D741" s="169">
        <v>1396</v>
      </c>
      <c r="E741" s="169">
        <v>4</v>
      </c>
      <c r="F741" s="169" t="s">
        <v>2081</v>
      </c>
      <c r="G741" s="169" t="s">
        <v>2081</v>
      </c>
      <c r="H741" s="169">
        <v>1</v>
      </c>
      <c r="I741" s="136" t="str">
        <f t="shared" si="34"/>
        <v>DECIMAL(16, 0)</v>
      </c>
      <c r="J741" s="169" t="s">
        <v>0</v>
      </c>
      <c r="K741" s="169" t="s">
        <v>1</v>
      </c>
      <c r="L741" s="169">
        <v>30</v>
      </c>
      <c r="M741" s="168"/>
      <c r="N741" s="168"/>
      <c r="O741" s="168"/>
      <c r="P741" s="168"/>
      <c r="Q741" s="168" t="s">
        <v>0</v>
      </c>
      <c r="R741" s="168" t="s">
        <v>1</v>
      </c>
      <c r="S741" s="178" t="str">
        <f t="shared" si="35"/>
        <v>D_ECAP_AGGREGATED_RESULTSEL_T0</v>
      </c>
    </row>
    <row r="742" spans="1:19" ht="14.4" x14ac:dyDescent="0.3">
      <c r="A742" s="169" t="s">
        <v>2044</v>
      </c>
      <c r="B742" s="171" t="str">
        <f t="shared" si="33"/>
        <v>D_ECAP_AGGREGATED_RESULTS</v>
      </c>
      <c r="C742" s="169" t="s">
        <v>2082</v>
      </c>
      <c r="D742" s="169">
        <v>1397</v>
      </c>
      <c r="E742" s="169">
        <v>5</v>
      </c>
      <c r="F742" s="169" t="s">
        <v>2082</v>
      </c>
      <c r="G742" s="169" t="s">
        <v>2082</v>
      </c>
      <c r="H742" s="169">
        <v>1</v>
      </c>
      <c r="I742" s="136" t="str">
        <f t="shared" si="34"/>
        <v>DECIMAL(16, 0)</v>
      </c>
      <c r="J742" s="169" t="s">
        <v>0</v>
      </c>
      <c r="K742" s="169" t="s">
        <v>1</v>
      </c>
      <c r="L742" s="169">
        <v>30</v>
      </c>
      <c r="M742" s="168"/>
      <c r="N742" s="168"/>
      <c r="O742" s="168"/>
      <c r="P742" s="168"/>
      <c r="Q742" s="168" t="s">
        <v>0</v>
      </c>
      <c r="R742" s="168" t="s">
        <v>1</v>
      </c>
      <c r="S742" s="178" t="str">
        <f t="shared" si="35"/>
        <v>D_ECAP_AGGREGATED_RESULTSEPROV_T0</v>
      </c>
    </row>
    <row r="743" spans="1:19" ht="14.4" x14ac:dyDescent="0.3">
      <c r="A743" s="169" t="s">
        <v>2044</v>
      </c>
      <c r="B743" s="171" t="str">
        <f t="shared" si="33"/>
        <v>D_ECAP_AGGREGATED_RESULTS</v>
      </c>
      <c r="C743" s="169" t="s">
        <v>2083</v>
      </c>
      <c r="D743" s="169">
        <v>1398</v>
      </c>
      <c r="E743" s="169">
        <v>6</v>
      </c>
      <c r="F743" s="169" t="s">
        <v>2083</v>
      </c>
      <c r="G743" s="169" t="s">
        <v>2083</v>
      </c>
      <c r="H743" s="169">
        <v>1</v>
      </c>
      <c r="I743" s="136" t="str">
        <f t="shared" si="34"/>
        <v>DECIMAL(16, 0)</v>
      </c>
      <c r="J743" s="169" t="s">
        <v>0</v>
      </c>
      <c r="K743" s="169" t="s">
        <v>1</v>
      </c>
      <c r="L743" s="169">
        <v>30</v>
      </c>
      <c r="M743" s="168"/>
      <c r="N743" s="168"/>
      <c r="O743" s="168"/>
      <c r="P743" s="168"/>
      <c r="Q743" s="168" t="s">
        <v>0</v>
      </c>
      <c r="R743" s="168" t="s">
        <v>1</v>
      </c>
      <c r="S743" s="178" t="str">
        <f t="shared" si="35"/>
        <v>D_ECAP_AGGREGATED_RESULTSLOSS_STD_DEV_T0</v>
      </c>
    </row>
    <row r="744" spans="1:19" ht="14.4" x14ac:dyDescent="0.3">
      <c r="A744" s="169" t="s">
        <v>2050</v>
      </c>
      <c r="B744" s="171" t="str">
        <f t="shared" si="33"/>
        <v>D_ECAP_CALC_SESSIONS</v>
      </c>
      <c r="C744" s="169" t="s">
        <v>2084</v>
      </c>
      <c r="D744" s="169">
        <v>1399</v>
      </c>
      <c r="E744" s="169">
        <v>1</v>
      </c>
      <c r="F744" s="169" t="s">
        <v>2084</v>
      </c>
      <c r="G744" s="169" t="s">
        <v>2084</v>
      </c>
      <c r="H744" s="169">
        <v>16</v>
      </c>
      <c r="I744" s="136" t="str">
        <f t="shared" si="34"/>
        <v>DECIMAL(26, 6)</v>
      </c>
      <c r="J744" s="169" t="s">
        <v>0</v>
      </c>
      <c r="K744" s="169" t="s">
        <v>1</v>
      </c>
      <c r="L744" s="169">
        <v>30</v>
      </c>
      <c r="M744" s="168"/>
      <c r="N744" s="168"/>
      <c r="O744" s="168"/>
      <c r="P744" s="168"/>
      <c r="Q744" s="168" t="s">
        <v>0</v>
      </c>
      <c r="R744" s="168" t="s">
        <v>1</v>
      </c>
      <c r="S744" s="178" t="str">
        <f t="shared" si="35"/>
        <v>D_ECAP_CALC_SESSIONSADJ_CP_CORR</v>
      </c>
    </row>
    <row r="745" spans="1:19" ht="14.4" x14ac:dyDescent="0.3">
      <c r="A745" s="169" t="s">
        <v>2050</v>
      </c>
      <c r="B745" s="171" t="str">
        <f t="shared" si="33"/>
        <v>D_ECAP_CALC_SESSIONS</v>
      </c>
      <c r="C745" s="169" t="s">
        <v>2085</v>
      </c>
      <c r="D745" s="169">
        <v>1400</v>
      </c>
      <c r="E745" s="169">
        <v>2</v>
      </c>
      <c r="F745" s="169" t="s">
        <v>2085</v>
      </c>
      <c r="G745" s="169" t="s">
        <v>2085</v>
      </c>
      <c r="H745" s="169">
        <v>16</v>
      </c>
      <c r="I745" s="136" t="str">
        <f t="shared" si="34"/>
        <v>DECIMAL(26, 6)</v>
      </c>
      <c r="J745" s="169" t="s">
        <v>0</v>
      </c>
      <c r="K745" s="169" t="s">
        <v>1</v>
      </c>
      <c r="L745" s="169">
        <v>30</v>
      </c>
      <c r="M745" s="168"/>
      <c r="N745" s="168"/>
      <c r="O745" s="168"/>
      <c r="P745" s="168"/>
      <c r="Q745" s="168" t="s">
        <v>0</v>
      </c>
      <c r="R745" s="168" t="s">
        <v>1</v>
      </c>
      <c r="S745" s="178" t="str">
        <f t="shared" si="35"/>
        <v>D_ECAP_CALC_SESSIONSADJ_LGD_DOWNTURN</v>
      </c>
    </row>
    <row r="746" spans="1:19" ht="14.4" x14ac:dyDescent="0.3">
      <c r="A746" s="169" t="s">
        <v>2050</v>
      </c>
      <c r="B746" s="171" t="str">
        <f t="shared" si="33"/>
        <v>D_ECAP_CALC_SESSIONS</v>
      </c>
      <c r="C746" s="169" t="s">
        <v>2086</v>
      </c>
      <c r="D746" s="169">
        <v>1401</v>
      </c>
      <c r="E746" s="169">
        <v>3</v>
      </c>
      <c r="F746" s="169" t="s">
        <v>2086</v>
      </c>
      <c r="G746" s="169" t="s">
        <v>2086</v>
      </c>
      <c r="H746" s="169">
        <v>16</v>
      </c>
      <c r="I746" s="136" t="str">
        <f t="shared" si="34"/>
        <v>DECIMAL(26, 6)</v>
      </c>
      <c r="J746" s="169" t="s">
        <v>0</v>
      </c>
      <c r="K746" s="169" t="s">
        <v>1</v>
      </c>
      <c r="L746" s="169">
        <v>30</v>
      </c>
      <c r="M746" s="168"/>
      <c r="N746" s="168"/>
      <c r="O746" s="168"/>
      <c r="P746" s="168"/>
      <c r="Q746" s="168" t="s">
        <v>0</v>
      </c>
      <c r="R746" s="168" t="s">
        <v>1</v>
      </c>
      <c r="S746" s="178" t="str">
        <f t="shared" si="35"/>
        <v>D_ECAP_CALC_SESSIONSADJ_LGD_LONGRUN</v>
      </c>
    </row>
    <row r="747" spans="1:19" ht="14.4" x14ac:dyDescent="0.3">
      <c r="A747" s="169" t="s">
        <v>2050</v>
      </c>
      <c r="B747" s="171" t="str">
        <f t="shared" si="33"/>
        <v>D_ECAP_CALC_SESSIONS</v>
      </c>
      <c r="C747" s="169" t="s">
        <v>2087</v>
      </c>
      <c r="D747" s="169">
        <v>1402</v>
      </c>
      <c r="E747" s="169">
        <v>4</v>
      </c>
      <c r="F747" s="169" t="s">
        <v>2087</v>
      </c>
      <c r="G747" s="169" t="s">
        <v>2087</v>
      </c>
      <c r="H747" s="169">
        <v>16</v>
      </c>
      <c r="I747" s="136" t="str">
        <f t="shared" si="34"/>
        <v>DECIMAL(26, 6)</v>
      </c>
      <c r="J747" s="169" t="s">
        <v>0</v>
      </c>
      <c r="K747" s="169" t="s">
        <v>1</v>
      </c>
      <c r="L747" s="169">
        <v>30</v>
      </c>
      <c r="M747" s="168"/>
      <c r="N747" s="168"/>
      <c r="O747" s="168"/>
      <c r="P747" s="168"/>
      <c r="Q747" s="168" t="s">
        <v>0</v>
      </c>
      <c r="R747" s="168" t="s">
        <v>1</v>
      </c>
      <c r="S747" s="178" t="str">
        <f t="shared" si="35"/>
        <v>D_ECAP_CALC_SESSIONSADJ_MACRO_CORR</v>
      </c>
    </row>
    <row r="748" spans="1:19" ht="14.4" x14ac:dyDescent="0.3">
      <c r="A748" s="169" t="s">
        <v>2050</v>
      </c>
      <c r="B748" s="171" t="str">
        <f t="shared" si="33"/>
        <v>D_ECAP_CALC_SESSIONS</v>
      </c>
      <c r="C748" s="169" t="s">
        <v>2088</v>
      </c>
      <c r="D748" s="169">
        <v>1403</v>
      </c>
      <c r="E748" s="169">
        <v>5</v>
      </c>
      <c r="F748" s="169" t="s">
        <v>2088</v>
      </c>
      <c r="G748" s="169" t="s">
        <v>2088</v>
      </c>
      <c r="H748" s="169">
        <v>16</v>
      </c>
      <c r="I748" s="136" t="str">
        <f t="shared" si="34"/>
        <v>DECIMAL(26, 6)</v>
      </c>
      <c r="J748" s="169" t="s">
        <v>0</v>
      </c>
      <c r="K748" s="169" t="s">
        <v>1</v>
      </c>
      <c r="L748" s="169">
        <v>30</v>
      </c>
      <c r="M748" s="168"/>
      <c r="N748" s="168"/>
      <c r="O748" s="168"/>
      <c r="P748" s="168"/>
      <c r="Q748" s="168" t="s">
        <v>0</v>
      </c>
      <c r="R748" s="168" t="s">
        <v>1</v>
      </c>
      <c r="S748" s="178" t="str">
        <f t="shared" si="35"/>
        <v>D_ECAP_CALC_SESSIONSADJ_PD</v>
      </c>
    </row>
    <row r="749" spans="1:19" ht="14.4" x14ac:dyDescent="0.3">
      <c r="A749" s="169" t="s">
        <v>2050</v>
      </c>
      <c r="B749" s="171" t="str">
        <f t="shared" si="33"/>
        <v>D_ECAP_CALC_SESSIONS</v>
      </c>
      <c r="C749" s="169" t="s">
        <v>2089</v>
      </c>
      <c r="D749" s="169">
        <v>1404</v>
      </c>
      <c r="E749" s="169">
        <v>6</v>
      </c>
      <c r="F749" s="169" t="s">
        <v>2089</v>
      </c>
      <c r="G749" s="169" t="s">
        <v>2089</v>
      </c>
      <c r="H749" s="169">
        <v>44</v>
      </c>
      <c r="I749" s="136" t="str">
        <f t="shared" si="34"/>
        <v xml:space="preserve">CHAR(4) </v>
      </c>
      <c r="J749" s="169" t="s">
        <v>0</v>
      </c>
      <c r="K749" s="169" t="s">
        <v>1</v>
      </c>
      <c r="L749" s="169">
        <v>30</v>
      </c>
      <c r="M749" s="168"/>
      <c r="N749" s="168"/>
      <c r="O749" s="168"/>
      <c r="P749" s="168"/>
      <c r="Q749" s="168" t="s">
        <v>0</v>
      </c>
      <c r="R749" s="168" t="s">
        <v>1</v>
      </c>
      <c r="S749" s="178" t="str">
        <f t="shared" si="35"/>
        <v>D_ECAP_CALC_SESSIONSALLOC_SIMULATIONS</v>
      </c>
    </row>
    <row r="750" spans="1:19" ht="14.4" x14ac:dyDescent="0.3">
      <c r="A750" s="169" t="s">
        <v>2050</v>
      </c>
      <c r="B750" s="171" t="str">
        <f t="shared" si="33"/>
        <v>D_ECAP_CALC_SESSIONS</v>
      </c>
      <c r="C750" s="169" t="s">
        <v>2090</v>
      </c>
      <c r="D750" s="169">
        <v>1405</v>
      </c>
      <c r="E750" s="169">
        <v>7</v>
      </c>
      <c r="F750" s="169" t="s">
        <v>2090</v>
      </c>
      <c r="G750" s="169" t="s">
        <v>2090</v>
      </c>
      <c r="H750" s="169">
        <v>32</v>
      </c>
      <c r="I750" s="136" t="str">
        <f t="shared" si="34"/>
        <v>BYTEINT</v>
      </c>
      <c r="J750" s="169" t="s">
        <v>0</v>
      </c>
      <c r="K750" s="169" t="s">
        <v>1</v>
      </c>
      <c r="L750" s="169">
        <v>30</v>
      </c>
      <c r="M750" s="168"/>
      <c r="N750" s="168"/>
      <c r="O750" s="168"/>
      <c r="P750" s="168"/>
      <c r="Q750" s="168" t="s">
        <v>0</v>
      </c>
      <c r="R750" s="168" t="s">
        <v>1</v>
      </c>
      <c r="S750" s="178" t="str">
        <f t="shared" si="35"/>
        <v>D_ECAP_CALC_SESSIONSALLOC_USE_EXP_LOSS</v>
      </c>
    </row>
    <row r="751" spans="1:19" ht="14.4" x14ac:dyDescent="0.3">
      <c r="A751" s="169" t="s">
        <v>2050</v>
      </c>
      <c r="B751" s="171" t="str">
        <f t="shared" si="33"/>
        <v>D_ECAP_CALC_SESSIONS</v>
      </c>
      <c r="C751" s="169" t="s">
        <v>1963</v>
      </c>
      <c r="D751" s="169">
        <v>1406</v>
      </c>
      <c r="E751" s="169">
        <v>8</v>
      </c>
      <c r="F751" s="169" t="s">
        <v>1963</v>
      </c>
      <c r="G751" s="169" t="s">
        <v>1963</v>
      </c>
      <c r="H751" s="169">
        <v>27</v>
      </c>
      <c r="I751" s="136" t="str">
        <f t="shared" si="34"/>
        <v>INTEGER</v>
      </c>
      <c r="J751" s="169" t="s">
        <v>0</v>
      </c>
      <c r="K751" s="169" t="s">
        <v>1</v>
      </c>
      <c r="L751" s="169">
        <v>30</v>
      </c>
      <c r="M751" s="168"/>
      <c r="N751" s="168"/>
      <c r="O751" s="168"/>
      <c r="P751" s="168"/>
      <c r="Q751" s="168" t="s">
        <v>0</v>
      </c>
      <c r="R751" s="168" t="s">
        <v>1</v>
      </c>
      <c r="S751" s="178" t="str">
        <f t="shared" si="35"/>
        <v>D_ECAP_CALC_SESSIONSBASE_SCENARIOS</v>
      </c>
    </row>
    <row r="752" spans="1:19" ht="14.4" x14ac:dyDescent="0.3">
      <c r="A752" s="169" t="s">
        <v>2050</v>
      </c>
      <c r="B752" s="171" t="str">
        <f t="shared" si="33"/>
        <v>D_ECAP_CALC_SESSIONS</v>
      </c>
      <c r="C752" s="169" t="s">
        <v>1964</v>
      </c>
      <c r="D752" s="169">
        <v>1407</v>
      </c>
      <c r="E752" s="169">
        <v>9</v>
      </c>
      <c r="F752" s="169" t="s">
        <v>1964</v>
      </c>
      <c r="G752" s="169" t="s">
        <v>1964</v>
      </c>
      <c r="H752" s="169">
        <v>22</v>
      </c>
      <c r="I752" s="136" t="str">
        <f t="shared" si="34"/>
        <v>TIMESTAMP(6)</v>
      </c>
      <c r="J752" s="169" t="s">
        <v>0</v>
      </c>
      <c r="K752" s="169" t="s">
        <v>1</v>
      </c>
      <c r="L752" s="169">
        <v>30</v>
      </c>
      <c r="M752" s="168"/>
      <c r="N752" s="168"/>
      <c r="O752" s="168"/>
      <c r="P752" s="168"/>
      <c r="Q752" s="168" t="s">
        <v>0</v>
      </c>
      <c r="R752" s="168" t="s">
        <v>1</v>
      </c>
      <c r="S752" s="178" t="str">
        <f t="shared" si="35"/>
        <v>D_ECAP_CALC_SESSIONSCALCULATION_END</v>
      </c>
    </row>
    <row r="753" spans="1:19" ht="14.4" x14ac:dyDescent="0.3">
      <c r="A753" s="169" t="s">
        <v>2050</v>
      </c>
      <c r="B753" s="171" t="str">
        <f t="shared" si="33"/>
        <v>D_ECAP_CALC_SESSIONS</v>
      </c>
      <c r="C753" s="169" t="s">
        <v>1965</v>
      </c>
      <c r="D753" s="169">
        <v>1408</v>
      </c>
      <c r="E753" s="169">
        <v>10</v>
      </c>
      <c r="F753" s="169" t="s">
        <v>1965</v>
      </c>
      <c r="G753" s="169" t="s">
        <v>1965</v>
      </c>
      <c r="H753" s="169">
        <v>22</v>
      </c>
      <c r="I753" s="136" t="str">
        <f t="shared" si="34"/>
        <v>TIMESTAMP(6)</v>
      </c>
      <c r="J753" s="169" t="s">
        <v>0</v>
      </c>
      <c r="K753" s="169" t="s">
        <v>1</v>
      </c>
      <c r="L753" s="169">
        <v>30</v>
      </c>
      <c r="M753" s="168"/>
      <c r="N753" s="168"/>
      <c r="O753" s="168"/>
      <c r="P753" s="168"/>
      <c r="Q753" s="168" t="s">
        <v>0</v>
      </c>
      <c r="R753" s="168" t="s">
        <v>1</v>
      </c>
      <c r="S753" s="178" t="str">
        <f t="shared" si="35"/>
        <v>D_ECAP_CALC_SESSIONSCALCULATION_START</v>
      </c>
    </row>
    <row r="754" spans="1:19" ht="14.4" x14ac:dyDescent="0.3">
      <c r="A754" s="169" t="s">
        <v>2050</v>
      </c>
      <c r="B754" s="171" t="str">
        <f t="shared" si="33"/>
        <v>D_ECAP_CALC_SESSIONS</v>
      </c>
      <c r="C754" s="169" t="s">
        <v>2016</v>
      </c>
      <c r="D754" s="169">
        <v>1409</v>
      </c>
      <c r="E754" s="169">
        <v>11</v>
      </c>
      <c r="F754" s="169" t="s">
        <v>1949</v>
      </c>
      <c r="G754" s="169" t="s">
        <v>1949</v>
      </c>
      <c r="H754" s="169">
        <v>25</v>
      </c>
      <c r="I754" s="136" t="str">
        <f t="shared" si="34"/>
        <v xml:space="preserve">CHAR(100) </v>
      </c>
      <c r="J754" s="169" t="s">
        <v>0</v>
      </c>
      <c r="K754" s="169" t="s">
        <v>1</v>
      </c>
      <c r="L754" s="169">
        <v>30</v>
      </c>
      <c r="M754" s="168"/>
      <c r="N754" s="168"/>
      <c r="O754" s="168"/>
      <c r="P754" s="168"/>
      <c r="Q754" s="168" t="s">
        <v>0</v>
      </c>
      <c r="R754" s="168" t="s">
        <v>1</v>
      </c>
      <c r="S754" s="178" t="str">
        <f t="shared" si="35"/>
        <v>D_ECAP_CALC_SESSIONS"COMMENT"</v>
      </c>
    </row>
    <row r="755" spans="1:19" ht="14.4" x14ac:dyDescent="0.3">
      <c r="A755" s="169" t="s">
        <v>2050</v>
      </c>
      <c r="B755" s="171" t="str">
        <f t="shared" si="33"/>
        <v>D_ECAP_CALC_SESSIONS</v>
      </c>
      <c r="C755" s="169" t="s">
        <v>2091</v>
      </c>
      <c r="D755" s="169">
        <v>1410</v>
      </c>
      <c r="E755" s="169">
        <v>12</v>
      </c>
      <c r="F755" s="169" t="s">
        <v>2091</v>
      </c>
      <c r="G755" s="169" t="s">
        <v>2091</v>
      </c>
      <c r="H755" s="169">
        <v>44</v>
      </c>
      <c r="I755" s="136" t="str">
        <f t="shared" si="34"/>
        <v xml:space="preserve">CHAR(4) </v>
      </c>
      <c r="J755" s="169" t="s">
        <v>0</v>
      </c>
      <c r="K755" s="169" t="s">
        <v>1</v>
      </c>
      <c r="L755" s="169">
        <v>30</v>
      </c>
      <c r="M755" s="168"/>
      <c r="N755" s="168"/>
      <c r="O755" s="168"/>
      <c r="P755" s="168"/>
      <c r="Q755" s="168" t="s">
        <v>0</v>
      </c>
      <c r="R755" s="168" t="s">
        <v>1</v>
      </c>
      <c r="S755" s="178" t="str">
        <f t="shared" si="35"/>
        <v>D_ECAP_CALC_SESSIONSECAP_SIMULATIONS</v>
      </c>
    </row>
    <row r="756" spans="1:19" ht="14.4" x14ac:dyDescent="0.3">
      <c r="A756" s="169" t="s">
        <v>2050</v>
      </c>
      <c r="B756" s="171" t="str">
        <f t="shared" si="33"/>
        <v>D_ECAP_CALC_SESSIONS</v>
      </c>
      <c r="C756" s="169" t="s">
        <v>1931</v>
      </c>
      <c r="D756" s="169">
        <v>1411</v>
      </c>
      <c r="E756" s="169">
        <v>13</v>
      </c>
      <c r="F756" s="169" t="s">
        <v>1931</v>
      </c>
      <c r="G756" s="169" t="s">
        <v>1931</v>
      </c>
      <c r="H756" s="169">
        <v>9</v>
      </c>
      <c r="I756" s="136" t="str">
        <f t="shared" si="34"/>
        <v xml:space="preserve">CHAR(32) </v>
      </c>
      <c r="J756" s="169" t="s">
        <v>0</v>
      </c>
      <c r="K756" s="169" t="s">
        <v>1</v>
      </c>
      <c r="L756" s="169">
        <v>30</v>
      </c>
      <c r="M756" s="168"/>
      <c r="N756" s="168"/>
      <c r="O756" s="168"/>
      <c r="P756" s="168"/>
      <c r="Q756" s="168" t="s">
        <v>0</v>
      </c>
      <c r="R756" s="168" t="s">
        <v>1</v>
      </c>
      <c r="S756" s="178" t="str">
        <f t="shared" si="35"/>
        <v>D_ECAP_CALC_SESSIONSENTITY_SYSTEM_ID</v>
      </c>
    </row>
    <row r="757" spans="1:19" ht="14.4" x14ac:dyDescent="0.3">
      <c r="A757" s="169" t="s">
        <v>2050</v>
      </c>
      <c r="B757" s="171" t="str">
        <f t="shared" si="33"/>
        <v>D_ECAP_CALC_SESSIONS</v>
      </c>
      <c r="C757" s="169" t="s">
        <v>1952</v>
      </c>
      <c r="D757" s="169">
        <v>1412</v>
      </c>
      <c r="E757" s="169">
        <v>14</v>
      </c>
      <c r="F757" s="169" t="s">
        <v>1952</v>
      </c>
      <c r="G757" s="169" t="s">
        <v>1952</v>
      </c>
      <c r="H757" s="169">
        <v>16</v>
      </c>
      <c r="I757" s="136" t="str">
        <f t="shared" si="34"/>
        <v>DECIMAL(26, 6)</v>
      </c>
      <c r="J757" s="169" t="s">
        <v>0</v>
      </c>
      <c r="K757" s="169" t="s">
        <v>1</v>
      </c>
      <c r="L757" s="169">
        <v>30</v>
      </c>
      <c r="M757" s="168"/>
      <c r="N757" s="168"/>
      <c r="O757" s="168"/>
      <c r="P757" s="168"/>
      <c r="Q757" s="168" t="s">
        <v>0</v>
      </c>
      <c r="R757" s="168" t="s">
        <v>1</v>
      </c>
      <c r="S757" s="178" t="str">
        <f t="shared" si="35"/>
        <v>D_ECAP_CALC_SESSIONSEUR_FX_RATE</v>
      </c>
    </row>
    <row r="758" spans="1:19" ht="14.4" x14ac:dyDescent="0.3">
      <c r="A758" s="169" t="s">
        <v>2050</v>
      </c>
      <c r="B758" s="171" t="str">
        <f t="shared" si="33"/>
        <v>D_ECAP_CALC_SESSIONS</v>
      </c>
      <c r="C758" s="169" t="s">
        <v>1970</v>
      </c>
      <c r="D758" s="169">
        <v>1413</v>
      </c>
      <c r="E758" s="169">
        <v>15</v>
      </c>
      <c r="F758" s="169" t="s">
        <v>1970</v>
      </c>
      <c r="G758" s="169" t="s">
        <v>1970</v>
      </c>
      <c r="H758" s="169">
        <v>32</v>
      </c>
      <c r="I758" s="136" t="str">
        <f t="shared" si="34"/>
        <v>BYTEINT</v>
      </c>
      <c r="J758" s="169" t="s">
        <v>0</v>
      </c>
      <c r="K758" s="169" t="s">
        <v>1</v>
      </c>
      <c r="L758" s="169">
        <v>30</v>
      </c>
      <c r="M758" s="168"/>
      <c r="N758" s="168"/>
      <c r="O758" s="168"/>
      <c r="P758" s="168"/>
      <c r="Q758" s="168" t="s">
        <v>0</v>
      </c>
      <c r="R758" s="168" t="s">
        <v>1</v>
      </c>
      <c r="S758" s="178" t="str">
        <f t="shared" si="35"/>
        <v>D_ECAP_CALC_SESSIONSEXPOSURE_RESULTS_MODE</v>
      </c>
    </row>
    <row r="759" spans="1:19" ht="14.4" x14ac:dyDescent="0.3">
      <c r="A759" s="169" t="s">
        <v>2050</v>
      </c>
      <c r="B759" s="171" t="str">
        <f t="shared" si="33"/>
        <v>D_ECAP_CALC_SESSIONS</v>
      </c>
      <c r="C759" s="169" t="s">
        <v>1953</v>
      </c>
      <c r="D759" s="169">
        <v>1414</v>
      </c>
      <c r="E759" s="169">
        <v>16</v>
      </c>
      <c r="F759" s="169" t="s">
        <v>1953</v>
      </c>
      <c r="G759" s="169" t="s">
        <v>1953</v>
      </c>
      <c r="H759" s="169">
        <v>22</v>
      </c>
      <c r="I759" s="136" t="str">
        <f t="shared" si="34"/>
        <v>TIMESTAMP(6)</v>
      </c>
      <c r="J759" s="169" t="s">
        <v>0</v>
      </c>
      <c r="K759" s="169" t="s">
        <v>1</v>
      </c>
      <c r="L759" s="169">
        <v>30</v>
      </c>
      <c r="M759" s="168"/>
      <c r="N759" s="168"/>
      <c r="O759" s="168"/>
      <c r="P759" s="168"/>
      <c r="Q759" s="168" t="s">
        <v>0</v>
      </c>
      <c r="R759" s="168" t="s">
        <v>1</v>
      </c>
      <c r="S759" s="178" t="str">
        <f t="shared" si="35"/>
        <v>D_ECAP_CALC_SESSIONSEXTRACTION_DATETIME</v>
      </c>
    </row>
    <row r="760" spans="1:19" ht="14.4" x14ac:dyDescent="0.3">
      <c r="A760" s="169" t="s">
        <v>2050</v>
      </c>
      <c r="B760" s="171" t="str">
        <f t="shared" si="33"/>
        <v>D_ECAP_CALC_SESSIONS</v>
      </c>
      <c r="C760" s="169" t="s">
        <v>1971</v>
      </c>
      <c r="D760" s="169">
        <v>1415</v>
      </c>
      <c r="E760" s="169">
        <v>17</v>
      </c>
      <c r="F760" s="169" t="s">
        <v>1971</v>
      </c>
      <c r="G760" s="169" t="s">
        <v>1971</v>
      </c>
      <c r="H760" s="169">
        <v>27</v>
      </c>
      <c r="I760" s="136" t="str">
        <f t="shared" si="34"/>
        <v>INTEGER</v>
      </c>
      <c r="J760" s="169" t="s">
        <v>0</v>
      </c>
      <c r="K760" s="169" t="s">
        <v>1</v>
      </c>
      <c r="L760" s="169">
        <v>30</v>
      </c>
      <c r="M760" s="168"/>
      <c r="N760" s="168"/>
      <c r="O760" s="168"/>
      <c r="P760" s="168"/>
      <c r="Q760" s="168" t="s">
        <v>0</v>
      </c>
      <c r="R760" s="168" t="s">
        <v>1</v>
      </c>
      <c r="S760" s="178" t="str">
        <f t="shared" si="35"/>
        <v>D_ECAP_CALC_SESSIONSIMPS_SCENARIOS</v>
      </c>
    </row>
    <row r="761" spans="1:19" ht="14.4" x14ac:dyDescent="0.3">
      <c r="A761" s="169" t="s">
        <v>2050</v>
      </c>
      <c r="B761" s="171" t="str">
        <f t="shared" si="33"/>
        <v>D_ECAP_CALC_SESSIONS</v>
      </c>
      <c r="C761" s="169" t="s">
        <v>1955</v>
      </c>
      <c r="D761" s="169">
        <v>1416</v>
      </c>
      <c r="E761" s="169">
        <v>18</v>
      </c>
      <c r="F761" s="169" t="s">
        <v>1955</v>
      </c>
      <c r="G761" s="169" t="s">
        <v>1955</v>
      </c>
      <c r="H761" s="169">
        <v>6</v>
      </c>
      <c r="I761" s="136" t="str">
        <f t="shared" si="34"/>
        <v>SMALLINT</v>
      </c>
      <c r="J761" s="169" t="s">
        <v>0</v>
      </c>
      <c r="K761" s="169" t="s">
        <v>1</v>
      </c>
      <c r="L761" s="169">
        <v>30</v>
      </c>
      <c r="M761" s="168"/>
      <c r="N761" s="168"/>
      <c r="O761" s="168"/>
      <c r="P761" s="168"/>
      <c r="Q761" s="168" t="s">
        <v>0</v>
      </c>
      <c r="R761" s="168" t="s">
        <v>1</v>
      </c>
      <c r="S761" s="178" t="str">
        <f t="shared" si="35"/>
        <v>D_ECAP_CALC_SESSIONSMASTER_CALCULATION</v>
      </c>
    </row>
    <row r="762" spans="1:19" ht="14.4" x14ac:dyDescent="0.3">
      <c r="A762" s="169" t="s">
        <v>2050</v>
      </c>
      <c r="B762" s="171" t="str">
        <f t="shared" si="33"/>
        <v>D_ECAP_CALC_SESSIONS</v>
      </c>
      <c r="C762" s="169" t="s">
        <v>1972</v>
      </c>
      <c r="D762" s="169">
        <v>1417</v>
      </c>
      <c r="E762" s="169">
        <v>19</v>
      </c>
      <c r="F762" s="169" t="s">
        <v>1972</v>
      </c>
      <c r="G762" s="169" t="s">
        <v>1972</v>
      </c>
      <c r="H762" s="169">
        <v>8</v>
      </c>
      <c r="I762" s="136" t="str">
        <f t="shared" si="34"/>
        <v>DECIMAL(15, 6)</v>
      </c>
      <c r="J762" s="169" t="s">
        <v>0</v>
      </c>
      <c r="K762" s="169" t="s">
        <v>1</v>
      </c>
      <c r="L762" s="169">
        <v>30</v>
      </c>
      <c r="M762" s="168"/>
      <c r="N762" s="168"/>
      <c r="O762" s="168"/>
      <c r="P762" s="168"/>
      <c r="Q762" s="168" t="s">
        <v>0</v>
      </c>
      <c r="R762" s="168" t="s">
        <v>1</v>
      </c>
      <c r="S762" s="178" t="str">
        <f t="shared" si="35"/>
        <v>D_ECAP_CALC_SESSIONSMIN_ALLOCATION_PERCENTILE</v>
      </c>
    </row>
    <row r="763" spans="1:19" ht="14.4" x14ac:dyDescent="0.3">
      <c r="A763" s="169" t="s">
        <v>2050</v>
      </c>
      <c r="B763" s="171" t="str">
        <f t="shared" si="33"/>
        <v>D_ECAP_CALC_SESSIONS</v>
      </c>
      <c r="C763" s="169" t="s">
        <v>2092</v>
      </c>
      <c r="D763" s="169">
        <v>1418</v>
      </c>
      <c r="E763" s="169">
        <v>20</v>
      </c>
      <c r="F763" s="169" t="s">
        <v>2092</v>
      </c>
      <c r="G763" s="169" t="s">
        <v>2092</v>
      </c>
      <c r="H763" s="169">
        <v>32</v>
      </c>
      <c r="I763" s="136" t="str">
        <f t="shared" si="34"/>
        <v>BYTEINT</v>
      </c>
      <c r="J763" s="169" t="s">
        <v>0</v>
      </c>
      <c r="K763" s="169" t="s">
        <v>1</v>
      </c>
      <c r="L763" s="169">
        <v>30</v>
      </c>
      <c r="M763" s="168"/>
      <c r="N763" s="168"/>
      <c r="O763" s="168"/>
      <c r="P763" s="168"/>
      <c r="Q763" s="168" t="s">
        <v>0</v>
      </c>
      <c r="R763" s="168" t="s">
        <v>1</v>
      </c>
      <c r="S763" s="178" t="str">
        <f t="shared" si="35"/>
        <v>D_ECAP_CALC_SESSIONSOLAP_INCLUDE</v>
      </c>
    </row>
    <row r="764" spans="1:19" ht="14.4" x14ac:dyDescent="0.3">
      <c r="A764" s="169" t="s">
        <v>2050</v>
      </c>
      <c r="B764" s="171" t="str">
        <f t="shared" si="33"/>
        <v>D_ECAP_CALC_SESSIONS</v>
      </c>
      <c r="C764" s="169" t="s">
        <v>1957</v>
      </c>
      <c r="D764" s="169">
        <v>1419</v>
      </c>
      <c r="E764" s="169">
        <v>21</v>
      </c>
      <c r="F764" s="169" t="s">
        <v>1957</v>
      </c>
      <c r="G764" s="169" t="s">
        <v>1957</v>
      </c>
      <c r="H764" s="169">
        <v>6</v>
      </c>
      <c r="I764" s="136" t="str">
        <f t="shared" si="34"/>
        <v>SMALLINT</v>
      </c>
      <c r="J764" s="169" t="s">
        <v>0</v>
      </c>
      <c r="K764" s="169" t="s">
        <v>1</v>
      </c>
      <c r="L764" s="169">
        <v>30</v>
      </c>
      <c r="M764" s="168"/>
      <c r="N764" s="168"/>
      <c r="O764" s="168"/>
      <c r="P764" s="168"/>
      <c r="Q764" s="168" t="s">
        <v>0</v>
      </c>
      <c r="R764" s="168" t="s">
        <v>1</v>
      </c>
      <c r="S764" s="178" t="str">
        <f t="shared" si="35"/>
        <v>D_ECAP_CALC_SESSIONSPRIMARY_CALCULATION</v>
      </c>
    </row>
    <row r="765" spans="1:19" ht="14.4" x14ac:dyDescent="0.3">
      <c r="A765" s="169" t="s">
        <v>2050</v>
      </c>
      <c r="B765" s="171" t="str">
        <f t="shared" si="33"/>
        <v>D_ECAP_CALC_SESSIONS</v>
      </c>
      <c r="C765" s="169" t="s">
        <v>1973</v>
      </c>
      <c r="D765" s="169">
        <v>1420</v>
      </c>
      <c r="E765" s="169">
        <v>22</v>
      </c>
      <c r="F765" s="169" t="s">
        <v>1973</v>
      </c>
      <c r="G765" s="169" t="s">
        <v>1973</v>
      </c>
      <c r="H765" s="169">
        <v>9</v>
      </c>
      <c r="I765" s="136" t="str">
        <f t="shared" si="34"/>
        <v xml:space="preserve">CHAR(32) </v>
      </c>
      <c r="J765" s="169" t="s">
        <v>0</v>
      </c>
      <c r="K765" s="169" t="s">
        <v>1</v>
      </c>
      <c r="L765" s="169">
        <v>30</v>
      </c>
      <c r="M765" s="168"/>
      <c r="N765" s="168"/>
      <c r="O765" s="168"/>
      <c r="P765" s="168"/>
      <c r="Q765" s="168" t="s">
        <v>0</v>
      </c>
      <c r="R765" s="168" t="s">
        <v>1</v>
      </c>
      <c r="S765" s="178" t="str">
        <f t="shared" si="35"/>
        <v>D_ECAP_CALC_SESSIONSPRIMARY_SIGNIF_LEVEL</v>
      </c>
    </row>
    <row r="766" spans="1:19" ht="14.4" x14ac:dyDescent="0.3">
      <c r="A766" s="169" t="s">
        <v>2050</v>
      </c>
      <c r="B766" s="171" t="str">
        <f t="shared" si="33"/>
        <v>D_ECAP_CALC_SESSIONS</v>
      </c>
      <c r="C766" s="169" t="s">
        <v>1958</v>
      </c>
      <c r="D766" s="169">
        <v>1421</v>
      </c>
      <c r="E766" s="169">
        <v>23</v>
      </c>
      <c r="F766" s="169" t="s">
        <v>1958</v>
      </c>
      <c r="G766" s="169" t="s">
        <v>1958</v>
      </c>
      <c r="H766" s="169">
        <v>6</v>
      </c>
      <c r="I766" s="136" t="str">
        <f t="shared" si="34"/>
        <v>SMALLINT</v>
      </c>
      <c r="J766" s="169" t="s">
        <v>0</v>
      </c>
      <c r="K766" s="169" t="s">
        <v>1</v>
      </c>
      <c r="L766" s="169">
        <v>30</v>
      </c>
      <c r="M766" s="168"/>
      <c r="N766" s="168"/>
      <c r="O766" s="168"/>
      <c r="P766" s="168"/>
      <c r="Q766" s="168" t="s">
        <v>0</v>
      </c>
      <c r="R766" s="168" t="s">
        <v>1</v>
      </c>
      <c r="S766" s="178" t="str">
        <f t="shared" si="35"/>
        <v>D_ECAP_CALC_SESSIONSREG_PRIORITY</v>
      </c>
    </row>
    <row r="767" spans="1:19" ht="14.4" x14ac:dyDescent="0.3">
      <c r="A767" s="169" t="s">
        <v>2050</v>
      </c>
      <c r="B767" s="171" t="str">
        <f t="shared" si="33"/>
        <v>D_ECAP_CALC_SESSIONS</v>
      </c>
      <c r="C767" s="169" t="s">
        <v>2093</v>
      </c>
      <c r="D767" s="169">
        <v>1422</v>
      </c>
      <c r="E767" s="169">
        <v>24</v>
      </c>
      <c r="F767" s="169" t="s">
        <v>2093</v>
      </c>
      <c r="G767" s="169" t="s">
        <v>2093</v>
      </c>
      <c r="H767" s="169">
        <v>47</v>
      </c>
      <c r="I767" s="136" t="str">
        <f t="shared" si="34"/>
        <v xml:space="preserve">CHAR(500) </v>
      </c>
      <c r="J767" s="169" t="s">
        <v>0</v>
      </c>
      <c r="K767" s="169" t="s">
        <v>1</v>
      </c>
      <c r="L767" s="169">
        <v>30</v>
      </c>
      <c r="M767" s="168"/>
      <c r="N767" s="168"/>
      <c r="O767" s="168"/>
      <c r="P767" s="168"/>
      <c r="Q767" s="168" t="s">
        <v>0</v>
      </c>
      <c r="R767" s="168" t="s">
        <v>1</v>
      </c>
      <c r="S767" s="178" t="str">
        <f t="shared" si="35"/>
        <v>D_ECAP_CALC_SESSIONSSA_CALC_DESCR</v>
      </c>
    </row>
    <row r="768" spans="1:19" ht="14.4" x14ac:dyDescent="0.3">
      <c r="A768" s="169" t="s">
        <v>2050</v>
      </c>
      <c r="B768" s="171" t="str">
        <f t="shared" si="33"/>
        <v>D_ECAP_CALC_SESSIONS</v>
      </c>
      <c r="C768" s="169" t="s">
        <v>2094</v>
      </c>
      <c r="D768" s="169">
        <v>1423</v>
      </c>
      <c r="E768" s="169">
        <v>25</v>
      </c>
      <c r="F768" s="169" t="s">
        <v>2094</v>
      </c>
      <c r="G768" s="169" t="s">
        <v>2094</v>
      </c>
      <c r="H768" s="169">
        <v>27</v>
      </c>
      <c r="I768" s="136" t="str">
        <f t="shared" si="34"/>
        <v>INTEGER</v>
      </c>
      <c r="J768" s="169" t="s">
        <v>0</v>
      </c>
      <c r="K768" s="169" t="s">
        <v>1</v>
      </c>
      <c r="L768" s="169">
        <v>30</v>
      </c>
      <c r="M768" s="168"/>
      <c r="N768" s="168"/>
      <c r="O768" s="168"/>
      <c r="P768" s="168"/>
      <c r="Q768" s="168" t="s">
        <v>0</v>
      </c>
      <c r="R768" s="168" t="s">
        <v>1</v>
      </c>
      <c r="S768" s="178" t="str">
        <f t="shared" si="35"/>
        <v>D_ECAP_CALC_SESSIONSSA_ITERATION</v>
      </c>
    </row>
    <row r="769" spans="1:19" ht="14.4" x14ac:dyDescent="0.3">
      <c r="A769" s="169" t="s">
        <v>2050</v>
      </c>
      <c r="B769" s="171" t="str">
        <f t="shared" si="33"/>
        <v>D_ECAP_CALC_SESSIONS</v>
      </c>
      <c r="C769" s="169" t="s">
        <v>2095</v>
      </c>
      <c r="D769" s="169">
        <v>1424</v>
      </c>
      <c r="E769" s="169">
        <v>26</v>
      </c>
      <c r="F769" s="169" t="s">
        <v>2095</v>
      </c>
      <c r="G769" s="169" t="s">
        <v>2095</v>
      </c>
      <c r="H769" s="169">
        <v>27</v>
      </c>
      <c r="I769" s="136" t="str">
        <f t="shared" si="34"/>
        <v>INTEGER</v>
      </c>
      <c r="J769" s="169" t="s">
        <v>0</v>
      </c>
      <c r="K769" s="169" t="s">
        <v>1</v>
      </c>
      <c r="L769" s="169">
        <v>30</v>
      </c>
      <c r="M769" s="168"/>
      <c r="N769" s="168"/>
      <c r="O769" s="168"/>
      <c r="P769" s="168"/>
      <c r="Q769" s="168" t="s">
        <v>0</v>
      </c>
      <c r="R769" s="168" t="s">
        <v>1</v>
      </c>
      <c r="S769" s="178" t="str">
        <f t="shared" si="35"/>
        <v>D_ECAP_CALC_SESSIONSSA_SESSION_REF</v>
      </c>
    </row>
    <row r="770" spans="1:19" ht="14.4" x14ac:dyDescent="0.3">
      <c r="A770" s="169" t="s">
        <v>2050</v>
      </c>
      <c r="B770" s="171" t="str">
        <f t="shared" ref="B770:B833" si="36">IF(NOT(ISBLANK(A770)),VLOOKUP(A770,ERM_TABLE_NM,2,FALSE), "")</f>
        <v>D_ECAP_CALC_SESSIONS</v>
      </c>
      <c r="C770" s="169" t="s">
        <v>520</v>
      </c>
      <c r="D770" s="169">
        <v>1425</v>
      </c>
      <c r="E770" s="169">
        <v>27</v>
      </c>
      <c r="F770" s="169" t="s">
        <v>520</v>
      </c>
      <c r="G770" s="169" t="s">
        <v>520</v>
      </c>
      <c r="H770" s="169">
        <v>27</v>
      </c>
      <c r="I770" s="136" t="str">
        <f t="shared" ref="I770:I833" si="37">IF(NOT(ISBLANK(H770)),VLOOKUP(H770,ERM_DOMAIN_NM,2,FALSE), "")</f>
        <v>INTEGER</v>
      </c>
      <c r="J770" s="169" t="s">
        <v>0</v>
      </c>
      <c r="K770" s="169" t="s">
        <v>0</v>
      </c>
      <c r="L770" s="169">
        <v>30</v>
      </c>
      <c r="M770" s="168"/>
      <c r="N770" s="168"/>
      <c r="O770" s="168"/>
      <c r="P770" s="168"/>
      <c r="Q770" s="168" t="s">
        <v>0</v>
      </c>
      <c r="R770" s="168" t="s">
        <v>1</v>
      </c>
      <c r="S770" s="178" t="str">
        <f t="shared" si="35"/>
        <v>D_ECAP_CALC_SESSIONSSESSION_ID</v>
      </c>
    </row>
    <row r="771" spans="1:19" ht="14.4" x14ac:dyDescent="0.3">
      <c r="A771" s="169" t="s">
        <v>2050</v>
      </c>
      <c r="B771" s="171" t="str">
        <f t="shared" si="36"/>
        <v>D_ECAP_CALC_SESSIONS</v>
      </c>
      <c r="C771" s="169" t="s">
        <v>522</v>
      </c>
      <c r="D771" s="169">
        <v>1426</v>
      </c>
      <c r="E771" s="169">
        <v>28</v>
      </c>
      <c r="F771" s="169" t="s">
        <v>522</v>
      </c>
      <c r="G771" s="169" t="s">
        <v>522</v>
      </c>
      <c r="H771" s="169">
        <v>9</v>
      </c>
      <c r="I771" s="136" t="str">
        <f t="shared" si="37"/>
        <v xml:space="preserve">CHAR(32) </v>
      </c>
      <c r="J771" s="169" t="s">
        <v>0</v>
      </c>
      <c r="K771" s="169" t="s">
        <v>1</v>
      </c>
      <c r="L771" s="169">
        <v>30</v>
      </c>
      <c r="M771" s="168"/>
      <c r="N771" s="168"/>
      <c r="O771" s="168"/>
      <c r="P771" s="168"/>
      <c r="Q771" s="168" t="s">
        <v>0</v>
      </c>
      <c r="R771" s="168" t="s">
        <v>1</v>
      </c>
      <c r="S771" s="178" t="str">
        <f t="shared" ref="S771:S834" si="38">CONCATENATE(A771,C771)</f>
        <v>D_ECAP_CALC_SESSIONSSESSION_NAME</v>
      </c>
    </row>
    <row r="772" spans="1:19" ht="14.4" x14ac:dyDescent="0.3">
      <c r="A772" s="169" t="s">
        <v>2050</v>
      </c>
      <c r="B772" s="171" t="str">
        <f t="shared" si="36"/>
        <v>D_ECAP_CALC_SESSIONS</v>
      </c>
      <c r="C772" s="169" t="s">
        <v>1976</v>
      </c>
      <c r="D772" s="169">
        <v>1427</v>
      </c>
      <c r="E772" s="169">
        <v>29</v>
      </c>
      <c r="F772" s="169" t="s">
        <v>1976</v>
      </c>
      <c r="G772" s="169" t="s">
        <v>1976</v>
      </c>
      <c r="H772" s="169">
        <v>9</v>
      </c>
      <c r="I772" s="136" t="str">
        <f t="shared" si="37"/>
        <v xml:space="preserve">CHAR(32) </v>
      </c>
      <c r="J772" s="169" t="s">
        <v>0</v>
      </c>
      <c r="K772" s="169" t="s">
        <v>1</v>
      </c>
      <c r="L772" s="169">
        <v>30</v>
      </c>
      <c r="M772" s="168"/>
      <c r="N772" s="168"/>
      <c r="O772" s="168"/>
      <c r="P772" s="168"/>
      <c r="Q772" s="168" t="s">
        <v>0</v>
      </c>
      <c r="R772" s="168" t="s">
        <v>1</v>
      </c>
      <c r="S772" s="178" t="str">
        <f t="shared" si="38"/>
        <v>D_ECAP_CALC_SESSIONSUSERNAME</v>
      </c>
    </row>
    <row r="773" spans="1:19" ht="14.4" x14ac:dyDescent="0.3">
      <c r="A773" s="169" t="s">
        <v>2050</v>
      </c>
      <c r="B773" s="171" t="str">
        <f t="shared" si="36"/>
        <v>D_ECAP_CALC_SESSIONS</v>
      </c>
      <c r="C773" s="169" t="s">
        <v>2096</v>
      </c>
      <c r="D773" s="169">
        <v>1428</v>
      </c>
      <c r="E773" s="169">
        <v>30</v>
      </c>
      <c r="F773" s="169" t="s">
        <v>2096</v>
      </c>
      <c r="G773" s="169" t="s">
        <v>2096</v>
      </c>
      <c r="H773" s="169">
        <v>32</v>
      </c>
      <c r="I773" s="136" t="str">
        <f t="shared" si="37"/>
        <v>BYTEINT</v>
      </c>
      <c r="J773" s="169" t="s">
        <v>0</v>
      </c>
      <c r="K773" s="169" t="s">
        <v>1</v>
      </c>
      <c r="L773" s="169">
        <v>30</v>
      </c>
      <c r="M773" s="168"/>
      <c r="N773" s="168"/>
      <c r="O773" s="168"/>
      <c r="P773" s="168"/>
      <c r="Q773" s="168" t="s">
        <v>0</v>
      </c>
      <c r="R773" s="168" t="s">
        <v>1</v>
      </c>
      <c r="S773" s="178" t="str">
        <f t="shared" si="38"/>
        <v>D_ECAP_CALC_SESSIONSUSE_IN_REP_FLG</v>
      </c>
    </row>
    <row r="774" spans="1:19" ht="14.4" x14ac:dyDescent="0.3">
      <c r="A774" s="169" t="s">
        <v>2050</v>
      </c>
      <c r="B774" s="171" t="str">
        <f t="shared" si="36"/>
        <v>D_ECAP_CALC_SESSIONS</v>
      </c>
      <c r="C774" s="169" t="s">
        <v>1887</v>
      </c>
      <c r="D774" s="169">
        <v>1429</v>
      </c>
      <c r="E774" s="169">
        <v>31</v>
      </c>
      <c r="F774" s="169" t="s">
        <v>1887</v>
      </c>
      <c r="G774" s="169" t="s">
        <v>1887</v>
      </c>
      <c r="H774" s="169">
        <v>34</v>
      </c>
      <c r="I774" s="136" t="str">
        <f t="shared" si="37"/>
        <v>DATE</v>
      </c>
      <c r="J774" s="169" t="s">
        <v>0</v>
      </c>
      <c r="K774" s="169" t="s">
        <v>1</v>
      </c>
      <c r="L774" s="169">
        <v>30</v>
      </c>
      <c r="M774" s="168"/>
      <c r="N774" s="168"/>
      <c r="O774" s="168"/>
      <c r="P774" s="168"/>
      <c r="Q774" s="168" t="s">
        <v>0</v>
      </c>
      <c r="R774" s="168" t="s">
        <v>1</v>
      </c>
      <c r="S774" s="178" t="str">
        <f t="shared" si="38"/>
        <v>D_ECAP_CALC_SESSIONSVALIDITY_DATE</v>
      </c>
    </row>
    <row r="775" spans="1:19" ht="14.4" x14ac:dyDescent="0.3">
      <c r="A775" s="169" t="s">
        <v>2047</v>
      </c>
      <c r="B775" s="171" t="str">
        <f t="shared" si="36"/>
        <v>D_ECAP_LOSS_DISTRIB</v>
      </c>
      <c r="C775" s="169" t="s">
        <v>2097</v>
      </c>
      <c r="D775" s="169">
        <v>380</v>
      </c>
      <c r="E775" s="169">
        <v>1</v>
      </c>
      <c r="F775" s="169" t="s">
        <v>2097</v>
      </c>
      <c r="G775" s="169" t="s">
        <v>2097</v>
      </c>
      <c r="H775" s="169">
        <v>32</v>
      </c>
      <c r="I775" s="136" t="str">
        <f t="shared" si="37"/>
        <v>BYTEINT</v>
      </c>
      <c r="J775" s="169" t="s">
        <v>0</v>
      </c>
      <c r="K775" s="169" t="s">
        <v>1</v>
      </c>
      <c r="L775" s="169">
        <v>30</v>
      </c>
      <c r="M775" s="168"/>
      <c r="N775" s="168"/>
      <c r="O775" s="168"/>
      <c r="P775" s="168"/>
      <c r="Q775" s="168" t="s">
        <v>0</v>
      </c>
      <c r="R775" s="168" t="s">
        <v>1</v>
      </c>
      <c r="S775" s="178" t="str">
        <f t="shared" si="38"/>
        <v>D_ECAP_LOSS_DISTRIBIS_FOR_ALLOCATION</v>
      </c>
    </row>
    <row r="776" spans="1:19" ht="14.4" x14ac:dyDescent="0.3">
      <c r="A776" s="169" t="s">
        <v>2047</v>
      </c>
      <c r="B776" s="171" t="str">
        <f t="shared" si="36"/>
        <v>D_ECAP_LOSS_DISTRIB</v>
      </c>
      <c r="C776" s="169" t="s">
        <v>2098</v>
      </c>
      <c r="D776" s="169">
        <v>381</v>
      </c>
      <c r="E776" s="169">
        <v>2</v>
      </c>
      <c r="F776" s="169" t="s">
        <v>2098</v>
      </c>
      <c r="G776" s="169" t="s">
        <v>2098</v>
      </c>
      <c r="H776" s="169">
        <v>8</v>
      </c>
      <c r="I776" s="136" t="str">
        <f t="shared" si="37"/>
        <v>DECIMAL(15, 6)</v>
      </c>
      <c r="J776" s="169" t="s">
        <v>0</v>
      </c>
      <c r="K776" s="169" t="s">
        <v>1</v>
      </c>
      <c r="L776" s="169">
        <v>30</v>
      </c>
      <c r="M776" s="168"/>
      <c r="N776" s="168"/>
      <c r="O776" s="168"/>
      <c r="P776" s="168"/>
      <c r="Q776" s="168" t="s">
        <v>0</v>
      </c>
      <c r="R776" s="168" t="s">
        <v>1</v>
      </c>
      <c r="S776" s="178" t="str">
        <f t="shared" si="38"/>
        <v>D_ECAP_LOSS_DISTRIBLH_RATIO</v>
      </c>
    </row>
    <row r="777" spans="1:19" ht="14.4" x14ac:dyDescent="0.3">
      <c r="A777" s="169" t="s">
        <v>2047</v>
      </c>
      <c r="B777" s="171" t="str">
        <f t="shared" si="36"/>
        <v>D_ECAP_LOSS_DISTRIB</v>
      </c>
      <c r="C777" s="169" t="s">
        <v>2099</v>
      </c>
      <c r="D777" s="169">
        <v>382</v>
      </c>
      <c r="E777" s="169">
        <v>3</v>
      </c>
      <c r="F777" s="169" t="s">
        <v>2099</v>
      </c>
      <c r="G777" s="169" t="s">
        <v>2099</v>
      </c>
      <c r="H777" s="169">
        <v>1</v>
      </c>
      <c r="I777" s="136" t="str">
        <f t="shared" si="37"/>
        <v>DECIMAL(16, 0)</v>
      </c>
      <c r="J777" s="169" t="s">
        <v>0</v>
      </c>
      <c r="K777" s="169" t="s">
        <v>1</v>
      </c>
      <c r="L777" s="169">
        <v>30</v>
      </c>
      <c r="M777" s="168"/>
      <c r="N777" s="168"/>
      <c r="O777" s="168"/>
      <c r="P777" s="168"/>
      <c r="Q777" s="168" t="s">
        <v>0</v>
      </c>
      <c r="R777" s="168" t="s">
        <v>1</v>
      </c>
      <c r="S777" s="178" t="str">
        <f t="shared" si="38"/>
        <v>D_ECAP_LOSS_DISTRIBLOSS</v>
      </c>
    </row>
    <row r="778" spans="1:19" ht="14.4" x14ac:dyDescent="0.3">
      <c r="A778" s="169" t="s">
        <v>2047</v>
      </c>
      <c r="B778" s="171" t="str">
        <f t="shared" si="36"/>
        <v>D_ECAP_LOSS_DISTRIB</v>
      </c>
      <c r="C778" s="169" t="s">
        <v>2100</v>
      </c>
      <c r="D778" s="169">
        <v>383</v>
      </c>
      <c r="E778" s="169">
        <v>4</v>
      </c>
      <c r="F778" s="169" t="s">
        <v>2100</v>
      </c>
      <c r="G778" s="169" t="s">
        <v>2100</v>
      </c>
      <c r="H778" s="169">
        <v>1</v>
      </c>
      <c r="I778" s="136" t="str">
        <f t="shared" si="37"/>
        <v>DECIMAL(16, 0)</v>
      </c>
      <c r="J778" s="169" t="s">
        <v>0</v>
      </c>
      <c r="K778" s="169" t="s">
        <v>1</v>
      </c>
      <c r="L778" s="169">
        <v>30</v>
      </c>
      <c r="M778" s="168"/>
      <c r="N778" s="168"/>
      <c r="O778" s="168"/>
      <c r="P778" s="168"/>
      <c r="Q778" s="168" t="s">
        <v>0</v>
      </c>
      <c r="R778" s="168" t="s">
        <v>1</v>
      </c>
      <c r="S778" s="178" t="str">
        <f t="shared" si="38"/>
        <v>D_ECAP_LOSS_DISTRIBPROVISIONS</v>
      </c>
    </row>
    <row r="779" spans="1:19" ht="14.4" x14ac:dyDescent="0.3">
      <c r="A779" s="169" t="s">
        <v>2047</v>
      </c>
      <c r="B779" s="171" t="str">
        <f t="shared" si="36"/>
        <v>D_ECAP_LOSS_DISTRIB</v>
      </c>
      <c r="C779" s="169" t="s">
        <v>2101</v>
      </c>
      <c r="D779" s="169">
        <v>391</v>
      </c>
      <c r="E779" s="169">
        <v>5</v>
      </c>
      <c r="F779" s="169" t="s">
        <v>2101</v>
      </c>
      <c r="G779" s="169" t="s">
        <v>2101</v>
      </c>
      <c r="H779" s="169">
        <v>1</v>
      </c>
      <c r="I779" s="136" t="str">
        <f t="shared" si="37"/>
        <v>DECIMAL(16, 0)</v>
      </c>
      <c r="J779" s="169" t="s">
        <v>1</v>
      </c>
      <c r="K779" s="169" t="s">
        <v>1</v>
      </c>
      <c r="L779" s="169">
        <v>30</v>
      </c>
      <c r="M779" s="168"/>
      <c r="N779" s="168"/>
      <c r="O779" s="168"/>
      <c r="P779" s="168"/>
      <c r="Q779" s="168" t="s">
        <v>0</v>
      </c>
      <c r="R779" s="168" t="s">
        <v>1</v>
      </c>
      <c r="S779" s="178" t="str">
        <f t="shared" si="38"/>
        <v>D_ECAP_LOSS_DISTRIBSCENARIO</v>
      </c>
    </row>
    <row r="780" spans="1:19" ht="14.4" x14ac:dyDescent="0.3">
      <c r="A780" s="169" t="s">
        <v>2047</v>
      </c>
      <c r="B780" s="171" t="str">
        <f t="shared" si="36"/>
        <v>D_ECAP_LOSS_DISTRIB</v>
      </c>
      <c r="C780" s="169" t="s">
        <v>520</v>
      </c>
      <c r="D780" s="169">
        <v>392</v>
      </c>
      <c r="E780" s="169">
        <v>6</v>
      </c>
      <c r="F780" s="169" t="s">
        <v>520</v>
      </c>
      <c r="G780" s="169" t="s">
        <v>520</v>
      </c>
      <c r="H780" s="169">
        <v>1</v>
      </c>
      <c r="I780" s="136" t="str">
        <f t="shared" si="37"/>
        <v>DECIMAL(16, 0)</v>
      </c>
      <c r="J780" s="169" t="s">
        <v>1</v>
      </c>
      <c r="K780" s="169" t="s">
        <v>0</v>
      </c>
      <c r="L780" s="169">
        <v>30</v>
      </c>
      <c r="M780" s="168"/>
      <c r="N780" s="168"/>
      <c r="O780" s="168"/>
      <c r="P780" s="168"/>
      <c r="Q780" s="168" t="s">
        <v>0</v>
      </c>
      <c r="R780" s="168" t="s">
        <v>1</v>
      </c>
      <c r="S780" s="178" t="str">
        <f t="shared" si="38"/>
        <v>D_ECAP_LOSS_DISTRIBSESSION_ID</v>
      </c>
    </row>
    <row r="781" spans="1:19" ht="14.4" x14ac:dyDescent="0.3">
      <c r="A781" s="169" t="s">
        <v>2047</v>
      </c>
      <c r="B781" s="171" t="str">
        <f t="shared" si="36"/>
        <v>D_ECAP_LOSS_DISTRIB</v>
      </c>
      <c r="C781" s="169" t="s">
        <v>2102</v>
      </c>
      <c r="D781" s="169">
        <v>393</v>
      </c>
      <c r="E781" s="169">
        <v>7</v>
      </c>
      <c r="F781" s="169" t="s">
        <v>2102</v>
      </c>
      <c r="G781" s="169" t="s">
        <v>2102</v>
      </c>
      <c r="H781" s="169">
        <v>8</v>
      </c>
      <c r="I781" s="136" t="str">
        <f t="shared" si="37"/>
        <v>DECIMAL(15, 6)</v>
      </c>
      <c r="J781" s="169" t="s">
        <v>0</v>
      </c>
      <c r="K781" s="169" t="s">
        <v>1</v>
      </c>
      <c r="L781" s="169">
        <v>30</v>
      </c>
      <c r="M781" s="168"/>
      <c r="N781" s="168"/>
      <c r="O781" s="168"/>
      <c r="P781" s="168"/>
      <c r="Q781" s="168" t="s">
        <v>0</v>
      </c>
      <c r="R781" s="168" t="s">
        <v>1</v>
      </c>
      <c r="S781" s="178" t="str">
        <f t="shared" si="38"/>
        <v>D_ECAP_LOSS_DISTRIBWEIGHT</v>
      </c>
    </row>
    <row r="782" spans="1:19" ht="14.4" x14ac:dyDescent="0.3">
      <c r="A782" s="169" t="s">
        <v>2033</v>
      </c>
      <c r="B782" s="171" t="str">
        <f t="shared" si="36"/>
        <v>D_ECAP_PER_EXPOSURE_RESULTS</v>
      </c>
      <c r="C782" s="169" t="s">
        <v>2080</v>
      </c>
      <c r="D782" s="169">
        <v>1430</v>
      </c>
      <c r="E782" s="169">
        <v>1</v>
      </c>
      <c r="F782" s="169" t="s">
        <v>2080</v>
      </c>
      <c r="G782" s="169" t="s">
        <v>2080</v>
      </c>
      <c r="H782" s="169">
        <v>27</v>
      </c>
      <c r="I782" s="136" t="str">
        <f t="shared" si="37"/>
        <v>INTEGER</v>
      </c>
      <c r="J782" s="169" t="s">
        <v>0</v>
      </c>
      <c r="K782" s="169" t="s">
        <v>0</v>
      </c>
      <c r="L782" s="169">
        <v>30</v>
      </c>
      <c r="M782" s="168"/>
      <c r="N782" s="168"/>
      <c r="O782" s="168"/>
      <c r="P782" s="168"/>
      <c r="Q782" s="168" t="s">
        <v>0</v>
      </c>
      <c r="R782" s="168" t="s">
        <v>1</v>
      </c>
      <c r="S782" s="178" t="str">
        <f t="shared" si="38"/>
        <v>D_ECAP_PER_EXPOSURE_RESULTSCALC_SESSION_ID</v>
      </c>
    </row>
    <row r="783" spans="1:19" ht="14.4" x14ac:dyDescent="0.3">
      <c r="A783" s="169" t="s">
        <v>2033</v>
      </c>
      <c r="B783" s="171" t="str">
        <f t="shared" si="36"/>
        <v>D_ECAP_PER_EXPOSURE_RESULTS</v>
      </c>
      <c r="C783" s="169" t="s">
        <v>1870</v>
      </c>
      <c r="D783" s="169">
        <v>1431</v>
      </c>
      <c r="E783" s="169">
        <v>2</v>
      </c>
      <c r="F783" s="169" t="s">
        <v>1870</v>
      </c>
      <c r="G783" s="169" t="s">
        <v>1870</v>
      </c>
      <c r="H783" s="169">
        <v>45</v>
      </c>
      <c r="I783" s="136" t="str">
        <f t="shared" si="37"/>
        <v>DECIMAL(15, 0)</v>
      </c>
      <c r="J783" s="169" t="s">
        <v>0</v>
      </c>
      <c r="K783" s="169" t="s">
        <v>1</v>
      </c>
      <c r="L783" s="169">
        <v>30</v>
      </c>
      <c r="M783" s="168"/>
      <c r="N783" s="168"/>
      <c r="O783" s="168"/>
      <c r="P783" s="168"/>
      <c r="Q783" s="168" t="s">
        <v>0</v>
      </c>
      <c r="R783" s="168" t="s">
        <v>1</v>
      </c>
      <c r="S783" s="178" t="str">
        <f t="shared" si="38"/>
        <v>D_ECAP_PER_EXPOSURE_RESULTSCOUNTERPARTY_RK</v>
      </c>
    </row>
    <row r="784" spans="1:19" ht="14.4" x14ac:dyDescent="0.3">
      <c r="A784" s="169" t="s">
        <v>2033</v>
      </c>
      <c r="B784" s="171" t="str">
        <f t="shared" si="36"/>
        <v>D_ECAP_PER_EXPOSURE_RESULTS</v>
      </c>
      <c r="C784" s="169" t="s">
        <v>2103</v>
      </c>
      <c r="D784" s="169">
        <v>1432</v>
      </c>
      <c r="E784" s="169">
        <v>3</v>
      </c>
      <c r="F784" s="169" t="s">
        <v>2103</v>
      </c>
      <c r="G784" s="169" t="s">
        <v>2103</v>
      </c>
      <c r="H784" s="169">
        <v>16</v>
      </c>
      <c r="I784" s="136" t="str">
        <f t="shared" si="37"/>
        <v>DECIMAL(26, 6)</v>
      </c>
      <c r="J784" s="169" t="s">
        <v>0</v>
      </c>
      <c r="K784" s="169" t="s">
        <v>1</v>
      </c>
      <c r="L784" s="169">
        <v>30</v>
      </c>
      <c r="M784" s="168"/>
      <c r="N784" s="168"/>
      <c r="O784" s="168"/>
      <c r="P784" s="168"/>
      <c r="Q784" s="168" t="s">
        <v>0</v>
      </c>
      <c r="R784" s="168" t="s">
        <v>1</v>
      </c>
      <c r="S784" s="178" t="str">
        <f t="shared" si="38"/>
        <v>D_ECAP_PER_EXPOSURE_RESULTSCP_CORR_CALC</v>
      </c>
    </row>
    <row r="785" spans="1:19" ht="14.4" x14ac:dyDescent="0.3">
      <c r="A785" s="169" t="s">
        <v>2033</v>
      </c>
      <c r="B785" s="171" t="str">
        <f t="shared" si="36"/>
        <v>D_ECAP_PER_EXPOSURE_RESULTS</v>
      </c>
      <c r="C785" s="169" t="s">
        <v>2104</v>
      </c>
      <c r="D785" s="169">
        <v>1433</v>
      </c>
      <c r="E785" s="169">
        <v>4</v>
      </c>
      <c r="F785" s="169" t="s">
        <v>2104</v>
      </c>
      <c r="G785" s="169" t="s">
        <v>2104</v>
      </c>
      <c r="H785" s="169">
        <v>16</v>
      </c>
      <c r="I785" s="136" t="str">
        <f t="shared" si="37"/>
        <v>DECIMAL(26, 6)</v>
      </c>
      <c r="J785" s="169" t="s">
        <v>0</v>
      </c>
      <c r="K785" s="169" t="s">
        <v>1</v>
      </c>
      <c r="L785" s="169">
        <v>30</v>
      </c>
      <c r="M785" s="168"/>
      <c r="N785" s="168"/>
      <c r="O785" s="168"/>
      <c r="P785" s="168"/>
      <c r="Q785" s="168" t="s">
        <v>0</v>
      </c>
      <c r="R785" s="168" t="s">
        <v>1</v>
      </c>
      <c r="S785" s="178" t="str">
        <f t="shared" si="38"/>
        <v>D_ECAP_PER_EXPOSURE_RESULTSCP_PD_CURRENT_CALC</v>
      </c>
    </row>
    <row r="786" spans="1:19" ht="14.4" x14ac:dyDescent="0.3">
      <c r="A786" s="169" t="s">
        <v>2033</v>
      </c>
      <c r="B786" s="171" t="str">
        <f t="shared" si="36"/>
        <v>D_ECAP_PER_EXPOSURE_RESULTS</v>
      </c>
      <c r="C786" s="169" t="s">
        <v>2105</v>
      </c>
      <c r="D786" s="169">
        <v>1434</v>
      </c>
      <c r="E786" s="169">
        <v>5</v>
      </c>
      <c r="F786" s="169" t="s">
        <v>2105</v>
      </c>
      <c r="G786" s="169" t="s">
        <v>2105</v>
      </c>
      <c r="H786" s="169">
        <v>40</v>
      </c>
      <c r="I786" s="136" t="str">
        <f t="shared" si="37"/>
        <v>DECIMAL(26, 4)</v>
      </c>
      <c r="J786" s="169" t="s">
        <v>0</v>
      </c>
      <c r="K786" s="169" t="s">
        <v>1</v>
      </c>
      <c r="L786" s="169">
        <v>30</v>
      </c>
      <c r="M786" s="168"/>
      <c r="N786" s="168"/>
      <c r="O786" s="168"/>
      <c r="P786" s="168"/>
      <c r="Q786" s="168" t="s">
        <v>0</v>
      </c>
      <c r="R786" s="168" t="s">
        <v>1</v>
      </c>
      <c r="S786" s="178" t="str">
        <f t="shared" si="38"/>
        <v>D_ECAP_PER_EXPOSURE_RESULTSEAD_AMT</v>
      </c>
    </row>
    <row r="787" spans="1:19" ht="14.4" x14ac:dyDescent="0.3">
      <c r="A787" s="169" t="s">
        <v>2033</v>
      </c>
      <c r="B787" s="171" t="str">
        <f t="shared" si="36"/>
        <v>D_ECAP_PER_EXPOSURE_RESULTS</v>
      </c>
      <c r="C787" s="169" t="s">
        <v>2106</v>
      </c>
      <c r="D787" s="169">
        <v>1435</v>
      </c>
      <c r="E787" s="169">
        <v>6</v>
      </c>
      <c r="F787" s="169" t="s">
        <v>2106</v>
      </c>
      <c r="G787" s="169" t="s">
        <v>2106</v>
      </c>
      <c r="H787" s="169">
        <v>16</v>
      </c>
      <c r="I787" s="136" t="str">
        <f t="shared" si="37"/>
        <v>DECIMAL(26, 6)</v>
      </c>
      <c r="J787" s="169" t="s">
        <v>0</v>
      </c>
      <c r="K787" s="169" t="s">
        <v>1</v>
      </c>
      <c r="L787" s="169">
        <v>30</v>
      </c>
      <c r="M787" s="168"/>
      <c r="N787" s="168"/>
      <c r="O787" s="168"/>
      <c r="P787" s="168"/>
      <c r="Q787" s="168" t="s">
        <v>0</v>
      </c>
      <c r="R787" s="168" t="s">
        <v>1</v>
      </c>
      <c r="S787" s="178" t="str">
        <f t="shared" si="38"/>
        <v>D_ECAP_PER_EXPOSURE_RESULTSECAP_ADD_DEF_T0</v>
      </c>
    </row>
    <row r="788" spans="1:19" ht="14.4" x14ac:dyDescent="0.3">
      <c r="A788" s="169" t="s">
        <v>2033</v>
      </c>
      <c r="B788" s="171" t="str">
        <f t="shared" si="36"/>
        <v>D_ECAP_PER_EXPOSURE_RESULTS</v>
      </c>
      <c r="C788" s="169" t="s">
        <v>2107</v>
      </c>
      <c r="D788" s="169">
        <v>1436</v>
      </c>
      <c r="E788" s="169">
        <v>7</v>
      </c>
      <c r="F788" s="169" t="s">
        <v>2107</v>
      </c>
      <c r="G788" s="169" t="s">
        <v>2107</v>
      </c>
      <c r="H788" s="169">
        <v>41</v>
      </c>
      <c r="I788" s="136" t="str">
        <f t="shared" si="37"/>
        <v>DECIMAL(26, 14)</v>
      </c>
      <c r="J788" s="169" t="s">
        <v>0</v>
      </c>
      <c r="K788" s="169" t="s">
        <v>1</v>
      </c>
      <c r="L788" s="169">
        <v>30</v>
      </c>
      <c r="M788" s="168"/>
      <c r="N788" s="168"/>
      <c r="O788" s="168"/>
      <c r="P788" s="168"/>
      <c r="Q788" s="168" t="s">
        <v>0</v>
      </c>
      <c r="R788" s="168" t="s">
        <v>1</v>
      </c>
      <c r="S788" s="178" t="str">
        <f t="shared" si="38"/>
        <v>D_ECAP_PER_EXPOSURE_RESULTSECAP_MC_PRC_T0</v>
      </c>
    </row>
    <row r="789" spans="1:19" ht="14.4" x14ac:dyDescent="0.3">
      <c r="A789" s="169" t="s">
        <v>2033</v>
      </c>
      <c r="B789" s="171" t="str">
        <f t="shared" si="36"/>
        <v>D_ECAP_PER_EXPOSURE_RESULTS</v>
      </c>
      <c r="C789" s="169" t="s">
        <v>2108</v>
      </c>
      <c r="D789" s="169">
        <v>1437</v>
      </c>
      <c r="E789" s="169">
        <v>8</v>
      </c>
      <c r="F789" s="169" t="s">
        <v>2108</v>
      </c>
      <c r="G789" s="169" t="s">
        <v>2108</v>
      </c>
      <c r="H789" s="169">
        <v>16</v>
      </c>
      <c r="I789" s="136" t="str">
        <f t="shared" si="37"/>
        <v>DECIMAL(26, 6)</v>
      </c>
      <c r="J789" s="169" t="s">
        <v>0</v>
      </c>
      <c r="K789" s="169" t="s">
        <v>1</v>
      </c>
      <c r="L789" s="169">
        <v>30</v>
      </c>
      <c r="M789" s="168"/>
      <c r="N789" s="168"/>
      <c r="O789" s="168"/>
      <c r="P789" s="168"/>
      <c r="Q789" s="168" t="s">
        <v>0</v>
      </c>
      <c r="R789" s="168" t="s">
        <v>1</v>
      </c>
      <c r="S789" s="178" t="str">
        <f t="shared" si="38"/>
        <v>D_ECAP_PER_EXPOSURE_RESULTSEL_MC_T0</v>
      </c>
    </row>
    <row r="790" spans="1:19" ht="14.4" x14ac:dyDescent="0.3">
      <c r="A790" s="169" t="s">
        <v>2033</v>
      </c>
      <c r="B790" s="171" t="str">
        <f t="shared" si="36"/>
        <v>D_ECAP_PER_EXPOSURE_RESULTS</v>
      </c>
      <c r="C790" s="169" t="s">
        <v>2109</v>
      </c>
      <c r="D790" s="169">
        <v>1438</v>
      </c>
      <c r="E790" s="169">
        <v>9</v>
      </c>
      <c r="F790" s="169" t="s">
        <v>2109</v>
      </c>
      <c r="G790" s="169" t="s">
        <v>2109</v>
      </c>
      <c r="H790" s="169">
        <v>16</v>
      </c>
      <c r="I790" s="136" t="str">
        <f t="shared" si="37"/>
        <v>DECIMAL(26, 6)</v>
      </c>
      <c r="J790" s="169" t="s">
        <v>0</v>
      </c>
      <c r="K790" s="169" t="s">
        <v>1</v>
      </c>
      <c r="L790" s="169">
        <v>30</v>
      </c>
      <c r="M790" s="168"/>
      <c r="N790" s="168"/>
      <c r="O790" s="168"/>
      <c r="P790" s="168"/>
      <c r="Q790" s="168" t="s">
        <v>0</v>
      </c>
      <c r="R790" s="168" t="s">
        <v>1</v>
      </c>
      <c r="S790" s="178" t="str">
        <f t="shared" si="38"/>
        <v>D_ECAP_PER_EXPOSURE_RESULTSEPROV_MC_T0</v>
      </c>
    </row>
    <row r="791" spans="1:19" ht="14.4" x14ac:dyDescent="0.3">
      <c r="A791" s="169" t="s">
        <v>2033</v>
      </c>
      <c r="B791" s="171" t="str">
        <f t="shared" si="36"/>
        <v>D_ECAP_PER_EXPOSURE_RESULTS</v>
      </c>
      <c r="C791" s="169" t="s">
        <v>2110</v>
      </c>
      <c r="D791" s="169">
        <v>1439</v>
      </c>
      <c r="E791" s="169">
        <v>10</v>
      </c>
      <c r="F791" s="169" t="s">
        <v>2110</v>
      </c>
      <c r="G791" s="169" t="s">
        <v>2110</v>
      </c>
      <c r="H791" s="169">
        <v>40</v>
      </c>
      <c r="I791" s="136" t="str">
        <f t="shared" si="37"/>
        <v>DECIMAL(26, 4)</v>
      </c>
      <c r="J791" s="169" t="s">
        <v>0</v>
      </c>
      <c r="K791" s="169" t="s">
        <v>1</v>
      </c>
      <c r="L791" s="169">
        <v>30</v>
      </c>
      <c r="M791" s="168"/>
      <c r="N791" s="168"/>
      <c r="O791" s="168"/>
      <c r="P791" s="168"/>
      <c r="Q791" s="168" t="s">
        <v>0</v>
      </c>
      <c r="R791" s="168" t="s">
        <v>1</v>
      </c>
      <c r="S791" s="178" t="str">
        <f t="shared" si="38"/>
        <v>D_ECAP_PER_EXPOSURE_RESULTSEXPECTED_LOSS_PERCENT</v>
      </c>
    </row>
    <row r="792" spans="1:19" ht="14.4" x14ac:dyDescent="0.3">
      <c r="A792" s="169" t="s">
        <v>2033</v>
      </c>
      <c r="B792" s="171" t="str">
        <f t="shared" si="36"/>
        <v>D_ECAP_PER_EXPOSURE_RESULTS</v>
      </c>
      <c r="C792" s="169" t="s">
        <v>2111</v>
      </c>
      <c r="D792" s="169">
        <v>1440</v>
      </c>
      <c r="E792" s="169">
        <v>11</v>
      </c>
      <c r="F792" s="169" t="s">
        <v>2111</v>
      </c>
      <c r="G792" s="169" t="s">
        <v>2111</v>
      </c>
      <c r="H792" s="169">
        <v>16</v>
      </c>
      <c r="I792" s="136" t="str">
        <f t="shared" si="37"/>
        <v>DECIMAL(26, 6)</v>
      </c>
      <c r="J792" s="169" t="s">
        <v>0</v>
      </c>
      <c r="K792" s="169" t="s">
        <v>1</v>
      </c>
      <c r="L792" s="169">
        <v>30</v>
      </c>
      <c r="M792" s="168"/>
      <c r="N792" s="168"/>
      <c r="O792" s="168"/>
      <c r="P792" s="168"/>
      <c r="Q792" s="168" t="s">
        <v>0</v>
      </c>
      <c r="R792" s="168" t="s">
        <v>1</v>
      </c>
      <c r="S792" s="178" t="str">
        <f t="shared" si="38"/>
        <v>D_ECAP_PER_EXPOSURE_RESULTSEXP_PD_CURRENT_CALC</v>
      </c>
    </row>
    <row r="793" spans="1:19" ht="14.4" x14ac:dyDescent="0.3">
      <c r="A793" s="169" t="s">
        <v>2033</v>
      </c>
      <c r="B793" s="171" t="str">
        <f t="shared" si="36"/>
        <v>D_ECAP_PER_EXPOSURE_RESULTS</v>
      </c>
      <c r="C793" s="169" t="s">
        <v>1898</v>
      </c>
      <c r="D793" s="169">
        <v>1441</v>
      </c>
      <c r="E793" s="169">
        <v>12</v>
      </c>
      <c r="F793" s="169" t="s">
        <v>1898</v>
      </c>
      <c r="G793" s="169" t="s">
        <v>1898</v>
      </c>
      <c r="H793" s="169">
        <v>45</v>
      </c>
      <c r="I793" s="136" t="str">
        <f t="shared" si="37"/>
        <v>DECIMAL(15, 0)</v>
      </c>
      <c r="J793" s="169" t="s">
        <v>0</v>
      </c>
      <c r="K793" s="169" t="s">
        <v>1</v>
      </c>
      <c r="L793" s="169">
        <v>30</v>
      </c>
      <c r="M793" s="168"/>
      <c r="N793" s="168"/>
      <c r="O793" s="168"/>
      <c r="P793" s="168"/>
      <c r="Q793" s="168" t="s">
        <v>0</v>
      </c>
      <c r="R793" s="168" t="s">
        <v>1</v>
      </c>
      <c r="S793" s="178" t="str">
        <f t="shared" si="38"/>
        <v>D_ECAP_PER_EXPOSURE_RESULTSINTERNAL_ORG_RK</v>
      </c>
    </row>
    <row r="794" spans="1:19" ht="14.4" x14ac:dyDescent="0.3">
      <c r="A794" s="169" t="s">
        <v>2033</v>
      </c>
      <c r="B794" s="171" t="str">
        <f t="shared" si="36"/>
        <v>D_ECAP_PER_EXPOSURE_RESULTS</v>
      </c>
      <c r="C794" s="169" t="s">
        <v>1890</v>
      </c>
      <c r="D794" s="169">
        <v>1442</v>
      </c>
      <c r="E794" s="169">
        <v>13</v>
      </c>
      <c r="F794" s="169" t="s">
        <v>1890</v>
      </c>
      <c r="G794" s="169" t="s">
        <v>1890</v>
      </c>
      <c r="H794" s="169">
        <v>9</v>
      </c>
      <c r="I794" s="136" t="str">
        <f t="shared" si="37"/>
        <v xml:space="preserve">CHAR(32) </v>
      </c>
      <c r="J794" s="169" t="s">
        <v>0</v>
      </c>
      <c r="K794" s="169" t="s">
        <v>1</v>
      </c>
      <c r="L794" s="169">
        <v>30</v>
      </c>
      <c r="M794" s="168"/>
      <c r="N794" s="168"/>
      <c r="O794" s="168"/>
      <c r="P794" s="168"/>
      <c r="Q794" s="168" t="s">
        <v>0</v>
      </c>
      <c r="R794" s="168" t="s">
        <v>1</v>
      </c>
      <c r="S794" s="178" t="str">
        <f t="shared" si="38"/>
        <v>D_ECAP_PER_EXPOSURE_RESULTSISSUE_KEY</v>
      </c>
    </row>
    <row r="795" spans="1:19" ht="14.4" x14ac:dyDescent="0.3">
      <c r="A795" s="169" t="s">
        <v>2033</v>
      </c>
      <c r="B795" s="171" t="str">
        <f t="shared" si="36"/>
        <v>D_ECAP_PER_EXPOSURE_RESULTS</v>
      </c>
      <c r="C795" s="169" t="s">
        <v>2112</v>
      </c>
      <c r="D795" s="169">
        <v>1443</v>
      </c>
      <c r="E795" s="169">
        <v>14</v>
      </c>
      <c r="F795" s="169" t="s">
        <v>2112</v>
      </c>
      <c r="G795" s="169" t="s">
        <v>2112</v>
      </c>
      <c r="H795" s="169">
        <v>16</v>
      </c>
      <c r="I795" s="136" t="str">
        <f t="shared" si="37"/>
        <v>DECIMAL(26, 6)</v>
      </c>
      <c r="J795" s="169" t="s">
        <v>0</v>
      </c>
      <c r="K795" s="169" t="s">
        <v>1</v>
      </c>
      <c r="L795" s="169">
        <v>30</v>
      </c>
      <c r="M795" s="168"/>
      <c r="N795" s="168"/>
      <c r="O795" s="168"/>
      <c r="P795" s="168"/>
      <c r="Q795" s="168" t="s">
        <v>0</v>
      </c>
      <c r="R795" s="168" t="s">
        <v>1</v>
      </c>
      <c r="S795" s="178" t="str">
        <f t="shared" si="38"/>
        <v>D_ECAP_PER_EXPOSURE_RESULTSLGD_CURR_CALC</v>
      </c>
    </row>
    <row r="796" spans="1:19" ht="14.4" x14ac:dyDescent="0.3">
      <c r="A796" s="169" t="s">
        <v>2033</v>
      </c>
      <c r="B796" s="171" t="str">
        <f t="shared" si="36"/>
        <v>D_ECAP_PER_EXPOSURE_RESULTS</v>
      </c>
      <c r="C796" s="169" t="s">
        <v>2113</v>
      </c>
      <c r="D796" s="169">
        <v>1444</v>
      </c>
      <c r="E796" s="169">
        <v>15</v>
      </c>
      <c r="F796" s="169" t="s">
        <v>2113</v>
      </c>
      <c r="G796" s="169" t="s">
        <v>2113</v>
      </c>
      <c r="H796" s="169">
        <v>16</v>
      </c>
      <c r="I796" s="136" t="str">
        <f t="shared" si="37"/>
        <v>DECIMAL(26, 6)</v>
      </c>
      <c r="J796" s="169" t="s">
        <v>0</v>
      </c>
      <c r="K796" s="169" t="s">
        <v>1</v>
      </c>
      <c r="L796" s="169">
        <v>30</v>
      </c>
      <c r="M796" s="168"/>
      <c r="N796" s="168"/>
      <c r="O796" s="168"/>
      <c r="P796" s="168"/>
      <c r="Q796" s="168" t="s">
        <v>0</v>
      </c>
      <c r="R796" s="168" t="s">
        <v>1</v>
      </c>
      <c r="S796" s="178" t="str">
        <f t="shared" si="38"/>
        <v>D_ECAP_PER_EXPOSURE_RESULTSLGD_DOWNTURN_CALC</v>
      </c>
    </row>
    <row r="797" spans="1:19" ht="14.4" x14ac:dyDescent="0.3">
      <c r="A797" s="169" t="s">
        <v>2033</v>
      </c>
      <c r="B797" s="171" t="str">
        <f t="shared" si="36"/>
        <v>D_ECAP_PER_EXPOSURE_RESULTS</v>
      </c>
      <c r="C797" s="169" t="s">
        <v>552</v>
      </c>
      <c r="D797" s="169">
        <v>1445</v>
      </c>
      <c r="E797" s="169">
        <v>16</v>
      </c>
      <c r="F797" s="169" t="s">
        <v>552</v>
      </c>
      <c r="G797" s="169" t="s">
        <v>552</v>
      </c>
      <c r="H797" s="169">
        <v>46</v>
      </c>
      <c r="I797" s="136" t="str">
        <f t="shared" si="37"/>
        <v>DECIMAL(7, 4)</v>
      </c>
      <c r="J797" s="169" t="s">
        <v>0</v>
      </c>
      <c r="K797" s="169" t="s">
        <v>1</v>
      </c>
      <c r="L797" s="169">
        <v>30</v>
      </c>
      <c r="M797" s="168"/>
      <c r="N797" s="168"/>
      <c r="O797" s="168"/>
      <c r="P797" s="168"/>
      <c r="Q797" s="168" t="s">
        <v>0</v>
      </c>
      <c r="R797" s="168" t="s">
        <v>1</v>
      </c>
      <c r="S797" s="178" t="str">
        <f t="shared" si="38"/>
        <v>D_ECAP_PER_EXPOSURE_RESULTSLGD_INDEFAULT_PCT</v>
      </c>
    </row>
    <row r="798" spans="1:19" ht="14.4" x14ac:dyDescent="0.3">
      <c r="A798" s="169" t="s">
        <v>2033</v>
      </c>
      <c r="B798" s="171" t="str">
        <f t="shared" si="36"/>
        <v>D_ECAP_PER_EXPOSURE_RESULTS</v>
      </c>
      <c r="C798" s="169" t="s">
        <v>551</v>
      </c>
      <c r="D798" s="169">
        <v>1446</v>
      </c>
      <c r="E798" s="169">
        <v>17</v>
      </c>
      <c r="F798" s="169" t="s">
        <v>551</v>
      </c>
      <c r="G798" s="169" t="s">
        <v>551</v>
      </c>
      <c r="H798" s="169">
        <v>16</v>
      </c>
      <c r="I798" s="136" t="str">
        <f t="shared" si="37"/>
        <v>DECIMAL(26, 6)</v>
      </c>
      <c r="J798" s="169" t="s">
        <v>0</v>
      </c>
      <c r="K798" s="169" t="s">
        <v>1</v>
      </c>
      <c r="L798" s="169">
        <v>30</v>
      </c>
      <c r="M798" s="168"/>
      <c r="N798" s="168"/>
      <c r="O798" s="168"/>
      <c r="P798" s="168"/>
      <c r="Q798" s="168" t="s">
        <v>0</v>
      </c>
      <c r="R798" s="168" t="s">
        <v>1</v>
      </c>
      <c r="S798" s="178" t="str">
        <f t="shared" si="38"/>
        <v>D_ECAP_PER_EXPOSURE_RESULTSLGD_LONGRUN_PCT</v>
      </c>
    </row>
    <row r="799" spans="1:19" ht="14.4" x14ac:dyDescent="0.3">
      <c r="A799" s="169" t="s">
        <v>2033</v>
      </c>
      <c r="B799" s="171" t="str">
        <f t="shared" si="36"/>
        <v>D_ECAP_PER_EXPOSURE_RESULTS</v>
      </c>
      <c r="C799" s="169" t="s">
        <v>1918</v>
      </c>
      <c r="D799" s="169">
        <v>1447</v>
      </c>
      <c r="E799" s="169">
        <v>18</v>
      </c>
      <c r="F799" s="169" t="s">
        <v>1918</v>
      </c>
      <c r="G799" s="169" t="s">
        <v>1918</v>
      </c>
      <c r="H799" s="169">
        <v>16</v>
      </c>
      <c r="I799" s="136" t="str">
        <f t="shared" si="37"/>
        <v>DECIMAL(26, 6)</v>
      </c>
      <c r="J799" s="169" t="s">
        <v>0</v>
      </c>
      <c r="K799" s="169" t="s">
        <v>1</v>
      </c>
      <c r="L799" s="169">
        <v>30</v>
      </c>
      <c r="M799" s="168"/>
      <c r="N799" s="168"/>
      <c r="O799" s="168"/>
      <c r="P799" s="168"/>
      <c r="Q799" s="168" t="s">
        <v>0</v>
      </c>
      <c r="R799" s="168" t="s">
        <v>1</v>
      </c>
      <c r="S799" s="178" t="str">
        <f t="shared" si="38"/>
        <v>D_ECAP_PER_EXPOSURE_RESULTSLGD_PCT</v>
      </c>
    </row>
    <row r="800" spans="1:19" ht="14.4" x14ac:dyDescent="0.3">
      <c r="A800" s="169" t="s">
        <v>2033</v>
      </c>
      <c r="B800" s="171" t="str">
        <f t="shared" si="36"/>
        <v>D_ECAP_PER_EXPOSURE_RESULTS</v>
      </c>
      <c r="C800" s="169" t="s">
        <v>2114</v>
      </c>
      <c r="D800" s="169">
        <v>1448</v>
      </c>
      <c r="E800" s="169">
        <v>19</v>
      </c>
      <c r="F800" s="169" t="s">
        <v>2114</v>
      </c>
      <c r="G800" s="169" t="s">
        <v>2114</v>
      </c>
      <c r="H800" s="169">
        <v>16</v>
      </c>
      <c r="I800" s="136" t="str">
        <f t="shared" si="37"/>
        <v>DECIMAL(26, 6)</v>
      </c>
      <c r="J800" s="169" t="s">
        <v>0</v>
      </c>
      <c r="K800" s="169" t="s">
        <v>1</v>
      </c>
      <c r="L800" s="169">
        <v>30</v>
      </c>
      <c r="M800" s="168"/>
      <c r="N800" s="168"/>
      <c r="O800" s="168"/>
      <c r="P800" s="168"/>
      <c r="Q800" s="168" t="s">
        <v>0</v>
      </c>
      <c r="R800" s="168" t="s">
        <v>1</v>
      </c>
      <c r="S800" s="178" t="str">
        <f t="shared" si="38"/>
        <v>D_ECAP_PER_EXPOSURE_RESULTSPD_CURRENT_CALC</v>
      </c>
    </row>
    <row r="801" spans="1:19" ht="14.4" x14ac:dyDescent="0.3">
      <c r="A801" s="169" t="s">
        <v>2033</v>
      </c>
      <c r="B801" s="171" t="str">
        <f t="shared" si="36"/>
        <v>D_ECAP_PER_EXPOSURE_RESULTS</v>
      </c>
      <c r="C801" s="169" t="s">
        <v>1922</v>
      </c>
      <c r="D801" s="169">
        <v>1449</v>
      </c>
      <c r="E801" s="169">
        <v>20</v>
      </c>
      <c r="F801" s="169" t="s">
        <v>1922</v>
      </c>
      <c r="G801" s="169" t="s">
        <v>1922</v>
      </c>
      <c r="H801" s="169">
        <v>14</v>
      </c>
      <c r="I801" s="136" t="str">
        <f t="shared" si="37"/>
        <v xml:space="preserve">CHAR(3) </v>
      </c>
      <c r="J801" s="169" t="s">
        <v>0</v>
      </c>
      <c r="K801" s="169" t="s">
        <v>1</v>
      </c>
      <c r="L801" s="169">
        <v>30</v>
      </c>
      <c r="M801" s="168"/>
      <c r="N801" s="168"/>
      <c r="O801" s="168"/>
      <c r="P801" s="168"/>
      <c r="Q801" s="168" t="s">
        <v>0</v>
      </c>
      <c r="R801" s="168" t="s">
        <v>1</v>
      </c>
      <c r="S801" s="178" t="str">
        <f t="shared" si="38"/>
        <v>D_ECAP_PER_EXPOSURE_RESULTSREGULATORY_PRODUCT_CD</v>
      </c>
    </row>
    <row r="802" spans="1:19" ht="14.4" x14ac:dyDescent="0.3">
      <c r="A802" s="169" t="s">
        <v>2033</v>
      </c>
      <c r="B802" s="171" t="str">
        <f t="shared" si="36"/>
        <v>D_ECAP_PER_EXPOSURE_RESULTS</v>
      </c>
      <c r="C802" s="169" t="s">
        <v>1923</v>
      </c>
      <c r="D802" s="169">
        <v>1450</v>
      </c>
      <c r="E802" s="169">
        <v>21</v>
      </c>
      <c r="F802" s="169" t="s">
        <v>1923</v>
      </c>
      <c r="G802" s="169" t="s">
        <v>1923</v>
      </c>
      <c r="H802" s="169">
        <v>44</v>
      </c>
      <c r="I802" s="136" t="str">
        <f t="shared" si="37"/>
        <v xml:space="preserve">CHAR(4) </v>
      </c>
      <c r="J802" s="169" t="s">
        <v>0</v>
      </c>
      <c r="K802" s="169" t="s">
        <v>1</v>
      </c>
      <c r="L802" s="169">
        <v>30</v>
      </c>
      <c r="M802" s="168"/>
      <c r="N802" s="168"/>
      <c r="O802" s="168"/>
      <c r="P802" s="168"/>
      <c r="Q802" s="168" t="s">
        <v>0</v>
      </c>
      <c r="R802" s="168" t="s">
        <v>1</v>
      </c>
      <c r="S802" s="178" t="str">
        <f t="shared" si="38"/>
        <v>D_ECAP_PER_EXPOSURE_RESULTSREP_CLASS</v>
      </c>
    </row>
    <row r="803" spans="1:19" ht="14.4" x14ac:dyDescent="0.3">
      <c r="A803" s="169" t="s">
        <v>2036</v>
      </c>
      <c r="B803" s="171" t="str">
        <f t="shared" si="36"/>
        <v>D_ECAP_REP_PARAMS</v>
      </c>
      <c r="C803" s="169" t="s">
        <v>2062</v>
      </c>
      <c r="D803" s="169">
        <v>1451</v>
      </c>
      <c r="E803" s="169">
        <v>1</v>
      </c>
      <c r="F803" s="169" t="s">
        <v>2062</v>
      </c>
      <c r="G803" s="169" t="s">
        <v>2062</v>
      </c>
      <c r="H803" s="169">
        <v>25</v>
      </c>
      <c r="I803" s="136" t="str">
        <f t="shared" si="37"/>
        <v xml:space="preserve">CHAR(100) </v>
      </c>
      <c r="J803" s="169" t="s">
        <v>0</v>
      </c>
      <c r="K803" s="169" t="s">
        <v>1</v>
      </c>
      <c r="L803" s="169">
        <v>30</v>
      </c>
      <c r="M803" s="168"/>
      <c r="N803" s="168"/>
      <c r="O803" s="168"/>
      <c r="P803" s="168"/>
      <c r="Q803" s="168" t="s">
        <v>0</v>
      </c>
      <c r="R803" s="168" t="s">
        <v>1</v>
      </c>
      <c r="S803" s="178" t="str">
        <f t="shared" si="38"/>
        <v>D_ECAP_REP_PARAMSCHAR_VALUE</v>
      </c>
    </row>
    <row r="804" spans="1:19" ht="14.4" x14ac:dyDescent="0.3">
      <c r="A804" s="169" t="s">
        <v>2036</v>
      </c>
      <c r="B804" s="171" t="str">
        <f t="shared" si="36"/>
        <v>D_ECAP_REP_PARAMS</v>
      </c>
      <c r="C804" s="169" t="s">
        <v>1951</v>
      </c>
      <c r="D804" s="169">
        <v>1452</v>
      </c>
      <c r="E804" s="169">
        <v>2</v>
      </c>
      <c r="F804" s="169" t="s">
        <v>1951</v>
      </c>
      <c r="G804" s="169" t="s">
        <v>1951</v>
      </c>
      <c r="H804" s="169">
        <v>9</v>
      </c>
      <c r="I804" s="136" t="str">
        <f t="shared" si="37"/>
        <v xml:space="preserve">CHAR(32) </v>
      </c>
      <c r="J804" s="169" t="s">
        <v>0</v>
      </c>
      <c r="K804" s="169" t="s">
        <v>0</v>
      </c>
      <c r="L804" s="169">
        <v>30</v>
      </c>
      <c r="M804" s="168"/>
      <c r="N804" s="168"/>
      <c r="O804" s="168"/>
      <c r="P804" s="168"/>
      <c r="Q804" s="168" t="s">
        <v>0</v>
      </c>
      <c r="R804" s="168" t="s">
        <v>1</v>
      </c>
      <c r="S804" s="178" t="str">
        <f t="shared" si="38"/>
        <v>D_ECAP_REP_PARAMSCONFIGURATION_ID</v>
      </c>
    </row>
    <row r="805" spans="1:19" ht="14.4" x14ac:dyDescent="0.3">
      <c r="A805" s="169" t="s">
        <v>2036</v>
      </c>
      <c r="B805" s="171" t="str">
        <f t="shared" si="36"/>
        <v>D_ECAP_REP_PARAMS</v>
      </c>
      <c r="C805" s="169" t="s">
        <v>2065</v>
      </c>
      <c r="D805" s="169">
        <v>1453</v>
      </c>
      <c r="E805" s="169">
        <v>3</v>
      </c>
      <c r="F805" s="169" t="s">
        <v>2065</v>
      </c>
      <c r="G805" s="169" t="s">
        <v>2065</v>
      </c>
      <c r="H805" s="169">
        <v>8</v>
      </c>
      <c r="I805" s="136" t="str">
        <f t="shared" si="37"/>
        <v>DECIMAL(15, 6)</v>
      </c>
      <c r="J805" s="169" t="s">
        <v>0</v>
      </c>
      <c r="K805" s="169" t="s">
        <v>1</v>
      </c>
      <c r="L805" s="169">
        <v>30</v>
      </c>
      <c r="M805" s="168"/>
      <c r="N805" s="168"/>
      <c r="O805" s="168"/>
      <c r="P805" s="168"/>
      <c r="Q805" s="168" t="s">
        <v>0</v>
      </c>
      <c r="R805" s="168" t="s">
        <v>1</v>
      </c>
      <c r="S805" s="178" t="str">
        <f t="shared" si="38"/>
        <v>D_ECAP_REP_PARAMSNUM_VALUE</v>
      </c>
    </row>
    <row r="806" spans="1:19" ht="14.4" x14ac:dyDescent="0.3">
      <c r="A806" s="169" t="s">
        <v>2036</v>
      </c>
      <c r="B806" s="171" t="str">
        <f t="shared" si="36"/>
        <v>D_ECAP_REP_PARAMS</v>
      </c>
      <c r="C806" s="169" t="s">
        <v>1515</v>
      </c>
      <c r="D806" s="169">
        <v>1454</v>
      </c>
      <c r="E806" s="169">
        <v>4</v>
      </c>
      <c r="F806" s="169" t="s">
        <v>1515</v>
      </c>
      <c r="G806" s="169" t="s">
        <v>1515</v>
      </c>
      <c r="H806" s="169">
        <v>9</v>
      </c>
      <c r="I806" s="136" t="str">
        <f t="shared" si="37"/>
        <v xml:space="preserve">CHAR(32) </v>
      </c>
      <c r="J806" s="169" t="s">
        <v>0</v>
      </c>
      <c r="K806" s="169" t="s">
        <v>1</v>
      </c>
      <c r="L806" s="169">
        <v>30</v>
      </c>
      <c r="M806" s="168"/>
      <c r="N806" s="168"/>
      <c r="O806" s="168"/>
      <c r="P806" s="168"/>
      <c r="Q806" s="168" t="s">
        <v>0</v>
      </c>
      <c r="R806" s="168" t="s">
        <v>1</v>
      </c>
      <c r="S806" s="178" t="str">
        <f t="shared" si="38"/>
        <v>D_ECAP_REP_PARAMSPARAM_NAME</v>
      </c>
    </row>
    <row r="807" spans="1:19" ht="14.4" x14ac:dyDescent="0.3">
      <c r="A807" s="169" t="s">
        <v>2036</v>
      </c>
      <c r="B807" s="171" t="str">
        <f t="shared" si="36"/>
        <v>D_ECAP_REP_PARAMS</v>
      </c>
      <c r="C807" s="169" t="s">
        <v>2067</v>
      </c>
      <c r="D807" s="169">
        <v>1455</v>
      </c>
      <c r="E807" s="169">
        <v>5</v>
      </c>
      <c r="F807" s="169" t="s">
        <v>2067</v>
      </c>
      <c r="G807" s="169" t="s">
        <v>2067</v>
      </c>
      <c r="H807" s="169">
        <v>22</v>
      </c>
      <c r="I807" s="136" t="str">
        <f t="shared" si="37"/>
        <v>TIMESTAMP(6)</v>
      </c>
      <c r="J807" s="169" t="s">
        <v>0</v>
      </c>
      <c r="K807" s="169" t="s">
        <v>1</v>
      </c>
      <c r="L807" s="169">
        <v>30</v>
      </c>
      <c r="M807" s="168"/>
      <c r="N807" s="168"/>
      <c r="O807" s="168"/>
      <c r="P807" s="168"/>
      <c r="Q807" s="168" t="s">
        <v>0</v>
      </c>
      <c r="R807" s="168" t="s">
        <v>1</v>
      </c>
      <c r="S807" s="178" t="str">
        <f t="shared" si="38"/>
        <v>D_ECAP_REP_PARAMSVALID_FROM_DTTM</v>
      </c>
    </row>
    <row r="808" spans="1:19" ht="14.4" x14ac:dyDescent="0.3">
      <c r="A808" s="169" t="s">
        <v>2036</v>
      </c>
      <c r="B808" s="171" t="str">
        <f t="shared" si="36"/>
        <v>D_ECAP_REP_PARAMS</v>
      </c>
      <c r="C808" s="169" t="s">
        <v>2068</v>
      </c>
      <c r="D808" s="169">
        <v>1456</v>
      </c>
      <c r="E808" s="169">
        <v>6</v>
      </c>
      <c r="F808" s="169" t="s">
        <v>2068</v>
      </c>
      <c r="G808" s="169" t="s">
        <v>2068</v>
      </c>
      <c r="H808" s="169">
        <v>22</v>
      </c>
      <c r="I808" s="136" t="str">
        <f t="shared" si="37"/>
        <v>TIMESTAMP(6)</v>
      </c>
      <c r="J808" s="169" t="s">
        <v>0</v>
      </c>
      <c r="K808" s="169" t="s">
        <v>1</v>
      </c>
      <c r="L808" s="169">
        <v>30</v>
      </c>
      <c r="M808" s="168"/>
      <c r="N808" s="168"/>
      <c r="O808" s="168"/>
      <c r="P808" s="168"/>
      <c r="Q808" s="168" t="s">
        <v>0</v>
      </c>
      <c r="R808" s="168" t="s">
        <v>1</v>
      </c>
      <c r="S808" s="178" t="str">
        <f t="shared" si="38"/>
        <v>D_ECAP_REP_PARAMSVALID_TO_DTTM</v>
      </c>
    </row>
    <row r="809" spans="1:19" ht="14.4" x14ac:dyDescent="0.3">
      <c r="A809" s="169" t="s">
        <v>2048</v>
      </c>
      <c r="B809" s="171" t="str">
        <f t="shared" si="36"/>
        <v>D_ECAP_SIGN_LEV_RESULTS</v>
      </c>
      <c r="C809" s="169" t="s">
        <v>2080</v>
      </c>
      <c r="D809" s="169">
        <v>1457</v>
      </c>
      <c r="E809" s="169">
        <v>1</v>
      </c>
      <c r="F809" s="169" t="s">
        <v>2080</v>
      </c>
      <c r="G809" s="169" t="s">
        <v>2080</v>
      </c>
      <c r="H809" s="169">
        <v>27</v>
      </c>
      <c r="I809" s="136" t="str">
        <f t="shared" si="37"/>
        <v>INTEGER</v>
      </c>
      <c r="J809" s="169" t="s">
        <v>0</v>
      </c>
      <c r="K809" s="169" t="s">
        <v>0</v>
      </c>
      <c r="L809" s="169">
        <v>30</v>
      </c>
      <c r="M809" s="168"/>
      <c r="N809" s="168"/>
      <c r="O809" s="168"/>
      <c r="P809" s="168"/>
      <c r="Q809" s="168" t="s">
        <v>0</v>
      </c>
      <c r="R809" s="168" t="s">
        <v>1</v>
      </c>
      <c r="S809" s="178" t="str">
        <f t="shared" si="38"/>
        <v>D_ECAP_SIGN_LEV_RESULTSCALC_SESSION_ID</v>
      </c>
    </row>
    <row r="810" spans="1:19" ht="14.4" x14ac:dyDescent="0.3">
      <c r="A810" s="169" t="s">
        <v>2048</v>
      </c>
      <c r="B810" s="171" t="str">
        <f t="shared" si="36"/>
        <v>D_ECAP_SIGN_LEV_RESULTS</v>
      </c>
      <c r="C810" s="169" t="s">
        <v>2115</v>
      </c>
      <c r="D810" s="169">
        <v>1458</v>
      </c>
      <c r="E810" s="169">
        <v>2</v>
      </c>
      <c r="F810" s="169" t="s">
        <v>2115</v>
      </c>
      <c r="G810" s="169" t="s">
        <v>2115</v>
      </c>
      <c r="H810" s="169">
        <v>16</v>
      </c>
      <c r="I810" s="136" t="str">
        <f t="shared" si="37"/>
        <v>DECIMAL(26, 6)</v>
      </c>
      <c r="J810" s="169" t="s">
        <v>0</v>
      </c>
      <c r="K810" s="169" t="s">
        <v>1</v>
      </c>
      <c r="L810" s="169">
        <v>30</v>
      </c>
      <c r="M810" s="168"/>
      <c r="N810" s="168"/>
      <c r="O810" s="168"/>
      <c r="P810" s="168"/>
      <c r="Q810" s="168" t="s">
        <v>0</v>
      </c>
      <c r="R810" s="168" t="s">
        <v>1</v>
      </c>
      <c r="S810" s="178" t="str">
        <f t="shared" si="38"/>
        <v>D_ECAP_SIGN_LEV_RESULTSECAP_MC_T0</v>
      </c>
    </row>
    <row r="811" spans="1:19" ht="14.4" x14ac:dyDescent="0.3">
      <c r="A811" s="169" t="s">
        <v>2048</v>
      </c>
      <c r="B811" s="171" t="str">
        <f t="shared" si="36"/>
        <v>D_ECAP_SIGN_LEV_RESULTS</v>
      </c>
      <c r="C811" s="169" t="s">
        <v>2116</v>
      </c>
      <c r="D811" s="169">
        <v>1459</v>
      </c>
      <c r="E811" s="169">
        <v>3</v>
      </c>
      <c r="F811" s="169" t="s">
        <v>2116</v>
      </c>
      <c r="G811" s="169" t="s">
        <v>2116</v>
      </c>
      <c r="H811" s="169">
        <v>32</v>
      </c>
      <c r="I811" s="136" t="str">
        <f t="shared" si="37"/>
        <v>BYTEINT</v>
      </c>
      <c r="J811" s="169" t="s">
        <v>0</v>
      </c>
      <c r="K811" s="169" t="s">
        <v>1</v>
      </c>
      <c r="L811" s="169">
        <v>30</v>
      </c>
      <c r="M811" s="168"/>
      <c r="N811" s="168"/>
      <c r="O811" s="168"/>
      <c r="P811" s="168"/>
      <c r="Q811" s="168" t="s">
        <v>0</v>
      </c>
      <c r="R811" s="168" t="s">
        <v>1</v>
      </c>
      <c r="S811" s="178" t="str">
        <f t="shared" si="38"/>
        <v>D_ECAP_SIGN_LEV_RESULTSIS_PRIMARY</v>
      </c>
    </row>
    <row r="812" spans="1:19" ht="14.4" x14ac:dyDescent="0.3">
      <c r="A812" s="169" t="s">
        <v>2048</v>
      </c>
      <c r="B812" s="171" t="str">
        <f t="shared" si="36"/>
        <v>D_ECAP_SIGN_LEV_RESULTS</v>
      </c>
      <c r="C812" s="169" t="s">
        <v>2117</v>
      </c>
      <c r="D812" s="169">
        <v>1460</v>
      </c>
      <c r="E812" s="169">
        <v>4</v>
      </c>
      <c r="F812" s="169" t="s">
        <v>2117</v>
      </c>
      <c r="G812" s="169" t="s">
        <v>2117</v>
      </c>
      <c r="H812" s="169">
        <v>54</v>
      </c>
      <c r="I812" s="136" t="str">
        <f t="shared" si="37"/>
        <v xml:space="preserve">CHAR(20) </v>
      </c>
      <c r="J812" s="169" t="s">
        <v>0</v>
      </c>
      <c r="K812" s="169" t="s">
        <v>1</v>
      </c>
      <c r="L812" s="169">
        <v>30</v>
      </c>
      <c r="M812" s="168"/>
      <c r="N812" s="168"/>
      <c r="O812" s="168"/>
      <c r="P812" s="168"/>
      <c r="Q812" s="168" t="s">
        <v>0</v>
      </c>
      <c r="R812" s="168" t="s">
        <v>1</v>
      </c>
      <c r="S812" s="178" t="str">
        <f t="shared" si="38"/>
        <v>D_ECAP_SIGN_LEV_RESULTSLEVEL_NAME</v>
      </c>
    </row>
    <row r="813" spans="1:19" ht="14.4" x14ac:dyDescent="0.3">
      <c r="A813" s="169" t="s">
        <v>2048</v>
      </c>
      <c r="B813" s="171" t="str">
        <f t="shared" si="36"/>
        <v>D_ECAP_SIGN_LEV_RESULTS</v>
      </c>
      <c r="C813" s="169" t="s">
        <v>2118</v>
      </c>
      <c r="D813" s="169">
        <v>1461</v>
      </c>
      <c r="E813" s="169">
        <v>5</v>
      </c>
      <c r="F813" s="169" t="s">
        <v>2118</v>
      </c>
      <c r="G813" s="169" t="s">
        <v>2118</v>
      </c>
      <c r="H813" s="169">
        <v>8</v>
      </c>
      <c r="I813" s="136" t="str">
        <f t="shared" si="37"/>
        <v>DECIMAL(15, 6)</v>
      </c>
      <c r="J813" s="169" t="s">
        <v>0</v>
      </c>
      <c r="K813" s="169" t="s">
        <v>1</v>
      </c>
      <c r="L813" s="169">
        <v>30</v>
      </c>
      <c r="M813" s="168"/>
      <c r="N813" s="168"/>
      <c r="O813" s="168"/>
      <c r="P813" s="168"/>
      <c r="Q813" s="168" t="s">
        <v>0</v>
      </c>
      <c r="R813" s="168" t="s">
        <v>1</v>
      </c>
      <c r="S813" s="178" t="str">
        <f t="shared" si="38"/>
        <v>D_ECAP_SIGN_LEV_RESULTSSIGNIF_LEVEL</v>
      </c>
    </row>
    <row r="814" spans="1:19" ht="14.4" x14ac:dyDescent="0.3">
      <c r="A814" s="169" t="s">
        <v>2025</v>
      </c>
      <c r="B814" s="171" t="str">
        <f t="shared" si="36"/>
        <v>D_ECAP_UPDATED_CPTY_ATTRIB</v>
      </c>
      <c r="C814" s="169" t="s">
        <v>2080</v>
      </c>
      <c r="D814" s="169">
        <v>394</v>
      </c>
      <c r="E814" s="169">
        <v>1</v>
      </c>
      <c r="F814" s="169" t="s">
        <v>2080</v>
      </c>
      <c r="G814" s="169" t="s">
        <v>2080</v>
      </c>
      <c r="H814" s="169">
        <v>1</v>
      </c>
      <c r="I814" s="136" t="str">
        <f t="shared" si="37"/>
        <v>DECIMAL(16, 0)</v>
      </c>
      <c r="J814" s="169" t="s">
        <v>1</v>
      </c>
      <c r="K814" s="169" t="s">
        <v>0</v>
      </c>
      <c r="L814" s="169">
        <v>30</v>
      </c>
      <c r="M814" s="168"/>
      <c r="N814" s="168"/>
      <c r="O814" s="168"/>
      <c r="P814" s="168"/>
      <c r="Q814" s="168" t="s">
        <v>0</v>
      </c>
      <c r="R814" s="168" t="s">
        <v>1</v>
      </c>
      <c r="S814" s="178" t="str">
        <f t="shared" si="38"/>
        <v>D_ECAP_UPDATED_CPTY_ATTRIBCALC_SESSION_ID</v>
      </c>
    </row>
    <row r="815" spans="1:19" ht="14.4" x14ac:dyDescent="0.3">
      <c r="A815" s="169" t="s">
        <v>2025</v>
      </c>
      <c r="B815" s="171" t="str">
        <f t="shared" si="36"/>
        <v>D_ECAP_UPDATED_CPTY_ATTRIB</v>
      </c>
      <c r="C815" s="169" t="s">
        <v>1870</v>
      </c>
      <c r="D815" s="169">
        <v>395</v>
      </c>
      <c r="E815" s="169">
        <v>2</v>
      </c>
      <c r="F815" s="169" t="s">
        <v>1870</v>
      </c>
      <c r="G815" s="169" t="s">
        <v>1870</v>
      </c>
      <c r="H815" s="169">
        <v>1</v>
      </c>
      <c r="I815" s="136" t="str">
        <f t="shared" si="37"/>
        <v>DECIMAL(16, 0)</v>
      </c>
      <c r="J815" s="169" t="s">
        <v>1</v>
      </c>
      <c r="K815" s="169" t="s">
        <v>1</v>
      </c>
      <c r="L815" s="169">
        <v>30</v>
      </c>
      <c r="M815" s="168"/>
      <c r="N815" s="168"/>
      <c r="O815" s="168"/>
      <c r="P815" s="168"/>
      <c r="Q815" s="168" t="s">
        <v>0</v>
      </c>
      <c r="R815" s="168" t="s">
        <v>1</v>
      </c>
      <c r="S815" s="178" t="str">
        <f t="shared" si="38"/>
        <v>D_ECAP_UPDATED_CPTY_ATTRIBCOUNTERPARTY_RK</v>
      </c>
    </row>
    <row r="816" spans="1:19" ht="14.4" x14ac:dyDescent="0.3">
      <c r="A816" s="169" t="s">
        <v>2025</v>
      </c>
      <c r="B816" s="171" t="str">
        <f t="shared" si="36"/>
        <v>D_ECAP_UPDATED_CPTY_ATTRIB</v>
      </c>
      <c r="C816" s="169" t="s">
        <v>1877</v>
      </c>
      <c r="D816" s="169">
        <v>396</v>
      </c>
      <c r="E816" s="169">
        <v>3</v>
      </c>
      <c r="F816" s="169" t="s">
        <v>1877</v>
      </c>
      <c r="G816" s="169" t="s">
        <v>1877</v>
      </c>
      <c r="H816" s="169">
        <v>32</v>
      </c>
      <c r="I816" s="136" t="str">
        <f t="shared" si="37"/>
        <v>BYTEINT</v>
      </c>
      <c r="J816" s="169" t="s">
        <v>0</v>
      </c>
      <c r="K816" s="169" t="s">
        <v>1</v>
      </c>
      <c r="L816" s="169">
        <v>30</v>
      </c>
      <c r="M816" s="168"/>
      <c r="N816" s="168"/>
      <c r="O816" s="168"/>
      <c r="P816" s="168"/>
      <c r="Q816" s="168" t="s">
        <v>0</v>
      </c>
      <c r="R816" s="168" t="s">
        <v>1</v>
      </c>
      <c r="S816" s="178" t="str">
        <f t="shared" si="38"/>
        <v>D_ECAP_UPDATED_CPTY_ATTRIBIN_DEFAULT_FLG</v>
      </c>
    </row>
    <row r="817" spans="1:19" ht="14.4" x14ac:dyDescent="0.3">
      <c r="A817" s="169" t="s">
        <v>1779</v>
      </c>
      <c r="B817" s="171" t="str">
        <f t="shared" si="36"/>
        <v>D_ETL_INPUT_PACKAGE_LOAD_LOG</v>
      </c>
      <c r="C817" s="169" t="s">
        <v>1565</v>
      </c>
      <c r="D817" s="169">
        <v>1462</v>
      </c>
      <c r="E817" s="169">
        <v>1</v>
      </c>
      <c r="F817" s="169" t="s">
        <v>1565</v>
      </c>
      <c r="G817" s="169" t="s">
        <v>1565</v>
      </c>
      <c r="H817" s="169">
        <v>30</v>
      </c>
      <c r="I817" s="136" t="str">
        <f t="shared" si="37"/>
        <v xml:space="preserve">CHAR(6) </v>
      </c>
      <c r="J817" s="169" t="s">
        <v>1</v>
      </c>
      <c r="K817" s="169" t="s">
        <v>1</v>
      </c>
      <c r="L817" s="169">
        <v>30</v>
      </c>
      <c r="M817" s="168"/>
      <c r="N817" s="168"/>
      <c r="O817" s="168"/>
      <c r="P817" s="168"/>
      <c r="Q817" s="168" t="s">
        <v>0</v>
      </c>
      <c r="R817" s="168" t="s">
        <v>1</v>
      </c>
      <c r="S817" s="178" t="str">
        <f t="shared" si="38"/>
        <v>D_ETL_INPUT_PACKAGE_LOAD_LOGINFO_SYSTEM_INST_CD</v>
      </c>
    </row>
    <row r="818" spans="1:19" ht="14.4" x14ac:dyDescent="0.3">
      <c r="A818" s="169" t="s">
        <v>1779</v>
      </c>
      <c r="B818" s="171" t="str">
        <f t="shared" si="36"/>
        <v>D_ETL_INPUT_PACKAGE_LOAD_LOG</v>
      </c>
      <c r="C818" s="169" t="s">
        <v>1446</v>
      </c>
      <c r="D818" s="169">
        <v>1463</v>
      </c>
      <c r="E818" s="169">
        <v>2</v>
      </c>
      <c r="F818" s="169" t="s">
        <v>1446</v>
      </c>
      <c r="G818" s="169" t="s">
        <v>1446</v>
      </c>
      <c r="H818" s="169">
        <v>14</v>
      </c>
      <c r="I818" s="136" t="str">
        <f t="shared" si="37"/>
        <v xml:space="preserve">CHAR(3) </v>
      </c>
      <c r="J818" s="169" t="s">
        <v>1</v>
      </c>
      <c r="K818" s="169" t="s">
        <v>1</v>
      </c>
      <c r="L818" s="169">
        <v>30</v>
      </c>
      <c r="M818" s="168"/>
      <c r="N818" s="168"/>
      <c r="O818" s="168"/>
      <c r="P818" s="168"/>
      <c r="Q818" s="168" t="s">
        <v>0</v>
      </c>
      <c r="R818" s="168" t="s">
        <v>1</v>
      </c>
      <c r="S818" s="178" t="str">
        <f t="shared" si="38"/>
        <v>D_ETL_INPUT_PACKAGE_LOAD_LOGINFO_SYSTEM_TYPE_CD</v>
      </c>
    </row>
    <row r="819" spans="1:19" ht="14.4" x14ac:dyDescent="0.3">
      <c r="A819" s="169" t="s">
        <v>1779</v>
      </c>
      <c r="B819" s="171" t="str">
        <f t="shared" si="36"/>
        <v>D_ETL_INPUT_PACKAGE_LOAD_LOG</v>
      </c>
      <c r="C819" s="169" t="s">
        <v>1783</v>
      </c>
      <c r="D819" s="169">
        <v>1464</v>
      </c>
      <c r="E819" s="169">
        <v>3</v>
      </c>
      <c r="F819" s="169" t="s">
        <v>1783</v>
      </c>
      <c r="G819" s="169" t="s">
        <v>1783</v>
      </c>
      <c r="H819" s="169">
        <v>4</v>
      </c>
      <c r="I819" s="136" t="str">
        <f t="shared" si="37"/>
        <v xml:space="preserve">CHAR(39) </v>
      </c>
      <c r="J819" s="169" t="s">
        <v>1</v>
      </c>
      <c r="K819" s="169" t="s">
        <v>0</v>
      </c>
      <c r="L819" s="169">
        <v>30</v>
      </c>
      <c r="M819" s="168"/>
      <c r="N819" s="168"/>
      <c r="O819" s="168"/>
      <c r="P819" s="168"/>
      <c r="Q819" s="168" t="s">
        <v>0</v>
      </c>
      <c r="R819" s="168" t="s">
        <v>1</v>
      </c>
      <c r="S819" s="178" t="str">
        <f t="shared" si="38"/>
        <v>D_ETL_INPUT_PACKAGE_LOAD_LOGINPUT_PACKAGE_NAME</v>
      </c>
    </row>
    <row r="820" spans="1:19" ht="14.4" x14ac:dyDescent="0.3">
      <c r="A820" s="169" t="s">
        <v>1779</v>
      </c>
      <c r="B820" s="171" t="str">
        <f t="shared" si="36"/>
        <v>D_ETL_INPUT_PACKAGE_LOAD_LOG</v>
      </c>
      <c r="C820" s="169" t="s">
        <v>1793</v>
      </c>
      <c r="D820" s="169">
        <v>1465</v>
      </c>
      <c r="E820" s="169">
        <v>4</v>
      </c>
      <c r="F820" s="169" t="s">
        <v>1793</v>
      </c>
      <c r="G820" s="169" t="s">
        <v>1793</v>
      </c>
      <c r="H820" s="169">
        <v>22</v>
      </c>
      <c r="I820" s="136" t="str">
        <f t="shared" si="37"/>
        <v>TIMESTAMP(6)</v>
      </c>
      <c r="J820" s="169" t="s">
        <v>0</v>
      </c>
      <c r="K820" s="169" t="s">
        <v>1</v>
      </c>
      <c r="L820" s="169">
        <v>30</v>
      </c>
      <c r="M820" s="168"/>
      <c r="N820" s="168"/>
      <c r="O820" s="168"/>
      <c r="P820" s="168"/>
      <c r="Q820" s="168" t="s">
        <v>0</v>
      </c>
      <c r="R820" s="168" t="s">
        <v>1</v>
      </c>
      <c r="S820" s="178" t="str">
        <f t="shared" si="38"/>
        <v>D_ETL_INPUT_PACKAGE_LOAD_LOGINPUT_PACKAGE_STTS_TS</v>
      </c>
    </row>
    <row r="821" spans="1:19" ht="14.4" x14ac:dyDescent="0.3">
      <c r="A821" s="169" t="s">
        <v>1779</v>
      </c>
      <c r="B821" s="171" t="str">
        <f t="shared" si="36"/>
        <v>D_ETL_INPUT_PACKAGE_LOAD_LOG</v>
      </c>
      <c r="C821" s="169" t="s">
        <v>1799</v>
      </c>
      <c r="D821" s="169">
        <v>1466</v>
      </c>
      <c r="E821" s="169">
        <v>5</v>
      </c>
      <c r="F821" s="169" t="s">
        <v>1799</v>
      </c>
      <c r="G821" s="169" t="s">
        <v>1799</v>
      </c>
      <c r="H821" s="169">
        <v>28</v>
      </c>
      <c r="I821" s="136" t="str">
        <f t="shared" si="37"/>
        <v xml:space="preserve">VARCHAR(8) </v>
      </c>
      <c r="J821" s="169" t="s">
        <v>0</v>
      </c>
      <c r="K821" s="169" t="s">
        <v>1</v>
      </c>
      <c r="L821" s="169">
        <v>30</v>
      </c>
      <c r="M821" s="168"/>
      <c r="N821" s="168"/>
      <c r="O821" s="168"/>
      <c r="P821" s="168"/>
      <c r="Q821" s="168" t="s">
        <v>0</v>
      </c>
      <c r="R821" s="168" t="s">
        <v>1</v>
      </c>
      <c r="S821" s="178" t="str">
        <f t="shared" si="38"/>
        <v>D_ETL_INPUT_PACKAGE_LOAD_LOGLOAD_MODULE_CD</v>
      </c>
    </row>
    <row r="822" spans="1:19" ht="14.4" x14ac:dyDescent="0.3">
      <c r="A822" s="169" t="s">
        <v>1779</v>
      </c>
      <c r="B822" s="171" t="str">
        <f t="shared" si="36"/>
        <v>D_ETL_INPUT_PACKAGE_LOAD_LOG</v>
      </c>
      <c r="C822" s="169" t="s">
        <v>1792</v>
      </c>
      <c r="D822" s="169">
        <v>1467</v>
      </c>
      <c r="E822" s="169">
        <v>6</v>
      </c>
      <c r="F822" s="169" t="s">
        <v>1792</v>
      </c>
      <c r="G822" s="169" t="s">
        <v>1792</v>
      </c>
      <c r="H822" s="169">
        <v>12</v>
      </c>
      <c r="I822" s="136" t="str">
        <f t="shared" si="37"/>
        <v xml:space="preserve">CHAR(5) </v>
      </c>
      <c r="J822" s="169" t="s">
        <v>1</v>
      </c>
      <c r="K822" s="169" t="s">
        <v>1</v>
      </c>
      <c r="L822" s="169">
        <v>30</v>
      </c>
      <c r="M822" s="168"/>
      <c r="N822" s="168"/>
      <c r="O822" s="168"/>
      <c r="P822" s="168"/>
      <c r="Q822" s="168" t="s">
        <v>0</v>
      </c>
      <c r="R822" s="168" t="s">
        <v>1</v>
      </c>
      <c r="S822" s="178" t="str">
        <f t="shared" si="38"/>
        <v>D_ETL_INPUT_PACKAGE_LOAD_LOGLOAD_STTS_CD</v>
      </c>
    </row>
    <row r="823" spans="1:19" ht="14.4" x14ac:dyDescent="0.3">
      <c r="A823" s="169" t="s">
        <v>1779</v>
      </c>
      <c r="B823" s="171" t="str">
        <f t="shared" si="36"/>
        <v>D_ETL_INPUT_PACKAGE_LOAD_LOG</v>
      </c>
      <c r="C823" s="169" t="s">
        <v>1800</v>
      </c>
      <c r="D823" s="169">
        <v>1468</v>
      </c>
      <c r="E823" s="169">
        <v>7</v>
      </c>
      <c r="F823" s="169" t="s">
        <v>1800</v>
      </c>
      <c r="G823" s="169" t="s">
        <v>1800</v>
      </c>
      <c r="H823" s="169">
        <v>7</v>
      </c>
      <c r="I823" s="136" t="str">
        <f t="shared" si="37"/>
        <v>BIGINT</v>
      </c>
      <c r="J823" s="169" t="s">
        <v>0</v>
      </c>
      <c r="K823" s="169" t="s">
        <v>1</v>
      </c>
      <c r="L823" s="169">
        <v>30</v>
      </c>
      <c r="M823" s="168"/>
      <c r="N823" s="168"/>
      <c r="O823" s="168"/>
      <c r="P823" s="168"/>
      <c r="Q823" s="168" t="s">
        <v>0</v>
      </c>
      <c r="R823" s="168" t="s">
        <v>1</v>
      </c>
      <c r="S823" s="178" t="str">
        <f t="shared" si="38"/>
        <v>D_ETL_INPUT_PACKAGE_LOAD_LOGWORKFLOW_RUN_ID</v>
      </c>
    </row>
    <row r="824" spans="1:19" ht="14.4" x14ac:dyDescent="0.3">
      <c r="A824" s="169" t="s">
        <v>328</v>
      </c>
      <c r="B824" s="171" t="str">
        <f t="shared" si="36"/>
        <v>D_EXPOSURE_ACCOUNT</v>
      </c>
      <c r="C824" s="169" t="s">
        <v>1891</v>
      </c>
      <c r="D824" s="169">
        <v>1469</v>
      </c>
      <c r="E824" s="169">
        <v>1</v>
      </c>
      <c r="F824" s="169" t="s">
        <v>1891</v>
      </c>
      <c r="G824" s="169" t="s">
        <v>1891</v>
      </c>
      <c r="H824" s="169">
        <v>39</v>
      </c>
      <c r="I824" s="136" t="str">
        <f t="shared" si="37"/>
        <v xml:space="preserve">VARCHAR(512) </v>
      </c>
      <c r="J824" s="169" t="s">
        <v>0</v>
      </c>
      <c r="K824" s="169" t="s">
        <v>1</v>
      </c>
      <c r="L824" s="169">
        <v>30</v>
      </c>
      <c r="M824" s="168"/>
      <c r="N824" s="168"/>
      <c r="O824" s="168"/>
      <c r="P824" s="168"/>
      <c r="Q824" s="168" t="s">
        <v>0</v>
      </c>
      <c r="R824" s="168" t="s">
        <v>1</v>
      </c>
      <c r="S824" s="178" t="str">
        <f t="shared" si="38"/>
        <v>D_EXPOSURE_ACCOUNTCONTRACT_NUMBER</v>
      </c>
    </row>
    <row r="825" spans="1:19" ht="14.4" x14ac:dyDescent="0.3">
      <c r="A825" s="169" t="s">
        <v>328</v>
      </c>
      <c r="B825" s="171" t="str">
        <f t="shared" si="36"/>
        <v>D_EXPOSURE_ACCOUNT</v>
      </c>
      <c r="C825" s="169" t="s">
        <v>1870</v>
      </c>
      <c r="D825" s="169">
        <v>1470</v>
      </c>
      <c r="E825" s="169">
        <v>2</v>
      </c>
      <c r="F825" s="169" t="s">
        <v>1870</v>
      </c>
      <c r="G825" s="169" t="s">
        <v>1870</v>
      </c>
      <c r="H825" s="169">
        <v>45</v>
      </c>
      <c r="I825" s="136" t="str">
        <f t="shared" si="37"/>
        <v>DECIMAL(15, 0)</v>
      </c>
      <c r="J825" s="169" t="s">
        <v>0</v>
      </c>
      <c r="K825" s="169" t="s">
        <v>1</v>
      </c>
      <c r="L825" s="169">
        <v>30</v>
      </c>
      <c r="M825" s="168"/>
      <c r="N825" s="168"/>
      <c r="O825" s="168"/>
      <c r="P825" s="168"/>
      <c r="Q825" s="168" t="s">
        <v>0</v>
      </c>
      <c r="R825" s="168" t="s">
        <v>1</v>
      </c>
      <c r="S825" s="178" t="str">
        <f t="shared" si="38"/>
        <v>D_EXPOSURE_ACCOUNTCOUNTERPARTY_RK</v>
      </c>
    </row>
    <row r="826" spans="1:19" ht="14.4" x14ac:dyDescent="0.3">
      <c r="A826" s="169" t="s">
        <v>328</v>
      </c>
      <c r="B826" s="171" t="str">
        <f t="shared" si="36"/>
        <v>D_EXPOSURE_ACCOUNT</v>
      </c>
      <c r="C826" s="169" t="s">
        <v>1892</v>
      </c>
      <c r="D826" s="169">
        <v>1471</v>
      </c>
      <c r="E826" s="169">
        <v>3</v>
      </c>
      <c r="F826" s="169" t="s">
        <v>1892</v>
      </c>
      <c r="G826" s="169" t="s">
        <v>1892</v>
      </c>
      <c r="H826" s="169">
        <v>14</v>
      </c>
      <c r="I826" s="136" t="str">
        <f t="shared" si="37"/>
        <v xml:space="preserve">CHAR(3) </v>
      </c>
      <c r="J826" s="169" t="s">
        <v>0</v>
      </c>
      <c r="K826" s="169" t="s">
        <v>1</v>
      </c>
      <c r="L826" s="169">
        <v>30</v>
      </c>
      <c r="M826" s="168"/>
      <c r="N826" s="168"/>
      <c r="O826" s="168"/>
      <c r="P826" s="168"/>
      <c r="Q826" s="168" t="s">
        <v>0</v>
      </c>
      <c r="R826" s="168" t="s">
        <v>1</v>
      </c>
      <c r="S826" s="178" t="str">
        <f t="shared" si="38"/>
        <v>D_EXPOSURE_ACCOUNTCURRENCY</v>
      </c>
    </row>
    <row r="827" spans="1:19" ht="14.4" x14ac:dyDescent="0.3">
      <c r="A827" s="169" t="s">
        <v>328</v>
      </c>
      <c r="B827" s="171" t="str">
        <f t="shared" si="36"/>
        <v>D_EXPOSURE_ACCOUNT</v>
      </c>
      <c r="C827" s="169" t="s">
        <v>1893</v>
      </c>
      <c r="D827" s="169">
        <v>1472</v>
      </c>
      <c r="E827" s="169">
        <v>4</v>
      </c>
      <c r="F827" s="169" t="s">
        <v>1893</v>
      </c>
      <c r="G827" s="169" t="s">
        <v>1893</v>
      </c>
      <c r="H827" s="169">
        <v>14</v>
      </c>
      <c r="I827" s="136" t="str">
        <f t="shared" si="37"/>
        <v xml:space="preserve">CHAR(3) </v>
      </c>
      <c r="J827" s="169" t="s">
        <v>0</v>
      </c>
      <c r="K827" s="169" t="s">
        <v>1</v>
      </c>
      <c r="L827" s="169">
        <v>30</v>
      </c>
      <c r="M827" s="168"/>
      <c r="N827" s="168"/>
      <c r="O827" s="168"/>
      <c r="P827" s="168"/>
      <c r="Q827" s="168" t="s">
        <v>0</v>
      </c>
      <c r="R827" s="168" t="s">
        <v>1</v>
      </c>
      <c r="S827" s="178" t="str">
        <f t="shared" si="38"/>
        <v>D_EXPOSURE_ACCOUNTCURRENCY_ACT</v>
      </c>
    </row>
    <row r="828" spans="1:19" ht="14.4" x14ac:dyDescent="0.3">
      <c r="A828" s="169" t="s">
        <v>328</v>
      </c>
      <c r="B828" s="171" t="str">
        <f t="shared" si="36"/>
        <v>D_EXPOSURE_ACCOUNT</v>
      </c>
      <c r="C828" s="169" t="s">
        <v>1894</v>
      </c>
      <c r="D828" s="169">
        <v>1473</v>
      </c>
      <c r="E828" s="169">
        <v>5</v>
      </c>
      <c r="F828" s="169" t="s">
        <v>1894</v>
      </c>
      <c r="G828" s="169" t="s">
        <v>1894</v>
      </c>
      <c r="H828" s="169">
        <v>40</v>
      </c>
      <c r="I828" s="136" t="str">
        <f t="shared" si="37"/>
        <v>DECIMAL(26, 4)</v>
      </c>
      <c r="J828" s="169" t="s">
        <v>0</v>
      </c>
      <c r="K828" s="169" t="s">
        <v>1</v>
      </c>
      <c r="L828" s="169">
        <v>30</v>
      </c>
      <c r="M828" s="168"/>
      <c r="N828" s="168"/>
      <c r="O828" s="168"/>
      <c r="P828" s="168"/>
      <c r="Q828" s="168" t="s">
        <v>0</v>
      </c>
      <c r="R828" s="168" t="s">
        <v>1</v>
      </c>
      <c r="S828" s="178" t="str">
        <f t="shared" si="38"/>
        <v>D_EXPOSURE_ACCOUNTEAD_NOCCF</v>
      </c>
    </row>
    <row r="829" spans="1:19" ht="14.4" x14ac:dyDescent="0.3">
      <c r="A829" s="169" t="s">
        <v>328</v>
      </c>
      <c r="B829" s="171" t="str">
        <f t="shared" si="36"/>
        <v>D_EXPOSURE_ACCOUNT</v>
      </c>
      <c r="C829" s="169" t="s">
        <v>1895</v>
      </c>
      <c r="D829" s="169">
        <v>1474</v>
      </c>
      <c r="E829" s="169">
        <v>6</v>
      </c>
      <c r="F829" s="169" t="s">
        <v>1895</v>
      </c>
      <c r="G829" s="169" t="s">
        <v>1895</v>
      </c>
      <c r="H829" s="169">
        <v>40</v>
      </c>
      <c r="I829" s="136" t="str">
        <f t="shared" si="37"/>
        <v>DECIMAL(26, 4)</v>
      </c>
      <c r="J829" s="169" t="s">
        <v>0</v>
      </c>
      <c r="K829" s="169" t="s">
        <v>1</v>
      </c>
      <c r="L829" s="169">
        <v>30</v>
      </c>
      <c r="M829" s="168"/>
      <c r="N829" s="168"/>
      <c r="O829" s="168"/>
      <c r="P829" s="168"/>
      <c r="Q829" s="168" t="s">
        <v>0</v>
      </c>
      <c r="R829" s="168" t="s">
        <v>1</v>
      </c>
      <c r="S829" s="178" t="str">
        <f t="shared" si="38"/>
        <v>D_EXPOSURE_ACCOUNTEAD_NOCCF_ACT_CUR</v>
      </c>
    </row>
    <row r="830" spans="1:19" ht="14.4" x14ac:dyDescent="0.3">
      <c r="A830" s="169" t="s">
        <v>328</v>
      </c>
      <c r="B830" s="171" t="str">
        <f t="shared" si="36"/>
        <v>D_EXPOSURE_ACCOUNT</v>
      </c>
      <c r="C830" s="169" t="s">
        <v>1896</v>
      </c>
      <c r="D830" s="169">
        <v>1475</v>
      </c>
      <c r="E830" s="169">
        <v>7</v>
      </c>
      <c r="F830" s="169" t="s">
        <v>1896</v>
      </c>
      <c r="G830" s="169" t="s">
        <v>1896</v>
      </c>
      <c r="H830" s="169">
        <v>50</v>
      </c>
      <c r="I830" s="136" t="str">
        <f t="shared" si="37"/>
        <v xml:space="preserve">VARCHAR(20) </v>
      </c>
      <c r="J830" s="169" t="s">
        <v>0</v>
      </c>
      <c r="K830" s="169" t="s">
        <v>1</v>
      </c>
      <c r="L830" s="169">
        <v>30</v>
      </c>
      <c r="M830" s="168"/>
      <c r="N830" s="168"/>
      <c r="O830" s="168"/>
      <c r="P830" s="168"/>
      <c r="Q830" s="168" t="s">
        <v>0</v>
      </c>
      <c r="R830" s="168" t="s">
        <v>1</v>
      </c>
      <c r="S830" s="178" t="str">
        <f t="shared" si="38"/>
        <v>D_EXPOSURE_ACCOUNTEXPOSURE_FACILITY_REF</v>
      </c>
    </row>
    <row r="831" spans="1:19" ht="14.4" x14ac:dyDescent="0.3">
      <c r="A831" s="169" t="s">
        <v>328</v>
      </c>
      <c r="B831" s="171" t="str">
        <f t="shared" si="36"/>
        <v>D_EXPOSURE_ACCOUNT</v>
      </c>
      <c r="C831" s="169" t="s">
        <v>1875</v>
      </c>
      <c r="D831" s="169">
        <v>1476</v>
      </c>
      <c r="E831" s="169">
        <v>8</v>
      </c>
      <c r="F831" s="169" t="s">
        <v>1875</v>
      </c>
      <c r="G831" s="169" t="s">
        <v>1875</v>
      </c>
      <c r="H831" s="169">
        <v>22</v>
      </c>
      <c r="I831" s="136" t="str">
        <f t="shared" si="37"/>
        <v>TIMESTAMP(6)</v>
      </c>
      <c r="J831" s="169" t="s">
        <v>1</v>
      </c>
      <c r="K831" s="169" t="s">
        <v>0</v>
      </c>
      <c r="L831" s="169">
        <v>30</v>
      </c>
      <c r="M831" s="168"/>
      <c r="N831" s="168"/>
      <c r="O831" s="168"/>
      <c r="P831" s="168"/>
      <c r="Q831" s="168" t="s">
        <v>0</v>
      </c>
      <c r="R831" s="168" t="s">
        <v>1</v>
      </c>
      <c r="S831" s="178" t="str">
        <f t="shared" si="38"/>
        <v>D_EXPOSURE_ACCOUNTEXTRACTION_TS</v>
      </c>
    </row>
    <row r="832" spans="1:19" ht="14.4" x14ac:dyDescent="0.3">
      <c r="A832" s="169" t="s">
        <v>328</v>
      </c>
      <c r="B832" s="171" t="str">
        <f t="shared" si="36"/>
        <v>D_EXPOSURE_ACCOUNT</v>
      </c>
      <c r="C832" s="169" t="s">
        <v>1897</v>
      </c>
      <c r="D832" s="169">
        <v>1477</v>
      </c>
      <c r="E832" s="169">
        <v>9</v>
      </c>
      <c r="F832" s="169" t="s">
        <v>1897</v>
      </c>
      <c r="G832" s="169" t="s">
        <v>1897</v>
      </c>
      <c r="H832" s="169">
        <v>50</v>
      </c>
      <c r="I832" s="136" t="str">
        <f t="shared" si="37"/>
        <v xml:space="preserve">VARCHAR(20) </v>
      </c>
      <c r="J832" s="169" t="s">
        <v>0</v>
      </c>
      <c r="K832" s="169" t="s">
        <v>1</v>
      </c>
      <c r="L832" s="169">
        <v>30</v>
      </c>
      <c r="M832" s="168"/>
      <c r="N832" s="168"/>
      <c r="O832" s="168"/>
      <c r="P832" s="168"/>
      <c r="Q832" s="168" t="s">
        <v>0</v>
      </c>
      <c r="R832" s="168" t="s">
        <v>1</v>
      </c>
      <c r="S832" s="178" t="str">
        <f t="shared" si="38"/>
        <v>D_EXPOSURE_ACCOUNTINSTID</v>
      </c>
    </row>
    <row r="833" spans="1:19" ht="14.4" x14ac:dyDescent="0.3">
      <c r="A833" s="169" t="s">
        <v>328</v>
      </c>
      <c r="B833" s="171" t="str">
        <f t="shared" si="36"/>
        <v>D_EXPOSURE_ACCOUNT</v>
      </c>
      <c r="C833" s="169" t="s">
        <v>1898</v>
      </c>
      <c r="D833" s="169">
        <v>1478</v>
      </c>
      <c r="E833" s="169">
        <v>10</v>
      </c>
      <c r="F833" s="169" t="s">
        <v>1898</v>
      </c>
      <c r="G833" s="169" t="s">
        <v>1898</v>
      </c>
      <c r="H833" s="169">
        <v>45</v>
      </c>
      <c r="I833" s="136" t="str">
        <f t="shared" si="37"/>
        <v>DECIMAL(15, 0)</v>
      </c>
      <c r="J833" s="169" t="s">
        <v>0</v>
      </c>
      <c r="K833" s="169" t="s">
        <v>1</v>
      </c>
      <c r="L833" s="169">
        <v>30</v>
      </c>
      <c r="M833" s="168"/>
      <c r="N833" s="168"/>
      <c r="O833" s="168"/>
      <c r="P833" s="168"/>
      <c r="Q833" s="168" t="s">
        <v>0</v>
      </c>
      <c r="R833" s="168" t="s">
        <v>1</v>
      </c>
      <c r="S833" s="178" t="str">
        <f t="shared" si="38"/>
        <v>D_EXPOSURE_ACCOUNTINTERNAL_ORG_RK</v>
      </c>
    </row>
    <row r="834" spans="1:19" ht="14.4" x14ac:dyDescent="0.3">
      <c r="A834" s="169" t="s">
        <v>328</v>
      </c>
      <c r="B834" s="171" t="str">
        <f t="shared" ref="B834:B897" si="39">IF(NOT(ISBLANK(A834)),VLOOKUP(A834,ERM_TABLE_NM,2,FALSE), "")</f>
        <v>D_EXPOSURE_ACCOUNT</v>
      </c>
      <c r="C834" s="169" t="s">
        <v>1890</v>
      </c>
      <c r="D834" s="169">
        <v>1479</v>
      </c>
      <c r="E834" s="169">
        <v>11</v>
      </c>
      <c r="F834" s="169" t="s">
        <v>1890</v>
      </c>
      <c r="G834" s="169" t="s">
        <v>1890</v>
      </c>
      <c r="H834" s="169">
        <v>9</v>
      </c>
      <c r="I834" s="136" t="str">
        <f t="shared" ref="I834:I897" si="40">IF(NOT(ISBLANK(H834)),VLOOKUP(H834,ERM_DOMAIN_NM,2,FALSE), "")</f>
        <v xml:space="preserve">CHAR(32) </v>
      </c>
      <c r="J834" s="169" t="s">
        <v>0</v>
      </c>
      <c r="K834" s="169" t="s">
        <v>0</v>
      </c>
      <c r="L834" s="169">
        <v>30</v>
      </c>
      <c r="M834" s="168"/>
      <c r="N834" s="168"/>
      <c r="O834" s="168"/>
      <c r="P834" s="168"/>
      <c r="Q834" s="168" t="s">
        <v>0</v>
      </c>
      <c r="R834" s="168" t="s">
        <v>1</v>
      </c>
      <c r="S834" s="178" t="str">
        <f t="shared" si="38"/>
        <v>D_EXPOSURE_ACCOUNTISSUE_KEY</v>
      </c>
    </row>
    <row r="835" spans="1:19" ht="14.4" x14ac:dyDescent="0.3">
      <c r="A835" s="169" t="s">
        <v>328</v>
      </c>
      <c r="B835" s="171" t="str">
        <f t="shared" si="39"/>
        <v>D_EXPOSURE_ACCOUNT</v>
      </c>
      <c r="C835" s="169" t="s">
        <v>1899</v>
      </c>
      <c r="D835" s="169">
        <v>1480</v>
      </c>
      <c r="E835" s="169">
        <v>12</v>
      </c>
      <c r="F835" s="169" t="s">
        <v>1899</v>
      </c>
      <c r="G835" s="169" t="s">
        <v>1899</v>
      </c>
      <c r="H835" s="169">
        <v>32</v>
      </c>
      <c r="I835" s="136" t="str">
        <f t="shared" si="40"/>
        <v>BYTEINT</v>
      </c>
      <c r="J835" s="169" t="s">
        <v>0</v>
      </c>
      <c r="K835" s="169" t="s">
        <v>1</v>
      </c>
      <c r="L835" s="169">
        <v>30</v>
      </c>
      <c r="M835" s="168"/>
      <c r="N835" s="168"/>
      <c r="O835" s="168"/>
      <c r="P835" s="168"/>
      <c r="Q835" s="168" t="s">
        <v>0</v>
      </c>
      <c r="R835" s="168" t="s">
        <v>1</v>
      </c>
      <c r="S835" s="178" t="str">
        <f t="shared" ref="S835:S898" si="41">CONCATENATE(A835,C835)</f>
        <v>D_EXPOSURE_ACCOUNTMIN_MATURITY_FLAG</v>
      </c>
    </row>
    <row r="836" spans="1:19" ht="14.4" x14ac:dyDescent="0.3">
      <c r="A836" s="169" t="s">
        <v>328</v>
      </c>
      <c r="B836" s="171" t="str">
        <f t="shared" si="39"/>
        <v>D_EXPOSURE_ACCOUNT</v>
      </c>
      <c r="C836" s="169" t="s">
        <v>440</v>
      </c>
      <c r="D836" s="169">
        <v>1481</v>
      </c>
      <c r="E836" s="169">
        <v>13</v>
      </c>
      <c r="F836" s="169" t="s">
        <v>440</v>
      </c>
      <c r="G836" s="169" t="s">
        <v>440</v>
      </c>
      <c r="H836" s="169">
        <v>22</v>
      </c>
      <c r="I836" s="136" t="str">
        <f t="shared" si="40"/>
        <v>TIMESTAMP(6)</v>
      </c>
      <c r="J836" s="169" t="s">
        <v>1</v>
      </c>
      <c r="K836" s="169" t="s">
        <v>1</v>
      </c>
      <c r="L836" s="169">
        <v>30</v>
      </c>
      <c r="M836" s="168"/>
      <c r="N836" s="168"/>
      <c r="O836" s="168"/>
      <c r="P836" s="168"/>
      <c r="Q836" s="168" t="s">
        <v>0</v>
      </c>
      <c r="R836" s="168" t="s">
        <v>1</v>
      </c>
      <c r="S836" s="178" t="str">
        <f t="shared" si="41"/>
        <v>D_EXPOSURE_ACCOUNTRECORD_CREATE_TS</v>
      </c>
    </row>
    <row r="837" spans="1:19" ht="14.4" x14ac:dyDescent="0.3">
      <c r="A837" s="169" t="s">
        <v>328</v>
      </c>
      <c r="B837" s="171" t="str">
        <f t="shared" si="39"/>
        <v>D_EXPOSURE_ACCOUNT</v>
      </c>
      <c r="C837" s="169" t="s">
        <v>429</v>
      </c>
      <c r="D837" s="169">
        <v>1482</v>
      </c>
      <c r="E837" s="169">
        <v>14</v>
      </c>
      <c r="F837" s="169" t="s">
        <v>429</v>
      </c>
      <c r="G837" s="169" t="s">
        <v>429</v>
      </c>
      <c r="H837" s="169">
        <v>22</v>
      </c>
      <c r="I837" s="136" t="str">
        <f t="shared" si="40"/>
        <v>TIMESTAMP(6)</v>
      </c>
      <c r="J837" s="169" t="s">
        <v>1</v>
      </c>
      <c r="K837" s="169" t="s">
        <v>1</v>
      </c>
      <c r="L837" s="169">
        <v>30</v>
      </c>
      <c r="M837" s="168"/>
      <c r="N837" s="168"/>
      <c r="O837" s="168"/>
      <c r="P837" s="168"/>
      <c r="Q837" s="168" t="s">
        <v>0</v>
      </c>
      <c r="R837" s="168" t="s">
        <v>1</v>
      </c>
      <c r="S837" s="178" t="str">
        <f t="shared" si="41"/>
        <v>D_EXPOSURE_ACCOUNTRECORD_UPDATE_TS</v>
      </c>
    </row>
    <row r="838" spans="1:19" ht="14.4" x14ac:dyDescent="0.3">
      <c r="A838" s="169" t="s">
        <v>328</v>
      </c>
      <c r="B838" s="171" t="str">
        <f t="shared" si="39"/>
        <v>D_EXPOSURE_ACCOUNT</v>
      </c>
      <c r="C838" s="169" t="s">
        <v>498</v>
      </c>
      <c r="D838" s="169">
        <v>1483</v>
      </c>
      <c r="E838" s="169">
        <v>15</v>
      </c>
      <c r="F838" s="169" t="s">
        <v>498</v>
      </c>
      <c r="G838" s="169" t="s">
        <v>498</v>
      </c>
      <c r="H838" s="169">
        <v>7</v>
      </c>
      <c r="I838" s="136" t="str">
        <f t="shared" si="40"/>
        <v>BIGINT</v>
      </c>
      <c r="J838" s="169" t="s">
        <v>0</v>
      </c>
      <c r="K838" s="169" t="s">
        <v>0</v>
      </c>
      <c r="L838" s="169">
        <v>30</v>
      </c>
      <c r="M838" s="168"/>
      <c r="N838" s="168"/>
      <c r="O838" s="168"/>
      <c r="P838" s="168"/>
      <c r="Q838" s="168" t="s">
        <v>0</v>
      </c>
      <c r="R838" s="168" t="s">
        <v>1</v>
      </c>
      <c r="S838" s="178" t="str">
        <f t="shared" si="41"/>
        <v>D_EXPOSURE_ACCOUNTRUN_ID</v>
      </c>
    </row>
    <row r="839" spans="1:19" ht="14.4" x14ac:dyDescent="0.3">
      <c r="A839" s="169" t="s">
        <v>328</v>
      </c>
      <c r="B839" s="171" t="str">
        <f t="shared" si="39"/>
        <v>D_EXPOSURE_ACCOUNT</v>
      </c>
      <c r="C839" s="169" t="s">
        <v>1887</v>
      </c>
      <c r="D839" s="169">
        <v>1484</v>
      </c>
      <c r="E839" s="169">
        <v>16</v>
      </c>
      <c r="F839" s="169" t="s">
        <v>1887</v>
      </c>
      <c r="G839" s="169" t="s">
        <v>1887</v>
      </c>
      <c r="H839" s="169">
        <v>34</v>
      </c>
      <c r="I839" s="136" t="str">
        <f t="shared" si="40"/>
        <v>DATE</v>
      </c>
      <c r="J839" s="169" t="s">
        <v>0</v>
      </c>
      <c r="K839" s="169" t="s">
        <v>0</v>
      </c>
      <c r="L839" s="169">
        <v>30</v>
      </c>
      <c r="M839" s="168"/>
      <c r="N839" s="168"/>
      <c r="O839" s="168"/>
      <c r="P839" s="168"/>
      <c r="Q839" s="168" t="s">
        <v>0</v>
      </c>
      <c r="R839" s="168" t="s">
        <v>1</v>
      </c>
      <c r="S839" s="178" t="str">
        <f t="shared" si="41"/>
        <v>D_EXPOSURE_ACCOUNTVALIDITY_DATE</v>
      </c>
    </row>
    <row r="840" spans="1:19" ht="14.4" x14ac:dyDescent="0.3">
      <c r="A840" s="169" t="s">
        <v>331</v>
      </c>
      <c r="B840" s="171" t="str">
        <f t="shared" si="39"/>
        <v>D_EXPOSURE_FACILITY</v>
      </c>
      <c r="C840" s="169" t="s">
        <v>1891</v>
      </c>
      <c r="D840" s="169">
        <v>397</v>
      </c>
      <c r="E840" s="169">
        <v>1</v>
      </c>
      <c r="F840" s="169" t="s">
        <v>1891</v>
      </c>
      <c r="G840" s="169" t="s">
        <v>1891</v>
      </c>
      <c r="H840" s="169">
        <v>39</v>
      </c>
      <c r="I840" s="136" t="str">
        <f t="shared" si="40"/>
        <v xml:space="preserve">VARCHAR(512) </v>
      </c>
      <c r="J840" s="169" t="s">
        <v>0</v>
      </c>
      <c r="K840" s="169" t="s">
        <v>1</v>
      </c>
      <c r="L840" s="169">
        <v>30</v>
      </c>
      <c r="M840" s="168"/>
      <c r="N840" s="168"/>
      <c r="O840" s="168"/>
      <c r="P840" s="168"/>
      <c r="Q840" s="168" t="s">
        <v>0</v>
      </c>
      <c r="R840" s="168" t="s">
        <v>1</v>
      </c>
      <c r="S840" s="178" t="str">
        <f t="shared" si="41"/>
        <v>D_EXPOSURE_FACILITYCONTRACT_NUMBER</v>
      </c>
    </row>
    <row r="841" spans="1:19" ht="14.4" x14ac:dyDescent="0.3">
      <c r="A841" s="169" t="s">
        <v>331</v>
      </c>
      <c r="B841" s="171" t="str">
        <f t="shared" si="39"/>
        <v>D_EXPOSURE_FACILITY</v>
      </c>
      <c r="C841" s="169" t="s">
        <v>1870</v>
      </c>
      <c r="D841" s="169">
        <v>398</v>
      </c>
      <c r="E841" s="169">
        <v>2</v>
      </c>
      <c r="F841" s="169" t="s">
        <v>1870</v>
      </c>
      <c r="G841" s="169" t="s">
        <v>1870</v>
      </c>
      <c r="H841" s="169">
        <v>45</v>
      </c>
      <c r="I841" s="136" t="str">
        <f t="shared" si="40"/>
        <v>DECIMAL(15, 0)</v>
      </c>
      <c r="J841" s="169" t="s">
        <v>0</v>
      </c>
      <c r="K841" s="169" t="s">
        <v>1</v>
      </c>
      <c r="L841" s="169">
        <v>30</v>
      </c>
      <c r="M841" s="168"/>
      <c r="N841" s="168"/>
      <c r="O841" s="168"/>
      <c r="P841" s="168"/>
      <c r="Q841" s="168" t="s">
        <v>0</v>
      </c>
      <c r="R841" s="168" t="s">
        <v>1</v>
      </c>
      <c r="S841" s="178" t="str">
        <f t="shared" si="41"/>
        <v>D_EXPOSURE_FACILITYCOUNTERPARTY_RK</v>
      </c>
    </row>
    <row r="842" spans="1:19" ht="14.4" x14ac:dyDescent="0.3">
      <c r="A842" s="169" t="s">
        <v>331</v>
      </c>
      <c r="B842" s="171" t="str">
        <f t="shared" si="39"/>
        <v>D_EXPOSURE_FACILITY</v>
      </c>
      <c r="C842" s="169" t="s">
        <v>1892</v>
      </c>
      <c r="D842" s="169">
        <v>399</v>
      </c>
      <c r="E842" s="169">
        <v>3</v>
      </c>
      <c r="F842" s="169" t="s">
        <v>1892</v>
      </c>
      <c r="G842" s="169" t="s">
        <v>1892</v>
      </c>
      <c r="H842" s="169">
        <v>14</v>
      </c>
      <c r="I842" s="136" t="str">
        <f t="shared" si="40"/>
        <v xml:space="preserve">CHAR(3) </v>
      </c>
      <c r="J842" s="169" t="s">
        <v>0</v>
      </c>
      <c r="K842" s="169" t="s">
        <v>1</v>
      </c>
      <c r="L842" s="169">
        <v>30</v>
      </c>
      <c r="M842" s="168"/>
      <c r="N842" s="168"/>
      <c r="O842" s="168"/>
      <c r="P842" s="168"/>
      <c r="Q842" s="168" t="s">
        <v>0</v>
      </c>
      <c r="R842" s="168" t="s">
        <v>1</v>
      </c>
      <c r="S842" s="178" t="str">
        <f t="shared" si="41"/>
        <v>D_EXPOSURE_FACILITYCURRENCY</v>
      </c>
    </row>
    <row r="843" spans="1:19" ht="14.4" x14ac:dyDescent="0.3">
      <c r="A843" s="169" t="s">
        <v>331</v>
      </c>
      <c r="B843" s="171" t="str">
        <f t="shared" si="39"/>
        <v>D_EXPOSURE_FACILITY</v>
      </c>
      <c r="C843" s="169" t="s">
        <v>1893</v>
      </c>
      <c r="D843" s="169">
        <v>400</v>
      </c>
      <c r="E843" s="169">
        <v>4</v>
      </c>
      <c r="F843" s="169" t="s">
        <v>1893</v>
      </c>
      <c r="G843" s="169" t="s">
        <v>1893</v>
      </c>
      <c r="H843" s="169">
        <v>14</v>
      </c>
      <c r="I843" s="136" t="str">
        <f t="shared" si="40"/>
        <v xml:space="preserve">CHAR(3) </v>
      </c>
      <c r="J843" s="169" t="s">
        <v>0</v>
      </c>
      <c r="K843" s="169" t="s">
        <v>1</v>
      </c>
      <c r="L843" s="169">
        <v>30</v>
      </c>
      <c r="M843" s="168"/>
      <c r="N843" s="168"/>
      <c r="O843" s="168"/>
      <c r="P843" s="168"/>
      <c r="Q843" s="168" t="s">
        <v>0</v>
      </c>
      <c r="R843" s="168" t="s">
        <v>1</v>
      </c>
      <c r="S843" s="178" t="str">
        <f t="shared" si="41"/>
        <v>D_EXPOSURE_FACILITYCURRENCY_ACT</v>
      </c>
    </row>
    <row r="844" spans="1:19" ht="14.4" x14ac:dyDescent="0.3">
      <c r="A844" s="169" t="s">
        <v>331</v>
      </c>
      <c r="B844" s="171" t="str">
        <f t="shared" si="39"/>
        <v>D_EXPOSURE_FACILITY</v>
      </c>
      <c r="C844" s="169" t="s">
        <v>1894</v>
      </c>
      <c r="D844" s="169">
        <v>401</v>
      </c>
      <c r="E844" s="169">
        <v>5</v>
      </c>
      <c r="F844" s="169" t="s">
        <v>1894</v>
      </c>
      <c r="G844" s="169" t="s">
        <v>1894</v>
      </c>
      <c r="H844" s="169">
        <v>40</v>
      </c>
      <c r="I844" s="136" t="str">
        <f t="shared" si="40"/>
        <v>DECIMAL(26, 4)</v>
      </c>
      <c r="J844" s="169" t="s">
        <v>0</v>
      </c>
      <c r="K844" s="169" t="s">
        <v>1</v>
      </c>
      <c r="L844" s="169">
        <v>30</v>
      </c>
      <c r="M844" s="168"/>
      <c r="N844" s="168"/>
      <c r="O844" s="168"/>
      <c r="P844" s="168"/>
      <c r="Q844" s="168" t="s">
        <v>0</v>
      </c>
      <c r="R844" s="168" t="s">
        <v>1</v>
      </c>
      <c r="S844" s="178" t="str">
        <f t="shared" si="41"/>
        <v>D_EXPOSURE_FACILITYEAD_NOCCF</v>
      </c>
    </row>
    <row r="845" spans="1:19" ht="14.4" x14ac:dyDescent="0.3">
      <c r="A845" s="169" t="s">
        <v>331</v>
      </c>
      <c r="B845" s="171" t="str">
        <f t="shared" si="39"/>
        <v>D_EXPOSURE_FACILITY</v>
      </c>
      <c r="C845" s="169" t="s">
        <v>1895</v>
      </c>
      <c r="D845" s="169">
        <v>402</v>
      </c>
      <c r="E845" s="169">
        <v>6</v>
      </c>
      <c r="F845" s="169" t="s">
        <v>1895</v>
      </c>
      <c r="G845" s="169" t="s">
        <v>1895</v>
      </c>
      <c r="H845" s="169">
        <v>40</v>
      </c>
      <c r="I845" s="136" t="str">
        <f t="shared" si="40"/>
        <v>DECIMAL(26, 4)</v>
      </c>
      <c r="J845" s="169" t="s">
        <v>0</v>
      </c>
      <c r="K845" s="169" t="s">
        <v>1</v>
      </c>
      <c r="L845" s="169">
        <v>30</v>
      </c>
      <c r="M845" s="168"/>
      <c r="N845" s="168"/>
      <c r="O845" s="168"/>
      <c r="P845" s="168"/>
      <c r="Q845" s="168" t="s">
        <v>0</v>
      </c>
      <c r="R845" s="168" t="s">
        <v>1</v>
      </c>
      <c r="S845" s="178" t="str">
        <f t="shared" si="41"/>
        <v>D_EXPOSURE_FACILITYEAD_NOCCF_ACT_CUR</v>
      </c>
    </row>
    <row r="846" spans="1:19" ht="14.4" x14ac:dyDescent="0.3">
      <c r="A846" s="169" t="s">
        <v>331</v>
      </c>
      <c r="B846" s="171" t="str">
        <f t="shared" si="39"/>
        <v>D_EXPOSURE_FACILITY</v>
      </c>
      <c r="C846" s="169" t="s">
        <v>1875</v>
      </c>
      <c r="D846" s="169">
        <v>403</v>
      </c>
      <c r="E846" s="169">
        <v>7</v>
      </c>
      <c r="F846" s="169" t="s">
        <v>1875</v>
      </c>
      <c r="G846" s="169" t="s">
        <v>1875</v>
      </c>
      <c r="H846" s="169">
        <v>22</v>
      </c>
      <c r="I846" s="136" t="str">
        <f t="shared" si="40"/>
        <v>TIMESTAMP(6)</v>
      </c>
      <c r="J846" s="169" t="s">
        <v>1</v>
      </c>
      <c r="K846" s="169" t="s">
        <v>0</v>
      </c>
      <c r="L846" s="169">
        <v>30</v>
      </c>
      <c r="M846" s="168"/>
      <c r="N846" s="168"/>
      <c r="O846" s="168"/>
      <c r="P846" s="168"/>
      <c r="Q846" s="168" t="s">
        <v>0</v>
      </c>
      <c r="R846" s="168" t="s">
        <v>1</v>
      </c>
      <c r="S846" s="178" t="str">
        <f t="shared" si="41"/>
        <v>D_EXPOSURE_FACILITYEXTRACTION_TS</v>
      </c>
    </row>
    <row r="847" spans="1:19" ht="14.4" x14ac:dyDescent="0.3">
      <c r="A847" s="169" t="s">
        <v>331</v>
      </c>
      <c r="B847" s="171" t="str">
        <f t="shared" si="39"/>
        <v>D_EXPOSURE_FACILITY</v>
      </c>
      <c r="C847" s="169" t="s">
        <v>1897</v>
      </c>
      <c r="D847" s="169">
        <v>404</v>
      </c>
      <c r="E847" s="169">
        <v>8</v>
      </c>
      <c r="F847" s="169" t="s">
        <v>1897</v>
      </c>
      <c r="G847" s="169" t="s">
        <v>1897</v>
      </c>
      <c r="H847" s="169">
        <v>50</v>
      </c>
      <c r="I847" s="136" t="str">
        <f t="shared" si="40"/>
        <v xml:space="preserve">VARCHAR(20) </v>
      </c>
      <c r="J847" s="169" t="s">
        <v>0</v>
      </c>
      <c r="K847" s="169" t="s">
        <v>1</v>
      </c>
      <c r="L847" s="169">
        <v>30</v>
      </c>
      <c r="M847" s="168"/>
      <c r="N847" s="168"/>
      <c r="O847" s="168"/>
      <c r="P847" s="168"/>
      <c r="Q847" s="168" t="s">
        <v>0</v>
      </c>
      <c r="R847" s="168" t="s">
        <v>1</v>
      </c>
      <c r="S847" s="178" t="str">
        <f t="shared" si="41"/>
        <v>D_EXPOSURE_FACILITYINSTID</v>
      </c>
    </row>
    <row r="848" spans="1:19" ht="14.4" x14ac:dyDescent="0.3">
      <c r="A848" s="169" t="s">
        <v>331</v>
      </c>
      <c r="B848" s="171" t="str">
        <f t="shared" si="39"/>
        <v>D_EXPOSURE_FACILITY</v>
      </c>
      <c r="C848" s="169" t="s">
        <v>1898</v>
      </c>
      <c r="D848" s="169">
        <v>405</v>
      </c>
      <c r="E848" s="169">
        <v>9</v>
      </c>
      <c r="F848" s="169" t="s">
        <v>1898</v>
      </c>
      <c r="G848" s="169" t="s">
        <v>1898</v>
      </c>
      <c r="H848" s="169">
        <v>45</v>
      </c>
      <c r="I848" s="136" t="str">
        <f t="shared" si="40"/>
        <v>DECIMAL(15, 0)</v>
      </c>
      <c r="J848" s="169" t="s">
        <v>0</v>
      </c>
      <c r="K848" s="169" t="s">
        <v>1</v>
      </c>
      <c r="L848" s="169">
        <v>30</v>
      </c>
      <c r="M848" s="168"/>
      <c r="N848" s="168"/>
      <c r="O848" s="168"/>
      <c r="P848" s="168"/>
      <c r="Q848" s="168" t="s">
        <v>0</v>
      </c>
      <c r="R848" s="168" t="s">
        <v>1</v>
      </c>
      <c r="S848" s="178" t="str">
        <f t="shared" si="41"/>
        <v>D_EXPOSURE_FACILITYINTERNAL_ORG_RK</v>
      </c>
    </row>
    <row r="849" spans="1:19" ht="14.4" x14ac:dyDescent="0.3">
      <c r="A849" s="169" t="s">
        <v>331</v>
      </c>
      <c r="B849" s="171" t="str">
        <f t="shared" si="39"/>
        <v>D_EXPOSURE_FACILITY</v>
      </c>
      <c r="C849" s="169" t="s">
        <v>1890</v>
      </c>
      <c r="D849" s="169">
        <v>406</v>
      </c>
      <c r="E849" s="169">
        <v>10</v>
      </c>
      <c r="F849" s="169" t="s">
        <v>1890</v>
      </c>
      <c r="G849" s="169" t="s">
        <v>1890</v>
      </c>
      <c r="H849" s="169">
        <v>9</v>
      </c>
      <c r="I849" s="136" t="str">
        <f t="shared" si="40"/>
        <v xml:space="preserve">CHAR(32) </v>
      </c>
      <c r="J849" s="169" t="s">
        <v>0</v>
      </c>
      <c r="K849" s="169" t="s">
        <v>0</v>
      </c>
      <c r="L849" s="169">
        <v>30</v>
      </c>
      <c r="M849" s="168"/>
      <c r="N849" s="168"/>
      <c r="O849" s="168"/>
      <c r="P849" s="168"/>
      <c r="Q849" s="168" t="s">
        <v>0</v>
      </c>
      <c r="R849" s="168" t="s">
        <v>1</v>
      </c>
      <c r="S849" s="178" t="str">
        <f t="shared" si="41"/>
        <v>D_EXPOSURE_FACILITYISSUE_KEY</v>
      </c>
    </row>
    <row r="850" spans="1:19" ht="14.4" x14ac:dyDescent="0.3">
      <c r="A850" s="169" t="s">
        <v>331</v>
      </c>
      <c r="B850" s="171" t="str">
        <f t="shared" si="39"/>
        <v>D_EXPOSURE_FACILITY</v>
      </c>
      <c r="C850" s="169" t="s">
        <v>1899</v>
      </c>
      <c r="D850" s="169">
        <v>407</v>
      </c>
      <c r="E850" s="169">
        <v>11</v>
      </c>
      <c r="F850" s="169" t="s">
        <v>1899</v>
      </c>
      <c r="G850" s="169" t="s">
        <v>1899</v>
      </c>
      <c r="H850" s="169">
        <v>32</v>
      </c>
      <c r="I850" s="136" t="str">
        <f t="shared" si="40"/>
        <v>BYTEINT</v>
      </c>
      <c r="J850" s="169" t="s">
        <v>0</v>
      </c>
      <c r="K850" s="169" t="s">
        <v>1</v>
      </c>
      <c r="L850" s="169">
        <v>30</v>
      </c>
      <c r="M850" s="168"/>
      <c r="N850" s="168"/>
      <c r="O850" s="168"/>
      <c r="P850" s="168"/>
      <c r="Q850" s="168" t="s">
        <v>0</v>
      </c>
      <c r="R850" s="168" t="s">
        <v>1</v>
      </c>
      <c r="S850" s="178" t="str">
        <f t="shared" si="41"/>
        <v>D_EXPOSURE_FACILITYMIN_MATURITY_FLAG</v>
      </c>
    </row>
    <row r="851" spans="1:19" ht="14.4" x14ac:dyDescent="0.3">
      <c r="A851" s="169" t="s">
        <v>331</v>
      </c>
      <c r="B851" s="171" t="str">
        <f t="shared" si="39"/>
        <v>D_EXPOSURE_FACILITY</v>
      </c>
      <c r="C851" s="169" t="s">
        <v>1900</v>
      </c>
      <c r="D851" s="169">
        <v>408</v>
      </c>
      <c r="E851" s="169">
        <v>12</v>
      </c>
      <c r="F851" s="169" t="s">
        <v>1900</v>
      </c>
      <c r="G851" s="169" t="s">
        <v>1900</v>
      </c>
      <c r="H851" s="169">
        <v>14</v>
      </c>
      <c r="I851" s="136" t="str">
        <f t="shared" si="40"/>
        <v xml:space="preserve">CHAR(3) </v>
      </c>
      <c r="J851" s="169" t="s">
        <v>0</v>
      </c>
      <c r="K851" s="169" t="s">
        <v>1</v>
      </c>
      <c r="L851" s="169">
        <v>30</v>
      </c>
      <c r="M851" s="168"/>
      <c r="N851" s="168"/>
      <c r="O851" s="168"/>
      <c r="P851" s="168"/>
      <c r="Q851" s="168" t="s">
        <v>0</v>
      </c>
      <c r="R851" s="168" t="s">
        <v>1</v>
      </c>
      <c r="S851" s="178" t="str">
        <f t="shared" si="41"/>
        <v>D_EXPOSURE_FACILITYOFF_BALANCE_SHEET_TYPE_CD</v>
      </c>
    </row>
    <row r="852" spans="1:19" ht="14.4" x14ac:dyDescent="0.3">
      <c r="A852" s="169" t="s">
        <v>331</v>
      </c>
      <c r="B852" s="171" t="str">
        <f t="shared" si="39"/>
        <v>D_EXPOSURE_FACILITY</v>
      </c>
      <c r="C852" s="169" t="s">
        <v>440</v>
      </c>
      <c r="D852" s="169">
        <v>409</v>
      </c>
      <c r="E852" s="169">
        <v>13</v>
      </c>
      <c r="F852" s="169" t="s">
        <v>440</v>
      </c>
      <c r="G852" s="169" t="s">
        <v>440</v>
      </c>
      <c r="H852" s="169">
        <v>22</v>
      </c>
      <c r="I852" s="136" t="str">
        <f t="shared" si="40"/>
        <v>TIMESTAMP(6)</v>
      </c>
      <c r="J852" s="169" t="s">
        <v>1</v>
      </c>
      <c r="K852" s="169" t="s">
        <v>1</v>
      </c>
      <c r="L852" s="169">
        <v>30</v>
      </c>
      <c r="M852" s="168"/>
      <c r="N852" s="168"/>
      <c r="O852" s="168"/>
      <c r="P852" s="168"/>
      <c r="Q852" s="168" t="s">
        <v>0</v>
      </c>
      <c r="R852" s="168" t="s">
        <v>1</v>
      </c>
      <c r="S852" s="178" t="str">
        <f t="shared" si="41"/>
        <v>D_EXPOSURE_FACILITYRECORD_CREATE_TS</v>
      </c>
    </row>
    <row r="853" spans="1:19" ht="14.4" x14ac:dyDescent="0.3">
      <c r="A853" s="169" t="s">
        <v>331</v>
      </c>
      <c r="B853" s="171" t="str">
        <f t="shared" si="39"/>
        <v>D_EXPOSURE_FACILITY</v>
      </c>
      <c r="C853" s="169" t="s">
        <v>429</v>
      </c>
      <c r="D853" s="169">
        <v>410</v>
      </c>
      <c r="E853" s="169">
        <v>14</v>
      </c>
      <c r="F853" s="169" t="s">
        <v>429</v>
      </c>
      <c r="G853" s="169" t="s">
        <v>429</v>
      </c>
      <c r="H853" s="169">
        <v>22</v>
      </c>
      <c r="I853" s="136" t="str">
        <f t="shared" si="40"/>
        <v>TIMESTAMP(6)</v>
      </c>
      <c r="J853" s="169" t="s">
        <v>1</v>
      </c>
      <c r="K853" s="169" t="s">
        <v>1</v>
      </c>
      <c r="L853" s="169">
        <v>30</v>
      </c>
      <c r="M853" s="168"/>
      <c r="N853" s="168"/>
      <c r="O853" s="168"/>
      <c r="P853" s="168"/>
      <c r="Q853" s="168" t="s">
        <v>0</v>
      </c>
      <c r="R853" s="168" t="s">
        <v>1</v>
      </c>
      <c r="S853" s="178" t="str">
        <f t="shared" si="41"/>
        <v>D_EXPOSURE_FACILITYRECORD_UPDATE_TS</v>
      </c>
    </row>
    <row r="854" spans="1:19" ht="14.4" x14ac:dyDescent="0.3">
      <c r="A854" s="169" t="s">
        <v>331</v>
      </c>
      <c r="B854" s="171" t="str">
        <f t="shared" si="39"/>
        <v>D_EXPOSURE_FACILITY</v>
      </c>
      <c r="C854" s="169" t="s">
        <v>498</v>
      </c>
      <c r="D854" s="169">
        <v>411</v>
      </c>
      <c r="E854" s="169">
        <v>15</v>
      </c>
      <c r="F854" s="169" t="s">
        <v>498</v>
      </c>
      <c r="G854" s="169" t="s">
        <v>498</v>
      </c>
      <c r="H854" s="169">
        <v>7</v>
      </c>
      <c r="I854" s="136" t="str">
        <f t="shared" si="40"/>
        <v>BIGINT</v>
      </c>
      <c r="J854" s="169" t="s">
        <v>0</v>
      </c>
      <c r="K854" s="169" t="s">
        <v>0</v>
      </c>
      <c r="L854" s="169">
        <v>30</v>
      </c>
      <c r="M854" s="168"/>
      <c r="N854" s="168"/>
      <c r="O854" s="168"/>
      <c r="P854" s="168"/>
      <c r="Q854" s="168" t="s">
        <v>0</v>
      </c>
      <c r="R854" s="168" t="s">
        <v>1</v>
      </c>
      <c r="S854" s="178" t="str">
        <f t="shared" si="41"/>
        <v>D_EXPOSURE_FACILITYRUN_ID</v>
      </c>
    </row>
    <row r="855" spans="1:19" ht="14.4" x14ac:dyDescent="0.3">
      <c r="A855" s="169" t="s">
        <v>331</v>
      </c>
      <c r="B855" s="171" t="str">
        <f t="shared" si="39"/>
        <v>D_EXPOSURE_FACILITY</v>
      </c>
      <c r="C855" s="169" t="s">
        <v>1887</v>
      </c>
      <c r="D855" s="169">
        <v>412</v>
      </c>
      <c r="E855" s="169">
        <v>16</v>
      </c>
      <c r="F855" s="169" t="s">
        <v>1887</v>
      </c>
      <c r="G855" s="169" t="s">
        <v>1887</v>
      </c>
      <c r="H855" s="169">
        <v>34</v>
      </c>
      <c r="I855" s="136" t="str">
        <f t="shared" si="40"/>
        <v>DATE</v>
      </c>
      <c r="J855" s="169" t="s">
        <v>0</v>
      </c>
      <c r="K855" s="169" t="s">
        <v>0</v>
      </c>
      <c r="L855" s="169">
        <v>30</v>
      </c>
      <c r="M855" s="168"/>
      <c r="N855" s="168"/>
      <c r="O855" s="168"/>
      <c r="P855" s="168"/>
      <c r="Q855" s="168" t="s">
        <v>0</v>
      </c>
      <c r="R855" s="168" t="s">
        <v>1</v>
      </c>
      <c r="S855" s="178" t="str">
        <f t="shared" si="41"/>
        <v>D_EXPOSURE_FACILITYVALIDITY_DATE</v>
      </c>
    </row>
    <row r="856" spans="1:19" ht="14.4" x14ac:dyDescent="0.3">
      <c r="A856" s="169" t="s">
        <v>1829</v>
      </c>
      <c r="B856" s="171" t="str">
        <f t="shared" si="39"/>
        <v>D_EXPOSURE_INSTRUMENT</v>
      </c>
      <c r="C856" s="169" t="s">
        <v>1891</v>
      </c>
      <c r="D856" s="169">
        <v>1485</v>
      </c>
      <c r="E856" s="169">
        <v>1</v>
      </c>
      <c r="F856" s="169" t="s">
        <v>1891</v>
      </c>
      <c r="G856" s="169" t="s">
        <v>1891</v>
      </c>
      <c r="H856" s="169">
        <v>39</v>
      </c>
      <c r="I856" s="136" t="str">
        <f t="shared" si="40"/>
        <v xml:space="preserve">VARCHAR(512) </v>
      </c>
      <c r="J856" s="169" t="s">
        <v>0</v>
      </c>
      <c r="K856" s="169" t="s">
        <v>1</v>
      </c>
      <c r="L856" s="169">
        <v>30</v>
      </c>
      <c r="M856" s="168"/>
      <c r="N856" s="168"/>
      <c r="O856" s="168"/>
      <c r="P856" s="168"/>
      <c r="Q856" s="168" t="s">
        <v>0</v>
      </c>
      <c r="R856" s="168" t="s">
        <v>1</v>
      </c>
      <c r="S856" s="178" t="str">
        <f t="shared" si="41"/>
        <v>D_EXPOSURE_INSTRUMENTCONTRACT_NUMBER</v>
      </c>
    </row>
    <row r="857" spans="1:19" ht="14.4" x14ac:dyDescent="0.3">
      <c r="A857" s="169" t="s">
        <v>1829</v>
      </c>
      <c r="B857" s="171" t="str">
        <f t="shared" si="39"/>
        <v>D_EXPOSURE_INSTRUMENT</v>
      </c>
      <c r="C857" s="169" t="s">
        <v>1870</v>
      </c>
      <c r="D857" s="169">
        <v>1486</v>
      </c>
      <c r="E857" s="169">
        <v>2</v>
      </c>
      <c r="F857" s="169" t="s">
        <v>1870</v>
      </c>
      <c r="G857" s="169" t="s">
        <v>1870</v>
      </c>
      <c r="H857" s="169">
        <v>45</v>
      </c>
      <c r="I857" s="136" t="str">
        <f t="shared" si="40"/>
        <v>DECIMAL(15, 0)</v>
      </c>
      <c r="J857" s="169" t="s">
        <v>0</v>
      </c>
      <c r="K857" s="169" t="s">
        <v>1</v>
      </c>
      <c r="L857" s="169">
        <v>30</v>
      </c>
      <c r="M857" s="168"/>
      <c r="N857" s="168"/>
      <c r="O857" s="168"/>
      <c r="P857" s="168"/>
      <c r="Q857" s="168" t="s">
        <v>0</v>
      </c>
      <c r="R857" s="168" t="s">
        <v>1</v>
      </c>
      <c r="S857" s="178" t="str">
        <f t="shared" si="41"/>
        <v>D_EXPOSURE_INSTRUMENTCOUNTERPARTY_RK</v>
      </c>
    </row>
    <row r="858" spans="1:19" ht="14.4" x14ac:dyDescent="0.3">
      <c r="A858" s="169" t="s">
        <v>1829</v>
      </c>
      <c r="B858" s="171" t="str">
        <f t="shared" si="39"/>
        <v>D_EXPOSURE_INSTRUMENT</v>
      </c>
      <c r="C858" s="169" t="s">
        <v>1892</v>
      </c>
      <c r="D858" s="169">
        <v>1487</v>
      </c>
      <c r="E858" s="169">
        <v>3</v>
      </c>
      <c r="F858" s="169" t="s">
        <v>1892</v>
      </c>
      <c r="G858" s="169" t="s">
        <v>1892</v>
      </c>
      <c r="H858" s="169">
        <v>14</v>
      </c>
      <c r="I858" s="136" t="str">
        <f t="shared" si="40"/>
        <v xml:space="preserve">CHAR(3) </v>
      </c>
      <c r="J858" s="169" t="s">
        <v>0</v>
      </c>
      <c r="K858" s="169" t="s">
        <v>1</v>
      </c>
      <c r="L858" s="169">
        <v>30</v>
      </c>
      <c r="M858" s="168"/>
      <c r="N858" s="168"/>
      <c r="O858" s="168"/>
      <c r="P858" s="168"/>
      <c r="Q858" s="168" t="s">
        <v>0</v>
      </c>
      <c r="R858" s="168" t="s">
        <v>1</v>
      </c>
      <c r="S858" s="178" t="str">
        <f t="shared" si="41"/>
        <v>D_EXPOSURE_INSTRUMENTCURRENCY</v>
      </c>
    </row>
    <row r="859" spans="1:19" ht="14.4" x14ac:dyDescent="0.3">
      <c r="A859" s="169" t="s">
        <v>1829</v>
      </c>
      <c r="B859" s="171" t="str">
        <f t="shared" si="39"/>
        <v>D_EXPOSURE_INSTRUMENT</v>
      </c>
      <c r="C859" s="169" t="s">
        <v>1893</v>
      </c>
      <c r="D859" s="169">
        <v>1488</v>
      </c>
      <c r="E859" s="169">
        <v>4</v>
      </c>
      <c r="F859" s="169" t="s">
        <v>1893</v>
      </c>
      <c r="G859" s="169" t="s">
        <v>1893</v>
      </c>
      <c r="H859" s="169">
        <v>14</v>
      </c>
      <c r="I859" s="136" t="str">
        <f t="shared" si="40"/>
        <v xml:space="preserve">CHAR(3) </v>
      </c>
      <c r="J859" s="169" t="s">
        <v>0</v>
      </c>
      <c r="K859" s="169" t="s">
        <v>1</v>
      </c>
      <c r="L859" s="169">
        <v>30</v>
      </c>
      <c r="M859" s="168"/>
      <c r="N859" s="168"/>
      <c r="O859" s="168"/>
      <c r="P859" s="168"/>
      <c r="Q859" s="168" t="s">
        <v>0</v>
      </c>
      <c r="R859" s="168" t="s">
        <v>1</v>
      </c>
      <c r="S859" s="178" t="str">
        <f t="shared" si="41"/>
        <v>D_EXPOSURE_INSTRUMENTCURRENCY_ACT</v>
      </c>
    </row>
    <row r="860" spans="1:19" ht="14.4" x14ac:dyDescent="0.3">
      <c r="A860" s="169" t="s">
        <v>1829</v>
      </c>
      <c r="B860" s="171" t="str">
        <f t="shared" si="39"/>
        <v>D_EXPOSURE_INSTRUMENT</v>
      </c>
      <c r="C860" s="169" t="s">
        <v>1894</v>
      </c>
      <c r="D860" s="169">
        <v>1489</v>
      </c>
      <c r="E860" s="169">
        <v>5</v>
      </c>
      <c r="F860" s="169" t="s">
        <v>1894</v>
      </c>
      <c r="G860" s="169" t="s">
        <v>1894</v>
      </c>
      <c r="H860" s="169">
        <v>40</v>
      </c>
      <c r="I860" s="136" t="str">
        <f t="shared" si="40"/>
        <v>DECIMAL(26, 4)</v>
      </c>
      <c r="J860" s="169" t="s">
        <v>0</v>
      </c>
      <c r="K860" s="169" t="s">
        <v>1</v>
      </c>
      <c r="L860" s="169">
        <v>30</v>
      </c>
      <c r="M860" s="168"/>
      <c r="N860" s="168"/>
      <c r="O860" s="168"/>
      <c r="P860" s="168"/>
      <c r="Q860" s="168" t="s">
        <v>0</v>
      </c>
      <c r="R860" s="168" t="s">
        <v>1</v>
      </c>
      <c r="S860" s="178" t="str">
        <f t="shared" si="41"/>
        <v>D_EXPOSURE_INSTRUMENTEAD_NOCCF</v>
      </c>
    </row>
    <row r="861" spans="1:19" ht="14.4" x14ac:dyDescent="0.3">
      <c r="A861" s="169" t="s">
        <v>1829</v>
      </c>
      <c r="B861" s="171" t="str">
        <f t="shared" si="39"/>
        <v>D_EXPOSURE_INSTRUMENT</v>
      </c>
      <c r="C861" s="169" t="s">
        <v>1895</v>
      </c>
      <c r="D861" s="169">
        <v>1490</v>
      </c>
      <c r="E861" s="169">
        <v>6</v>
      </c>
      <c r="F861" s="169" t="s">
        <v>1895</v>
      </c>
      <c r="G861" s="169" t="s">
        <v>1895</v>
      </c>
      <c r="H861" s="169">
        <v>40</v>
      </c>
      <c r="I861" s="136" t="str">
        <f t="shared" si="40"/>
        <v>DECIMAL(26, 4)</v>
      </c>
      <c r="J861" s="169" t="s">
        <v>0</v>
      </c>
      <c r="K861" s="169" t="s">
        <v>1</v>
      </c>
      <c r="L861" s="169">
        <v>30</v>
      </c>
      <c r="M861" s="168"/>
      <c r="N861" s="168"/>
      <c r="O861" s="168"/>
      <c r="P861" s="168"/>
      <c r="Q861" s="168" t="s">
        <v>0</v>
      </c>
      <c r="R861" s="168" t="s">
        <v>1</v>
      </c>
      <c r="S861" s="178" t="str">
        <f t="shared" si="41"/>
        <v>D_EXPOSURE_INSTRUMENTEAD_NOCCF_ACT_CUR</v>
      </c>
    </row>
    <row r="862" spans="1:19" ht="14.4" x14ac:dyDescent="0.3">
      <c r="A862" s="169" t="s">
        <v>1829</v>
      </c>
      <c r="B862" s="171" t="str">
        <f t="shared" si="39"/>
        <v>D_EXPOSURE_INSTRUMENT</v>
      </c>
      <c r="C862" s="169" t="s">
        <v>1901</v>
      </c>
      <c r="D862" s="169">
        <v>1491</v>
      </c>
      <c r="E862" s="169">
        <v>7</v>
      </c>
      <c r="F862" s="169" t="s">
        <v>1901</v>
      </c>
      <c r="G862" s="169" t="s">
        <v>1901</v>
      </c>
      <c r="H862" s="169">
        <v>14</v>
      </c>
      <c r="I862" s="136" t="str">
        <f t="shared" si="40"/>
        <v xml:space="preserve">CHAR(3) </v>
      </c>
      <c r="J862" s="169" t="s">
        <v>0</v>
      </c>
      <c r="K862" s="169" t="s">
        <v>1</v>
      </c>
      <c r="L862" s="169">
        <v>30</v>
      </c>
      <c r="M862" s="168"/>
      <c r="N862" s="168"/>
      <c r="O862" s="168"/>
      <c r="P862" s="168"/>
      <c r="Q862" s="168" t="s">
        <v>0</v>
      </c>
      <c r="R862" s="168" t="s">
        <v>1</v>
      </c>
      <c r="S862" s="178" t="str">
        <f t="shared" si="41"/>
        <v>D_EXPOSURE_INSTRUMENTEQUITY_INVESTMENT_TYPE</v>
      </c>
    </row>
    <row r="863" spans="1:19" ht="14.4" x14ac:dyDescent="0.3">
      <c r="A863" s="169" t="s">
        <v>1829</v>
      </c>
      <c r="B863" s="171" t="str">
        <f t="shared" si="39"/>
        <v>D_EXPOSURE_INSTRUMENT</v>
      </c>
      <c r="C863" s="169" t="s">
        <v>1875</v>
      </c>
      <c r="D863" s="169">
        <v>1492</v>
      </c>
      <c r="E863" s="169">
        <v>8</v>
      </c>
      <c r="F863" s="169" t="s">
        <v>1875</v>
      </c>
      <c r="G863" s="169" t="s">
        <v>1875</v>
      </c>
      <c r="H863" s="169">
        <v>22</v>
      </c>
      <c r="I863" s="136" t="str">
        <f t="shared" si="40"/>
        <v>TIMESTAMP(6)</v>
      </c>
      <c r="J863" s="169" t="s">
        <v>1</v>
      </c>
      <c r="K863" s="169" t="s">
        <v>0</v>
      </c>
      <c r="L863" s="169">
        <v>30</v>
      </c>
      <c r="M863" s="168"/>
      <c r="N863" s="168"/>
      <c r="O863" s="168"/>
      <c r="P863" s="168"/>
      <c r="Q863" s="168" t="s">
        <v>0</v>
      </c>
      <c r="R863" s="168" t="s">
        <v>1</v>
      </c>
      <c r="S863" s="178" t="str">
        <f t="shared" si="41"/>
        <v>D_EXPOSURE_INSTRUMENTEXTRACTION_TS</v>
      </c>
    </row>
    <row r="864" spans="1:19" ht="14.4" x14ac:dyDescent="0.3">
      <c r="A864" s="169" t="s">
        <v>1829</v>
      </c>
      <c r="B864" s="171" t="str">
        <f t="shared" si="39"/>
        <v>D_EXPOSURE_INSTRUMENT</v>
      </c>
      <c r="C864" s="169" t="s">
        <v>1897</v>
      </c>
      <c r="D864" s="169">
        <v>1493</v>
      </c>
      <c r="E864" s="169">
        <v>9</v>
      </c>
      <c r="F864" s="169" t="s">
        <v>1897</v>
      </c>
      <c r="G864" s="169" t="s">
        <v>1897</v>
      </c>
      <c r="H864" s="169">
        <v>50</v>
      </c>
      <c r="I864" s="136" t="str">
        <f t="shared" si="40"/>
        <v xml:space="preserve">VARCHAR(20) </v>
      </c>
      <c r="J864" s="169" t="s">
        <v>0</v>
      </c>
      <c r="K864" s="169" t="s">
        <v>1</v>
      </c>
      <c r="L864" s="169">
        <v>30</v>
      </c>
      <c r="M864" s="168"/>
      <c r="N864" s="168"/>
      <c r="O864" s="168"/>
      <c r="P864" s="168"/>
      <c r="Q864" s="168" t="s">
        <v>0</v>
      </c>
      <c r="R864" s="168" t="s">
        <v>1</v>
      </c>
      <c r="S864" s="178" t="str">
        <f t="shared" si="41"/>
        <v>D_EXPOSURE_INSTRUMENTINSTID</v>
      </c>
    </row>
    <row r="865" spans="1:19" ht="14.4" x14ac:dyDescent="0.3">
      <c r="A865" s="169" t="s">
        <v>1829</v>
      </c>
      <c r="B865" s="171" t="str">
        <f t="shared" si="39"/>
        <v>D_EXPOSURE_INSTRUMENT</v>
      </c>
      <c r="C865" s="169" t="s">
        <v>1898</v>
      </c>
      <c r="D865" s="169">
        <v>1494</v>
      </c>
      <c r="E865" s="169">
        <v>10</v>
      </c>
      <c r="F865" s="169" t="s">
        <v>1898</v>
      </c>
      <c r="G865" s="169" t="s">
        <v>1898</v>
      </c>
      <c r="H865" s="169">
        <v>45</v>
      </c>
      <c r="I865" s="136" t="str">
        <f t="shared" si="40"/>
        <v>DECIMAL(15, 0)</v>
      </c>
      <c r="J865" s="169" t="s">
        <v>0</v>
      </c>
      <c r="K865" s="169" t="s">
        <v>1</v>
      </c>
      <c r="L865" s="169">
        <v>30</v>
      </c>
      <c r="M865" s="168"/>
      <c r="N865" s="168"/>
      <c r="O865" s="168"/>
      <c r="P865" s="168"/>
      <c r="Q865" s="168" t="s">
        <v>0</v>
      </c>
      <c r="R865" s="168" t="s">
        <v>1</v>
      </c>
      <c r="S865" s="178" t="str">
        <f t="shared" si="41"/>
        <v>D_EXPOSURE_INSTRUMENTINTERNAL_ORG_RK</v>
      </c>
    </row>
    <row r="866" spans="1:19" ht="14.4" x14ac:dyDescent="0.3">
      <c r="A866" s="169" t="s">
        <v>1829</v>
      </c>
      <c r="B866" s="171" t="str">
        <f t="shared" si="39"/>
        <v>D_EXPOSURE_INSTRUMENT</v>
      </c>
      <c r="C866" s="169" t="s">
        <v>1890</v>
      </c>
      <c r="D866" s="169">
        <v>1495</v>
      </c>
      <c r="E866" s="169">
        <v>11</v>
      </c>
      <c r="F866" s="169" t="s">
        <v>1890</v>
      </c>
      <c r="G866" s="169" t="s">
        <v>1890</v>
      </c>
      <c r="H866" s="169">
        <v>9</v>
      </c>
      <c r="I866" s="136" t="str">
        <f t="shared" si="40"/>
        <v xml:space="preserve">CHAR(32) </v>
      </c>
      <c r="J866" s="169" t="s">
        <v>0</v>
      </c>
      <c r="K866" s="169" t="s">
        <v>0</v>
      </c>
      <c r="L866" s="169">
        <v>30</v>
      </c>
      <c r="M866" s="168"/>
      <c r="N866" s="168"/>
      <c r="O866" s="168"/>
      <c r="P866" s="168"/>
      <c r="Q866" s="168" t="s">
        <v>0</v>
      </c>
      <c r="R866" s="168" t="s">
        <v>1</v>
      </c>
      <c r="S866" s="178" t="str">
        <f t="shared" si="41"/>
        <v>D_EXPOSURE_INSTRUMENTISSUE_KEY</v>
      </c>
    </row>
    <row r="867" spans="1:19" ht="14.4" x14ac:dyDescent="0.3">
      <c r="A867" s="169" t="s">
        <v>1829</v>
      </c>
      <c r="B867" s="171" t="str">
        <f t="shared" si="39"/>
        <v>D_EXPOSURE_INSTRUMENT</v>
      </c>
      <c r="C867" s="169" t="s">
        <v>1902</v>
      </c>
      <c r="D867" s="169">
        <v>1496</v>
      </c>
      <c r="E867" s="169">
        <v>12</v>
      </c>
      <c r="F867" s="169" t="s">
        <v>1902</v>
      </c>
      <c r="G867" s="169" t="s">
        <v>1902</v>
      </c>
      <c r="H867" s="169">
        <v>46</v>
      </c>
      <c r="I867" s="136" t="str">
        <f t="shared" si="40"/>
        <v>DECIMAL(7, 4)</v>
      </c>
      <c r="J867" s="169" t="s">
        <v>0</v>
      </c>
      <c r="K867" s="169" t="s">
        <v>1</v>
      </c>
      <c r="L867" s="169">
        <v>30</v>
      </c>
      <c r="M867" s="168"/>
      <c r="N867" s="168"/>
      <c r="O867" s="168"/>
      <c r="P867" s="168"/>
      <c r="Q867" s="168" t="s">
        <v>0</v>
      </c>
      <c r="R867" s="168" t="s">
        <v>1</v>
      </c>
      <c r="S867" s="178" t="str">
        <f t="shared" si="41"/>
        <v>D_EXPOSURE_INSTRUMENTL100_BOUND_EQUITY</v>
      </c>
    </row>
    <row r="868" spans="1:19" ht="14.4" x14ac:dyDescent="0.3">
      <c r="A868" s="169" t="s">
        <v>1829</v>
      </c>
      <c r="B868" s="171" t="str">
        <f t="shared" si="39"/>
        <v>D_EXPOSURE_INSTRUMENT</v>
      </c>
      <c r="C868" s="169" t="s">
        <v>1899</v>
      </c>
      <c r="D868" s="169">
        <v>1497</v>
      </c>
      <c r="E868" s="169">
        <v>13</v>
      </c>
      <c r="F868" s="169" t="s">
        <v>1899</v>
      </c>
      <c r="G868" s="169" t="s">
        <v>1899</v>
      </c>
      <c r="H868" s="169">
        <v>32</v>
      </c>
      <c r="I868" s="136" t="str">
        <f t="shared" si="40"/>
        <v>BYTEINT</v>
      </c>
      <c r="J868" s="169" t="s">
        <v>0</v>
      </c>
      <c r="K868" s="169" t="s">
        <v>1</v>
      </c>
      <c r="L868" s="169">
        <v>30</v>
      </c>
      <c r="M868" s="168"/>
      <c r="N868" s="168"/>
      <c r="O868" s="168"/>
      <c r="P868" s="168"/>
      <c r="Q868" s="168" t="s">
        <v>0</v>
      </c>
      <c r="R868" s="168" t="s">
        <v>1</v>
      </c>
      <c r="S868" s="178" t="str">
        <f t="shared" si="41"/>
        <v>D_EXPOSURE_INSTRUMENTMIN_MATURITY_FLAG</v>
      </c>
    </row>
    <row r="869" spans="1:19" ht="14.4" x14ac:dyDescent="0.3">
      <c r="A869" s="169" t="s">
        <v>1829</v>
      </c>
      <c r="B869" s="171" t="str">
        <f t="shared" si="39"/>
        <v>D_EXPOSURE_INSTRUMENT</v>
      </c>
      <c r="C869" s="169" t="s">
        <v>440</v>
      </c>
      <c r="D869" s="169">
        <v>1498</v>
      </c>
      <c r="E869" s="169">
        <v>14</v>
      </c>
      <c r="F869" s="169" t="s">
        <v>440</v>
      </c>
      <c r="G869" s="169" t="s">
        <v>440</v>
      </c>
      <c r="H869" s="169">
        <v>22</v>
      </c>
      <c r="I869" s="136" t="str">
        <f t="shared" si="40"/>
        <v>TIMESTAMP(6)</v>
      </c>
      <c r="J869" s="169" t="s">
        <v>1</v>
      </c>
      <c r="K869" s="169" t="s">
        <v>1</v>
      </c>
      <c r="L869" s="169">
        <v>30</v>
      </c>
      <c r="M869" s="168"/>
      <c r="N869" s="168"/>
      <c r="O869" s="168"/>
      <c r="P869" s="168"/>
      <c r="Q869" s="168" t="s">
        <v>0</v>
      </c>
      <c r="R869" s="168" t="s">
        <v>1</v>
      </c>
      <c r="S869" s="178" t="str">
        <f t="shared" si="41"/>
        <v>D_EXPOSURE_INSTRUMENTRECORD_CREATE_TS</v>
      </c>
    </row>
    <row r="870" spans="1:19" ht="14.4" x14ac:dyDescent="0.3">
      <c r="A870" s="169" t="s">
        <v>1829</v>
      </c>
      <c r="B870" s="171" t="str">
        <f t="shared" si="39"/>
        <v>D_EXPOSURE_INSTRUMENT</v>
      </c>
      <c r="C870" s="169" t="s">
        <v>429</v>
      </c>
      <c r="D870" s="169">
        <v>1499</v>
      </c>
      <c r="E870" s="169">
        <v>15</v>
      </c>
      <c r="F870" s="169" t="s">
        <v>429</v>
      </c>
      <c r="G870" s="169" t="s">
        <v>429</v>
      </c>
      <c r="H870" s="169">
        <v>22</v>
      </c>
      <c r="I870" s="136" t="str">
        <f t="shared" si="40"/>
        <v>TIMESTAMP(6)</v>
      </c>
      <c r="J870" s="169" t="s">
        <v>1</v>
      </c>
      <c r="K870" s="169" t="s">
        <v>1</v>
      </c>
      <c r="L870" s="169">
        <v>30</v>
      </c>
      <c r="M870" s="168"/>
      <c r="N870" s="168"/>
      <c r="O870" s="168"/>
      <c r="P870" s="168"/>
      <c r="Q870" s="168" t="s">
        <v>0</v>
      </c>
      <c r="R870" s="168" t="s">
        <v>1</v>
      </c>
      <c r="S870" s="178" t="str">
        <f t="shared" si="41"/>
        <v>D_EXPOSURE_INSTRUMENTRECORD_UPDATE_TS</v>
      </c>
    </row>
    <row r="871" spans="1:19" ht="14.4" x14ac:dyDescent="0.3">
      <c r="A871" s="169" t="s">
        <v>1829</v>
      </c>
      <c r="B871" s="171" t="str">
        <f t="shared" si="39"/>
        <v>D_EXPOSURE_INSTRUMENT</v>
      </c>
      <c r="C871" s="169" t="s">
        <v>498</v>
      </c>
      <c r="D871" s="169">
        <v>1500</v>
      </c>
      <c r="E871" s="169">
        <v>16</v>
      </c>
      <c r="F871" s="169" t="s">
        <v>498</v>
      </c>
      <c r="G871" s="169" t="s">
        <v>498</v>
      </c>
      <c r="H871" s="169">
        <v>7</v>
      </c>
      <c r="I871" s="136" t="str">
        <f t="shared" si="40"/>
        <v>BIGINT</v>
      </c>
      <c r="J871" s="169" t="s">
        <v>0</v>
      </c>
      <c r="K871" s="169" t="s">
        <v>0</v>
      </c>
      <c r="L871" s="169">
        <v>30</v>
      </c>
      <c r="M871" s="168"/>
      <c r="N871" s="168"/>
      <c r="O871" s="168"/>
      <c r="P871" s="168"/>
      <c r="Q871" s="168" t="s">
        <v>0</v>
      </c>
      <c r="R871" s="168" t="s">
        <v>1</v>
      </c>
      <c r="S871" s="178" t="str">
        <f t="shared" si="41"/>
        <v>D_EXPOSURE_INSTRUMENTRUN_ID</v>
      </c>
    </row>
    <row r="872" spans="1:19" ht="14.4" x14ac:dyDescent="0.3">
      <c r="A872" s="169" t="s">
        <v>1829</v>
      </c>
      <c r="B872" s="171" t="str">
        <f t="shared" si="39"/>
        <v>D_EXPOSURE_INSTRUMENT</v>
      </c>
      <c r="C872" s="169" t="s">
        <v>1887</v>
      </c>
      <c r="D872" s="169">
        <v>1501</v>
      </c>
      <c r="E872" s="169">
        <v>17</v>
      </c>
      <c r="F872" s="169" t="s">
        <v>1887</v>
      </c>
      <c r="G872" s="169" t="s">
        <v>1887</v>
      </c>
      <c r="H872" s="169">
        <v>34</v>
      </c>
      <c r="I872" s="136" t="str">
        <f t="shared" si="40"/>
        <v>DATE</v>
      </c>
      <c r="J872" s="169" t="s">
        <v>0</v>
      </c>
      <c r="K872" s="169" t="s">
        <v>0</v>
      </c>
      <c r="L872" s="169">
        <v>30</v>
      </c>
      <c r="M872" s="168"/>
      <c r="N872" s="168"/>
      <c r="O872" s="168"/>
      <c r="P872" s="168"/>
      <c r="Q872" s="168" t="s">
        <v>0</v>
      </c>
      <c r="R872" s="168" t="s">
        <v>1</v>
      </c>
      <c r="S872" s="178" t="str">
        <f t="shared" si="41"/>
        <v>D_EXPOSURE_INSTRUMENTVALIDITY_DATE</v>
      </c>
    </row>
    <row r="873" spans="1:19" ht="14.4" x14ac:dyDescent="0.3">
      <c r="A873" s="169" t="s">
        <v>1844</v>
      </c>
      <c r="B873" s="171" t="str">
        <f t="shared" si="39"/>
        <v>D_EXPOSURE_RECEIVABLE</v>
      </c>
      <c r="C873" s="169" t="s">
        <v>1891</v>
      </c>
      <c r="D873" s="169">
        <v>413</v>
      </c>
      <c r="E873" s="169">
        <v>1</v>
      </c>
      <c r="F873" s="169" t="s">
        <v>1891</v>
      </c>
      <c r="G873" s="169" t="s">
        <v>1891</v>
      </c>
      <c r="H873" s="169">
        <v>39</v>
      </c>
      <c r="I873" s="136" t="str">
        <f t="shared" si="40"/>
        <v xml:space="preserve">VARCHAR(512) </v>
      </c>
      <c r="J873" s="169" t="s">
        <v>0</v>
      </c>
      <c r="K873" s="169" t="s">
        <v>1</v>
      </c>
      <c r="L873" s="169">
        <v>30</v>
      </c>
      <c r="M873" s="168"/>
      <c r="N873" s="168"/>
      <c r="O873" s="168"/>
      <c r="P873" s="168"/>
      <c r="Q873" s="168" t="s">
        <v>0</v>
      </c>
      <c r="R873" s="168" t="s">
        <v>1</v>
      </c>
      <c r="S873" s="178" t="str">
        <f t="shared" si="41"/>
        <v>D_EXPOSURE_RECEIVABLECONTRACT_NUMBER</v>
      </c>
    </row>
    <row r="874" spans="1:19" ht="14.4" x14ac:dyDescent="0.3">
      <c r="A874" s="169" t="s">
        <v>1844</v>
      </c>
      <c r="B874" s="171" t="str">
        <f t="shared" si="39"/>
        <v>D_EXPOSURE_RECEIVABLE</v>
      </c>
      <c r="C874" s="169" t="s">
        <v>1870</v>
      </c>
      <c r="D874" s="169">
        <v>414</v>
      </c>
      <c r="E874" s="169">
        <v>2</v>
      </c>
      <c r="F874" s="169" t="s">
        <v>1870</v>
      </c>
      <c r="G874" s="169" t="s">
        <v>1870</v>
      </c>
      <c r="H874" s="169">
        <v>45</v>
      </c>
      <c r="I874" s="136" t="str">
        <f t="shared" si="40"/>
        <v>DECIMAL(15, 0)</v>
      </c>
      <c r="J874" s="169" t="s">
        <v>0</v>
      </c>
      <c r="K874" s="169" t="s">
        <v>1</v>
      </c>
      <c r="L874" s="169">
        <v>30</v>
      </c>
      <c r="M874" s="168"/>
      <c r="N874" s="168"/>
      <c r="O874" s="168"/>
      <c r="P874" s="168"/>
      <c r="Q874" s="168" t="s">
        <v>0</v>
      </c>
      <c r="R874" s="168" t="s">
        <v>1</v>
      </c>
      <c r="S874" s="178" t="str">
        <f t="shared" si="41"/>
        <v>D_EXPOSURE_RECEIVABLECOUNTERPARTY_RK</v>
      </c>
    </row>
    <row r="875" spans="1:19" ht="14.4" x14ac:dyDescent="0.3">
      <c r="A875" s="169" t="s">
        <v>1844</v>
      </c>
      <c r="B875" s="171" t="str">
        <f t="shared" si="39"/>
        <v>D_EXPOSURE_RECEIVABLE</v>
      </c>
      <c r="C875" s="169" t="s">
        <v>1892</v>
      </c>
      <c r="D875" s="169">
        <v>415</v>
      </c>
      <c r="E875" s="169">
        <v>3</v>
      </c>
      <c r="F875" s="169" t="s">
        <v>1892</v>
      </c>
      <c r="G875" s="169" t="s">
        <v>1892</v>
      </c>
      <c r="H875" s="169">
        <v>14</v>
      </c>
      <c r="I875" s="136" t="str">
        <f t="shared" si="40"/>
        <v xml:space="preserve">CHAR(3) </v>
      </c>
      <c r="J875" s="169" t="s">
        <v>0</v>
      </c>
      <c r="K875" s="169" t="s">
        <v>1</v>
      </c>
      <c r="L875" s="169">
        <v>30</v>
      </c>
      <c r="M875" s="168"/>
      <c r="N875" s="168"/>
      <c r="O875" s="168"/>
      <c r="P875" s="168"/>
      <c r="Q875" s="168" t="s">
        <v>0</v>
      </c>
      <c r="R875" s="168" t="s">
        <v>1</v>
      </c>
      <c r="S875" s="178" t="str">
        <f t="shared" si="41"/>
        <v>D_EXPOSURE_RECEIVABLECURRENCY</v>
      </c>
    </row>
    <row r="876" spans="1:19" ht="14.4" x14ac:dyDescent="0.3">
      <c r="A876" s="169" t="s">
        <v>1844</v>
      </c>
      <c r="B876" s="171" t="str">
        <f t="shared" si="39"/>
        <v>D_EXPOSURE_RECEIVABLE</v>
      </c>
      <c r="C876" s="169" t="s">
        <v>1893</v>
      </c>
      <c r="D876" s="169">
        <v>416</v>
      </c>
      <c r="E876" s="169">
        <v>4</v>
      </c>
      <c r="F876" s="169" t="s">
        <v>1893</v>
      </c>
      <c r="G876" s="169" t="s">
        <v>1893</v>
      </c>
      <c r="H876" s="169">
        <v>14</v>
      </c>
      <c r="I876" s="136" t="str">
        <f t="shared" si="40"/>
        <v xml:space="preserve">CHAR(3) </v>
      </c>
      <c r="J876" s="169" t="s">
        <v>0</v>
      </c>
      <c r="K876" s="169" t="s">
        <v>1</v>
      </c>
      <c r="L876" s="169">
        <v>30</v>
      </c>
      <c r="M876" s="168"/>
      <c r="N876" s="168"/>
      <c r="O876" s="168"/>
      <c r="P876" s="168"/>
      <c r="Q876" s="168" t="s">
        <v>0</v>
      </c>
      <c r="R876" s="168" t="s">
        <v>1</v>
      </c>
      <c r="S876" s="178" t="str">
        <f t="shared" si="41"/>
        <v>D_EXPOSURE_RECEIVABLECURRENCY_ACT</v>
      </c>
    </row>
    <row r="877" spans="1:19" ht="14.4" x14ac:dyDescent="0.3">
      <c r="A877" s="169" t="s">
        <v>1844</v>
      </c>
      <c r="B877" s="171" t="str">
        <f t="shared" si="39"/>
        <v>D_EXPOSURE_RECEIVABLE</v>
      </c>
      <c r="C877" s="169" t="s">
        <v>1894</v>
      </c>
      <c r="D877" s="169">
        <v>417</v>
      </c>
      <c r="E877" s="169">
        <v>5</v>
      </c>
      <c r="F877" s="169" t="s">
        <v>1894</v>
      </c>
      <c r="G877" s="169" t="s">
        <v>1894</v>
      </c>
      <c r="H877" s="169">
        <v>40</v>
      </c>
      <c r="I877" s="136" t="str">
        <f t="shared" si="40"/>
        <v>DECIMAL(26, 4)</v>
      </c>
      <c r="J877" s="169" t="s">
        <v>0</v>
      </c>
      <c r="K877" s="169" t="s">
        <v>1</v>
      </c>
      <c r="L877" s="169">
        <v>30</v>
      </c>
      <c r="M877" s="168"/>
      <c r="N877" s="168"/>
      <c r="O877" s="168"/>
      <c r="P877" s="168"/>
      <c r="Q877" s="168" t="s">
        <v>0</v>
      </c>
      <c r="R877" s="168" t="s">
        <v>1</v>
      </c>
      <c r="S877" s="178" t="str">
        <f t="shared" si="41"/>
        <v>D_EXPOSURE_RECEIVABLEEAD_NOCCF</v>
      </c>
    </row>
    <row r="878" spans="1:19" ht="14.4" x14ac:dyDescent="0.3">
      <c r="A878" s="169" t="s">
        <v>1844</v>
      </c>
      <c r="B878" s="171" t="str">
        <f t="shared" si="39"/>
        <v>D_EXPOSURE_RECEIVABLE</v>
      </c>
      <c r="C878" s="169" t="s">
        <v>1895</v>
      </c>
      <c r="D878" s="169">
        <v>418</v>
      </c>
      <c r="E878" s="169">
        <v>6</v>
      </c>
      <c r="F878" s="169" t="s">
        <v>1895</v>
      </c>
      <c r="G878" s="169" t="s">
        <v>1895</v>
      </c>
      <c r="H878" s="169">
        <v>40</v>
      </c>
      <c r="I878" s="136" t="str">
        <f t="shared" si="40"/>
        <v>DECIMAL(26, 4)</v>
      </c>
      <c r="J878" s="169" t="s">
        <v>0</v>
      </c>
      <c r="K878" s="169" t="s">
        <v>1</v>
      </c>
      <c r="L878" s="169">
        <v>30</v>
      </c>
      <c r="M878" s="168"/>
      <c r="N878" s="168"/>
      <c r="O878" s="168"/>
      <c r="P878" s="168"/>
      <c r="Q878" s="168" t="s">
        <v>0</v>
      </c>
      <c r="R878" s="168" t="s">
        <v>1</v>
      </c>
      <c r="S878" s="178" t="str">
        <f t="shared" si="41"/>
        <v>D_EXPOSURE_RECEIVABLEEAD_NOCCF_ACT_CUR</v>
      </c>
    </row>
    <row r="879" spans="1:19" ht="14.4" x14ac:dyDescent="0.3">
      <c r="A879" s="169" t="s">
        <v>1844</v>
      </c>
      <c r="B879" s="171" t="str">
        <f t="shared" si="39"/>
        <v>D_EXPOSURE_RECEIVABLE</v>
      </c>
      <c r="C879" s="169" t="s">
        <v>1875</v>
      </c>
      <c r="D879" s="169">
        <v>419</v>
      </c>
      <c r="E879" s="169">
        <v>7</v>
      </c>
      <c r="F879" s="169" t="s">
        <v>1875</v>
      </c>
      <c r="G879" s="169" t="s">
        <v>1875</v>
      </c>
      <c r="H879" s="169">
        <v>22</v>
      </c>
      <c r="I879" s="136" t="str">
        <f t="shared" si="40"/>
        <v>TIMESTAMP(6)</v>
      </c>
      <c r="J879" s="169" t="s">
        <v>1</v>
      </c>
      <c r="K879" s="169" t="s">
        <v>0</v>
      </c>
      <c r="L879" s="169">
        <v>30</v>
      </c>
      <c r="M879" s="168"/>
      <c r="N879" s="168"/>
      <c r="O879" s="168"/>
      <c r="P879" s="168"/>
      <c r="Q879" s="168" t="s">
        <v>0</v>
      </c>
      <c r="R879" s="168" t="s">
        <v>1</v>
      </c>
      <c r="S879" s="178" t="str">
        <f t="shared" si="41"/>
        <v>D_EXPOSURE_RECEIVABLEEXTRACTION_TS</v>
      </c>
    </row>
    <row r="880" spans="1:19" ht="14.4" x14ac:dyDescent="0.3">
      <c r="A880" s="169" t="s">
        <v>1844</v>
      </c>
      <c r="B880" s="171" t="str">
        <f t="shared" si="39"/>
        <v>D_EXPOSURE_RECEIVABLE</v>
      </c>
      <c r="C880" s="169" t="s">
        <v>1897</v>
      </c>
      <c r="D880" s="169">
        <v>420</v>
      </c>
      <c r="E880" s="169">
        <v>8</v>
      </c>
      <c r="F880" s="169" t="s">
        <v>1897</v>
      </c>
      <c r="G880" s="169" t="s">
        <v>1897</v>
      </c>
      <c r="H880" s="169">
        <v>50</v>
      </c>
      <c r="I880" s="136" t="str">
        <f t="shared" si="40"/>
        <v xml:space="preserve">VARCHAR(20) </v>
      </c>
      <c r="J880" s="169" t="s">
        <v>0</v>
      </c>
      <c r="K880" s="169" t="s">
        <v>1</v>
      </c>
      <c r="L880" s="169">
        <v>30</v>
      </c>
      <c r="M880" s="168"/>
      <c r="N880" s="168"/>
      <c r="O880" s="168"/>
      <c r="P880" s="168"/>
      <c r="Q880" s="168" t="s">
        <v>0</v>
      </c>
      <c r="R880" s="168" t="s">
        <v>1</v>
      </c>
      <c r="S880" s="178" t="str">
        <f t="shared" si="41"/>
        <v>D_EXPOSURE_RECEIVABLEINSTID</v>
      </c>
    </row>
    <row r="881" spans="1:19" ht="14.4" x14ac:dyDescent="0.3">
      <c r="A881" s="169" t="s">
        <v>1844</v>
      </c>
      <c r="B881" s="171" t="str">
        <f t="shared" si="39"/>
        <v>D_EXPOSURE_RECEIVABLE</v>
      </c>
      <c r="C881" s="169" t="s">
        <v>1898</v>
      </c>
      <c r="D881" s="169">
        <v>421</v>
      </c>
      <c r="E881" s="169">
        <v>9</v>
      </c>
      <c r="F881" s="169" t="s">
        <v>1898</v>
      </c>
      <c r="G881" s="169" t="s">
        <v>1898</v>
      </c>
      <c r="H881" s="169">
        <v>45</v>
      </c>
      <c r="I881" s="136" t="str">
        <f t="shared" si="40"/>
        <v>DECIMAL(15, 0)</v>
      </c>
      <c r="J881" s="169" t="s">
        <v>0</v>
      </c>
      <c r="K881" s="169" t="s">
        <v>1</v>
      </c>
      <c r="L881" s="169">
        <v>30</v>
      </c>
      <c r="M881" s="168"/>
      <c r="N881" s="168"/>
      <c r="O881" s="168"/>
      <c r="P881" s="168"/>
      <c r="Q881" s="168" t="s">
        <v>0</v>
      </c>
      <c r="R881" s="168" t="s">
        <v>1</v>
      </c>
      <c r="S881" s="178" t="str">
        <f t="shared" si="41"/>
        <v>D_EXPOSURE_RECEIVABLEINTERNAL_ORG_RK</v>
      </c>
    </row>
    <row r="882" spans="1:19" ht="14.4" x14ac:dyDescent="0.3">
      <c r="A882" s="169" t="s">
        <v>1844</v>
      </c>
      <c r="B882" s="171" t="str">
        <f t="shared" si="39"/>
        <v>D_EXPOSURE_RECEIVABLE</v>
      </c>
      <c r="C882" s="169" t="s">
        <v>1890</v>
      </c>
      <c r="D882" s="169">
        <v>422</v>
      </c>
      <c r="E882" s="169">
        <v>10</v>
      </c>
      <c r="F882" s="169" t="s">
        <v>1890</v>
      </c>
      <c r="G882" s="169" t="s">
        <v>1890</v>
      </c>
      <c r="H882" s="169">
        <v>9</v>
      </c>
      <c r="I882" s="136" t="str">
        <f t="shared" si="40"/>
        <v xml:space="preserve">CHAR(32) </v>
      </c>
      <c r="J882" s="169" t="s">
        <v>0</v>
      </c>
      <c r="K882" s="169" t="s">
        <v>0</v>
      </c>
      <c r="L882" s="169">
        <v>30</v>
      </c>
      <c r="M882" s="168"/>
      <c r="N882" s="168"/>
      <c r="O882" s="168"/>
      <c r="P882" s="168"/>
      <c r="Q882" s="168" t="s">
        <v>0</v>
      </c>
      <c r="R882" s="168" t="s">
        <v>1</v>
      </c>
      <c r="S882" s="178" t="str">
        <f t="shared" si="41"/>
        <v>D_EXPOSURE_RECEIVABLEISSUE_KEY</v>
      </c>
    </row>
    <row r="883" spans="1:19" ht="14.4" x14ac:dyDescent="0.3">
      <c r="A883" s="169" t="s">
        <v>1844</v>
      </c>
      <c r="B883" s="171" t="str">
        <f t="shared" si="39"/>
        <v>D_EXPOSURE_RECEIVABLE</v>
      </c>
      <c r="C883" s="169" t="s">
        <v>1899</v>
      </c>
      <c r="D883" s="169">
        <v>423</v>
      </c>
      <c r="E883" s="169">
        <v>11</v>
      </c>
      <c r="F883" s="169" t="s">
        <v>1899</v>
      </c>
      <c r="G883" s="169" t="s">
        <v>1899</v>
      </c>
      <c r="H883" s="169">
        <v>32</v>
      </c>
      <c r="I883" s="136" t="str">
        <f t="shared" si="40"/>
        <v>BYTEINT</v>
      </c>
      <c r="J883" s="169" t="s">
        <v>0</v>
      </c>
      <c r="K883" s="169" t="s">
        <v>1</v>
      </c>
      <c r="L883" s="169">
        <v>30</v>
      </c>
      <c r="M883" s="168"/>
      <c r="N883" s="168"/>
      <c r="O883" s="168"/>
      <c r="P883" s="168"/>
      <c r="Q883" s="168" t="s">
        <v>0</v>
      </c>
      <c r="R883" s="168" t="s">
        <v>1</v>
      </c>
      <c r="S883" s="178" t="str">
        <f t="shared" si="41"/>
        <v>D_EXPOSURE_RECEIVABLEMIN_MATURITY_FLAG</v>
      </c>
    </row>
    <row r="884" spans="1:19" ht="14.4" x14ac:dyDescent="0.3">
      <c r="A884" s="169" t="s">
        <v>1844</v>
      </c>
      <c r="B884" s="171" t="str">
        <f t="shared" si="39"/>
        <v>D_EXPOSURE_RECEIVABLE</v>
      </c>
      <c r="C884" s="169" t="s">
        <v>440</v>
      </c>
      <c r="D884" s="169">
        <v>424</v>
      </c>
      <c r="E884" s="169">
        <v>12</v>
      </c>
      <c r="F884" s="169" t="s">
        <v>440</v>
      </c>
      <c r="G884" s="169" t="s">
        <v>440</v>
      </c>
      <c r="H884" s="169">
        <v>22</v>
      </c>
      <c r="I884" s="136" t="str">
        <f t="shared" si="40"/>
        <v>TIMESTAMP(6)</v>
      </c>
      <c r="J884" s="169" t="s">
        <v>1</v>
      </c>
      <c r="K884" s="169" t="s">
        <v>1</v>
      </c>
      <c r="L884" s="169">
        <v>30</v>
      </c>
      <c r="M884" s="168"/>
      <c r="N884" s="168"/>
      <c r="O884" s="168"/>
      <c r="P884" s="168"/>
      <c r="Q884" s="168" t="s">
        <v>0</v>
      </c>
      <c r="R884" s="168" t="s">
        <v>1</v>
      </c>
      <c r="S884" s="178" t="str">
        <f t="shared" si="41"/>
        <v>D_EXPOSURE_RECEIVABLERECORD_CREATE_TS</v>
      </c>
    </row>
    <row r="885" spans="1:19" ht="14.4" x14ac:dyDescent="0.3">
      <c r="A885" s="169" t="s">
        <v>1844</v>
      </c>
      <c r="B885" s="171" t="str">
        <f t="shared" si="39"/>
        <v>D_EXPOSURE_RECEIVABLE</v>
      </c>
      <c r="C885" s="169" t="s">
        <v>429</v>
      </c>
      <c r="D885" s="169">
        <v>425</v>
      </c>
      <c r="E885" s="169">
        <v>13</v>
      </c>
      <c r="F885" s="169" t="s">
        <v>429</v>
      </c>
      <c r="G885" s="169" t="s">
        <v>429</v>
      </c>
      <c r="H885" s="169">
        <v>22</v>
      </c>
      <c r="I885" s="136" t="str">
        <f t="shared" si="40"/>
        <v>TIMESTAMP(6)</v>
      </c>
      <c r="J885" s="169" t="s">
        <v>1</v>
      </c>
      <c r="K885" s="169" t="s">
        <v>1</v>
      </c>
      <c r="L885" s="169">
        <v>30</v>
      </c>
      <c r="M885" s="168"/>
      <c r="N885" s="168"/>
      <c r="O885" s="168"/>
      <c r="P885" s="168"/>
      <c r="Q885" s="168" t="s">
        <v>0</v>
      </c>
      <c r="R885" s="168" t="s">
        <v>1</v>
      </c>
      <c r="S885" s="178" t="str">
        <f t="shared" si="41"/>
        <v>D_EXPOSURE_RECEIVABLERECORD_UPDATE_TS</v>
      </c>
    </row>
    <row r="886" spans="1:19" ht="14.4" x14ac:dyDescent="0.3">
      <c r="A886" s="169" t="s">
        <v>1844</v>
      </c>
      <c r="B886" s="171" t="str">
        <f t="shared" si="39"/>
        <v>D_EXPOSURE_RECEIVABLE</v>
      </c>
      <c r="C886" s="169" t="s">
        <v>498</v>
      </c>
      <c r="D886" s="169">
        <v>433</v>
      </c>
      <c r="E886" s="169">
        <v>14</v>
      </c>
      <c r="F886" s="169" t="s">
        <v>498</v>
      </c>
      <c r="G886" s="169" t="s">
        <v>498</v>
      </c>
      <c r="H886" s="169">
        <v>7</v>
      </c>
      <c r="I886" s="136" t="str">
        <f t="shared" si="40"/>
        <v>BIGINT</v>
      </c>
      <c r="J886" s="169" t="s">
        <v>0</v>
      </c>
      <c r="K886" s="169" t="s">
        <v>0</v>
      </c>
      <c r="L886" s="169">
        <v>30</v>
      </c>
      <c r="M886" s="168"/>
      <c r="N886" s="168"/>
      <c r="O886" s="168"/>
      <c r="P886" s="168"/>
      <c r="Q886" s="168" t="s">
        <v>0</v>
      </c>
      <c r="R886" s="168" t="s">
        <v>1</v>
      </c>
      <c r="S886" s="178" t="str">
        <f t="shared" si="41"/>
        <v>D_EXPOSURE_RECEIVABLERUN_ID</v>
      </c>
    </row>
    <row r="887" spans="1:19" ht="14.4" x14ac:dyDescent="0.3">
      <c r="A887" s="169" t="s">
        <v>1844</v>
      </c>
      <c r="B887" s="171" t="str">
        <f t="shared" si="39"/>
        <v>D_EXPOSURE_RECEIVABLE</v>
      </c>
      <c r="C887" s="169" t="s">
        <v>1887</v>
      </c>
      <c r="D887" s="169">
        <v>434</v>
      </c>
      <c r="E887" s="169">
        <v>15</v>
      </c>
      <c r="F887" s="169" t="s">
        <v>1887</v>
      </c>
      <c r="G887" s="169" t="s">
        <v>1887</v>
      </c>
      <c r="H887" s="169">
        <v>34</v>
      </c>
      <c r="I887" s="136" t="str">
        <f t="shared" si="40"/>
        <v>DATE</v>
      </c>
      <c r="J887" s="169" t="s">
        <v>0</v>
      </c>
      <c r="K887" s="169" t="s">
        <v>0</v>
      </c>
      <c r="L887" s="169">
        <v>30</v>
      </c>
      <c r="M887" s="168"/>
      <c r="N887" s="168"/>
      <c r="O887" s="168"/>
      <c r="P887" s="168"/>
      <c r="Q887" s="168" t="s">
        <v>0</v>
      </c>
      <c r="R887" s="168" t="s">
        <v>1</v>
      </c>
      <c r="S887" s="178" t="str">
        <f t="shared" si="41"/>
        <v>D_EXPOSURE_RECEIVABLEVALIDITY_DATE</v>
      </c>
    </row>
    <row r="888" spans="1:19" ht="14.4" x14ac:dyDescent="0.3">
      <c r="A888" s="169" t="s">
        <v>1849</v>
      </c>
      <c r="B888" s="171" t="str">
        <f t="shared" si="39"/>
        <v>D_EXPOSURE_SECURITIZATION</v>
      </c>
      <c r="C888" s="169" t="s">
        <v>1891</v>
      </c>
      <c r="D888" s="169">
        <v>435</v>
      </c>
      <c r="E888" s="169">
        <v>1</v>
      </c>
      <c r="F888" s="169" t="s">
        <v>1891</v>
      </c>
      <c r="G888" s="169" t="s">
        <v>1891</v>
      </c>
      <c r="H888" s="169">
        <v>39</v>
      </c>
      <c r="I888" s="136" t="str">
        <f t="shared" si="40"/>
        <v xml:space="preserve">VARCHAR(512) </v>
      </c>
      <c r="J888" s="169" t="s">
        <v>0</v>
      </c>
      <c r="K888" s="169" t="s">
        <v>1</v>
      </c>
      <c r="L888" s="169">
        <v>30</v>
      </c>
      <c r="M888" s="168"/>
      <c r="N888" s="168"/>
      <c r="O888" s="168"/>
      <c r="P888" s="168"/>
      <c r="Q888" s="168" t="s">
        <v>0</v>
      </c>
      <c r="R888" s="168" t="s">
        <v>1</v>
      </c>
      <c r="S888" s="178" t="str">
        <f t="shared" si="41"/>
        <v>D_EXPOSURE_SECURITIZATIONCONTRACT_NUMBER</v>
      </c>
    </row>
    <row r="889" spans="1:19" ht="14.4" x14ac:dyDescent="0.3">
      <c r="A889" s="169" t="s">
        <v>1849</v>
      </c>
      <c r="B889" s="171" t="str">
        <f t="shared" si="39"/>
        <v>D_EXPOSURE_SECURITIZATION</v>
      </c>
      <c r="C889" s="169" t="s">
        <v>1870</v>
      </c>
      <c r="D889" s="169">
        <v>436</v>
      </c>
      <c r="E889" s="169">
        <v>2</v>
      </c>
      <c r="F889" s="169" t="s">
        <v>1870</v>
      </c>
      <c r="G889" s="169" t="s">
        <v>1870</v>
      </c>
      <c r="H889" s="169">
        <v>45</v>
      </c>
      <c r="I889" s="136" t="str">
        <f t="shared" si="40"/>
        <v>DECIMAL(15, 0)</v>
      </c>
      <c r="J889" s="169" t="s">
        <v>0</v>
      </c>
      <c r="K889" s="169" t="s">
        <v>1</v>
      </c>
      <c r="L889" s="169">
        <v>30</v>
      </c>
      <c r="M889" s="168"/>
      <c r="N889" s="168"/>
      <c r="O889" s="168"/>
      <c r="P889" s="168"/>
      <c r="Q889" s="168" t="s">
        <v>0</v>
      </c>
      <c r="R889" s="168" t="s">
        <v>1</v>
      </c>
      <c r="S889" s="178" t="str">
        <f t="shared" si="41"/>
        <v>D_EXPOSURE_SECURITIZATIONCOUNTERPARTY_RK</v>
      </c>
    </row>
    <row r="890" spans="1:19" ht="14.4" x14ac:dyDescent="0.3">
      <c r="A890" s="169" t="s">
        <v>1849</v>
      </c>
      <c r="B890" s="171" t="str">
        <f t="shared" si="39"/>
        <v>D_EXPOSURE_SECURITIZATION</v>
      </c>
      <c r="C890" s="169" t="s">
        <v>1892</v>
      </c>
      <c r="D890" s="169">
        <v>437</v>
      </c>
      <c r="E890" s="169">
        <v>3</v>
      </c>
      <c r="F890" s="169" t="s">
        <v>1892</v>
      </c>
      <c r="G890" s="169" t="s">
        <v>1892</v>
      </c>
      <c r="H890" s="169">
        <v>14</v>
      </c>
      <c r="I890" s="136" t="str">
        <f t="shared" si="40"/>
        <v xml:space="preserve">CHAR(3) </v>
      </c>
      <c r="J890" s="169" t="s">
        <v>0</v>
      </c>
      <c r="K890" s="169" t="s">
        <v>1</v>
      </c>
      <c r="L890" s="169">
        <v>30</v>
      </c>
      <c r="M890" s="168"/>
      <c r="N890" s="168"/>
      <c r="O890" s="168"/>
      <c r="P890" s="168"/>
      <c r="Q890" s="168" t="s">
        <v>0</v>
      </c>
      <c r="R890" s="168" t="s">
        <v>1</v>
      </c>
      <c r="S890" s="178" t="str">
        <f t="shared" si="41"/>
        <v>D_EXPOSURE_SECURITIZATIONCURRENCY</v>
      </c>
    </row>
    <row r="891" spans="1:19" ht="14.4" x14ac:dyDescent="0.3">
      <c r="A891" s="169" t="s">
        <v>1849</v>
      </c>
      <c r="B891" s="171" t="str">
        <f t="shared" si="39"/>
        <v>D_EXPOSURE_SECURITIZATION</v>
      </c>
      <c r="C891" s="169" t="s">
        <v>1893</v>
      </c>
      <c r="D891" s="169">
        <v>438</v>
      </c>
      <c r="E891" s="169">
        <v>4</v>
      </c>
      <c r="F891" s="169" t="s">
        <v>1893</v>
      </c>
      <c r="G891" s="169" t="s">
        <v>1893</v>
      </c>
      <c r="H891" s="169">
        <v>14</v>
      </c>
      <c r="I891" s="136" t="str">
        <f t="shared" si="40"/>
        <v xml:space="preserve">CHAR(3) </v>
      </c>
      <c r="J891" s="169" t="s">
        <v>0</v>
      </c>
      <c r="K891" s="169" t="s">
        <v>1</v>
      </c>
      <c r="L891" s="169">
        <v>30</v>
      </c>
      <c r="M891" s="168"/>
      <c r="N891" s="168"/>
      <c r="O891" s="168"/>
      <c r="P891" s="168"/>
      <c r="Q891" s="168" t="s">
        <v>0</v>
      </c>
      <c r="R891" s="168" t="s">
        <v>1</v>
      </c>
      <c r="S891" s="178" t="str">
        <f t="shared" si="41"/>
        <v>D_EXPOSURE_SECURITIZATIONCURRENCY_ACT</v>
      </c>
    </row>
    <row r="892" spans="1:19" ht="14.4" x14ac:dyDescent="0.3">
      <c r="A892" s="169" t="s">
        <v>1849</v>
      </c>
      <c r="B892" s="171" t="str">
        <f t="shared" si="39"/>
        <v>D_EXPOSURE_SECURITIZATION</v>
      </c>
      <c r="C892" s="169" t="s">
        <v>1894</v>
      </c>
      <c r="D892" s="169">
        <v>439</v>
      </c>
      <c r="E892" s="169">
        <v>5</v>
      </c>
      <c r="F892" s="169" t="s">
        <v>1894</v>
      </c>
      <c r="G892" s="169" t="s">
        <v>1894</v>
      </c>
      <c r="H892" s="169">
        <v>40</v>
      </c>
      <c r="I892" s="136" t="str">
        <f t="shared" si="40"/>
        <v>DECIMAL(26, 4)</v>
      </c>
      <c r="J892" s="169" t="s">
        <v>0</v>
      </c>
      <c r="K892" s="169" t="s">
        <v>1</v>
      </c>
      <c r="L892" s="169">
        <v>30</v>
      </c>
      <c r="M892" s="168"/>
      <c r="N892" s="168"/>
      <c r="O892" s="168"/>
      <c r="P892" s="168"/>
      <c r="Q892" s="168" t="s">
        <v>0</v>
      </c>
      <c r="R892" s="168" t="s">
        <v>1</v>
      </c>
      <c r="S892" s="178" t="str">
        <f t="shared" si="41"/>
        <v>D_EXPOSURE_SECURITIZATIONEAD_NOCCF</v>
      </c>
    </row>
    <row r="893" spans="1:19" ht="14.4" x14ac:dyDescent="0.3">
      <c r="A893" s="169" t="s">
        <v>1849</v>
      </c>
      <c r="B893" s="171" t="str">
        <f t="shared" si="39"/>
        <v>D_EXPOSURE_SECURITIZATION</v>
      </c>
      <c r="C893" s="169" t="s">
        <v>1895</v>
      </c>
      <c r="D893" s="169">
        <v>440</v>
      </c>
      <c r="E893" s="169">
        <v>6</v>
      </c>
      <c r="F893" s="169" t="s">
        <v>1895</v>
      </c>
      <c r="G893" s="169" t="s">
        <v>1895</v>
      </c>
      <c r="H893" s="169">
        <v>40</v>
      </c>
      <c r="I893" s="136" t="str">
        <f t="shared" si="40"/>
        <v>DECIMAL(26, 4)</v>
      </c>
      <c r="J893" s="169" t="s">
        <v>0</v>
      </c>
      <c r="K893" s="169" t="s">
        <v>1</v>
      </c>
      <c r="L893" s="169">
        <v>30</v>
      </c>
      <c r="M893" s="168"/>
      <c r="N893" s="168"/>
      <c r="O893" s="168"/>
      <c r="P893" s="168"/>
      <c r="Q893" s="168" t="s">
        <v>0</v>
      </c>
      <c r="R893" s="168" t="s">
        <v>1</v>
      </c>
      <c r="S893" s="178" t="str">
        <f t="shared" si="41"/>
        <v>D_EXPOSURE_SECURITIZATIONEAD_NOCCF_ACT_CUR</v>
      </c>
    </row>
    <row r="894" spans="1:19" ht="14.4" x14ac:dyDescent="0.3">
      <c r="A894" s="169" t="s">
        <v>1849</v>
      </c>
      <c r="B894" s="171" t="str">
        <f t="shared" si="39"/>
        <v>D_EXPOSURE_SECURITIZATION</v>
      </c>
      <c r="C894" s="169" t="s">
        <v>1875</v>
      </c>
      <c r="D894" s="169">
        <v>441</v>
      </c>
      <c r="E894" s="169">
        <v>7</v>
      </c>
      <c r="F894" s="169" t="s">
        <v>1875</v>
      </c>
      <c r="G894" s="169" t="s">
        <v>1875</v>
      </c>
      <c r="H894" s="169">
        <v>22</v>
      </c>
      <c r="I894" s="136" t="str">
        <f t="shared" si="40"/>
        <v>TIMESTAMP(6)</v>
      </c>
      <c r="J894" s="169" t="s">
        <v>1</v>
      </c>
      <c r="K894" s="169" t="s">
        <v>0</v>
      </c>
      <c r="L894" s="169">
        <v>30</v>
      </c>
      <c r="M894" s="168"/>
      <c r="N894" s="168"/>
      <c r="O894" s="168"/>
      <c r="P894" s="168"/>
      <c r="Q894" s="168" t="s">
        <v>0</v>
      </c>
      <c r="R894" s="168" t="s">
        <v>1</v>
      </c>
      <c r="S894" s="178" t="str">
        <f t="shared" si="41"/>
        <v>D_EXPOSURE_SECURITIZATIONEXTRACTION_TS</v>
      </c>
    </row>
    <row r="895" spans="1:19" ht="14.4" x14ac:dyDescent="0.3">
      <c r="A895" s="169" t="s">
        <v>1849</v>
      </c>
      <c r="B895" s="171" t="str">
        <f t="shared" si="39"/>
        <v>D_EXPOSURE_SECURITIZATION</v>
      </c>
      <c r="C895" s="169" t="s">
        <v>1897</v>
      </c>
      <c r="D895" s="169">
        <v>442</v>
      </c>
      <c r="E895" s="169">
        <v>8</v>
      </c>
      <c r="F895" s="169" t="s">
        <v>1897</v>
      </c>
      <c r="G895" s="169" t="s">
        <v>1897</v>
      </c>
      <c r="H895" s="169">
        <v>50</v>
      </c>
      <c r="I895" s="136" t="str">
        <f t="shared" si="40"/>
        <v xml:space="preserve">VARCHAR(20) </v>
      </c>
      <c r="J895" s="169" t="s">
        <v>0</v>
      </c>
      <c r="K895" s="169" t="s">
        <v>1</v>
      </c>
      <c r="L895" s="169">
        <v>30</v>
      </c>
      <c r="M895" s="168"/>
      <c r="N895" s="168"/>
      <c r="O895" s="168"/>
      <c r="P895" s="168"/>
      <c r="Q895" s="168" t="s">
        <v>0</v>
      </c>
      <c r="R895" s="168" t="s">
        <v>1</v>
      </c>
      <c r="S895" s="178" t="str">
        <f t="shared" si="41"/>
        <v>D_EXPOSURE_SECURITIZATIONINSTID</v>
      </c>
    </row>
    <row r="896" spans="1:19" ht="14.4" x14ac:dyDescent="0.3">
      <c r="A896" s="169" t="s">
        <v>1849</v>
      </c>
      <c r="B896" s="171" t="str">
        <f t="shared" si="39"/>
        <v>D_EXPOSURE_SECURITIZATION</v>
      </c>
      <c r="C896" s="169" t="s">
        <v>1898</v>
      </c>
      <c r="D896" s="169">
        <v>443</v>
      </c>
      <c r="E896" s="169">
        <v>9</v>
      </c>
      <c r="F896" s="169" t="s">
        <v>1898</v>
      </c>
      <c r="G896" s="169" t="s">
        <v>1898</v>
      </c>
      <c r="H896" s="169">
        <v>45</v>
      </c>
      <c r="I896" s="136" t="str">
        <f t="shared" si="40"/>
        <v>DECIMAL(15, 0)</v>
      </c>
      <c r="J896" s="169" t="s">
        <v>0</v>
      </c>
      <c r="K896" s="169" t="s">
        <v>1</v>
      </c>
      <c r="L896" s="169">
        <v>30</v>
      </c>
      <c r="M896" s="168"/>
      <c r="N896" s="168"/>
      <c r="O896" s="168"/>
      <c r="P896" s="168"/>
      <c r="Q896" s="168" t="s">
        <v>0</v>
      </c>
      <c r="R896" s="168" t="s">
        <v>1</v>
      </c>
      <c r="S896" s="178" t="str">
        <f t="shared" si="41"/>
        <v>D_EXPOSURE_SECURITIZATIONINTERNAL_ORG_RK</v>
      </c>
    </row>
    <row r="897" spans="1:19" ht="14.4" x14ac:dyDescent="0.3">
      <c r="A897" s="169" t="s">
        <v>1849</v>
      </c>
      <c r="B897" s="171" t="str">
        <f t="shared" si="39"/>
        <v>D_EXPOSURE_SECURITIZATION</v>
      </c>
      <c r="C897" s="169" t="s">
        <v>1890</v>
      </c>
      <c r="D897" s="169">
        <v>444</v>
      </c>
      <c r="E897" s="169">
        <v>10</v>
      </c>
      <c r="F897" s="169" t="s">
        <v>1890</v>
      </c>
      <c r="G897" s="169" t="s">
        <v>1890</v>
      </c>
      <c r="H897" s="169">
        <v>9</v>
      </c>
      <c r="I897" s="136" t="str">
        <f t="shared" si="40"/>
        <v xml:space="preserve">CHAR(32) </v>
      </c>
      <c r="J897" s="169" t="s">
        <v>0</v>
      </c>
      <c r="K897" s="169" t="s">
        <v>0</v>
      </c>
      <c r="L897" s="169">
        <v>30</v>
      </c>
      <c r="M897" s="168"/>
      <c r="N897" s="168"/>
      <c r="O897" s="168"/>
      <c r="P897" s="168"/>
      <c r="Q897" s="168" t="s">
        <v>0</v>
      </c>
      <c r="R897" s="168" t="s">
        <v>1</v>
      </c>
      <c r="S897" s="178" t="str">
        <f t="shared" si="41"/>
        <v>D_EXPOSURE_SECURITIZATIONISSUE_KEY</v>
      </c>
    </row>
    <row r="898" spans="1:19" ht="14.4" x14ac:dyDescent="0.3">
      <c r="A898" s="169" t="s">
        <v>1849</v>
      </c>
      <c r="B898" s="171" t="str">
        <f t="shared" ref="B898:B961" si="42">IF(NOT(ISBLANK(A898)),VLOOKUP(A898,ERM_TABLE_NM,2,FALSE), "")</f>
        <v>D_EXPOSURE_SECURITIZATION</v>
      </c>
      <c r="C898" s="169" t="s">
        <v>440</v>
      </c>
      <c r="D898" s="169">
        <v>445</v>
      </c>
      <c r="E898" s="169">
        <v>11</v>
      </c>
      <c r="F898" s="169" t="s">
        <v>440</v>
      </c>
      <c r="G898" s="169" t="s">
        <v>440</v>
      </c>
      <c r="H898" s="169">
        <v>22</v>
      </c>
      <c r="I898" s="136" t="str">
        <f t="shared" ref="I898:I961" si="43">IF(NOT(ISBLANK(H898)),VLOOKUP(H898,ERM_DOMAIN_NM,2,FALSE), "")</f>
        <v>TIMESTAMP(6)</v>
      </c>
      <c r="J898" s="169" t="s">
        <v>1</v>
      </c>
      <c r="K898" s="169" t="s">
        <v>1</v>
      </c>
      <c r="L898" s="169">
        <v>30</v>
      </c>
      <c r="M898" s="168"/>
      <c r="N898" s="168"/>
      <c r="O898" s="168"/>
      <c r="P898" s="168"/>
      <c r="Q898" s="168" t="s">
        <v>0</v>
      </c>
      <c r="R898" s="168" t="s">
        <v>1</v>
      </c>
      <c r="S898" s="178" t="str">
        <f t="shared" si="41"/>
        <v>D_EXPOSURE_SECURITIZATIONRECORD_CREATE_TS</v>
      </c>
    </row>
    <row r="899" spans="1:19" ht="14.4" x14ac:dyDescent="0.3">
      <c r="A899" s="169" t="s">
        <v>1849</v>
      </c>
      <c r="B899" s="171" t="str">
        <f t="shared" si="42"/>
        <v>D_EXPOSURE_SECURITIZATION</v>
      </c>
      <c r="C899" s="169" t="s">
        <v>429</v>
      </c>
      <c r="D899" s="169">
        <v>446</v>
      </c>
      <c r="E899" s="169">
        <v>12</v>
      </c>
      <c r="F899" s="169" t="s">
        <v>429</v>
      </c>
      <c r="G899" s="169" t="s">
        <v>429</v>
      </c>
      <c r="H899" s="169">
        <v>22</v>
      </c>
      <c r="I899" s="136" t="str">
        <f t="shared" si="43"/>
        <v>TIMESTAMP(6)</v>
      </c>
      <c r="J899" s="169" t="s">
        <v>1</v>
      </c>
      <c r="K899" s="169" t="s">
        <v>1</v>
      </c>
      <c r="L899" s="169">
        <v>30</v>
      </c>
      <c r="M899" s="168"/>
      <c r="N899" s="168"/>
      <c r="O899" s="168"/>
      <c r="P899" s="168"/>
      <c r="Q899" s="168" t="s">
        <v>0</v>
      </c>
      <c r="R899" s="168" t="s">
        <v>1</v>
      </c>
      <c r="S899" s="178" t="str">
        <f t="shared" ref="S899:S962" si="44">CONCATENATE(A899,C899)</f>
        <v>D_EXPOSURE_SECURITIZATIONRECORD_UPDATE_TS</v>
      </c>
    </row>
    <row r="900" spans="1:19" ht="14.4" x14ac:dyDescent="0.3">
      <c r="A900" s="169" t="s">
        <v>1849</v>
      </c>
      <c r="B900" s="171" t="str">
        <f t="shared" si="42"/>
        <v>D_EXPOSURE_SECURITIZATION</v>
      </c>
      <c r="C900" s="169" t="s">
        <v>498</v>
      </c>
      <c r="D900" s="169">
        <v>447</v>
      </c>
      <c r="E900" s="169">
        <v>13</v>
      </c>
      <c r="F900" s="169" t="s">
        <v>498</v>
      </c>
      <c r="G900" s="169" t="s">
        <v>498</v>
      </c>
      <c r="H900" s="169">
        <v>7</v>
      </c>
      <c r="I900" s="136" t="str">
        <f t="shared" si="43"/>
        <v>BIGINT</v>
      </c>
      <c r="J900" s="169" t="s">
        <v>0</v>
      </c>
      <c r="K900" s="169" t="s">
        <v>0</v>
      </c>
      <c r="L900" s="169">
        <v>30</v>
      </c>
      <c r="M900" s="168"/>
      <c r="N900" s="168"/>
      <c r="O900" s="168"/>
      <c r="P900" s="168"/>
      <c r="Q900" s="168" t="s">
        <v>0</v>
      </c>
      <c r="R900" s="168" t="s">
        <v>1</v>
      </c>
      <c r="S900" s="178" t="str">
        <f t="shared" si="44"/>
        <v>D_EXPOSURE_SECURITIZATIONRUN_ID</v>
      </c>
    </row>
    <row r="901" spans="1:19" ht="14.4" x14ac:dyDescent="0.3">
      <c r="A901" s="169" t="s">
        <v>1849</v>
      </c>
      <c r="B901" s="171" t="str">
        <f t="shared" si="42"/>
        <v>D_EXPOSURE_SECURITIZATION</v>
      </c>
      <c r="C901" s="169" t="s">
        <v>1887</v>
      </c>
      <c r="D901" s="169">
        <v>448</v>
      </c>
      <c r="E901" s="169">
        <v>14</v>
      </c>
      <c r="F901" s="169" t="s">
        <v>1887</v>
      </c>
      <c r="G901" s="169" t="s">
        <v>1887</v>
      </c>
      <c r="H901" s="169">
        <v>34</v>
      </c>
      <c r="I901" s="136" t="str">
        <f t="shared" si="43"/>
        <v>DATE</v>
      </c>
      <c r="J901" s="169" t="s">
        <v>0</v>
      </c>
      <c r="K901" s="169" t="s">
        <v>0</v>
      </c>
      <c r="L901" s="169">
        <v>30</v>
      </c>
      <c r="M901" s="168"/>
      <c r="N901" s="168"/>
      <c r="O901" s="168"/>
      <c r="P901" s="168"/>
      <c r="Q901" s="168" t="s">
        <v>0</v>
      </c>
      <c r="R901" s="168" t="s">
        <v>1</v>
      </c>
      <c r="S901" s="178" t="str">
        <f t="shared" si="44"/>
        <v>D_EXPOSURE_SECURITIZATIONVALIDITY_DATE</v>
      </c>
    </row>
    <row r="902" spans="1:19" ht="14.4" x14ac:dyDescent="0.3">
      <c r="A902" s="169" t="s">
        <v>1355</v>
      </c>
      <c r="B902" s="171" t="str">
        <f t="shared" si="42"/>
        <v>D_FIX_EXPOSURE_TYPE</v>
      </c>
      <c r="C902" s="169" t="s">
        <v>487</v>
      </c>
      <c r="D902" s="169">
        <v>1502</v>
      </c>
      <c r="E902" s="169">
        <v>1</v>
      </c>
      <c r="F902" s="169" t="s">
        <v>487</v>
      </c>
      <c r="G902" s="169" t="s">
        <v>487</v>
      </c>
      <c r="H902" s="169">
        <v>24</v>
      </c>
      <c r="I902" s="136" t="str">
        <f t="shared" si="43"/>
        <v xml:space="preserve">VARCHAR(40) </v>
      </c>
      <c r="J902" s="169" t="s">
        <v>1</v>
      </c>
      <c r="K902" s="169" t="s">
        <v>1</v>
      </c>
      <c r="L902" s="169">
        <v>30</v>
      </c>
      <c r="M902" s="168"/>
      <c r="N902" s="168"/>
      <c r="O902" s="168"/>
      <c r="P902" s="168"/>
      <c r="Q902" s="168" t="s">
        <v>0</v>
      </c>
      <c r="R902" s="168" t="s">
        <v>1</v>
      </c>
      <c r="S902" s="178" t="str">
        <f t="shared" si="44"/>
        <v>D_FIX_EXPOSURE_TYPEEXPOSURE_TYPE_CD</v>
      </c>
    </row>
    <row r="903" spans="1:19" ht="14.4" x14ac:dyDescent="0.3">
      <c r="A903" s="169" t="s">
        <v>1355</v>
      </c>
      <c r="B903" s="171" t="str">
        <f t="shared" si="42"/>
        <v>D_FIX_EXPOSURE_TYPE</v>
      </c>
      <c r="C903" s="169" t="s">
        <v>489</v>
      </c>
      <c r="D903" s="169">
        <v>1503</v>
      </c>
      <c r="E903" s="169">
        <v>2</v>
      </c>
      <c r="F903" s="169" t="s">
        <v>489</v>
      </c>
      <c r="G903" s="169" t="s">
        <v>489</v>
      </c>
      <c r="H903" s="169">
        <v>7</v>
      </c>
      <c r="I903" s="136" t="str">
        <f t="shared" si="43"/>
        <v>BIGINT</v>
      </c>
      <c r="J903" s="169" t="s">
        <v>1</v>
      </c>
      <c r="K903" s="169" t="s">
        <v>0</v>
      </c>
      <c r="L903" s="169">
        <v>30</v>
      </c>
      <c r="M903" s="168"/>
      <c r="N903" s="168"/>
      <c r="O903" s="168"/>
      <c r="P903" s="168"/>
      <c r="Q903" s="168" t="s">
        <v>0</v>
      </c>
      <c r="R903" s="168" t="s">
        <v>1</v>
      </c>
      <c r="S903" s="178" t="str">
        <f t="shared" si="44"/>
        <v>D_FIX_EXPOSURE_TYPEEXPOSURE_TYPE_ID</v>
      </c>
    </row>
    <row r="904" spans="1:19" ht="14.4" x14ac:dyDescent="0.3">
      <c r="A904" s="169" t="s">
        <v>1355</v>
      </c>
      <c r="B904" s="171" t="str">
        <f t="shared" si="42"/>
        <v>D_FIX_EXPOSURE_TYPE</v>
      </c>
      <c r="C904" s="169" t="s">
        <v>488</v>
      </c>
      <c r="D904" s="169">
        <v>1504</v>
      </c>
      <c r="E904" s="169">
        <v>3</v>
      </c>
      <c r="F904" s="169" t="s">
        <v>488</v>
      </c>
      <c r="G904" s="169" t="s">
        <v>488</v>
      </c>
      <c r="H904" s="169">
        <v>13</v>
      </c>
      <c r="I904" s="136" t="str">
        <f t="shared" si="43"/>
        <v xml:space="preserve">VARCHAR(300) </v>
      </c>
      <c r="J904" s="169" t="s">
        <v>0</v>
      </c>
      <c r="K904" s="169" t="s">
        <v>1</v>
      </c>
      <c r="L904" s="169">
        <v>30</v>
      </c>
      <c r="M904" s="168"/>
      <c r="N904" s="168"/>
      <c r="O904" s="168"/>
      <c r="P904" s="168"/>
      <c r="Q904" s="168" t="s">
        <v>0</v>
      </c>
      <c r="R904" s="168" t="s">
        <v>1</v>
      </c>
      <c r="S904" s="178" t="str">
        <f t="shared" si="44"/>
        <v>D_FIX_EXPOSURE_TYPEEXPOSURE_TYPE_NM</v>
      </c>
    </row>
    <row r="905" spans="1:19" ht="14.4" x14ac:dyDescent="0.3">
      <c r="A905" s="169" t="s">
        <v>1355</v>
      </c>
      <c r="B905" s="171" t="str">
        <f t="shared" si="42"/>
        <v>D_FIX_EXPOSURE_TYPE</v>
      </c>
      <c r="C905" s="169" t="s">
        <v>440</v>
      </c>
      <c r="D905" s="169">
        <v>1505</v>
      </c>
      <c r="E905" s="169">
        <v>4</v>
      </c>
      <c r="F905" s="169" t="s">
        <v>440</v>
      </c>
      <c r="G905" s="169" t="s">
        <v>440</v>
      </c>
      <c r="H905" s="169">
        <v>22</v>
      </c>
      <c r="I905" s="136" t="str">
        <f t="shared" si="43"/>
        <v>TIMESTAMP(6)</v>
      </c>
      <c r="J905" s="169" t="s">
        <v>1</v>
      </c>
      <c r="K905" s="169" t="s">
        <v>1</v>
      </c>
      <c r="L905" s="169">
        <v>30</v>
      </c>
      <c r="M905" s="168"/>
      <c r="N905" s="168"/>
      <c r="O905" s="168"/>
      <c r="P905" s="168"/>
      <c r="Q905" s="168" t="s">
        <v>0</v>
      </c>
      <c r="R905" s="168" t="s">
        <v>1</v>
      </c>
      <c r="S905" s="178" t="str">
        <f t="shared" si="44"/>
        <v>D_FIX_EXPOSURE_TYPERECORD_CREATE_TS</v>
      </c>
    </row>
    <row r="906" spans="1:19" ht="14.4" x14ac:dyDescent="0.3">
      <c r="A906" s="169" t="s">
        <v>1355</v>
      </c>
      <c r="B906" s="171" t="str">
        <f t="shared" si="42"/>
        <v>D_FIX_EXPOSURE_TYPE</v>
      </c>
      <c r="C906" s="169" t="s">
        <v>429</v>
      </c>
      <c r="D906" s="169">
        <v>1506</v>
      </c>
      <c r="E906" s="169">
        <v>5</v>
      </c>
      <c r="F906" s="169" t="s">
        <v>429</v>
      </c>
      <c r="G906" s="169" t="s">
        <v>429</v>
      </c>
      <c r="H906" s="169">
        <v>22</v>
      </c>
      <c r="I906" s="136" t="str">
        <f t="shared" si="43"/>
        <v>TIMESTAMP(6)</v>
      </c>
      <c r="J906" s="169" t="s">
        <v>1</v>
      </c>
      <c r="K906" s="169" t="s">
        <v>1</v>
      </c>
      <c r="L906" s="169">
        <v>30</v>
      </c>
      <c r="M906" s="168"/>
      <c r="N906" s="168"/>
      <c r="O906" s="168"/>
      <c r="P906" s="168"/>
      <c r="Q906" s="168" t="s">
        <v>0</v>
      </c>
      <c r="R906" s="168" t="s">
        <v>1</v>
      </c>
      <c r="S906" s="178" t="str">
        <f t="shared" si="44"/>
        <v>D_FIX_EXPOSURE_TYPERECORD_UPDATE_TS</v>
      </c>
    </row>
    <row r="907" spans="1:19" ht="14.4" x14ac:dyDescent="0.3">
      <c r="A907" s="169" t="s">
        <v>1780</v>
      </c>
      <c r="B907" s="171" t="str">
        <f t="shared" si="42"/>
        <v>D_FIX_LOAD_MODULE</v>
      </c>
      <c r="C907" s="169" t="s">
        <v>1799</v>
      </c>
      <c r="D907" s="169">
        <v>1507</v>
      </c>
      <c r="E907" s="169">
        <v>1</v>
      </c>
      <c r="F907" s="169" t="s">
        <v>1799</v>
      </c>
      <c r="G907" s="169" t="s">
        <v>1799</v>
      </c>
      <c r="H907" s="169">
        <v>28</v>
      </c>
      <c r="I907" s="136" t="str">
        <f t="shared" si="43"/>
        <v xml:space="preserve">VARCHAR(8) </v>
      </c>
      <c r="J907" s="169" t="s">
        <v>1</v>
      </c>
      <c r="K907" s="169" t="s">
        <v>0</v>
      </c>
      <c r="L907" s="169">
        <v>30</v>
      </c>
      <c r="M907" s="168"/>
      <c r="N907" s="168"/>
      <c r="O907" s="168"/>
      <c r="P907" s="168"/>
      <c r="Q907" s="168" t="s">
        <v>0</v>
      </c>
      <c r="R907" s="168" t="s">
        <v>1</v>
      </c>
      <c r="S907" s="178" t="str">
        <f t="shared" si="44"/>
        <v>D_FIX_LOAD_MODULELOAD_MODULE_CD</v>
      </c>
    </row>
    <row r="908" spans="1:19" ht="14.4" x14ac:dyDescent="0.3">
      <c r="A908" s="169" t="s">
        <v>1780</v>
      </c>
      <c r="B908" s="171" t="str">
        <f t="shared" si="42"/>
        <v>D_FIX_LOAD_MODULE</v>
      </c>
      <c r="C908" s="169" t="s">
        <v>1789</v>
      </c>
      <c r="D908" s="169">
        <v>1508</v>
      </c>
      <c r="E908" s="169">
        <v>2</v>
      </c>
      <c r="F908" s="169" t="s">
        <v>1789</v>
      </c>
      <c r="G908" s="169" t="s">
        <v>1789</v>
      </c>
      <c r="H908" s="169">
        <v>19</v>
      </c>
      <c r="I908" s="136" t="str">
        <f t="shared" si="43"/>
        <v xml:space="preserve">VARCHAR(1000) </v>
      </c>
      <c r="J908" s="169" t="s">
        <v>1</v>
      </c>
      <c r="K908" s="169" t="s">
        <v>1</v>
      </c>
      <c r="L908" s="169">
        <v>30</v>
      </c>
      <c r="M908" s="168"/>
      <c r="N908" s="168"/>
      <c r="O908" s="168"/>
      <c r="P908" s="168"/>
      <c r="Q908" s="168" t="s">
        <v>0</v>
      </c>
      <c r="R908" s="168" t="s">
        <v>1</v>
      </c>
      <c r="S908" s="178" t="str">
        <f t="shared" si="44"/>
        <v>D_FIX_LOAD_MODULELOAD_MODULE_DSC</v>
      </c>
    </row>
    <row r="909" spans="1:19" ht="14.4" x14ac:dyDescent="0.3">
      <c r="A909" s="169" t="s">
        <v>1780</v>
      </c>
      <c r="B909" s="171" t="str">
        <f t="shared" si="42"/>
        <v>D_FIX_LOAD_MODULE</v>
      </c>
      <c r="C909" s="169" t="s">
        <v>440</v>
      </c>
      <c r="D909" s="169">
        <v>1509</v>
      </c>
      <c r="E909" s="169">
        <v>3</v>
      </c>
      <c r="F909" s="169" t="s">
        <v>440</v>
      </c>
      <c r="G909" s="169" t="s">
        <v>440</v>
      </c>
      <c r="H909" s="169">
        <v>22</v>
      </c>
      <c r="I909" s="136" t="str">
        <f t="shared" si="43"/>
        <v>TIMESTAMP(6)</v>
      </c>
      <c r="J909" s="169" t="s">
        <v>1</v>
      </c>
      <c r="K909" s="169" t="s">
        <v>1</v>
      </c>
      <c r="L909" s="169">
        <v>30</v>
      </c>
      <c r="M909" s="168"/>
      <c r="N909" s="168"/>
      <c r="O909" s="168"/>
      <c r="P909" s="168"/>
      <c r="Q909" s="168" t="s">
        <v>0</v>
      </c>
      <c r="R909" s="168" t="s">
        <v>1</v>
      </c>
      <c r="S909" s="178" t="str">
        <f t="shared" si="44"/>
        <v>D_FIX_LOAD_MODULERECORD_CREATE_TS</v>
      </c>
    </row>
    <row r="910" spans="1:19" ht="14.4" x14ac:dyDescent="0.3">
      <c r="A910" s="169" t="s">
        <v>1780</v>
      </c>
      <c r="B910" s="171" t="str">
        <f t="shared" si="42"/>
        <v>D_FIX_LOAD_MODULE</v>
      </c>
      <c r="C910" s="169" t="s">
        <v>429</v>
      </c>
      <c r="D910" s="169">
        <v>1510</v>
      </c>
      <c r="E910" s="169">
        <v>4</v>
      </c>
      <c r="F910" s="169" t="s">
        <v>429</v>
      </c>
      <c r="G910" s="169" t="s">
        <v>429</v>
      </c>
      <c r="H910" s="169">
        <v>22</v>
      </c>
      <c r="I910" s="136" t="str">
        <f t="shared" si="43"/>
        <v>TIMESTAMP(6)</v>
      </c>
      <c r="J910" s="169" t="s">
        <v>1</v>
      </c>
      <c r="K910" s="169" t="s">
        <v>1</v>
      </c>
      <c r="L910" s="169">
        <v>30</v>
      </c>
      <c r="M910" s="168"/>
      <c r="N910" s="168"/>
      <c r="O910" s="168"/>
      <c r="P910" s="168"/>
      <c r="Q910" s="168" t="s">
        <v>0</v>
      </c>
      <c r="R910" s="168" t="s">
        <v>1</v>
      </c>
      <c r="S910" s="178" t="str">
        <f t="shared" si="44"/>
        <v>D_FIX_LOAD_MODULERECORD_UPDATE_TS</v>
      </c>
    </row>
    <row r="911" spans="1:19" ht="14.4" x14ac:dyDescent="0.3">
      <c r="A911" s="169" t="s">
        <v>2051</v>
      </c>
      <c r="B911" s="171" t="str">
        <f t="shared" si="42"/>
        <v>D_FIX_LOAD_TABLE</v>
      </c>
      <c r="C911" s="169" t="s">
        <v>2119</v>
      </c>
      <c r="D911" s="169">
        <v>1511</v>
      </c>
      <c r="E911" s="169">
        <v>1</v>
      </c>
      <c r="F911" s="169" t="s">
        <v>2119</v>
      </c>
      <c r="G911" s="169" t="s">
        <v>2119</v>
      </c>
      <c r="H911" s="169">
        <v>15</v>
      </c>
      <c r="I911" s="136" t="str">
        <f t="shared" si="43"/>
        <v xml:space="preserve">CHAR(1) </v>
      </c>
      <c r="J911" s="169" t="s">
        <v>1</v>
      </c>
      <c r="K911" s="169" t="s">
        <v>1</v>
      </c>
      <c r="L911" s="169">
        <v>30</v>
      </c>
      <c r="M911" s="168"/>
      <c r="N911" s="168"/>
      <c r="O911" s="168"/>
      <c r="P911" s="168"/>
      <c r="Q911" s="168" t="s">
        <v>0</v>
      </c>
      <c r="R911" s="168" t="s">
        <v>1</v>
      </c>
      <c r="S911" s="178" t="str">
        <f t="shared" si="44"/>
        <v>D_FIX_LOAD_TABLELOAD_TABLE_BTH_IND</v>
      </c>
    </row>
    <row r="912" spans="1:19" ht="14.4" x14ac:dyDescent="0.3">
      <c r="A912" s="169" t="s">
        <v>2051</v>
      </c>
      <c r="B912" s="171" t="str">
        <f t="shared" si="42"/>
        <v>D_FIX_LOAD_TABLE</v>
      </c>
      <c r="C912" s="169" t="s">
        <v>2120</v>
      </c>
      <c r="D912" s="169">
        <v>1512</v>
      </c>
      <c r="E912" s="169">
        <v>2</v>
      </c>
      <c r="F912" s="169" t="s">
        <v>2120</v>
      </c>
      <c r="G912" s="169" t="s">
        <v>2120</v>
      </c>
      <c r="H912" s="169">
        <v>20</v>
      </c>
      <c r="I912" s="136" t="str">
        <f t="shared" si="43"/>
        <v xml:space="preserve">VARCHAR(32) </v>
      </c>
      <c r="J912" s="169" t="s">
        <v>1</v>
      </c>
      <c r="K912" s="169" t="s">
        <v>0</v>
      </c>
      <c r="L912" s="169">
        <v>30</v>
      </c>
      <c r="M912" s="168"/>
      <c r="N912" s="168"/>
      <c r="O912" s="168"/>
      <c r="P912" s="168"/>
      <c r="Q912" s="168" t="s">
        <v>0</v>
      </c>
      <c r="R912" s="168" t="s">
        <v>1</v>
      </c>
      <c r="S912" s="178" t="str">
        <f t="shared" si="44"/>
        <v>D_FIX_LOAD_TABLELOAD_TABLE_CD</v>
      </c>
    </row>
    <row r="913" spans="1:19" ht="14.4" x14ac:dyDescent="0.3">
      <c r="A913" s="169" t="s">
        <v>2051</v>
      </c>
      <c r="B913" s="171" t="str">
        <f t="shared" si="42"/>
        <v>D_FIX_LOAD_TABLE</v>
      </c>
      <c r="C913" s="169" t="s">
        <v>2121</v>
      </c>
      <c r="D913" s="169">
        <v>1513</v>
      </c>
      <c r="E913" s="169">
        <v>3</v>
      </c>
      <c r="F913" s="169" t="s">
        <v>2121</v>
      </c>
      <c r="G913" s="169" t="s">
        <v>2121</v>
      </c>
      <c r="H913" s="169">
        <v>15</v>
      </c>
      <c r="I913" s="136" t="str">
        <f t="shared" si="43"/>
        <v xml:space="preserve">CHAR(1) </v>
      </c>
      <c r="J913" s="169" t="s">
        <v>1</v>
      </c>
      <c r="K913" s="169" t="s">
        <v>1</v>
      </c>
      <c r="L913" s="169">
        <v>30</v>
      </c>
      <c r="M913" s="168"/>
      <c r="N913" s="168"/>
      <c r="O913" s="168"/>
      <c r="P913" s="168"/>
      <c r="Q913" s="168" t="s">
        <v>0</v>
      </c>
      <c r="R913" s="168" t="s">
        <v>1</v>
      </c>
      <c r="S913" s="178" t="str">
        <f t="shared" si="44"/>
        <v>D_FIX_LOAD_TABLELOAD_TABLE_HUB_IND</v>
      </c>
    </row>
    <row r="914" spans="1:19" ht="14.4" x14ac:dyDescent="0.3">
      <c r="A914" s="169" t="s">
        <v>2051</v>
      </c>
      <c r="B914" s="171" t="str">
        <f t="shared" si="42"/>
        <v>D_FIX_LOAD_TABLE</v>
      </c>
      <c r="C914" s="169" t="s">
        <v>2122</v>
      </c>
      <c r="D914" s="169">
        <v>1514</v>
      </c>
      <c r="E914" s="169">
        <v>4</v>
      </c>
      <c r="F914" s="169" t="s">
        <v>2122</v>
      </c>
      <c r="G914" s="169" t="s">
        <v>2122</v>
      </c>
      <c r="H914" s="169">
        <v>13</v>
      </c>
      <c r="I914" s="136" t="str">
        <f t="shared" si="43"/>
        <v xml:space="preserve">VARCHAR(300) </v>
      </c>
      <c r="J914" s="169" t="s">
        <v>1</v>
      </c>
      <c r="K914" s="169" t="s">
        <v>1</v>
      </c>
      <c r="L914" s="169">
        <v>30</v>
      </c>
      <c r="M914" s="168"/>
      <c r="N914" s="168"/>
      <c r="O914" s="168"/>
      <c r="P914" s="168"/>
      <c r="Q914" s="168" t="s">
        <v>0</v>
      </c>
      <c r="R914" s="168" t="s">
        <v>1</v>
      </c>
      <c r="S914" s="178" t="str">
        <f t="shared" si="44"/>
        <v>D_FIX_LOAD_TABLELOAD_TABLE_KEY_LIST</v>
      </c>
    </row>
    <row r="915" spans="1:19" ht="14.4" x14ac:dyDescent="0.3">
      <c r="A915" s="169" t="s">
        <v>2051</v>
      </c>
      <c r="B915" s="171" t="str">
        <f t="shared" si="42"/>
        <v>D_FIX_LOAD_TABLE</v>
      </c>
      <c r="C915" s="169" t="s">
        <v>440</v>
      </c>
      <c r="D915" s="169">
        <v>1515</v>
      </c>
      <c r="E915" s="169">
        <v>5</v>
      </c>
      <c r="F915" s="169" t="s">
        <v>440</v>
      </c>
      <c r="G915" s="169" t="s">
        <v>440</v>
      </c>
      <c r="H915" s="169">
        <v>22</v>
      </c>
      <c r="I915" s="136" t="str">
        <f t="shared" si="43"/>
        <v>TIMESTAMP(6)</v>
      </c>
      <c r="J915" s="169" t="s">
        <v>1</v>
      </c>
      <c r="K915" s="169" t="s">
        <v>1</v>
      </c>
      <c r="L915" s="169">
        <v>30</v>
      </c>
      <c r="M915" s="168"/>
      <c r="N915" s="168"/>
      <c r="O915" s="168"/>
      <c r="P915" s="168"/>
      <c r="Q915" s="168" t="s">
        <v>0</v>
      </c>
      <c r="R915" s="168" t="s">
        <v>1</v>
      </c>
      <c r="S915" s="178" t="str">
        <f t="shared" si="44"/>
        <v>D_FIX_LOAD_TABLERECORD_CREATE_TS</v>
      </c>
    </row>
    <row r="916" spans="1:19" ht="14.4" x14ac:dyDescent="0.3">
      <c r="A916" s="169" t="s">
        <v>2051</v>
      </c>
      <c r="B916" s="171" t="str">
        <f t="shared" si="42"/>
        <v>D_FIX_LOAD_TABLE</v>
      </c>
      <c r="C916" s="169" t="s">
        <v>429</v>
      </c>
      <c r="D916" s="169">
        <v>1516</v>
      </c>
      <c r="E916" s="169">
        <v>6</v>
      </c>
      <c r="F916" s="169" t="s">
        <v>429</v>
      </c>
      <c r="G916" s="169" t="s">
        <v>429</v>
      </c>
      <c r="H916" s="169">
        <v>22</v>
      </c>
      <c r="I916" s="136" t="str">
        <f t="shared" si="43"/>
        <v>TIMESTAMP(6)</v>
      </c>
      <c r="J916" s="169" t="s">
        <v>1</v>
      </c>
      <c r="K916" s="169" t="s">
        <v>1</v>
      </c>
      <c r="L916" s="169">
        <v>30</v>
      </c>
      <c r="M916" s="168"/>
      <c r="N916" s="168"/>
      <c r="O916" s="168"/>
      <c r="P916" s="168"/>
      <c r="Q916" s="168" t="s">
        <v>0</v>
      </c>
      <c r="R916" s="168" t="s">
        <v>1</v>
      </c>
      <c r="S916" s="178" t="str">
        <f t="shared" si="44"/>
        <v>D_FIX_LOAD_TABLERECORD_UPDATE_TS</v>
      </c>
    </row>
    <row r="917" spans="1:19" ht="14.4" x14ac:dyDescent="0.3">
      <c r="A917" s="169" t="s">
        <v>2040</v>
      </c>
      <c r="B917" s="171" t="str">
        <f t="shared" si="42"/>
        <v>D_FIX_LOAD_TABLE_MODULE</v>
      </c>
      <c r="C917" s="169" t="s">
        <v>1799</v>
      </c>
      <c r="D917" s="169">
        <v>449</v>
      </c>
      <c r="E917" s="169">
        <v>1</v>
      </c>
      <c r="F917" s="169" t="s">
        <v>1799</v>
      </c>
      <c r="G917" s="169" t="s">
        <v>1799</v>
      </c>
      <c r="H917" s="169">
        <v>28</v>
      </c>
      <c r="I917" s="136" t="str">
        <f t="shared" si="43"/>
        <v xml:space="preserve">VARCHAR(8) </v>
      </c>
      <c r="J917" s="169" t="s">
        <v>1</v>
      </c>
      <c r="K917" s="169" t="s">
        <v>0</v>
      </c>
      <c r="L917" s="169">
        <v>30</v>
      </c>
      <c r="M917" s="168"/>
      <c r="N917" s="168"/>
      <c r="O917" s="168"/>
      <c r="P917" s="168"/>
      <c r="Q917" s="168" t="s">
        <v>0</v>
      </c>
      <c r="R917" s="168" t="s">
        <v>1</v>
      </c>
      <c r="S917" s="178" t="str">
        <f t="shared" si="44"/>
        <v>D_FIX_LOAD_TABLE_MODULELOAD_MODULE_CD</v>
      </c>
    </row>
    <row r="918" spans="1:19" ht="14.4" x14ac:dyDescent="0.3">
      <c r="A918" s="169" t="s">
        <v>2040</v>
      </c>
      <c r="B918" s="171" t="str">
        <f t="shared" si="42"/>
        <v>D_FIX_LOAD_TABLE_MODULE</v>
      </c>
      <c r="C918" s="169" t="s">
        <v>2120</v>
      </c>
      <c r="D918" s="169">
        <v>450</v>
      </c>
      <c r="E918" s="169">
        <v>2</v>
      </c>
      <c r="F918" s="169" t="s">
        <v>2120</v>
      </c>
      <c r="G918" s="169" t="s">
        <v>2120</v>
      </c>
      <c r="H918" s="169">
        <v>20</v>
      </c>
      <c r="I918" s="136" t="str">
        <f t="shared" si="43"/>
        <v xml:space="preserve">VARCHAR(32) </v>
      </c>
      <c r="J918" s="169" t="s">
        <v>1</v>
      </c>
      <c r="K918" s="169" t="s">
        <v>0</v>
      </c>
      <c r="L918" s="169">
        <v>30</v>
      </c>
      <c r="M918" s="168"/>
      <c r="N918" s="168"/>
      <c r="O918" s="168"/>
      <c r="P918" s="168"/>
      <c r="Q918" s="168" t="s">
        <v>0</v>
      </c>
      <c r="R918" s="168" t="s">
        <v>1</v>
      </c>
      <c r="S918" s="178" t="str">
        <f t="shared" si="44"/>
        <v>D_FIX_LOAD_TABLE_MODULELOAD_TABLE_CD</v>
      </c>
    </row>
    <row r="919" spans="1:19" ht="14.4" x14ac:dyDescent="0.3">
      <c r="A919" s="169" t="s">
        <v>2040</v>
      </c>
      <c r="B919" s="171" t="str">
        <f t="shared" si="42"/>
        <v>D_FIX_LOAD_TABLE_MODULE</v>
      </c>
      <c r="C919" s="169" t="s">
        <v>440</v>
      </c>
      <c r="D919" s="169">
        <v>451</v>
      </c>
      <c r="E919" s="169">
        <v>3</v>
      </c>
      <c r="F919" s="169" t="s">
        <v>440</v>
      </c>
      <c r="G919" s="169" t="s">
        <v>440</v>
      </c>
      <c r="H919" s="169">
        <v>22</v>
      </c>
      <c r="I919" s="136" t="str">
        <f t="shared" si="43"/>
        <v>TIMESTAMP(6)</v>
      </c>
      <c r="J919" s="169" t="s">
        <v>1</v>
      </c>
      <c r="K919" s="169" t="s">
        <v>1</v>
      </c>
      <c r="L919" s="169">
        <v>30</v>
      </c>
      <c r="M919" s="168"/>
      <c r="N919" s="168"/>
      <c r="O919" s="168"/>
      <c r="P919" s="168"/>
      <c r="Q919" s="168" t="s">
        <v>0</v>
      </c>
      <c r="R919" s="168" t="s">
        <v>1</v>
      </c>
      <c r="S919" s="178" t="str">
        <f t="shared" si="44"/>
        <v>D_FIX_LOAD_TABLE_MODULERECORD_CREATE_TS</v>
      </c>
    </row>
    <row r="920" spans="1:19" ht="14.4" x14ac:dyDescent="0.3">
      <c r="A920" s="169" t="s">
        <v>2040</v>
      </c>
      <c r="B920" s="171" t="str">
        <f t="shared" si="42"/>
        <v>D_FIX_LOAD_TABLE_MODULE</v>
      </c>
      <c r="C920" s="169" t="s">
        <v>429</v>
      </c>
      <c r="D920" s="169">
        <v>452</v>
      </c>
      <c r="E920" s="169">
        <v>4</v>
      </c>
      <c r="F920" s="169" t="s">
        <v>429</v>
      </c>
      <c r="G920" s="169" t="s">
        <v>429</v>
      </c>
      <c r="H920" s="169">
        <v>22</v>
      </c>
      <c r="I920" s="136" t="str">
        <f t="shared" si="43"/>
        <v>TIMESTAMP(6)</v>
      </c>
      <c r="J920" s="169" t="s">
        <v>1</v>
      </c>
      <c r="K920" s="169" t="s">
        <v>1</v>
      </c>
      <c r="L920" s="169">
        <v>30</v>
      </c>
      <c r="M920" s="168"/>
      <c r="N920" s="168"/>
      <c r="O920" s="168"/>
      <c r="P920" s="168"/>
      <c r="Q920" s="168" t="s">
        <v>0</v>
      </c>
      <c r="R920" s="168" t="s">
        <v>1</v>
      </c>
      <c r="S920" s="178" t="str">
        <f t="shared" si="44"/>
        <v>D_FIX_LOAD_TABLE_MODULERECORD_UPDATE_TS</v>
      </c>
    </row>
    <row r="921" spans="1:19" ht="14.4" x14ac:dyDescent="0.3">
      <c r="A921" s="169" t="s">
        <v>1831</v>
      </c>
      <c r="B921" s="171" t="str">
        <f t="shared" si="42"/>
        <v>D_F_CLAIM_STD_X_ORIG_BH</v>
      </c>
      <c r="C921" s="169" t="s">
        <v>585</v>
      </c>
      <c r="D921" s="169">
        <v>1517</v>
      </c>
      <c r="E921" s="169">
        <v>1</v>
      </c>
      <c r="F921" s="169" t="s">
        <v>585</v>
      </c>
      <c r="G921" s="169" t="s">
        <v>585</v>
      </c>
      <c r="H921" s="169">
        <v>7</v>
      </c>
      <c r="I921" s="136" t="str">
        <f t="shared" si="43"/>
        <v>BIGINT</v>
      </c>
      <c r="J921" s="169" t="s">
        <v>1</v>
      </c>
      <c r="K921" s="169" t="s">
        <v>0</v>
      </c>
      <c r="L921" s="169">
        <v>30</v>
      </c>
      <c r="M921" s="168"/>
      <c r="N921" s="168"/>
      <c r="O921" s="168"/>
      <c r="P921" s="168"/>
      <c r="Q921" s="168" t="s">
        <v>0</v>
      </c>
      <c r="R921" s="168" t="s">
        <v>1</v>
      </c>
      <c r="S921" s="178" t="str">
        <f t="shared" si="44"/>
        <v>D_F_CLAIM_STD_X_ORIG_BHCLAIM_ORIG_ID</v>
      </c>
    </row>
    <row r="922" spans="1:19" ht="14.4" x14ac:dyDescent="0.3">
      <c r="A922" s="169" t="s">
        <v>1831</v>
      </c>
      <c r="B922" s="171" t="str">
        <f t="shared" si="42"/>
        <v>D_F_CLAIM_STD_X_ORIG_BH</v>
      </c>
      <c r="C922" s="169" t="s">
        <v>2123</v>
      </c>
      <c r="D922" s="169">
        <v>1518</v>
      </c>
      <c r="E922" s="169">
        <v>2</v>
      </c>
      <c r="F922" s="169" t="s">
        <v>2123</v>
      </c>
      <c r="G922" s="169" t="s">
        <v>2123</v>
      </c>
      <c r="H922" s="169">
        <v>7</v>
      </c>
      <c r="I922" s="136" t="str">
        <f t="shared" si="43"/>
        <v>BIGINT</v>
      </c>
      <c r="J922" s="169" t="s">
        <v>1</v>
      </c>
      <c r="K922" s="169" t="s">
        <v>1</v>
      </c>
      <c r="L922" s="169">
        <v>30</v>
      </c>
      <c r="M922" s="168"/>
      <c r="N922" s="168"/>
      <c r="O922" s="168"/>
      <c r="P922" s="168"/>
      <c r="Q922" s="168" t="s">
        <v>0</v>
      </c>
      <c r="R922" s="168" t="s">
        <v>1</v>
      </c>
      <c r="S922" s="178" t="str">
        <f t="shared" si="44"/>
        <v>D_F_CLAIM_STD_X_ORIG_BHF_CLAIM_STD_ID</v>
      </c>
    </row>
    <row r="923" spans="1:19" ht="14.4" x14ac:dyDescent="0.3">
      <c r="A923" s="169" t="s">
        <v>1831</v>
      </c>
      <c r="B923" s="171" t="str">
        <f t="shared" si="42"/>
        <v>D_F_CLAIM_STD_X_ORIG_BH</v>
      </c>
      <c r="C923" s="169" t="s">
        <v>440</v>
      </c>
      <c r="D923" s="169">
        <v>1519</v>
      </c>
      <c r="E923" s="169">
        <v>3</v>
      </c>
      <c r="F923" s="169" t="s">
        <v>440</v>
      </c>
      <c r="G923" s="169" t="s">
        <v>440</v>
      </c>
      <c r="H923" s="169">
        <v>22</v>
      </c>
      <c r="I923" s="136" t="str">
        <f t="shared" si="43"/>
        <v>TIMESTAMP(6)</v>
      </c>
      <c r="J923" s="169" t="s">
        <v>1</v>
      </c>
      <c r="K923" s="169" t="s">
        <v>1</v>
      </c>
      <c r="L923" s="169">
        <v>30</v>
      </c>
      <c r="M923" s="168"/>
      <c r="N923" s="168"/>
      <c r="O923" s="168"/>
      <c r="P923" s="168"/>
      <c r="Q923" s="168" t="s">
        <v>0</v>
      </c>
      <c r="R923" s="168" t="s">
        <v>1</v>
      </c>
      <c r="S923" s="178" t="str">
        <f t="shared" si="44"/>
        <v>D_F_CLAIM_STD_X_ORIG_BHRECORD_CREATE_TS</v>
      </c>
    </row>
    <row r="924" spans="1:19" ht="14.4" x14ac:dyDescent="0.3">
      <c r="A924" s="169" t="s">
        <v>1831</v>
      </c>
      <c r="B924" s="171" t="str">
        <f t="shared" si="42"/>
        <v>D_F_CLAIM_STD_X_ORIG_BH</v>
      </c>
      <c r="C924" s="169" t="s">
        <v>429</v>
      </c>
      <c r="D924" s="169">
        <v>1520</v>
      </c>
      <c r="E924" s="169">
        <v>4</v>
      </c>
      <c r="F924" s="169" t="s">
        <v>429</v>
      </c>
      <c r="G924" s="169" t="s">
        <v>429</v>
      </c>
      <c r="H924" s="169">
        <v>22</v>
      </c>
      <c r="I924" s="136" t="str">
        <f t="shared" si="43"/>
        <v>TIMESTAMP(6)</v>
      </c>
      <c r="J924" s="169" t="s">
        <v>1</v>
      </c>
      <c r="K924" s="169" t="s">
        <v>1</v>
      </c>
      <c r="L924" s="169">
        <v>30</v>
      </c>
      <c r="M924" s="168"/>
      <c r="N924" s="168"/>
      <c r="O924" s="168"/>
      <c r="P924" s="168"/>
      <c r="Q924" s="168" t="s">
        <v>0</v>
      </c>
      <c r="R924" s="168" t="s">
        <v>1</v>
      </c>
      <c r="S924" s="178" t="str">
        <f t="shared" si="44"/>
        <v>D_F_CLAIM_STD_X_ORIG_BHRECORD_UPDATE_TS</v>
      </c>
    </row>
    <row r="925" spans="1:19" ht="14.4" x14ac:dyDescent="0.3">
      <c r="A925" s="169" t="s">
        <v>1831</v>
      </c>
      <c r="B925" s="171" t="str">
        <f t="shared" si="42"/>
        <v>D_F_CLAIM_STD_X_ORIG_BH</v>
      </c>
      <c r="C925" s="169" t="s">
        <v>498</v>
      </c>
      <c r="D925" s="169">
        <v>1521</v>
      </c>
      <c r="E925" s="169">
        <v>5</v>
      </c>
      <c r="F925" s="169" t="s">
        <v>498</v>
      </c>
      <c r="G925" s="169" t="s">
        <v>498</v>
      </c>
      <c r="H925" s="169">
        <v>7</v>
      </c>
      <c r="I925" s="136" t="str">
        <f t="shared" si="43"/>
        <v>BIGINT</v>
      </c>
      <c r="J925" s="169" t="s">
        <v>1</v>
      </c>
      <c r="K925" s="169" t="s">
        <v>1</v>
      </c>
      <c r="L925" s="169">
        <v>30</v>
      </c>
      <c r="M925" s="168"/>
      <c r="N925" s="168"/>
      <c r="O925" s="168"/>
      <c r="P925" s="168"/>
      <c r="Q925" s="168" t="s">
        <v>0</v>
      </c>
      <c r="R925" s="168" t="s">
        <v>1</v>
      </c>
      <c r="S925" s="178" t="str">
        <f t="shared" si="44"/>
        <v>D_F_CLAIM_STD_X_ORIG_BHRUN_ID</v>
      </c>
    </row>
    <row r="926" spans="1:19" ht="14.4" x14ac:dyDescent="0.3">
      <c r="A926" s="169" t="s">
        <v>1831</v>
      </c>
      <c r="B926" s="171" t="str">
        <f t="shared" si="42"/>
        <v>D_F_CLAIM_STD_X_ORIG_BH</v>
      </c>
      <c r="C926" s="169" t="s">
        <v>492</v>
      </c>
      <c r="D926" s="169">
        <v>1522</v>
      </c>
      <c r="E926" s="169">
        <v>6</v>
      </c>
      <c r="F926" s="169" t="s">
        <v>492</v>
      </c>
      <c r="G926" s="169" t="s">
        <v>492</v>
      </c>
      <c r="H926" s="169">
        <v>34</v>
      </c>
      <c r="I926" s="136" t="str">
        <f t="shared" si="43"/>
        <v>DATE</v>
      </c>
      <c r="J926" s="169" t="s">
        <v>1</v>
      </c>
      <c r="K926" s="169" t="s">
        <v>0</v>
      </c>
      <c r="L926" s="169">
        <v>30</v>
      </c>
      <c r="M926" s="168"/>
      <c r="N926" s="168"/>
      <c r="O926" s="168"/>
      <c r="P926" s="168"/>
      <c r="Q926" s="168" t="s">
        <v>0</v>
      </c>
      <c r="R926" s="168" t="s">
        <v>1</v>
      </c>
      <c r="S926" s="178" t="str">
        <f t="shared" si="44"/>
        <v>D_F_CLAIM_STD_X_ORIG_BHVALIDITY_DT</v>
      </c>
    </row>
    <row r="927" spans="1:19" ht="14.4" x14ac:dyDescent="0.3">
      <c r="A927" s="169" t="s">
        <v>1824</v>
      </c>
      <c r="B927" s="171" t="str">
        <f t="shared" si="42"/>
        <v>D_IMP_F_CLAIM_STD_BH</v>
      </c>
      <c r="C927" s="169" t="s">
        <v>1903</v>
      </c>
      <c r="D927" s="169">
        <v>1523</v>
      </c>
      <c r="E927" s="169">
        <v>1</v>
      </c>
      <c r="F927" s="169" t="s">
        <v>1903</v>
      </c>
      <c r="G927" s="169" t="s">
        <v>1903</v>
      </c>
      <c r="H927" s="169">
        <v>24</v>
      </c>
      <c r="I927" s="136" t="str">
        <f t="shared" si="43"/>
        <v xml:space="preserve">VARCHAR(40) </v>
      </c>
      <c r="J927" s="169" t="s">
        <v>0</v>
      </c>
      <c r="K927" s="169" t="s">
        <v>1</v>
      </c>
      <c r="L927" s="169">
        <v>30</v>
      </c>
      <c r="M927" s="168"/>
      <c r="N927" s="168"/>
      <c r="O927" s="168"/>
      <c r="P927" s="168"/>
      <c r="Q927" s="168" t="s">
        <v>0</v>
      </c>
      <c r="R927" s="168" t="s">
        <v>1</v>
      </c>
      <c r="S927" s="178" t="str">
        <f t="shared" si="44"/>
        <v>D_IMP_F_CLAIM_STD_BHASSET_GROUP_CD</v>
      </c>
    </row>
    <row r="928" spans="1:19" ht="14.4" x14ac:dyDescent="0.3">
      <c r="A928" s="169" t="s">
        <v>1824</v>
      </c>
      <c r="B928" s="171" t="str">
        <f t="shared" si="42"/>
        <v>D_IMP_F_CLAIM_STD_BH</v>
      </c>
      <c r="C928" s="169" t="s">
        <v>1904</v>
      </c>
      <c r="D928" s="169">
        <v>1524</v>
      </c>
      <c r="E928" s="169">
        <v>2</v>
      </c>
      <c r="F928" s="169" t="s">
        <v>1904</v>
      </c>
      <c r="G928" s="169" t="s">
        <v>1904</v>
      </c>
      <c r="H928" s="169">
        <v>3</v>
      </c>
      <c r="I928" s="136" t="str">
        <f t="shared" si="43"/>
        <v>DECIMAL(20, 6)</v>
      </c>
      <c r="J928" s="169" t="s">
        <v>0</v>
      </c>
      <c r="K928" s="169" t="s">
        <v>1</v>
      </c>
      <c r="L928" s="169">
        <v>30</v>
      </c>
      <c r="M928" s="168"/>
      <c r="N928" s="168"/>
      <c r="O928" s="168"/>
      <c r="P928" s="168"/>
      <c r="Q928" s="168" t="s">
        <v>0</v>
      </c>
      <c r="R928" s="168" t="s">
        <v>1</v>
      </c>
      <c r="S928" s="178" t="str">
        <f t="shared" si="44"/>
        <v>D_IMP_F_CLAIM_STD_BHCCF_PCT</v>
      </c>
    </row>
    <row r="929" spans="1:19" ht="14.4" x14ac:dyDescent="0.3">
      <c r="A929" s="169" t="s">
        <v>1824</v>
      </c>
      <c r="B929" s="171" t="str">
        <f t="shared" si="42"/>
        <v>D_IMP_F_CLAIM_STD_BH</v>
      </c>
      <c r="C929" s="169" t="s">
        <v>494</v>
      </c>
      <c r="D929" s="169">
        <v>1525</v>
      </c>
      <c r="E929" s="169">
        <v>3</v>
      </c>
      <c r="F929" s="169" t="s">
        <v>494</v>
      </c>
      <c r="G929" s="169" t="s">
        <v>494</v>
      </c>
      <c r="H929" s="169">
        <v>13</v>
      </c>
      <c r="I929" s="136" t="str">
        <f t="shared" si="43"/>
        <v xml:space="preserve">VARCHAR(300) </v>
      </c>
      <c r="J929" s="169" t="s">
        <v>0</v>
      </c>
      <c r="K929" s="169" t="s">
        <v>1</v>
      </c>
      <c r="L929" s="169">
        <v>30</v>
      </c>
      <c r="M929" s="168"/>
      <c r="N929" s="168"/>
      <c r="O929" s="168"/>
      <c r="P929" s="168"/>
      <c r="Q929" s="168" t="s">
        <v>0</v>
      </c>
      <c r="R929" s="168" t="s">
        <v>1</v>
      </c>
      <c r="S929" s="178" t="str">
        <f t="shared" si="44"/>
        <v>D_IMP_F_CLAIM_STD_BHCONTRACT_NO</v>
      </c>
    </row>
    <row r="930" spans="1:19" ht="14.4" x14ac:dyDescent="0.3">
      <c r="A930" s="169" t="s">
        <v>1824</v>
      </c>
      <c r="B930" s="171" t="str">
        <f t="shared" si="42"/>
        <v>D_IMP_F_CLAIM_STD_BH</v>
      </c>
      <c r="C930" s="169" t="s">
        <v>1905</v>
      </c>
      <c r="D930" s="169">
        <v>1526</v>
      </c>
      <c r="E930" s="169">
        <v>4</v>
      </c>
      <c r="F930" s="169" t="s">
        <v>1905</v>
      </c>
      <c r="G930" s="169" t="s">
        <v>1905</v>
      </c>
      <c r="H930" s="169">
        <v>13</v>
      </c>
      <c r="I930" s="136" t="str">
        <f t="shared" si="43"/>
        <v xml:space="preserve">VARCHAR(300) </v>
      </c>
      <c r="J930" s="169" t="s">
        <v>0</v>
      </c>
      <c r="K930" s="169" t="s">
        <v>1</v>
      </c>
      <c r="L930" s="169">
        <v>30</v>
      </c>
      <c r="M930" s="168"/>
      <c r="N930" s="168"/>
      <c r="O930" s="168"/>
      <c r="P930" s="168"/>
      <c r="Q930" s="168" t="s">
        <v>0</v>
      </c>
      <c r="R930" s="168" t="s">
        <v>1</v>
      </c>
      <c r="S930" s="178" t="str">
        <f t="shared" si="44"/>
        <v>D_IMP_F_CLAIM_STD_BHCP_CD</v>
      </c>
    </row>
    <row r="931" spans="1:19" ht="14.4" x14ac:dyDescent="0.3">
      <c r="A931" s="169" t="s">
        <v>1824</v>
      </c>
      <c r="B931" s="171" t="str">
        <f t="shared" si="42"/>
        <v>D_IMP_F_CLAIM_STD_BH</v>
      </c>
      <c r="C931" s="169" t="s">
        <v>1445</v>
      </c>
      <c r="D931" s="169">
        <v>1527</v>
      </c>
      <c r="E931" s="169">
        <v>5</v>
      </c>
      <c r="F931" s="169" t="s">
        <v>1445</v>
      </c>
      <c r="G931" s="169" t="s">
        <v>1445</v>
      </c>
      <c r="H931" s="169">
        <v>24</v>
      </c>
      <c r="I931" s="136" t="str">
        <f t="shared" si="43"/>
        <v xml:space="preserve">VARCHAR(40) </v>
      </c>
      <c r="J931" s="169" t="s">
        <v>0</v>
      </c>
      <c r="K931" s="169" t="s">
        <v>1</v>
      </c>
      <c r="L931" s="169">
        <v>30</v>
      </c>
      <c r="M931" s="168"/>
      <c r="N931" s="168"/>
      <c r="O931" s="168"/>
      <c r="P931" s="168"/>
      <c r="Q931" s="168" t="s">
        <v>0</v>
      </c>
      <c r="R931" s="168" t="s">
        <v>1</v>
      </c>
      <c r="S931" s="178" t="str">
        <f t="shared" si="44"/>
        <v>D_IMP_F_CLAIM_STD_BHCP_INN</v>
      </c>
    </row>
    <row r="932" spans="1:19" ht="14.4" x14ac:dyDescent="0.3">
      <c r="A932" s="169" t="s">
        <v>1824</v>
      </c>
      <c r="B932" s="171" t="str">
        <f t="shared" si="42"/>
        <v>D_IMP_F_CLAIM_STD_BH</v>
      </c>
      <c r="C932" s="169" t="s">
        <v>713</v>
      </c>
      <c r="D932" s="169">
        <v>1528</v>
      </c>
      <c r="E932" s="169">
        <v>6</v>
      </c>
      <c r="F932" s="169" t="s">
        <v>713</v>
      </c>
      <c r="G932" s="169" t="s">
        <v>713</v>
      </c>
      <c r="H932" s="169">
        <v>13</v>
      </c>
      <c r="I932" s="136" t="str">
        <f t="shared" si="43"/>
        <v xml:space="preserve">VARCHAR(300) </v>
      </c>
      <c r="J932" s="169" t="s">
        <v>0</v>
      </c>
      <c r="K932" s="169" t="s">
        <v>1</v>
      </c>
      <c r="L932" s="169">
        <v>30</v>
      </c>
      <c r="M932" s="168"/>
      <c r="N932" s="168"/>
      <c r="O932" s="168"/>
      <c r="P932" s="168"/>
      <c r="Q932" s="168" t="s">
        <v>0</v>
      </c>
      <c r="R932" s="168" t="s">
        <v>1</v>
      </c>
      <c r="S932" s="178" t="str">
        <f t="shared" si="44"/>
        <v>D_IMP_F_CLAIM_STD_BHCP_NM</v>
      </c>
    </row>
    <row r="933" spans="1:19" ht="14.4" x14ac:dyDescent="0.3">
      <c r="A933" s="169" t="s">
        <v>1824</v>
      </c>
      <c r="B933" s="171" t="str">
        <f t="shared" si="42"/>
        <v>D_IMP_F_CLAIM_STD_BH</v>
      </c>
      <c r="C933" s="169" t="s">
        <v>2124</v>
      </c>
      <c r="D933" s="169">
        <v>1529</v>
      </c>
      <c r="E933" s="169">
        <v>7</v>
      </c>
      <c r="F933" s="169" t="s">
        <v>2124</v>
      </c>
      <c r="G933" s="169" t="s">
        <v>2124</v>
      </c>
      <c r="H933" s="169">
        <v>7</v>
      </c>
      <c r="I933" s="136" t="str">
        <f t="shared" si="43"/>
        <v>BIGINT</v>
      </c>
      <c r="J933" s="169" t="s">
        <v>0</v>
      </c>
      <c r="K933" s="169" t="s">
        <v>1</v>
      </c>
      <c r="L933" s="169">
        <v>30</v>
      </c>
      <c r="M933" s="168"/>
      <c r="N933" s="168"/>
      <c r="O933" s="168"/>
      <c r="P933" s="168"/>
      <c r="Q933" s="168" t="s">
        <v>0</v>
      </c>
      <c r="R933" s="168" t="s">
        <v>1</v>
      </c>
      <c r="S933" s="178" t="str">
        <f t="shared" si="44"/>
        <v>D_IMP_F_CLAIM_STD_BHFDSC_CLAIM_ID</v>
      </c>
    </row>
    <row r="934" spans="1:19" ht="14.4" x14ac:dyDescent="0.3">
      <c r="A934" s="169" t="s">
        <v>1824</v>
      </c>
      <c r="B934" s="171" t="str">
        <f t="shared" si="42"/>
        <v>D_IMP_F_CLAIM_STD_BH</v>
      </c>
      <c r="C934" s="169" t="s">
        <v>2123</v>
      </c>
      <c r="D934" s="169">
        <v>1530</v>
      </c>
      <c r="E934" s="169">
        <v>8</v>
      </c>
      <c r="F934" s="169" t="s">
        <v>2123</v>
      </c>
      <c r="G934" s="169" t="s">
        <v>2123</v>
      </c>
      <c r="H934" s="169">
        <v>7</v>
      </c>
      <c r="I934" s="136" t="str">
        <f t="shared" si="43"/>
        <v>BIGINT</v>
      </c>
      <c r="J934" s="169" t="s">
        <v>1</v>
      </c>
      <c r="K934" s="169" t="s">
        <v>0</v>
      </c>
      <c r="L934" s="169">
        <v>30</v>
      </c>
      <c r="M934" s="168"/>
      <c r="N934" s="168"/>
      <c r="O934" s="168"/>
      <c r="P934" s="168"/>
      <c r="Q934" s="168" t="s">
        <v>0</v>
      </c>
      <c r="R934" s="168" t="s">
        <v>1</v>
      </c>
      <c r="S934" s="178" t="str">
        <f t="shared" si="44"/>
        <v>D_IMP_F_CLAIM_STD_BHF_CLAIM_STD_ID</v>
      </c>
    </row>
    <row r="935" spans="1:19" ht="14.4" x14ac:dyDescent="0.3">
      <c r="A935" s="169" t="s">
        <v>1824</v>
      </c>
      <c r="B935" s="171" t="str">
        <f t="shared" si="42"/>
        <v>D_IMP_F_CLAIM_STD_BH</v>
      </c>
      <c r="C935" s="169" t="s">
        <v>626</v>
      </c>
      <c r="D935" s="169">
        <v>1531</v>
      </c>
      <c r="E935" s="169">
        <v>9</v>
      </c>
      <c r="F935" s="169" t="s">
        <v>626</v>
      </c>
      <c r="G935" s="169" t="s">
        <v>626</v>
      </c>
      <c r="H935" s="169">
        <v>34</v>
      </c>
      <c r="I935" s="136" t="str">
        <f t="shared" si="43"/>
        <v>DATE</v>
      </c>
      <c r="J935" s="169" t="s">
        <v>0</v>
      </c>
      <c r="K935" s="169" t="s">
        <v>1</v>
      </c>
      <c r="L935" s="169">
        <v>30</v>
      </c>
      <c r="M935" s="168"/>
      <c r="N935" s="168"/>
      <c r="O935" s="168"/>
      <c r="P935" s="168"/>
      <c r="Q935" s="168" t="s">
        <v>0</v>
      </c>
      <c r="R935" s="168" t="s">
        <v>1</v>
      </c>
      <c r="S935" s="178" t="str">
        <f t="shared" si="44"/>
        <v>D_IMP_F_CLAIM_STD_BHINCEPTION_DT</v>
      </c>
    </row>
    <row r="936" spans="1:19" ht="14.4" x14ac:dyDescent="0.3">
      <c r="A936" s="169" t="s">
        <v>1824</v>
      </c>
      <c r="B936" s="171" t="str">
        <f t="shared" si="42"/>
        <v>D_IMP_F_CLAIM_STD_BH</v>
      </c>
      <c r="C936" s="169" t="s">
        <v>871</v>
      </c>
      <c r="D936" s="169">
        <v>1532</v>
      </c>
      <c r="E936" s="169">
        <v>10</v>
      </c>
      <c r="F936" s="169" t="s">
        <v>871</v>
      </c>
      <c r="G936" s="169" t="s">
        <v>871</v>
      </c>
      <c r="H936" s="169">
        <v>13</v>
      </c>
      <c r="I936" s="136" t="str">
        <f t="shared" si="43"/>
        <v xml:space="preserve">VARCHAR(300) </v>
      </c>
      <c r="J936" s="169" t="s">
        <v>0</v>
      </c>
      <c r="K936" s="169" t="s">
        <v>1</v>
      </c>
      <c r="L936" s="169">
        <v>30</v>
      </c>
      <c r="M936" s="168"/>
      <c r="N936" s="168"/>
      <c r="O936" s="168"/>
      <c r="P936" s="168"/>
      <c r="Q936" s="168" t="s">
        <v>0</v>
      </c>
      <c r="R936" s="168" t="s">
        <v>1</v>
      </c>
      <c r="S936" s="178" t="str">
        <f t="shared" si="44"/>
        <v>D_IMP_F_CLAIM_STD_BHINT_ORG_NM</v>
      </c>
    </row>
    <row r="937" spans="1:19" ht="14.4" x14ac:dyDescent="0.3">
      <c r="A937" s="169" t="s">
        <v>1824</v>
      </c>
      <c r="B937" s="171" t="str">
        <f t="shared" si="42"/>
        <v>D_IMP_F_CLAIM_STD_BH</v>
      </c>
      <c r="C937" s="169" t="s">
        <v>1497</v>
      </c>
      <c r="D937" s="169">
        <v>1533</v>
      </c>
      <c r="E937" s="169">
        <v>11</v>
      </c>
      <c r="F937" s="169" t="s">
        <v>1497</v>
      </c>
      <c r="G937" s="169" t="s">
        <v>1497</v>
      </c>
      <c r="H937" s="169">
        <v>34</v>
      </c>
      <c r="I937" s="136" t="str">
        <f t="shared" si="43"/>
        <v>DATE</v>
      </c>
      <c r="J937" s="169" t="s">
        <v>0</v>
      </c>
      <c r="K937" s="169" t="s">
        <v>1</v>
      </c>
      <c r="L937" s="169">
        <v>30</v>
      </c>
      <c r="M937" s="168"/>
      <c r="N937" s="168"/>
      <c r="O937" s="168"/>
      <c r="P937" s="168"/>
      <c r="Q937" s="168" t="s">
        <v>0</v>
      </c>
      <c r="R937" s="168" t="s">
        <v>1</v>
      </c>
      <c r="S937" s="178" t="str">
        <f t="shared" si="44"/>
        <v>D_IMP_F_CLAIM_STD_BHLOAN_ORIGINATION_DT</v>
      </c>
    </row>
    <row r="938" spans="1:19" ht="14.4" x14ac:dyDescent="0.3">
      <c r="A938" s="169" t="s">
        <v>1824</v>
      </c>
      <c r="B938" s="171" t="str">
        <f t="shared" si="42"/>
        <v>D_IMP_F_CLAIM_STD_BH</v>
      </c>
      <c r="C938" s="169" t="s">
        <v>605</v>
      </c>
      <c r="D938" s="169">
        <v>1534</v>
      </c>
      <c r="E938" s="169">
        <v>12</v>
      </c>
      <c r="F938" s="169" t="s">
        <v>605</v>
      </c>
      <c r="G938" s="169" t="s">
        <v>605</v>
      </c>
      <c r="H938" s="169">
        <v>21</v>
      </c>
      <c r="I938" s="136" t="str">
        <f t="shared" si="43"/>
        <v>DECIMAL(19, 2)</v>
      </c>
      <c r="J938" s="169" t="s">
        <v>0</v>
      </c>
      <c r="K938" s="169" t="s">
        <v>1</v>
      </c>
      <c r="L938" s="169">
        <v>30</v>
      </c>
      <c r="M938" s="168"/>
      <c r="N938" s="168"/>
      <c r="O938" s="168"/>
      <c r="P938" s="168"/>
      <c r="Q938" s="168" t="s">
        <v>0</v>
      </c>
      <c r="R938" s="168" t="s">
        <v>1</v>
      </c>
      <c r="S938" s="178" t="str">
        <f t="shared" si="44"/>
        <v>D_IMP_F_CLAIM_STD_BHPROVISION_RUB_AMT</v>
      </c>
    </row>
    <row r="939" spans="1:19" ht="14.4" x14ac:dyDescent="0.3">
      <c r="A939" s="169" t="s">
        <v>1824</v>
      </c>
      <c r="B939" s="171" t="str">
        <f t="shared" si="42"/>
        <v>D_IMP_F_CLAIM_STD_BH</v>
      </c>
      <c r="C939" s="169" t="s">
        <v>440</v>
      </c>
      <c r="D939" s="169">
        <v>1535</v>
      </c>
      <c r="E939" s="169">
        <v>13</v>
      </c>
      <c r="F939" s="169" t="s">
        <v>440</v>
      </c>
      <c r="G939" s="169" t="s">
        <v>440</v>
      </c>
      <c r="H939" s="169">
        <v>22</v>
      </c>
      <c r="I939" s="136" t="str">
        <f t="shared" si="43"/>
        <v>TIMESTAMP(6)</v>
      </c>
      <c r="J939" s="169" t="s">
        <v>1</v>
      </c>
      <c r="K939" s="169" t="s">
        <v>1</v>
      </c>
      <c r="L939" s="169">
        <v>30</v>
      </c>
      <c r="M939" s="168"/>
      <c r="N939" s="168"/>
      <c r="O939" s="168"/>
      <c r="P939" s="168"/>
      <c r="Q939" s="168" t="s">
        <v>0</v>
      </c>
      <c r="R939" s="168" t="s">
        <v>1</v>
      </c>
      <c r="S939" s="178" t="str">
        <f t="shared" si="44"/>
        <v>D_IMP_F_CLAIM_STD_BHRECORD_CREATE_TS</v>
      </c>
    </row>
    <row r="940" spans="1:19" ht="14.4" x14ac:dyDescent="0.3">
      <c r="A940" s="169" t="s">
        <v>1824</v>
      </c>
      <c r="B940" s="171" t="str">
        <f t="shared" si="42"/>
        <v>D_IMP_F_CLAIM_STD_BH</v>
      </c>
      <c r="C940" s="169" t="s">
        <v>429</v>
      </c>
      <c r="D940" s="169">
        <v>1536</v>
      </c>
      <c r="E940" s="169">
        <v>14</v>
      </c>
      <c r="F940" s="169" t="s">
        <v>429</v>
      </c>
      <c r="G940" s="169" t="s">
        <v>429</v>
      </c>
      <c r="H940" s="169">
        <v>22</v>
      </c>
      <c r="I940" s="136" t="str">
        <f t="shared" si="43"/>
        <v>TIMESTAMP(6)</v>
      </c>
      <c r="J940" s="169" t="s">
        <v>1</v>
      </c>
      <c r="K940" s="169" t="s">
        <v>1</v>
      </c>
      <c r="L940" s="169">
        <v>30</v>
      </c>
      <c r="M940" s="168"/>
      <c r="N940" s="168"/>
      <c r="O940" s="168"/>
      <c r="P940" s="168"/>
      <c r="Q940" s="168" t="s">
        <v>0</v>
      </c>
      <c r="R940" s="168" t="s">
        <v>1</v>
      </c>
      <c r="S940" s="178" t="str">
        <f t="shared" si="44"/>
        <v>D_IMP_F_CLAIM_STD_BHRECORD_UPDATE_TS</v>
      </c>
    </row>
    <row r="941" spans="1:19" ht="14.4" x14ac:dyDescent="0.3">
      <c r="A941" s="169" t="s">
        <v>1824</v>
      </c>
      <c r="B941" s="171" t="str">
        <f t="shared" si="42"/>
        <v>D_IMP_F_CLAIM_STD_BH</v>
      </c>
      <c r="C941" s="169" t="s">
        <v>1906</v>
      </c>
      <c r="D941" s="169">
        <v>1537</v>
      </c>
      <c r="E941" s="169">
        <v>15</v>
      </c>
      <c r="F941" s="169" t="s">
        <v>1906</v>
      </c>
      <c r="G941" s="169" t="s">
        <v>1906</v>
      </c>
      <c r="H941" s="169">
        <v>27</v>
      </c>
      <c r="I941" s="136" t="str">
        <f t="shared" si="43"/>
        <v>INTEGER</v>
      </c>
      <c r="J941" s="169" t="s">
        <v>1</v>
      </c>
      <c r="K941" s="169" t="s">
        <v>1</v>
      </c>
      <c r="L941" s="169">
        <v>30</v>
      </c>
      <c r="M941" s="168"/>
      <c r="N941" s="168"/>
      <c r="O941" s="168"/>
      <c r="P941" s="168"/>
      <c r="Q941" s="168" t="s">
        <v>0</v>
      </c>
      <c r="R941" s="168" t="s">
        <v>1</v>
      </c>
      <c r="S941" s="178" t="str">
        <f t="shared" si="44"/>
        <v>D_IMP_F_CLAIM_STD_BHROW_NUM</v>
      </c>
    </row>
    <row r="942" spans="1:19" ht="14.4" x14ac:dyDescent="0.3">
      <c r="A942" s="169" t="s">
        <v>1824</v>
      </c>
      <c r="B942" s="171" t="str">
        <f t="shared" si="42"/>
        <v>D_IMP_F_CLAIM_STD_BH</v>
      </c>
      <c r="C942" s="169" t="s">
        <v>1907</v>
      </c>
      <c r="D942" s="169">
        <v>1538</v>
      </c>
      <c r="E942" s="169">
        <v>16</v>
      </c>
      <c r="F942" s="169" t="s">
        <v>1907</v>
      </c>
      <c r="G942" s="169" t="s">
        <v>1907</v>
      </c>
      <c r="H942" s="169">
        <v>21</v>
      </c>
      <c r="I942" s="136" t="str">
        <f t="shared" si="43"/>
        <v>DECIMAL(19, 2)</v>
      </c>
      <c r="J942" s="169" t="s">
        <v>0</v>
      </c>
      <c r="K942" s="169" t="s">
        <v>1</v>
      </c>
      <c r="L942" s="169">
        <v>30</v>
      </c>
      <c r="M942" s="168"/>
      <c r="N942" s="168"/>
      <c r="O942" s="168"/>
      <c r="P942" s="168"/>
      <c r="Q942" s="168" t="s">
        <v>0</v>
      </c>
      <c r="R942" s="168" t="s">
        <v>1</v>
      </c>
      <c r="S942" s="178" t="str">
        <f t="shared" si="44"/>
        <v>D_IMP_F_CLAIM_STD_BHRUB_AMT</v>
      </c>
    </row>
    <row r="943" spans="1:19" ht="14.4" x14ac:dyDescent="0.3">
      <c r="A943" s="169" t="s">
        <v>1824</v>
      </c>
      <c r="B943" s="171" t="str">
        <f t="shared" si="42"/>
        <v>D_IMP_F_CLAIM_STD_BH</v>
      </c>
      <c r="C943" s="169" t="s">
        <v>498</v>
      </c>
      <c r="D943" s="169">
        <v>1539</v>
      </c>
      <c r="E943" s="169">
        <v>17</v>
      </c>
      <c r="F943" s="169" t="s">
        <v>498</v>
      </c>
      <c r="G943" s="169" t="s">
        <v>498</v>
      </c>
      <c r="H943" s="169">
        <v>7</v>
      </c>
      <c r="I943" s="136" t="str">
        <f t="shared" si="43"/>
        <v>BIGINT</v>
      </c>
      <c r="J943" s="169" t="s">
        <v>1</v>
      </c>
      <c r="K943" s="169" t="s">
        <v>1</v>
      </c>
      <c r="L943" s="169">
        <v>30</v>
      </c>
      <c r="M943" s="168"/>
      <c r="N943" s="168"/>
      <c r="O943" s="168"/>
      <c r="P943" s="168"/>
      <c r="Q943" s="168" t="s">
        <v>0</v>
      </c>
      <c r="R943" s="168" t="s">
        <v>1</v>
      </c>
      <c r="S943" s="178" t="str">
        <f t="shared" si="44"/>
        <v>D_IMP_F_CLAIM_STD_BHRUN_ID</v>
      </c>
    </row>
    <row r="944" spans="1:19" ht="14.4" x14ac:dyDescent="0.3">
      <c r="A944" s="169" t="s">
        <v>1824</v>
      </c>
      <c r="B944" s="171" t="str">
        <f t="shared" si="42"/>
        <v>D_IMP_F_CLAIM_STD_BH</v>
      </c>
      <c r="C944" s="169" t="s">
        <v>527</v>
      </c>
      <c r="D944" s="169">
        <v>1540</v>
      </c>
      <c r="E944" s="169">
        <v>18</v>
      </c>
      <c r="F944" s="169" t="s">
        <v>527</v>
      </c>
      <c r="G944" s="169" t="s">
        <v>527</v>
      </c>
      <c r="H944" s="169">
        <v>7</v>
      </c>
      <c r="I944" s="136" t="str">
        <f t="shared" si="43"/>
        <v>BIGINT</v>
      </c>
      <c r="J944" s="169" t="s">
        <v>1</v>
      </c>
      <c r="K944" s="169" t="s">
        <v>1</v>
      </c>
      <c r="L944" s="169">
        <v>30</v>
      </c>
      <c r="M944" s="168"/>
      <c r="N944" s="168"/>
      <c r="O944" s="168"/>
      <c r="P944" s="168"/>
      <c r="Q944" s="168" t="s">
        <v>0</v>
      </c>
      <c r="R944" s="168" t="s">
        <v>1</v>
      </c>
      <c r="S944" s="178" t="str">
        <f t="shared" si="44"/>
        <v>D_IMP_F_CLAIM_STD_BHSRC_SYS_ID</v>
      </c>
    </row>
    <row r="945" spans="1:19" ht="14.4" x14ac:dyDescent="0.3">
      <c r="A945" s="169" t="s">
        <v>1824</v>
      </c>
      <c r="B945" s="171" t="str">
        <f t="shared" si="42"/>
        <v>D_IMP_F_CLAIM_STD_BH</v>
      </c>
      <c r="C945" s="169" t="s">
        <v>492</v>
      </c>
      <c r="D945" s="169">
        <v>1541</v>
      </c>
      <c r="E945" s="169">
        <v>19</v>
      </c>
      <c r="F945" s="169" t="s">
        <v>492</v>
      </c>
      <c r="G945" s="169" t="s">
        <v>492</v>
      </c>
      <c r="H945" s="169">
        <v>34</v>
      </c>
      <c r="I945" s="136" t="str">
        <f t="shared" si="43"/>
        <v>DATE</v>
      </c>
      <c r="J945" s="169" t="s">
        <v>1</v>
      </c>
      <c r="K945" s="169" t="s">
        <v>0</v>
      </c>
      <c r="L945" s="169">
        <v>30</v>
      </c>
      <c r="M945" s="168"/>
      <c r="N945" s="168"/>
      <c r="O945" s="168"/>
      <c r="P945" s="168"/>
      <c r="Q945" s="168" t="s">
        <v>0</v>
      </c>
      <c r="R945" s="168" t="s">
        <v>1</v>
      </c>
      <c r="S945" s="178" t="str">
        <f t="shared" si="44"/>
        <v>D_IMP_F_CLAIM_STD_BHVALIDITY_DT</v>
      </c>
    </row>
    <row r="946" spans="1:19" ht="14.4" x14ac:dyDescent="0.3">
      <c r="A946" s="169" t="s">
        <v>1824</v>
      </c>
      <c r="B946" s="171" t="str">
        <f t="shared" si="42"/>
        <v>D_IMP_F_CLAIM_STD_BH</v>
      </c>
      <c r="C946" s="169" t="s">
        <v>2125</v>
      </c>
      <c r="D946" s="169">
        <v>1542</v>
      </c>
      <c r="E946" s="169">
        <v>20</v>
      </c>
      <c r="F946" s="169" t="s">
        <v>2125</v>
      </c>
      <c r="G946" s="169" t="s">
        <v>2125</v>
      </c>
      <c r="H946" s="169">
        <v>21</v>
      </c>
      <c r="I946" s="136" t="str">
        <f t="shared" si="43"/>
        <v>DECIMAL(19, 2)</v>
      </c>
      <c r="J946" s="169" t="s">
        <v>0</v>
      </c>
      <c r="K946" s="169" t="s">
        <v>1</v>
      </c>
      <c r="L946" s="169">
        <v>30</v>
      </c>
      <c r="M946" s="168"/>
      <c r="N946" s="168"/>
      <c r="O946" s="168"/>
      <c r="P946" s="168"/>
      <c r="Q946" s="168" t="s">
        <v>0</v>
      </c>
      <c r="R946" s="168" t="s">
        <v>1</v>
      </c>
      <c r="S946" s="178" t="str">
        <f t="shared" si="44"/>
        <v>D_IMP_F_CLAIM_STD_BHWEIGHTED_RISK_EQUIV_RUB_AMT</v>
      </c>
    </row>
    <row r="947" spans="1:19" ht="14.4" x14ac:dyDescent="0.3">
      <c r="A947" s="169" t="s">
        <v>1350</v>
      </c>
      <c r="B947" s="171" t="str">
        <f t="shared" si="42"/>
        <v>D_IMP_F_CRM_BH</v>
      </c>
      <c r="C947" s="169" t="s">
        <v>728</v>
      </c>
      <c r="D947" s="169">
        <v>1543</v>
      </c>
      <c r="E947" s="169">
        <v>1</v>
      </c>
      <c r="F947" s="169" t="s">
        <v>728</v>
      </c>
      <c r="G947" s="169" t="s">
        <v>728</v>
      </c>
      <c r="H947" s="169">
        <v>24</v>
      </c>
      <c r="I947" s="136" t="str">
        <f t="shared" si="43"/>
        <v xml:space="preserve">VARCHAR(40) </v>
      </c>
      <c r="J947" s="169" t="s">
        <v>0</v>
      </c>
      <c r="K947" s="169" t="s">
        <v>1</v>
      </c>
      <c r="L947" s="169">
        <v>30</v>
      </c>
      <c r="M947" s="168"/>
      <c r="N947" s="168"/>
      <c r="O947" s="168"/>
      <c r="P947" s="168"/>
      <c r="Q947" s="168" t="s">
        <v>0</v>
      </c>
      <c r="R947" s="168" t="s">
        <v>1</v>
      </c>
      <c r="S947" s="178" t="str">
        <f t="shared" si="44"/>
        <v>D_IMP_F_CRM_BHCP_ID_IN_CRM</v>
      </c>
    </row>
    <row r="948" spans="1:19" ht="14.4" x14ac:dyDescent="0.3">
      <c r="A948" s="169" t="s">
        <v>1350</v>
      </c>
      <c r="B948" s="171" t="str">
        <f t="shared" si="42"/>
        <v>D_IMP_F_CRM_BH</v>
      </c>
      <c r="C948" s="169" t="s">
        <v>1445</v>
      </c>
      <c r="D948" s="169">
        <v>1544</v>
      </c>
      <c r="E948" s="169">
        <v>2</v>
      </c>
      <c r="F948" s="169" t="s">
        <v>1445</v>
      </c>
      <c r="G948" s="169" t="s">
        <v>1445</v>
      </c>
      <c r="H948" s="169">
        <v>24</v>
      </c>
      <c r="I948" s="136" t="str">
        <f t="shared" si="43"/>
        <v xml:space="preserve">VARCHAR(40) </v>
      </c>
      <c r="J948" s="169" t="s">
        <v>0</v>
      </c>
      <c r="K948" s="169" t="s">
        <v>1</v>
      </c>
      <c r="L948" s="169">
        <v>30</v>
      </c>
      <c r="M948" s="168"/>
      <c r="N948" s="168"/>
      <c r="O948" s="168"/>
      <c r="P948" s="168"/>
      <c r="Q948" s="168" t="s">
        <v>0</v>
      </c>
      <c r="R948" s="168" t="s">
        <v>1</v>
      </c>
      <c r="S948" s="178" t="str">
        <f t="shared" si="44"/>
        <v>D_IMP_F_CRM_BHCP_INN</v>
      </c>
    </row>
    <row r="949" spans="1:19" ht="14.4" x14ac:dyDescent="0.3">
      <c r="A949" s="169" t="s">
        <v>1350</v>
      </c>
      <c r="B949" s="171" t="str">
        <f t="shared" si="42"/>
        <v>D_IMP_F_CRM_BH</v>
      </c>
      <c r="C949" s="169" t="s">
        <v>713</v>
      </c>
      <c r="D949" s="169">
        <v>1545</v>
      </c>
      <c r="E949" s="169">
        <v>3</v>
      </c>
      <c r="F949" s="169" t="s">
        <v>713</v>
      </c>
      <c r="G949" s="169" t="s">
        <v>713</v>
      </c>
      <c r="H949" s="169">
        <v>13</v>
      </c>
      <c r="I949" s="136" t="str">
        <f t="shared" si="43"/>
        <v xml:space="preserve">VARCHAR(300) </v>
      </c>
      <c r="J949" s="169" t="s">
        <v>0</v>
      </c>
      <c r="K949" s="169" t="s">
        <v>1</v>
      </c>
      <c r="L949" s="169">
        <v>30</v>
      </c>
      <c r="M949" s="168"/>
      <c r="N949" s="168"/>
      <c r="O949" s="168"/>
      <c r="P949" s="168"/>
      <c r="Q949" s="168" t="s">
        <v>0</v>
      </c>
      <c r="R949" s="168" t="s">
        <v>1</v>
      </c>
      <c r="S949" s="178" t="str">
        <f t="shared" si="44"/>
        <v>D_IMP_F_CRM_BHCP_NM</v>
      </c>
    </row>
    <row r="950" spans="1:19" ht="14.4" x14ac:dyDescent="0.3">
      <c r="A950" s="169" t="s">
        <v>1350</v>
      </c>
      <c r="B950" s="171" t="str">
        <f t="shared" si="42"/>
        <v>D_IMP_F_CRM_BH</v>
      </c>
      <c r="C950" s="169" t="s">
        <v>1510</v>
      </c>
      <c r="D950" s="169">
        <v>1546</v>
      </c>
      <c r="E950" s="169">
        <v>4</v>
      </c>
      <c r="F950" s="169" t="s">
        <v>1510</v>
      </c>
      <c r="G950" s="169" t="s">
        <v>1510</v>
      </c>
      <c r="H950" s="169">
        <v>34</v>
      </c>
      <c r="I950" s="136" t="str">
        <f t="shared" si="43"/>
        <v>DATE</v>
      </c>
      <c r="J950" s="169" t="s">
        <v>0</v>
      </c>
      <c r="K950" s="169" t="s">
        <v>1</v>
      </c>
      <c r="L950" s="169">
        <v>30</v>
      </c>
      <c r="M950" s="168"/>
      <c r="N950" s="168"/>
      <c r="O950" s="168"/>
      <c r="P950" s="168"/>
      <c r="Q950" s="168" t="s">
        <v>0</v>
      </c>
      <c r="R950" s="168" t="s">
        <v>1</v>
      </c>
      <c r="S950" s="178" t="str">
        <f t="shared" si="44"/>
        <v>D_IMP_F_CRM_BHLOAN_CONTRACT_DT</v>
      </c>
    </row>
    <row r="951" spans="1:19" ht="14.4" x14ac:dyDescent="0.3">
      <c r="A951" s="169" t="s">
        <v>1350</v>
      </c>
      <c r="B951" s="171" t="str">
        <f t="shared" si="42"/>
        <v>D_IMP_F_CRM_BH</v>
      </c>
      <c r="C951" s="169" t="s">
        <v>1603</v>
      </c>
      <c r="D951" s="169">
        <v>1547</v>
      </c>
      <c r="E951" s="169">
        <v>5</v>
      </c>
      <c r="F951" s="169" t="s">
        <v>1603</v>
      </c>
      <c r="G951" s="169" t="s">
        <v>1603</v>
      </c>
      <c r="H951" s="169">
        <v>13</v>
      </c>
      <c r="I951" s="136" t="str">
        <f t="shared" si="43"/>
        <v xml:space="preserve">VARCHAR(300) </v>
      </c>
      <c r="J951" s="169" t="s">
        <v>0</v>
      </c>
      <c r="K951" s="169" t="s">
        <v>1</v>
      </c>
      <c r="L951" s="169">
        <v>30</v>
      </c>
      <c r="M951" s="168"/>
      <c r="N951" s="168"/>
      <c r="O951" s="168"/>
      <c r="P951" s="168"/>
      <c r="Q951" s="168" t="s">
        <v>0</v>
      </c>
      <c r="R951" s="168" t="s">
        <v>1</v>
      </c>
      <c r="S951" s="178" t="str">
        <f t="shared" si="44"/>
        <v>D_IMP_F_CRM_BHLOAN_CONTRACT_NO</v>
      </c>
    </row>
    <row r="952" spans="1:19" ht="14.4" x14ac:dyDescent="0.3">
      <c r="A952" s="169" t="s">
        <v>1350</v>
      </c>
      <c r="B952" s="171" t="str">
        <f t="shared" si="42"/>
        <v>D_IMP_F_CRM_BH</v>
      </c>
      <c r="C952" s="169" t="s">
        <v>1497</v>
      </c>
      <c r="D952" s="169">
        <v>1548</v>
      </c>
      <c r="E952" s="169">
        <v>6</v>
      </c>
      <c r="F952" s="169" t="s">
        <v>1497</v>
      </c>
      <c r="G952" s="169" t="s">
        <v>1497</v>
      </c>
      <c r="H952" s="169">
        <v>34</v>
      </c>
      <c r="I952" s="136" t="str">
        <f t="shared" si="43"/>
        <v>DATE</v>
      </c>
      <c r="J952" s="169" t="s">
        <v>0</v>
      </c>
      <c r="K952" s="169" t="s">
        <v>1</v>
      </c>
      <c r="L952" s="169">
        <v>30</v>
      </c>
      <c r="M952" s="168"/>
      <c r="N952" s="168"/>
      <c r="O952" s="168"/>
      <c r="P952" s="168"/>
      <c r="Q952" s="168" t="s">
        <v>0</v>
      </c>
      <c r="R952" s="168" t="s">
        <v>1</v>
      </c>
      <c r="S952" s="178" t="str">
        <f t="shared" si="44"/>
        <v>D_IMP_F_CRM_BHLOAN_ORIGINATION_DT</v>
      </c>
    </row>
    <row r="953" spans="1:19" ht="14.4" x14ac:dyDescent="0.3">
      <c r="A953" s="169" t="s">
        <v>1350</v>
      </c>
      <c r="B953" s="171" t="str">
        <f t="shared" si="42"/>
        <v>D_IMP_F_CRM_BH</v>
      </c>
      <c r="C953" s="169" t="s">
        <v>1588</v>
      </c>
      <c r="D953" s="169">
        <v>1549</v>
      </c>
      <c r="E953" s="169">
        <v>7</v>
      </c>
      <c r="F953" s="169" t="s">
        <v>1588</v>
      </c>
      <c r="G953" s="169" t="s">
        <v>1588</v>
      </c>
      <c r="H953" s="169">
        <v>24</v>
      </c>
      <c r="I953" s="136" t="str">
        <f t="shared" si="43"/>
        <v xml:space="preserve">VARCHAR(40) </v>
      </c>
      <c r="J953" s="169" t="s">
        <v>0</v>
      </c>
      <c r="K953" s="169" t="s">
        <v>1</v>
      </c>
      <c r="L953" s="169">
        <v>30</v>
      </c>
      <c r="M953" s="168"/>
      <c r="N953" s="168"/>
      <c r="O953" s="168"/>
      <c r="P953" s="168"/>
      <c r="Q953" s="168" t="s">
        <v>0</v>
      </c>
      <c r="R953" s="168" t="s">
        <v>1</v>
      </c>
      <c r="S953" s="178" t="str">
        <f t="shared" si="44"/>
        <v>D_IMP_F_CRM_BHPRODUCT_ID_IN_CRM</v>
      </c>
    </row>
    <row r="954" spans="1:19" ht="14.4" x14ac:dyDescent="0.3">
      <c r="A954" s="169" t="s">
        <v>1350</v>
      </c>
      <c r="B954" s="171" t="str">
        <f t="shared" si="42"/>
        <v>D_IMP_F_CRM_BH</v>
      </c>
      <c r="C954" s="169" t="s">
        <v>440</v>
      </c>
      <c r="D954" s="169">
        <v>1550</v>
      </c>
      <c r="E954" s="169">
        <v>8</v>
      </c>
      <c r="F954" s="169" t="s">
        <v>440</v>
      </c>
      <c r="G954" s="169" t="s">
        <v>440</v>
      </c>
      <c r="H954" s="169">
        <v>22</v>
      </c>
      <c r="I954" s="136" t="str">
        <f t="shared" si="43"/>
        <v>TIMESTAMP(6)</v>
      </c>
      <c r="J954" s="169" t="s">
        <v>1</v>
      </c>
      <c r="K954" s="169" t="s">
        <v>1</v>
      </c>
      <c r="L954" s="169">
        <v>30</v>
      </c>
      <c r="M954" s="168"/>
      <c r="N954" s="168"/>
      <c r="O954" s="168"/>
      <c r="P954" s="168"/>
      <c r="Q954" s="168" t="s">
        <v>0</v>
      </c>
      <c r="R954" s="168" t="s">
        <v>1</v>
      </c>
      <c r="S954" s="178" t="str">
        <f t="shared" si="44"/>
        <v>D_IMP_F_CRM_BHRECORD_CREATE_TS</v>
      </c>
    </row>
    <row r="955" spans="1:19" ht="14.4" x14ac:dyDescent="0.3">
      <c r="A955" s="169" t="s">
        <v>1350</v>
      </c>
      <c r="B955" s="171" t="str">
        <f t="shared" si="42"/>
        <v>D_IMP_F_CRM_BH</v>
      </c>
      <c r="C955" s="169" t="s">
        <v>429</v>
      </c>
      <c r="D955" s="169">
        <v>1551</v>
      </c>
      <c r="E955" s="169">
        <v>9</v>
      </c>
      <c r="F955" s="169" t="s">
        <v>429</v>
      </c>
      <c r="G955" s="169" t="s">
        <v>429</v>
      </c>
      <c r="H955" s="169">
        <v>22</v>
      </c>
      <c r="I955" s="136" t="str">
        <f t="shared" si="43"/>
        <v>TIMESTAMP(6)</v>
      </c>
      <c r="J955" s="169" t="s">
        <v>1</v>
      </c>
      <c r="K955" s="169" t="s">
        <v>1</v>
      </c>
      <c r="L955" s="169">
        <v>30</v>
      </c>
      <c r="M955" s="168"/>
      <c r="N955" s="168"/>
      <c r="O955" s="168"/>
      <c r="P955" s="168"/>
      <c r="Q955" s="168" t="s">
        <v>0</v>
      </c>
      <c r="R955" s="168" t="s">
        <v>1</v>
      </c>
      <c r="S955" s="178" t="str">
        <f t="shared" si="44"/>
        <v>D_IMP_F_CRM_BHRECORD_UPDATE_TS</v>
      </c>
    </row>
    <row r="956" spans="1:19" ht="14.4" x14ac:dyDescent="0.3">
      <c r="A956" s="169" t="s">
        <v>1350</v>
      </c>
      <c r="B956" s="171" t="str">
        <f t="shared" si="42"/>
        <v>D_IMP_F_CRM_BH</v>
      </c>
      <c r="C956" s="169" t="s">
        <v>1468</v>
      </c>
      <c r="D956" s="169">
        <v>1552</v>
      </c>
      <c r="E956" s="169">
        <v>10</v>
      </c>
      <c r="F956" s="169" t="s">
        <v>1468</v>
      </c>
      <c r="G956" s="169" t="s">
        <v>1468</v>
      </c>
      <c r="H956" s="169">
        <v>7</v>
      </c>
      <c r="I956" s="136" t="str">
        <f t="shared" si="43"/>
        <v>BIGINT</v>
      </c>
      <c r="J956" s="169" t="s">
        <v>1</v>
      </c>
      <c r="K956" s="169" t="s">
        <v>0</v>
      </c>
      <c r="L956" s="169">
        <v>30</v>
      </c>
      <c r="M956" s="168"/>
      <c r="N956" s="168"/>
      <c r="O956" s="168"/>
      <c r="P956" s="168"/>
      <c r="Q956" s="168" t="s">
        <v>0</v>
      </c>
      <c r="R956" s="168" t="s">
        <v>1</v>
      </c>
      <c r="S956" s="178" t="str">
        <f t="shared" si="44"/>
        <v>D_IMP_F_CRM_BHROWNUM</v>
      </c>
    </row>
    <row r="957" spans="1:19" ht="14.4" x14ac:dyDescent="0.3">
      <c r="A957" s="169" t="s">
        <v>1350</v>
      </c>
      <c r="B957" s="171" t="str">
        <f t="shared" si="42"/>
        <v>D_IMP_F_CRM_BH</v>
      </c>
      <c r="C957" s="169" t="s">
        <v>498</v>
      </c>
      <c r="D957" s="169">
        <v>1553</v>
      </c>
      <c r="E957" s="169">
        <v>11</v>
      </c>
      <c r="F957" s="169" t="s">
        <v>498</v>
      </c>
      <c r="G957" s="169" t="s">
        <v>498</v>
      </c>
      <c r="H957" s="169">
        <v>7</v>
      </c>
      <c r="I957" s="136" t="str">
        <f t="shared" si="43"/>
        <v>BIGINT</v>
      </c>
      <c r="J957" s="169" t="s">
        <v>1</v>
      </c>
      <c r="K957" s="169" t="s">
        <v>1</v>
      </c>
      <c r="L957" s="169">
        <v>30</v>
      </c>
      <c r="M957" s="168"/>
      <c r="N957" s="168"/>
      <c r="O957" s="168"/>
      <c r="P957" s="168"/>
      <c r="Q957" s="168" t="s">
        <v>0</v>
      </c>
      <c r="R957" s="168" t="s">
        <v>1</v>
      </c>
      <c r="S957" s="178" t="str">
        <f t="shared" si="44"/>
        <v>D_IMP_F_CRM_BHRUN_ID</v>
      </c>
    </row>
    <row r="958" spans="1:19" ht="14.4" x14ac:dyDescent="0.3">
      <c r="A958" s="169" t="s">
        <v>1350</v>
      </c>
      <c r="B958" s="171" t="str">
        <f t="shared" si="42"/>
        <v>D_IMP_F_CRM_BH</v>
      </c>
      <c r="C958" s="169" t="s">
        <v>516</v>
      </c>
      <c r="D958" s="169">
        <v>1554</v>
      </c>
      <c r="E958" s="169">
        <v>12</v>
      </c>
      <c r="F958" s="169" t="s">
        <v>516</v>
      </c>
      <c r="G958" s="169" t="s">
        <v>516</v>
      </c>
      <c r="H958" s="169">
        <v>7</v>
      </c>
      <c r="I958" s="136" t="str">
        <f t="shared" si="43"/>
        <v>BIGINT</v>
      </c>
      <c r="J958" s="169" t="s">
        <v>1</v>
      </c>
      <c r="K958" s="169" t="s">
        <v>1</v>
      </c>
      <c r="L958" s="169">
        <v>30</v>
      </c>
      <c r="M958" s="168"/>
      <c r="N958" s="168"/>
      <c r="O958" s="168"/>
      <c r="P958" s="168"/>
      <c r="Q958" s="168" t="s">
        <v>0</v>
      </c>
      <c r="R958" s="168" t="s">
        <v>1</v>
      </c>
      <c r="S958" s="178" t="str">
        <f t="shared" si="44"/>
        <v>D_IMP_F_CRM_BHSK</v>
      </c>
    </row>
    <row r="959" spans="1:19" ht="14.4" x14ac:dyDescent="0.3">
      <c r="A959" s="169" t="s">
        <v>1350</v>
      </c>
      <c r="B959" s="171" t="str">
        <f t="shared" si="42"/>
        <v>D_IMP_F_CRM_BH</v>
      </c>
      <c r="C959" s="169" t="s">
        <v>492</v>
      </c>
      <c r="D959" s="169">
        <v>1555</v>
      </c>
      <c r="E959" s="169">
        <v>13</v>
      </c>
      <c r="F959" s="169" t="s">
        <v>492</v>
      </c>
      <c r="G959" s="169" t="s">
        <v>492</v>
      </c>
      <c r="H959" s="169">
        <v>34</v>
      </c>
      <c r="I959" s="136" t="str">
        <f t="shared" si="43"/>
        <v>DATE</v>
      </c>
      <c r="J959" s="169" t="s">
        <v>1</v>
      </c>
      <c r="K959" s="169" t="s">
        <v>1</v>
      </c>
      <c r="L959" s="169">
        <v>30</v>
      </c>
      <c r="M959" s="168"/>
      <c r="N959" s="168"/>
      <c r="O959" s="168"/>
      <c r="P959" s="168"/>
      <c r="Q959" s="168" t="s">
        <v>0</v>
      </c>
      <c r="R959" s="168" t="s">
        <v>1</v>
      </c>
      <c r="S959" s="178" t="str">
        <f t="shared" si="44"/>
        <v>D_IMP_F_CRM_BHVALIDITY_DT</v>
      </c>
    </row>
    <row r="960" spans="1:19" ht="14.4" x14ac:dyDescent="0.3">
      <c r="A960" s="169" t="s">
        <v>1839</v>
      </c>
      <c r="B960" s="171" t="str">
        <f t="shared" si="42"/>
        <v>D_INTERNAL_ORG_ASSOCIATION</v>
      </c>
      <c r="C960" s="169" t="s">
        <v>1908</v>
      </c>
      <c r="D960" s="169">
        <v>453</v>
      </c>
      <c r="E960" s="169">
        <v>1</v>
      </c>
      <c r="F960" s="169" t="s">
        <v>1908</v>
      </c>
      <c r="G960" s="169" t="s">
        <v>1908</v>
      </c>
      <c r="H960" s="169">
        <v>14</v>
      </c>
      <c r="I960" s="136" t="str">
        <f t="shared" si="43"/>
        <v xml:space="preserve">CHAR(3) </v>
      </c>
      <c r="J960" s="169" t="s">
        <v>0</v>
      </c>
      <c r="K960" s="169" t="s">
        <v>1</v>
      </c>
      <c r="L960" s="169">
        <v>30</v>
      </c>
      <c r="M960" s="168"/>
      <c r="N960" s="168"/>
      <c r="O960" s="168"/>
      <c r="P960" s="168"/>
      <c r="Q960" s="168" t="s">
        <v>0</v>
      </c>
      <c r="R960" s="168" t="s">
        <v>1</v>
      </c>
      <c r="S960" s="178" t="str">
        <f t="shared" si="44"/>
        <v>D_INTERNAL_ORG_ASSOCIATIONASSOCIATION_TYPE_CD</v>
      </c>
    </row>
    <row r="961" spans="1:19" ht="14.4" x14ac:dyDescent="0.3">
      <c r="A961" s="169" t="s">
        <v>1839</v>
      </c>
      <c r="B961" s="171" t="str">
        <f t="shared" si="42"/>
        <v>D_INTERNAL_ORG_ASSOCIATION</v>
      </c>
      <c r="C961" s="169" t="s">
        <v>1875</v>
      </c>
      <c r="D961" s="169">
        <v>454</v>
      </c>
      <c r="E961" s="169">
        <v>2</v>
      </c>
      <c r="F961" s="169" t="s">
        <v>1875</v>
      </c>
      <c r="G961" s="169" t="s">
        <v>1875</v>
      </c>
      <c r="H961" s="169">
        <v>22</v>
      </c>
      <c r="I961" s="136" t="str">
        <f t="shared" si="43"/>
        <v>TIMESTAMP(6)</v>
      </c>
      <c r="J961" s="169" t="s">
        <v>1</v>
      </c>
      <c r="K961" s="169" t="s">
        <v>0</v>
      </c>
      <c r="L961" s="169">
        <v>30</v>
      </c>
      <c r="M961" s="168"/>
      <c r="N961" s="168"/>
      <c r="O961" s="168"/>
      <c r="P961" s="168"/>
      <c r="Q961" s="168" t="s">
        <v>0</v>
      </c>
      <c r="R961" s="168" t="s">
        <v>1</v>
      </c>
      <c r="S961" s="178" t="str">
        <f t="shared" si="44"/>
        <v>D_INTERNAL_ORG_ASSOCIATIONEXTRACTION_TS</v>
      </c>
    </row>
    <row r="962" spans="1:19" ht="14.4" x14ac:dyDescent="0.3">
      <c r="A962" s="169" t="s">
        <v>1839</v>
      </c>
      <c r="B962" s="171" t="str">
        <f t="shared" ref="B962:B1025" si="45">IF(NOT(ISBLANK(A962)),VLOOKUP(A962,ERM_TABLE_NM,2,FALSE), "")</f>
        <v>D_INTERNAL_ORG_ASSOCIATION</v>
      </c>
      <c r="C962" s="169" t="s">
        <v>1909</v>
      </c>
      <c r="D962" s="169">
        <v>455</v>
      </c>
      <c r="E962" s="169">
        <v>3</v>
      </c>
      <c r="F962" s="169" t="s">
        <v>1909</v>
      </c>
      <c r="G962" s="169" t="s">
        <v>1909</v>
      </c>
      <c r="H962" s="169">
        <v>6</v>
      </c>
      <c r="I962" s="136" t="str">
        <f t="shared" ref="I962:I1025" si="46">IF(NOT(ISBLANK(H962)),VLOOKUP(H962,ERM_DOMAIN_NM,2,FALSE), "")</f>
        <v>SMALLINT</v>
      </c>
      <c r="J962" s="169" t="s">
        <v>0</v>
      </c>
      <c r="K962" s="169" t="s">
        <v>1</v>
      </c>
      <c r="L962" s="169">
        <v>30</v>
      </c>
      <c r="M962" s="168"/>
      <c r="N962" s="168"/>
      <c r="O962" s="168"/>
      <c r="P962" s="168"/>
      <c r="Q962" s="168" t="s">
        <v>0</v>
      </c>
      <c r="R962" s="168" t="s">
        <v>1</v>
      </c>
      <c r="S962" s="178" t="str">
        <f t="shared" si="44"/>
        <v>D_INTERNAL_ORG_ASSOCIATIONHIERARCHY_LEVEL</v>
      </c>
    </row>
    <row r="963" spans="1:19" ht="14.4" x14ac:dyDescent="0.3">
      <c r="A963" s="169" t="s">
        <v>1839</v>
      </c>
      <c r="B963" s="171" t="str">
        <f t="shared" si="45"/>
        <v>D_INTERNAL_ORG_ASSOCIATION</v>
      </c>
      <c r="C963" s="169" t="s">
        <v>1898</v>
      </c>
      <c r="D963" s="169">
        <v>456</v>
      </c>
      <c r="E963" s="169">
        <v>4</v>
      </c>
      <c r="F963" s="169" t="s">
        <v>1898</v>
      </c>
      <c r="G963" s="169" t="s">
        <v>1898</v>
      </c>
      <c r="H963" s="169">
        <v>45</v>
      </c>
      <c r="I963" s="136" t="str">
        <f t="shared" si="46"/>
        <v>DECIMAL(15, 0)</v>
      </c>
      <c r="J963" s="169" t="s">
        <v>0</v>
      </c>
      <c r="K963" s="169" t="s">
        <v>0</v>
      </c>
      <c r="L963" s="169">
        <v>30</v>
      </c>
      <c r="M963" s="168"/>
      <c r="N963" s="168"/>
      <c r="O963" s="168"/>
      <c r="P963" s="168"/>
      <c r="Q963" s="168" t="s">
        <v>0</v>
      </c>
      <c r="R963" s="168" t="s">
        <v>1</v>
      </c>
      <c r="S963" s="178" t="str">
        <f t="shared" ref="S963:S1026" si="47">CONCATENATE(A963,C963)</f>
        <v>D_INTERNAL_ORG_ASSOCIATIONINTERNAL_ORG_RK</v>
      </c>
    </row>
    <row r="964" spans="1:19" ht="14.4" x14ac:dyDescent="0.3">
      <c r="A964" s="169" t="s">
        <v>1839</v>
      </c>
      <c r="B964" s="171" t="str">
        <f t="shared" si="45"/>
        <v>D_INTERNAL_ORG_ASSOCIATION</v>
      </c>
      <c r="C964" s="169" t="s">
        <v>1910</v>
      </c>
      <c r="D964" s="169">
        <v>457</v>
      </c>
      <c r="E964" s="169">
        <v>5</v>
      </c>
      <c r="F964" s="169" t="s">
        <v>1910</v>
      </c>
      <c r="G964" s="169" t="s">
        <v>1910</v>
      </c>
      <c r="H964" s="169">
        <v>45</v>
      </c>
      <c r="I964" s="136" t="str">
        <f t="shared" si="46"/>
        <v>DECIMAL(15, 0)</v>
      </c>
      <c r="J964" s="169" t="s">
        <v>0</v>
      </c>
      <c r="K964" s="169" t="s">
        <v>1</v>
      </c>
      <c r="L964" s="169">
        <v>30</v>
      </c>
      <c r="M964" s="168"/>
      <c r="N964" s="168"/>
      <c r="O964" s="168"/>
      <c r="P964" s="168"/>
      <c r="Q964" s="168" t="s">
        <v>0</v>
      </c>
      <c r="R964" s="168" t="s">
        <v>1</v>
      </c>
      <c r="S964" s="178" t="str">
        <f t="shared" si="47"/>
        <v>D_INTERNAL_ORG_ASSOCIATIONPARENT_INTERNAL_ORG_RK</v>
      </c>
    </row>
    <row r="965" spans="1:19" ht="14.4" x14ac:dyDescent="0.3">
      <c r="A965" s="169" t="s">
        <v>1839</v>
      </c>
      <c r="B965" s="171" t="str">
        <f t="shared" si="45"/>
        <v>D_INTERNAL_ORG_ASSOCIATION</v>
      </c>
      <c r="C965" s="169" t="s">
        <v>440</v>
      </c>
      <c r="D965" s="169">
        <v>458</v>
      </c>
      <c r="E965" s="169">
        <v>6</v>
      </c>
      <c r="F965" s="169" t="s">
        <v>440</v>
      </c>
      <c r="G965" s="169" t="s">
        <v>440</v>
      </c>
      <c r="H965" s="169">
        <v>22</v>
      </c>
      <c r="I965" s="136" t="str">
        <f t="shared" si="46"/>
        <v>TIMESTAMP(6)</v>
      </c>
      <c r="J965" s="169" t="s">
        <v>1</v>
      </c>
      <c r="K965" s="169" t="s">
        <v>1</v>
      </c>
      <c r="L965" s="169">
        <v>30</v>
      </c>
      <c r="M965" s="168"/>
      <c r="N965" s="168"/>
      <c r="O965" s="168"/>
      <c r="P965" s="168"/>
      <c r="Q965" s="168" t="s">
        <v>0</v>
      </c>
      <c r="R965" s="168" t="s">
        <v>1</v>
      </c>
      <c r="S965" s="178" t="str">
        <f t="shared" si="47"/>
        <v>D_INTERNAL_ORG_ASSOCIATIONRECORD_CREATE_TS</v>
      </c>
    </row>
    <row r="966" spans="1:19" ht="14.4" x14ac:dyDescent="0.3">
      <c r="A966" s="169" t="s">
        <v>1839</v>
      </c>
      <c r="B966" s="171" t="str">
        <f t="shared" si="45"/>
        <v>D_INTERNAL_ORG_ASSOCIATION</v>
      </c>
      <c r="C966" s="169" t="s">
        <v>429</v>
      </c>
      <c r="D966" s="169">
        <v>459</v>
      </c>
      <c r="E966" s="169">
        <v>7</v>
      </c>
      <c r="F966" s="169" t="s">
        <v>429</v>
      </c>
      <c r="G966" s="169" t="s">
        <v>429</v>
      </c>
      <c r="H966" s="169">
        <v>22</v>
      </c>
      <c r="I966" s="136" t="str">
        <f t="shared" si="46"/>
        <v>TIMESTAMP(6)</v>
      </c>
      <c r="J966" s="169" t="s">
        <v>1</v>
      </c>
      <c r="K966" s="169" t="s">
        <v>1</v>
      </c>
      <c r="L966" s="169">
        <v>30</v>
      </c>
      <c r="M966" s="168"/>
      <c r="N966" s="168"/>
      <c r="O966" s="168"/>
      <c r="P966" s="168"/>
      <c r="Q966" s="168" t="s">
        <v>0</v>
      </c>
      <c r="R966" s="168" t="s">
        <v>1</v>
      </c>
      <c r="S966" s="178" t="str">
        <f t="shared" si="47"/>
        <v>D_INTERNAL_ORG_ASSOCIATIONRECORD_UPDATE_TS</v>
      </c>
    </row>
    <row r="967" spans="1:19" ht="14.4" x14ac:dyDescent="0.3">
      <c r="A967" s="169" t="s">
        <v>1839</v>
      </c>
      <c r="B967" s="171" t="str">
        <f t="shared" si="45"/>
        <v>D_INTERNAL_ORG_ASSOCIATION</v>
      </c>
      <c r="C967" s="169" t="s">
        <v>498</v>
      </c>
      <c r="D967" s="169">
        <v>460</v>
      </c>
      <c r="E967" s="169">
        <v>8</v>
      </c>
      <c r="F967" s="169" t="s">
        <v>498</v>
      </c>
      <c r="G967" s="169" t="s">
        <v>498</v>
      </c>
      <c r="H967" s="169">
        <v>7</v>
      </c>
      <c r="I967" s="136" t="str">
        <f t="shared" si="46"/>
        <v>BIGINT</v>
      </c>
      <c r="J967" s="169" t="s">
        <v>0</v>
      </c>
      <c r="K967" s="169" t="s">
        <v>0</v>
      </c>
      <c r="L967" s="169">
        <v>30</v>
      </c>
      <c r="M967" s="168"/>
      <c r="N967" s="168"/>
      <c r="O967" s="168"/>
      <c r="P967" s="168"/>
      <c r="Q967" s="168" t="s">
        <v>0</v>
      </c>
      <c r="R967" s="168" t="s">
        <v>1</v>
      </c>
      <c r="S967" s="178" t="str">
        <f t="shared" si="47"/>
        <v>D_INTERNAL_ORG_ASSOCIATIONRUN_ID</v>
      </c>
    </row>
    <row r="968" spans="1:19" ht="14.4" x14ac:dyDescent="0.3">
      <c r="A968" s="169" t="s">
        <v>1839</v>
      </c>
      <c r="B968" s="171" t="str">
        <f t="shared" si="45"/>
        <v>D_INTERNAL_ORG_ASSOCIATION</v>
      </c>
      <c r="C968" s="169" t="s">
        <v>1887</v>
      </c>
      <c r="D968" s="169">
        <v>468</v>
      </c>
      <c r="E968" s="169">
        <v>9</v>
      </c>
      <c r="F968" s="169" t="s">
        <v>1887</v>
      </c>
      <c r="G968" s="169" t="s">
        <v>1887</v>
      </c>
      <c r="H968" s="169">
        <v>34</v>
      </c>
      <c r="I968" s="136" t="str">
        <f t="shared" si="46"/>
        <v>DATE</v>
      </c>
      <c r="J968" s="169" t="s">
        <v>0</v>
      </c>
      <c r="K968" s="169" t="s">
        <v>0</v>
      </c>
      <c r="L968" s="169">
        <v>30</v>
      </c>
      <c r="M968" s="168"/>
      <c r="N968" s="168"/>
      <c r="O968" s="168"/>
      <c r="P968" s="168"/>
      <c r="Q968" s="168" t="s">
        <v>0</v>
      </c>
      <c r="R968" s="168" t="s">
        <v>1</v>
      </c>
      <c r="S968" s="178" t="str">
        <f t="shared" si="47"/>
        <v>D_INTERNAL_ORG_ASSOCIATIONVALIDITY_DATE</v>
      </c>
    </row>
    <row r="969" spans="1:19" ht="14.4" x14ac:dyDescent="0.3">
      <c r="A969" s="169" t="s">
        <v>1830</v>
      </c>
      <c r="B969" s="171" t="str">
        <f t="shared" si="45"/>
        <v>D_INTERNAL_ORG_MART</v>
      </c>
      <c r="C969" s="169" t="s">
        <v>1911</v>
      </c>
      <c r="D969" s="169">
        <v>469</v>
      </c>
      <c r="E969" s="169">
        <v>1</v>
      </c>
      <c r="F969" s="169" t="s">
        <v>1911</v>
      </c>
      <c r="G969" s="169" t="s">
        <v>1911</v>
      </c>
      <c r="H969" s="169">
        <v>43</v>
      </c>
      <c r="I969" s="136" t="str">
        <f t="shared" si="46"/>
        <v xml:space="preserve">VARCHAR(128) </v>
      </c>
      <c r="J969" s="169" t="s">
        <v>0</v>
      </c>
      <c r="K969" s="169" t="s">
        <v>1</v>
      </c>
      <c r="L969" s="169">
        <v>30</v>
      </c>
      <c r="M969" s="168"/>
      <c r="N969" s="168"/>
      <c r="O969" s="168"/>
      <c r="P969" s="168"/>
      <c r="Q969" s="168" t="s">
        <v>0</v>
      </c>
      <c r="R969" s="168" t="s">
        <v>1</v>
      </c>
      <c r="S969" s="178" t="str">
        <f t="shared" si="47"/>
        <v>D_INTERNAL_ORG_MARTBUSINESS_UNIT</v>
      </c>
    </row>
    <row r="970" spans="1:19" ht="14.4" x14ac:dyDescent="0.3">
      <c r="A970" s="169" t="s">
        <v>1830</v>
      </c>
      <c r="B970" s="171" t="str">
        <f t="shared" si="45"/>
        <v>D_INTERNAL_ORG_MART</v>
      </c>
      <c r="C970" s="169" t="s">
        <v>1875</v>
      </c>
      <c r="D970" s="169">
        <v>470</v>
      </c>
      <c r="E970" s="169">
        <v>2</v>
      </c>
      <c r="F970" s="169" t="s">
        <v>1875</v>
      </c>
      <c r="G970" s="169" t="s">
        <v>1875</v>
      </c>
      <c r="H970" s="169">
        <v>22</v>
      </c>
      <c r="I970" s="136" t="str">
        <f t="shared" si="46"/>
        <v>TIMESTAMP(6)</v>
      </c>
      <c r="J970" s="169" t="s">
        <v>1</v>
      </c>
      <c r="K970" s="169" t="s">
        <v>0</v>
      </c>
      <c r="L970" s="169">
        <v>30</v>
      </c>
      <c r="M970" s="168"/>
      <c r="N970" s="168"/>
      <c r="O970" s="168"/>
      <c r="P970" s="168"/>
      <c r="Q970" s="168" t="s">
        <v>0</v>
      </c>
      <c r="R970" s="168" t="s">
        <v>1</v>
      </c>
      <c r="S970" s="178" t="str">
        <f t="shared" si="47"/>
        <v>D_INTERNAL_ORG_MARTEXTRACTION_TS</v>
      </c>
    </row>
    <row r="971" spans="1:19" ht="14.4" x14ac:dyDescent="0.3">
      <c r="A971" s="169" t="s">
        <v>1830</v>
      </c>
      <c r="B971" s="171" t="str">
        <f t="shared" si="45"/>
        <v>D_INTERNAL_ORG_MART</v>
      </c>
      <c r="C971" s="169" t="s">
        <v>1898</v>
      </c>
      <c r="D971" s="169">
        <v>471</v>
      </c>
      <c r="E971" s="169">
        <v>3</v>
      </c>
      <c r="F971" s="169" t="s">
        <v>1898</v>
      </c>
      <c r="G971" s="169" t="s">
        <v>1898</v>
      </c>
      <c r="H971" s="169">
        <v>45</v>
      </c>
      <c r="I971" s="136" t="str">
        <f t="shared" si="46"/>
        <v>DECIMAL(15, 0)</v>
      </c>
      <c r="J971" s="169" t="s">
        <v>0</v>
      </c>
      <c r="K971" s="169" t="s">
        <v>0</v>
      </c>
      <c r="L971" s="169">
        <v>30</v>
      </c>
      <c r="M971" s="168"/>
      <c r="N971" s="168"/>
      <c r="O971" s="168"/>
      <c r="P971" s="168"/>
      <c r="Q971" s="168" t="s">
        <v>0</v>
      </c>
      <c r="R971" s="168" t="s">
        <v>1</v>
      </c>
      <c r="S971" s="178" t="str">
        <f t="shared" si="47"/>
        <v>D_INTERNAL_ORG_MARTINTERNAL_ORG_RK</v>
      </c>
    </row>
    <row r="972" spans="1:19" ht="14.4" x14ac:dyDescent="0.3">
      <c r="A972" s="169" t="s">
        <v>1830</v>
      </c>
      <c r="B972" s="171" t="str">
        <f t="shared" si="45"/>
        <v>D_INTERNAL_ORG_MART</v>
      </c>
      <c r="C972" s="169" t="s">
        <v>440</v>
      </c>
      <c r="D972" s="169">
        <v>472</v>
      </c>
      <c r="E972" s="169">
        <v>4</v>
      </c>
      <c r="F972" s="169" t="s">
        <v>440</v>
      </c>
      <c r="G972" s="169" t="s">
        <v>440</v>
      </c>
      <c r="H972" s="169">
        <v>22</v>
      </c>
      <c r="I972" s="136" t="str">
        <f t="shared" si="46"/>
        <v>TIMESTAMP(6)</v>
      </c>
      <c r="J972" s="169" t="s">
        <v>1</v>
      </c>
      <c r="K972" s="169" t="s">
        <v>1</v>
      </c>
      <c r="L972" s="169">
        <v>30</v>
      </c>
      <c r="M972" s="168"/>
      <c r="N972" s="168"/>
      <c r="O972" s="168"/>
      <c r="P972" s="168"/>
      <c r="Q972" s="168" t="s">
        <v>0</v>
      </c>
      <c r="R972" s="168" t="s">
        <v>1</v>
      </c>
      <c r="S972" s="178" t="str">
        <f t="shared" si="47"/>
        <v>D_INTERNAL_ORG_MARTRECORD_CREATE_TS</v>
      </c>
    </row>
    <row r="973" spans="1:19" ht="14.4" x14ac:dyDescent="0.3">
      <c r="A973" s="169" t="s">
        <v>1830</v>
      </c>
      <c r="B973" s="171" t="str">
        <f t="shared" si="45"/>
        <v>D_INTERNAL_ORG_MART</v>
      </c>
      <c r="C973" s="169" t="s">
        <v>429</v>
      </c>
      <c r="D973" s="169">
        <v>473</v>
      </c>
      <c r="E973" s="169">
        <v>5</v>
      </c>
      <c r="F973" s="169" t="s">
        <v>429</v>
      </c>
      <c r="G973" s="169" t="s">
        <v>429</v>
      </c>
      <c r="H973" s="169">
        <v>22</v>
      </c>
      <c r="I973" s="136" t="str">
        <f t="shared" si="46"/>
        <v>TIMESTAMP(6)</v>
      </c>
      <c r="J973" s="169" t="s">
        <v>1</v>
      </c>
      <c r="K973" s="169" t="s">
        <v>1</v>
      </c>
      <c r="L973" s="169">
        <v>30</v>
      </c>
      <c r="M973" s="168"/>
      <c r="N973" s="168"/>
      <c r="O973" s="168"/>
      <c r="P973" s="168"/>
      <c r="Q973" s="168" t="s">
        <v>0</v>
      </c>
      <c r="R973" s="168" t="s">
        <v>1</v>
      </c>
      <c r="S973" s="178" t="str">
        <f t="shared" si="47"/>
        <v>D_INTERNAL_ORG_MARTRECORD_UPDATE_TS</v>
      </c>
    </row>
    <row r="974" spans="1:19" ht="14.4" x14ac:dyDescent="0.3">
      <c r="A974" s="169" t="s">
        <v>1830</v>
      </c>
      <c r="B974" s="171" t="str">
        <f t="shared" si="45"/>
        <v>D_INTERNAL_ORG_MART</v>
      </c>
      <c r="C974" s="169" t="s">
        <v>498</v>
      </c>
      <c r="D974" s="169">
        <v>474</v>
      </c>
      <c r="E974" s="169">
        <v>6</v>
      </c>
      <c r="F974" s="169" t="s">
        <v>498</v>
      </c>
      <c r="G974" s="169" t="s">
        <v>498</v>
      </c>
      <c r="H974" s="169">
        <v>7</v>
      </c>
      <c r="I974" s="136" t="str">
        <f t="shared" si="46"/>
        <v>BIGINT</v>
      </c>
      <c r="J974" s="169" t="s">
        <v>0</v>
      </c>
      <c r="K974" s="169" t="s">
        <v>0</v>
      </c>
      <c r="L974" s="169">
        <v>30</v>
      </c>
      <c r="M974" s="168"/>
      <c r="N974" s="168"/>
      <c r="O974" s="168"/>
      <c r="P974" s="168"/>
      <c r="Q974" s="168" t="s">
        <v>0</v>
      </c>
      <c r="R974" s="168" t="s">
        <v>1</v>
      </c>
      <c r="S974" s="178" t="str">
        <f t="shared" si="47"/>
        <v>D_INTERNAL_ORG_MARTRUN_ID</v>
      </c>
    </row>
    <row r="975" spans="1:19" ht="14.4" x14ac:dyDescent="0.3">
      <c r="A975" s="169" t="s">
        <v>1830</v>
      </c>
      <c r="B975" s="171" t="str">
        <f t="shared" si="45"/>
        <v>D_INTERNAL_ORG_MART</v>
      </c>
      <c r="C975" s="169" t="s">
        <v>1887</v>
      </c>
      <c r="D975" s="169">
        <v>475</v>
      </c>
      <c r="E975" s="169">
        <v>7</v>
      </c>
      <c r="F975" s="169" t="s">
        <v>1887</v>
      </c>
      <c r="G975" s="169" t="s">
        <v>1887</v>
      </c>
      <c r="H975" s="169">
        <v>34</v>
      </c>
      <c r="I975" s="136" t="str">
        <f t="shared" si="46"/>
        <v>DATE</v>
      </c>
      <c r="J975" s="169" t="s">
        <v>0</v>
      </c>
      <c r="K975" s="169" t="s">
        <v>0</v>
      </c>
      <c r="L975" s="169">
        <v>30</v>
      </c>
      <c r="M975" s="168"/>
      <c r="N975" s="168"/>
      <c r="O975" s="168"/>
      <c r="P975" s="168"/>
      <c r="Q975" s="168" t="s">
        <v>0</v>
      </c>
      <c r="R975" s="168" t="s">
        <v>1</v>
      </c>
      <c r="S975" s="178" t="str">
        <f t="shared" si="47"/>
        <v>D_INTERNAL_ORG_MARTVALIDITY_DATE</v>
      </c>
    </row>
    <row r="976" spans="1:19" ht="14.4" x14ac:dyDescent="0.3">
      <c r="A976" s="169" t="s">
        <v>412</v>
      </c>
      <c r="B976" s="171" t="str">
        <f t="shared" si="45"/>
        <v>Таблица-хаб подразделений</v>
      </c>
      <c r="C976" s="169" t="s">
        <v>532</v>
      </c>
      <c r="D976" s="169">
        <v>1556</v>
      </c>
      <c r="E976" s="169">
        <v>1</v>
      </c>
      <c r="F976" s="169" t="s">
        <v>532</v>
      </c>
      <c r="G976" s="169" t="s">
        <v>532</v>
      </c>
      <c r="H976" s="169">
        <v>7</v>
      </c>
      <c r="I976" s="136" t="str">
        <f t="shared" si="46"/>
        <v>BIGINT</v>
      </c>
      <c r="J976" s="169" t="s">
        <v>1</v>
      </c>
      <c r="K976" s="169" t="s">
        <v>0</v>
      </c>
      <c r="L976" s="169">
        <v>30</v>
      </c>
      <c r="M976" s="168"/>
      <c r="N976" s="168"/>
      <c r="O976" s="168"/>
      <c r="P976" s="168"/>
      <c r="Q976" s="168" t="s">
        <v>0</v>
      </c>
      <c r="R976" s="168" t="s">
        <v>1</v>
      </c>
      <c r="S976" s="178" t="str">
        <f t="shared" si="47"/>
        <v>D_INT_ORGINT_ORG_ID</v>
      </c>
    </row>
    <row r="977" spans="1:19" ht="14.4" x14ac:dyDescent="0.3">
      <c r="A977" s="169" t="s">
        <v>412</v>
      </c>
      <c r="B977" s="171" t="str">
        <f t="shared" si="45"/>
        <v>Таблица-хаб подразделений</v>
      </c>
      <c r="C977" s="169" t="s">
        <v>440</v>
      </c>
      <c r="D977" s="169">
        <v>1557</v>
      </c>
      <c r="E977" s="169">
        <v>2</v>
      </c>
      <c r="F977" s="169" t="s">
        <v>440</v>
      </c>
      <c r="G977" s="169" t="s">
        <v>440</v>
      </c>
      <c r="H977" s="169">
        <v>22</v>
      </c>
      <c r="I977" s="136" t="str">
        <f t="shared" si="46"/>
        <v>TIMESTAMP(6)</v>
      </c>
      <c r="J977" s="169" t="s">
        <v>1</v>
      </c>
      <c r="K977" s="169" t="s">
        <v>1</v>
      </c>
      <c r="L977" s="169">
        <v>30</v>
      </c>
      <c r="M977" s="168"/>
      <c r="N977" s="168"/>
      <c r="O977" s="168"/>
      <c r="P977" s="168"/>
      <c r="Q977" s="168" t="s">
        <v>0</v>
      </c>
      <c r="R977" s="168" t="s">
        <v>1</v>
      </c>
      <c r="S977" s="178" t="str">
        <f t="shared" si="47"/>
        <v>D_INT_ORGRECORD_CREATE_TS</v>
      </c>
    </row>
    <row r="978" spans="1:19" ht="14.4" x14ac:dyDescent="0.3">
      <c r="A978" s="169" t="s">
        <v>412</v>
      </c>
      <c r="B978" s="171" t="str">
        <f t="shared" si="45"/>
        <v>Таблица-хаб подразделений</v>
      </c>
      <c r="C978" s="169" t="s">
        <v>429</v>
      </c>
      <c r="D978" s="169">
        <v>1558</v>
      </c>
      <c r="E978" s="169">
        <v>3</v>
      </c>
      <c r="F978" s="169" t="s">
        <v>429</v>
      </c>
      <c r="G978" s="169" t="s">
        <v>429</v>
      </c>
      <c r="H978" s="169">
        <v>22</v>
      </c>
      <c r="I978" s="136" t="str">
        <f t="shared" si="46"/>
        <v>TIMESTAMP(6)</v>
      </c>
      <c r="J978" s="169" t="s">
        <v>1</v>
      </c>
      <c r="K978" s="169" t="s">
        <v>1</v>
      </c>
      <c r="L978" s="169">
        <v>30</v>
      </c>
      <c r="M978" s="168"/>
      <c r="N978" s="168"/>
      <c r="O978" s="168"/>
      <c r="P978" s="168"/>
      <c r="Q978" s="168" t="s">
        <v>0</v>
      </c>
      <c r="R978" s="168" t="s">
        <v>1</v>
      </c>
      <c r="S978" s="178" t="str">
        <f t="shared" si="47"/>
        <v>D_INT_ORGRECORD_UPDATE_TS</v>
      </c>
    </row>
    <row r="979" spans="1:19" ht="14.4" x14ac:dyDescent="0.3">
      <c r="A979" s="169" t="s">
        <v>412</v>
      </c>
      <c r="B979" s="171" t="str">
        <f t="shared" si="45"/>
        <v>Таблица-хаб подразделений</v>
      </c>
      <c r="C979" s="169" t="s">
        <v>498</v>
      </c>
      <c r="D979" s="169">
        <v>1559</v>
      </c>
      <c r="E979" s="169">
        <v>4</v>
      </c>
      <c r="F979" s="169" t="s">
        <v>498</v>
      </c>
      <c r="G979" s="169" t="s">
        <v>498</v>
      </c>
      <c r="H979" s="169">
        <v>7</v>
      </c>
      <c r="I979" s="136" t="str">
        <f t="shared" si="46"/>
        <v>BIGINT</v>
      </c>
      <c r="J979" s="169" t="s">
        <v>1</v>
      </c>
      <c r="K979" s="169" t="s">
        <v>1</v>
      </c>
      <c r="L979" s="169">
        <v>30</v>
      </c>
      <c r="M979" s="168"/>
      <c r="N979" s="168"/>
      <c r="O979" s="168"/>
      <c r="P979" s="168"/>
      <c r="Q979" s="168" t="s">
        <v>0</v>
      </c>
      <c r="R979" s="168" t="s">
        <v>1</v>
      </c>
      <c r="S979" s="178" t="str">
        <f t="shared" si="47"/>
        <v>D_INT_ORGRUN_ID</v>
      </c>
    </row>
    <row r="980" spans="1:19" ht="14.4" x14ac:dyDescent="0.3">
      <c r="A980" s="169" t="s">
        <v>412</v>
      </c>
      <c r="B980" s="171" t="str">
        <f t="shared" si="45"/>
        <v>Таблица-хаб подразделений</v>
      </c>
      <c r="C980" s="169" t="s">
        <v>527</v>
      </c>
      <c r="D980" s="169">
        <v>1560</v>
      </c>
      <c r="E980" s="169">
        <v>5</v>
      </c>
      <c r="F980" s="169" t="s">
        <v>527</v>
      </c>
      <c r="G980" s="169" t="s">
        <v>527</v>
      </c>
      <c r="H980" s="169">
        <v>7</v>
      </c>
      <c r="I980" s="136" t="str">
        <f t="shared" si="46"/>
        <v>BIGINT</v>
      </c>
      <c r="J980" s="169" t="s">
        <v>1</v>
      </c>
      <c r="K980" s="169" t="s">
        <v>1</v>
      </c>
      <c r="L980" s="169">
        <v>30</v>
      </c>
      <c r="M980" s="168"/>
      <c r="N980" s="168"/>
      <c r="O980" s="168"/>
      <c r="P980" s="168"/>
      <c r="Q980" s="168" t="s">
        <v>0</v>
      </c>
      <c r="R980" s="168" t="s">
        <v>1</v>
      </c>
      <c r="S980" s="178" t="str">
        <f t="shared" si="47"/>
        <v>D_INT_ORGSRC_SYS_ID</v>
      </c>
    </row>
    <row r="981" spans="1:19" ht="14.4" x14ac:dyDescent="0.3">
      <c r="A981" s="169" t="s">
        <v>412</v>
      </c>
      <c r="B981" s="171" t="str">
        <f t="shared" si="45"/>
        <v>Таблица-хаб подразделений</v>
      </c>
      <c r="C981" s="169" t="s">
        <v>525</v>
      </c>
      <c r="D981" s="169">
        <v>1561</v>
      </c>
      <c r="E981" s="169">
        <v>6</v>
      </c>
      <c r="F981" s="169" t="s">
        <v>525</v>
      </c>
      <c r="G981" s="169" t="s">
        <v>525</v>
      </c>
      <c r="H981" s="169">
        <v>24</v>
      </c>
      <c r="I981" s="136" t="str">
        <f t="shared" si="46"/>
        <v xml:space="preserve">VARCHAR(40) </v>
      </c>
      <c r="J981" s="169" t="s">
        <v>0</v>
      </c>
      <c r="K981" s="169" t="s">
        <v>1</v>
      </c>
      <c r="L981" s="169">
        <v>30</v>
      </c>
      <c r="M981" s="168"/>
      <c r="N981" s="168"/>
      <c r="O981" s="168"/>
      <c r="P981" s="168"/>
      <c r="Q981" s="168" t="s">
        <v>0</v>
      </c>
      <c r="R981" s="168" t="s">
        <v>1</v>
      </c>
      <c r="S981" s="178" t="str">
        <f t="shared" si="47"/>
        <v>D_INT_ORGSRC_SYS_KEY</v>
      </c>
    </row>
    <row r="982" spans="1:19" ht="14.4" x14ac:dyDescent="0.3">
      <c r="A982" s="169" t="s">
        <v>412</v>
      </c>
      <c r="B982" s="171" t="str">
        <f t="shared" si="45"/>
        <v>Таблица-хаб подразделений</v>
      </c>
      <c r="C982" s="169" t="s">
        <v>535</v>
      </c>
      <c r="D982" s="169">
        <v>1562</v>
      </c>
      <c r="E982" s="169">
        <v>7</v>
      </c>
      <c r="F982" s="169" t="s">
        <v>535</v>
      </c>
      <c r="G982" s="169" t="s">
        <v>535</v>
      </c>
      <c r="H982" s="169">
        <v>7</v>
      </c>
      <c r="I982" s="136" t="str">
        <f t="shared" si="46"/>
        <v>BIGINT</v>
      </c>
      <c r="J982" s="169" t="s">
        <v>0</v>
      </c>
      <c r="K982" s="169" t="s">
        <v>1</v>
      </c>
      <c r="L982" s="169">
        <v>30</v>
      </c>
      <c r="M982" s="168"/>
      <c r="N982" s="168"/>
      <c r="O982" s="168"/>
      <c r="P982" s="168"/>
      <c r="Q982" s="168" t="s">
        <v>0</v>
      </c>
      <c r="R982" s="168" t="s">
        <v>1</v>
      </c>
      <c r="S982" s="178" t="str">
        <f t="shared" si="47"/>
        <v>D_INT_ORGSRC_SYS_KEY_ID</v>
      </c>
    </row>
    <row r="983" spans="1:19" ht="14.4" x14ac:dyDescent="0.3">
      <c r="A983" s="169" t="s">
        <v>422</v>
      </c>
      <c r="B983" s="171" t="str">
        <f t="shared" si="45"/>
        <v>D_INT_ORG_ASSOC_BTH</v>
      </c>
      <c r="C983" s="169" t="s">
        <v>818</v>
      </c>
      <c r="D983" s="169">
        <v>1563</v>
      </c>
      <c r="E983" s="169">
        <v>1</v>
      </c>
      <c r="F983" s="169" t="s">
        <v>818</v>
      </c>
      <c r="G983" s="169" t="s">
        <v>818</v>
      </c>
      <c r="H983" s="169">
        <v>7</v>
      </c>
      <c r="I983" s="136" t="str">
        <f t="shared" si="46"/>
        <v>BIGINT</v>
      </c>
      <c r="J983" s="169" t="s">
        <v>1</v>
      </c>
      <c r="K983" s="169" t="s">
        <v>1</v>
      </c>
      <c r="L983" s="169">
        <v>30</v>
      </c>
      <c r="M983" s="168"/>
      <c r="N983" s="168"/>
      <c r="O983" s="168"/>
      <c r="P983" s="168"/>
      <c r="Q983" s="168" t="s">
        <v>0</v>
      </c>
      <c r="R983" s="168" t="s">
        <v>1</v>
      </c>
      <c r="S983" s="178" t="str">
        <f t="shared" si="47"/>
        <v>D_INT_ORG_ASSOC_BTHINT_ORG_HIER_SCEN_ID</v>
      </c>
    </row>
    <row r="984" spans="1:19" ht="14.4" x14ac:dyDescent="0.3">
      <c r="A984" s="169" t="s">
        <v>422</v>
      </c>
      <c r="B984" s="171" t="str">
        <f t="shared" si="45"/>
        <v>D_INT_ORG_ASSOC_BTH</v>
      </c>
      <c r="C984" s="169" t="s">
        <v>532</v>
      </c>
      <c r="D984" s="169">
        <v>1564</v>
      </c>
      <c r="E984" s="169">
        <v>2</v>
      </c>
      <c r="F984" s="169" t="s">
        <v>532</v>
      </c>
      <c r="G984" s="169" t="s">
        <v>532</v>
      </c>
      <c r="H984" s="169">
        <v>7</v>
      </c>
      <c r="I984" s="136" t="str">
        <f t="shared" si="46"/>
        <v>BIGINT</v>
      </c>
      <c r="J984" s="169" t="s">
        <v>1</v>
      </c>
      <c r="K984" s="169" t="s">
        <v>0</v>
      </c>
      <c r="L984" s="169">
        <v>30</v>
      </c>
      <c r="M984" s="168"/>
      <c r="N984" s="168"/>
      <c r="O984" s="168"/>
      <c r="P984" s="168"/>
      <c r="Q984" s="168" t="s">
        <v>0</v>
      </c>
      <c r="R984" s="168" t="s">
        <v>1</v>
      </c>
      <c r="S984" s="178" t="str">
        <f t="shared" si="47"/>
        <v>D_INT_ORG_ASSOC_BTHINT_ORG_ID</v>
      </c>
    </row>
    <row r="985" spans="1:19" ht="14.4" x14ac:dyDescent="0.3">
      <c r="A985" s="169" t="s">
        <v>422</v>
      </c>
      <c r="B985" s="171" t="str">
        <f t="shared" si="45"/>
        <v>D_INT_ORG_ASSOC_BTH</v>
      </c>
      <c r="C985" s="169" t="s">
        <v>852</v>
      </c>
      <c r="D985" s="169">
        <v>1565</v>
      </c>
      <c r="E985" s="169">
        <v>3</v>
      </c>
      <c r="F985" s="169" t="s">
        <v>852</v>
      </c>
      <c r="G985" s="169" t="s">
        <v>852</v>
      </c>
      <c r="H985" s="169">
        <v>27</v>
      </c>
      <c r="I985" s="136" t="str">
        <f t="shared" si="46"/>
        <v>INTEGER</v>
      </c>
      <c r="J985" s="169" t="s">
        <v>1</v>
      </c>
      <c r="K985" s="169" t="s">
        <v>1</v>
      </c>
      <c r="L985" s="169">
        <v>30</v>
      </c>
      <c r="M985" s="168"/>
      <c r="N985" s="168"/>
      <c r="O985" s="168"/>
      <c r="P985" s="168"/>
      <c r="Q985" s="168" t="s">
        <v>0</v>
      </c>
      <c r="R985" s="168" t="s">
        <v>1</v>
      </c>
      <c r="S985" s="178" t="str">
        <f t="shared" si="47"/>
        <v>D_INT_ORG_ASSOC_BTHLEVEL</v>
      </c>
    </row>
    <row r="986" spans="1:19" ht="14.4" x14ac:dyDescent="0.3">
      <c r="A986" s="169" t="s">
        <v>422</v>
      </c>
      <c r="B986" s="171" t="str">
        <f t="shared" si="45"/>
        <v>D_INT_ORG_ASSOC_BTH</v>
      </c>
      <c r="C986" s="169" t="s">
        <v>854</v>
      </c>
      <c r="D986" s="169">
        <v>1566</v>
      </c>
      <c r="E986" s="169">
        <v>4</v>
      </c>
      <c r="F986" s="169" t="s">
        <v>854</v>
      </c>
      <c r="G986" s="169" t="s">
        <v>854</v>
      </c>
      <c r="H986" s="169">
        <v>7</v>
      </c>
      <c r="I986" s="136" t="str">
        <f t="shared" si="46"/>
        <v>BIGINT</v>
      </c>
      <c r="J986" s="169" t="s">
        <v>1</v>
      </c>
      <c r="K986" s="169" t="s">
        <v>1</v>
      </c>
      <c r="L986" s="169">
        <v>30</v>
      </c>
      <c r="M986" s="168"/>
      <c r="N986" s="168"/>
      <c r="O986" s="168"/>
      <c r="P986" s="168"/>
      <c r="Q986" s="168" t="s">
        <v>0</v>
      </c>
      <c r="R986" s="168" t="s">
        <v>1</v>
      </c>
      <c r="S986" s="178" t="str">
        <f t="shared" si="47"/>
        <v>D_INT_ORG_ASSOC_BTHPARENT_INT_ORG_ID</v>
      </c>
    </row>
    <row r="987" spans="1:19" ht="14.4" x14ac:dyDescent="0.3">
      <c r="A987" s="169" t="s">
        <v>422</v>
      </c>
      <c r="B987" s="171" t="str">
        <f t="shared" si="45"/>
        <v>D_INT_ORG_ASSOC_BTH</v>
      </c>
      <c r="C987" s="169" t="s">
        <v>438</v>
      </c>
      <c r="D987" s="169">
        <v>1567</v>
      </c>
      <c r="E987" s="169">
        <v>5</v>
      </c>
      <c r="F987" s="169" t="s">
        <v>438</v>
      </c>
      <c r="G987" s="169" t="s">
        <v>438</v>
      </c>
      <c r="H987" s="169">
        <v>22</v>
      </c>
      <c r="I987" s="136" t="str">
        <f t="shared" si="46"/>
        <v>TIMESTAMP(6)</v>
      </c>
      <c r="J987" s="169" t="s">
        <v>1</v>
      </c>
      <c r="K987" s="169" t="s">
        <v>1</v>
      </c>
      <c r="L987" s="169">
        <v>30</v>
      </c>
      <c r="M987" s="168"/>
      <c r="N987" s="168"/>
      <c r="O987" s="168"/>
      <c r="P987" s="168"/>
      <c r="Q987" s="168" t="s">
        <v>0</v>
      </c>
      <c r="R987" s="168" t="s">
        <v>1</v>
      </c>
      <c r="S987" s="178" t="str">
        <f t="shared" si="47"/>
        <v>D_INT_ORG_ASSOC_BTHRECORD_CLOSE_TS</v>
      </c>
    </row>
    <row r="988" spans="1:19" ht="14.4" x14ac:dyDescent="0.3">
      <c r="A988" s="169" t="s">
        <v>422</v>
      </c>
      <c r="B988" s="171" t="str">
        <f t="shared" si="45"/>
        <v>D_INT_ORG_ASSOC_BTH</v>
      </c>
      <c r="C988" s="169" t="s">
        <v>440</v>
      </c>
      <c r="D988" s="169">
        <v>1568</v>
      </c>
      <c r="E988" s="169">
        <v>6</v>
      </c>
      <c r="F988" s="169" t="s">
        <v>440</v>
      </c>
      <c r="G988" s="169" t="s">
        <v>440</v>
      </c>
      <c r="H988" s="169">
        <v>22</v>
      </c>
      <c r="I988" s="136" t="str">
        <f t="shared" si="46"/>
        <v>TIMESTAMP(6)</v>
      </c>
      <c r="J988" s="169" t="s">
        <v>1</v>
      </c>
      <c r="K988" s="169" t="s">
        <v>1</v>
      </c>
      <c r="L988" s="169">
        <v>30</v>
      </c>
      <c r="M988" s="168"/>
      <c r="N988" s="168"/>
      <c r="O988" s="168"/>
      <c r="P988" s="168"/>
      <c r="Q988" s="168" t="s">
        <v>0</v>
      </c>
      <c r="R988" s="168" t="s">
        <v>1</v>
      </c>
      <c r="S988" s="178" t="str">
        <f t="shared" si="47"/>
        <v>D_INT_ORG_ASSOC_BTHRECORD_CREATE_TS</v>
      </c>
    </row>
    <row r="989" spans="1:19" ht="14.4" x14ac:dyDescent="0.3">
      <c r="A989" s="169" t="s">
        <v>422</v>
      </c>
      <c r="B989" s="171" t="str">
        <f t="shared" si="45"/>
        <v>D_INT_ORG_ASSOC_BTH</v>
      </c>
      <c r="C989" s="169" t="s">
        <v>429</v>
      </c>
      <c r="D989" s="169">
        <v>1569</v>
      </c>
      <c r="E989" s="169">
        <v>7</v>
      </c>
      <c r="F989" s="169" t="s">
        <v>429</v>
      </c>
      <c r="G989" s="169" t="s">
        <v>429</v>
      </c>
      <c r="H989" s="169">
        <v>22</v>
      </c>
      <c r="I989" s="136" t="str">
        <f t="shared" si="46"/>
        <v>TIMESTAMP(6)</v>
      </c>
      <c r="J989" s="169" t="s">
        <v>1</v>
      </c>
      <c r="K989" s="169" t="s">
        <v>1</v>
      </c>
      <c r="L989" s="169">
        <v>30</v>
      </c>
      <c r="M989" s="168"/>
      <c r="N989" s="168"/>
      <c r="O989" s="168"/>
      <c r="P989" s="168"/>
      <c r="Q989" s="168" t="s">
        <v>0</v>
      </c>
      <c r="R989" s="168" t="s">
        <v>1</v>
      </c>
      <c r="S989" s="178" t="str">
        <f t="shared" si="47"/>
        <v>D_INT_ORG_ASSOC_BTHRECORD_UPDATE_TS</v>
      </c>
    </row>
    <row r="990" spans="1:19" ht="14.4" x14ac:dyDescent="0.3">
      <c r="A990" s="169" t="s">
        <v>422</v>
      </c>
      <c r="B990" s="171" t="str">
        <f t="shared" si="45"/>
        <v>D_INT_ORG_ASSOC_BTH</v>
      </c>
      <c r="C990" s="169" t="s">
        <v>498</v>
      </c>
      <c r="D990" s="169">
        <v>1570</v>
      </c>
      <c r="E990" s="169">
        <v>8</v>
      </c>
      <c r="F990" s="169" t="s">
        <v>498</v>
      </c>
      <c r="G990" s="169" t="s">
        <v>498</v>
      </c>
      <c r="H990" s="169">
        <v>7</v>
      </c>
      <c r="I990" s="136" t="str">
        <f t="shared" si="46"/>
        <v>BIGINT</v>
      </c>
      <c r="J990" s="169" t="s">
        <v>1</v>
      </c>
      <c r="K990" s="169" t="s">
        <v>1</v>
      </c>
      <c r="L990" s="169">
        <v>30</v>
      </c>
      <c r="M990" s="168"/>
      <c r="N990" s="168"/>
      <c r="O990" s="168"/>
      <c r="P990" s="168"/>
      <c r="Q990" s="168" t="s">
        <v>0</v>
      </c>
      <c r="R990" s="168" t="s">
        <v>1</v>
      </c>
      <c r="S990" s="178" t="str">
        <f t="shared" si="47"/>
        <v>D_INT_ORG_ASSOC_BTHRUN_ID</v>
      </c>
    </row>
    <row r="991" spans="1:19" ht="14.4" x14ac:dyDescent="0.3">
      <c r="A991" s="169" t="s">
        <v>422</v>
      </c>
      <c r="B991" s="171" t="str">
        <f t="shared" si="45"/>
        <v>D_INT_ORG_ASSOC_BTH</v>
      </c>
      <c r="C991" s="169" t="s">
        <v>492</v>
      </c>
      <c r="D991" s="169">
        <v>1571</v>
      </c>
      <c r="E991" s="169">
        <v>9</v>
      </c>
      <c r="F991" s="169" t="s">
        <v>492</v>
      </c>
      <c r="G991" s="169" t="s">
        <v>492</v>
      </c>
      <c r="H991" s="169">
        <v>34</v>
      </c>
      <c r="I991" s="136" t="str">
        <f t="shared" si="46"/>
        <v>DATE</v>
      </c>
      <c r="J991" s="169" t="s">
        <v>1</v>
      </c>
      <c r="K991" s="169" t="s">
        <v>1</v>
      </c>
      <c r="L991" s="169">
        <v>30</v>
      </c>
      <c r="M991" s="168"/>
      <c r="N991" s="168"/>
      <c r="O991" s="168"/>
      <c r="P991" s="168"/>
      <c r="Q991" s="168" t="s">
        <v>0</v>
      </c>
      <c r="R991" s="168" t="s">
        <v>1</v>
      </c>
      <c r="S991" s="178" t="str">
        <f t="shared" si="47"/>
        <v>D_INT_ORG_ASSOC_BTHVALIDITY_DT</v>
      </c>
    </row>
    <row r="992" spans="1:19" ht="14.4" x14ac:dyDescent="0.3">
      <c r="A992" s="169" t="s">
        <v>393</v>
      </c>
      <c r="B992" s="171" t="str">
        <f t="shared" si="45"/>
        <v>Подразделения</v>
      </c>
      <c r="C992" s="169" t="s">
        <v>873</v>
      </c>
      <c r="D992" s="169">
        <v>1572</v>
      </c>
      <c r="E992" s="169">
        <v>1</v>
      </c>
      <c r="F992" s="169" t="s">
        <v>873</v>
      </c>
      <c r="G992" s="169" t="s">
        <v>873</v>
      </c>
      <c r="H992" s="169">
        <v>13</v>
      </c>
      <c r="I992" s="136" t="str">
        <f t="shared" si="46"/>
        <v xml:space="preserve">VARCHAR(300) </v>
      </c>
      <c r="J992" s="169" t="s">
        <v>0</v>
      </c>
      <c r="K992" s="169" t="s">
        <v>1</v>
      </c>
      <c r="L992" s="169">
        <v>30</v>
      </c>
      <c r="M992" s="168"/>
      <c r="N992" s="168"/>
      <c r="O992" s="168"/>
      <c r="P992" s="168"/>
      <c r="Q992" s="168" t="s">
        <v>0</v>
      </c>
      <c r="R992" s="168" t="s">
        <v>1</v>
      </c>
      <c r="S992" s="178" t="str">
        <f t="shared" si="47"/>
        <v>D_INT_ORG_BTHCITY</v>
      </c>
    </row>
    <row r="993" spans="1:19" ht="14.4" x14ac:dyDescent="0.3">
      <c r="A993" s="169" t="s">
        <v>393</v>
      </c>
      <c r="B993" s="171" t="str">
        <f t="shared" si="45"/>
        <v>Подразделения</v>
      </c>
      <c r="C993" s="169" t="s">
        <v>718</v>
      </c>
      <c r="D993" s="169">
        <v>1573</v>
      </c>
      <c r="E993" s="169">
        <v>2</v>
      </c>
      <c r="F993" s="169" t="s">
        <v>718</v>
      </c>
      <c r="G993" s="169" t="s">
        <v>718</v>
      </c>
      <c r="H993" s="169">
        <v>7</v>
      </c>
      <c r="I993" s="136" t="str">
        <f t="shared" si="46"/>
        <v>BIGINT</v>
      </c>
      <c r="J993" s="169" t="s">
        <v>0</v>
      </c>
      <c r="K993" s="169" t="s">
        <v>1</v>
      </c>
      <c r="L993" s="169">
        <v>30</v>
      </c>
      <c r="M993" s="168"/>
      <c r="N993" s="168"/>
      <c r="O993" s="168"/>
      <c r="P993" s="168"/>
      <c r="Q993" s="168" t="s">
        <v>0</v>
      </c>
      <c r="R993" s="168" t="s">
        <v>1</v>
      </c>
      <c r="S993" s="178" t="str">
        <f t="shared" si="47"/>
        <v>D_INT_ORG_BTHCOUNTRY_ID</v>
      </c>
    </row>
    <row r="994" spans="1:19" ht="14.4" x14ac:dyDescent="0.3">
      <c r="A994" s="169" t="s">
        <v>393</v>
      </c>
      <c r="B994" s="171" t="str">
        <f t="shared" si="45"/>
        <v>Подразделения</v>
      </c>
      <c r="C994" s="169" t="s">
        <v>853</v>
      </c>
      <c r="D994" s="169">
        <v>1574</v>
      </c>
      <c r="E994" s="169">
        <v>3</v>
      </c>
      <c r="F994" s="169" t="s">
        <v>853</v>
      </c>
      <c r="G994" s="169" t="s">
        <v>853</v>
      </c>
      <c r="H994" s="169">
        <v>24</v>
      </c>
      <c r="I994" s="136" t="str">
        <f t="shared" si="46"/>
        <v xml:space="preserve">VARCHAR(40) </v>
      </c>
      <c r="J994" s="169" t="s">
        <v>1</v>
      </c>
      <c r="K994" s="169" t="s">
        <v>1</v>
      </c>
      <c r="L994" s="169">
        <v>30</v>
      </c>
      <c r="M994" s="168"/>
      <c r="N994" s="168"/>
      <c r="O994" s="168"/>
      <c r="P994" s="168"/>
      <c r="Q994" s="168" t="s">
        <v>0</v>
      </c>
      <c r="R994" s="168" t="s">
        <v>1</v>
      </c>
      <c r="S994" s="178" t="str">
        <f t="shared" si="47"/>
        <v>D_INT_ORG_BTHINT_ORG_CD</v>
      </c>
    </row>
    <row r="995" spans="1:19" ht="14.4" x14ac:dyDescent="0.3">
      <c r="A995" s="169" t="s">
        <v>393</v>
      </c>
      <c r="B995" s="171" t="str">
        <f t="shared" si="45"/>
        <v>Подразделения</v>
      </c>
      <c r="C995" s="169" t="s">
        <v>532</v>
      </c>
      <c r="D995" s="169">
        <v>1575</v>
      </c>
      <c r="E995" s="169">
        <v>4</v>
      </c>
      <c r="F995" s="169" t="s">
        <v>532</v>
      </c>
      <c r="G995" s="169" t="s">
        <v>532</v>
      </c>
      <c r="H995" s="169">
        <v>7</v>
      </c>
      <c r="I995" s="136" t="str">
        <f t="shared" si="46"/>
        <v>BIGINT</v>
      </c>
      <c r="J995" s="169" t="s">
        <v>1</v>
      </c>
      <c r="K995" s="169" t="s">
        <v>0</v>
      </c>
      <c r="L995" s="169">
        <v>30</v>
      </c>
      <c r="M995" s="168"/>
      <c r="N995" s="168"/>
      <c r="O995" s="168"/>
      <c r="P995" s="168"/>
      <c r="Q995" s="168" t="s">
        <v>0</v>
      </c>
      <c r="R995" s="168" t="s">
        <v>1</v>
      </c>
      <c r="S995" s="178" t="str">
        <f t="shared" si="47"/>
        <v>D_INT_ORG_BTHINT_ORG_ID</v>
      </c>
    </row>
    <row r="996" spans="1:19" ht="14.4" x14ac:dyDescent="0.3">
      <c r="A996" s="169" t="s">
        <v>393</v>
      </c>
      <c r="B996" s="171" t="str">
        <f t="shared" si="45"/>
        <v>Подразделения</v>
      </c>
      <c r="C996" s="169" t="s">
        <v>871</v>
      </c>
      <c r="D996" s="169">
        <v>1576</v>
      </c>
      <c r="E996" s="169">
        <v>5</v>
      </c>
      <c r="F996" s="169" t="s">
        <v>871</v>
      </c>
      <c r="G996" s="169" t="s">
        <v>871</v>
      </c>
      <c r="H996" s="169">
        <v>13</v>
      </c>
      <c r="I996" s="136" t="str">
        <f t="shared" si="46"/>
        <v xml:space="preserve">VARCHAR(300) </v>
      </c>
      <c r="J996" s="169" t="s">
        <v>1</v>
      </c>
      <c r="K996" s="169" t="s">
        <v>1</v>
      </c>
      <c r="L996" s="169">
        <v>30</v>
      </c>
      <c r="M996" s="168"/>
      <c r="N996" s="168"/>
      <c r="O996" s="168"/>
      <c r="P996" s="168"/>
      <c r="Q996" s="168" t="s">
        <v>0</v>
      </c>
      <c r="R996" s="168" t="s">
        <v>1</v>
      </c>
      <c r="S996" s="178" t="str">
        <f t="shared" si="47"/>
        <v>D_INT_ORG_BTHINT_ORG_NM</v>
      </c>
    </row>
    <row r="997" spans="1:19" ht="14.4" x14ac:dyDescent="0.3">
      <c r="A997" s="169" t="s">
        <v>393</v>
      </c>
      <c r="B997" s="171" t="str">
        <f t="shared" si="45"/>
        <v>Подразделения</v>
      </c>
      <c r="C997" s="169" t="s">
        <v>438</v>
      </c>
      <c r="D997" s="169">
        <v>1577</v>
      </c>
      <c r="E997" s="169">
        <v>6</v>
      </c>
      <c r="F997" s="169" t="s">
        <v>438</v>
      </c>
      <c r="G997" s="169" t="s">
        <v>438</v>
      </c>
      <c r="H997" s="169">
        <v>22</v>
      </c>
      <c r="I997" s="136" t="str">
        <f t="shared" si="46"/>
        <v>TIMESTAMP(6)</v>
      </c>
      <c r="J997" s="169" t="s">
        <v>1</v>
      </c>
      <c r="K997" s="169" t="s">
        <v>1</v>
      </c>
      <c r="L997" s="169">
        <v>30</v>
      </c>
      <c r="M997" s="168"/>
      <c r="N997" s="168"/>
      <c r="O997" s="168"/>
      <c r="P997" s="168"/>
      <c r="Q997" s="168" t="s">
        <v>0</v>
      </c>
      <c r="R997" s="168" t="s">
        <v>1</v>
      </c>
      <c r="S997" s="178" t="str">
        <f t="shared" si="47"/>
        <v>D_INT_ORG_BTHRECORD_CLOSE_TS</v>
      </c>
    </row>
    <row r="998" spans="1:19" ht="14.4" x14ac:dyDescent="0.3">
      <c r="A998" s="169" t="s">
        <v>393</v>
      </c>
      <c r="B998" s="171" t="str">
        <f t="shared" si="45"/>
        <v>Подразделения</v>
      </c>
      <c r="C998" s="169" t="s">
        <v>440</v>
      </c>
      <c r="D998" s="169">
        <v>1578</v>
      </c>
      <c r="E998" s="169">
        <v>7</v>
      </c>
      <c r="F998" s="169" t="s">
        <v>440</v>
      </c>
      <c r="G998" s="169" t="s">
        <v>440</v>
      </c>
      <c r="H998" s="169">
        <v>22</v>
      </c>
      <c r="I998" s="136" t="str">
        <f t="shared" si="46"/>
        <v>TIMESTAMP(6)</v>
      </c>
      <c r="J998" s="169" t="s">
        <v>1</v>
      </c>
      <c r="K998" s="169" t="s">
        <v>1</v>
      </c>
      <c r="L998" s="169">
        <v>30</v>
      </c>
      <c r="M998" s="168"/>
      <c r="N998" s="168"/>
      <c r="O998" s="168"/>
      <c r="P998" s="168"/>
      <c r="Q998" s="168" t="s">
        <v>0</v>
      </c>
      <c r="R998" s="168" t="s">
        <v>1</v>
      </c>
      <c r="S998" s="178" t="str">
        <f t="shared" si="47"/>
        <v>D_INT_ORG_BTHRECORD_CREATE_TS</v>
      </c>
    </row>
    <row r="999" spans="1:19" ht="14.4" x14ac:dyDescent="0.3">
      <c r="A999" s="169" t="s">
        <v>393</v>
      </c>
      <c r="B999" s="171" t="str">
        <f t="shared" si="45"/>
        <v>Подразделения</v>
      </c>
      <c r="C999" s="169" t="s">
        <v>429</v>
      </c>
      <c r="D999" s="169">
        <v>1579</v>
      </c>
      <c r="E999" s="169">
        <v>8</v>
      </c>
      <c r="F999" s="169" t="s">
        <v>429</v>
      </c>
      <c r="G999" s="169" t="s">
        <v>429</v>
      </c>
      <c r="H999" s="169">
        <v>22</v>
      </c>
      <c r="I999" s="136" t="str">
        <f t="shared" si="46"/>
        <v>TIMESTAMP(6)</v>
      </c>
      <c r="J999" s="169" t="s">
        <v>1</v>
      </c>
      <c r="K999" s="169" t="s">
        <v>1</v>
      </c>
      <c r="L999" s="169">
        <v>30</v>
      </c>
      <c r="M999" s="168"/>
      <c r="N999" s="168"/>
      <c r="O999" s="168"/>
      <c r="P999" s="168"/>
      <c r="Q999" s="168" t="s">
        <v>0</v>
      </c>
      <c r="R999" s="168" t="s">
        <v>1</v>
      </c>
      <c r="S999" s="178" t="str">
        <f t="shared" si="47"/>
        <v>D_INT_ORG_BTHRECORD_UPDATE_TS</v>
      </c>
    </row>
    <row r="1000" spans="1:19" ht="14.4" x14ac:dyDescent="0.3">
      <c r="A1000" s="169" t="s">
        <v>393</v>
      </c>
      <c r="B1000" s="171" t="str">
        <f t="shared" si="45"/>
        <v>Подразделения</v>
      </c>
      <c r="C1000" s="169" t="s">
        <v>498</v>
      </c>
      <c r="D1000" s="169">
        <v>1580</v>
      </c>
      <c r="E1000" s="169">
        <v>9</v>
      </c>
      <c r="F1000" s="169" t="s">
        <v>498</v>
      </c>
      <c r="G1000" s="169" t="s">
        <v>498</v>
      </c>
      <c r="H1000" s="169">
        <v>7</v>
      </c>
      <c r="I1000" s="136" t="str">
        <f t="shared" si="46"/>
        <v>BIGINT</v>
      </c>
      <c r="J1000" s="169" t="s">
        <v>1</v>
      </c>
      <c r="K1000" s="169" t="s">
        <v>1</v>
      </c>
      <c r="L1000" s="169">
        <v>30</v>
      </c>
      <c r="M1000" s="168"/>
      <c r="N1000" s="168"/>
      <c r="O1000" s="168"/>
      <c r="P1000" s="168"/>
      <c r="Q1000" s="168" t="s">
        <v>0</v>
      </c>
      <c r="R1000" s="168" t="s">
        <v>1</v>
      </c>
      <c r="S1000" s="178" t="str">
        <f t="shared" si="47"/>
        <v>D_INT_ORG_BTHRUN_ID</v>
      </c>
    </row>
    <row r="1001" spans="1:19" ht="14.4" x14ac:dyDescent="0.3">
      <c r="A1001" s="169" t="s">
        <v>393</v>
      </c>
      <c r="B1001" s="171" t="str">
        <f t="shared" si="45"/>
        <v>Подразделения</v>
      </c>
      <c r="C1001" s="169" t="s">
        <v>492</v>
      </c>
      <c r="D1001" s="169">
        <v>1581</v>
      </c>
      <c r="E1001" s="169">
        <v>10</v>
      </c>
      <c r="F1001" s="169" t="s">
        <v>492</v>
      </c>
      <c r="G1001" s="169" t="s">
        <v>492</v>
      </c>
      <c r="H1001" s="169">
        <v>34</v>
      </c>
      <c r="I1001" s="136" t="str">
        <f t="shared" si="46"/>
        <v>DATE</v>
      </c>
      <c r="J1001" s="169" t="s">
        <v>1</v>
      </c>
      <c r="K1001" s="169" t="s">
        <v>1</v>
      </c>
      <c r="L1001" s="169">
        <v>30</v>
      </c>
      <c r="M1001" s="168"/>
      <c r="N1001" s="168"/>
      <c r="O1001" s="168"/>
      <c r="P1001" s="168"/>
      <c r="Q1001" s="168" t="s">
        <v>0</v>
      </c>
      <c r="R1001" s="168" t="s">
        <v>1</v>
      </c>
      <c r="S1001" s="178" t="str">
        <f t="shared" si="47"/>
        <v>D_INT_ORG_BTHVALIDITY_DT</v>
      </c>
    </row>
    <row r="1002" spans="1:19" ht="14.4" x14ac:dyDescent="0.3">
      <c r="A1002" s="169" t="s">
        <v>1828</v>
      </c>
      <c r="B1002" s="171" t="str">
        <f t="shared" si="45"/>
        <v>D_INT_ORG_FLAT_BTH</v>
      </c>
      <c r="C1002" s="169" t="s">
        <v>1912</v>
      </c>
      <c r="D1002" s="169">
        <v>1582</v>
      </c>
      <c r="E1002" s="169">
        <v>1</v>
      </c>
      <c r="F1002" s="169" t="s">
        <v>1912</v>
      </c>
      <c r="G1002" s="169" t="s">
        <v>1912</v>
      </c>
      <c r="H1002" s="169">
        <v>27</v>
      </c>
      <c r="I1002" s="136" t="str">
        <f t="shared" si="46"/>
        <v>INTEGER</v>
      </c>
      <c r="J1002" s="169" t="s">
        <v>0</v>
      </c>
      <c r="K1002" s="169" t="s">
        <v>1</v>
      </c>
      <c r="L1002" s="169">
        <v>30</v>
      </c>
      <c r="M1002" s="168"/>
      <c r="N1002" s="168"/>
      <c r="O1002" s="168"/>
      <c r="P1002" s="168"/>
      <c r="Q1002" s="168" t="s">
        <v>0</v>
      </c>
      <c r="R1002" s="168" t="s">
        <v>1</v>
      </c>
      <c r="S1002" s="178" t="str">
        <f t="shared" si="47"/>
        <v>D_INT_ORG_FLAT_BTHFLAT_LEVEL</v>
      </c>
    </row>
    <row r="1003" spans="1:19" ht="14.4" x14ac:dyDescent="0.3">
      <c r="A1003" s="169" t="s">
        <v>1828</v>
      </c>
      <c r="B1003" s="171" t="str">
        <f t="shared" si="45"/>
        <v>D_INT_ORG_FLAT_BTH</v>
      </c>
      <c r="C1003" s="169" t="s">
        <v>818</v>
      </c>
      <c r="D1003" s="169">
        <v>1583</v>
      </c>
      <c r="E1003" s="169">
        <v>2</v>
      </c>
      <c r="F1003" s="169" t="s">
        <v>818</v>
      </c>
      <c r="G1003" s="169" t="s">
        <v>818</v>
      </c>
      <c r="H1003" s="169">
        <v>7</v>
      </c>
      <c r="I1003" s="136" t="str">
        <f t="shared" si="46"/>
        <v>BIGINT</v>
      </c>
      <c r="J1003" s="169" t="s">
        <v>0</v>
      </c>
      <c r="K1003" s="169" t="s">
        <v>1</v>
      </c>
      <c r="L1003" s="169">
        <v>30</v>
      </c>
      <c r="M1003" s="168"/>
      <c r="N1003" s="168"/>
      <c r="O1003" s="168"/>
      <c r="P1003" s="168"/>
      <c r="Q1003" s="168" t="s">
        <v>0</v>
      </c>
      <c r="R1003" s="168" t="s">
        <v>1</v>
      </c>
      <c r="S1003" s="178" t="str">
        <f t="shared" si="47"/>
        <v>D_INT_ORG_FLAT_BTHINT_ORG_HIER_SCEN_ID</v>
      </c>
    </row>
    <row r="1004" spans="1:19" ht="14.4" x14ac:dyDescent="0.3">
      <c r="A1004" s="169" t="s">
        <v>1828</v>
      </c>
      <c r="B1004" s="171" t="str">
        <f t="shared" si="45"/>
        <v>D_INT_ORG_FLAT_BTH</v>
      </c>
      <c r="C1004" s="169" t="s">
        <v>532</v>
      </c>
      <c r="D1004" s="169">
        <v>1584</v>
      </c>
      <c r="E1004" s="169">
        <v>3</v>
      </c>
      <c r="F1004" s="169" t="s">
        <v>532</v>
      </c>
      <c r="G1004" s="169" t="s">
        <v>532</v>
      </c>
      <c r="H1004" s="169">
        <v>7</v>
      </c>
      <c r="I1004" s="136" t="str">
        <f t="shared" si="46"/>
        <v>BIGINT</v>
      </c>
      <c r="J1004" s="169" t="s">
        <v>0</v>
      </c>
      <c r="K1004" s="169" t="s">
        <v>0</v>
      </c>
      <c r="L1004" s="169">
        <v>30</v>
      </c>
      <c r="M1004" s="168"/>
      <c r="N1004" s="168"/>
      <c r="O1004" s="168"/>
      <c r="P1004" s="168"/>
      <c r="Q1004" s="168" t="s">
        <v>0</v>
      </c>
      <c r="R1004" s="168" t="s">
        <v>1</v>
      </c>
      <c r="S1004" s="178" t="str">
        <f t="shared" si="47"/>
        <v>D_INT_ORG_FLAT_BTHINT_ORG_ID</v>
      </c>
    </row>
    <row r="1005" spans="1:19" ht="14.4" x14ac:dyDescent="0.3">
      <c r="A1005" s="169" t="s">
        <v>1828</v>
      </c>
      <c r="B1005" s="171" t="str">
        <f t="shared" si="45"/>
        <v>D_INT_ORG_FLAT_BTH</v>
      </c>
      <c r="C1005" s="169" t="s">
        <v>871</v>
      </c>
      <c r="D1005" s="169">
        <v>1585</v>
      </c>
      <c r="E1005" s="169">
        <v>4</v>
      </c>
      <c r="F1005" s="169" t="s">
        <v>871</v>
      </c>
      <c r="G1005" s="169" t="s">
        <v>871</v>
      </c>
      <c r="H1005" s="169">
        <v>13</v>
      </c>
      <c r="I1005" s="136" t="str">
        <f t="shared" si="46"/>
        <v xml:space="preserve">VARCHAR(300) </v>
      </c>
      <c r="J1005" s="169" t="s">
        <v>0</v>
      </c>
      <c r="K1005" s="169" t="s">
        <v>1</v>
      </c>
      <c r="L1005" s="169">
        <v>30</v>
      </c>
      <c r="M1005" s="168"/>
      <c r="N1005" s="168"/>
      <c r="O1005" s="168"/>
      <c r="P1005" s="168"/>
      <c r="Q1005" s="168" t="s">
        <v>0</v>
      </c>
      <c r="R1005" s="168" t="s">
        <v>1</v>
      </c>
      <c r="S1005" s="178" t="str">
        <f t="shared" si="47"/>
        <v>D_INT_ORG_FLAT_BTHINT_ORG_NM</v>
      </c>
    </row>
    <row r="1006" spans="1:19" ht="14.4" x14ac:dyDescent="0.3">
      <c r="A1006" s="169" t="s">
        <v>1828</v>
      </c>
      <c r="B1006" s="171" t="str">
        <f t="shared" si="45"/>
        <v>D_INT_ORG_FLAT_BTH</v>
      </c>
      <c r="C1006" s="169" t="s">
        <v>852</v>
      </c>
      <c r="D1006" s="169">
        <v>1586</v>
      </c>
      <c r="E1006" s="169">
        <v>5</v>
      </c>
      <c r="F1006" s="169" t="s">
        <v>852</v>
      </c>
      <c r="G1006" s="169" t="s">
        <v>852</v>
      </c>
      <c r="H1006" s="169">
        <v>27</v>
      </c>
      <c r="I1006" s="136" t="str">
        <f t="shared" si="46"/>
        <v>INTEGER</v>
      </c>
      <c r="J1006" s="169" t="s">
        <v>0</v>
      </c>
      <c r="K1006" s="169" t="s">
        <v>1</v>
      </c>
      <c r="L1006" s="169">
        <v>30</v>
      </c>
      <c r="M1006" s="168"/>
      <c r="N1006" s="168"/>
      <c r="O1006" s="168"/>
      <c r="P1006" s="168"/>
      <c r="Q1006" s="168" t="s">
        <v>0</v>
      </c>
      <c r="R1006" s="168" t="s">
        <v>1</v>
      </c>
      <c r="S1006" s="178" t="str">
        <f t="shared" si="47"/>
        <v>D_INT_ORG_FLAT_BTHLEVEL</v>
      </c>
    </row>
    <row r="1007" spans="1:19" ht="14.4" x14ac:dyDescent="0.3">
      <c r="A1007" s="169" t="s">
        <v>1828</v>
      </c>
      <c r="B1007" s="171" t="str">
        <f t="shared" si="45"/>
        <v>D_INT_ORG_FLAT_BTH</v>
      </c>
      <c r="C1007" s="169" t="s">
        <v>854</v>
      </c>
      <c r="D1007" s="169">
        <v>1587</v>
      </c>
      <c r="E1007" s="169">
        <v>6</v>
      </c>
      <c r="F1007" s="169" t="s">
        <v>854</v>
      </c>
      <c r="G1007" s="169" t="s">
        <v>854</v>
      </c>
      <c r="H1007" s="169">
        <v>7</v>
      </c>
      <c r="I1007" s="136" t="str">
        <f t="shared" si="46"/>
        <v>BIGINT</v>
      </c>
      <c r="J1007" s="169" t="s">
        <v>0</v>
      </c>
      <c r="K1007" s="169" t="s">
        <v>1</v>
      </c>
      <c r="L1007" s="169">
        <v>30</v>
      </c>
      <c r="M1007" s="168"/>
      <c r="N1007" s="168"/>
      <c r="O1007" s="168"/>
      <c r="P1007" s="168"/>
      <c r="Q1007" s="168" t="s">
        <v>0</v>
      </c>
      <c r="R1007" s="168" t="s">
        <v>1</v>
      </c>
      <c r="S1007" s="178" t="str">
        <f t="shared" si="47"/>
        <v>D_INT_ORG_FLAT_BTHPARENT_INT_ORG_ID</v>
      </c>
    </row>
    <row r="1008" spans="1:19" ht="14.4" x14ac:dyDescent="0.3">
      <c r="A1008" s="169" t="s">
        <v>1828</v>
      </c>
      <c r="B1008" s="171" t="str">
        <f t="shared" si="45"/>
        <v>D_INT_ORG_FLAT_BTH</v>
      </c>
      <c r="C1008" s="169" t="s">
        <v>438</v>
      </c>
      <c r="D1008" s="169">
        <v>1588</v>
      </c>
      <c r="E1008" s="169">
        <v>7</v>
      </c>
      <c r="F1008" s="169" t="s">
        <v>438</v>
      </c>
      <c r="G1008" s="169" t="s">
        <v>438</v>
      </c>
      <c r="H1008" s="169">
        <v>22</v>
      </c>
      <c r="I1008" s="136" t="str">
        <f t="shared" si="46"/>
        <v>TIMESTAMP(6)</v>
      </c>
      <c r="J1008" s="169" t="s">
        <v>0</v>
      </c>
      <c r="K1008" s="169" t="s">
        <v>1</v>
      </c>
      <c r="L1008" s="169">
        <v>30</v>
      </c>
      <c r="M1008" s="168"/>
      <c r="N1008" s="168"/>
      <c r="O1008" s="168"/>
      <c r="P1008" s="168"/>
      <c r="Q1008" s="168" t="s">
        <v>0</v>
      </c>
      <c r="R1008" s="168" t="s">
        <v>1</v>
      </c>
      <c r="S1008" s="178" t="str">
        <f t="shared" si="47"/>
        <v>D_INT_ORG_FLAT_BTHRECORD_CLOSE_TS</v>
      </c>
    </row>
    <row r="1009" spans="1:19" ht="14.4" x14ac:dyDescent="0.3">
      <c r="A1009" s="169" t="s">
        <v>1828</v>
      </c>
      <c r="B1009" s="171" t="str">
        <f t="shared" si="45"/>
        <v>D_INT_ORG_FLAT_BTH</v>
      </c>
      <c r="C1009" s="169" t="s">
        <v>440</v>
      </c>
      <c r="D1009" s="169">
        <v>1589</v>
      </c>
      <c r="E1009" s="169">
        <v>8</v>
      </c>
      <c r="F1009" s="169" t="s">
        <v>440</v>
      </c>
      <c r="G1009" s="169" t="s">
        <v>440</v>
      </c>
      <c r="H1009" s="169">
        <v>22</v>
      </c>
      <c r="I1009" s="136" t="str">
        <f t="shared" si="46"/>
        <v>TIMESTAMP(6)</v>
      </c>
      <c r="J1009" s="169" t="s">
        <v>0</v>
      </c>
      <c r="K1009" s="169" t="s">
        <v>1</v>
      </c>
      <c r="L1009" s="169">
        <v>30</v>
      </c>
      <c r="M1009" s="168"/>
      <c r="N1009" s="168"/>
      <c r="O1009" s="168"/>
      <c r="P1009" s="168"/>
      <c r="Q1009" s="168" t="s">
        <v>0</v>
      </c>
      <c r="R1009" s="168" t="s">
        <v>1</v>
      </c>
      <c r="S1009" s="178" t="str">
        <f t="shared" si="47"/>
        <v>D_INT_ORG_FLAT_BTHRECORD_CREATE_TS</v>
      </c>
    </row>
    <row r="1010" spans="1:19" ht="14.4" x14ac:dyDescent="0.3">
      <c r="A1010" s="169" t="s">
        <v>1828</v>
      </c>
      <c r="B1010" s="171" t="str">
        <f t="shared" si="45"/>
        <v>D_INT_ORG_FLAT_BTH</v>
      </c>
      <c r="C1010" s="169" t="s">
        <v>429</v>
      </c>
      <c r="D1010" s="169">
        <v>1590</v>
      </c>
      <c r="E1010" s="169">
        <v>9</v>
      </c>
      <c r="F1010" s="169" t="s">
        <v>429</v>
      </c>
      <c r="G1010" s="169" t="s">
        <v>429</v>
      </c>
      <c r="H1010" s="169">
        <v>22</v>
      </c>
      <c r="I1010" s="136" t="str">
        <f t="shared" si="46"/>
        <v>TIMESTAMP(6)</v>
      </c>
      <c r="J1010" s="169" t="s">
        <v>0</v>
      </c>
      <c r="K1010" s="169" t="s">
        <v>1</v>
      </c>
      <c r="L1010" s="169">
        <v>30</v>
      </c>
      <c r="M1010" s="168"/>
      <c r="N1010" s="168"/>
      <c r="O1010" s="168"/>
      <c r="P1010" s="168"/>
      <c r="Q1010" s="168" t="s">
        <v>0</v>
      </c>
      <c r="R1010" s="168" t="s">
        <v>1</v>
      </c>
      <c r="S1010" s="178" t="str">
        <f t="shared" si="47"/>
        <v>D_INT_ORG_FLAT_BTHRECORD_UPDATE_TS</v>
      </c>
    </row>
    <row r="1011" spans="1:19" ht="14.4" x14ac:dyDescent="0.3">
      <c r="A1011" s="169" t="s">
        <v>1828</v>
      </c>
      <c r="B1011" s="171" t="str">
        <f t="shared" si="45"/>
        <v>D_INT_ORG_FLAT_BTH</v>
      </c>
      <c r="C1011" s="169" t="s">
        <v>498</v>
      </c>
      <c r="D1011" s="169">
        <v>1591</v>
      </c>
      <c r="E1011" s="169">
        <v>10</v>
      </c>
      <c r="F1011" s="169" t="s">
        <v>498</v>
      </c>
      <c r="G1011" s="169" t="s">
        <v>498</v>
      </c>
      <c r="H1011" s="169">
        <v>7</v>
      </c>
      <c r="I1011" s="136" t="str">
        <f t="shared" si="46"/>
        <v>BIGINT</v>
      </c>
      <c r="J1011" s="169" t="s">
        <v>0</v>
      </c>
      <c r="K1011" s="169" t="s">
        <v>1</v>
      </c>
      <c r="L1011" s="169">
        <v>30</v>
      </c>
      <c r="M1011" s="168"/>
      <c r="N1011" s="168"/>
      <c r="O1011" s="168"/>
      <c r="P1011" s="168"/>
      <c r="Q1011" s="168" t="s">
        <v>0</v>
      </c>
      <c r="R1011" s="168" t="s">
        <v>1</v>
      </c>
      <c r="S1011" s="178" t="str">
        <f t="shared" si="47"/>
        <v>D_INT_ORG_FLAT_BTHRUN_ID</v>
      </c>
    </row>
    <row r="1012" spans="1:19" ht="14.4" x14ac:dyDescent="0.3">
      <c r="A1012" s="169" t="s">
        <v>1828</v>
      </c>
      <c r="B1012" s="171" t="str">
        <f t="shared" si="45"/>
        <v>D_INT_ORG_FLAT_BTH</v>
      </c>
      <c r="C1012" s="169" t="s">
        <v>492</v>
      </c>
      <c r="D1012" s="169">
        <v>1592</v>
      </c>
      <c r="E1012" s="169">
        <v>11</v>
      </c>
      <c r="F1012" s="169" t="s">
        <v>492</v>
      </c>
      <c r="G1012" s="169" t="s">
        <v>492</v>
      </c>
      <c r="H1012" s="169">
        <v>34</v>
      </c>
      <c r="I1012" s="136" t="str">
        <f t="shared" si="46"/>
        <v>DATE</v>
      </c>
      <c r="J1012" s="169" t="s">
        <v>0</v>
      </c>
      <c r="K1012" s="169" t="s">
        <v>1</v>
      </c>
      <c r="L1012" s="169">
        <v>30</v>
      </c>
      <c r="M1012" s="168"/>
      <c r="N1012" s="168"/>
      <c r="O1012" s="168"/>
      <c r="P1012" s="168"/>
      <c r="Q1012" s="168" t="s">
        <v>0</v>
      </c>
      <c r="R1012" s="168" t="s">
        <v>1</v>
      </c>
      <c r="S1012" s="178" t="str">
        <f t="shared" si="47"/>
        <v>D_INT_ORG_FLAT_BTHVALIDITY_DT</v>
      </c>
    </row>
    <row r="1013" spans="1:19" ht="14.4" x14ac:dyDescent="0.3">
      <c r="A1013" s="169" t="s">
        <v>1832</v>
      </c>
      <c r="B1013" s="171" t="str">
        <f t="shared" si="45"/>
        <v>D_ISSUE_ACCOUNT</v>
      </c>
      <c r="C1013" s="169" t="s">
        <v>1913</v>
      </c>
      <c r="D1013" s="169">
        <v>1593</v>
      </c>
      <c r="E1013" s="169">
        <v>1</v>
      </c>
      <c r="F1013" s="169" t="s">
        <v>1913</v>
      </c>
      <c r="G1013" s="169" t="s">
        <v>1913</v>
      </c>
      <c r="H1013" s="169">
        <v>40</v>
      </c>
      <c r="I1013" s="136" t="str">
        <f t="shared" si="46"/>
        <v>DECIMAL(26, 4)</v>
      </c>
      <c r="J1013" s="169" t="s">
        <v>0</v>
      </c>
      <c r="K1013" s="169" t="s">
        <v>1</v>
      </c>
      <c r="L1013" s="169">
        <v>30</v>
      </c>
      <c r="M1013" s="168"/>
      <c r="N1013" s="168"/>
      <c r="O1013" s="168"/>
      <c r="P1013" s="168"/>
      <c r="Q1013" s="168" t="s">
        <v>0</v>
      </c>
      <c r="R1013" s="168" t="s">
        <v>1</v>
      </c>
      <c r="S1013" s="178" t="str">
        <f t="shared" si="47"/>
        <v>D_ISSUE_ACCOUNTBALANCE_AMT</v>
      </c>
    </row>
    <row r="1014" spans="1:19" ht="14.4" x14ac:dyDescent="0.3">
      <c r="A1014" s="169" t="s">
        <v>1832</v>
      </c>
      <c r="B1014" s="171" t="str">
        <f t="shared" si="45"/>
        <v>D_ISSUE_ACCOUNT</v>
      </c>
      <c r="C1014" s="169" t="s">
        <v>587</v>
      </c>
      <c r="D1014" s="169">
        <v>1594</v>
      </c>
      <c r="E1014" s="169">
        <v>2</v>
      </c>
      <c r="F1014" s="169" t="s">
        <v>587</v>
      </c>
      <c r="G1014" s="169" t="s">
        <v>587</v>
      </c>
      <c r="H1014" s="169">
        <v>39</v>
      </c>
      <c r="I1014" s="136" t="str">
        <f t="shared" si="46"/>
        <v xml:space="preserve">VARCHAR(512) </v>
      </c>
      <c r="J1014" s="169" t="s">
        <v>0</v>
      </c>
      <c r="K1014" s="169" t="s">
        <v>1</v>
      </c>
      <c r="L1014" s="169">
        <v>30</v>
      </c>
      <c r="M1014" s="168"/>
      <c r="N1014" s="168"/>
      <c r="O1014" s="168"/>
      <c r="P1014" s="168"/>
      <c r="Q1014" s="168" t="s">
        <v>0</v>
      </c>
      <c r="R1014" s="168" t="s">
        <v>1</v>
      </c>
      <c r="S1014" s="178" t="str">
        <f t="shared" si="47"/>
        <v>D_ISSUE_ACCOUNTBALANCE_ITEM</v>
      </c>
    </row>
    <row r="1015" spans="1:19" ht="14.4" x14ac:dyDescent="0.3">
      <c r="A1015" s="169" t="s">
        <v>1832</v>
      </c>
      <c r="B1015" s="171" t="str">
        <f t="shared" si="45"/>
        <v>D_ISSUE_ACCOUNT</v>
      </c>
      <c r="C1015" s="169" t="s">
        <v>1914</v>
      </c>
      <c r="D1015" s="169">
        <v>1595</v>
      </c>
      <c r="E1015" s="169">
        <v>3</v>
      </c>
      <c r="F1015" s="169" t="s">
        <v>1914</v>
      </c>
      <c r="G1015" s="169" t="s">
        <v>1914</v>
      </c>
      <c r="H1015" s="169">
        <v>6</v>
      </c>
      <c r="I1015" s="136" t="str">
        <f t="shared" si="46"/>
        <v>SMALLINT</v>
      </c>
      <c r="J1015" s="169" t="s">
        <v>0</v>
      </c>
      <c r="K1015" s="169" t="s">
        <v>1</v>
      </c>
      <c r="L1015" s="169">
        <v>30</v>
      </c>
      <c r="M1015" s="168"/>
      <c r="N1015" s="168"/>
      <c r="O1015" s="168"/>
      <c r="P1015" s="168"/>
      <c r="Q1015" s="168" t="s">
        <v>0</v>
      </c>
      <c r="R1015" s="168" t="s">
        <v>1</v>
      </c>
      <c r="S1015" s="178" t="str">
        <f t="shared" si="47"/>
        <v>D_ISSUE_ACCOUNTEFFECTIVE_MATURITY_YEAR</v>
      </c>
    </row>
    <row r="1016" spans="1:19" ht="14.4" x14ac:dyDescent="0.3">
      <c r="A1016" s="169" t="s">
        <v>1832</v>
      </c>
      <c r="B1016" s="171" t="str">
        <f t="shared" si="45"/>
        <v>D_ISSUE_ACCOUNT</v>
      </c>
      <c r="C1016" s="169" t="s">
        <v>1875</v>
      </c>
      <c r="D1016" s="169">
        <v>1596</v>
      </c>
      <c r="E1016" s="169">
        <v>4</v>
      </c>
      <c r="F1016" s="169" t="s">
        <v>1875</v>
      </c>
      <c r="G1016" s="169" t="s">
        <v>1875</v>
      </c>
      <c r="H1016" s="169">
        <v>22</v>
      </c>
      <c r="I1016" s="136" t="str">
        <f t="shared" si="46"/>
        <v>TIMESTAMP(6)</v>
      </c>
      <c r="J1016" s="169" t="s">
        <v>1</v>
      </c>
      <c r="K1016" s="169" t="s">
        <v>0</v>
      </c>
      <c r="L1016" s="169">
        <v>30</v>
      </c>
      <c r="M1016" s="168"/>
      <c r="N1016" s="168"/>
      <c r="O1016" s="168"/>
      <c r="P1016" s="168"/>
      <c r="Q1016" s="168" t="s">
        <v>0</v>
      </c>
      <c r="R1016" s="168" t="s">
        <v>1</v>
      </c>
      <c r="S1016" s="178" t="str">
        <f t="shared" si="47"/>
        <v>D_ISSUE_ACCOUNTEXTRACTION_TS</v>
      </c>
    </row>
    <row r="1017" spans="1:19" ht="14.4" x14ac:dyDescent="0.3">
      <c r="A1017" s="169" t="s">
        <v>1832</v>
      </c>
      <c r="B1017" s="171" t="str">
        <f t="shared" si="45"/>
        <v>D_ISSUE_ACCOUNT</v>
      </c>
      <c r="C1017" s="169" t="s">
        <v>1915</v>
      </c>
      <c r="D1017" s="169">
        <v>1597</v>
      </c>
      <c r="E1017" s="169">
        <v>5</v>
      </c>
      <c r="F1017" s="169" t="s">
        <v>1915</v>
      </c>
      <c r="G1017" s="169" t="s">
        <v>1915</v>
      </c>
      <c r="H1017" s="169">
        <v>34</v>
      </c>
      <c r="I1017" s="136" t="str">
        <f t="shared" si="46"/>
        <v>DATE</v>
      </c>
      <c r="J1017" s="169" t="s">
        <v>0</v>
      </c>
      <c r="K1017" s="169" t="s">
        <v>1</v>
      </c>
      <c r="L1017" s="169">
        <v>30</v>
      </c>
      <c r="M1017" s="168"/>
      <c r="N1017" s="168"/>
      <c r="O1017" s="168"/>
      <c r="P1017" s="168"/>
      <c r="Q1017" s="168" t="s">
        <v>0</v>
      </c>
      <c r="R1017" s="168" t="s">
        <v>1</v>
      </c>
      <c r="S1017" s="178" t="str">
        <f t="shared" si="47"/>
        <v>D_ISSUE_ACCOUNTINCEPTION_DATE</v>
      </c>
    </row>
    <row r="1018" spans="1:19" ht="14.4" x14ac:dyDescent="0.3">
      <c r="A1018" s="169" t="s">
        <v>1832</v>
      </c>
      <c r="B1018" s="171" t="str">
        <f t="shared" si="45"/>
        <v>D_ISSUE_ACCOUNT</v>
      </c>
      <c r="C1018" s="169" t="s">
        <v>1916</v>
      </c>
      <c r="D1018" s="169">
        <v>1598</v>
      </c>
      <c r="E1018" s="169">
        <v>6</v>
      </c>
      <c r="F1018" s="169" t="s">
        <v>1916</v>
      </c>
      <c r="G1018" s="169" t="s">
        <v>1916</v>
      </c>
      <c r="H1018" s="169">
        <v>52</v>
      </c>
      <c r="I1018" s="136" t="str">
        <f t="shared" si="46"/>
        <v>DECIMAL(18, 6)</v>
      </c>
      <c r="J1018" s="169" t="s">
        <v>0</v>
      </c>
      <c r="K1018" s="169" t="s">
        <v>1</v>
      </c>
      <c r="L1018" s="169">
        <v>30</v>
      </c>
      <c r="M1018" s="168"/>
      <c r="N1018" s="168"/>
      <c r="O1018" s="168"/>
      <c r="P1018" s="168"/>
      <c r="Q1018" s="168" t="s">
        <v>0</v>
      </c>
      <c r="R1018" s="168" t="s">
        <v>1</v>
      </c>
      <c r="S1018" s="178" t="str">
        <f t="shared" si="47"/>
        <v>D_ISSUE_ACCOUNTINTEREST_RATE</v>
      </c>
    </row>
    <row r="1019" spans="1:19" ht="14.4" x14ac:dyDescent="0.3">
      <c r="A1019" s="169" t="s">
        <v>1832</v>
      </c>
      <c r="B1019" s="171" t="str">
        <f t="shared" si="45"/>
        <v>D_ISSUE_ACCOUNT</v>
      </c>
      <c r="C1019" s="169" t="s">
        <v>1877</v>
      </c>
      <c r="D1019" s="169">
        <v>1599</v>
      </c>
      <c r="E1019" s="169">
        <v>7</v>
      </c>
      <c r="F1019" s="169" t="s">
        <v>1877</v>
      </c>
      <c r="G1019" s="169" t="s">
        <v>1877</v>
      </c>
      <c r="H1019" s="169">
        <v>32</v>
      </c>
      <c r="I1019" s="136" t="str">
        <f t="shared" si="46"/>
        <v>BYTEINT</v>
      </c>
      <c r="J1019" s="169" t="s">
        <v>0</v>
      </c>
      <c r="K1019" s="169" t="s">
        <v>1</v>
      </c>
      <c r="L1019" s="169">
        <v>30</v>
      </c>
      <c r="M1019" s="168"/>
      <c r="N1019" s="168"/>
      <c r="O1019" s="168"/>
      <c r="P1019" s="168"/>
      <c r="Q1019" s="168" t="s">
        <v>0</v>
      </c>
      <c r="R1019" s="168" t="s">
        <v>1</v>
      </c>
      <c r="S1019" s="178" t="str">
        <f t="shared" si="47"/>
        <v>D_ISSUE_ACCOUNTIN_DEFAULT_FLG</v>
      </c>
    </row>
    <row r="1020" spans="1:19" ht="14.4" x14ac:dyDescent="0.3">
      <c r="A1020" s="169" t="s">
        <v>1832</v>
      </c>
      <c r="B1020" s="171" t="str">
        <f t="shared" si="45"/>
        <v>D_ISSUE_ACCOUNT</v>
      </c>
      <c r="C1020" s="169" t="s">
        <v>1917</v>
      </c>
      <c r="D1020" s="169">
        <v>1600</v>
      </c>
      <c r="E1020" s="169">
        <v>8</v>
      </c>
      <c r="F1020" s="169" t="s">
        <v>1917</v>
      </c>
      <c r="G1020" s="169" t="s">
        <v>1917</v>
      </c>
      <c r="H1020" s="169">
        <v>32</v>
      </c>
      <c r="I1020" s="136" t="str">
        <f t="shared" si="46"/>
        <v>BYTEINT</v>
      </c>
      <c r="J1020" s="169" t="s">
        <v>0</v>
      </c>
      <c r="K1020" s="169" t="s">
        <v>1</v>
      </c>
      <c r="L1020" s="169">
        <v>30</v>
      </c>
      <c r="M1020" s="168"/>
      <c r="N1020" s="168"/>
      <c r="O1020" s="168"/>
      <c r="P1020" s="168"/>
      <c r="Q1020" s="168" t="s">
        <v>0</v>
      </c>
      <c r="R1020" s="168" t="s">
        <v>1</v>
      </c>
      <c r="S1020" s="178" t="str">
        <f t="shared" si="47"/>
        <v>D_ISSUE_ACCOUNTIN_PAST_DUE_FLG</v>
      </c>
    </row>
    <row r="1021" spans="1:19" ht="14.4" x14ac:dyDescent="0.3">
      <c r="A1021" s="169" t="s">
        <v>1832</v>
      </c>
      <c r="B1021" s="171" t="str">
        <f t="shared" si="45"/>
        <v>D_ISSUE_ACCOUNT</v>
      </c>
      <c r="C1021" s="169" t="s">
        <v>1890</v>
      </c>
      <c r="D1021" s="169">
        <v>1601</v>
      </c>
      <c r="E1021" s="169">
        <v>9</v>
      </c>
      <c r="F1021" s="169" t="s">
        <v>1890</v>
      </c>
      <c r="G1021" s="169" t="s">
        <v>1890</v>
      </c>
      <c r="H1021" s="169">
        <v>9</v>
      </c>
      <c r="I1021" s="136" t="str">
        <f t="shared" si="46"/>
        <v xml:space="preserve">CHAR(32) </v>
      </c>
      <c r="J1021" s="169" t="s">
        <v>0</v>
      </c>
      <c r="K1021" s="169" t="s">
        <v>0</v>
      </c>
      <c r="L1021" s="169">
        <v>30</v>
      </c>
      <c r="M1021" s="168"/>
      <c r="N1021" s="168"/>
      <c r="O1021" s="168"/>
      <c r="P1021" s="168"/>
      <c r="Q1021" s="168" t="s">
        <v>0</v>
      </c>
      <c r="R1021" s="168" t="s">
        <v>1</v>
      </c>
      <c r="S1021" s="178" t="str">
        <f t="shared" si="47"/>
        <v>D_ISSUE_ACCOUNTISSUE_KEY</v>
      </c>
    </row>
    <row r="1022" spans="1:19" ht="14.4" x14ac:dyDescent="0.3">
      <c r="A1022" s="169" t="s">
        <v>1832</v>
      </c>
      <c r="B1022" s="171" t="str">
        <f t="shared" si="45"/>
        <v>D_ISSUE_ACCOUNT</v>
      </c>
      <c r="C1022" s="169" t="s">
        <v>552</v>
      </c>
      <c r="D1022" s="169">
        <v>1602</v>
      </c>
      <c r="E1022" s="169">
        <v>10</v>
      </c>
      <c r="F1022" s="169" t="s">
        <v>552</v>
      </c>
      <c r="G1022" s="169" t="s">
        <v>552</v>
      </c>
      <c r="H1022" s="169">
        <v>46</v>
      </c>
      <c r="I1022" s="136" t="str">
        <f t="shared" si="46"/>
        <v>DECIMAL(7, 4)</v>
      </c>
      <c r="J1022" s="169" t="s">
        <v>0</v>
      </c>
      <c r="K1022" s="169" t="s">
        <v>1</v>
      </c>
      <c r="L1022" s="169">
        <v>30</v>
      </c>
      <c r="M1022" s="168"/>
      <c r="N1022" s="168"/>
      <c r="O1022" s="168"/>
      <c r="P1022" s="168"/>
      <c r="Q1022" s="168" t="s">
        <v>0</v>
      </c>
      <c r="R1022" s="168" t="s">
        <v>1</v>
      </c>
      <c r="S1022" s="178" t="str">
        <f t="shared" si="47"/>
        <v>D_ISSUE_ACCOUNTLGD_INDEFAULT_PCT</v>
      </c>
    </row>
    <row r="1023" spans="1:19" ht="14.4" x14ac:dyDescent="0.3">
      <c r="A1023" s="169" t="s">
        <v>1832</v>
      </c>
      <c r="B1023" s="171" t="str">
        <f t="shared" si="45"/>
        <v>D_ISSUE_ACCOUNT</v>
      </c>
      <c r="C1023" s="169" t="s">
        <v>551</v>
      </c>
      <c r="D1023" s="169">
        <v>1603</v>
      </c>
      <c r="E1023" s="169">
        <v>11</v>
      </c>
      <c r="F1023" s="169" t="s">
        <v>551</v>
      </c>
      <c r="G1023" s="169" t="s">
        <v>551</v>
      </c>
      <c r="H1023" s="169">
        <v>46</v>
      </c>
      <c r="I1023" s="136" t="str">
        <f t="shared" si="46"/>
        <v>DECIMAL(7, 4)</v>
      </c>
      <c r="J1023" s="169" t="s">
        <v>0</v>
      </c>
      <c r="K1023" s="169" t="s">
        <v>1</v>
      </c>
      <c r="L1023" s="169">
        <v>30</v>
      </c>
      <c r="M1023" s="168"/>
      <c r="N1023" s="168"/>
      <c r="O1023" s="168"/>
      <c r="P1023" s="168"/>
      <c r="Q1023" s="168" t="s">
        <v>0</v>
      </c>
      <c r="R1023" s="168" t="s">
        <v>1</v>
      </c>
      <c r="S1023" s="178" t="str">
        <f t="shared" si="47"/>
        <v>D_ISSUE_ACCOUNTLGD_LONGRUN_PCT</v>
      </c>
    </row>
    <row r="1024" spans="1:19" ht="14.4" x14ac:dyDescent="0.3">
      <c r="A1024" s="169" t="s">
        <v>1832</v>
      </c>
      <c r="B1024" s="171" t="str">
        <f t="shared" si="45"/>
        <v>D_ISSUE_ACCOUNT</v>
      </c>
      <c r="C1024" s="169" t="s">
        <v>1918</v>
      </c>
      <c r="D1024" s="169">
        <v>1604</v>
      </c>
      <c r="E1024" s="169">
        <v>12</v>
      </c>
      <c r="F1024" s="169" t="s">
        <v>1918</v>
      </c>
      <c r="G1024" s="169" t="s">
        <v>1918</v>
      </c>
      <c r="H1024" s="169">
        <v>46</v>
      </c>
      <c r="I1024" s="136" t="str">
        <f t="shared" si="46"/>
        <v>DECIMAL(7, 4)</v>
      </c>
      <c r="J1024" s="169" t="s">
        <v>0</v>
      </c>
      <c r="K1024" s="169" t="s">
        <v>1</v>
      </c>
      <c r="L1024" s="169">
        <v>30</v>
      </c>
      <c r="M1024" s="168"/>
      <c r="N1024" s="168"/>
      <c r="O1024" s="168"/>
      <c r="P1024" s="168"/>
      <c r="Q1024" s="168" t="s">
        <v>0</v>
      </c>
      <c r="R1024" s="168" t="s">
        <v>1</v>
      </c>
      <c r="S1024" s="178" t="str">
        <f t="shared" si="47"/>
        <v>D_ISSUE_ACCOUNTLGD_PCT</v>
      </c>
    </row>
    <row r="1025" spans="1:19" ht="14.4" x14ac:dyDescent="0.3">
      <c r="A1025" s="169" t="s">
        <v>1832</v>
      </c>
      <c r="B1025" s="171" t="str">
        <f t="shared" si="45"/>
        <v>D_ISSUE_ACCOUNT</v>
      </c>
      <c r="C1025" s="169" t="s">
        <v>1919</v>
      </c>
      <c r="D1025" s="169">
        <v>1605</v>
      </c>
      <c r="E1025" s="169">
        <v>13</v>
      </c>
      <c r="F1025" s="169" t="s">
        <v>1919</v>
      </c>
      <c r="G1025" s="169" t="s">
        <v>1919</v>
      </c>
      <c r="H1025" s="169">
        <v>46</v>
      </c>
      <c r="I1025" s="136" t="str">
        <f t="shared" si="46"/>
        <v>DECIMAL(7, 4)</v>
      </c>
      <c r="J1025" s="169" t="s">
        <v>0</v>
      </c>
      <c r="K1025" s="169" t="s">
        <v>1</v>
      </c>
      <c r="L1025" s="169">
        <v>30</v>
      </c>
      <c r="M1025" s="168"/>
      <c r="N1025" s="168"/>
      <c r="O1025" s="168"/>
      <c r="P1025" s="168"/>
      <c r="Q1025" s="168" t="s">
        <v>0</v>
      </c>
      <c r="R1025" s="168" t="s">
        <v>1</v>
      </c>
      <c r="S1025" s="178" t="str">
        <f t="shared" si="47"/>
        <v>D_ISSUE_ACCOUNTLGD_REGULATORY_PCT</v>
      </c>
    </row>
    <row r="1026" spans="1:19" ht="14.4" x14ac:dyDescent="0.3">
      <c r="A1026" s="169" t="s">
        <v>1832</v>
      </c>
      <c r="B1026" s="171" t="str">
        <f t="shared" ref="B1026:B1089" si="48">IF(NOT(ISBLANK(A1026)),VLOOKUP(A1026,ERM_TABLE_NM,2,FALSE), "")</f>
        <v>D_ISSUE_ACCOUNT</v>
      </c>
      <c r="C1026" s="169" t="s">
        <v>599</v>
      </c>
      <c r="D1026" s="169">
        <v>1606</v>
      </c>
      <c r="E1026" s="169">
        <v>14</v>
      </c>
      <c r="F1026" s="169" t="s">
        <v>599</v>
      </c>
      <c r="G1026" s="169" t="s">
        <v>599</v>
      </c>
      <c r="H1026" s="169">
        <v>42</v>
      </c>
      <c r="I1026" s="136" t="str">
        <f t="shared" ref="I1026:I1089" si="49">IF(NOT(ISBLANK(H1026)),VLOOKUP(H1026,ERM_DOMAIN_NM,2,FALSE), "")</f>
        <v xml:space="preserve">CHAR(10) </v>
      </c>
      <c r="J1026" s="169" t="s">
        <v>0</v>
      </c>
      <c r="K1026" s="169" t="s">
        <v>1</v>
      </c>
      <c r="L1026" s="169">
        <v>30</v>
      </c>
      <c r="M1026" s="168"/>
      <c r="N1026" s="168"/>
      <c r="O1026" s="168"/>
      <c r="P1026" s="168"/>
      <c r="Q1026" s="168" t="s">
        <v>0</v>
      </c>
      <c r="R1026" s="168" t="s">
        <v>1</v>
      </c>
      <c r="S1026" s="178" t="str">
        <f t="shared" si="47"/>
        <v>D_ISSUE_ACCOUNTLIMIT_TYPE</v>
      </c>
    </row>
    <row r="1027" spans="1:19" ht="14.4" x14ac:dyDescent="0.3">
      <c r="A1027" s="169" t="s">
        <v>1832</v>
      </c>
      <c r="B1027" s="171" t="str">
        <f t="shared" si="48"/>
        <v>D_ISSUE_ACCOUNT</v>
      </c>
      <c r="C1027" s="169" t="s">
        <v>601</v>
      </c>
      <c r="D1027" s="169">
        <v>1607</v>
      </c>
      <c r="E1027" s="169">
        <v>15</v>
      </c>
      <c r="F1027" s="169" t="s">
        <v>601</v>
      </c>
      <c r="G1027" s="169" t="s">
        <v>601</v>
      </c>
      <c r="H1027" s="169">
        <v>48</v>
      </c>
      <c r="I1027" s="136" t="str">
        <f t="shared" si="49"/>
        <v xml:space="preserve">VARCHAR(50) </v>
      </c>
      <c r="J1027" s="169" t="s">
        <v>0</v>
      </c>
      <c r="K1027" s="169" t="s">
        <v>1</v>
      </c>
      <c r="L1027" s="169">
        <v>30</v>
      </c>
      <c r="M1027" s="168"/>
      <c r="N1027" s="168"/>
      <c r="O1027" s="168"/>
      <c r="P1027" s="168"/>
      <c r="Q1027" s="168" t="s">
        <v>0</v>
      </c>
      <c r="R1027" s="168" t="s">
        <v>1</v>
      </c>
      <c r="S1027" s="178" t="str">
        <f t="shared" ref="S1027:S1090" si="50">CONCATENATE(A1027,C1027)</f>
        <v>D_ISSUE_ACCOUNTLOCAL_EXP_CLASS</v>
      </c>
    </row>
    <row r="1028" spans="1:19" ht="14.4" x14ac:dyDescent="0.3">
      <c r="A1028" s="169" t="s">
        <v>1832</v>
      </c>
      <c r="B1028" s="171" t="str">
        <f t="shared" si="48"/>
        <v>D_ISSUE_ACCOUNT</v>
      </c>
      <c r="C1028" s="169" t="s">
        <v>1920</v>
      </c>
      <c r="D1028" s="169">
        <v>1608</v>
      </c>
      <c r="E1028" s="169">
        <v>16</v>
      </c>
      <c r="F1028" s="169" t="s">
        <v>1920</v>
      </c>
      <c r="G1028" s="169" t="s">
        <v>1920</v>
      </c>
      <c r="H1028" s="169">
        <v>34</v>
      </c>
      <c r="I1028" s="136" t="str">
        <f t="shared" si="49"/>
        <v>DATE</v>
      </c>
      <c r="J1028" s="169" t="s">
        <v>0</v>
      </c>
      <c r="K1028" s="169" t="s">
        <v>1</v>
      </c>
      <c r="L1028" s="169">
        <v>30</v>
      </c>
      <c r="M1028" s="168"/>
      <c r="N1028" s="168"/>
      <c r="O1028" s="168"/>
      <c r="P1028" s="168"/>
      <c r="Q1028" s="168" t="s">
        <v>0</v>
      </c>
      <c r="R1028" s="168" t="s">
        <v>1</v>
      </c>
      <c r="S1028" s="178" t="str">
        <f t="shared" si="50"/>
        <v>D_ISSUE_ACCOUNTMATURITY_DATE</v>
      </c>
    </row>
    <row r="1029" spans="1:19" ht="14.4" x14ac:dyDescent="0.3">
      <c r="A1029" s="169" t="s">
        <v>1832</v>
      </c>
      <c r="B1029" s="171" t="str">
        <f t="shared" si="48"/>
        <v>D_ISSUE_ACCOUNT</v>
      </c>
      <c r="C1029" s="169" t="s">
        <v>870</v>
      </c>
      <c r="D1029" s="169">
        <v>1609</v>
      </c>
      <c r="E1029" s="169">
        <v>17</v>
      </c>
      <c r="F1029" s="169" t="s">
        <v>870</v>
      </c>
      <c r="G1029" s="169" t="s">
        <v>870</v>
      </c>
      <c r="H1029" s="169">
        <v>50</v>
      </c>
      <c r="I1029" s="136" t="str">
        <f t="shared" si="49"/>
        <v xml:space="preserve">VARCHAR(20) </v>
      </c>
      <c r="J1029" s="169" t="s">
        <v>0</v>
      </c>
      <c r="K1029" s="169" t="s">
        <v>1</v>
      </c>
      <c r="L1029" s="169">
        <v>30</v>
      </c>
      <c r="M1029" s="168"/>
      <c r="N1029" s="168"/>
      <c r="O1029" s="168"/>
      <c r="P1029" s="168"/>
      <c r="Q1029" s="168" t="s">
        <v>0</v>
      </c>
      <c r="R1029" s="168" t="s">
        <v>1</v>
      </c>
      <c r="S1029" s="178" t="str">
        <f t="shared" si="50"/>
        <v>D_ISSUE_ACCOUNTPD_MODEL_RATING_GRADE</v>
      </c>
    </row>
    <row r="1030" spans="1:19" ht="14.4" x14ac:dyDescent="0.3">
      <c r="A1030" s="169" t="s">
        <v>1832</v>
      </c>
      <c r="B1030" s="171" t="str">
        <f t="shared" si="48"/>
        <v>D_ISSUE_ACCOUNT</v>
      </c>
      <c r="C1030" s="169" t="s">
        <v>338</v>
      </c>
      <c r="D1030" s="169">
        <v>1610</v>
      </c>
      <c r="E1030" s="169">
        <v>18</v>
      </c>
      <c r="F1030" s="169" t="s">
        <v>338</v>
      </c>
      <c r="G1030" s="169" t="s">
        <v>338</v>
      </c>
      <c r="H1030" s="169">
        <v>51</v>
      </c>
      <c r="I1030" s="136" t="str">
        <f t="shared" si="49"/>
        <v>DECIMAL(9, 6)</v>
      </c>
      <c r="J1030" s="169" t="s">
        <v>0</v>
      </c>
      <c r="K1030" s="169" t="s">
        <v>1</v>
      </c>
      <c r="L1030" s="169">
        <v>30</v>
      </c>
      <c r="M1030" s="168"/>
      <c r="N1030" s="168"/>
      <c r="O1030" s="168"/>
      <c r="P1030" s="168"/>
      <c r="Q1030" s="168" t="s">
        <v>0</v>
      </c>
      <c r="R1030" s="168" t="s">
        <v>1</v>
      </c>
      <c r="S1030" s="178" t="str">
        <f t="shared" si="50"/>
        <v>D_ISSUE_ACCOUNTPD_PCT</v>
      </c>
    </row>
    <row r="1031" spans="1:19" ht="14.4" x14ac:dyDescent="0.3">
      <c r="A1031" s="169" t="s">
        <v>1832</v>
      </c>
      <c r="B1031" s="171" t="str">
        <f t="shared" si="48"/>
        <v>D_ISSUE_ACCOUNT</v>
      </c>
      <c r="C1031" s="169" t="s">
        <v>1878</v>
      </c>
      <c r="D1031" s="169">
        <v>1611</v>
      </c>
      <c r="E1031" s="169">
        <v>19</v>
      </c>
      <c r="F1031" s="169" t="s">
        <v>1878</v>
      </c>
      <c r="G1031" s="169" t="s">
        <v>1878</v>
      </c>
      <c r="H1031" s="169">
        <v>51</v>
      </c>
      <c r="I1031" s="136" t="str">
        <f t="shared" si="49"/>
        <v>DECIMAL(9, 6)</v>
      </c>
      <c r="J1031" s="169" t="s">
        <v>0</v>
      </c>
      <c r="K1031" s="169" t="s">
        <v>1</v>
      </c>
      <c r="L1031" s="169">
        <v>30</v>
      </c>
      <c r="M1031" s="168"/>
      <c r="N1031" s="168"/>
      <c r="O1031" s="168"/>
      <c r="P1031" s="168"/>
      <c r="Q1031" s="168" t="s">
        <v>0</v>
      </c>
      <c r="R1031" s="168" t="s">
        <v>1</v>
      </c>
      <c r="S1031" s="178" t="str">
        <f t="shared" si="50"/>
        <v>D_ISSUE_ACCOUNTPD_PCT_REG</v>
      </c>
    </row>
    <row r="1032" spans="1:19" ht="14.4" x14ac:dyDescent="0.3">
      <c r="A1032" s="169" t="s">
        <v>1832</v>
      </c>
      <c r="B1032" s="171" t="str">
        <f t="shared" si="48"/>
        <v>D_ISSUE_ACCOUNT</v>
      </c>
      <c r="C1032" s="169" t="s">
        <v>437</v>
      </c>
      <c r="D1032" s="169">
        <v>1612</v>
      </c>
      <c r="E1032" s="169">
        <v>20</v>
      </c>
      <c r="F1032" s="169" t="s">
        <v>437</v>
      </c>
      <c r="G1032" s="169" t="s">
        <v>437</v>
      </c>
      <c r="H1032" s="169">
        <v>51</v>
      </c>
      <c r="I1032" s="136" t="str">
        <f t="shared" si="49"/>
        <v>DECIMAL(9, 6)</v>
      </c>
      <c r="J1032" s="169" t="s">
        <v>0</v>
      </c>
      <c r="K1032" s="169" t="s">
        <v>1</v>
      </c>
      <c r="L1032" s="169">
        <v>30</v>
      </c>
      <c r="M1032" s="168"/>
      <c r="N1032" s="168"/>
      <c r="O1032" s="168"/>
      <c r="P1032" s="168"/>
      <c r="Q1032" s="168" t="s">
        <v>0</v>
      </c>
      <c r="R1032" s="168" t="s">
        <v>1</v>
      </c>
      <c r="S1032" s="178" t="str">
        <f t="shared" si="50"/>
        <v>D_ISSUE_ACCOUNTPD_TTC_PCT</v>
      </c>
    </row>
    <row r="1033" spans="1:19" ht="14.4" x14ac:dyDescent="0.3">
      <c r="A1033" s="169" t="s">
        <v>1832</v>
      </c>
      <c r="B1033" s="171" t="str">
        <f t="shared" si="48"/>
        <v>D_ISSUE_ACCOUNT</v>
      </c>
      <c r="C1033" s="169" t="s">
        <v>1921</v>
      </c>
      <c r="D1033" s="169">
        <v>1613</v>
      </c>
      <c r="E1033" s="169">
        <v>21</v>
      </c>
      <c r="F1033" s="169" t="s">
        <v>1921</v>
      </c>
      <c r="G1033" s="169" t="s">
        <v>1921</v>
      </c>
      <c r="H1033" s="169">
        <v>40</v>
      </c>
      <c r="I1033" s="136" t="str">
        <f t="shared" si="49"/>
        <v>DECIMAL(26, 4)</v>
      </c>
      <c r="J1033" s="169" t="s">
        <v>0</v>
      </c>
      <c r="K1033" s="169" t="s">
        <v>1</v>
      </c>
      <c r="L1033" s="169">
        <v>30</v>
      </c>
      <c r="M1033" s="168"/>
      <c r="N1033" s="168"/>
      <c r="O1033" s="168"/>
      <c r="P1033" s="168"/>
      <c r="Q1033" s="168" t="s">
        <v>0</v>
      </c>
      <c r="R1033" s="168" t="s">
        <v>1</v>
      </c>
      <c r="S1033" s="178" t="str">
        <f t="shared" si="50"/>
        <v>D_ISSUE_ACCOUNTPROVISIONS_AMT</v>
      </c>
    </row>
    <row r="1034" spans="1:19" ht="14.4" x14ac:dyDescent="0.3">
      <c r="A1034" s="169" t="s">
        <v>1832</v>
      </c>
      <c r="B1034" s="171" t="str">
        <f t="shared" si="48"/>
        <v>D_ISSUE_ACCOUNT</v>
      </c>
      <c r="C1034" s="169" t="s">
        <v>440</v>
      </c>
      <c r="D1034" s="169">
        <v>1614</v>
      </c>
      <c r="E1034" s="169">
        <v>22</v>
      </c>
      <c r="F1034" s="169" t="s">
        <v>440</v>
      </c>
      <c r="G1034" s="169" t="s">
        <v>440</v>
      </c>
      <c r="H1034" s="169">
        <v>22</v>
      </c>
      <c r="I1034" s="136" t="str">
        <f t="shared" si="49"/>
        <v>TIMESTAMP(6)</v>
      </c>
      <c r="J1034" s="169" t="s">
        <v>1</v>
      </c>
      <c r="K1034" s="169" t="s">
        <v>1</v>
      </c>
      <c r="L1034" s="169">
        <v>30</v>
      </c>
      <c r="M1034" s="168"/>
      <c r="N1034" s="168"/>
      <c r="O1034" s="168"/>
      <c r="P1034" s="168"/>
      <c r="Q1034" s="168" t="s">
        <v>0</v>
      </c>
      <c r="R1034" s="168" t="s">
        <v>1</v>
      </c>
      <c r="S1034" s="178" t="str">
        <f t="shared" si="50"/>
        <v>D_ISSUE_ACCOUNTRECORD_CREATE_TS</v>
      </c>
    </row>
    <row r="1035" spans="1:19" ht="14.4" x14ac:dyDescent="0.3">
      <c r="A1035" s="169" t="s">
        <v>1832</v>
      </c>
      <c r="B1035" s="171" t="str">
        <f t="shared" si="48"/>
        <v>D_ISSUE_ACCOUNT</v>
      </c>
      <c r="C1035" s="169" t="s">
        <v>429</v>
      </c>
      <c r="D1035" s="169">
        <v>1615</v>
      </c>
      <c r="E1035" s="169">
        <v>23</v>
      </c>
      <c r="F1035" s="169" t="s">
        <v>429</v>
      </c>
      <c r="G1035" s="169" t="s">
        <v>429</v>
      </c>
      <c r="H1035" s="169">
        <v>22</v>
      </c>
      <c r="I1035" s="136" t="str">
        <f t="shared" si="49"/>
        <v>TIMESTAMP(6)</v>
      </c>
      <c r="J1035" s="169" t="s">
        <v>1</v>
      </c>
      <c r="K1035" s="169" t="s">
        <v>1</v>
      </c>
      <c r="L1035" s="169">
        <v>30</v>
      </c>
      <c r="M1035" s="168"/>
      <c r="N1035" s="168"/>
      <c r="O1035" s="168"/>
      <c r="P1035" s="168"/>
      <c r="Q1035" s="168" t="s">
        <v>0</v>
      </c>
      <c r="R1035" s="168" t="s">
        <v>1</v>
      </c>
      <c r="S1035" s="178" t="str">
        <f t="shared" si="50"/>
        <v>D_ISSUE_ACCOUNTRECORD_UPDATE_TS</v>
      </c>
    </row>
    <row r="1036" spans="1:19" ht="14.4" x14ac:dyDescent="0.3">
      <c r="A1036" s="169" t="s">
        <v>1832</v>
      </c>
      <c r="B1036" s="171" t="str">
        <f t="shared" si="48"/>
        <v>D_ISSUE_ACCOUNT</v>
      </c>
      <c r="C1036" s="169" t="s">
        <v>1922</v>
      </c>
      <c r="D1036" s="169">
        <v>1616</v>
      </c>
      <c r="E1036" s="169">
        <v>24</v>
      </c>
      <c r="F1036" s="169" t="s">
        <v>1922</v>
      </c>
      <c r="G1036" s="169" t="s">
        <v>1922</v>
      </c>
      <c r="H1036" s="169">
        <v>14</v>
      </c>
      <c r="I1036" s="136" t="str">
        <f t="shared" si="49"/>
        <v xml:space="preserve">CHAR(3) </v>
      </c>
      <c r="J1036" s="169" t="s">
        <v>0</v>
      </c>
      <c r="K1036" s="169" t="s">
        <v>1</v>
      </c>
      <c r="L1036" s="169">
        <v>30</v>
      </c>
      <c r="M1036" s="168"/>
      <c r="N1036" s="168"/>
      <c r="O1036" s="168"/>
      <c r="P1036" s="168"/>
      <c r="Q1036" s="168" t="s">
        <v>0</v>
      </c>
      <c r="R1036" s="168" t="s">
        <v>1</v>
      </c>
      <c r="S1036" s="178" t="str">
        <f t="shared" si="50"/>
        <v>D_ISSUE_ACCOUNTREGULATORY_PRODUCT_CD</v>
      </c>
    </row>
    <row r="1037" spans="1:19" ht="14.4" x14ac:dyDescent="0.3">
      <c r="A1037" s="169" t="s">
        <v>1832</v>
      </c>
      <c r="B1037" s="171" t="str">
        <f t="shared" si="48"/>
        <v>D_ISSUE_ACCOUNT</v>
      </c>
      <c r="C1037" s="169" t="s">
        <v>1923</v>
      </c>
      <c r="D1037" s="169">
        <v>1617</v>
      </c>
      <c r="E1037" s="169">
        <v>25</v>
      </c>
      <c r="F1037" s="169" t="s">
        <v>1923</v>
      </c>
      <c r="G1037" s="169" t="s">
        <v>1923</v>
      </c>
      <c r="H1037" s="169">
        <v>39</v>
      </c>
      <c r="I1037" s="136" t="str">
        <f t="shared" si="49"/>
        <v xml:space="preserve">VARCHAR(512) </v>
      </c>
      <c r="J1037" s="169" t="s">
        <v>0</v>
      </c>
      <c r="K1037" s="169" t="s">
        <v>1</v>
      </c>
      <c r="L1037" s="169">
        <v>30</v>
      </c>
      <c r="M1037" s="168"/>
      <c r="N1037" s="168"/>
      <c r="O1037" s="168"/>
      <c r="P1037" s="168"/>
      <c r="Q1037" s="168" t="s">
        <v>0</v>
      </c>
      <c r="R1037" s="168" t="s">
        <v>1</v>
      </c>
      <c r="S1037" s="178" t="str">
        <f t="shared" si="50"/>
        <v>D_ISSUE_ACCOUNTREP_CLASS</v>
      </c>
    </row>
    <row r="1038" spans="1:19" ht="14.4" x14ac:dyDescent="0.3">
      <c r="A1038" s="169" t="s">
        <v>1832</v>
      </c>
      <c r="B1038" s="171" t="str">
        <f t="shared" si="48"/>
        <v>D_ISSUE_ACCOUNT</v>
      </c>
      <c r="C1038" s="169" t="s">
        <v>498</v>
      </c>
      <c r="D1038" s="169">
        <v>1618</v>
      </c>
      <c r="E1038" s="169">
        <v>26</v>
      </c>
      <c r="F1038" s="169" t="s">
        <v>498</v>
      </c>
      <c r="G1038" s="169" t="s">
        <v>498</v>
      </c>
      <c r="H1038" s="169">
        <v>7</v>
      </c>
      <c r="I1038" s="136" t="str">
        <f t="shared" si="49"/>
        <v>BIGINT</v>
      </c>
      <c r="J1038" s="169" t="s">
        <v>0</v>
      </c>
      <c r="K1038" s="169" t="s">
        <v>0</v>
      </c>
      <c r="L1038" s="169">
        <v>30</v>
      </c>
      <c r="M1038" s="168"/>
      <c r="N1038" s="168"/>
      <c r="O1038" s="168"/>
      <c r="P1038" s="168"/>
      <c r="Q1038" s="168" t="s">
        <v>0</v>
      </c>
      <c r="R1038" s="168" t="s">
        <v>1</v>
      </c>
      <c r="S1038" s="178" t="str">
        <f t="shared" si="50"/>
        <v>D_ISSUE_ACCOUNTRUN_ID</v>
      </c>
    </row>
    <row r="1039" spans="1:19" ht="14.4" x14ac:dyDescent="0.3">
      <c r="A1039" s="169" t="s">
        <v>1832</v>
      </c>
      <c r="B1039" s="171" t="str">
        <f t="shared" si="48"/>
        <v>D_ISSUE_ACCOUNT</v>
      </c>
      <c r="C1039" s="169" t="s">
        <v>545</v>
      </c>
      <c r="D1039" s="169">
        <v>1619</v>
      </c>
      <c r="E1039" s="169">
        <v>27</v>
      </c>
      <c r="F1039" s="169" t="s">
        <v>545</v>
      </c>
      <c r="G1039" s="169" t="s">
        <v>545</v>
      </c>
      <c r="H1039" s="169">
        <v>20</v>
      </c>
      <c r="I1039" s="136" t="str">
        <f t="shared" si="49"/>
        <v xml:space="preserve">VARCHAR(32) </v>
      </c>
      <c r="J1039" s="169" t="s">
        <v>0</v>
      </c>
      <c r="K1039" s="169" t="s">
        <v>1</v>
      </c>
      <c r="L1039" s="169">
        <v>30</v>
      </c>
      <c r="M1039" s="168"/>
      <c r="N1039" s="168"/>
      <c r="O1039" s="168"/>
      <c r="P1039" s="168"/>
      <c r="Q1039" s="168" t="s">
        <v>0</v>
      </c>
      <c r="R1039" s="168" t="s">
        <v>1</v>
      </c>
      <c r="S1039" s="178" t="str">
        <f t="shared" si="50"/>
        <v>D_ISSUE_ACCOUNTUNDERW_PROCEDURE_CD</v>
      </c>
    </row>
    <row r="1040" spans="1:19" ht="14.4" x14ac:dyDescent="0.3">
      <c r="A1040" s="169" t="s">
        <v>1832</v>
      </c>
      <c r="B1040" s="171" t="str">
        <f t="shared" si="48"/>
        <v>D_ISSUE_ACCOUNT</v>
      </c>
      <c r="C1040" s="169" t="s">
        <v>1887</v>
      </c>
      <c r="D1040" s="169">
        <v>1620</v>
      </c>
      <c r="E1040" s="169">
        <v>28</v>
      </c>
      <c r="F1040" s="169" t="s">
        <v>1887</v>
      </c>
      <c r="G1040" s="169" t="s">
        <v>1887</v>
      </c>
      <c r="H1040" s="169">
        <v>34</v>
      </c>
      <c r="I1040" s="136" t="str">
        <f t="shared" si="49"/>
        <v>DATE</v>
      </c>
      <c r="J1040" s="169" t="s">
        <v>0</v>
      </c>
      <c r="K1040" s="169" t="s">
        <v>0</v>
      </c>
      <c r="L1040" s="169">
        <v>30</v>
      </c>
      <c r="M1040" s="168"/>
      <c r="N1040" s="168"/>
      <c r="O1040" s="168"/>
      <c r="P1040" s="168"/>
      <c r="Q1040" s="168" t="s">
        <v>0</v>
      </c>
      <c r="R1040" s="168" t="s">
        <v>1</v>
      </c>
      <c r="S1040" s="178" t="str">
        <f t="shared" si="50"/>
        <v>D_ISSUE_ACCOUNTVALIDITY_DATE</v>
      </c>
    </row>
    <row r="1041" spans="1:19" ht="14.4" x14ac:dyDescent="0.3">
      <c r="A1041" s="169" t="s">
        <v>1834</v>
      </c>
      <c r="B1041" s="171" t="str">
        <f t="shared" si="48"/>
        <v>D_ISSUE_FACILITY</v>
      </c>
      <c r="C1041" s="169" t="s">
        <v>1914</v>
      </c>
      <c r="D1041" s="169">
        <v>1621</v>
      </c>
      <c r="E1041" s="169">
        <v>1</v>
      </c>
      <c r="F1041" s="169" t="s">
        <v>1914</v>
      </c>
      <c r="G1041" s="169" t="s">
        <v>1914</v>
      </c>
      <c r="H1041" s="169">
        <v>6</v>
      </c>
      <c r="I1041" s="136" t="str">
        <f t="shared" si="49"/>
        <v>SMALLINT</v>
      </c>
      <c r="J1041" s="169" t="s">
        <v>0</v>
      </c>
      <c r="K1041" s="169" t="s">
        <v>1</v>
      </c>
      <c r="L1041" s="169">
        <v>30</v>
      </c>
      <c r="M1041" s="168"/>
      <c r="N1041" s="168"/>
      <c r="O1041" s="168"/>
      <c r="P1041" s="168"/>
      <c r="Q1041" s="168" t="s">
        <v>0</v>
      </c>
      <c r="R1041" s="168" t="s">
        <v>1</v>
      </c>
      <c r="S1041" s="178" t="str">
        <f t="shared" si="50"/>
        <v>D_ISSUE_FACILITYEFFECTIVE_MATURITY_YEAR</v>
      </c>
    </row>
    <row r="1042" spans="1:19" ht="14.4" x14ac:dyDescent="0.3">
      <c r="A1042" s="169" t="s">
        <v>1834</v>
      </c>
      <c r="B1042" s="171" t="str">
        <f t="shared" si="48"/>
        <v>D_ISSUE_FACILITY</v>
      </c>
      <c r="C1042" s="169" t="s">
        <v>1875</v>
      </c>
      <c r="D1042" s="169">
        <v>1622</v>
      </c>
      <c r="E1042" s="169">
        <v>2</v>
      </c>
      <c r="F1042" s="169" t="s">
        <v>1875</v>
      </c>
      <c r="G1042" s="169" t="s">
        <v>1875</v>
      </c>
      <c r="H1042" s="169">
        <v>22</v>
      </c>
      <c r="I1042" s="136" t="str">
        <f t="shared" si="49"/>
        <v>TIMESTAMP(6)</v>
      </c>
      <c r="J1042" s="169" t="s">
        <v>1</v>
      </c>
      <c r="K1042" s="169" t="s">
        <v>0</v>
      </c>
      <c r="L1042" s="169">
        <v>30</v>
      </c>
      <c r="M1042" s="168"/>
      <c r="N1042" s="168"/>
      <c r="O1042" s="168"/>
      <c r="P1042" s="168"/>
      <c r="Q1042" s="168" t="s">
        <v>0</v>
      </c>
      <c r="R1042" s="168" t="s">
        <v>1</v>
      </c>
      <c r="S1042" s="178" t="str">
        <f t="shared" si="50"/>
        <v>D_ISSUE_FACILITYEXTRACTION_TS</v>
      </c>
    </row>
    <row r="1043" spans="1:19" ht="14.4" x14ac:dyDescent="0.3">
      <c r="A1043" s="169" t="s">
        <v>1834</v>
      </c>
      <c r="B1043" s="171" t="str">
        <f t="shared" si="48"/>
        <v>D_ISSUE_FACILITY</v>
      </c>
      <c r="C1043" s="169" t="s">
        <v>1916</v>
      </c>
      <c r="D1043" s="169">
        <v>1623</v>
      </c>
      <c r="E1043" s="169">
        <v>3</v>
      </c>
      <c r="F1043" s="169" t="s">
        <v>1916</v>
      </c>
      <c r="G1043" s="169" t="s">
        <v>1916</v>
      </c>
      <c r="H1043" s="169">
        <v>52</v>
      </c>
      <c r="I1043" s="136" t="str">
        <f t="shared" si="49"/>
        <v>DECIMAL(18, 6)</v>
      </c>
      <c r="J1043" s="169" t="s">
        <v>0</v>
      </c>
      <c r="K1043" s="169" t="s">
        <v>1</v>
      </c>
      <c r="L1043" s="169">
        <v>30</v>
      </c>
      <c r="M1043" s="168"/>
      <c r="N1043" s="168"/>
      <c r="O1043" s="168"/>
      <c r="P1043" s="168"/>
      <c r="Q1043" s="168" t="s">
        <v>0</v>
      </c>
      <c r="R1043" s="168" t="s">
        <v>1</v>
      </c>
      <c r="S1043" s="178" t="str">
        <f t="shared" si="50"/>
        <v>D_ISSUE_FACILITYINTEREST_RATE</v>
      </c>
    </row>
    <row r="1044" spans="1:19" ht="14.4" x14ac:dyDescent="0.3">
      <c r="A1044" s="169" t="s">
        <v>1834</v>
      </c>
      <c r="B1044" s="171" t="str">
        <f t="shared" si="48"/>
        <v>D_ISSUE_FACILITY</v>
      </c>
      <c r="C1044" s="169" t="s">
        <v>1877</v>
      </c>
      <c r="D1044" s="169">
        <v>1624</v>
      </c>
      <c r="E1044" s="169">
        <v>4</v>
      </c>
      <c r="F1044" s="169" t="s">
        <v>1877</v>
      </c>
      <c r="G1044" s="169" t="s">
        <v>1877</v>
      </c>
      <c r="H1044" s="169">
        <v>32</v>
      </c>
      <c r="I1044" s="136" t="str">
        <f t="shared" si="49"/>
        <v>BYTEINT</v>
      </c>
      <c r="J1044" s="169" t="s">
        <v>0</v>
      </c>
      <c r="K1044" s="169" t="s">
        <v>1</v>
      </c>
      <c r="L1044" s="169">
        <v>30</v>
      </c>
      <c r="M1044" s="168"/>
      <c r="N1044" s="168"/>
      <c r="O1044" s="168"/>
      <c r="P1044" s="168"/>
      <c r="Q1044" s="168" t="s">
        <v>0</v>
      </c>
      <c r="R1044" s="168" t="s">
        <v>1</v>
      </c>
      <c r="S1044" s="178" t="str">
        <f t="shared" si="50"/>
        <v>D_ISSUE_FACILITYIN_DEFAULT_FLG</v>
      </c>
    </row>
    <row r="1045" spans="1:19" ht="14.4" x14ac:dyDescent="0.3">
      <c r="A1045" s="169" t="s">
        <v>1834</v>
      </c>
      <c r="B1045" s="171" t="str">
        <f t="shared" si="48"/>
        <v>D_ISSUE_FACILITY</v>
      </c>
      <c r="C1045" s="169" t="s">
        <v>1917</v>
      </c>
      <c r="D1045" s="169">
        <v>1625</v>
      </c>
      <c r="E1045" s="169">
        <v>5</v>
      </c>
      <c r="F1045" s="169" t="s">
        <v>1917</v>
      </c>
      <c r="G1045" s="169" t="s">
        <v>1917</v>
      </c>
      <c r="H1045" s="169">
        <v>32</v>
      </c>
      <c r="I1045" s="136" t="str">
        <f t="shared" si="49"/>
        <v>BYTEINT</v>
      </c>
      <c r="J1045" s="169" t="s">
        <v>0</v>
      </c>
      <c r="K1045" s="169" t="s">
        <v>1</v>
      </c>
      <c r="L1045" s="169">
        <v>30</v>
      </c>
      <c r="M1045" s="168"/>
      <c r="N1045" s="168"/>
      <c r="O1045" s="168"/>
      <c r="P1045" s="168"/>
      <c r="Q1045" s="168" t="s">
        <v>0</v>
      </c>
      <c r="R1045" s="168" t="s">
        <v>1</v>
      </c>
      <c r="S1045" s="178" t="str">
        <f t="shared" si="50"/>
        <v>D_ISSUE_FACILITYIN_PAST_DUE_FLG</v>
      </c>
    </row>
    <row r="1046" spans="1:19" ht="14.4" x14ac:dyDescent="0.3">
      <c r="A1046" s="169" t="s">
        <v>1834</v>
      </c>
      <c r="B1046" s="171" t="str">
        <f t="shared" si="48"/>
        <v>D_ISSUE_FACILITY</v>
      </c>
      <c r="C1046" s="169" t="s">
        <v>1890</v>
      </c>
      <c r="D1046" s="169">
        <v>1626</v>
      </c>
      <c r="E1046" s="169">
        <v>6</v>
      </c>
      <c r="F1046" s="169" t="s">
        <v>1890</v>
      </c>
      <c r="G1046" s="169" t="s">
        <v>1890</v>
      </c>
      <c r="H1046" s="169">
        <v>9</v>
      </c>
      <c r="I1046" s="136" t="str">
        <f t="shared" si="49"/>
        <v xml:space="preserve">CHAR(32) </v>
      </c>
      <c r="J1046" s="169" t="s">
        <v>0</v>
      </c>
      <c r="K1046" s="169" t="s">
        <v>0</v>
      </c>
      <c r="L1046" s="169">
        <v>30</v>
      </c>
      <c r="M1046" s="168"/>
      <c r="N1046" s="168"/>
      <c r="O1046" s="168"/>
      <c r="P1046" s="168"/>
      <c r="Q1046" s="168" t="s">
        <v>0</v>
      </c>
      <c r="R1046" s="168" t="s">
        <v>1</v>
      </c>
      <c r="S1046" s="178" t="str">
        <f t="shared" si="50"/>
        <v>D_ISSUE_FACILITYISSUE_KEY</v>
      </c>
    </row>
    <row r="1047" spans="1:19" ht="14.4" x14ac:dyDescent="0.3">
      <c r="A1047" s="169" t="s">
        <v>1834</v>
      </c>
      <c r="B1047" s="171" t="str">
        <f t="shared" si="48"/>
        <v>D_ISSUE_FACILITY</v>
      </c>
      <c r="C1047" s="169" t="s">
        <v>552</v>
      </c>
      <c r="D1047" s="169">
        <v>1627</v>
      </c>
      <c r="E1047" s="169">
        <v>7</v>
      </c>
      <c r="F1047" s="169" t="s">
        <v>552</v>
      </c>
      <c r="G1047" s="169" t="s">
        <v>552</v>
      </c>
      <c r="H1047" s="169">
        <v>46</v>
      </c>
      <c r="I1047" s="136" t="str">
        <f t="shared" si="49"/>
        <v>DECIMAL(7, 4)</v>
      </c>
      <c r="J1047" s="169" t="s">
        <v>0</v>
      </c>
      <c r="K1047" s="169" t="s">
        <v>1</v>
      </c>
      <c r="L1047" s="169">
        <v>30</v>
      </c>
      <c r="M1047" s="168"/>
      <c r="N1047" s="168"/>
      <c r="O1047" s="168"/>
      <c r="P1047" s="168"/>
      <c r="Q1047" s="168" t="s">
        <v>0</v>
      </c>
      <c r="R1047" s="168" t="s">
        <v>1</v>
      </c>
      <c r="S1047" s="178" t="str">
        <f t="shared" si="50"/>
        <v>D_ISSUE_FACILITYLGD_INDEFAULT_PCT</v>
      </c>
    </row>
    <row r="1048" spans="1:19" ht="14.4" x14ac:dyDescent="0.3">
      <c r="A1048" s="169" t="s">
        <v>1834</v>
      </c>
      <c r="B1048" s="171" t="str">
        <f t="shared" si="48"/>
        <v>D_ISSUE_FACILITY</v>
      </c>
      <c r="C1048" s="169" t="s">
        <v>551</v>
      </c>
      <c r="D1048" s="169">
        <v>1628</v>
      </c>
      <c r="E1048" s="169">
        <v>8</v>
      </c>
      <c r="F1048" s="169" t="s">
        <v>551</v>
      </c>
      <c r="G1048" s="169" t="s">
        <v>551</v>
      </c>
      <c r="H1048" s="169">
        <v>46</v>
      </c>
      <c r="I1048" s="136" t="str">
        <f t="shared" si="49"/>
        <v>DECIMAL(7, 4)</v>
      </c>
      <c r="J1048" s="169" t="s">
        <v>0</v>
      </c>
      <c r="K1048" s="169" t="s">
        <v>1</v>
      </c>
      <c r="L1048" s="169">
        <v>30</v>
      </c>
      <c r="M1048" s="168"/>
      <c r="N1048" s="168"/>
      <c r="O1048" s="168"/>
      <c r="P1048" s="168"/>
      <c r="Q1048" s="168" t="s">
        <v>0</v>
      </c>
      <c r="R1048" s="168" t="s">
        <v>1</v>
      </c>
      <c r="S1048" s="178" t="str">
        <f t="shared" si="50"/>
        <v>D_ISSUE_FACILITYLGD_LONGRUN_PCT</v>
      </c>
    </row>
    <row r="1049" spans="1:19" ht="14.4" x14ac:dyDescent="0.3">
      <c r="A1049" s="169" t="s">
        <v>1834</v>
      </c>
      <c r="B1049" s="171" t="str">
        <f t="shared" si="48"/>
        <v>D_ISSUE_FACILITY</v>
      </c>
      <c r="C1049" s="169" t="s">
        <v>1918</v>
      </c>
      <c r="D1049" s="169">
        <v>1629</v>
      </c>
      <c r="E1049" s="169">
        <v>9</v>
      </c>
      <c r="F1049" s="169" t="s">
        <v>1918</v>
      </c>
      <c r="G1049" s="169" t="s">
        <v>1918</v>
      </c>
      <c r="H1049" s="169">
        <v>46</v>
      </c>
      <c r="I1049" s="136" t="str">
        <f t="shared" si="49"/>
        <v>DECIMAL(7, 4)</v>
      </c>
      <c r="J1049" s="169" t="s">
        <v>0</v>
      </c>
      <c r="K1049" s="169" t="s">
        <v>1</v>
      </c>
      <c r="L1049" s="169">
        <v>30</v>
      </c>
      <c r="M1049" s="168"/>
      <c r="N1049" s="168"/>
      <c r="O1049" s="168"/>
      <c r="P1049" s="168"/>
      <c r="Q1049" s="168" t="s">
        <v>0</v>
      </c>
      <c r="R1049" s="168" t="s">
        <v>1</v>
      </c>
      <c r="S1049" s="178" t="str">
        <f t="shared" si="50"/>
        <v>D_ISSUE_FACILITYLGD_PCT</v>
      </c>
    </row>
    <row r="1050" spans="1:19" ht="14.4" x14ac:dyDescent="0.3">
      <c r="A1050" s="169" t="s">
        <v>1834</v>
      </c>
      <c r="B1050" s="171" t="str">
        <f t="shared" si="48"/>
        <v>D_ISSUE_FACILITY</v>
      </c>
      <c r="C1050" s="169" t="s">
        <v>1919</v>
      </c>
      <c r="D1050" s="169">
        <v>1630</v>
      </c>
      <c r="E1050" s="169">
        <v>10</v>
      </c>
      <c r="F1050" s="169" t="s">
        <v>1919</v>
      </c>
      <c r="G1050" s="169" t="s">
        <v>1919</v>
      </c>
      <c r="H1050" s="169">
        <v>46</v>
      </c>
      <c r="I1050" s="136" t="str">
        <f t="shared" si="49"/>
        <v>DECIMAL(7, 4)</v>
      </c>
      <c r="J1050" s="169" t="s">
        <v>0</v>
      </c>
      <c r="K1050" s="169" t="s">
        <v>1</v>
      </c>
      <c r="L1050" s="169">
        <v>30</v>
      </c>
      <c r="M1050" s="168"/>
      <c r="N1050" s="168"/>
      <c r="O1050" s="168"/>
      <c r="P1050" s="168"/>
      <c r="Q1050" s="168" t="s">
        <v>0</v>
      </c>
      <c r="R1050" s="168" t="s">
        <v>1</v>
      </c>
      <c r="S1050" s="178" t="str">
        <f t="shared" si="50"/>
        <v>D_ISSUE_FACILITYLGD_REGULATORY_PCT</v>
      </c>
    </row>
    <row r="1051" spans="1:19" ht="14.4" x14ac:dyDescent="0.3">
      <c r="A1051" s="169" t="s">
        <v>1834</v>
      </c>
      <c r="B1051" s="171" t="str">
        <f t="shared" si="48"/>
        <v>D_ISSUE_FACILITY</v>
      </c>
      <c r="C1051" s="169" t="s">
        <v>599</v>
      </c>
      <c r="D1051" s="169">
        <v>1631</v>
      </c>
      <c r="E1051" s="169">
        <v>11</v>
      </c>
      <c r="F1051" s="169" t="s">
        <v>599</v>
      </c>
      <c r="G1051" s="169" t="s">
        <v>599</v>
      </c>
      <c r="H1051" s="169">
        <v>42</v>
      </c>
      <c r="I1051" s="136" t="str">
        <f t="shared" si="49"/>
        <v xml:space="preserve">CHAR(10) </v>
      </c>
      <c r="J1051" s="169" t="s">
        <v>0</v>
      </c>
      <c r="K1051" s="169" t="s">
        <v>1</v>
      </c>
      <c r="L1051" s="169">
        <v>30</v>
      </c>
      <c r="M1051" s="168"/>
      <c r="N1051" s="168"/>
      <c r="O1051" s="168"/>
      <c r="P1051" s="168"/>
      <c r="Q1051" s="168" t="s">
        <v>0</v>
      </c>
      <c r="R1051" s="168" t="s">
        <v>1</v>
      </c>
      <c r="S1051" s="178" t="str">
        <f t="shared" si="50"/>
        <v>D_ISSUE_FACILITYLIMIT_TYPE</v>
      </c>
    </row>
    <row r="1052" spans="1:19" ht="14.4" x14ac:dyDescent="0.3">
      <c r="A1052" s="169" t="s">
        <v>1834</v>
      </c>
      <c r="B1052" s="171" t="str">
        <f t="shared" si="48"/>
        <v>D_ISSUE_FACILITY</v>
      </c>
      <c r="C1052" s="169" t="s">
        <v>601</v>
      </c>
      <c r="D1052" s="169">
        <v>1632</v>
      </c>
      <c r="E1052" s="169">
        <v>12</v>
      </c>
      <c r="F1052" s="169" t="s">
        <v>601</v>
      </c>
      <c r="G1052" s="169" t="s">
        <v>601</v>
      </c>
      <c r="H1052" s="169">
        <v>48</v>
      </c>
      <c r="I1052" s="136" t="str">
        <f t="shared" si="49"/>
        <v xml:space="preserve">VARCHAR(50) </v>
      </c>
      <c r="J1052" s="169" t="s">
        <v>0</v>
      </c>
      <c r="K1052" s="169" t="s">
        <v>1</v>
      </c>
      <c r="L1052" s="169">
        <v>30</v>
      </c>
      <c r="M1052" s="168"/>
      <c r="N1052" s="168"/>
      <c r="O1052" s="168"/>
      <c r="P1052" s="168"/>
      <c r="Q1052" s="168" t="s">
        <v>0</v>
      </c>
      <c r="R1052" s="168" t="s">
        <v>1</v>
      </c>
      <c r="S1052" s="178" t="str">
        <f t="shared" si="50"/>
        <v>D_ISSUE_FACILITYLOCAL_EXP_CLASS</v>
      </c>
    </row>
    <row r="1053" spans="1:19" ht="14.4" x14ac:dyDescent="0.3">
      <c r="A1053" s="169" t="s">
        <v>1834</v>
      </c>
      <c r="B1053" s="171" t="str">
        <f t="shared" si="48"/>
        <v>D_ISSUE_FACILITY</v>
      </c>
      <c r="C1053" s="169" t="s">
        <v>1920</v>
      </c>
      <c r="D1053" s="169">
        <v>1633</v>
      </c>
      <c r="E1053" s="169">
        <v>13</v>
      </c>
      <c r="F1053" s="169" t="s">
        <v>1920</v>
      </c>
      <c r="G1053" s="169" t="s">
        <v>1920</v>
      </c>
      <c r="H1053" s="169">
        <v>34</v>
      </c>
      <c r="I1053" s="136" t="str">
        <f t="shared" si="49"/>
        <v>DATE</v>
      </c>
      <c r="J1053" s="169" t="s">
        <v>0</v>
      </c>
      <c r="K1053" s="169" t="s">
        <v>1</v>
      </c>
      <c r="L1053" s="169">
        <v>30</v>
      </c>
      <c r="M1053" s="168"/>
      <c r="N1053" s="168"/>
      <c r="O1053" s="168"/>
      <c r="P1053" s="168"/>
      <c r="Q1053" s="168" t="s">
        <v>0</v>
      </c>
      <c r="R1053" s="168" t="s">
        <v>1</v>
      </c>
      <c r="S1053" s="178" t="str">
        <f t="shared" si="50"/>
        <v>D_ISSUE_FACILITYMATURITY_DATE</v>
      </c>
    </row>
    <row r="1054" spans="1:19" ht="14.4" x14ac:dyDescent="0.3">
      <c r="A1054" s="169" t="s">
        <v>1834</v>
      </c>
      <c r="B1054" s="171" t="str">
        <f t="shared" si="48"/>
        <v>D_ISSUE_FACILITY</v>
      </c>
      <c r="C1054" s="169" t="s">
        <v>870</v>
      </c>
      <c r="D1054" s="169">
        <v>1634</v>
      </c>
      <c r="E1054" s="169">
        <v>14</v>
      </c>
      <c r="F1054" s="169" t="s">
        <v>870</v>
      </c>
      <c r="G1054" s="169" t="s">
        <v>870</v>
      </c>
      <c r="H1054" s="169">
        <v>50</v>
      </c>
      <c r="I1054" s="136" t="str">
        <f t="shared" si="49"/>
        <v xml:space="preserve">VARCHAR(20) </v>
      </c>
      <c r="J1054" s="169" t="s">
        <v>0</v>
      </c>
      <c r="K1054" s="169" t="s">
        <v>1</v>
      </c>
      <c r="L1054" s="169">
        <v>30</v>
      </c>
      <c r="M1054" s="168"/>
      <c r="N1054" s="168"/>
      <c r="O1054" s="168"/>
      <c r="P1054" s="168"/>
      <c r="Q1054" s="168" t="s">
        <v>0</v>
      </c>
      <c r="R1054" s="168" t="s">
        <v>1</v>
      </c>
      <c r="S1054" s="178" t="str">
        <f t="shared" si="50"/>
        <v>D_ISSUE_FACILITYPD_MODEL_RATING_GRADE</v>
      </c>
    </row>
    <row r="1055" spans="1:19" ht="14.4" x14ac:dyDescent="0.3">
      <c r="A1055" s="169" t="s">
        <v>1834</v>
      </c>
      <c r="B1055" s="171" t="str">
        <f t="shared" si="48"/>
        <v>D_ISSUE_FACILITY</v>
      </c>
      <c r="C1055" s="169" t="s">
        <v>338</v>
      </c>
      <c r="D1055" s="169">
        <v>1635</v>
      </c>
      <c r="E1055" s="169">
        <v>15</v>
      </c>
      <c r="F1055" s="169" t="s">
        <v>338</v>
      </c>
      <c r="G1055" s="169" t="s">
        <v>338</v>
      </c>
      <c r="H1055" s="169">
        <v>51</v>
      </c>
      <c r="I1055" s="136" t="str">
        <f t="shared" si="49"/>
        <v>DECIMAL(9, 6)</v>
      </c>
      <c r="J1055" s="169" t="s">
        <v>0</v>
      </c>
      <c r="K1055" s="169" t="s">
        <v>1</v>
      </c>
      <c r="L1055" s="169">
        <v>30</v>
      </c>
      <c r="M1055" s="168"/>
      <c r="N1055" s="168"/>
      <c r="O1055" s="168"/>
      <c r="P1055" s="168"/>
      <c r="Q1055" s="168" t="s">
        <v>0</v>
      </c>
      <c r="R1055" s="168" t="s">
        <v>1</v>
      </c>
      <c r="S1055" s="178" t="str">
        <f t="shared" si="50"/>
        <v>D_ISSUE_FACILITYPD_PCT</v>
      </c>
    </row>
    <row r="1056" spans="1:19" ht="14.4" x14ac:dyDescent="0.3">
      <c r="A1056" s="169" t="s">
        <v>1834</v>
      </c>
      <c r="B1056" s="171" t="str">
        <f t="shared" si="48"/>
        <v>D_ISSUE_FACILITY</v>
      </c>
      <c r="C1056" s="169" t="s">
        <v>1878</v>
      </c>
      <c r="D1056" s="169">
        <v>1636</v>
      </c>
      <c r="E1056" s="169">
        <v>16</v>
      </c>
      <c r="F1056" s="169" t="s">
        <v>1878</v>
      </c>
      <c r="G1056" s="169" t="s">
        <v>1878</v>
      </c>
      <c r="H1056" s="169">
        <v>51</v>
      </c>
      <c r="I1056" s="136" t="str">
        <f t="shared" si="49"/>
        <v>DECIMAL(9, 6)</v>
      </c>
      <c r="J1056" s="169" t="s">
        <v>0</v>
      </c>
      <c r="K1056" s="169" t="s">
        <v>1</v>
      </c>
      <c r="L1056" s="169">
        <v>30</v>
      </c>
      <c r="M1056" s="168"/>
      <c r="N1056" s="168"/>
      <c r="O1056" s="168"/>
      <c r="P1056" s="168"/>
      <c r="Q1056" s="168" t="s">
        <v>0</v>
      </c>
      <c r="R1056" s="168" t="s">
        <v>1</v>
      </c>
      <c r="S1056" s="178" t="str">
        <f t="shared" si="50"/>
        <v>D_ISSUE_FACILITYPD_PCT_REG</v>
      </c>
    </row>
    <row r="1057" spans="1:19" ht="14.4" x14ac:dyDescent="0.3">
      <c r="A1057" s="169" t="s">
        <v>1834</v>
      </c>
      <c r="B1057" s="171" t="str">
        <f t="shared" si="48"/>
        <v>D_ISSUE_FACILITY</v>
      </c>
      <c r="C1057" s="169" t="s">
        <v>437</v>
      </c>
      <c r="D1057" s="169">
        <v>1637</v>
      </c>
      <c r="E1057" s="169">
        <v>17</v>
      </c>
      <c r="F1057" s="169" t="s">
        <v>437</v>
      </c>
      <c r="G1057" s="169" t="s">
        <v>437</v>
      </c>
      <c r="H1057" s="169">
        <v>51</v>
      </c>
      <c r="I1057" s="136" t="str">
        <f t="shared" si="49"/>
        <v>DECIMAL(9, 6)</v>
      </c>
      <c r="J1057" s="169" t="s">
        <v>0</v>
      </c>
      <c r="K1057" s="169" t="s">
        <v>1</v>
      </c>
      <c r="L1057" s="169">
        <v>30</v>
      </c>
      <c r="M1057" s="168"/>
      <c r="N1057" s="168"/>
      <c r="O1057" s="168"/>
      <c r="P1057" s="168"/>
      <c r="Q1057" s="168" t="s">
        <v>0</v>
      </c>
      <c r="R1057" s="168" t="s">
        <v>1</v>
      </c>
      <c r="S1057" s="178" t="str">
        <f t="shared" si="50"/>
        <v>D_ISSUE_FACILITYPD_TTC_PCT</v>
      </c>
    </row>
    <row r="1058" spans="1:19" ht="14.4" x14ac:dyDescent="0.3">
      <c r="A1058" s="169" t="s">
        <v>1834</v>
      </c>
      <c r="B1058" s="171" t="str">
        <f t="shared" si="48"/>
        <v>D_ISSUE_FACILITY</v>
      </c>
      <c r="C1058" s="169" t="s">
        <v>1921</v>
      </c>
      <c r="D1058" s="169">
        <v>1638</v>
      </c>
      <c r="E1058" s="169">
        <v>18</v>
      </c>
      <c r="F1058" s="169" t="s">
        <v>1921</v>
      </c>
      <c r="G1058" s="169" t="s">
        <v>1921</v>
      </c>
      <c r="H1058" s="169">
        <v>40</v>
      </c>
      <c r="I1058" s="136" t="str">
        <f t="shared" si="49"/>
        <v>DECIMAL(26, 4)</v>
      </c>
      <c r="J1058" s="169" t="s">
        <v>0</v>
      </c>
      <c r="K1058" s="169" t="s">
        <v>1</v>
      </c>
      <c r="L1058" s="169">
        <v>30</v>
      </c>
      <c r="M1058" s="168"/>
      <c r="N1058" s="168"/>
      <c r="O1058" s="168"/>
      <c r="P1058" s="168"/>
      <c r="Q1058" s="168" t="s">
        <v>0</v>
      </c>
      <c r="R1058" s="168" t="s">
        <v>1</v>
      </c>
      <c r="S1058" s="178" t="str">
        <f t="shared" si="50"/>
        <v>D_ISSUE_FACILITYPROVISIONS_AMT</v>
      </c>
    </row>
    <row r="1059" spans="1:19" ht="14.4" x14ac:dyDescent="0.3">
      <c r="A1059" s="169" t="s">
        <v>1834</v>
      </c>
      <c r="B1059" s="171" t="str">
        <f t="shared" si="48"/>
        <v>D_ISSUE_FACILITY</v>
      </c>
      <c r="C1059" s="169" t="s">
        <v>440</v>
      </c>
      <c r="D1059" s="169">
        <v>1639</v>
      </c>
      <c r="E1059" s="169">
        <v>19</v>
      </c>
      <c r="F1059" s="169" t="s">
        <v>440</v>
      </c>
      <c r="G1059" s="169" t="s">
        <v>440</v>
      </c>
      <c r="H1059" s="169">
        <v>22</v>
      </c>
      <c r="I1059" s="136" t="str">
        <f t="shared" si="49"/>
        <v>TIMESTAMP(6)</v>
      </c>
      <c r="J1059" s="169" t="s">
        <v>1</v>
      </c>
      <c r="K1059" s="169" t="s">
        <v>1</v>
      </c>
      <c r="L1059" s="169">
        <v>30</v>
      </c>
      <c r="M1059" s="168"/>
      <c r="N1059" s="168"/>
      <c r="O1059" s="168"/>
      <c r="P1059" s="168"/>
      <c r="Q1059" s="168" t="s">
        <v>0</v>
      </c>
      <c r="R1059" s="168" t="s">
        <v>1</v>
      </c>
      <c r="S1059" s="178" t="str">
        <f t="shared" si="50"/>
        <v>D_ISSUE_FACILITYRECORD_CREATE_TS</v>
      </c>
    </row>
    <row r="1060" spans="1:19" ht="14.4" x14ac:dyDescent="0.3">
      <c r="A1060" s="169" t="s">
        <v>1834</v>
      </c>
      <c r="B1060" s="171" t="str">
        <f t="shared" si="48"/>
        <v>D_ISSUE_FACILITY</v>
      </c>
      <c r="C1060" s="169" t="s">
        <v>429</v>
      </c>
      <c r="D1060" s="169">
        <v>1640</v>
      </c>
      <c r="E1060" s="169">
        <v>20</v>
      </c>
      <c r="F1060" s="169" t="s">
        <v>429</v>
      </c>
      <c r="G1060" s="169" t="s">
        <v>429</v>
      </c>
      <c r="H1060" s="169">
        <v>22</v>
      </c>
      <c r="I1060" s="136" t="str">
        <f t="shared" si="49"/>
        <v>TIMESTAMP(6)</v>
      </c>
      <c r="J1060" s="169" t="s">
        <v>1</v>
      </c>
      <c r="K1060" s="169" t="s">
        <v>1</v>
      </c>
      <c r="L1060" s="169">
        <v>30</v>
      </c>
      <c r="M1060" s="168"/>
      <c r="N1060" s="168"/>
      <c r="O1060" s="168"/>
      <c r="P1060" s="168"/>
      <c r="Q1060" s="168" t="s">
        <v>0</v>
      </c>
      <c r="R1060" s="168" t="s">
        <v>1</v>
      </c>
      <c r="S1060" s="178" t="str">
        <f t="shared" si="50"/>
        <v>D_ISSUE_FACILITYRECORD_UPDATE_TS</v>
      </c>
    </row>
    <row r="1061" spans="1:19" ht="14.4" x14ac:dyDescent="0.3">
      <c r="A1061" s="169" t="s">
        <v>1834</v>
      </c>
      <c r="B1061" s="171" t="str">
        <f t="shared" si="48"/>
        <v>D_ISSUE_FACILITY</v>
      </c>
      <c r="C1061" s="169" t="s">
        <v>1922</v>
      </c>
      <c r="D1061" s="169">
        <v>1641</v>
      </c>
      <c r="E1061" s="169">
        <v>21</v>
      </c>
      <c r="F1061" s="169" t="s">
        <v>1922</v>
      </c>
      <c r="G1061" s="169" t="s">
        <v>1922</v>
      </c>
      <c r="H1061" s="169">
        <v>14</v>
      </c>
      <c r="I1061" s="136" t="str">
        <f t="shared" si="49"/>
        <v xml:space="preserve">CHAR(3) </v>
      </c>
      <c r="J1061" s="169" t="s">
        <v>0</v>
      </c>
      <c r="K1061" s="169" t="s">
        <v>1</v>
      </c>
      <c r="L1061" s="169">
        <v>30</v>
      </c>
      <c r="M1061" s="168"/>
      <c r="N1061" s="168"/>
      <c r="O1061" s="168"/>
      <c r="P1061" s="168"/>
      <c r="Q1061" s="168" t="s">
        <v>0</v>
      </c>
      <c r="R1061" s="168" t="s">
        <v>1</v>
      </c>
      <c r="S1061" s="178" t="str">
        <f t="shared" si="50"/>
        <v>D_ISSUE_FACILITYREGULATORY_PRODUCT_CD</v>
      </c>
    </row>
    <row r="1062" spans="1:19" ht="14.4" x14ac:dyDescent="0.3">
      <c r="A1062" s="169" t="s">
        <v>1834</v>
      </c>
      <c r="B1062" s="171" t="str">
        <f t="shared" si="48"/>
        <v>D_ISSUE_FACILITY</v>
      </c>
      <c r="C1062" s="169" t="s">
        <v>1923</v>
      </c>
      <c r="D1062" s="169">
        <v>1642</v>
      </c>
      <c r="E1062" s="169">
        <v>22</v>
      </c>
      <c r="F1062" s="169" t="s">
        <v>1923</v>
      </c>
      <c r="G1062" s="169" t="s">
        <v>1923</v>
      </c>
      <c r="H1062" s="169">
        <v>39</v>
      </c>
      <c r="I1062" s="136" t="str">
        <f t="shared" si="49"/>
        <v xml:space="preserve">VARCHAR(512) </v>
      </c>
      <c r="J1062" s="169" t="s">
        <v>0</v>
      </c>
      <c r="K1062" s="169" t="s">
        <v>1</v>
      </c>
      <c r="L1062" s="169">
        <v>30</v>
      </c>
      <c r="M1062" s="168"/>
      <c r="N1062" s="168"/>
      <c r="O1062" s="168"/>
      <c r="P1062" s="168"/>
      <c r="Q1062" s="168" t="s">
        <v>0</v>
      </c>
      <c r="R1062" s="168" t="s">
        <v>1</v>
      </c>
      <c r="S1062" s="178" t="str">
        <f t="shared" si="50"/>
        <v>D_ISSUE_FACILITYREP_CLASS</v>
      </c>
    </row>
    <row r="1063" spans="1:19" ht="14.4" x14ac:dyDescent="0.3">
      <c r="A1063" s="169" t="s">
        <v>1834</v>
      </c>
      <c r="B1063" s="171" t="str">
        <f t="shared" si="48"/>
        <v>D_ISSUE_FACILITY</v>
      </c>
      <c r="C1063" s="169" t="s">
        <v>498</v>
      </c>
      <c r="D1063" s="169">
        <v>1643</v>
      </c>
      <c r="E1063" s="169">
        <v>23</v>
      </c>
      <c r="F1063" s="169" t="s">
        <v>498</v>
      </c>
      <c r="G1063" s="169" t="s">
        <v>498</v>
      </c>
      <c r="H1063" s="169">
        <v>7</v>
      </c>
      <c r="I1063" s="136" t="str">
        <f t="shared" si="49"/>
        <v>BIGINT</v>
      </c>
      <c r="J1063" s="169" t="s">
        <v>0</v>
      </c>
      <c r="K1063" s="169" t="s">
        <v>0</v>
      </c>
      <c r="L1063" s="169">
        <v>30</v>
      </c>
      <c r="M1063" s="168"/>
      <c r="N1063" s="168"/>
      <c r="O1063" s="168"/>
      <c r="P1063" s="168"/>
      <c r="Q1063" s="168" t="s">
        <v>0</v>
      </c>
      <c r="R1063" s="168" t="s">
        <v>1</v>
      </c>
      <c r="S1063" s="178" t="str">
        <f t="shared" si="50"/>
        <v>D_ISSUE_FACILITYRUN_ID</v>
      </c>
    </row>
    <row r="1064" spans="1:19" ht="14.4" x14ac:dyDescent="0.3">
      <c r="A1064" s="169" t="s">
        <v>1834</v>
      </c>
      <c r="B1064" s="171" t="str">
        <f t="shared" si="48"/>
        <v>D_ISSUE_FACILITY</v>
      </c>
      <c r="C1064" s="169" t="s">
        <v>545</v>
      </c>
      <c r="D1064" s="169">
        <v>1644</v>
      </c>
      <c r="E1064" s="169">
        <v>24</v>
      </c>
      <c r="F1064" s="169" t="s">
        <v>545</v>
      </c>
      <c r="G1064" s="169" t="s">
        <v>545</v>
      </c>
      <c r="H1064" s="169">
        <v>20</v>
      </c>
      <c r="I1064" s="136" t="str">
        <f t="shared" si="49"/>
        <v xml:space="preserve">VARCHAR(32) </v>
      </c>
      <c r="J1064" s="169" t="s">
        <v>0</v>
      </c>
      <c r="K1064" s="169" t="s">
        <v>1</v>
      </c>
      <c r="L1064" s="169">
        <v>30</v>
      </c>
      <c r="M1064" s="168"/>
      <c r="N1064" s="168"/>
      <c r="O1064" s="168"/>
      <c r="P1064" s="168"/>
      <c r="Q1064" s="168" t="s">
        <v>0</v>
      </c>
      <c r="R1064" s="168" t="s">
        <v>1</v>
      </c>
      <c r="S1064" s="178" t="str">
        <f t="shared" si="50"/>
        <v>D_ISSUE_FACILITYUNDERW_PROCEDURE_CD</v>
      </c>
    </row>
    <row r="1065" spans="1:19" ht="14.4" x14ac:dyDescent="0.3">
      <c r="A1065" s="169" t="s">
        <v>1834</v>
      </c>
      <c r="B1065" s="171" t="str">
        <f t="shared" si="48"/>
        <v>D_ISSUE_FACILITY</v>
      </c>
      <c r="C1065" s="169" t="s">
        <v>1887</v>
      </c>
      <c r="D1065" s="169">
        <v>1645</v>
      </c>
      <c r="E1065" s="169">
        <v>25</v>
      </c>
      <c r="F1065" s="169" t="s">
        <v>1887</v>
      </c>
      <c r="G1065" s="169" t="s">
        <v>1887</v>
      </c>
      <c r="H1065" s="169">
        <v>34</v>
      </c>
      <c r="I1065" s="136" t="str">
        <f t="shared" si="49"/>
        <v>DATE</v>
      </c>
      <c r="J1065" s="169" t="s">
        <v>0</v>
      </c>
      <c r="K1065" s="169" t="s">
        <v>0</v>
      </c>
      <c r="L1065" s="169">
        <v>30</v>
      </c>
      <c r="M1065" s="168"/>
      <c r="N1065" s="168"/>
      <c r="O1065" s="168"/>
      <c r="P1065" s="168"/>
      <c r="Q1065" s="168" t="s">
        <v>0</v>
      </c>
      <c r="R1065" s="168" t="s">
        <v>1</v>
      </c>
      <c r="S1065" s="178" t="str">
        <f t="shared" si="50"/>
        <v>D_ISSUE_FACILITYVALIDITY_DATE</v>
      </c>
    </row>
    <row r="1066" spans="1:19" ht="14.4" x14ac:dyDescent="0.3">
      <c r="A1066" s="169" t="s">
        <v>1826</v>
      </c>
      <c r="B1066" s="171" t="str">
        <f t="shared" si="48"/>
        <v>D_ISSUE_INSTRUMENT</v>
      </c>
      <c r="C1066" s="169" t="s">
        <v>1914</v>
      </c>
      <c r="D1066" s="169">
        <v>1646</v>
      </c>
      <c r="E1066" s="169">
        <v>1</v>
      </c>
      <c r="F1066" s="169" t="s">
        <v>1914</v>
      </c>
      <c r="G1066" s="169" t="s">
        <v>1914</v>
      </c>
      <c r="H1066" s="169">
        <v>6</v>
      </c>
      <c r="I1066" s="136" t="str">
        <f t="shared" si="49"/>
        <v>SMALLINT</v>
      </c>
      <c r="J1066" s="169" t="s">
        <v>0</v>
      </c>
      <c r="K1066" s="169" t="s">
        <v>1</v>
      </c>
      <c r="L1066" s="169">
        <v>30</v>
      </c>
      <c r="M1066" s="168"/>
      <c r="N1066" s="168"/>
      <c r="O1066" s="168"/>
      <c r="P1066" s="168"/>
      <c r="Q1066" s="168" t="s">
        <v>0</v>
      </c>
      <c r="R1066" s="168" t="s">
        <v>1</v>
      </c>
      <c r="S1066" s="178" t="str">
        <f t="shared" si="50"/>
        <v>D_ISSUE_INSTRUMENTEFFECTIVE_MATURITY_YEAR</v>
      </c>
    </row>
    <row r="1067" spans="1:19" ht="14.4" x14ac:dyDescent="0.3">
      <c r="A1067" s="169" t="s">
        <v>1826</v>
      </c>
      <c r="B1067" s="171" t="str">
        <f t="shared" si="48"/>
        <v>D_ISSUE_INSTRUMENT</v>
      </c>
      <c r="C1067" s="169" t="s">
        <v>1875</v>
      </c>
      <c r="D1067" s="169">
        <v>1647</v>
      </c>
      <c r="E1067" s="169">
        <v>2</v>
      </c>
      <c r="F1067" s="169" t="s">
        <v>1875</v>
      </c>
      <c r="G1067" s="169" t="s">
        <v>1875</v>
      </c>
      <c r="H1067" s="169">
        <v>22</v>
      </c>
      <c r="I1067" s="136" t="str">
        <f t="shared" si="49"/>
        <v>TIMESTAMP(6)</v>
      </c>
      <c r="J1067" s="169" t="s">
        <v>1</v>
      </c>
      <c r="K1067" s="169" t="s">
        <v>0</v>
      </c>
      <c r="L1067" s="169">
        <v>30</v>
      </c>
      <c r="M1067" s="168"/>
      <c r="N1067" s="168"/>
      <c r="O1067" s="168"/>
      <c r="P1067" s="168"/>
      <c r="Q1067" s="168" t="s">
        <v>0</v>
      </c>
      <c r="R1067" s="168" t="s">
        <v>1</v>
      </c>
      <c r="S1067" s="178" t="str">
        <f t="shared" si="50"/>
        <v>D_ISSUE_INSTRUMENTEXTRACTION_TS</v>
      </c>
    </row>
    <row r="1068" spans="1:19" ht="14.4" x14ac:dyDescent="0.3">
      <c r="A1068" s="169" t="s">
        <v>1826</v>
      </c>
      <c r="B1068" s="171" t="str">
        <f t="shared" si="48"/>
        <v>D_ISSUE_INSTRUMENT</v>
      </c>
      <c r="C1068" s="169" t="s">
        <v>1916</v>
      </c>
      <c r="D1068" s="169">
        <v>1648</v>
      </c>
      <c r="E1068" s="169">
        <v>3</v>
      </c>
      <c r="F1068" s="169" t="s">
        <v>1916</v>
      </c>
      <c r="G1068" s="169" t="s">
        <v>1916</v>
      </c>
      <c r="H1068" s="169">
        <v>52</v>
      </c>
      <c r="I1068" s="136" t="str">
        <f t="shared" si="49"/>
        <v>DECIMAL(18, 6)</v>
      </c>
      <c r="J1068" s="169" t="s">
        <v>0</v>
      </c>
      <c r="K1068" s="169" t="s">
        <v>1</v>
      </c>
      <c r="L1068" s="169">
        <v>30</v>
      </c>
      <c r="M1068" s="168"/>
      <c r="N1068" s="168"/>
      <c r="O1068" s="168"/>
      <c r="P1068" s="168"/>
      <c r="Q1068" s="168" t="s">
        <v>0</v>
      </c>
      <c r="R1068" s="168" t="s">
        <v>1</v>
      </c>
      <c r="S1068" s="178" t="str">
        <f t="shared" si="50"/>
        <v>D_ISSUE_INSTRUMENTINTEREST_RATE</v>
      </c>
    </row>
    <row r="1069" spans="1:19" ht="14.4" x14ac:dyDescent="0.3">
      <c r="A1069" s="169" t="s">
        <v>1826</v>
      </c>
      <c r="B1069" s="171" t="str">
        <f t="shared" si="48"/>
        <v>D_ISSUE_INSTRUMENT</v>
      </c>
      <c r="C1069" s="169" t="s">
        <v>1877</v>
      </c>
      <c r="D1069" s="169">
        <v>1649</v>
      </c>
      <c r="E1069" s="169">
        <v>4</v>
      </c>
      <c r="F1069" s="169" t="s">
        <v>1877</v>
      </c>
      <c r="G1069" s="169" t="s">
        <v>1877</v>
      </c>
      <c r="H1069" s="169">
        <v>32</v>
      </c>
      <c r="I1069" s="136" t="str">
        <f t="shared" si="49"/>
        <v>BYTEINT</v>
      </c>
      <c r="J1069" s="169" t="s">
        <v>0</v>
      </c>
      <c r="K1069" s="169" t="s">
        <v>1</v>
      </c>
      <c r="L1069" s="169">
        <v>30</v>
      </c>
      <c r="M1069" s="168"/>
      <c r="N1069" s="168"/>
      <c r="O1069" s="168"/>
      <c r="P1069" s="168"/>
      <c r="Q1069" s="168" t="s">
        <v>0</v>
      </c>
      <c r="R1069" s="168" t="s">
        <v>1</v>
      </c>
      <c r="S1069" s="178" t="str">
        <f t="shared" si="50"/>
        <v>D_ISSUE_INSTRUMENTIN_DEFAULT_FLG</v>
      </c>
    </row>
    <row r="1070" spans="1:19" ht="14.4" x14ac:dyDescent="0.3">
      <c r="A1070" s="169" t="s">
        <v>1826</v>
      </c>
      <c r="B1070" s="171" t="str">
        <f t="shared" si="48"/>
        <v>D_ISSUE_INSTRUMENT</v>
      </c>
      <c r="C1070" s="169" t="s">
        <v>1917</v>
      </c>
      <c r="D1070" s="169">
        <v>1650</v>
      </c>
      <c r="E1070" s="169">
        <v>5</v>
      </c>
      <c r="F1070" s="169" t="s">
        <v>1917</v>
      </c>
      <c r="G1070" s="169" t="s">
        <v>1917</v>
      </c>
      <c r="H1070" s="169">
        <v>32</v>
      </c>
      <c r="I1070" s="136" t="str">
        <f t="shared" si="49"/>
        <v>BYTEINT</v>
      </c>
      <c r="J1070" s="169" t="s">
        <v>0</v>
      </c>
      <c r="K1070" s="169" t="s">
        <v>1</v>
      </c>
      <c r="L1070" s="169">
        <v>30</v>
      </c>
      <c r="M1070" s="168"/>
      <c r="N1070" s="168"/>
      <c r="O1070" s="168"/>
      <c r="P1070" s="168"/>
      <c r="Q1070" s="168" t="s">
        <v>0</v>
      </c>
      <c r="R1070" s="168" t="s">
        <v>1</v>
      </c>
      <c r="S1070" s="178" t="str">
        <f t="shared" si="50"/>
        <v>D_ISSUE_INSTRUMENTIN_PAST_DUE_FLG</v>
      </c>
    </row>
    <row r="1071" spans="1:19" ht="14.4" x14ac:dyDescent="0.3">
      <c r="A1071" s="169" t="s">
        <v>1826</v>
      </c>
      <c r="B1071" s="171" t="str">
        <f t="shared" si="48"/>
        <v>D_ISSUE_INSTRUMENT</v>
      </c>
      <c r="C1071" s="169" t="s">
        <v>1890</v>
      </c>
      <c r="D1071" s="169">
        <v>1651</v>
      </c>
      <c r="E1071" s="169">
        <v>6</v>
      </c>
      <c r="F1071" s="169" t="s">
        <v>1890</v>
      </c>
      <c r="G1071" s="169" t="s">
        <v>1890</v>
      </c>
      <c r="H1071" s="169">
        <v>9</v>
      </c>
      <c r="I1071" s="136" t="str">
        <f t="shared" si="49"/>
        <v xml:space="preserve">CHAR(32) </v>
      </c>
      <c r="J1071" s="169" t="s">
        <v>0</v>
      </c>
      <c r="K1071" s="169" t="s">
        <v>0</v>
      </c>
      <c r="L1071" s="169">
        <v>30</v>
      </c>
      <c r="M1071" s="168"/>
      <c r="N1071" s="168"/>
      <c r="O1071" s="168"/>
      <c r="P1071" s="168"/>
      <c r="Q1071" s="168" t="s">
        <v>0</v>
      </c>
      <c r="R1071" s="168" t="s">
        <v>1</v>
      </c>
      <c r="S1071" s="178" t="str">
        <f t="shared" si="50"/>
        <v>D_ISSUE_INSTRUMENTISSUE_KEY</v>
      </c>
    </row>
    <row r="1072" spans="1:19" ht="14.4" x14ac:dyDescent="0.3">
      <c r="A1072" s="169" t="s">
        <v>1826</v>
      </c>
      <c r="B1072" s="171" t="str">
        <f t="shared" si="48"/>
        <v>D_ISSUE_INSTRUMENT</v>
      </c>
      <c r="C1072" s="169" t="s">
        <v>552</v>
      </c>
      <c r="D1072" s="169">
        <v>1652</v>
      </c>
      <c r="E1072" s="169">
        <v>7</v>
      </c>
      <c r="F1072" s="169" t="s">
        <v>552</v>
      </c>
      <c r="G1072" s="169" t="s">
        <v>552</v>
      </c>
      <c r="H1072" s="169">
        <v>46</v>
      </c>
      <c r="I1072" s="136" t="str">
        <f t="shared" si="49"/>
        <v>DECIMAL(7, 4)</v>
      </c>
      <c r="J1072" s="169" t="s">
        <v>0</v>
      </c>
      <c r="K1072" s="169" t="s">
        <v>1</v>
      </c>
      <c r="L1072" s="169">
        <v>30</v>
      </c>
      <c r="M1072" s="168"/>
      <c r="N1072" s="168"/>
      <c r="O1072" s="168"/>
      <c r="P1072" s="168"/>
      <c r="Q1072" s="168" t="s">
        <v>0</v>
      </c>
      <c r="R1072" s="168" t="s">
        <v>1</v>
      </c>
      <c r="S1072" s="178" t="str">
        <f t="shared" si="50"/>
        <v>D_ISSUE_INSTRUMENTLGD_INDEFAULT_PCT</v>
      </c>
    </row>
    <row r="1073" spans="1:19" ht="14.4" x14ac:dyDescent="0.3">
      <c r="A1073" s="169" t="s">
        <v>1826</v>
      </c>
      <c r="B1073" s="171" t="str">
        <f t="shared" si="48"/>
        <v>D_ISSUE_INSTRUMENT</v>
      </c>
      <c r="C1073" s="169" t="s">
        <v>551</v>
      </c>
      <c r="D1073" s="169">
        <v>1653</v>
      </c>
      <c r="E1073" s="169">
        <v>8</v>
      </c>
      <c r="F1073" s="169" t="s">
        <v>551</v>
      </c>
      <c r="G1073" s="169" t="s">
        <v>551</v>
      </c>
      <c r="H1073" s="169">
        <v>46</v>
      </c>
      <c r="I1073" s="136" t="str">
        <f t="shared" si="49"/>
        <v>DECIMAL(7, 4)</v>
      </c>
      <c r="J1073" s="169" t="s">
        <v>0</v>
      </c>
      <c r="K1073" s="169" t="s">
        <v>1</v>
      </c>
      <c r="L1073" s="169">
        <v>30</v>
      </c>
      <c r="M1073" s="168"/>
      <c r="N1073" s="168"/>
      <c r="O1073" s="168"/>
      <c r="P1073" s="168"/>
      <c r="Q1073" s="168" t="s">
        <v>0</v>
      </c>
      <c r="R1073" s="168" t="s">
        <v>1</v>
      </c>
      <c r="S1073" s="178" t="str">
        <f t="shared" si="50"/>
        <v>D_ISSUE_INSTRUMENTLGD_LONGRUN_PCT</v>
      </c>
    </row>
    <row r="1074" spans="1:19" ht="14.4" x14ac:dyDescent="0.3">
      <c r="A1074" s="169" t="s">
        <v>1826</v>
      </c>
      <c r="B1074" s="171" t="str">
        <f t="shared" si="48"/>
        <v>D_ISSUE_INSTRUMENT</v>
      </c>
      <c r="C1074" s="169" t="s">
        <v>1918</v>
      </c>
      <c r="D1074" s="169">
        <v>1654</v>
      </c>
      <c r="E1074" s="169">
        <v>9</v>
      </c>
      <c r="F1074" s="169" t="s">
        <v>1918</v>
      </c>
      <c r="G1074" s="169" t="s">
        <v>1918</v>
      </c>
      <c r="H1074" s="169">
        <v>46</v>
      </c>
      <c r="I1074" s="136" t="str">
        <f t="shared" si="49"/>
        <v>DECIMAL(7, 4)</v>
      </c>
      <c r="J1074" s="169" t="s">
        <v>0</v>
      </c>
      <c r="K1074" s="169" t="s">
        <v>1</v>
      </c>
      <c r="L1074" s="169">
        <v>30</v>
      </c>
      <c r="M1074" s="168"/>
      <c r="N1074" s="168"/>
      <c r="O1074" s="168"/>
      <c r="P1074" s="168"/>
      <c r="Q1074" s="168" t="s">
        <v>0</v>
      </c>
      <c r="R1074" s="168" t="s">
        <v>1</v>
      </c>
      <c r="S1074" s="178" t="str">
        <f t="shared" si="50"/>
        <v>D_ISSUE_INSTRUMENTLGD_PCT</v>
      </c>
    </row>
    <row r="1075" spans="1:19" ht="14.4" x14ac:dyDescent="0.3">
      <c r="A1075" s="169" t="s">
        <v>1826</v>
      </c>
      <c r="B1075" s="171" t="str">
        <f t="shared" si="48"/>
        <v>D_ISSUE_INSTRUMENT</v>
      </c>
      <c r="C1075" s="169" t="s">
        <v>1919</v>
      </c>
      <c r="D1075" s="169">
        <v>1655</v>
      </c>
      <c r="E1075" s="169">
        <v>10</v>
      </c>
      <c r="F1075" s="169" t="s">
        <v>1919</v>
      </c>
      <c r="G1075" s="169" t="s">
        <v>1919</v>
      </c>
      <c r="H1075" s="169">
        <v>46</v>
      </c>
      <c r="I1075" s="136" t="str">
        <f t="shared" si="49"/>
        <v>DECIMAL(7, 4)</v>
      </c>
      <c r="J1075" s="169" t="s">
        <v>0</v>
      </c>
      <c r="K1075" s="169" t="s">
        <v>1</v>
      </c>
      <c r="L1075" s="169">
        <v>30</v>
      </c>
      <c r="M1075" s="168"/>
      <c r="N1075" s="168"/>
      <c r="O1075" s="168"/>
      <c r="P1075" s="168"/>
      <c r="Q1075" s="168" t="s">
        <v>0</v>
      </c>
      <c r="R1075" s="168" t="s">
        <v>1</v>
      </c>
      <c r="S1075" s="178" t="str">
        <f t="shared" si="50"/>
        <v>D_ISSUE_INSTRUMENTLGD_REGULATORY_PCT</v>
      </c>
    </row>
    <row r="1076" spans="1:19" ht="14.4" x14ac:dyDescent="0.3">
      <c r="A1076" s="169" t="s">
        <v>1826</v>
      </c>
      <c r="B1076" s="171" t="str">
        <f t="shared" si="48"/>
        <v>D_ISSUE_INSTRUMENT</v>
      </c>
      <c r="C1076" s="169" t="s">
        <v>599</v>
      </c>
      <c r="D1076" s="169">
        <v>1656</v>
      </c>
      <c r="E1076" s="169">
        <v>11</v>
      </c>
      <c r="F1076" s="169" t="s">
        <v>599</v>
      </c>
      <c r="G1076" s="169" t="s">
        <v>599</v>
      </c>
      <c r="H1076" s="169">
        <v>42</v>
      </c>
      <c r="I1076" s="136" t="str">
        <f t="shared" si="49"/>
        <v xml:space="preserve">CHAR(10) </v>
      </c>
      <c r="J1076" s="169" t="s">
        <v>0</v>
      </c>
      <c r="K1076" s="169" t="s">
        <v>1</v>
      </c>
      <c r="L1076" s="169">
        <v>30</v>
      </c>
      <c r="M1076" s="168"/>
      <c r="N1076" s="168"/>
      <c r="O1076" s="168"/>
      <c r="P1076" s="168"/>
      <c r="Q1076" s="168" t="s">
        <v>0</v>
      </c>
      <c r="R1076" s="168" t="s">
        <v>1</v>
      </c>
      <c r="S1076" s="178" t="str">
        <f t="shared" si="50"/>
        <v>D_ISSUE_INSTRUMENTLIMIT_TYPE</v>
      </c>
    </row>
    <row r="1077" spans="1:19" ht="14.4" x14ac:dyDescent="0.3">
      <c r="A1077" s="169" t="s">
        <v>1826</v>
      </c>
      <c r="B1077" s="171" t="str">
        <f t="shared" si="48"/>
        <v>D_ISSUE_INSTRUMENT</v>
      </c>
      <c r="C1077" s="169" t="s">
        <v>601</v>
      </c>
      <c r="D1077" s="169">
        <v>1657</v>
      </c>
      <c r="E1077" s="169">
        <v>12</v>
      </c>
      <c r="F1077" s="169" t="s">
        <v>601</v>
      </c>
      <c r="G1077" s="169" t="s">
        <v>601</v>
      </c>
      <c r="H1077" s="169">
        <v>48</v>
      </c>
      <c r="I1077" s="136" t="str">
        <f t="shared" si="49"/>
        <v xml:space="preserve">VARCHAR(50) </v>
      </c>
      <c r="J1077" s="169" t="s">
        <v>0</v>
      </c>
      <c r="K1077" s="169" t="s">
        <v>1</v>
      </c>
      <c r="L1077" s="169">
        <v>30</v>
      </c>
      <c r="M1077" s="168"/>
      <c r="N1077" s="168"/>
      <c r="O1077" s="168"/>
      <c r="P1077" s="168"/>
      <c r="Q1077" s="168" t="s">
        <v>0</v>
      </c>
      <c r="R1077" s="168" t="s">
        <v>1</v>
      </c>
      <c r="S1077" s="178" t="str">
        <f t="shared" si="50"/>
        <v>D_ISSUE_INSTRUMENTLOCAL_EXP_CLASS</v>
      </c>
    </row>
    <row r="1078" spans="1:19" ht="14.4" x14ac:dyDescent="0.3">
      <c r="A1078" s="169" t="s">
        <v>1826</v>
      </c>
      <c r="B1078" s="171" t="str">
        <f t="shared" si="48"/>
        <v>D_ISSUE_INSTRUMENT</v>
      </c>
      <c r="C1078" s="169" t="s">
        <v>1920</v>
      </c>
      <c r="D1078" s="169">
        <v>1658</v>
      </c>
      <c r="E1078" s="169">
        <v>13</v>
      </c>
      <c r="F1078" s="169" t="s">
        <v>1920</v>
      </c>
      <c r="G1078" s="169" t="s">
        <v>1920</v>
      </c>
      <c r="H1078" s="169">
        <v>34</v>
      </c>
      <c r="I1078" s="136" t="str">
        <f t="shared" si="49"/>
        <v>DATE</v>
      </c>
      <c r="J1078" s="169" t="s">
        <v>0</v>
      </c>
      <c r="K1078" s="169" t="s">
        <v>1</v>
      </c>
      <c r="L1078" s="169">
        <v>30</v>
      </c>
      <c r="M1078" s="168"/>
      <c r="N1078" s="168"/>
      <c r="O1078" s="168"/>
      <c r="P1078" s="168"/>
      <c r="Q1078" s="168" t="s">
        <v>0</v>
      </c>
      <c r="R1078" s="168" t="s">
        <v>1</v>
      </c>
      <c r="S1078" s="178" t="str">
        <f t="shared" si="50"/>
        <v>D_ISSUE_INSTRUMENTMATURITY_DATE</v>
      </c>
    </row>
    <row r="1079" spans="1:19" ht="14.4" x14ac:dyDescent="0.3">
      <c r="A1079" s="169" t="s">
        <v>1826</v>
      </c>
      <c r="B1079" s="171" t="str">
        <f t="shared" si="48"/>
        <v>D_ISSUE_INSTRUMENT</v>
      </c>
      <c r="C1079" s="169" t="s">
        <v>1921</v>
      </c>
      <c r="D1079" s="169">
        <v>1659</v>
      </c>
      <c r="E1079" s="169">
        <v>14</v>
      </c>
      <c r="F1079" s="169" t="s">
        <v>1921</v>
      </c>
      <c r="G1079" s="169" t="s">
        <v>1921</v>
      </c>
      <c r="H1079" s="169">
        <v>40</v>
      </c>
      <c r="I1079" s="136" t="str">
        <f t="shared" si="49"/>
        <v>DECIMAL(26, 4)</v>
      </c>
      <c r="J1079" s="169" t="s">
        <v>0</v>
      </c>
      <c r="K1079" s="169" t="s">
        <v>1</v>
      </c>
      <c r="L1079" s="169">
        <v>30</v>
      </c>
      <c r="M1079" s="168"/>
      <c r="N1079" s="168"/>
      <c r="O1079" s="168"/>
      <c r="P1079" s="168"/>
      <c r="Q1079" s="168" t="s">
        <v>0</v>
      </c>
      <c r="R1079" s="168" t="s">
        <v>1</v>
      </c>
      <c r="S1079" s="178" t="str">
        <f t="shared" si="50"/>
        <v>D_ISSUE_INSTRUMENTPROVISIONS_AMT</v>
      </c>
    </row>
    <row r="1080" spans="1:19" ht="14.4" x14ac:dyDescent="0.3">
      <c r="A1080" s="169" t="s">
        <v>1826</v>
      </c>
      <c r="B1080" s="171" t="str">
        <f t="shared" si="48"/>
        <v>D_ISSUE_INSTRUMENT</v>
      </c>
      <c r="C1080" s="169" t="s">
        <v>440</v>
      </c>
      <c r="D1080" s="169">
        <v>1660</v>
      </c>
      <c r="E1080" s="169">
        <v>15</v>
      </c>
      <c r="F1080" s="169" t="s">
        <v>440</v>
      </c>
      <c r="G1080" s="169" t="s">
        <v>440</v>
      </c>
      <c r="H1080" s="169">
        <v>22</v>
      </c>
      <c r="I1080" s="136" t="str">
        <f t="shared" si="49"/>
        <v>TIMESTAMP(6)</v>
      </c>
      <c r="J1080" s="169" t="s">
        <v>1</v>
      </c>
      <c r="K1080" s="169" t="s">
        <v>1</v>
      </c>
      <c r="L1080" s="169">
        <v>30</v>
      </c>
      <c r="M1080" s="168"/>
      <c r="N1080" s="168"/>
      <c r="O1080" s="168"/>
      <c r="P1080" s="168"/>
      <c r="Q1080" s="168" t="s">
        <v>0</v>
      </c>
      <c r="R1080" s="168" t="s">
        <v>1</v>
      </c>
      <c r="S1080" s="178" t="str">
        <f t="shared" si="50"/>
        <v>D_ISSUE_INSTRUMENTRECORD_CREATE_TS</v>
      </c>
    </row>
    <row r="1081" spans="1:19" ht="14.4" x14ac:dyDescent="0.3">
      <c r="A1081" s="169" t="s">
        <v>1826</v>
      </c>
      <c r="B1081" s="171" t="str">
        <f t="shared" si="48"/>
        <v>D_ISSUE_INSTRUMENT</v>
      </c>
      <c r="C1081" s="169" t="s">
        <v>429</v>
      </c>
      <c r="D1081" s="169">
        <v>1661</v>
      </c>
      <c r="E1081" s="169">
        <v>16</v>
      </c>
      <c r="F1081" s="169" t="s">
        <v>429</v>
      </c>
      <c r="G1081" s="169" t="s">
        <v>429</v>
      </c>
      <c r="H1081" s="169">
        <v>22</v>
      </c>
      <c r="I1081" s="136" t="str">
        <f t="shared" si="49"/>
        <v>TIMESTAMP(6)</v>
      </c>
      <c r="J1081" s="169" t="s">
        <v>1</v>
      </c>
      <c r="K1081" s="169" t="s">
        <v>1</v>
      </c>
      <c r="L1081" s="169">
        <v>30</v>
      </c>
      <c r="M1081" s="168"/>
      <c r="N1081" s="168"/>
      <c r="O1081" s="168"/>
      <c r="P1081" s="168"/>
      <c r="Q1081" s="168" t="s">
        <v>0</v>
      </c>
      <c r="R1081" s="168" t="s">
        <v>1</v>
      </c>
      <c r="S1081" s="178" t="str">
        <f t="shared" si="50"/>
        <v>D_ISSUE_INSTRUMENTRECORD_UPDATE_TS</v>
      </c>
    </row>
    <row r="1082" spans="1:19" ht="14.4" x14ac:dyDescent="0.3">
      <c r="A1082" s="169" t="s">
        <v>1826</v>
      </c>
      <c r="B1082" s="171" t="str">
        <f t="shared" si="48"/>
        <v>D_ISSUE_INSTRUMENT</v>
      </c>
      <c r="C1082" s="169" t="s">
        <v>1922</v>
      </c>
      <c r="D1082" s="169">
        <v>1662</v>
      </c>
      <c r="E1082" s="169">
        <v>17</v>
      </c>
      <c r="F1082" s="169" t="s">
        <v>1922</v>
      </c>
      <c r="G1082" s="169" t="s">
        <v>1922</v>
      </c>
      <c r="H1082" s="169">
        <v>14</v>
      </c>
      <c r="I1082" s="136" t="str">
        <f t="shared" si="49"/>
        <v xml:space="preserve">CHAR(3) </v>
      </c>
      <c r="J1082" s="169" t="s">
        <v>0</v>
      </c>
      <c r="K1082" s="169" t="s">
        <v>1</v>
      </c>
      <c r="L1082" s="169">
        <v>30</v>
      </c>
      <c r="M1082" s="168"/>
      <c r="N1082" s="168"/>
      <c r="O1082" s="168"/>
      <c r="P1082" s="168"/>
      <c r="Q1082" s="168" t="s">
        <v>0</v>
      </c>
      <c r="R1082" s="168" t="s">
        <v>1</v>
      </c>
      <c r="S1082" s="178" t="str">
        <f t="shared" si="50"/>
        <v>D_ISSUE_INSTRUMENTREGULATORY_PRODUCT_CD</v>
      </c>
    </row>
    <row r="1083" spans="1:19" ht="14.4" x14ac:dyDescent="0.3">
      <c r="A1083" s="169" t="s">
        <v>1826</v>
      </c>
      <c r="B1083" s="171" t="str">
        <f t="shared" si="48"/>
        <v>D_ISSUE_INSTRUMENT</v>
      </c>
      <c r="C1083" s="169" t="s">
        <v>1923</v>
      </c>
      <c r="D1083" s="169">
        <v>1663</v>
      </c>
      <c r="E1083" s="169">
        <v>18</v>
      </c>
      <c r="F1083" s="169" t="s">
        <v>1923</v>
      </c>
      <c r="G1083" s="169" t="s">
        <v>1923</v>
      </c>
      <c r="H1083" s="169">
        <v>39</v>
      </c>
      <c r="I1083" s="136" t="str">
        <f t="shared" si="49"/>
        <v xml:space="preserve">VARCHAR(512) </v>
      </c>
      <c r="J1083" s="169" t="s">
        <v>0</v>
      </c>
      <c r="K1083" s="169" t="s">
        <v>1</v>
      </c>
      <c r="L1083" s="169">
        <v>30</v>
      </c>
      <c r="M1083" s="168"/>
      <c r="N1083" s="168"/>
      <c r="O1083" s="168"/>
      <c r="P1083" s="168"/>
      <c r="Q1083" s="168" t="s">
        <v>0</v>
      </c>
      <c r="R1083" s="168" t="s">
        <v>1</v>
      </c>
      <c r="S1083" s="178" t="str">
        <f t="shared" si="50"/>
        <v>D_ISSUE_INSTRUMENTREP_CLASS</v>
      </c>
    </row>
    <row r="1084" spans="1:19" ht="14.4" x14ac:dyDescent="0.3">
      <c r="A1084" s="169" t="s">
        <v>1826</v>
      </c>
      <c r="B1084" s="171" t="str">
        <f t="shared" si="48"/>
        <v>D_ISSUE_INSTRUMENT</v>
      </c>
      <c r="C1084" s="169" t="s">
        <v>498</v>
      </c>
      <c r="D1084" s="169">
        <v>1664</v>
      </c>
      <c r="E1084" s="169">
        <v>19</v>
      </c>
      <c r="F1084" s="169" t="s">
        <v>498</v>
      </c>
      <c r="G1084" s="169" t="s">
        <v>498</v>
      </c>
      <c r="H1084" s="169">
        <v>7</v>
      </c>
      <c r="I1084" s="136" t="str">
        <f t="shared" si="49"/>
        <v>BIGINT</v>
      </c>
      <c r="J1084" s="169" t="s">
        <v>0</v>
      </c>
      <c r="K1084" s="169" t="s">
        <v>0</v>
      </c>
      <c r="L1084" s="169">
        <v>30</v>
      </c>
      <c r="M1084" s="168"/>
      <c r="N1084" s="168"/>
      <c r="O1084" s="168"/>
      <c r="P1084" s="168"/>
      <c r="Q1084" s="168" t="s">
        <v>0</v>
      </c>
      <c r="R1084" s="168" t="s">
        <v>1</v>
      </c>
      <c r="S1084" s="178" t="str">
        <f t="shared" si="50"/>
        <v>D_ISSUE_INSTRUMENTRUN_ID</v>
      </c>
    </row>
    <row r="1085" spans="1:19" ht="14.4" x14ac:dyDescent="0.3">
      <c r="A1085" s="169" t="s">
        <v>1826</v>
      </c>
      <c r="B1085" s="171" t="str">
        <f t="shared" si="48"/>
        <v>D_ISSUE_INSTRUMENT</v>
      </c>
      <c r="C1085" s="169" t="s">
        <v>1887</v>
      </c>
      <c r="D1085" s="169">
        <v>1665</v>
      </c>
      <c r="E1085" s="169">
        <v>20</v>
      </c>
      <c r="F1085" s="169" t="s">
        <v>1887</v>
      </c>
      <c r="G1085" s="169" t="s">
        <v>1887</v>
      </c>
      <c r="H1085" s="169">
        <v>34</v>
      </c>
      <c r="I1085" s="136" t="str">
        <f t="shared" si="49"/>
        <v>DATE</v>
      </c>
      <c r="J1085" s="169" t="s">
        <v>0</v>
      </c>
      <c r="K1085" s="169" t="s">
        <v>0</v>
      </c>
      <c r="L1085" s="169">
        <v>30</v>
      </c>
      <c r="M1085" s="168"/>
      <c r="N1085" s="168"/>
      <c r="O1085" s="168"/>
      <c r="P1085" s="168"/>
      <c r="Q1085" s="168" t="s">
        <v>0</v>
      </c>
      <c r="R1085" s="168" t="s">
        <v>1</v>
      </c>
      <c r="S1085" s="178" t="str">
        <f t="shared" si="50"/>
        <v>D_ISSUE_INSTRUMENTVALIDITY_DATE</v>
      </c>
    </row>
    <row r="1086" spans="1:19" ht="14.4" x14ac:dyDescent="0.3">
      <c r="A1086" s="169" t="s">
        <v>1842</v>
      </c>
      <c r="B1086" s="171" t="str">
        <f t="shared" si="48"/>
        <v>D_ISSUE_RECEIVABLE</v>
      </c>
      <c r="C1086" s="169" t="s">
        <v>1924</v>
      </c>
      <c r="D1086" s="169">
        <v>476</v>
      </c>
      <c r="E1086" s="169">
        <v>1</v>
      </c>
      <c r="F1086" s="169" t="s">
        <v>1924</v>
      </c>
      <c r="G1086" s="169" t="s">
        <v>1924</v>
      </c>
      <c r="H1086" s="169">
        <v>51</v>
      </c>
      <c r="I1086" s="136" t="str">
        <f t="shared" si="49"/>
        <v>DECIMAL(9, 6)</v>
      </c>
      <c r="J1086" s="169" t="s">
        <v>0</v>
      </c>
      <c r="K1086" s="169" t="s">
        <v>1</v>
      </c>
      <c r="L1086" s="169">
        <v>30</v>
      </c>
      <c r="M1086" s="168"/>
      <c r="N1086" s="168"/>
      <c r="O1086" s="168"/>
      <c r="P1086" s="168"/>
      <c r="Q1086" s="168" t="s">
        <v>0</v>
      </c>
      <c r="R1086" s="168" t="s">
        <v>1</v>
      </c>
      <c r="S1086" s="178" t="str">
        <f t="shared" si="50"/>
        <v>D_ISSUE_RECEIVABLEDILUTION_EXPECTED_LOSS_PERCENT</v>
      </c>
    </row>
    <row r="1087" spans="1:19" ht="14.4" x14ac:dyDescent="0.3">
      <c r="A1087" s="169" t="s">
        <v>1842</v>
      </c>
      <c r="B1087" s="171" t="str">
        <f t="shared" si="48"/>
        <v>D_ISSUE_RECEIVABLE</v>
      </c>
      <c r="C1087" s="169" t="s">
        <v>1914</v>
      </c>
      <c r="D1087" s="169">
        <v>477</v>
      </c>
      <c r="E1087" s="169">
        <v>2</v>
      </c>
      <c r="F1087" s="169" t="s">
        <v>1914</v>
      </c>
      <c r="G1087" s="169" t="s">
        <v>1914</v>
      </c>
      <c r="H1087" s="169">
        <v>6</v>
      </c>
      <c r="I1087" s="136" t="str">
        <f t="shared" si="49"/>
        <v>SMALLINT</v>
      </c>
      <c r="J1087" s="169" t="s">
        <v>0</v>
      </c>
      <c r="K1087" s="169" t="s">
        <v>1</v>
      </c>
      <c r="L1087" s="169">
        <v>30</v>
      </c>
      <c r="M1087" s="168"/>
      <c r="N1087" s="168"/>
      <c r="O1087" s="168"/>
      <c r="P1087" s="168"/>
      <c r="Q1087" s="168" t="s">
        <v>0</v>
      </c>
      <c r="R1087" s="168" t="s">
        <v>1</v>
      </c>
      <c r="S1087" s="178" t="str">
        <f t="shared" si="50"/>
        <v>D_ISSUE_RECEIVABLEEFFECTIVE_MATURITY_YEAR</v>
      </c>
    </row>
    <row r="1088" spans="1:19" ht="14.4" x14ac:dyDescent="0.3">
      <c r="A1088" s="169" t="s">
        <v>1842</v>
      </c>
      <c r="B1088" s="171" t="str">
        <f t="shared" si="48"/>
        <v>D_ISSUE_RECEIVABLE</v>
      </c>
      <c r="C1088" s="169" t="s">
        <v>1875</v>
      </c>
      <c r="D1088" s="169">
        <v>478</v>
      </c>
      <c r="E1088" s="169">
        <v>3</v>
      </c>
      <c r="F1088" s="169" t="s">
        <v>1875</v>
      </c>
      <c r="G1088" s="169" t="s">
        <v>1875</v>
      </c>
      <c r="H1088" s="169">
        <v>22</v>
      </c>
      <c r="I1088" s="136" t="str">
        <f t="shared" si="49"/>
        <v>TIMESTAMP(6)</v>
      </c>
      <c r="J1088" s="169" t="s">
        <v>1</v>
      </c>
      <c r="K1088" s="169" t="s">
        <v>0</v>
      </c>
      <c r="L1088" s="169">
        <v>30</v>
      </c>
      <c r="M1088" s="168"/>
      <c r="N1088" s="168"/>
      <c r="O1088" s="168"/>
      <c r="P1088" s="168"/>
      <c r="Q1088" s="168" t="s">
        <v>0</v>
      </c>
      <c r="R1088" s="168" t="s">
        <v>1</v>
      </c>
      <c r="S1088" s="178" t="str">
        <f t="shared" si="50"/>
        <v>D_ISSUE_RECEIVABLEEXTRACTION_TS</v>
      </c>
    </row>
    <row r="1089" spans="1:19" ht="14.4" x14ac:dyDescent="0.3">
      <c r="A1089" s="169" t="s">
        <v>1842</v>
      </c>
      <c r="B1089" s="171" t="str">
        <f t="shared" si="48"/>
        <v>D_ISSUE_RECEIVABLE</v>
      </c>
      <c r="C1089" s="169" t="s">
        <v>1916</v>
      </c>
      <c r="D1089" s="169">
        <v>479</v>
      </c>
      <c r="E1089" s="169">
        <v>4</v>
      </c>
      <c r="F1089" s="169" t="s">
        <v>1916</v>
      </c>
      <c r="G1089" s="169" t="s">
        <v>1916</v>
      </c>
      <c r="H1089" s="169">
        <v>52</v>
      </c>
      <c r="I1089" s="136" t="str">
        <f t="shared" si="49"/>
        <v>DECIMAL(18, 6)</v>
      </c>
      <c r="J1089" s="169" t="s">
        <v>0</v>
      </c>
      <c r="K1089" s="169" t="s">
        <v>1</v>
      </c>
      <c r="L1089" s="169">
        <v>30</v>
      </c>
      <c r="M1089" s="168"/>
      <c r="N1089" s="168"/>
      <c r="O1089" s="168"/>
      <c r="P1089" s="168"/>
      <c r="Q1089" s="168" t="s">
        <v>0</v>
      </c>
      <c r="R1089" s="168" t="s">
        <v>1</v>
      </c>
      <c r="S1089" s="178" t="str">
        <f t="shared" si="50"/>
        <v>D_ISSUE_RECEIVABLEINTEREST_RATE</v>
      </c>
    </row>
    <row r="1090" spans="1:19" ht="14.4" x14ac:dyDescent="0.3">
      <c r="A1090" s="169" t="s">
        <v>1842</v>
      </c>
      <c r="B1090" s="171" t="str">
        <f t="shared" ref="B1090:B1153" si="51">IF(NOT(ISBLANK(A1090)),VLOOKUP(A1090,ERM_TABLE_NM,2,FALSE), "")</f>
        <v>D_ISSUE_RECEIVABLE</v>
      </c>
      <c r="C1090" s="169" t="s">
        <v>1877</v>
      </c>
      <c r="D1090" s="169">
        <v>480</v>
      </c>
      <c r="E1090" s="169">
        <v>5</v>
      </c>
      <c r="F1090" s="169" t="s">
        <v>1877</v>
      </c>
      <c r="G1090" s="169" t="s">
        <v>1877</v>
      </c>
      <c r="H1090" s="169">
        <v>32</v>
      </c>
      <c r="I1090" s="136" t="str">
        <f t="shared" ref="I1090:I1153" si="52">IF(NOT(ISBLANK(H1090)),VLOOKUP(H1090,ERM_DOMAIN_NM,2,FALSE), "")</f>
        <v>BYTEINT</v>
      </c>
      <c r="J1090" s="169" t="s">
        <v>0</v>
      </c>
      <c r="K1090" s="169" t="s">
        <v>1</v>
      </c>
      <c r="L1090" s="169">
        <v>30</v>
      </c>
      <c r="M1090" s="168"/>
      <c r="N1090" s="168"/>
      <c r="O1090" s="168"/>
      <c r="P1090" s="168"/>
      <c r="Q1090" s="168" t="s">
        <v>0</v>
      </c>
      <c r="R1090" s="168" t="s">
        <v>1</v>
      </c>
      <c r="S1090" s="178" t="str">
        <f t="shared" si="50"/>
        <v>D_ISSUE_RECEIVABLEIN_DEFAULT_FLG</v>
      </c>
    </row>
    <row r="1091" spans="1:19" ht="14.4" x14ac:dyDescent="0.3">
      <c r="A1091" s="169" t="s">
        <v>1842</v>
      </c>
      <c r="B1091" s="171" t="str">
        <f t="shared" si="51"/>
        <v>D_ISSUE_RECEIVABLE</v>
      </c>
      <c r="C1091" s="169" t="s">
        <v>1917</v>
      </c>
      <c r="D1091" s="169">
        <v>481</v>
      </c>
      <c r="E1091" s="169">
        <v>6</v>
      </c>
      <c r="F1091" s="169" t="s">
        <v>1917</v>
      </c>
      <c r="G1091" s="169" t="s">
        <v>1917</v>
      </c>
      <c r="H1091" s="169">
        <v>32</v>
      </c>
      <c r="I1091" s="136" t="str">
        <f t="shared" si="52"/>
        <v>BYTEINT</v>
      </c>
      <c r="J1091" s="169" t="s">
        <v>0</v>
      </c>
      <c r="K1091" s="169" t="s">
        <v>1</v>
      </c>
      <c r="L1091" s="169">
        <v>30</v>
      </c>
      <c r="M1091" s="168"/>
      <c r="N1091" s="168"/>
      <c r="O1091" s="168"/>
      <c r="P1091" s="168"/>
      <c r="Q1091" s="168" t="s">
        <v>0</v>
      </c>
      <c r="R1091" s="168" t="s">
        <v>1</v>
      </c>
      <c r="S1091" s="178" t="str">
        <f t="shared" ref="S1091:S1154" si="53">CONCATENATE(A1091,C1091)</f>
        <v>D_ISSUE_RECEIVABLEIN_PAST_DUE_FLG</v>
      </c>
    </row>
    <row r="1092" spans="1:19" ht="14.4" x14ac:dyDescent="0.3">
      <c r="A1092" s="169" t="s">
        <v>1842</v>
      </c>
      <c r="B1092" s="171" t="str">
        <f t="shared" si="51"/>
        <v>D_ISSUE_RECEIVABLE</v>
      </c>
      <c r="C1092" s="169" t="s">
        <v>1925</v>
      </c>
      <c r="D1092" s="169">
        <v>482</v>
      </c>
      <c r="E1092" s="169">
        <v>7</v>
      </c>
      <c r="F1092" s="169" t="s">
        <v>1925</v>
      </c>
      <c r="G1092" s="169" t="s">
        <v>1925</v>
      </c>
      <c r="H1092" s="169">
        <v>45</v>
      </c>
      <c r="I1092" s="136" t="str">
        <f t="shared" si="52"/>
        <v>DECIMAL(15, 0)</v>
      </c>
      <c r="J1092" s="169" t="s">
        <v>0</v>
      </c>
      <c r="K1092" s="169" t="s">
        <v>1</v>
      </c>
      <c r="L1092" s="169">
        <v>30</v>
      </c>
      <c r="M1092" s="168"/>
      <c r="N1092" s="168"/>
      <c r="O1092" s="168"/>
      <c r="P1092" s="168"/>
      <c r="Q1092" s="168" t="s">
        <v>0</v>
      </c>
      <c r="R1092" s="168" t="s">
        <v>1</v>
      </c>
      <c r="S1092" s="178" t="str">
        <f t="shared" si="53"/>
        <v>D_ISSUE_RECEIVABLEISSUER_COUNTERPARTY_RK</v>
      </c>
    </row>
    <row r="1093" spans="1:19" ht="14.4" x14ac:dyDescent="0.3">
      <c r="A1093" s="169" t="s">
        <v>1842</v>
      </c>
      <c r="B1093" s="171" t="str">
        <f t="shared" si="51"/>
        <v>D_ISSUE_RECEIVABLE</v>
      </c>
      <c r="C1093" s="169" t="s">
        <v>1890</v>
      </c>
      <c r="D1093" s="169">
        <v>483</v>
      </c>
      <c r="E1093" s="169">
        <v>8</v>
      </c>
      <c r="F1093" s="169" t="s">
        <v>1890</v>
      </c>
      <c r="G1093" s="169" t="s">
        <v>1890</v>
      </c>
      <c r="H1093" s="169">
        <v>9</v>
      </c>
      <c r="I1093" s="136" t="str">
        <f t="shared" si="52"/>
        <v xml:space="preserve">CHAR(32) </v>
      </c>
      <c r="J1093" s="169" t="s">
        <v>0</v>
      </c>
      <c r="K1093" s="169" t="s">
        <v>0</v>
      </c>
      <c r="L1093" s="169">
        <v>30</v>
      </c>
      <c r="M1093" s="168"/>
      <c r="N1093" s="168"/>
      <c r="O1093" s="168"/>
      <c r="P1093" s="168"/>
      <c r="Q1093" s="168" t="s">
        <v>0</v>
      </c>
      <c r="R1093" s="168" t="s">
        <v>1</v>
      </c>
      <c r="S1093" s="178" t="str">
        <f t="shared" si="53"/>
        <v>D_ISSUE_RECEIVABLEISSUE_KEY</v>
      </c>
    </row>
    <row r="1094" spans="1:19" ht="14.4" x14ac:dyDescent="0.3">
      <c r="A1094" s="169" t="s">
        <v>1842</v>
      </c>
      <c r="B1094" s="171" t="str">
        <f t="shared" si="51"/>
        <v>D_ISSUE_RECEIVABLE</v>
      </c>
      <c r="C1094" s="169" t="s">
        <v>552</v>
      </c>
      <c r="D1094" s="169">
        <v>484</v>
      </c>
      <c r="E1094" s="169">
        <v>9</v>
      </c>
      <c r="F1094" s="169" t="s">
        <v>552</v>
      </c>
      <c r="G1094" s="169" t="s">
        <v>552</v>
      </c>
      <c r="H1094" s="169">
        <v>46</v>
      </c>
      <c r="I1094" s="136" t="str">
        <f t="shared" si="52"/>
        <v>DECIMAL(7, 4)</v>
      </c>
      <c r="J1094" s="169" t="s">
        <v>0</v>
      </c>
      <c r="K1094" s="169" t="s">
        <v>1</v>
      </c>
      <c r="L1094" s="169">
        <v>30</v>
      </c>
      <c r="M1094" s="168"/>
      <c r="N1094" s="168"/>
      <c r="O1094" s="168"/>
      <c r="P1094" s="168"/>
      <c r="Q1094" s="168" t="s">
        <v>0</v>
      </c>
      <c r="R1094" s="168" t="s">
        <v>1</v>
      </c>
      <c r="S1094" s="178" t="str">
        <f t="shared" si="53"/>
        <v>D_ISSUE_RECEIVABLELGD_INDEFAULT_PCT</v>
      </c>
    </row>
    <row r="1095" spans="1:19" ht="14.4" x14ac:dyDescent="0.3">
      <c r="A1095" s="169" t="s">
        <v>1842</v>
      </c>
      <c r="B1095" s="171" t="str">
        <f t="shared" si="51"/>
        <v>D_ISSUE_RECEIVABLE</v>
      </c>
      <c r="C1095" s="169" t="s">
        <v>551</v>
      </c>
      <c r="D1095" s="169">
        <v>485</v>
      </c>
      <c r="E1095" s="169">
        <v>10</v>
      </c>
      <c r="F1095" s="169" t="s">
        <v>551</v>
      </c>
      <c r="G1095" s="169" t="s">
        <v>551</v>
      </c>
      <c r="H1095" s="169">
        <v>46</v>
      </c>
      <c r="I1095" s="136" t="str">
        <f t="shared" si="52"/>
        <v>DECIMAL(7, 4)</v>
      </c>
      <c r="J1095" s="169" t="s">
        <v>0</v>
      </c>
      <c r="K1095" s="169" t="s">
        <v>1</v>
      </c>
      <c r="L1095" s="169">
        <v>30</v>
      </c>
      <c r="M1095" s="168"/>
      <c r="N1095" s="168"/>
      <c r="O1095" s="168"/>
      <c r="P1095" s="168"/>
      <c r="Q1095" s="168" t="s">
        <v>0</v>
      </c>
      <c r="R1095" s="168" t="s">
        <v>1</v>
      </c>
      <c r="S1095" s="178" t="str">
        <f t="shared" si="53"/>
        <v>D_ISSUE_RECEIVABLELGD_LONGRUN_PCT</v>
      </c>
    </row>
    <row r="1096" spans="1:19" ht="14.4" x14ac:dyDescent="0.3">
      <c r="A1096" s="169" t="s">
        <v>1842</v>
      </c>
      <c r="B1096" s="171" t="str">
        <f t="shared" si="51"/>
        <v>D_ISSUE_RECEIVABLE</v>
      </c>
      <c r="C1096" s="169" t="s">
        <v>1918</v>
      </c>
      <c r="D1096" s="169">
        <v>486</v>
      </c>
      <c r="E1096" s="169">
        <v>11</v>
      </c>
      <c r="F1096" s="169" t="s">
        <v>1918</v>
      </c>
      <c r="G1096" s="169" t="s">
        <v>1918</v>
      </c>
      <c r="H1096" s="169">
        <v>46</v>
      </c>
      <c r="I1096" s="136" t="str">
        <f t="shared" si="52"/>
        <v>DECIMAL(7, 4)</v>
      </c>
      <c r="J1096" s="169" t="s">
        <v>0</v>
      </c>
      <c r="K1096" s="169" t="s">
        <v>1</v>
      </c>
      <c r="L1096" s="169">
        <v>30</v>
      </c>
      <c r="M1096" s="168"/>
      <c r="N1096" s="168"/>
      <c r="O1096" s="168"/>
      <c r="P1096" s="168"/>
      <c r="Q1096" s="168" t="s">
        <v>0</v>
      </c>
      <c r="R1096" s="168" t="s">
        <v>1</v>
      </c>
      <c r="S1096" s="178" t="str">
        <f t="shared" si="53"/>
        <v>D_ISSUE_RECEIVABLELGD_PCT</v>
      </c>
    </row>
    <row r="1097" spans="1:19" ht="14.4" x14ac:dyDescent="0.3">
      <c r="A1097" s="169" t="s">
        <v>1842</v>
      </c>
      <c r="B1097" s="171" t="str">
        <f t="shared" si="51"/>
        <v>D_ISSUE_RECEIVABLE</v>
      </c>
      <c r="C1097" s="169" t="s">
        <v>1919</v>
      </c>
      <c r="D1097" s="169">
        <v>487</v>
      </c>
      <c r="E1097" s="169">
        <v>12</v>
      </c>
      <c r="F1097" s="169" t="s">
        <v>1919</v>
      </c>
      <c r="G1097" s="169" t="s">
        <v>1919</v>
      </c>
      <c r="H1097" s="169">
        <v>46</v>
      </c>
      <c r="I1097" s="136" t="str">
        <f t="shared" si="52"/>
        <v>DECIMAL(7, 4)</v>
      </c>
      <c r="J1097" s="169" t="s">
        <v>0</v>
      </c>
      <c r="K1097" s="169" t="s">
        <v>1</v>
      </c>
      <c r="L1097" s="169">
        <v>30</v>
      </c>
      <c r="M1097" s="168"/>
      <c r="N1097" s="168"/>
      <c r="O1097" s="168"/>
      <c r="P1097" s="168"/>
      <c r="Q1097" s="168" t="s">
        <v>0</v>
      </c>
      <c r="R1097" s="168" t="s">
        <v>1</v>
      </c>
      <c r="S1097" s="178" t="str">
        <f t="shared" si="53"/>
        <v>D_ISSUE_RECEIVABLELGD_REGULATORY_PCT</v>
      </c>
    </row>
    <row r="1098" spans="1:19" ht="14.4" x14ac:dyDescent="0.3">
      <c r="A1098" s="169" t="s">
        <v>1842</v>
      </c>
      <c r="B1098" s="171" t="str">
        <f t="shared" si="51"/>
        <v>D_ISSUE_RECEIVABLE</v>
      </c>
      <c r="C1098" s="169" t="s">
        <v>601</v>
      </c>
      <c r="D1098" s="169">
        <v>488</v>
      </c>
      <c r="E1098" s="169">
        <v>13</v>
      </c>
      <c r="F1098" s="169" t="s">
        <v>601</v>
      </c>
      <c r="G1098" s="169" t="s">
        <v>601</v>
      </c>
      <c r="H1098" s="169">
        <v>48</v>
      </c>
      <c r="I1098" s="136" t="str">
        <f t="shared" si="52"/>
        <v xml:space="preserve">VARCHAR(50) </v>
      </c>
      <c r="J1098" s="169" t="s">
        <v>0</v>
      </c>
      <c r="K1098" s="169" t="s">
        <v>1</v>
      </c>
      <c r="L1098" s="169">
        <v>30</v>
      </c>
      <c r="M1098" s="168"/>
      <c r="N1098" s="168"/>
      <c r="O1098" s="168"/>
      <c r="P1098" s="168"/>
      <c r="Q1098" s="168" t="s">
        <v>0</v>
      </c>
      <c r="R1098" s="168" t="s">
        <v>1</v>
      </c>
      <c r="S1098" s="178" t="str">
        <f t="shared" si="53"/>
        <v>D_ISSUE_RECEIVABLELOCAL_EXP_CLASS</v>
      </c>
    </row>
    <row r="1099" spans="1:19" ht="14.4" x14ac:dyDescent="0.3">
      <c r="A1099" s="169" t="s">
        <v>1842</v>
      </c>
      <c r="B1099" s="171" t="str">
        <f t="shared" si="51"/>
        <v>D_ISSUE_RECEIVABLE</v>
      </c>
      <c r="C1099" s="169" t="s">
        <v>1920</v>
      </c>
      <c r="D1099" s="169">
        <v>489</v>
      </c>
      <c r="E1099" s="169">
        <v>14</v>
      </c>
      <c r="F1099" s="169" t="s">
        <v>1920</v>
      </c>
      <c r="G1099" s="169" t="s">
        <v>1920</v>
      </c>
      <c r="H1099" s="169">
        <v>34</v>
      </c>
      <c r="I1099" s="136" t="str">
        <f t="shared" si="52"/>
        <v>DATE</v>
      </c>
      <c r="J1099" s="169" t="s">
        <v>0</v>
      </c>
      <c r="K1099" s="169" t="s">
        <v>1</v>
      </c>
      <c r="L1099" s="169">
        <v>30</v>
      </c>
      <c r="M1099" s="168"/>
      <c r="N1099" s="168"/>
      <c r="O1099" s="168"/>
      <c r="P1099" s="168"/>
      <c r="Q1099" s="168" t="s">
        <v>0</v>
      </c>
      <c r="R1099" s="168" t="s">
        <v>1</v>
      </c>
      <c r="S1099" s="178" t="str">
        <f t="shared" si="53"/>
        <v>D_ISSUE_RECEIVABLEMATURITY_DATE</v>
      </c>
    </row>
    <row r="1100" spans="1:19" ht="14.4" x14ac:dyDescent="0.3">
      <c r="A1100" s="169" t="s">
        <v>1842</v>
      </c>
      <c r="B1100" s="171" t="str">
        <f t="shared" si="51"/>
        <v>D_ISSUE_RECEIVABLE</v>
      </c>
      <c r="C1100" s="169" t="s">
        <v>870</v>
      </c>
      <c r="D1100" s="169">
        <v>490</v>
      </c>
      <c r="E1100" s="169">
        <v>15</v>
      </c>
      <c r="F1100" s="169" t="s">
        <v>870</v>
      </c>
      <c r="G1100" s="169" t="s">
        <v>870</v>
      </c>
      <c r="H1100" s="169">
        <v>50</v>
      </c>
      <c r="I1100" s="136" t="str">
        <f t="shared" si="52"/>
        <v xml:space="preserve">VARCHAR(20) </v>
      </c>
      <c r="J1100" s="169" t="s">
        <v>0</v>
      </c>
      <c r="K1100" s="169" t="s">
        <v>1</v>
      </c>
      <c r="L1100" s="169">
        <v>30</v>
      </c>
      <c r="M1100" s="168"/>
      <c r="N1100" s="168"/>
      <c r="O1100" s="168"/>
      <c r="P1100" s="168"/>
      <c r="Q1100" s="168" t="s">
        <v>0</v>
      </c>
      <c r="R1100" s="168" t="s">
        <v>1</v>
      </c>
      <c r="S1100" s="178" t="str">
        <f t="shared" si="53"/>
        <v>D_ISSUE_RECEIVABLEPD_MODEL_RATING_GRADE</v>
      </c>
    </row>
    <row r="1101" spans="1:19" ht="14.4" x14ac:dyDescent="0.3">
      <c r="A1101" s="169" t="s">
        <v>1842</v>
      </c>
      <c r="B1101" s="171" t="str">
        <f t="shared" si="51"/>
        <v>D_ISSUE_RECEIVABLE</v>
      </c>
      <c r="C1101" s="169" t="s">
        <v>338</v>
      </c>
      <c r="D1101" s="169">
        <v>491</v>
      </c>
      <c r="E1101" s="169">
        <v>16</v>
      </c>
      <c r="F1101" s="169" t="s">
        <v>338</v>
      </c>
      <c r="G1101" s="169" t="s">
        <v>338</v>
      </c>
      <c r="H1101" s="169">
        <v>51</v>
      </c>
      <c r="I1101" s="136" t="str">
        <f t="shared" si="52"/>
        <v>DECIMAL(9, 6)</v>
      </c>
      <c r="J1101" s="169" t="s">
        <v>0</v>
      </c>
      <c r="K1101" s="169" t="s">
        <v>1</v>
      </c>
      <c r="L1101" s="169">
        <v>30</v>
      </c>
      <c r="M1101" s="168"/>
      <c r="N1101" s="168"/>
      <c r="O1101" s="168"/>
      <c r="P1101" s="168"/>
      <c r="Q1101" s="168" t="s">
        <v>0</v>
      </c>
      <c r="R1101" s="168" t="s">
        <v>1</v>
      </c>
      <c r="S1101" s="178" t="str">
        <f t="shared" si="53"/>
        <v>D_ISSUE_RECEIVABLEPD_PCT</v>
      </c>
    </row>
    <row r="1102" spans="1:19" ht="14.4" x14ac:dyDescent="0.3">
      <c r="A1102" s="169" t="s">
        <v>1842</v>
      </c>
      <c r="B1102" s="171" t="str">
        <f t="shared" si="51"/>
        <v>D_ISSUE_RECEIVABLE</v>
      </c>
      <c r="C1102" s="169" t="s">
        <v>1878</v>
      </c>
      <c r="D1102" s="169">
        <v>492</v>
      </c>
      <c r="E1102" s="169">
        <v>17</v>
      </c>
      <c r="F1102" s="169" t="s">
        <v>1878</v>
      </c>
      <c r="G1102" s="169" t="s">
        <v>1878</v>
      </c>
      <c r="H1102" s="169">
        <v>51</v>
      </c>
      <c r="I1102" s="136" t="str">
        <f t="shared" si="52"/>
        <v>DECIMAL(9, 6)</v>
      </c>
      <c r="J1102" s="169" t="s">
        <v>0</v>
      </c>
      <c r="K1102" s="169" t="s">
        <v>1</v>
      </c>
      <c r="L1102" s="169">
        <v>30</v>
      </c>
      <c r="M1102" s="168"/>
      <c r="N1102" s="168"/>
      <c r="O1102" s="168"/>
      <c r="P1102" s="168"/>
      <c r="Q1102" s="168" t="s">
        <v>0</v>
      </c>
      <c r="R1102" s="168" t="s">
        <v>1</v>
      </c>
      <c r="S1102" s="178" t="str">
        <f t="shared" si="53"/>
        <v>D_ISSUE_RECEIVABLEPD_PCT_REG</v>
      </c>
    </row>
    <row r="1103" spans="1:19" ht="14.4" x14ac:dyDescent="0.3">
      <c r="A1103" s="169" t="s">
        <v>1842</v>
      </c>
      <c r="B1103" s="171" t="str">
        <f t="shared" si="51"/>
        <v>D_ISSUE_RECEIVABLE</v>
      </c>
      <c r="C1103" s="169" t="s">
        <v>437</v>
      </c>
      <c r="D1103" s="169">
        <v>493</v>
      </c>
      <c r="E1103" s="169">
        <v>18</v>
      </c>
      <c r="F1103" s="169" t="s">
        <v>437</v>
      </c>
      <c r="G1103" s="169" t="s">
        <v>437</v>
      </c>
      <c r="H1103" s="169">
        <v>51</v>
      </c>
      <c r="I1103" s="136" t="str">
        <f t="shared" si="52"/>
        <v>DECIMAL(9, 6)</v>
      </c>
      <c r="J1103" s="169" t="s">
        <v>0</v>
      </c>
      <c r="K1103" s="169" t="s">
        <v>1</v>
      </c>
      <c r="L1103" s="169">
        <v>30</v>
      </c>
      <c r="M1103" s="168"/>
      <c r="N1103" s="168"/>
      <c r="O1103" s="168"/>
      <c r="P1103" s="168"/>
      <c r="Q1103" s="168" t="s">
        <v>0</v>
      </c>
      <c r="R1103" s="168" t="s">
        <v>1</v>
      </c>
      <c r="S1103" s="178" t="str">
        <f t="shared" si="53"/>
        <v>D_ISSUE_RECEIVABLEPD_TTC_PCT</v>
      </c>
    </row>
    <row r="1104" spans="1:19" ht="14.4" x14ac:dyDescent="0.3">
      <c r="A1104" s="169" t="s">
        <v>1842</v>
      </c>
      <c r="B1104" s="171" t="str">
        <f t="shared" si="51"/>
        <v>D_ISSUE_RECEIVABLE</v>
      </c>
      <c r="C1104" s="169" t="s">
        <v>1921</v>
      </c>
      <c r="D1104" s="169">
        <v>494</v>
      </c>
      <c r="E1104" s="169">
        <v>19</v>
      </c>
      <c r="F1104" s="169" t="s">
        <v>1921</v>
      </c>
      <c r="G1104" s="169" t="s">
        <v>1921</v>
      </c>
      <c r="H1104" s="169">
        <v>40</v>
      </c>
      <c r="I1104" s="136" t="str">
        <f t="shared" si="52"/>
        <v>DECIMAL(26, 4)</v>
      </c>
      <c r="J1104" s="169" t="s">
        <v>0</v>
      </c>
      <c r="K1104" s="169" t="s">
        <v>1</v>
      </c>
      <c r="L1104" s="169">
        <v>30</v>
      </c>
      <c r="M1104" s="168"/>
      <c r="N1104" s="168"/>
      <c r="O1104" s="168"/>
      <c r="P1104" s="168"/>
      <c r="Q1104" s="168" t="s">
        <v>0</v>
      </c>
      <c r="R1104" s="168" t="s">
        <v>1</v>
      </c>
      <c r="S1104" s="178" t="str">
        <f t="shared" si="53"/>
        <v>D_ISSUE_RECEIVABLEPROVISIONS_AMT</v>
      </c>
    </row>
    <row r="1105" spans="1:19" ht="14.4" x14ac:dyDescent="0.3">
      <c r="A1105" s="169" t="s">
        <v>1842</v>
      </c>
      <c r="B1105" s="171" t="str">
        <f t="shared" si="51"/>
        <v>D_ISSUE_RECEIVABLE</v>
      </c>
      <c r="C1105" s="169" t="s">
        <v>440</v>
      </c>
      <c r="D1105" s="169">
        <v>495</v>
      </c>
      <c r="E1105" s="169">
        <v>20</v>
      </c>
      <c r="F1105" s="169" t="s">
        <v>440</v>
      </c>
      <c r="G1105" s="169" t="s">
        <v>440</v>
      </c>
      <c r="H1105" s="169">
        <v>22</v>
      </c>
      <c r="I1105" s="136" t="str">
        <f t="shared" si="52"/>
        <v>TIMESTAMP(6)</v>
      </c>
      <c r="J1105" s="169" t="s">
        <v>1</v>
      </c>
      <c r="K1105" s="169" t="s">
        <v>1</v>
      </c>
      <c r="L1105" s="169">
        <v>30</v>
      </c>
      <c r="M1105" s="168"/>
      <c r="N1105" s="168"/>
      <c r="O1105" s="168"/>
      <c r="P1105" s="168"/>
      <c r="Q1105" s="168" t="s">
        <v>0</v>
      </c>
      <c r="R1105" s="168" t="s">
        <v>1</v>
      </c>
      <c r="S1105" s="178" t="str">
        <f t="shared" si="53"/>
        <v>D_ISSUE_RECEIVABLERECORD_CREATE_TS</v>
      </c>
    </row>
    <row r="1106" spans="1:19" ht="14.4" x14ac:dyDescent="0.3">
      <c r="A1106" s="169" t="s">
        <v>1842</v>
      </c>
      <c r="B1106" s="171" t="str">
        <f t="shared" si="51"/>
        <v>D_ISSUE_RECEIVABLE</v>
      </c>
      <c r="C1106" s="169" t="s">
        <v>429</v>
      </c>
      <c r="D1106" s="169">
        <v>496</v>
      </c>
      <c r="E1106" s="169">
        <v>21</v>
      </c>
      <c r="F1106" s="169" t="s">
        <v>429</v>
      </c>
      <c r="G1106" s="169" t="s">
        <v>429</v>
      </c>
      <c r="H1106" s="169">
        <v>22</v>
      </c>
      <c r="I1106" s="136" t="str">
        <f t="shared" si="52"/>
        <v>TIMESTAMP(6)</v>
      </c>
      <c r="J1106" s="169" t="s">
        <v>1</v>
      </c>
      <c r="K1106" s="169" t="s">
        <v>1</v>
      </c>
      <c r="L1106" s="169">
        <v>30</v>
      </c>
      <c r="M1106" s="168"/>
      <c r="N1106" s="168"/>
      <c r="O1106" s="168"/>
      <c r="P1106" s="168"/>
      <c r="Q1106" s="168" t="s">
        <v>0</v>
      </c>
      <c r="R1106" s="168" t="s">
        <v>1</v>
      </c>
      <c r="S1106" s="178" t="str">
        <f t="shared" si="53"/>
        <v>D_ISSUE_RECEIVABLERECORD_UPDATE_TS</v>
      </c>
    </row>
    <row r="1107" spans="1:19" ht="14.4" x14ac:dyDescent="0.3">
      <c r="A1107" s="169" t="s">
        <v>1842</v>
      </c>
      <c r="B1107" s="171" t="str">
        <f t="shared" si="51"/>
        <v>D_ISSUE_RECEIVABLE</v>
      </c>
      <c r="C1107" s="169" t="s">
        <v>2126</v>
      </c>
      <c r="D1107" s="169">
        <v>497</v>
      </c>
      <c r="E1107" s="169">
        <v>22</v>
      </c>
      <c r="F1107" s="169" t="s">
        <v>2126</v>
      </c>
      <c r="G1107" s="169" t="s">
        <v>2126</v>
      </c>
      <c r="H1107" s="169">
        <v>33</v>
      </c>
      <c r="I1107" s="136" t="str">
        <f t="shared" si="52"/>
        <v xml:space="preserve">VARCHAR(3) </v>
      </c>
      <c r="J1107" s="169" t="s">
        <v>0</v>
      </c>
      <c r="K1107" s="169" t="s">
        <v>1</v>
      </c>
      <c r="L1107" s="169">
        <v>30</v>
      </c>
      <c r="M1107" s="168"/>
      <c r="N1107" s="168"/>
      <c r="O1107" s="168"/>
      <c r="P1107" s="168"/>
      <c r="Q1107" s="168" t="s">
        <v>0</v>
      </c>
      <c r="R1107" s="168" t="s">
        <v>1</v>
      </c>
      <c r="S1107" s="178" t="str">
        <f t="shared" si="53"/>
        <v>D_ISSUE_RECEIVABLEREGULATORY_POOL_CPTY_TYPE_CD</v>
      </c>
    </row>
    <row r="1108" spans="1:19" ht="14.4" x14ac:dyDescent="0.3">
      <c r="A1108" s="169" t="s">
        <v>1842</v>
      </c>
      <c r="B1108" s="171" t="str">
        <f t="shared" si="51"/>
        <v>D_ISSUE_RECEIVABLE</v>
      </c>
      <c r="C1108" s="169" t="s">
        <v>1922</v>
      </c>
      <c r="D1108" s="169">
        <v>498</v>
      </c>
      <c r="E1108" s="169">
        <v>23</v>
      </c>
      <c r="F1108" s="169" t="s">
        <v>1922</v>
      </c>
      <c r="G1108" s="169" t="s">
        <v>1922</v>
      </c>
      <c r="H1108" s="169">
        <v>14</v>
      </c>
      <c r="I1108" s="136" t="str">
        <f t="shared" si="52"/>
        <v xml:space="preserve">CHAR(3) </v>
      </c>
      <c r="J1108" s="169" t="s">
        <v>0</v>
      </c>
      <c r="K1108" s="169" t="s">
        <v>1</v>
      </c>
      <c r="L1108" s="169">
        <v>30</v>
      </c>
      <c r="M1108" s="168"/>
      <c r="N1108" s="168"/>
      <c r="O1108" s="168"/>
      <c r="P1108" s="168"/>
      <c r="Q1108" s="168" t="s">
        <v>0</v>
      </c>
      <c r="R1108" s="168" t="s">
        <v>1</v>
      </c>
      <c r="S1108" s="178" t="str">
        <f t="shared" si="53"/>
        <v>D_ISSUE_RECEIVABLEREGULATORY_PRODUCT_CD</v>
      </c>
    </row>
    <row r="1109" spans="1:19" ht="14.4" x14ac:dyDescent="0.3">
      <c r="A1109" s="169" t="s">
        <v>1842</v>
      </c>
      <c r="B1109" s="171" t="str">
        <f t="shared" si="51"/>
        <v>D_ISSUE_RECEIVABLE</v>
      </c>
      <c r="C1109" s="169" t="s">
        <v>1923</v>
      </c>
      <c r="D1109" s="169">
        <v>499</v>
      </c>
      <c r="E1109" s="169">
        <v>24</v>
      </c>
      <c r="F1109" s="169" t="s">
        <v>1923</v>
      </c>
      <c r="G1109" s="169" t="s">
        <v>1923</v>
      </c>
      <c r="H1109" s="169">
        <v>39</v>
      </c>
      <c r="I1109" s="136" t="str">
        <f t="shared" si="52"/>
        <v xml:space="preserve">VARCHAR(512) </v>
      </c>
      <c r="J1109" s="169" t="s">
        <v>0</v>
      </c>
      <c r="K1109" s="169" t="s">
        <v>1</v>
      </c>
      <c r="L1109" s="169">
        <v>30</v>
      </c>
      <c r="M1109" s="168"/>
      <c r="N1109" s="168"/>
      <c r="O1109" s="168"/>
      <c r="P1109" s="168"/>
      <c r="Q1109" s="168" t="s">
        <v>0</v>
      </c>
      <c r="R1109" s="168" t="s">
        <v>1</v>
      </c>
      <c r="S1109" s="178" t="str">
        <f t="shared" si="53"/>
        <v>D_ISSUE_RECEIVABLEREP_CLASS</v>
      </c>
    </row>
    <row r="1110" spans="1:19" ht="14.4" x14ac:dyDescent="0.3">
      <c r="A1110" s="169" t="s">
        <v>1842</v>
      </c>
      <c r="B1110" s="171" t="str">
        <f t="shared" si="51"/>
        <v>D_ISSUE_RECEIVABLE</v>
      </c>
      <c r="C1110" s="169" t="s">
        <v>498</v>
      </c>
      <c r="D1110" s="169">
        <v>500</v>
      </c>
      <c r="E1110" s="169">
        <v>25</v>
      </c>
      <c r="F1110" s="169" t="s">
        <v>498</v>
      </c>
      <c r="G1110" s="169" t="s">
        <v>498</v>
      </c>
      <c r="H1110" s="169">
        <v>7</v>
      </c>
      <c r="I1110" s="136" t="str">
        <f t="shared" si="52"/>
        <v>BIGINT</v>
      </c>
      <c r="J1110" s="169" t="s">
        <v>0</v>
      </c>
      <c r="K1110" s="169" t="s">
        <v>0</v>
      </c>
      <c r="L1110" s="169">
        <v>30</v>
      </c>
      <c r="M1110" s="168"/>
      <c r="N1110" s="168"/>
      <c r="O1110" s="168"/>
      <c r="P1110" s="168"/>
      <c r="Q1110" s="168" t="s">
        <v>0</v>
      </c>
      <c r="R1110" s="168" t="s">
        <v>1</v>
      </c>
      <c r="S1110" s="178" t="str">
        <f t="shared" si="53"/>
        <v>D_ISSUE_RECEIVABLERUN_ID</v>
      </c>
    </row>
    <row r="1111" spans="1:19" ht="14.4" x14ac:dyDescent="0.3">
      <c r="A1111" s="169" t="s">
        <v>1842</v>
      </c>
      <c r="B1111" s="171" t="str">
        <f t="shared" si="51"/>
        <v>D_ISSUE_RECEIVABLE</v>
      </c>
      <c r="C1111" s="169" t="s">
        <v>1887</v>
      </c>
      <c r="D1111" s="169">
        <v>501</v>
      </c>
      <c r="E1111" s="169">
        <v>26</v>
      </c>
      <c r="F1111" s="169" t="s">
        <v>1887</v>
      </c>
      <c r="G1111" s="169" t="s">
        <v>1887</v>
      </c>
      <c r="H1111" s="169">
        <v>34</v>
      </c>
      <c r="I1111" s="136" t="str">
        <f t="shared" si="52"/>
        <v>DATE</v>
      </c>
      <c r="J1111" s="169" t="s">
        <v>0</v>
      </c>
      <c r="K1111" s="169" t="s">
        <v>0</v>
      </c>
      <c r="L1111" s="169">
        <v>30</v>
      </c>
      <c r="M1111" s="168"/>
      <c r="N1111" s="168"/>
      <c r="O1111" s="168"/>
      <c r="P1111" s="168"/>
      <c r="Q1111" s="168" t="s">
        <v>0</v>
      </c>
      <c r="R1111" s="168" t="s">
        <v>1</v>
      </c>
      <c r="S1111" s="178" t="str">
        <f t="shared" si="53"/>
        <v>D_ISSUE_RECEIVABLEVALIDITY_DATE</v>
      </c>
    </row>
    <row r="1112" spans="1:19" ht="14.4" x14ac:dyDescent="0.3">
      <c r="A1112" s="169" t="s">
        <v>1837</v>
      </c>
      <c r="B1112" s="171" t="str">
        <f t="shared" si="51"/>
        <v>D_ISSUE_SECURITIZATION</v>
      </c>
      <c r="C1112" s="169" t="s">
        <v>1926</v>
      </c>
      <c r="D1112" s="169">
        <v>502</v>
      </c>
      <c r="E1112" s="169">
        <v>1</v>
      </c>
      <c r="F1112" s="169" t="s">
        <v>1926</v>
      </c>
      <c r="G1112" s="169" t="s">
        <v>1926</v>
      </c>
      <c r="H1112" s="169">
        <v>40</v>
      </c>
      <c r="I1112" s="136" t="str">
        <f t="shared" si="52"/>
        <v>DECIMAL(26, 4)</v>
      </c>
      <c r="J1112" s="169" t="s">
        <v>0</v>
      </c>
      <c r="K1112" s="169" t="s">
        <v>1</v>
      </c>
      <c r="L1112" s="169">
        <v>30</v>
      </c>
      <c r="M1112" s="168"/>
      <c r="N1112" s="168"/>
      <c r="O1112" s="168"/>
      <c r="P1112" s="168"/>
      <c r="Q1112" s="168" t="s">
        <v>0</v>
      </c>
      <c r="R1112" s="168" t="s">
        <v>1</v>
      </c>
      <c r="S1112" s="178" t="str">
        <f t="shared" si="53"/>
        <v>D_ISSUE_SECURITIZATIONCREDIT_ENHANCEMENT_LEVEL</v>
      </c>
    </row>
    <row r="1113" spans="1:19" ht="14.4" x14ac:dyDescent="0.3">
      <c r="A1113" s="169" t="s">
        <v>1837</v>
      </c>
      <c r="B1113" s="171" t="str">
        <f t="shared" si="51"/>
        <v>D_ISSUE_SECURITIZATION</v>
      </c>
      <c r="C1113" s="169" t="s">
        <v>1875</v>
      </c>
      <c r="D1113" s="169">
        <v>503</v>
      </c>
      <c r="E1113" s="169">
        <v>2</v>
      </c>
      <c r="F1113" s="169" t="s">
        <v>1875</v>
      </c>
      <c r="G1113" s="169" t="s">
        <v>1875</v>
      </c>
      <c r="H1113" s="169">
        <v>22</v>
      </c>
      <c r="I1113" s="136" t="str">
        <f t="shared" si="52"/>
        <v>TIMESTAMP(6)</v>
      </c>
      <c r="J1113" s="169" t="s">
        <v>1</v>
      </c>
      <c r="K1113" s="169" t="s">
        <v>0</v>
      </c>
      <c r="L1113" s="169">
        <v>30</v>
      </c>
      <c r="M1113" s="168"/>
      <c r="N1113" s="168"/>
      <c r="O1113" s="168"/>
      <c r="P1113" s="168"/>
      <c r="Q1113" s="168" t="s">
        <v>0</v>
      </c>
      <c r="R1113" s="168" t="s">
        <v>1</v>
      </c>
      <c r="S1113" s="178" t="str">
        <f t="shared" si="53"/>
        <v>D_ISSUE_SECURITIZATIONEXTRACTION_TS</v>
      </c>
    </row>
    <row r="1114" spans="1:19" ht="14.4" x14ac:dyDescent="0.3">
      <c r="A1114" s="169" t="s">
        <v>1837</v>
      </c>
      <c r="B1114" s="171" t="str">
        <f t="shared" si="51"/>
        <v>D_ISSUE_SECURITIZATION</v>
      </c>
      <c r="C1114" s="169" t="s">
        <v>1890</v>
      </c>
      <c r="D1114" s="169">
        <v>504</v>
      </c>
      <c r="E1114" s="169">
        <v>3</v>
      </c>
      <c r="F1114" s="169" t="s">
        <v>1890</v>
      </c>
      <c r="G1114" s="169" t="s">
        <v>1890</v>
      </c>
      <c r="H1114" s="169">
        <v>9</v>
      </c>
      <c r="I1114" s="136" t="str">
        <f t="shared" si="52"/>
        <v xml:space="preserve">CHAR(32) </v>
      </c>
      <c r="J1114" s="169" t="s">
        <v>0</v>
      </c>
      <c r="K1114" s="169" t="s">
        <v>0</v>
      </c>
      <c r="L1114" s="169">
        <v>30</v>
      </c>
      <c r="M1114" s="168"/>
      <c r="N1114" s="168"/>
      <c r="O1114" s="168"/>
      <c r="P1114" s="168"/>
      <c r="Q1114" s="168" t="s">
        <v>0</v>
      </c>
      <c r="R1114" s="168" t="s">
        <v>1</v>
      </c>
      <c r="S1114" s="178" t="str">
        <f t="shared" si="53"/>
        <v>D_ISSUE_SECURITIZATIONISSUE_KEY</v>
      </c>
    </row>
    <row r="1115" spans="1:19" ht="14.4" x14ac:dyDescent="0.3">
      <c r="A1115" s="169" t="s">
        <v>1837</v>
      </c>
      <c r="B1115" s="171" t="str">
        <f t="shared" si="51"/>
        <v>D_ISSUE_SECURITIZATION</v>
      </c>
      <c r="C1115" s="169" t="s">
        <v>601</v>
      </c>
      <c r="D1115" s="169">
        <v>505</v>
      </c>
      <c r="E1115" s="169">
        <v>4</v>
      </c>
      <c r="F1115" s="169" t="s">
        <v>601</v>
      </c>
      <c r="G1115" s="169" t="s">
        <v>601</v>
      </c>
      <c r="H1115" s="169">
        <v>48</v>
      </c>
      <c r="I1115" s="136" t="str">
        <f t="shared" si="52"/>
        <v xml:space="preserve">VARCHAR(50) </v>
      </c>
      <c r="J1115" s="169" t="s">
        <v>0</v>
      </c>
      <c r="K1115" s="169" t="s">
        <v>1</v>
      </c>
      <c r="L1115" s="169">
        <v>30</v>
      </c>
      <c r="M1115" s="168"/>
      <c r="N1115" s="168"/>
      <c r="O1115" s="168"/>
      <c r="P1115" s="168"/>
      <c r="Q1115" s="168" t="s">
        <v>0</v>
      </c>
      <c r="R1115" s="168" t="s">
        <v>1</v>
      </c>
      <c r="S1115" s="178" t="str">
        <f t="shared" si="53"/>
        <v>D_ISSUE_SECURITIZATIONLOCAL_EXP_CLASS</v>
      </c>
    </row>
    <row r="1116" spans="1:19" ht="14.4" x14ac:dyDescent="0.3">
      <c r="A1116" s="169" t="s">
        <v>1837</v>
      </c>
      <c r="B1116" s="171" t="str">
        <f t="shared" si="51"/>
        <v>D_ISSUE_SECURITIZATION</v>
      </c>
      <c r="C1116" s="169" t="s">
        <v>1921</v>
      </c>
      <c r="D1116" s="169">
        <v>506</v>
      </c>
      <c r="E1116" s="169">
        <v>5</v>
      </c>
      <c r="F1116" s="169" t="s">
        <v>1921</v>
      </c>
      <c r="G1116" s="169" t="s">
        <v>1921</v>
      </c>
      <c r="H1116" s="169">
        <v>40</v>
      </c>
      <c r="I1116" s="136" t="str">
        <f t="shared" si="52"/>
        <v>DECIMAL(26, 4)</v>
      </c>
      <c r="J1116" s="169" t="s">
        <v>0</v>
      </c>
      <c r="K1116" s="169" t="s">
        <v>1</v>
      </c>
      <c r="L1116" s="169">
        <v>30</v>
      </c>
      <c r="M1116" s="168"/>
      <c r="N1116" s="168"/>
      <c r="O1116" s="168"/>
      <c r="P1116" s="168"/>
      <c r="Q1116" s="168" t="s">
        <v>0</v>
      </c>
      <c r="R1116" s="168" t="s">
        <v>1</v>
      </c>
      <c r="S1116" s="178" t="str">
        <f t="shared" si="53"/>
        <v>D_ISSUE_SECURITIZATIONPROVISIONS_AMT</v>
      </c>
    </row>
    <row r="1117" spans="1:19" ht="14.4" x14ac:dyDescent="0.3">
      <c r="A1117" s="169" t="s">
        <v>1837</v>
      </c>
      <c r="B1117" s="171" t="str">
        <f t="shared" si="51"/>
        <v>D_ISSUE_SECURITIZATION</v>
      </c>
      <c r="C1117" s="169" t="s">
        <v>440</v>
      </c>
      <c r="D1117" s="169">
        <v>507</v>
      </c>
      <c r="E1117" s="169">
        <v>6</v>
      </c>
      <c r="F1117" s="169" t="s">
        <v>440</v>
      </c>
      <c r="G1117" s="169" t="s">
        <v>440</v>
      </c>
      <c r="H1117" s="169">
        <v>22</v>
      </c>
      <c r="I1117" s="136" t="str">
        <f t="shared" si="52"/>
        <v>TIMESTAMP(6)</v>
      </c>
      <c r="J1117" s="169" t="s">
        <v>1</v>
      </c>
      <c r="K1117" s="169" t="s">
        <v>1</v>
      </c>
      <c r="L1117" s="169">
        <v>30</v>
      </c>
      <c r="M1117" s="168"/>
      <c r="N1117" s="168"/>
      <c r="O1117" s="168"/>
      <c r="P1117" s="168"/>
      <c r="Q1117" s="168" t="s">
        <v>0</v>
      </c>
      <c r="R1117" s="168" t="s">
        <v>1</v>
      </c>
      <c r="S1117" s="178" t="str">
        <f t="shared" si="53"/>
        <v>D_ISSUE_SECURITIZATIONRECORD_CREATE_TS</v>
      </c>
    </row>
    <row r="1118" spans="1:19" ht="14.4" x14ac:dyDescent="0.3">
      <c r="A1118" s="169" t="s">
        <v>1837</v>
      </c>
      <c r="B1118" s="171" t="str">
        <f t="shared" si="51"/>
        <v>D_ISSUE_SECURITIZATION</v>
      </c>
      <c r="C1118" s="169" t="s">
        <v>429</v>
      </c>
      <c r="D1118" s="169">
        <v>508</v>
      </c>
      <c r="E1118" s="169">
        <v>7</v>
      </c>
      <c r="F1118" s="169" t="s">
        <v>429</v>
      </c>
      <c r="G1118" s="169" t="s">
        <v>429</v>
      </c>
      <c r="H1118" s="169">
        <v>22</v>
      </c>
      <c r="I1118" s="136" t="str">
        <f t="shared" si="52"/>
        <v>TIMESTAMP(6)</v>
      </c>
      <c r="J1118" s="169" t="s">
        <v>1</v>
      </c>
      <c r="K1118" s="169" t="s">
        <v>1</v>
      </c>
      <c r="L1118" s="169">
        <v>30</v>
      </c>
      <c r="M1118" s="168"/>
      <c r="N1118" s="168"/>
      <c r="O1118" s="168"/>
      <c r="P1118" s="168"/>
      <c r="Q1118" s="168" t="s">
        <v>0</v>
      </c>
      <c r="R1118" s="168" t="s">
        <v>1</v>
      </c>
      <c r="S1118" s="178" t="str">
        <f t="shared" si="53"/>
        <v>D_ISSUE_SECURITIZATIONRECORD_UPDATE_TS</v>
      </c>
    </row>
    <row r="1119" spans="1:19" ht="14.4" x14ac:dyDescent="0.3">
      <c r="A1119" s="169" t="s">
        <v>1837</v>
      </c>
      <c r="B1119" s="171" t="str">
        <f t="shared" si="51"/>
        <v>D_ISSUE_SECURITIZATION</v>
      </c>
      <c r="C1119" s="169" t="s">
        <v>1922</v>
      </c>
      <c r="D1119" s="169">
        <v>509</v>
      </c>
      <c r="E1119" s="169">
        <v>8</v>
      </c>
      <c r="F1119" s="169" t="s">
        <v>1922</v>
      </c>
      <c r="G1119" s="169" t="s">
        <v>1922</v>
      </c>
      <c r="H1119" s="169">
        <v>14</v>
      </c>
      <c r="I1119" s="136" t="str">
        <f t="shared" si="52"/>
        <v xml:space="preserve">CHAR(3) </v>
      </c>
      <c r="J1119" s="169" t="s">
        <v>0</v>
      </c>
      <c r="K1119" s="169" t="s">
        <v>1</v>
      </c>
      <c r="L1119" s="169">
        <v>30</v>
      </c>
      <c r="M1119" s="168"/>
      <c r="N1119" s="168"/>
      <c r="O1119" s="168"/>
      <c r="P1119" s="168"/>
      <c r="Q1119" s="168" t="s">
        <v>0</v>
      </c>
      <c r="R1119" s="168" t="s">
        <v>1</v>
      </c>
      <c r="S1119" s="178" t="str">
        <f t="shared" si="53"/>
        <v>D_ISSUE_SECURITIZATIONREGULATORY_PRODUCT_CD</v>
      </c>
    </row>
    <row r="1120" spans="1:19" ht="14.4" x14ac:dyDescent="0.3">
      <c r="A1120" s="169" t="s">
        <v>1837</v>
      </c>
      <c r="B1120" s="171" t="str">
        <f t="shared" si="51"/>
        <v>D_ISSUE_SECURITIZATION</v>
      </c>
      <c r="C1120" s="169" t="s">
        <v>1923</v>
      </c>
      <c r="D1120" s="169">
        <v>510</v>
      </c>
      <c r="E1120" s="169">
        <v>9</v>
      </c>
      <c r="F1120" s="169" t="s">
        <v>1923</v>
      </c>
      <c r="G1120" s="169" t="s">
        <v>1923</v>
      </c>
      <c r="H1120" s="169">
        <v>39</v>
      </c>
      <c r="I1120" s="136" t="str">
        <f t="shared" si="52"/>
        <v xml:space="preserve">VARCHAR(512) </v>
      </c>
      <c r="J1120" s="169" t="s">
        <v>0</v>
      </c>
      <c r="K1120" s="169" t="s">
        <v>1</v>
      </c>
      <c r="L1120" s="169">
        <v>30</v>
      </c>
      <c r="M1120" s="168"/>
      <c r="N1120" s="168"/>
      <c r="O1120" s="168"/>
      <c r="P1120" s="168"/>
      <c r="Q1120" s="168" t="s">
        <v>0</v>
      </c>
      <c r="R1120" s="168" t="s">
        <v>1</v>
      </c>
      <c r="S1120" s="178" t="str">
        <f t="shared" si="53"/>
        <v>D_ISSUE_SECURITIZATIONREP_CLASS</v>
      </c>
    </row>
    <row r="1121" spans="1:19" ht="14.4" x14ac:dyDescent="0.3">
      <c r="A1121" s="169" t="s">
        <v>1837</v>
      </c>
      <c r="B1121" s="171" t="str">
        <f t="shared" si="51"/>
        <v>D_ISSUE_SECURITIZATION</v>
      </c>
      <c r="C1121" s="169" t="s">
        <v>498</v>
      </c>
      <c r="D1121" s="169">
        <v>511</v>
      </c>
      <c r="E1121" s="169">
        <v>10</v>
      </c>
      <c r="F1121" s="169" t="s">
        <v>498</v>
      </c>
      <c r="G1121" s="169" t="s">
        <v>498</v>
      </c>
      <c r="H1121" s="169">
        <v>7</v>
      </c>
      <c r="I1121" s="136" t="str">
        <f t="shared" si="52"/>
        <v>BIGINT</v>
      </c>
      <c r="J1121" s="169" t="s">
        <v>0</v>
      </c>
      <c r="K1121" s="169" t="s">
        <v>0</v>
      </c>
      <c r="L1121" s="169">
        <v>30</v>
      </c>
      <c r="M1121" s="168"/>
      <c r="N1121" s="168"/>
      <c r="O1121" s="168"/>
      <c r="P1121" s="168"/>
      <c r="Q1121" s="168" t="s">
        <v>0</v>
      </c>
      <c r="R1121" s="168" t="s">
        <v>1</v>
      </c>
      <c r="S1121" s="178" t="str">
        <f t="shared" si="53"/>
        <v>D_ISSUE_SECURITIZATIONRUN_ID</v>
      </c>
    </row>
    <row r="1122" spans="1:19" ht="14.4" x14ac:dyDescent="0.3">
      <c r="A1122" s="169" t="s">
        <v>1837</v>
      </c>
      <c r="B1122" s="171" t="str">
        <f t="shared" si="51"/>
        <v>D_ISSUE_SECURITIZATION</v>
      </c>
      <c r="C1122" s="169" t="s">
        <v>1927</v>
      </c>
      <c r="D1122" s="169">
        <v>512</v>
      </c>
      <c r="E1122" s="169">
        <v>11</v>
      </c>
      <c r="F1122" s="169" t="s">
        <v>1927</v>
      </c>
      <c r="G1122" s="169" t="s">
        <v>1927</v>
      </c>
      <c r="H1122" s="169">
        <v>45</v>
      </c>
      <c r="I1122" s="136" t="str">
        <f t="shared" si="52"/>
        <v>DECIMAL(15, 0)</v>
      </c>
      <c r="J1122" s="169" t="s">
        <v>0</v>
      </c>
      <c r="K1122" s="169" t="s">
        <v>1</v>
      </c>
      <c r="L1122" s="169">
        <v>30</v>
      </c>
      <c r="M1122" s="168"/>
      <c r="N1122" s="168"/>
      <c r="O1122" s="168"/>
      <c r="P1122" s="168"/>
      <c r="Q1122" s="168" t="s">
        <v>0</v>
      </c>
      <c r="R1122" s="168" t="s">
        <v>1</v>
      </c>
      <c r="S1122" s="178" t="str">
        <f t="shared" si="53"/>
        <v>D_ISSUE_SECURITIZATIONSECURITIZATION_POOL_RK</v>
      </c>
    </row>
    <row r="1123" spans="1:19" ht="14.4" x14ac:dyDescent="0.3">
      <c r="A1123" s="169" t="s">
        <v>1837</v>
      </c>
      <c r="B1123" s="171" t="str">
        <f t="shared" si="51"/>
        <v>D_ISSUE_SECURITIZATION</v>
      </c>
      <c r="C1123" s="169" t="s">
        <v>1928</v>
      </c>
      <c r="D1123" s="169">
        <v>513</v>
      </c>
      <c r="E1123" s="169">
        <v>12</v>
      </c>
      <c r="F1123" s="169" t="s">
        <v>1928</v>
      </c>
      <c r="G1123" s="169" t="s">
        <v>1928</v>
      </c>
      <c r="H1123" s="169">
        <v>40</v>
      </c>
      <c r="I1123" s="136" t="str">
        <f t="shared" si="52"/>
        <v>DECIMAL(26, 4)</v>
      </c>
      <c r="J1123" s="169" t="s">
        <v>0</v>
      </c>
      <c r="K1123" s="169" t="s">
        <v>1</v>
      </c>
      <c r="L1123" s="169">
        <v>30</v>
      </c>
      <c r="M1123" s="168"/>
      <c r="N1123" s="168"/>
      <c r="O1123" s="168"/>
      <c r="P1123" s="168"/>
      <c r="Q1123" s="168" t="s">
        <v>0</v>
      </c>
      <c r="R1123" s="168" t="s">
        <v>1</v>
      </c>
      <c r="S1123" s="178" t="str">
        <f t="shared" si="53"/>
        <v>D_ISSUE_SECURITIZATIONTHICKNESS</v>
      </c>
    </row>
    <row r="1124" spans="1:19" ht="14.4" x14ac:dyDescent="0.3">
      <c r="A1124" s="169" t="s">
        <v>1837</v>
      </c>
      <c r="B1124" s="171" t="str">
        <f t="shared" si="51"/>
        <v>D_ISSUE_SECURITIZATION</v>
      </c>
      <c r="C1124" s="169" t="s">
        <v>1887</v>
      </c>
      <c r="D1124" s="169">
        <v>514</v>
      </c>
      <c r="E1124" s="169">
        <v>13</v>
      </c>
      <c r="F1124" s="169" t="s">
        <v>1887</v>
      </c>
      <c r="G1124" s="169" t="s">
        <v>1887</v>
      </c>
      <c r="H1124" s="169">
        <v>34</v>
      </c>
      <c r="I1124" s="136" t="str">
        <f t="shared" si="52"/>
        <v>DATE</v>
      </c>
      <c r="J1124" s="169" t="s">
        <v>0</v>
      </c>
      <c r="K1124" s="169" t="s">
        <v>0</v>
      </c>
      <c r="L1124" s="169">
        <v>30</v>
      </c>
      <c r="M1124" s="168"/>
      <c r="N1124" s="168"/>
      <c r="O1124" s="168"/>
      <c r="P1124" s="168"/>
      <c r="Q1124" s="168" t="s">
        <v>0</v>
      </c>
      <c r="R1124" s="168" t="s">
        <v>1</v>
      </c>
      <c r="S1124" s="178" t="str">
        <f t="shared" si="53"/>
        <v>D_ISSUE_SECURITIZATIONVALIDITY_DATE</v>
      </c>
    </row>
    <row r="1125" spans="1:19" ht="14.4" x14ac:dyDescent="0.3">
      <c r="A1125" s="169" t="s">
        <v>420</v>
      </c>
      <c r="B1125" s="171" t="str">
        <f t="shared" si="51"/>
        <v>Логи</v>
      </c>
      <c r="C1125" s="169" t="s">
        <v>1020</v>
      </c>
      <c r="D1125" s="169">
        <v>1666</v>
      </c>
      <c r="E1125" s="169">
        <v>1</v>
      </c>
      <c r="F1125" s="169" t="s">
        <v>1020</v>
      </c>
      <c r="G1125" s="169" t="s">
        <v>1020</v>
      </c>
      <c r="H1125" s="169">
        <v>7</v>
      </c>
      <c r="I1125" s="136" t="str">
        <f t="shared" si="52"/>
        <v>BIGINT</v>
      </c>
      <c r="J1125" s="169" t="s">
        <v>0</v>
      </c>
      <c r="K1125" s="169" t="s">
        <v>1</v>
      </c>
      <c r="L1125" s="169">
        <v>30</v>
      </c>
      <c r="M1125" s="168"/>
      <c r="N1125" s="168"/>
      <c r="O1125" s="168"/>
      <c r="P1125" s="168"/>
      <c r="Q1125" s="168" t="s">
        <v>0</v>
      </c>
      <c r="R1125" s="168" t="s">
        <v>1</v>
      </c>
      <c r="S1125" s="178" t="str">
        <f t="shared" si="53"/>
        <v>D_LOGCALC_ID</v>
      </c>
    </row>
    <row r="1126" spans="1:19" ht="14.4" x14ac:dyDescent="0.3">
      <c r="A1126" s="169" t="s">
        <v>420</v>
      </c>
      <c r="B1126" s="171" t="str">
        <f t="shared" si="51"/>
        <v>Логи</v>
      </c>
      <c r="C1126" s="169" t="s">
        <v>852</v>
      </c>
      <c r="D1126" s="169">
        <v>1667</v>
      </c>
      <c r="E1126" s="169">
        <v>2</v>
      </c>
      <c r="F1126" s="169" t="s">
        <v>852</v>
      </c>
      <c r="G1126" s="169" t="s">
        <v>852</v>
      </c>
      <c r="H1126" s="169">
        <v>27</v>
      </c>
      <c r="I1126" s="136" t="str">
        <f t="shared" si="52"/>
        <v>INTEGER</v>
      </c>
      <c r="J1126" s="169" t="s">
        <v>1</v>
      </c>
      <c r="K1126" s="169" t="s">
        <v>1</v>
      </c>
      <c r="L1126" s="169">
        <v>30</v>
      </c>
      <c r="M1126" s="168"/>
      <c r="N1126" s="168"/>
      <c r="O1126" s="168"/>
      <c r="P1126" s="168"/>
      <c r="Q1126" s="168" t="s">
        <v>0</v>
      </c>
      <c r="R1126" s="168" t="s">
        <v>1</v>
      </c>
      <c r="S1126" s="178" t="str">
        <f t="shared" si="53"/>
        <v>D_LOGLEVEL</v>
      </c>
    </row>
    <row r="1127" spans="1:19" ht="14.4" x14ac:dyDescent="0.3">
      <c r="A1127" s="169" t="s">
        <v>420</v>
      </c>
      <c r="B1127" s="171" t="str">
        <f t="shared" si="51"/>
        <v>Логи</v>
      </c>
      <c r="C1127" s="169" t="s">
        <v>1018</v>
      </c>
      <c r="D1127" s="169">
        <v>1668</v>
      </c>
      <c r="E1127" s="169">
        <v>3</v>
      </c>
      <c r="F1127" s="169" t="s">
        <v>1018</v>
      </c>
      <c r="G1127" s="169" t="s">
        <v>1018</v>
      </c>
      <c r="H1127" s="169">
        <v>26</v>
      </c>
      <c r="I1127" s="136" t="str">
        <f t="shared" si="52"/>
        <v xml:space="preserve">VARCHAR(4000) </v>
      </c>
      <c r="J1127" s="169" t="s">
        <v>1</v>
      </c>
      <c r="K1127" s="169" t="s">
        <v>1</v>
      </c>
      <c r="L1127" s="169">
        <v>30</v>
      </c>
      <c r="M1127" s="168"/>
      <c r="N1127" s="168"/>
      <c r="O1127" s="168"/>
      <c r="P1127" s="168"/>
      <c r="Q1127" s="168" t="s">
        <v>0</v>
      </c>
      <c r="R1127" s="168" t="s">
        <v>1</v>
      </c>
      <c r="S1127" s="178" t="str">
        <f t="shared" si="53"/>
        <v>D_LOGMSG1</v>
      </c>
    </row>
    <row r="1128" spans="1:19" ht="14.4" x14ac:dyDescent="0.3">
      <c r="A1128" s="169" t="s">
        <v>420</v>
      </c>
      <c r="B1128" s="171" t="str">
        <f t="shared" si="51"/>
        <v>Логи</v>
      </c>
      <c r="C1128" s="169" t="s">
        <v>1013</v>
      </c>
      <c r="D1128" s="169">
        <v>1669</v>
      </c>
      <c r="E1128" s="169">
        <v>4</v>
      </c>
      <c r="F1128" s="169" t="s">
        <v>1013</v>
      </c>
      <c r="G1128" s="169" t="s">
        <v>1013</v>
      </c>
      <c r="H1128" s="169">
        <v>26</v>
      </c>
      <c r="I1128" s="136" t="str">
        <f t="shared" si="52"/>
        <v xml:space="preserve">VARCHAR(4000) </v>
      </c>
      <c r="J1128" s="169" t="s">
        <v>0</v>
      </c>
      <c r="K1128" s="169" t="s">
        <v>1</v>
      </c>
      <c r="L1128" s="169">
        <v>30</v>
      </c>
      <c r="M1128" s="168"/>
      <c r="N1128" s="168"/>
      <c r="O1128" s="168"/>
      <c r="P1128" s="168"/>
      <c r="Q1128" s="168" t="s">
        <v>0</v>
      </c>
      <c r="R1128" s="168" t="s">
        <v>1</v>
      </c>
      <c r="S1128" s="178" t="str">
        <f t="shared" si="53"/>
        <v>D_LOGMSG2</v>
      </c>
    </row>
    <row r="1129" spans="1:19" ht="14.4" x14ac:dyDescent="0.3">
      <c r="A1129" s="169" t="s">
        <v>420</v>
      </c>
      <c r="B1129" s="171" t="str">
        <f t="shared" si="51"/>
        <v>Логи</v>
      </c>
      <c r="C1129" s="169" t="s">
        <v>1017</v>
      </c>
      <c r="D1129" s="169">
        <v>1670</v>
      </c>
      <c r="E1129" s="169">
        <v>5</v>
      </c>
      <c r="F1129" s="169" t="s">
        <v>1017</v>
      </c>
      <c r="G1129" s="169" t="s">
        <v>1017</v>
      </c>
      <c r="H1129" s="169">
        <v>26</v>
      </c>
      <c r="I1129" s="136" t="str">
        <f t="shared" si="52"/>
        <v xml:space="preserve">VARCHAR(4000) </v>
      </c>
      <c r="J1129" s="169" t="s">
        <v>0</v>
      </c>
      <c r="K1129" s="169" t="s">
        <v>1</v>
      </c>
      <c r="L1129" s="169">
        <v>30</v>
      </c>
      <c r="M1129" s="168"/>
      <c r="N1129" s="168"/>
      <c r="O1129" s="168"/>
      <c r="P1129" s="168"/>
      <c r="Q1129" s="168" t="s">
        <v>0</v>
      </c>
      <c r="R1129" s="168" t="s">
        <v>1</v>
      </c>
      <c r="S1129" s="178" t="str">
        <f t="shared" si="53"/>
        <v>D_LOGMSG3</v>
      </c>
    </row>
    <row r="1130" spans="1:19" ht="14.4" x14ac:dyDescent="0.3">
      <c r="A1130" s="169" t="s">
        <v>420</v>
      </c>
      <c r="B1130" s="171" t="str">
        <f t="shared" si="51"/>
        <v>Логи</v>
      </c>
      <c r="C1130" s="169" t="s">
        <v>1011</v>
      </c>
      <c r="D1130" s="169">
        <v>1671</v>
      </c>
      <c r="E1130" s="169">
        <v>6</v>
      </c>
      <c r="F1130" s="169" t="s">
        <v>1011</v>
      </c>
      <c r="G1130" s="169" t="s">
        <v>1011</v>
      </c>
      <c r="H1130" s="169">
        <v>26</v>
      </c>
      <c r="I1130" s="136" t="str">
        <f t="shared" si="52"/>
        <v xml:space="preserve">VARCHAR(4000) </v>
      </c>
      <c r="J1130" s="169" t="s">
        <v>0</v>
      </c>
      <c r="K1130" s="169" t="s">
        <v>1</v>
      </c>
      <c r="L1130" s="169">
        <v>30</v>
      </c>
      <c r="M1130" s="168"/>
      <c r="N1130" s="168"/>
      <c r="O1130" s="168"/>
      <c r="P1130" s="168"/>
      <c r="Q1130" s="168" t="s">
        <v>0</v>
      </c>
      <c r="R1130" s="168" t="s">
        <v>1</v>
      </c>
      <c r="S1130" s="178" t="str">
        <f t="shared" si="53"/>
        <v>D_LOGMSG4</v>
      </c>
    </row>
    <row r="1131" spans="1:19" ht="14.4" x14ac:dyDescent="0.3">
      <c r="A1131" s="169" t="s">
        <v>420</v>
      </c>
      <c r="B1131" s="171" t="str">
        <f t="shared" si="51"/>
        <v>Логи</v>
      </c>
      <c r="C1131" s="169" t="s">
        <v>1016</v>
      </c>
      <c r="D1131" s="169">
        <v>1672</v>
      </c>
      <c r="E1131" s="169">
        <v>7</v>
      </c>
      <c r="F1131" s="169" t="s">
        <v>1016</v>
      </c>
      <c r="G1131" s="169" t="s">
        <v>1016</v>
      </c>
      <c r="H1131" s="169">
        <v>26</v>
      </c>
      <c r="I1131" s="136" t="str">
        <f t="shared" si="52"/>
        <v xml:space="preserve">VARCHAR(4000) </v>
      </c>
      <c r="J1131" s="169" t="s">
        <v>0</v>
      </c>
      <c r="K1131" s="169" t="s">
        <v>1</v>
      </c>
      <c r="L1131" s="169">
        <v>30</v>
      </c>
      <c r="M1131" s="168"/>
      <c r="N1131" s="168"/>
      <c r="O1131" s="168"/>
      <c r="P1131" s="168"/>
      <c r="Q1131" s="168" t="s">
        <v>0</v>
      </c>
      <c r="R1131" s="168" t="s">
        <v>1</v>
      </c>
      <c r="S1131" s="178" t="str">
        <f t="shared" si="53"/>
        <v>D_LOGMSG5</v>
      </c>
    </row>
    <row r="1132" spans="1:19" ht="14.4" x14ac:dyDescent="0.3">
      <c r="A1132" s="169" t="s">
        <v>420</v>
      </c>
      <c r="B1132" s="171" t="str">
        <f t="shared" si="51"/>
        <v>Логи</v>
      </c>
      <c r="C1132" s="169" t="s">
        <v>440</v>
      </c>
      <c r="D1132" s="169">
        <v>1673</v>
      </c>
      <c r="E1132" s="169">
        <v>8</v>
      </c>
      <c r="F1132" s="169" t="s">
        <v>440</v>
      </c>
      <c r="G1132" s="169" t="s">
        <v>440</v>
      </c>
      <c r="H1132" s="169">
        <v>22</v>
      </c>
      <c r="I1132" s="136" t="str">
        <f t="shared" si="52"/>
        <v>TIMESTAMP(6)</v>
      </c>
      <c r="J1132" s="169" t="s">
        <v>1</v>
      </c>
      <c r="K1132" s="169" t="s">
        <v>1</v>
      </c>
      <c r="L1132" s="169">
        <v>30</v>
      </c>
      <c r="M1132" s="168"/>
      <c r="N1132" s="168"/>
      <c r="O1132" s="168"/>
      <c r="P1132" s="168"/>
      <c r="Q1132" s="168" t="s">
        <v>0</v>
      </c>
      <c r="R1132" s="168" t="s">
        <v>1</v>
      </c>
      <c r="S1132" s="178" t="str">
        <f t="shared" si="53"/>
        <v>D_LOGRECORD_CREATE_TS</v>
      </c>
    </row>
    <row r="1133" spans="1:19" ht="14.4" x14ac:dyDescent="0.3">
      <c r="A1133" s="169" t="s">
        <v>420</v>
      </c>
      <c r="B1133" s="171" t="str">
        <f t="shared" si="51"/>
        <v>Логи</v>
      </c>
      <c r="C1133" s="169" t="s">
        <v>429</v>
      </c>
      <c r="D1133" s="169">
        <v>1674</v>
      </c>
      <c r="E1133" s="169">
        <v>9</v>
      </c>
      <c r="F1133" s="169" t="s">
        <v>429</v>
      </c>
      <c r="G1133" s="169" t="s">
        <v>429</v>
      </c>
      <c r="H1133" s="169">
        <v>22</v>
      </c>
      <c r="I1133" s="136" t="str">
        <f t="shared" si="52"/>
        <v>TIMESTAMP(6)</v>
      </c>
      <c r="J1133" s="169" t="s">
        <v>1</v>
      </c>
      <c r="K1133" s="169" t="s">
        <v>1</v>
      </c>
      <c r="L1133" s="169">
        <v>30</v>
      </c>
      <c r="M1133" s="168"/>
      <c r="N1133" s="168"/>
      <c r="O1133" s="168"/>
      <c r="P1133" s="168"/>
      <c r="Q1133" s="168" t="s">
        <v>0</v>
      </c>
      <c r="R1133" s="168" t="s">
        <v>1</v>
      </c>
      <c r="S1133" s="178" t="str">
        <f t="shared" si="53"/>
        <v>D_LOGRECORD_UPDATE_TS</v>
      </c>
    </row>
    <row r="1134" spans="1:19" ht="14.4" x14ac:dyDescent="0.3">
      <c r="A1134" s="169" t="s">
        <v>420</v>
      </c>
      <c r="B1134" s="171" t="str">
        <f t="shared" si="51"/>
        <v>Логи</v>
      </c>
      <c r="C1134" s="169" t="s">
        <v>520</v>
      </c>
      <c r="D1134" s="169">
        <v>1675</v>
      </c>
      <c r="E1134" s="169">
        <v>10</v>
      </c>
      <c r="F1134" s="169" t="s">
        <v>520</v>
      </c>
      <c r="G1134" s="169" t="s">
        <v>520</v>
      </c>
      <c r="H1134" s="169">
        <v>7</v>
      </c>
      <c r="I1134" s="136" t="str">
        <f t="shared" si="52"/>
        <v>BIGINT</v>
      </c>
      <c r="J1134" s="169" t="s">
        <v>0</v>
      </c>
      <c r="K1134" s="169" t="s">
        <v>1</v>
      </c>
      <c r="L1134" s="169">
        <v>30</v>
      </c>
      <c r="M1134" s="168"/>
      <c r="N1134" s="168"/>
      <c r="O1134" s="168"/>
      <c r="P1134" s="168"/>
      <c r="Q1134" s="168" t="s">
        <v>0</v>
      </c>
      <c r="R1134" s="168" t="s">
        <v>1</v>
      </c>
      <c r="S1134" s="178" t="str">
        <f t="shared" si="53"/>
        <v>D_LOGSESSION_ID</v>
      </c>
    </row>
    <row r="1135" spans="1:19" ht="14.4" x14ac:dyDescent="0.3">
      <c r="A1135" s="169" t="s">
        <v>420</v>
      </c>
      <c r="B1135" s="171" t="str">
        <f t="shared" si="51"/>
        <v>Логи</v>
      </c>
      <c r="C1135" s="169" t="s">
        <v>1012</v>
      </c>
      <c r="D1135" s="169">
        <v>1676</v>
      </c>
      <c r="E1135" s="169">
        <v>11</v>
      </c>
      <c r="F1135" s="169" t="s">
        <v>1012</v>
      </c>
      <c r="G1135" s="169" t="s">
        <v>1012</v>
      </c>
      <c r="H1135" s="169">
        <v>13</v>
      </c>
      <c r="I1135" s="136" t="str">
        <f t="shared" si="52"/>
        <v xml:space="preserve">VARCHAR(300) </v>
      </c>
      <c r="J1135" s="169" t="s">
        <v>0</v>
      </c>
      <c r="K1135" s="169" t="s">
        <v>1</v>
      </c>
      <c r="L1135" s="169">
        <v>30</v>
      </c>
      <c r="M1135" s="168"/>
      <c r="N1135" s="168"/>
      <c r="O1135" s="168"/>
      <c r="P1135" s="168"/>
      <c r="Q1135" s="168" t="s">
        <v>0</v>
      </c>
      <c r="R1135" s="168" t="s">
        <v>1</v>
      </c>
      <c r="S1135" s="178" t="str">
        <f t="shared" si="53"/>
        <v>D_LOGSESSION_NM</v>
      </c>
    </row>
    <row r="1136" spans="1:19" ht="14.4" x14ac:dyDescent="0.3">
      <c r="A1136" s="169" t="s">
        <v>420</v>
      </c>
      <c r="B1136" s="171" t="str">
        <f t="shared" si="51"/>
        <v>Логи</v>
      </c>
      <c r="C1136" s="169" t="s">
        <v>516</v>
      </c>
      <c r="D1136" s="169">
        <v>1677</v>
      </c>
      <c r="E1136" s="169">
        <v>12</v>
      </c>
      <c r="F1136" s="169" t="s">
        <v>516</v>
      </c>
      <c r="G1136" s="169" t="s">
        <v>516</v>
      </c>
      <c r="H1136" s="169">
        <v>7</v>
      </c>
      <c r="I1136" s="136" t="str">
        <f t="shared" si="52"/>
        <v>BIGINT</v>
      </c>
      <c r="J1136" s="169" t="s">
        <v>1</v>
      </c>
      <c r="K1136" s="169" t="s">
        <v>0</v>
      </c>
      <c r="L1136" s="169">
        <v>30</v>
      </c>
      <c r="M1136" s="168"/>
      <c r="N1136" s="168"/>
      <c r="O1136" s="168"/>
      <c r="P1136" s="168"/>
      <c r="Q1136" s="168" t="s">
        <v>0</v>
      </c>
      <c r="R1136" s="168" t="s">
        <v>1</v>
      </c>
      <c r="S1136" s="178" t="str">
        <f t="shared" si="53"/>
        <v>D_LOGSK</v>
      </c>
    </row>
    <row r="1137" spans="1:19" ht="14.4" x14ac:dyDescent="0.3">
      <c r="A1137" s="169" t="s">
        <v>420</v>
      </c>
      <c r="B1137" s="171" t="str">
        <f t="shared" si="51"/>
        <v>Логи</v>
      </c>
      <c r="C1137" s="169" t="s">
        <v>527</v>
      </c>
      <c r="D1137" s="169">
        <v>1678</v>
      </c>
      <c r="E1137" s="169">
        <v>13</v>
      </c>
      <c r="F1137" s="169" t="s">
        <v>527</v>
      </c>
      <c r="G1137" s="169" t="s">
        <v>527</v>
      </c>
      <c r="H1137" s="169">
        <v>7</v>
      </c>
      <c r="I1137" s="136" t="str">
        <f t="shared" si="52"/>
        <v>BIGINT</v>
      </c>
      <c r="J1137" s="169" t="s">
        <v>0</v>
      </c>
      <c r="K1137" s="169" t="s">
        <v>1</v>
      </c>
      <c r="L1137" s="169">
        <v>30</v>
      </c>
      <c r="M1137" s="168"/>
      <c r="N1137" s="168"/>
      <c r="O1137" s="168"/>
      <c r="P1137" s="168"/>
      <c r="Q1137" s="168" t="s">
        <v>0</v>
      </c>
      <c r="R1137" s="168" t="s">
        <v>1</v>
      </c>
      <c r="S1137" s="178" t="str">
        <f t="shared" si="53"/>
        <v>D_LOGSRC_SYS_ID</v>
      </c>
    </row>
    <row r="1138" spans="1:19" ht="14.4" x14ac:dyDescent="0.3">
      <c r="A1138" s="169" t="s">
        <v>420</v>
      </c>
      <c r="B1138" s="171" t="str">
        <f t="shared" si="51"/>
        <v>Логи</v>
      </c>
      <c r="C1138" s="169" t="s">
        <v>1015</v>
      </c>
      <c r="D1138" s="169">
        <v>1679</v>
      </c>
      <c r="E1138" s="169">
        <v>14</v>
      </c>
      <c r="F1138" s="169" t="s">
        <v>1015</v>
      </c>
      <c r="G1138" s="169" t="s">
        <v>1015</v>
      </c>
      <c r="H1138" s="169">
        <v>13</v>
      </c>
      <c r="I1138" s="136" t="str">
        <f t="shared" si="52"/>
        <v xml:space="preserve">VARCHAR(300) </v>
      </c>
      <c r="J1138" s="169" t="s">
        <v>0</v>
      </c>
      <c r="K1138" s="169" t="s">
        <v>1</v>
      </c>
      <c r="L1138" s="169">
        <v>30</v>
      </c>
      <c r="M1138" s="168"/>
      <c r="N1138" s="168"/>
      <c r="O1138" s="168"/>
      <c r="P1138" s="168"/>
      <c r="Q1138" s="168" t="s">
        <v>0</v>
      </c>
      <c r="R1138" s="168" t="s">
        <v>1</v>
      </c>
      <c r="S1138" s="178" t="str">
        <f t="shared" si="53"/>
        <v>D_LOGTARGET_TABLE_NM</v>
      </c>
    </row>
    <row r="1139" spans="1:19" ht="14.4" x14ac:dyDescent="0.3">
      <c r="A1139" s="169" t="s">
        <v>420</v>
      </c>
      <c r="B1139" s="171" t="str">
        <f t="shared" si="51"/>
        <v>Логи</v>
      </c>
      <c r="C1139" s="169" t="s">
        <v>492</v>
      </c>
      <c r="D1139" s="169">
        <v>1680</v>
      </c>
      <c r="E1139" s="169">
        <v>15</v>
      </c>
      <c r="F1139" s="169" t="s">
        <v>492</v>
      </c>
      <c r="G1139" s="169" t="s">
        <v>492</v>
      </c>
      <c r="H1139" s="169">
        <v>34</v>
      </c>
      <c r="I1139" s="136" t="str">
        <f t="shared" si="52"/>
        <v>DATE</v>
      </c>
      <c r="J1139" s="169" t="s">
        <v>0</v>
      </c>
      <c r="K1139" s="169" t="s">
        <v>1</v>
      </c>
      <c r="L1139" s="169">
        <v>30</v>
      </c>
      <c r="M1139" s="168"/>
      <c r="N1139" s="168"/>
      <c r="O1139" s="168"/>
      <c r="P1139" s="168"/>
      <c r="Q1139" s="168" t="s">
        <v>0</v>
      </c>
      <c r="R1139" s="168" t="s">
        <v>1</v>
      </c>
      <c r="S1139" s="178" t="str">
        <f t="shared" si="53"/>
        <v>D_LOGVALIDITY_DT</v>
      </c>
    </row>
    <row r="1140" spans="1:19" ht="14.4" x14ac:dyDescent="0.3">
      <c r="A1140" s="169" t="s">
        <v>420</v>
      </c>
      <c r="B1140" s="171" t="str">
        <f t="shared" si="51"/>
        <v>Логи</v>
      </c>
      <c r="C1140" s="169" t="s">
        <v>1014</v>
      </c>
      <c r="D1140" s="169">
        <v>1681</v>
      </c>
      <c r="E1140" s="169">
        <v>16</v>
      </c>
      <c r="F1140" s="169" t="s">
        <v>1014</v>
      </c>
      <c r="G1140" s="169" t="s">
        <v>1014</v>
      </c>
      <c r="H1140" s="169">
        <v>7</v>
      </c>
      <c r="I1140" s="136" t="str">
        <f t="shared" si="52"/>
        <v>BIGINT</v>
      </c>
      <c r="J1140" s="169" t="s">
        <v>0</v>
      </c>
      <c r="K1140" s="169" t="s">
        <v>1</v>
      </c>
      <c r="L1140" s="169">
        <v>30</v>
      </c>
      <c r="M1140" s="168"/>
      <c r="N1140" s="168"/>
      <c r="O1140" s="168"/>
      <c r="P1140" s="168"/>
      <c r="Q1140" s="168" t="s">
        <v>0</v>
      </c>
      <c r="R1140" s="168" t="s">
        <v>1</v>
      </c>
      <c r="S1140" s="178" t="str">
        <f t="shared" si="53"/>
        <v>D_LOGWORKFLOW_ID</v>
      </c>
    </row>
    <row r="1141" spans="1:19" ht="14.4" x14ac:dyDescent="0.3">
      <c r="A1141" s="169" t="s">
        <v>420</v>
      </c>
      <c r="B1141" s="171" t="str">
        <f t="shared" si="51"/>
        <v>Логи</v>
      </c>
      <c r="C1141" s="169" t="s">
        <v>1019</v>
      </c>
      <c r="D1141" s="169">
        <v>1682</v>
      </c>
      <c r="E1141" s="169">
        <v>17</v>
      </c>
      <c r="F1141" s="169" t="s">
        <v>1019</v>
      </c>
      <c r="G1141" s="169" t="s">
        <v>1019</v>
      </c>
      <c r="H1141" s="169">
        <v>13</v>
      </c>
      <c r="I1141" s="136" t="str">
        <f t="shared" si="52"/>
        <v xml:space="preserve">VARCHAR(300) </v>
      </c>
      <c r="J1141" s="169" t="s">
        <v>0</v>
      </c>
      <c r="K1141" s="169" t="s">
        <v>1</v>
      </c>
      <c r="L1141" s="169">
        <v>30</v>
      </c>
      <c r="M1141" s="168"/>
      <c r="N1141" s="168"/>
      <c r="O1141" s="168"/>
      <c r="P1141" s="168"/>
      <c r="Q1141" s="168" t="s">
        <v>0</v>
      </c>
      <c r="R1141" s="168" t="s">
        <v>1</v>
      </c>
      <c r="S1141" s="178" t="str">
        <f t="shared" si="53"/>
        <v>D_LOGWORKFLOW_NM</v>
      </c>
    </row>
    <row r="1142" spans="1:19" ht="14.4" x14ac:dyDescent="0.3">
      <c r="A1142" s="169" t="s">
        <v>1850</v>
      </c>
      <c r="B1142" s="171" t="str">
        <f t="shared" si="51"/>
        <v>D_MAN_CLAIM_EXPOSURE</v>
      </c>
      <c r="C1142" s="169" t="s">
        <v>869</v>
      </c>
      <c r="D1142" s="169">
        <v>515</v>
      </c>
      <c r="E1142" s="169">
        <v>1</v>
      </c>
      <c r="F1142" s="169" t="s">
        <v>869</v>
      </c>
      <c r="G1142" s="169" t="s">
        <v>869</v>
      </c>
      <c r="H1142" s="169">
        <v>7</v>
      </c>
      <c r="I1142" s="136" t="str">
        <f t="shared" si="52"/>
        <v>BIGINT</v>
      </c>
      <c r="J1142" s="169" t="s">
        <v>0</v>
      </c>
      <c r="K1142" s="169" t="s">
        <v>1</v>
      </c>
      <c r="L1142" s="169">
        <v>30</v>
      </c>
      <c r="M1142" s="168"/>
      <c r="N1142" s="168"/>
      <c r="O1142" s="168"/>
      <c r="P1142" s="168"/>
      <c r="Q1142" s="168" t="s">
        <v>0</v>
      </c>
      <c r="R1142" s="168" t="s">
        <v>1</v>
      </c>
      <c r="S1142" s="178" t="str">
        <f t="shared" si="53"/>
        <v>D_MAN_CLAIM_EXPOSURECCF_TYPE_ID</v>
      </c>
    </row>
    <row r="1143" spans="1:19" ht="14.4" x14ac:dyDescent="0.3">
      <c r="A1143" s="169" t="s">
        <v>1850</v>
      </c>
      <c r="B1143" s="171" t="str">
        <f t="shared" si="51"/>
        <v>D_MAN_CLAIM_EXPOSURE</v>
      </c>
      <c r="C1143" s="169" t="s">
        <v>1929</v>
      </c>
      <c r="D1143" s="169">
        <v>516</v>
      </c>
      <c r="E1143" s="169">
        <v>2</v>
      </c>
      <c r="F1143" s="169" t="s">
        <v>1929</v>
      </c>
      <c r="G1143" s="169" t="s">
        <v>1929</v>
      </c>
      <c r="H1143" s="169">
        <v>7</v>
      </c>
      <c r="I1143" s="136" t="str">
        <f t="shared" si="52"/>
        <v>BIGINT</v>
      </c>
      <c r="J1143" s="169" t="s">
        <v>1</v>
      </c>
      <c r="K1143" s="169" t="s">
        <v>0</v>
      </c>
      <c r="L1143" s="169">
        <v>30</v>
      </c>
      <c r="M1143" s="168"/>
      <c r="N1143" s="168"/>
      <c r="O1143" s="168"/>
      <c r="P1143" s="168"/>
      <c r="Q1143" s="168" t="s">
        <v>0</v>
      </c>
      <c r="R1143" s="168" t="s">
        <v>1</v>
      </c>
      <c r="S1143" s="178" t="str">
        <f t="shared" si="53"/>
        <v>D_MAN_CLAIM_EXPOSURECLAIM_EXPOSURE_ID</v>
      </c>
    </row>
    <row r="1144" spans="1:19" ht="14.4" x14ac:dyDescent="0.3">
      <c r="A1144" s="169" t="s">
        <v>1850</v>
      </c>
      <c r="B1144" s="171" t="str">
        <f t="shared" si="51"/>
        <v>D_MAN_CLAIM_EXPOSURE</v>
      </c>
      <c r="C1144" s="169" t="s">
        <v>585</v>
      </c>
      <c r="D1144" s="169">
        <v>517</v>
      </c>
      <c r="E1144" s="169">
        <v>3</v>
      </c>
      <c r="F1144" s="169" t="s">
        <v>585</v>
      </c>
      <c r="G1144" s="169" t="s">
        <v>585</v>
      </c>
      <c r="H1144" s="169">
        <v>7</v>
      </c>
      <c r="I1144" s="136" t="str">
        <f t="shared" si="52"/>
        <v>BIGINT</v>
      </c>
      <c r="J1144" s="169" t="s">
        <v>1</v>
      </c>
      <c r="K1144" s="169" t="s">
        <v>1</v>
      </c>
      <c r="L1144" s="169">
        <v>30</v>
      </c>
      <c r="M1144" s="168"/>
      <c r="N1144" s="168"/>
      <c r="O1144" s="168"/>
      <c r="P1144" s="168"/>
      <c r="Q1144" s="168" t="s">
        <v>0</v>
      </c>
      <c r="R1144" s="168" t="s">
        <v>1</v>
      </c>
      <c r="S1144" s="178" t="str">
        <f t="shared" si="53"/>
        <v>D_MAN_CLAIM_EXPOSURECLAIM_ORIG_ID</v>
      </c>
    </row>
    <row r="1145" spans="1:19" ht="14.4" x14ac:dyDescent="0.3">
      <c r="A1145" s="169" t="s">
        <v>1850</v>
      </c>
      <c r="B1145" s="171" t="str">
        <f t="shared" si="51"/>
        <v>D_MAN_CLAIM_EXPOSURE</v>
      </c>
      <c r="C1145" s="169" t="s">
        <v>861</v>
      </c>
      <c r="D1145" s="169">
        <v>518</v>
      </c>
      <c r="E1145" s="169">
        <v>4</v>
      </c>
      <c r="F1145" s="169" t="s">
        <v>861</v>
      </c>
      <c r="G1145" s="169" t="s">
        <v>861</v>
      </c>
      <c r="H1145" s="169">
        <v>21</v>
      </c>
      <c r="I1145" s="136" t="str">
        <f t="shared" si="52"/>
        <v>DECIMAL(19, 2)</v>
      </c>
      <c r="J1145" s="169" t="s">
        <v>0</v>
      </c>
      <c r="K1145" s="169" t="s">
        <v>1</v>
      </c>
      <c r="L1145" s="169">
        <v>30</v>
      </c>
      <c r="M1145" s="168"/>
      <c r="N1145" s="168"/>
      <c r="O1145" s="168"/>
      <c r="P1145" s="168"/>
      <c r="Q1145" s="168" t="s">
        <v>0</v>
      </c>
      <c r="R1145" s="168" t="s">
        <v>1</v>
      </c>
      <c r="S1145" s="178" t="str">
        <f t="shared" si="53"/>
        <v>D_MAN_CLAIM_EXPOSUREEAD_NOCCF_CCY_AMT</v>
      </c>
    </row>
    <row r="1146" spans="1:19" ht="14.4" x14ac:dyDescent="0.3">
      <c r="A1146" s="169" t="s">
        <v>1850</v>
      </c>
      <c r="B1146" s="171" t="str">
        <f t="shared" si="51"/>
        <v>D_MAN_CLAIM_EXPOSURE</v>
      </c>
      <c r="C1146" s="169" t="s">
        <v>859</v>
      </c>
      <c r="D1146" s="169">
        <v>519</v>
      </c>
      <c r="E1146" s="169">
        <v>5</v>
      </c>
      <c r="F1146" s="169" t="s">
        <v>859</v>
      </c>
      <c r="G1146" s="169" t="s">
        <v>859</v>
      </c>
      <c r="H1146" s="169">
        <v>21</v>
      </c>
      <c r="I1146" s="136" t="str">
        <f t="shared" si="52"/>
        <v>DECIMAL(19, 2)</v>
      </c>
      <c r="J1146" s="169" t="s">
        <v>0</v>
      </c>
      <c r="K1146" s="169" t="s">
        <v>1</v>
      </c>
      <c r="L1146" s="169">
        <v>30</v>
      </c>
      <c r="M1146" s="168"/>
      <c r="N1146" s="168"/>
      <c r="O1146" s="168"/>
      <c r="P1146" s="168"/>
      <c r="Q1146" s="168" t="s">
        <v>0</v>
      </c>
      <c r="R1146" s="168" t="s">
        <v>1</v>
      </c>
      <c r="S1146" s="178" t="str">
        <f t="shared" si="53"/>
        <v>D_MAN_CLAIM_EXPOSUREEAD_NOCCF_RUB_AMT</v>
      </c>
    </row>
    <row r="1147" spans="1:19" ht="14.4" x14ac:dyDescent="0.3">
      <c r="A1147" s="169" t="s">
        <v>1850</v>
      </c>
      <c r="B1147" s="171" t="str">
        <f t="shared" si="51"/>
        <v>D_MAN_CLAIM_EXPOSURE</v>
      </c>
      <c r="C1147" s="169" t="s">
        <v>1851</v>
      </c>
      <c r="D1147" s="169">
        <v>520</v>
      </c>
      <c r="E1147" s="169">
        <v>6</v>
      </c>
      <c r="F1147" s="169" t="s">
        <v>1851</v>
      </c>
      <c r="G1147" s="169" t="s">
        <v>1851</v>
      </c>
      <c r="H1147" s="169">
        <v>3</v>
      </c>
      <c r="I1147" s="136" t="str">
        <f t="shared" si="52"/>
        <v>DECIMAL(20, 6)</v>
      </c>
      <c r="J1147" s="169" t="s">
        <v>0</v>
      </c>
      <c r="K1147" s="169" t="s">
        <v>1</v>
      </c>
      <c r="L1147" s="169">
        <v>30</v>
      </c>
      <c r="M1147" s="168"/>
      <c r="N1147" s="168"/>
      <c r="O1147" s="168"/>
      <c r="P1147" s="168"/>
      <c r="Q1147" s="168" t="s">
        <v>0</v>
      </c>
      <c r="R1147" s="168" t="s">
        <v>1</v>
      </c>
      <c r="S1147" s="178" t="str">
        <f t="shared" si="53"/>
        <v>D_MAN_CLAIM_EXPOSUREEFF_CCF_IRB_PCT</v>
      </c>
    </row>
    <row r="1148" spans="1:19" ht="14.4" x14ac:dyDescent="0.3">
      <c r="A1148" s="169" t="s">
        <v>1850</v>
      </c>
      <c r="B1148" s="171" t="str">
        <f t="shared" si="51"/>
        <v>D_MAN_CLAIM_EXPOSURE</v>
      </c>
      <c r="C1148" s="169" t="s">
        <v>1852</v>
      </c>
      <c r="D1148" s="169">
        <v>521</v>
      </c>
      <c r="E1148" s="169">
        <v>7</v>
      </c>
      <c r="F1148" s="169" t="s">
        <v>1852</v>
      </c>
      <c r="G1148" s="169" t="s">
        <v>1852</v>
      </c>
      <c r="H1148" s="169">
        <v>3</v>
      </c>
      <c r="I1148" s="136" t="str">
        <f t="shared" si="52"/>
        <v>DECIMAL(20, 6)</v>
      </c>
      <c r="J1148" s="169" t="s">
        <v>0</v>
      </c>
      <c r="K1148" s="169" t="s">
        <v>1</v>
      </c>
      <c r="L1148" s="169">
        <v>30</v>
      </c>
      <c r="M1148" s="168"/>
      <c r="N1148" s="168"/>
      <c r="O1148" s="168"/>
      <c r="P1148" s="168"/>
      <c r="Q1148" s="168" t="s">
        <v>0</v>
      </c>
      <c r="R1148" s="168" t="s">
        <v>1</v>
      </c>
      <c r="S1148" s="178" t="str">
        <f t="shared" si="53"/>
        <v>D_MAN_CLAIM_EXPOSUREEFF_CCF_STD_PCT</v>
      </c>
    </row>
    <row r="1149" spans="1:19" ht="14.4" x14ac:dyDescent="0.3">
      <c r="A1149" s="169" t="s">
        <v>1850</v>
      </c>
      <c r="B1149" s="171" t="str">
        <f t="shared" si="51"/>
        <v>D_MAN_CLAIM_EXPOSURE</v>
      </c>
      <c r="C1149" s="169" t="s">
        <v>863</v>
      </c>
      <c r="D1149" s="169">
        <v>522</v>
      </c>
      <c r="E1149" s="169">
        <v>8</v>
      </c>
      <c r="F1149" s="169" t="s">
        <v>863</v>
      </c>
      <c r="G1149" s="169" t="s">
        <v>863</v>
      </c>
      <c r="H1149" s="169">
        <v>3</v>
      </c>
      <c r="I1149" s="136" t="str">
        <f t="shared" si="52"/>
        <v>DECIMAL(20, 6)</v>
      </c>
      <c r="J1149" s="169" t="s">
        <v>0</v>
      </c>
      <c r="K1149" s="169" t="s">
        <v>1</v>
      </c>
      <c r="L1149" s="169">
        <v>30</v>
      </c>
      <c r="M1149" s="168"/>
      <c r="N1149" s="168"/>
      <c r="O1149" s="168"/>
      <c r="P1149" s="168"/>
      <c r="Q1149" s="168" t="s">
        <v>0</v>
      </c>
      <c r="R1149" s="168" t="s">
        <v>1</v>
      </c>
      <c r="S1149" s="178" t="str">
        <f t="shared" si="53"/>
        <v>D_MAN_CLAIM_EXPOSUREEFF_MATURITY_YEAR</v>
      </c>
    </row>
    <row r="1150" spans="1:19" ht="14.4" x14ac:dyDescent="0.3">
      <c r="A1150" s="169" t="s">
        <v>1850</v>
      </c>
      <c r="B1150" s="171" t="str">
        <f t="shared" si="51"/>
        <v>D_MAN_CLAIM_EXPOSURE</v>
      </c>
      <c r="C1150" s="169" t="s">
        <v>52</v>
      </c>
      <c r="D1150" s="169">
        <v>523</v>
      </c>
      <c r="E1150" s="169">
        <v>9</v>
      </c>
      <c r="F1150" s="169" t="s">
        <v>52</v>
      </c>
      <c r="G1150" s="169" t="s">
        <v>52</v>
      </c>
      <c r="H1150" s="169">
        <v>34</v>
      </c>
      <c r="I1150" s="136" t="str">
        <f t="shared" si="52"/>
        <v>DATE</v>
      </c>
      <c r="J1150" s="169" t="s">
        <v>1</v>
      </c>
      <c r="K1150" s="169" t="s">
        <v>1</v>
      </c>
      <c r="L1150" s="169">
        <v>30</v>
      </c>
      <c r="M1150" s="168"/>
      <c r="N1150" s="168"/>
      <c r="O1150" s="168"/>
      <c r="P1150" s="168"/>
      <c r="Q1150" s="168" t="s">
        <v>0</v>
      </c>
      <c r="R1150" s="168" t="s">
        <v>1</v>
      </c>
      <c r="S1150" s="178" t="str">
        <f t="shared" si="53"/>
        <v>D_MAN_CLAIM_EXPOSUREEND_DT</v>
      </c>
    </row>
    <row r="1151" spans="1:19" ht="14.4" x14ac:dyDescent="0.3">
      <c r="A1151" s="169" t="s">
        <v>1850</v>
      </c>
      <c r="B1151" s="171" t="str">
        <f t="shared" si="51"/>
        <v>D_MAN_CLAIM_EXPOSURE</v>
      </c>
      <c r="C1151" s="169" t="s">
        <v>489</v>
      </c>
      <c r="D1151" s="169">
        <v>524</v>
      </c>
      <c r="E1151" s="169">
        <v>10</v>
      </c>
      <c r="F1151" s="169" t="s">
        <v>489</v>
      </c>
      <c r="G1151" s="169" t="s">
        <v>489</v>
      </c>
      <c r="H1151" s="169">
        <v>7</v>
      </c>
      <c r="I1151" s="136" t="str">
        <f t="shared" si="52"/>
        <v>BIGINT</v>
      </c>
      <c r="J1151" s="169" t="s">
        <v>1</v>
      </c>
      <c r="K1151" s="169" t="s">
        <v>1</v>
      </c>
      <c r="L1151" s="169">
        <v>30</v>
      </c>
      <c r="M1151" s="168"/>
      <c r="N1151" s="168"/>
      <c r="O1151" s="168"/>
      <c r="P1151" s="168"/>
      <c r="Q1151" s="168" t="s">
        <v>0</v>
      </c>
      <c r="R1151" s="168" t="s">
        <v>1</v>
      </c>
      <c r="S1151" s="178" t="str">
        <f t="shared" si="53"/>
        <v>D_MAN_CLAIM_EXPOSUREEXPOSURE_TYPE_ID</v>
      </c>
    </row>
    <row r="1152" spans="1:19" ht="14.4" x14ac:dyDescent="0.3">
      <c r="A1152" s="169" t="s">
        <v>1850</v>
      </c>
      <c r="B1152" s="171" t="str">
        <f t="shared" si="51"/>
        <v>D_MAN_CLAIM_EXPOSURE</v>
      </c>
      <c r="C1152" s="169" t="s">
        <v>51</v>
      </c>
      <c r="D1152" s="169">
        <v>525</v>
      </c>
      <c r="E1152" s="169">
        <v>11</v>
      </c>
      <c r="F1152" s="169" t="s">
        <v>51</v>
      </c>
      <c r="G1152" s="169" t="s">
        <v>51</v>
      </c>
      <c r="H1152" s="169">
        <v>34</v>
      </c>
      <c r="I1152" s="136" t="str">
        <f t="shared" si="52"/>
        <v>DATE</v>
      </c>
      <c r="J1152" s="169" t="s">
        <v>1</v>
      </c>
      <c r="K1152" s="169" t="s">
        <v>1</v>
      </c>
      <c r="L1152" s="169">
        <v>30</v>
      </c>
      <c r="M1152" s="168"/>
      <c r="N1152" s="168"/>
      <c r="O1152" s="168"/>
      <c r="P1152" s="168"/>
      <c r="Q1152" s="168" t="s">
        <v>0</v>
      </c>
      <c r="R1152" s="168" t="s">
        <v>1</v>
      </c>
      <c r="S1152" s="178" t="str">
        <f t="shared" si="53"/>
        <v>D_MAN_CLAIM_EXPOSURESTART_DT</v>
      </c>
    </row>
    <row r="1153" spans="1:19" ht="14.4" x14ac:dyDescent="0.3">
      <c r="A1153" s="169" t="s">
        <v>1847</v>
      </c>
      <c r="B1153" s="171" t="str">
        <f t="shared" si="51"/>
        <v>D_MAN_CLAIM_ORIG</v>
      </c>
      <c r="C1153" s="169" t="s">
        <v>1546</v>
      </c>
      <c r="D1153" s="169">
        <v>526</v>
      </c>
      <c r="E1153" s="169">
        <v>1</v>
      </c>
      <c r="F1153" s="169" t="s">
        <v>1546</v>
      </c>
      <c r="G1153" s="169" t="s">
        <v>1546</v>
      </c>
      <c r="H1153" s="169">
        <v>3</v>
      </c>
      <c r="I1153" s="136" t="str">
        <f t="shared" si="52"/>
        <v>DECIMAL(20, 6)</v>
      </c>
      <c r="J1153" s="169" t="s">
        <v>0</v>
      </c>
      <c r="K1153" s="169" t="s">
        <v>1</v>
      </c>
      <c r="L1153" s="169">
        <v>30</v>
      </c>
      <c r="M1153" s="168"/>
      <c r="N1153" s="168"/>
      <c r="O1153" s="168"/>
      <c r="P1153" s="168"/>
      <c r="Q1153" s="168" t="s">
        <v>0</v>
      </c>
      <c r="R1153" s="168" t="s">
        <v>1</v>
      </c>
      <c r="S1153" s="178" t="str">
        <f t="shared" si="53"/>
        <v>D_MAN_CLAIM_ORIGACTUAL_INT_RATE_PCT</v>
      </c>
    </row>
    <row r="1154" spans="1:19" ht="14.4" x14ac:dyDescent="0.3">
      <c r="A1154" s="169" t="s">
        <v>1847</v>
      </c>
      <c r="B1154" s="171" t="str">
        <f t="shared" ref="B1154:B1217" si="54">IF(NOT(ISBLANK(A1154)),VLOOKUP(A1154,ERM_TABLE_NM,2,FALSE), "")</f>
        <v>D_MAN_CLAIM_ORIG</v>
      </c>
      <c r="C1154" s="169" t="s">
        <v>656</v>
      </c>
      <c r="D1154" s="169">
        <v>527</v>
      </c>
      <c r="E1154" s="169">
        <v>2</v>
      </c>
      <c r="F1154" s="169" t="s">
        <v>656</v>
      </c>
      <c r="G1154" s="169" t="s">
        <v>656</v>
      </c>
      <c r="H1154" s="169">
        <v>3</v>
      </c>
      <c r="I1154" s="136" t="str">
        <f t="shared" ref="I1154:I1217" si="55">IF(NOT(ISBLANK(H1154)),VLOOKUP(H1154,ERM_DOMAIN_NM,2,FALSE), "")</f>
        <v>DECIMAL(20, 6)</v>
      </c>
      <c r="J1154" s="169" t="s">
        <v>0</v>
      </c>
      <c r="K1154" s="169" t="s">
        <v>1</v>
      </c>
      <c r="L1154" s="169">
        <v>30</v>
      </c>
      <c r="M1154" s="168"/>
      <c r="N1154" s="168"/>
      <c r="O1154" s="168"/>
      <c r="P1154" s="168"/>
      <c r="Q1154" s="168" t="s">
        <v>0</v>
      </c>
      <c r="R1154" s="168" t="s">
        <v>1</v>
      </c>
      <c r="S1154" s="178" t="str">
        <f t="shared" si="53"/>
        <v>D_MAN_CLAIM_ORIGACTUAL_RESERVE_RATE_PCT</v>
      </c>
    </row>
    <row r="1155" spans="1:19" ht="14.4" x14ac:dyDescent="0.3">
      <c r="A1155" s="169" t="s">
        <v>1847</v>
      </c>
      <c r="B1155" s="171" t="str">
        <f t="shared" si="54"/>
        <v>D_MAN_CLAIM_ORIG</v>
      </c>
      <c r="C1155" s="169" t="s">
        <v>1596</v>
      </c>
      <c r="D1155" s="169">
        <v>528</v>
      </c>
      <c r="E1155" s="169">
        <v>3</v>
      </c>
      <c r="F1155" s="169" t="s">
        <v>1596</v>
      </c>
      <c r="G1155" s="169" t="s">
        <v>1596</v>
      </c>
      <c r="H1155" s="169">
        <v>24</v>
      </c>
      <c r="I1155" s="136" t="str">
        <f t="shared" si="55"/>
        <v xml:space="preserve">VARCHAR(40) </v>
      </c>
      <c r="J1155" s="169" t="s">
        <v>0</v>
      </c>
      <c r="K1155" s="169" t="s">
        <v>1</v>
      </c>
      <c r="L1155" s="169">
        <v>30</v>
      </c>
      <c r="M1155" s="168"/>
      <c r="N1155" s="168"/>
      <c r="O1155" s="168"/>
      <c r="P1155" s="168"/>
      <c r="Q1155" s="168" t="s">
        <v>0</v>
      </c>
      <c r="R1155" s="168" t="s">
        <v>1</v>
      </c>
      <c r="S1155" s="178" t="str">
        <f t="shared" ref="S1155:S1218" si="56">CONCATENATE(A1155,C1155)</f>
        <v>D_MAN_CLAIM_ORIGAPPLICATION_MIXED_ID</v>
      </c>
    </row>
    <row r="1156" spans="1:19" ht="14.4" x14ac:dyDescent="0.3">
      <c r="A1156" s="169" t="s">
        <v>1847</v>
      </c>
      <c r="B1156" s="171" t="str">
        <f t="shared" si="54"/>
        <v>D_MAN_CLAIM_ORIG</v>
      </c>
      <c r="C1156" s="169" t="s">
        <v>1853</v>
      </c>
      <c r="D1156" s="169">
        <v>529</v>
      </c>
      <c r="E1156" s="169">
        <v>4</v>
      </c>
      <c r="F1156" s="169" t="s">
        <v>1853</v>
      </c>
      <c r="G1156" s="169" t="s">
        <v>1853</v>
      </c>
      <c r="H1156" s="169">
        <v>21</v>
      </c>
      <c r="I1156" s="136" t="str">
        <f t="shared" si="55"/>
        <v>DECIMAL(19, 2)</v>
      </c>
      <c r="J1156" s="169" t="s">
        <v>0</v>
      </c>
      <c r="K1156" s="169" t="s">
        <v>1</v>
      </c>
      <c r="L1156" s="169">
        <v>30</v>
      </c>
      <c r="M1156" s="168"/>
      <c r="N1156" s="168"/>
      <c r="O1156" s="168"/>
      <c r="P1156" s="168"/>
      <c r="Q1156" s="168" t="s">
        <v>0</v>
      </c>
      <c r="R1156" s="168" t="s">
        <v>1</v>
      </c>
      <c r="S1156" s="178" t="str">
        <f t="shared" si="56"/>
        <v>D_MAN_CLAIM_ORIGBALANCE_CCY_AMT</v>
      </c>
    </row>
    <row r="1157" spans="1:19" ht="14.4" x14ac:dyDescent="0.3">
      <c r="A1157" s="169" t="s">
        <v>1847</v>
      </c>
      <c r="B1157" s="171" t="str">
        <f t="shared" si="54"/>
        <v>D_MAN_CLAIM_ORIG</v>
      </c>
      <c r="C1157" s="169" t="s">
        <v>587</v>
      </c>
      <c r="D1157" s="169">
        <v>530</v>
      </c>
      <c r="E1157" s="169">
        <v>5</v>
      </c>
      <c r="F1157" s="169" t="s">
        <v>587</v>
      </c>
      <c r="G1157" s="169" t="s">
        <v>587</v>
      </c>
      <c r="H1157" s="169">
        <v>13</v>
      </c>
      <c r="I1157" s="136" t="str">
        <f t="shared" si="55"/>
        <v xml:space="preserve">VARCHAR(300) </v>
      </c>
      <c r="J1157" s="169" t="s">
        <v>0</v>
      </c>
      <c r="K1157" s="169" t="s">
        <v>1</v>
      </c>
      <c r="L1157" s="169">
        <v>30</v>
      </c>
      <c r="M1157" s="168"/>
      <c r="N1157" s="168"/>
      <c r="O1157" s="168"/>
      <c r="P1157" s="168"/>
      <c r="Q1157" s="168" t="s">
        <v>0</v>
      </c>
      <c r="R1157" s="168" t="s">
        <v>1</v>
      </c>
      <c r="S1157" s="178" t="str">
        <f t="shared" si="56"/>
        <v>D_MAN_CLAIM_ORIGBALANCE_ITEM</v>
      </c>
    </row>
    <row r="1158" spans="1:19" ht="14.4" x14ac:dyDescent="0.3">
      <c r="A1158" s="169" t="s">
        <v>1847</v>
      </c>
      <c r="B1158" s="171" t="str">
        <f t="shared" si="54"/>
        <v>D_MAN_CLAIM_ORIG</v>
      </c>
      <c r="C1158" s="169" t="s">
        <v>686</v>
      </c>
      <c r="D1158" s="169">
        <v>531</v>
      </c>
      <c r="E1158" s="169">
        <v>6</v>
      </c>
      <c r="F1158" s="169" t="s">
        <v>686</v>
      </c>
      <c r="G1158" s="169" t="s">
        <v>686</v>
      </c>
      <c r="H1158" s="169">
        <v>7</v>
      </c>
      <c r="I1158" s="136" t="str">
        <f t="shared" si="55"/>
        <v>BIGINT</v>
      </c>
      <c r="J1158" s="169" t="s">
        <v>0</v>
      </c>
      <c r="K1158" s="169" t="s">
        <v>1</v>
      </c>
      <c r="L1158" s="169">
        <v>30</v>
      </c>
      <c r="M1158" s="168"/>
      <c r="N1158" s="168"/>
      <c r="O1158" s="168"/>
      <c r="P1158" s="168"/>
      <c r="Q1158" s="168" t="s">
        <v>0</v>
      </c>
      <c r="R1158" s="168" t="s">
        <v>1</v>
      </c>
      <c r="S1158" s="178" t="str">
        <f t="shared" si="56"/>
        <v>D_MAN_CLAIM_ORIGBUSINESS_SEGMENT_ID</v>
      </c>
    </row>
    <row r="1159" spans="1:19" ht="14.4" x14ac:dyDescent="0.3">
      <c r="A1159" s="169" t="s">
        <v>1847</v>
      </c>
      <c r="B1159" s="171" t="str">
        <f t="shared" si="54"/>
        <v>D_MAN_CLAIM_ORIG</v>
      </c>
      <c r="C1159" s="169" t="s">
        <v>688</v>
      </c>
      <c r="D1159" s="169">
        <v>532</v>
      </c>
      <c r="E1159" s="169">
        <v>7</v>
      </c>
      <c r="F1159" s="169" t="s">
        <v>688</v>
      </c>
      <c r="G1159" s="169" t="s">
        <v>688</v>
      </c>
      <c r="H1159" s="169">
        <v>3</v>
      </c>
      <c r="I1159" s="136" t="str">
        <f t="shared" si="55"/>
        <v>DECIMAL(20, 6)</v>
      </c>
      <c r="J1159" s="169" t="s">
        <v>0</v>
      </c>
      <c r="K1159" s="169" t="s">
        <v>1</v>
      </c>
      <c r="L1159" s="169">
        <v>30</v>
      </c>
      <c r="M1159" s="168"/>
      <c r="N1159" s="168"/>
      <c r="O1159" s="168"/>
      <c r="P1159" s="168"/>
      <c r="Q1159" s="168" t="s">
        <v>0</v>
      </c>
      <c r="R1159" s="168" t="s">
        <v>1</v>
      </c>
      <c r="S1159" s="178" t="str">
        <f t="shared" si="56"/>
        <v>D_MAN_CLAIM_ORIGCALCULATED_RESERVE_RATE_PCT</v>
      </c>
    </row>
    <row r="1160" spans="1:19" ht="14.4" x14ac:dyDescent="0.3">
      <c r="A1160" s="169" t="s">
        <v>1847</v>
      </c>
      <c r="B1160" s="171" t="str">
        <f t="shared" si="54"/>
        <v>D_MAN_CLAIM_ORIG</v>
      </c>
      <c r="C1160" s="169" t="s">
        <v>1462</v>
      </c>
      <c r="D1160" s="169">
        <v>533</v>
      </c>
      <c r="E1160" s="169">
        <v>8</v>
      </c>
      <c r="F1160" s="169" t="s">
        <v>1462</v>
      </c>
      <c r="G1160" s="169" t="s">
        <v>1462</v>
      </c>
      <c r="H1160" s="169">
        <v>13</v>
      </c>
      <c r="I1160" s="136" t="str">
        <f t="shared" si="55"/>
        <v xml:space="preserve">VARCHAR(300) </v>
      </c>
      <c r="J1160" s="169" t="s">
        <v>0</v>
      </c>
      <c r="K1160" s="169" t="s">
        <v>1</v>
      </c>
      <c r="L1160" s="169">
        <v>30</v>
      </c>
      <c r="M1160" s="168"/>
      <c r="N1160" s="168"/>
      <c r="O1160" s="168"/>
      <c r="P1160" s="168"/>
      <c r="Q1160" s="168" t="s">
        <v>0</v>
      </c>
      <c r="R1160" s="168" t="s">
        <v>1</v>
      </c>
      <c r="S1160" s="178" t="str">
        <f t="shared" si="56"/>
        <v>D_MAN_CLAIM_ORIGCALC_ID_IN_CRM</v>
      </c>
    </row>
    <row r="1161" spans="1:19" ht="14.4" x14ac:dyDescent="0.3">
      <c r="A1161" s="169" t="s">
        <v>1847</v>
      </c>
      <c r="B1161" s="171" t="str">
        <f t="shared" si="54"/>
        <v>D_MAN_CLAIM_ORIG</v>
      </c>
      <c r="C1161" s="169" t="s">
        <v>869</v>
      </c>
      <c r="D1161" s="169">
        <v>534</v>
      </c>
      <c r="E1161" s="169">
        <v>9</v>
      </c>
      <c r="F1161" s="169" t="s">
        <v>869</v>
      </c>
      <c r="G1161" s="169" t="s">
        <v>869</v>
      </c>
      <c r="H1161" s="169">
        <v>7</v>
      </c>
      <c r="I1161" s="136" t="str">
        <f t="shared" si="55"/>
        <v>BIGINT</v>
      </c>
      <c r="J1161" s="169" t="s">
        <v>1</v>
      </c>
      <c r="K1161" s="169" t="s">
        <v>1</v>
      </c>
      <c r="L1161" s="169">
        <v>30</v>
      </c>
      <c r="M1161" s="168"/>
      <c r="N1161" s="168"/>
      <c r="O1161" s="168"/>
      <c r="P1161" s="168"/>
      <c r="Q1161" s="168" t="s">
        <v>0</v>
      </c>
      <c r="R1161" s="168" t="s">
        <v>1</v>
      </c>
      <c r="S1161" s="178" t="str">
        <f t="shared" si="56"/>
        <v>D_MAN_CLAIM_ORIGCCF_TYPE_ID</v>
      </c>
    </row>
    <row r="1162" spans="1:19" ht="14.4" x14ac:dyDescent="0.3">
      <c r="A1162" s="169" t="s">
        <v>1847</v>
      </c>
      <c r="B1162" s="171" t="str">
        <f t="shared" si="54"/>
        <v>D_MAN_CLAIM_ORIG</v>
      </c>
      <c r="C1162" s="169" t="s">
        <v>585</v>
      </c>
      <c r="D1162" s="169">
        <v>535</v>
      </c>
      <c r="E1162" s="169">
        <v>10</v>
      </c>
      <c r="F1162" s="169" t="s">
        <v>585</v>
      </c>
      <c r="G1162" s="169" t="s">
        <v>585</v>
      </c>
      <c r="H1162" s="169">
        <v>7</v>
      </c>
      <c r="I1162" s="136" t="str">
        <f t="shared" si="55"/>
        <v>BIGINT</v>
      </c>
      <c r="J1162" s="169" t="s">
        <v>1</v>
      </c>
      <c r="K1162" s="169" t="s">
        <v>0</v>
      </c>
      <c r="L1162" s="169">
        <v>30</v>
      </c>
      <c r="M1162" s="168"/>
      <c r="N1162" s="168"/>
      <c r="O1162" s="168"/>
      <c r="P1162" s="168"/>
      <c r="Q1162" s="168" t="s">
        <v>0</v>
      </c>
      <c r="R1162" s="168" t="s">
        <v>1</v>
      </c>
      <c r="S1162" s="178" t="str">
        <f t="shared" si="56"/>
        <v>D_MAN_CLAIM_ORIGCLAIM_ORIG_ID</v>
      </c>
    </row>
    <row r="1163" spans="1:19" ht="14.4" x14ac:dyDescent="0.3">
      <c r="A1163" s="169" t="s">
        <v>1847</v>
      </c>
      <c r="B1163" s="171" t="str">
        <f t="shared" si="54"/>
        <v>D_MAN_CLAIM_ORIG</v>
      </c>
      <c r="C1163" s="169" t="s">
        <v>1567</v>
      </c>
      <c r="D1163" s="169">
        <v>536</v>
      </c>
      <c r="E1163" s="169">
        <v>11</v>
      </c>
      <c r="F1163" s="169" t="s">
        <v>1567</v>
      </c>
      <c r="G1163" s="169" t="s">
        <v>1567</v>
      </c>
      <c r="H1163" s="169">
        <v>21</v>
      </c>
      <c r="I1163" s="136" t="str">
        <f t="shared" si="55"/>
        <v>DECIMAL(19, 2)</v>
      </c>
      <c r="J1163" s="169" t="s">
        <v>0</v>
      </c>
      <c r="K1163" s="169" t="s">
        <v>1</v>
      </c>
      <c r="L1163" s="169">
        <v>30</v>
      </c>
      <c r="M1163" s="168"/>
      <c r="N1163" s="168"/>
      <c r="O1163" s="168"/>
      <c r="P1163" s="168"/>
      <c r="Q1163" s="168" t="s">
        <v>0</v>
      </c>
      <c r="R1163" s="168" t="s">
        <v>1</v>
      </c>
      <c r="S1163" s="178" t="str">
        <f t="shared" si="56"/>
        <v>D_MAN_CLAIM_ORIGCONTRACT_CCY_AMT</v>
      </c>
    </row>
    <row r="1164" spans="1:19" ht="14.4" x14ac:dyDescent="0.3">
      <c r="A1164" s="169" t="s">
        <v>1847</v>
      </c>
      <c r="B1164" s="171" t="str">
        <f t="shared" si="54"/>
        <v>D_MAN_CLAIM_ORIG</v>
      </c>
      <c r="C1164" s="169" t="s">
        <v>618</v>
      </c>
      <c r="D1164" s="169">
        <v>537</v>
      </c>
      <c r="E1164" s="169">
        <v>12</v>
      </c>
      <c r="F1164" s="169" t="s">
        <v>618</v>
      </c>
      <c r="G1164" s="169" t="s">
        <v>618</v>
      </c>
      <c r="H1164" s="169">
        <v>24</v>
      </c>
      <c r="I1164" s="136" t="str">
        <f t="shared" si="55"/>
        <v xml:space="preserve">VARCHAR(40) </v>
      </c>
      <c r="J1164" s="169" t="s">
        <v>0</v>
      </c>
      <c r="K1164" s="169" t="s">
        <v>1</v>
      </c>
      <c r="L1164" s="169">
        <v>30</v>
      </c>
      <c r="M1164" s="168"/>
      <c r="N1164" s="168"/>
      <c r="O1164" s="168"/>
      <c r="P1164" s="168"/>
      <c r="Q1164" s="168" t="s">
        <v>0</v>
      </c>
      <c r="R1164" s="168" t="s">
        <v>1</v>
      </c>
      <c r="S1164" s="178" t="str">
        <f t="shared" si="56"/>
        <v>D_MAN_CLAIM_ORIGCONTRACT_MIXED_ID</v>
      </c>
    </row>
    <row r="1165" spans="1:19" ht="14.4" x14ac:dyDescent="0.3">
      <c r="A1165" s="169" t="s">
        <v>1847</v>
      </c>
      <c r="B1165" s="171" t="str">
        <f t="shared" si="54"/>
        <v>D_MAN_CLAIM_ORIG</v>
      </c>
      <c r="C1165" s="169" t="s">
        <v>494</v>
      </c>
      <c r="D1165" s="169">
        <v>538</v>
      </c>
      <c r="E1165" s="169">
        <v>13</v>
      </c>
      <c r="F1165" s="169" t="s">
        <v>494</v>
      </c>
      <c r="G1165" s="169" t="s">
        <v>494</v>
      </c>
      <c r="H1165" s="169">
        <v>13</v>
      </c>
      <c r="I1165" s="136" t="str">
        <f t="shared" si="55"/>
        <v xml:space="preserve">VARCHAR(300) </v>
      </c>
      <c r="J1165" s="169" t="s">
        <v>0</v>
      </c>
      <c r="K1165" s="169" t="s">
        <v>1</v>
      </c>
      <c r="L1165" s="169">
        <v>30</v>
      </c>
      <c r="M1165" s="168"/>
      <c r="N1165" s="168"/>
      <c r="O1165" s="168"/>
      <c r="P1165" s="168"/>
      <c r="Q1165" s="168" t="s">
        <v>0</v>
      </c>
      <c r="R1165" s="168" t="s">
        <v>1</v>
      </c>
      <c r="S1165" s="178" t="str">
        <f t="shared" si="56"/>
        <v>D_MAN_CLAIM_ORIGCONTRACT_NO</v>
      </c>
    </row>
    <row r="1166" spans="1:19" ht="14.4" x14ac:dyDescent="0.3">
      <c r="A1166" s="169" t="s">
        <v>1847</v>
      </c>
      <c r="B1166" s="171" t="str">
        <f t="shared" si="54"/>
        <v>D_MAN_CLAIM_ORIG</v>
      </c>
      <c r="C1166" s="169" t="s">
        <v>1393</v>
      </c>
      <c r="D1166" s="169">
        <v>539</v>
      </c>
      <c r="E1166" s="169">
        <v>14</v>
      </c>
      <c r="F1166" s="169" t="s">
        <v>1393</v>
      </c>
      <c r="G1166" s="169" t="s">
        <v>1393</v>
      </c>
      <c r="H1166" s="169">
        <v>21</v>
      </c>
      <c r="I1166" s="136" t="str">
        <f t="shared" si="55"/>
        <v>DECIMAL(19, 2)</v>
      </c>
      <c r="J1166" s="169" t="s">
        <v>0</v>
      </c>
      <c r="K1166" s="169" t="s">
        <v>1</v>
      </c>
      <c r="L1166" s="169">
        <v>30</v>
      </c>
      <c r="M1166" s="168"/>
      <c r="N1166" s="168"/>
      <c r="O1166" s="168"/>
      <c r="P1166" s="168"/>
      <c r="Q1166" s="168" t="s">
        <v>0</v>
      </c>
      <c r="R1166" s="168" t="s">
        <v>1</v>
      </c>
      <c r="S1166" s="178" t="str">
        <f t="shared" si="56"/>
        <v>D_MAN_CLAIM_ORIGCONTRACT_RUB_AMT</v>
      </c>
    </row>
    <row r="1167" spans="1:19" ht="14.4" x14ac:dyDescent="0.3">
      <c r="A1167" s="169" t="s">
        <v>1847</v>
      </c>
      <c r="B1167" s="171" t="str">
        <f t="shared" si="54"/>
        <v>D_MAN_CLAIM_ORIG</v>
      </c>
      <c r="C1167" s="169" t="s">
        <v>632</v>
      </c>
      <c r="D1167" s="169">
        <v>540</v>
      </c>
      <c r="E1167" s="169">
        <v>15</v>
      </c>
      <c r="F1167" s="169" t="s">
        <v>632</v>
      </c>
      <c r="G1167" s="169" t="s">
        <v>632</v>
      </c>
      <c r="H1167" s="169">
        <v>34</v>
      </c>
      <c r="I1167" s="136" t="str">
        <f t="shared" si="55"/>
        <v>DATE</v>
      </c>
      <c r="J1167" s="169" t="s">
        <v>0</v>
      </c>
      <c r="K1167" s="169" t="s">
        <v>1</v>
      </c>
      <c r="L1167" s="169">
        <v>30</v>
      </c>
      <c r="M1167" s="168"/>
      <c r="N1167" s="168"/>
      <c r="O1167" s="168"/>
      <c r="P1167" s="168"/>
      <c r="Q1167" s="168" t="s">
        <v>0</v>
      </c>
      <c r="R1167" s="168" t="s">
        <v>1</v>
      </c>
      <c r="S1167" s="178" t="str">
        <f t="shared" si="56"/>
        <v>D_MAN_CLAIM_ORIGCONTRACT_SIGNATURE_DT</v>
      </c>
    </row>
    <row r="1168" spans="1:19" ht="14.4" x14ac:dyDescent="0.3">
      <c r="A1168" s="169" t="s">
        <v>1847</v>
      </c>
      <c r="B1168" s="171" t="str">
        <f t="shared" si="54"/>
        <v>D_MAN_CLAIM_ORIG</v>
      </c>
      <c r="C1168" s="169" t="s">
        <v>581</v>
      </c>
      <c r="D1168" s="169">
        <v>541</v>
      </c>
      <c r="E1168" s="169">
        <v>16</v>
      </c>
      <c r="F1168" s="169" t="s">
        <v>581</v>
      </c>
      <c r="G1168" s="169" t="s">
        <v>581</v>
      </c>
      <c r="H1168" s="169">
        <v>7</v>
      </c>
      <c r="I1168" s="136" t="str">
        <f t="shared" si="55"/>
        <v>BIGINT</v>
      </c>
      <c r="J1168" s="169" t="s">
        <v>1</v>
      </c>
      <c r="K1168" s="169" t="s">
        <v>1</v>
      </c>
      <c r="L1168" s="169">
        <v>30</v>
      </c>
      <c r="M1168" s="168"/>
      <c r="N1168" s="168"/>
      <c r="O1168" s="168"/>
      <c r="P1168" s="168"/>
      <c r="Q1168" s="168" t="s">
        <v>0</v>
      </c>
      <c r="R1168" s="168" t="s">
        <v>1</v>
      </c>
      <c r="S1168" s="178" t="str">
        <f t="shared" si="56"/>
        <v>D_MAN_CLAIM_ORIGCP_ORIG_ID</v>
      </c>
    </row>
    <row r="1169" spans="1:19" ht="14.4" x14ac:dyDescent="0.3">
      <c r="A1169" s="169" t="s">
        <v>1847</v>
      </c>
      <c r="B1169" s="171" t="str">
        <f t="shared" si="54"/>
        <v>D_MAN_CLAIM_ORIG</v>
      </c>
      <c r="C1169" s="169" t="s">
        <v>1473</v>
      </c>
      <c r="D1169" s="169">
        <v>542</v>
      </c>
      <c r="E1169" s="169">
        <v>17</v>
      </c>
      <c r="F1169" s="169" t="s">
        <v>1473</v>
      </c>
      <c r="G1169" s="169" t="s">
        <v>1473</v>
      </c>
      <c r="H1169" s="169">
        <v>21</v>
      </c>
      <c r="I1169" s="136" t="str">
        <f t="shared" si="55"/>
        <v>DECIMAL(19, 2)</v>
      </c>
      <c r="J1169" s="169" t="s">
        <v>0</v>
      </c>
      <c r="K1169" s="169" t="s">
        <v>1</v>
      </c>
      <c r="L1169" s="169">
        <v>30</v>
      </c>
      <c r="M1169" s="168"/>
      <c r="N1169" s="168"/>
      <c r="O1169" s="168"/>
      <c r="P1169" s="168"/>
      <c r="Q1169" s="168" t="s">
        <v>0</v>
      </c>
      <c r="R1169" s="168" t="s">
        <v>1</v>
      </c>
      <c r="S1169" s="178" t="str">
        <f t="shared" si="56"/>
        <v>D_MAN_CLAIM_ORIGCRM_EAD_RUB_AMT</v>
      </c>
    </row>
    <row r="1170" spans="1:19" ht="14.4" x14ac:dyDescent="0.3">
      <c r="A1170" s="169" t="s">
        <v>1847</v>
      </c>
      <c r="B1170" s="171" t="str">
        <f t="shared" si="54"/>
        <v>D_MAN_CLAIM_ORIG</v>
      </c>
      <c r="C1170" s="169" t="s">
        <v>614</v>
      </c>
      <c r="D1170" s="169">
        <v>543</v>
      </c>
      <c r="E1170" s="169">
        <v>18</v>
      </c>
      <c r="F1170" s="169" t="s">
        <v>614</v>
      </c>
      <c r="G1170" s="169" t="s">
        <v>614</v>
      </c>
      <c r="H1170" s="169">
        <v>7</v>
      </c>
      <c r="I1170" s="136" t="str">
        <f t="shared" si="55"/>
        <v>BIGINT</v>
      </c>
      <c r="J1170" s="169" t="s">
        <v>0</v>
      </c>
      <c r="K1170" s="169" t="s">
        <v>1</v>
      </c>
      <c r="L1170" s="169">
        <v>30</v>
      </c>
      <c r="M1170" s="168"/>
      <c r="N1170" s="168"/>
      <c r="O1170" s="168"/>
      <c r="P1170" s="168"/>
      <c r="Q1170" s="168" t="s">
        <v>0</v>
      </c>
      <c r="R1170" s="168" t="s">
        <v>1</v>
      </c>
      <c r="S1170" s="178" t="str">
        <f t="shared" si="56"/>
        <v>D_MAN_CLAIM_ORIGCURRENCY_ID</v>
      </c>
    </row>
    <row r="1171" spans="1:19" ht="14.4" x14ac:dyDescent="0.3">
      <c r="A1171" s="169" t="s">
        <v>1847</v>
      </c>
      <c r="B1171" s="171" t="str">
        <f t="shared" si="54"/>
        <v>D_MAN_CLAIM_ORIG</v>
      </c>
      <c r="C1171" s="169" t="s">
        <v>685</v>
      </c>
      <c r="D1171" s="169">
        <v>544</v>
      </c>
      <c r="E1171" s="169">
        <v>19</v>
      </c>
      <c r="F1171" s="169" t="s">
        <v>685</v>
      </c>
      <c r="G1171" s="169" t="s">
        <v>685</v>
      </c>
      <c r="H1171" s="169">
        <v>24</v>
      </c>
      <c r="I1171" s="136" t="str">
        <f t="shared" si="55"/>
        <v xml:space="preserve">VARCHAR(40) </v>
      </c>
      <c r="J1171" s="169" t="s">
        <v>0</v>
      </c>
      <c r="K1171" s="169" t="s">
        <v>1</v>
      </c>
      <c r="L1171" s="169">
        <v>30</v>
      </c>
      <c r="M1171" s="168"/>
      <c r="N1171" s="168"/>
      <c r="O1171" s="168"/>
      <c r="P1171" s="168"/>
      <c r="Q1171" s="168" t="s">
        <v>0</v>
      </c>
      <c r="R1171" s="168" t="s">
        <v>1</v>
      </c>
      <c r="S1171" s="178" t="str">
        <f t="shared" si="56"/>
        <v>D_MAN_CLAIM_ORIGDEAL_ID_IN_CRM</v>
      </c>
    </row>
    <row r="1172" spans="1:19" ht="14.4" x14ac:dyDescent="0.3">
      <c r="A1172" s="169" t="s">
        <v>1847</v>
      </c>
      <c r="B1172" s="171" t="str">
        <f t="shared" si="54"/>
        <v>D_MAN_CLAIM_ORIG</v>
      </c>
      <c r="C1172" s="169" t="s">
        <v>593</v>
      </c>
      <c r="D1172" s="169">
        <v>545</v>
      </c>
      <c r="E1172" s="169">
        <v>20</v>
      </c>
      <c r="F1172" s="169" t="s">
        <v>593</v>
      </c>
      <c r="G1172" s="169" t="s">
        <v>593</v>
      </c>
      <c r="H1172" s="169">
        <v>3</v>
      </c>
      <c r="I1172" s="136" t="str">
        <f t="shared" si="55"/>
        <v>DECIMAL(20, 6)</v>
      </c>
      <c r="J1172" s="169" t="s">
        <v>0</v>
      </c>
      <c r="K1172" s="169" t="s">
        <v>1</v>
      </c>
      <c r="L1172" s="169">
        <v>30</v>
      </c>
      <c r="M1172" s="168"/>
      <c r="N1172" s="168"/>
      <c r="O1172" s="168"/>
      <c r="P1172" s="168"/>
      <c r="Q1172" s="168" t="s">
        <v>0</v>
      </c>
      <c r="R1172" s="168" t="s">
        <v>1</v>
      </c>
      <c r="S1172" s="178" t="str">
        <f t="shared" si="56"/>
        <v>D_MAN_CLAIM_ORIGDILUTION_EXPECTED_LOSS_PCT</v>
      </c>
    </row>
    <row r="1173" spans="1:19" ht="14.4" x14ac:dyDescent="0.3">
      <c r="A1173" s="169" t="s">
        <v>1847</v>
      </c>
      <c r="B1173" s="171" t="str">
        <f t="shared" si="54"/>
        <v>D_MAN_CLAIM_ORIG</v>
      </c>
      <c r="C1173" s="169" t="s">
        <v>861</v>
      </c>
      <c r="D1173" s="169">
        <v>546</v>
      </c>
      <c r="E1173" s="169">
        <v>21</v>
      </c>
      <c r="F1173" s="169" t="s">
        <v>861</v>
      </c>
      <c r="G1173" s="169" t="s">
        <v>861</v>
      </c>
      <c r="H1173" s="169">
        <v>21</v>
      </c>
      <c r="I1173" s="136" t="str">
        <f t="shared" si="55"/>
        <v>DECIMAL(19, 2)</v>
      </c>
      <c r="J1173" s="169" t="s">
        <v>0</v>
      </c>
      <c r="K1173" s="169" t="s">
        <v>1</v>
      </c>
      <c r="L1173" s="169">
        <v>30</v>
      </c>
      <c r="M1173" s="168"/>
      <c r="N1173" s="168"/>
      <c r="O1173" s="168"/>
      <c r="P1173" s="168"/>
      <c r="Q1173" s="168" t="s">
        <v>0</v>
      </c>
      <c r="R1173" s="168" t="s">
        <v>1</v>
      </c>
      <c r="S1173" s="178" t="str">
        <f t="shared" si="56"/>
        <v>D_MAN_CLAIM_ORIGEAD_NOCCF_CCY_AMT</v>
      </c>
    </row>
    <row r="1174" spans="1:19" ht="14.4" x14ac:dyDescent="0.3">
      <c r="A1174" s="169" t="s">
        <v>1847</v>
      </c>
      <c r="B1174" s="171" t="str">
        <f t="shared" si="54"/>
        <v>D_MAN_CLAIM_ORIG</v>
      </c>
      <c r="C1174" s="169" t="s">
        <v>859</v>
      </c>
      <c r="D1174" s="169">
        <v>547</v>
      </c>
      <c r="E1174" s="169">
        <v>22</v>
      </c>
      <c r="F1174" s="169" t="s">
        <v>859</v>
      </c>
      <c r="G1174" s="169" t="s">
        <v>859</v>
      </c>
      <c r="H1174" s="169">
        <v>21</v>
      </c>
      <c r="I1174" s="136" t="str">
        <f t="shared" si="55"/>
        <v>DECIMAL(19, 2)</v>
      </c>
      <c r="J1174" s="169" t="s">
        <v>0</v>
      </c>
      <c r="K1174" s="169" t="s">
        <v>1</v>
      </c>
      <c r="L1174" s="169">
        <v>30</v>
      </c>
      <c r="M1174" s="168"/>
      <c r="N1174" s="168"/>
      <c r="O1174" s="168"/>
      <c r="P1174" s="168"/>
      <c r="Q1174" s="168" t="s">
        <v>0</v>
      </c>
      <c r="R1174" s="168" t="s">
        <v>1</v>
      </c>
      <c r="S1174" s="178" t="str">
        <f t="shared" si="56"/>
        <v>D_MAN_CLAIM_ORIGEAD_NOCCF_RUB_AMT</v>
      </c>
    </row>
    <row r="1175" spans="1:19" ht="14.4" x14ac:dyDescent="0.3">
      <c r="A1175" s="169" t="s">
        <v>1847</v>
      </c>
      <c r="B1175" s="171" t="str">
        <f t="shared" si="54"/>
        <v>D_MAN_CLAIM_ORIG</v>
      </c>
      <c r="C1175" s="169" t="s">
        <v>1851</v>
      </c>
      <c r="D1175" s="169">
        <v>548</v>
      </c>
      <c r="E1175" s="169">
        <v>23</v>
      </c>
      <c r="F1175" s="169" t="s">
        <v>1851</v>
      </c>
      <c r="G1175" s="169" t="s">
        <v>1851</v>
      </c>
      <c r="H1175" s="169">
        <v>3</v>
      </c>
      <c r="I1175" s="136" t="str">
        <f t="shared" si="55"/>
        <v>DECIMAL(20, 6)</v>
      </c>
      <c r="J1175" s="169" t="s">
        <v>0</v>
      </c>
      <c r="K1175" s="169" t="s">
        <v>1</v>
      </c>
      <c r="L1175" s="169">
        <v>30</v>
      </c>
      <c r="M1175" s="168"/>
      <c r="N1175" s="168"/>
      <c r="O1175" s="168"/>
      <c r="P1175" s="168"/>
      <c r="Q1175" s="168" t="s">
        <v>0</v>
      </c>
      <c r="R1175" s="168" t="s">
        <v>1</v>
      </c>
      <c r="S1175" s="178" t="str">
        <f t="shared" si="56"/>
        <v>D_MAN_CLAIM_ORIGEFF_CCF_IRB_PCT</v>
      </c>
    </row>
    <row r="1176" spans="1:19" ht="14.4" x14ac:dyDescent="0.3">
      <c r="A1176" s="169" t="s">
        <v>1847</v>
      </c>
      <c r="B1176" s="171" t="str">
        <f t="shared" si="54"/>
        <v>D_MAN_CLAIM_ORIG</v>
      </c>
      <c r="C1176" s="169" t="s">
        <v>863</v>
      </c>
      <c r="D1176" s="169">
        <v>549</v>
      </c>
      <c r="E1176" s="169">
        <v>24</v>
      </c>
      <c r="F1176" s="169" t="s">
        <v>863</v>
      </c>
      <c r="G1176" s="169" t="s">
        <v>863</v>
      </c>
      <c r="H1176" s="169">
        <v>3</v>
      </c>
      <c r="I1176" s="136" t="str">
        <f t="shared" si="55"/>
        <v>DECIMAL(20, 6)</v>
      </c>
      <c r="J1176" s="169" t="s">
        <v>0</v>
      </c>
      <c r="K1176" s="169" t="s">
        <v>1</v>
      </c>
      <c r="L1176" s="169">
        <v>30</v>
      </c>
      <c r="M1176" s="168"/>
      <c r="N1176" s="168"/>
      <c r="O1176" s="168"/>
      <c r="P1176" s="168"/>
      <c r="Q1176" s="168" t="s">
        <v>0</v>
      </c>
      <c r="R1176" s="168" t="s">
        <v>1</v>
      </c>
      <c r="S1176" s="178" t="str">
        <f t="shared" si="56"/>
        <v>D_MAN_CLAIM_ORIGEFF_MATURITY_YEAR</v>
      </c>
    </row>
    <row r="1177" spans="1:19" ht="14.4" x14ac:dyDescent="0.3">
      <c r="A1177" s="169" t="s">
        <v>1847</v>
      </c>
      <c r="B1177" s="171" t="str">
        <f t="shared" si="54"/>
        <v>D_MAN_CLAIM_ORIG</v>
      </c>
      <c r="C1177" s="169" t="s">
        <v>52</v>
      </c>
      <c r="D1177" s="169">
        <v>550</v>
      </c>
      <c r="E1177" s="169">
        <v>25</v>
      </c>
      <c r="F1177" s="169" t="s">
        <v>52</v>
      </c>
      <c r="G1177" s="169" t="s">
        <v>52</v>
      </c>
      <c r="H1177" s="169">
        <v>34</v>
      </c>
      <c r="I1177" s="136" t="str">
        <f t="shared" si="55"/>
        <v>DATE</v>
      </c>
      <c r="J1177" s="169" t="s">
        <v>1</v>
      </c>
      <c r="K1177" s="169" t="s">
        <v>1</v>
      </c>
      <c r="L1177" s="169">
        <v>30</v>
      </c>
      <c r="M1177" s="168"/>
      <c r="N1177" s="168"/>
      <c r="O1177" s="168"/>
      <c r="P1177" s="168"/>
      <c r="Q1177" s="168" t="s">
        <v>0</v>
      </c>
      <c r="R1177" s="168" t="s">
        <v>1</v>
      </c>
      <c r="S1177" s="178" t="str">
        <f t="shared" si="56"/>
        <v>D_MAN_CLAIM_ORIGEND_DT</v>
      </c>
    </row>
    <row r="1178" spans="1:19" ht="14.4" x14ac:dyDescent="0.3">
      <c r="A1178" s="169" t="s">
        <v>1847</v>
      </c>
      <c r="B1178" s="171" t="str">
        <f t="shared" si="54"/>
        <v>D_MAN_CLAIM_ORIG</v>
      </c>
      <c r="C1178" s="169" t="s">
        <v>680</v>
      </c>
      <c r="D1178" s="169">
        <v>551</v>
      </c>
      <c r="E1178" s="169">
        <v>26</v>
      </c>
      <c r="F1178" s="169" t="s">
        <v>680</v>
      </c>
      <c r="G1178" s="169" t="s">
        <v>680</v>
      </c>
      <c r="H1178" s="169">
        <v>7</v>
      </c>
      <c r="I1178" s="136" t="str">
        <f t="shared" si="55"/>
        <v>BIGINT</v>
      </c>
      <c r="J1178" s="169" t="s">
        <v>0</v>
      </c>
      <c r="K1178" s="169" t="s">
        <v>1</v>
      </c>
      <c r="L1178" s="169">
        <v>30</v>
      </c>
      <c r="M1178" s="168"/>
      <c r="N1178" s="168"/>
      <c r="O1178" s="168"/>
      <c r="P1178" s="168"/>
      <c r="Q1178" s="168" t="s">
        <v>0</v>
      </c>
      <c r="R1178" s="168" t="s">
        <v>1</v>
      </c>
      <c r="S1178" s="178" t="str">
        <f t="shared" si="56"/>
        <v>D_MAN_CLAIM_ORIGEQUITY_INV_TYPE_ID</v>
      </c>
    </row>
    <row r="1179" spans="1:19" ht="14.4" x14ac:dyDescent="0.3">
      <c r="A1179" s="169" t="s">
        <v>1847</v>
      </c>
      <c r="B1179" s="171" t="str">
        <f t="shared" si="54"/>
        <v>D_MAN_CLAIM_ORIG</v>
      </c>
      <c r="C1179" s="169" t="s">
        <v>489</v>
      </c>
      <c r="D1179" s="169">
        <v>552</v>
      </c>
      <c r="E1179" s="169">
        <v>27</v>
      </c>
      <c r="F1179" s="169" t="s">
        <v>489</v>
      </c>
      <c r="G1179" s="169" t="s">
        <v>489</v>
      </c>
      <c r="H1179" s="169">
        <v>7</v>
      </c>
      <c r="I1179" s="136" t="str">
        <f t="shared" si="55"/>
        <v>BIGINT</v>
      </c>
      <c r="J1179" s="169" t="s">
        <v>1</v>
      </c>
      <c r="K1179" s="169" t="s">
        <v>1</v>
      </c>
      <c r="L1179" s="169">
        <v>30</v>
      </c>
      <c r="M1179" s="168"/>
      <c r="N1179" s="168"/>
      <c r="O1179" s="168"/>
      <c r="P1179" s="168"/>
      <c r="Q1179" s="168" t="s">
        <v>0</v>
      </c>
      <c r="R1179" s="168" t="s">
        <v>1</v>
      </c>
      <c r="S1179" s="178" t="str">
        <f t="shared" si="56"/>
        <v>D_MAN_CLAIM_ORIGEXPOSURE_TYPE_ID</v>
      </c>
    </row>
    <row r="1180" spans="1:19" ht="14.4" x14ac:dyDescent="0.3">
      <c r="A1180" s="169" t="s">
        <v>1847</v>
      </c>
      <c r="B1180" s="171" t="str">
        <f t="shared" si="54"/>
        <v>D_MAN_CLAIM_ORIG</v>
      </c>
      <c r="C1180" s="169" t="s">
        <v>666</v>
      </c>
      <c r="D1180" s="169">
        <v>2045</v>
      </c>
      <c r="E1180" s="169">
        <v>28</v>
      </c>
      <c r="F1180" s="169" t="s">
        <v>666</v>
      </c>
      <c r="G1180" s="169" t="s">
        <v>666</v>
      </c>
      <c r="H1180" s="169">
        <v>7</v>
      </c>
      <c r="I1180" s="136" t="str">
        <f t="shared" si="55"/>
        <v>BIGINT</v>
      </c>
      <c r="J1180" s="169" t="s">
        <v>0</v>
      </c>
      <c r="K1180" s="169" t="s">
        <v>1</v>
      </c>
      <c r="L1180" s="169">
        <v>30</v>
      </c>
      <c r="M1180" s="168"/>
      <c r="N1180" s="168"/>
      <c r="O1180" s="168"/>
      <c r="P1180" s="168"/>
      <c r="Q1180" s="168" t="s">
        <v>0</v>
      </c>
      <c r="R1180" s="168" t="s">
        <v>1</v>
      </c>
      <c r="S1180" s="178" t="str">
        <f t="shared" si="56"/>
        <v>D_MAN_CLAIM_ORIGF26_INT_PM_FREQ_ID</v>
      </c>
    </row>
    <row r="1181" spans="1:19" ht="14.4" x14ac:dyDescent="0.3">
      <c r="A1181" s="169" t="s">
        <v>1847</v>
      </c>
      <c r="B1181" s="171" t="str">
        <f t="shared" si="54"/>
        <v>D_MAN_CLAIM_ORIG</v>
      </c>
      <c r="C1181" s="169" t="s">
        <v>659</v>
      </c>
      <c r="D1181" s="169">
        <v>553</v>
      </c>
      <c r="E1181" s="169">
        <v>29</v>
      </c>
      <c r="F1181" s="169" t="s">
        <v>659</v>
      </c>
      <c r="G1181" s="169" t="s">
        <v>659</v>
      </c>
      <c r="H1181" s="169">
        <v>7</v>
      </c>
      <c r="I1181" s="136" t="str">
        <f t="shared" si="55"/>
        <v>BIGINT</v>
      </c>
      <c r="J1181" s="169" t="s">
        <v>0</v>
      </c>
      <c r="K1181" s="169" t="s">
        <v>1</v>
      </c>
      <c r="L1181" s="169">
        <v>30</v>
      </c>
      <c r="M1181" s="168"/>
      <c r="N1181" s="168"/>
      <c r="O1181" s="168"/>
      <c r="P1181" s="168"/>
      <c r="Q1181" s="168" t="s">
        <v>0</v>
      </c>
      <c r="R1181" s="168" t="s">
        <v>1</v>
      </c>
      <c r="S1181" s="178" t="str">
        <f t="shared" si="56"/>
        <v>D_MAN_CLAIM_ORIGF26_LOAN_PURPOSE_ID</v>
      </c>
    </row>
    <row r="1182" spans="1:19" ht="14.4" x14ac:dyDescent="0.3">
      <c r="A1182" s="169" t="s">
        <v>1847</v>
      </c>
      <c r="B1182" s="171" t="str">
        <f t="shared" si="54"/>
        <v>D_MAN_CLAIM_ORIG</v>
      </c>
      <c r="C1182" s="169" t="s">
        <v>661</v>
      </c>
      <c r="D1182" s="169">
        <v>554</v>
      </c>
      <c r="E1182" s="169">
        <v>30</v>
      </c>
      <c r="F1182" s="169" t="s">
        <v>661</v>
      </c>
      <c r="G1182" s="169" t="s">
        <v>661</v>
      </c>
      <c r="H1182" s="169">
        <v>7</v>
      </c>
      <c r="I1182" s="136" t="str">
        <f t="shared" si="55"/>
        <v>BIGINT</v>
      </c>
      <c r="J1182" s="169" t="s">
        <v>0</v>
      </c>
      <c r="K1182" s="169" t="s">
        <v>1</v>
      </c>
      <c r="L1182" s="169">
        <v>30</v>
      </c>
      <c r="M1182" s="168"/>
      <c r="N1182" s="168"/>
      <c r="O1182" s="168"/>
      <c r="P1182" s="168"/>
      <c r="Q1182" s="168" t="s">
        <v>0</v>
      </c>
      <c r="R1182" s="168" t="s">
        <v>1</v>
      </c>
      <c r="S1182" s="178" t="str">
        <f t="shared" si="56"/>
        <v>D_MAN_CLAIM_ORIGF26_LOAN_REGIME_ID</v>
      </c>
    </row>
    <row r="1183" spans="1:19" ht="14.4" x14ac:dyDescent="0.3">
      <c r="A1183" s="169" t="s">
        <v>1847</v>
      </c>
      <c r="B1183" s="171" t="str">
        <f t="shared" si="54"/>
        <v>D_MAN_CLAIM_ORIG</v>
      </c>
      <c r="C1183" s="169" t="s">
        <v>663</v>
      </c>
      <c r="D1183" s="169">
        <v>555</v>
      </c>
      <c r="E1183" s="169">
        <v>31</v>
      </c>
      <c r="F1183" s="169" t="s">
        <v>663</v>
      </c>
      <c r="G1183" s="169" t="s">
        <v>663</v>
      </c>
      <c r="H1183" s="169">
        <v>7</v>
      </c>
      <c r="I1183" s="136" t="str">
        <f t="shared" si="55"/>
        <v>BIGINT</v>
      </c>
      <c r="J1183" s="169" t="s">
        <v>0</v>
      </c>
      <c r="K1183" s="169" t="s">
        <v>1</v>
      </c>
      <c r="L1183" s="169">
        <v>30</v>
      </c>
      <c r="M1183" s="168"/>
      <c r="N1183" s="168"/>
      <c r="O1183" s="168"/>
      <c r="P1183" s="168"/>
      <c r="Q1183" s="168" t="s">
        <v>0</v>
      </c>
      <c r="R1183" s="168" t="s">
        <v>1</v>
      </c>
      <c r="S1183" s="178" t="str">
        <f t="shared" si="56"/>
        <v>D_MAN_CLAIM_ORIGF26_LOAN_TYPE_ID</v>
      </c>
    </row>
    <row r="1184" spans="1:19" ht="14.4" x14ac:dyDescent="0.3">
      <c r="A1184" s="169" t="s">
        <v>1847</v>
      </c>
      <c r="B1184" s="171" t="str">
        <f t="shared" si="54"/>
        <v>D_MAN_CLAIM_ORIG</v>
      </c>
      <c r="C1184" s="169" t="s">
        <v>654</v>
      </c>
      <c r="D1184" s="169">
        <v>556</v>
      </c>
      <c r="E1184" s="169">
        <v>32</v>
      </c>
      <c r="F1184" s="169" t="s">
        <v>654</v>
      </c>
      <c r="G1184" s="169" t="s">
        <v>654</v>
      </c>
      <c r="H1184" s="169">
        <v>34</v>
      </c>
      <c r="I1184" s="136" t="str">
        <f t="shared" si="55"/>
        <v>DATE</v>
      </c>
      <c r="J1184" s="169" t="s">
        <v>0</v>
      </c>
      <c r="K1184" s="169" t="s">
        <v>1</v>
      </c>
      <c r="L1184" s="169">
        <v>30</v>
      </c>
      <c r="M1184" s="168"/>
      <c r="N1184" s="168"/>
      <c r="O1184" s="168"/>
      <c r="P1184" s="168"/>
      <c r="Q1184" s="168" t="s">
        <v>0</v>
      </c>
      <c r="R1184" s="168" t="s">
        <v>1</v>
      </c>
      <c r="S1184" s="178" t="str">
        <f t="shared" si="56"/>
        <v>D_MAN_CLAIM_ORIGFIRST_PAST_DUE_DT</v>
      </c>
    </row>
    <row r="1185" spans="1:19" ht="14.4" x14ac:dyDescent="0.3">
      <c r="A1185" s="169" t="s">
        <v>1847</v>
      </c>
      <c r="B1185" s="171" t="str">
        <f t="shared" si="54"/>
        <v>D_MAN_CLAIM_ORIG</v>
      </c>
      <c r="C1185" s="169" t="s">
        <v>458</v>
      </c>
      <c r="D1185" s="169">
        <v>557</v>
      </c>
      <c r="E1185" s="169">
        <v>33</v>
      </c>
      <c r="F1185" s="169" t="s">
        <v>458</v>
      </c>
      <c r="G1185" s="169" t="s">
        <v>458</v>
      </c>
      <c r="H1185" s="169">
        <v>7</v>
      </c>
      <c r="I1185" s="136" t="str">
        <f t="shared" si="55"/>
        <v>BIGINT</v>
      </c>
      <c r="J1185" s="169" t="s">
        <v>0</v>
      </c>
      <c r="K1185" s="169" t="s">
        <v>1</v>
      </c>
      <c r="L1185" s="169">
        <v>30</v>
      </c>
      <c r="M1185" s="168"/>
      <c r="N1185" s="168"/>
      <c r="O1185" s="168"/>
      <c r="P1185" s="168"/>
      <c r="Q1185" s="168" t="s">
        <v>0</v>
      </c>
      <c r="R1185" s="168" t="s">
        <v>1</v>
      </c>
      <c r="S1185" s="178" t="str">
        <f t="shared" si="56"/>
        <v>D_MAN_CLAIM_ORIGFLOATING_RATE_ID</v>
      </c>
    </row>
    <row r="1186" spans="1:19" ht="14.4" x14ac:dyDescent="0.3">
      <c r="A1186" s="169" t="s">
        <v>1847</v>
      </c>
      <c r="B1186" s="171" t="str">
        <f t="shared" si="54"/>
        <v>D_MAN_CLAIM_ORIG</v>
      </c>
      <c r="C1186" s="169" t="s">
        <v>634</v>
      </c>
      <c r="D1186" s="169">
        <v>558</v>
      </c>
      <c r="E1186" s="169">
        <v>34</v>
      </c>
      <c r="F1186" s="169" t="s">
        <v>634</v>
      </c>
      <c r="G1186" s="169" t="s">
        <v>634</v>
      </c>
      <c r="H1186" s="169">
        <v>15</v>
      </c>
      <c r="I1186" s="136" t="str">
        <f t="shared" si="55"/>
        <v xml:space="preserve">CHAR(1) </v>
      </c>
      <c r="J1186" s="169" t="s">
        <v>0</v>
      </c>
      <c r="K1186" s="169" t="s">
        <v>1</v>
      </c>
      <c r="L1186" s="169">
        <v>30</v>
      </c>
      <c r="M1186" s="168"/>
      <c r="N1186" s="168"/>
      <c r="O1186" s="168"/>
      <c r="P1186" s="168"/>
      <c r="Q1186" s="168" t="s">
        <v>0</v>
      </c>
      <c r="R1186" s="168" t="s">
        <v>1</v>
      </c>
      <c r="S1186" s="178" t="str">
        <f t="shared" si="56"/>
        <v>D_MAN_CLAIM_ORIGFLOATING_RATE_IND</v>
      </c>
    </row>
    <row r="1187" spans="1:19" ht="14.4" x14ac:dyDescent="0.3">
      <c r="A1187" s="169" t="s">
        <v>1847</v>
      </c>
      <c r="B1187" s="171" t="str">
        <f t="shared" si="54"/>
        <v>D_MAN_CLAIM_ORIG</v>
      </c>
      <c r="C1187" s="169" t="s">
        <v>638</v>
      </c>
      <c r="D1187" s="169">
        <v>559</v>
      </c>
      <c r="E1187" s="169">
        <v>35</v>
      </c>
      <c r="F1187" s="169" t="s">
        <v>638</v>
      </c>
      <c r="G1187" s="169" t="s">
        <v>638</v>
      </c>
      <c r="H1187" s="169">
        <v>3</v>
      </c>
      <c r="I1187" s="136" t="str">
        <f t="shared" si="55"/>
        <v>DECIMAL(20, 6)</v>
      </c>
      <c r="J1187" s="169" t="s">
        <v>0</v>
      </c>
      <c r="K1187" s="169" t="s">
        <v>1</v>
      </c>
      <c r="L1187" s="169">
        <v>30</v>
      </c>
      <c r="M1187" s="168"/>
      <c r="N1187" s="168"/>
      <c r="O1187" s="168"/>
      <c r="P1187" s="168"/>
      <c r="Q1187" s="168" t="s">
        <v>0</v>
      </c>
      <c r="R1187" s="168" t="s">
        <v>1</v>
      </c>
      <c r="S1187" s="178" t="str">
        <f t="shared" si="56"/>
        <v>D_MAN_CLAIM_ORIGFLOATING_RATE_MARGIN_PCT</v>
      </c>
    </row>
    <row r="1188" spans="1:19" ht="14.4" x14ac:dyDescent="0.3">
      <c r="A1188" s="169" t="s">
        <v>1847</v>
      </c>
      <c r="B1188" s="171" t="str">
        <f t="shared" si="54"/>
        <v>D_MAN_CLAIM_ORIG</v>
      </c>
      <c r="C1188" s="169" t="s">
        <v>636</v>
      </c>
      <c r="D1188" s="169">
        <v>560</v>
      </c>
      <c r="E1188" s="169">
        <v>36</v>
      </c>
      <c r="F1188" s="169" t="s">
        <v>636</v>
      </c>
      <c r="G1188" s="169" t="s">
        <v>636</v>
      </c>
      <c r="H1188" s="169">
        <v>3</v>
      </c>
      <c r="I1188" s="136" t="str">
        <f t="shared" si="55"/>
        <v>DECIMAL(20, 6)</v>
      </c>
      <c r="J1188" s="169" t="s">
        <v>0</v>
      </c>
      <c r="K1188" s="169" t="s">
        <v>1</v>
      </c>
      <c r="L1188" s="169">
        <v>30</v>
      </c>
      <c r="M1188" s="168"/>
      <c r="N1188" s="168"/>
      <c r="O1188" s="168"/>
      <c r="P1188" s="168"/>
      <c r="Q1188" s="168" t="s">
        <v>0</v>
      </c>
      <c r="R1188" s="168" t="s">
        <v>1</v>
      </c>
      <c r="S1188" s="178" t="str">
        <f t="shared" si="56"/>
        <v>D_MAN_CLAIM_ORIGFLOATING_RATE_MULTIPLIER</v>
      </c>
    </row>
    <row r="1189" spans="1:19" ht="14.4" x14ac:dyDescent="0.3">
      <c r="A1189" s="169" t="s">
        <v>1847</v>
      </c>
      <c r="B1189" s="171" t="str">
        <f t="shared" si="54"/>
        <v>D_MAN_CLAIM_ORIG</v>
      </c>
      <c r="C1189" s="169" t="s">
        <v>1570</v>
      </c>
      <c r="D1189" s="169">
        <v>561</v>
      </c>
      <c r="E1189" s="169">
        <v>37</v>
      </c>
      <c r="F1189" s="169" t="s">
        <v>1570</v>
      </c>
      <c r="G1189" s="169" t="s">
        <v>1570</v>
      </c>
      <c r="H1189" s="169">
        <v>3</v>
      </c>
      <c r="I1189" s="136" t="str">
        <f t="shared" si="55"/>
        <v>DECIMAL(20, 6)</v>
      </c>
      <c r="J1189" s="169" t="s">
        <v>0</v>
      </c>
      <c r="K1189" s="169" t="s">
        <v>1</v>
      </c>
      <c r="L1189" s="169">
        <v>30</v>
      </c>
      <c r="M1189" s="168"/>
      <c r="N1189" s="168"/>
      <c r="O1189" s="168"/>
      <c r="P1189" s="168"/>
      <c r="Q1189" s="168" t="s">
        <v>0</v>
      </c>
      <c r="R1189" s="168" t="s">
        <v>1</v>
      </c>
      <c r="S1189" s="178" t="str">
        <f t="shared" si="56"/>
        <v>D_MAN_CLAIM_ORIGGRACE_PERIOD_MONTHS</v>
      </c>
    </row>
    <row r="1190" spans="1:19" ht="14.4" x14ac:dyDescent="0.3">
      <c r="A1190" s="169" t="s">
        <v>1847</v>
      </c>
      <c r="B1190" s="171" t="str">
        <f t="shared" si="54"/>
        <v>D_MAN_CLAIM_ORIG</v>
      </c>
      <c r="C1190" s="169" t="s">
        <v>1453</v>
      </c>
      <c r="D1190" s="169">
        <v>562</v>
      </c>
      <c r="E1190" s="169">
        <v>38</v>
      </c>
      <c r="F1190" s="169" t="s">
        <v>1453</v>
      </c>
      <c r="G1190" s="169" t="s">
        <v>1453</v>
      </c>
      <c r="H1190" s="169">
        <v>7</v>
      </c>
      <c r="I1190" s="136" t="str">
        <f t="shared" si="55"/>
        <v>BIGINT</v>
      </c>
      <c r="J1190" s="169" t="s">
        <v>0</v>
      </c>
      <c r="K1190" s="169" t="s">
        <v>1</v>
      </c>
      <c r="L1190" s="169">
        <v>30</v>
      </c>
      <c r="M1190" s="168"/>
      <c r="N1190" s="168"/>
      <c r="O1190" s="168"/>
      <c r="P1190" s="168"/>
      <c r="Q1190" s="168" t="s">
        <v>0</v>
      </c>
      <c r="R1190" s="168" t="s">
        <v>1</v>
      </c>
      <c r="S1190" s="178" t="str">
        <f t="shared" si="56"/>
        <v>D_MAN_CLAIM_ORIGIFRS_CLASS_ID</v>
      </c>
    </row>
    <row r="1191" spans="1:19" ht="14.4" x14ac:dyDescent="0.3">
      <c r="A1191" s="169" t="s">
        <v>1847</v>
      </c>
      <c r="B1191" s="171" t="str">
        <f t="shared" si="54"/>
        <v>D_MAN_CLAIM_ORIG</v>
      </c>
      <c r="C1191" s="169" t="s">
        <v>650</v>
      </c>
      <c r="D1191" s="169">
        <v>563</v>
      </c>
      <c r="E1191" s="169">
        <v>39</v>
      </c>
      <c r="F1191" s="169" t="s">
        <v>650</v>
      </c>
      <c r="G1191" s="169" t="s">
        <v>650</v>
      </c>
      <c r="H1191" s="169">
        <v>21</v>
      </c>
      <c r="I1191" s="136" t="str">
        <f t="shared" si="55"/>
        <v>DECIMAL(19, 2)</v>
      </c>
      <c r="J1191" s="169" t="s">
        <v>0</v>
      </c>
      <c r="K1191" s="169" t="s">
        <v>1</v>
      </c>
      <c r="L1191" s="169">
        <v>30</v>
      </c>
      <c r="M1191" s="168"/>
      <c r="N1191" s="168"/>
      <c r="O1191" s="168"/>
      <c r="P1191" s="168"/>
      <c r="Q1191" s="168" t="s">
        <v>0</v>
      </c>
      <c r="R1191" s="168" t="s">
        <v>1</v>
      </c>
      <c r="S1191" s="178" t="str">
        <f t="shared" si="56"/>
        <v>D_MAN_CLAIM_ORIGIFRS_PROVISION_CCY_AMT</v>
      </c>
    </row>
    <row r="1192" spans="1:19" ht="14.4" x14ac:dyDescent="0.3">
      <c r="A1192" s="169" t="s">
        <v>1847</v>
      </c>
      <c r="B1192" s="171" t="str">
        <f t="shared" si="54"/>
        <v>D_MAN_CLAIM_ORIG</v>
      </c>
      <c r="C1192" s="169" t="s">
        <v>652</v>
      </c>
      <c r="D1192" s="169">
        <v>564</v>
      </c>
      <c r="E1192" s="169">
        <v>40</v>
      </c>
      <c r="F1192" s="169" t="s">
        <v>652</v>
      </c>
      <c r="G1192" s="169" t="s">
        <v>652</v>
      </c>
      <c r="H1192" s="169">
        <v>21</v>
      </c>
      <c r="I1192" s="136" t="str">
        <f t="shared" si="55"/>
        <v>DECIMAL(19, 2)</v>
      </c>
      <c r="J1192" s="169" t="s">
        <v>0</v>
      </c>
      <c r="K1192" s="169" t="s">
        <v>1</v>
      </c>
      <c r="L1192" s="169">
        <v>30</v>
      </c>
      <c r="M1192" s="168"/>
      <c r="N1192" s="168"/>
      <c r="O1192" s="168"/>
      <c r="P1192" s="168"/>
      <c r="Q1192" s="168" t="s">
        <v>0</v>
      </c>
      <c r="R1192" s="168" t="s">
        <v>1</v>
      </c>
      <c r="S1192" s="178" t="str">
        <f t="shared" si="56"/>
        <v>D_MAN_CLAIM_ORIGIFRS_PROVISION_RUB_AMT</v>
      </c>
    </row>
    <row r="1193" spans="1:19" ht="14.4" x14ac:dyDescent="0.3">
      <c r="A1193" s="169" t="s">
        <v>1847</v>
      </c>
      <c r="B1193" s="171" t="str">
        <f t="shared" si="54"/>
        <v>D_MAN_CLAIM_ORIG</v>
      </c>
      <c r="C1193" s="169" t="s">
        <v>626</v>
      </c>
      <c r="D1193" s="169">
        <v>565</v>
      </c>
      <c r="E1193" s="169">
        <v>41</v>
      </c>
      <c r="F1193" s="169" t="s">
        <v>626</v>
      </c>
      <c r="G1193" s="169" t="s">
        <v>626</v>
      </c>
      <c r="H1193" s="169">
        <v>34</v>
      </c>
      <c r="I1193" s="136" t="str">
        <f t="shared" si="55"/>
        <v>DATE</v>
      </c>
      <c r="J1193" s="169" t="s">
        <v>0</v>
      </c>
      <c r="K1193" s="169" t="s">
        <v>1</v>
      </c>
      <c r="L1193" s="169">
        <v>30</v>
      </c>
      <c r="M1193" s="168"/>
      <c r="N1193" s="168"/>
      <c r="O1193" s="168"/>
      <c r="P1193" s="168"/>
      <c r="Q1193" s="168" t="s">
        <v>0</v>
      </c>
      <c r="R1193" s="168" t="s">
        <v>1</v>
      </c>
      <c r="S1193" s="178" t="str">
        <f t="shared" si="56"/>
        <v>D_MAN_CLAIM_ORIGINCEPTION_DT</v>
      </c>
    </row>
    <row r="1194" spans="1:19" ht="14.4" x14ac:dyDescent="0.3">
      <c r="A1194" s="169" t="s">
        <v>1847</v>
      </c>
      <c r="B1194" s="171" t="str">
        <f t="shared" si="54"/>
        <v>D_MAN_CLAIM_ORIG</v>
      </c>
      <c r="C1194" s="169" t="s">
        <v>1609</v>
      </c>
      <c r="D1194" s="169">
        <v>574</v>
      </c>
      <c r="E1194" s="169">
        <v>42</v>
      </c>
      <c r="F1194" s="169" t="s">
        <v>1609</v>
      </c>
      <c r="G1194" s="169" t="s">
        <v>1609</v>
      </c>
      <c r="H1194" s="169">
        <v>34</v>
      </c>
      <c r="I1194" s="136" t="str">
        <f t="shared" si="55"/>
        <v>DATE</v>
      </c>
      <c r="J1194" s="169" t="s">
        <v>0</v>
      </c>
      <c r="K1194" s="169" t="s">
        <v>1</v>
      </c>
      <c r="L1194" s="169">
        <v>30</v>
      </c>
      <c r="M1194" s="168"/>
      <c r="N1194" s="168"/>
      <c r="O1194" s="168"/>
      <c r="P1194" s="168"/>
      <c r="Q1194" s="168" t="s">
        <v>0</v>
      </c>
      <c r="R1194" s="168" t="s">
        <v>1</v>
      </c>
      <c r="S1194" s="178" t="str">
        <f t="shared" si="56"/>
        <v>D_MAN_CLAIM_ORIGINITIAL_MATURITY_DT</v>
      </c>
    </row>
    <row r="1195" spans="1:19" ht="14.4" x14ac:dyDescent="0.3">
      <c r="A1195" s="169" t="s">
        <v>1847</v>
      </c>
      <c r="B1195" s="171" t="str">
        <f t="shared" si="54"/>
        <v>D_MAN_CLAIM_ORIG</v>
      </c>
      <c r="C1195" s="169" t="s">
        <v>1505</v>
      </c>
      <c r="D1195" s="169">
        <v>575</v>
      </c>
      <c r="E1195" s="169">
        <v>43</v>
      </c>
      <c r="F1195" s="169" t="s">
        <v>1505</v>
      </c>
      <c r="G1195" s="169" t="s">
        <v>1505</v>
      </c>
      <c r="H1195" s="169">
        <v>24</v>
      </c>
      <c r="I1195" s="136" t="str">
        <f t="shared" si="55"/>
        <v xml:space="preserve">VARCHAR(40) </v>
      </c>
      <c r="J1195" s="169" t="s">
        <v>0</v>
      </c>
      <c r="K1195" s="169" t="s">
        <v>1</v>
      </c>
      <c r="L1195" s="169">
        <v>30</v>
      </c>
      <c r="M1195" s="168"/>
      <c r="N1195" s="168"/>
      <c r="O1195" s="168"/>
      <c r="P1195" s="168"/>
      <c r="Q1195" s="168" t="s">
        <v>0</v>
      </c>
      <c r="R1195" s="168" t="s">
        <v>1</v>
      </c>
      <c r="S1195" s="178" t="str">
        <f t="shared" si="56"/>
        <v>D_MAN_CLAIM_ORIGINT_DUE_ACC</v>
      </c>
    </row>
    <row r="1196" spans="1:19" ht="14.4" x14ac:dyDescent="0.3">
      <c r="A1196" s="169" t="s">
        <v>1847</v>
      </c>
      <c r="B1196" s="171" t="str">
        <f t="shared" si="54"/>
        <v>D_MAN_CLAIM_ORIG</v>
      </c>
      <c r="C1196" s="169" t="s">
        <v>1594</v>
      </c>
      <c r="D1196" s="169">
        <v>576</v>
      </c>
      <c r="E1196" s="169">
        <v>44</v>
      </c>
      <c r="F1196" s="169" t="s">
        <v>1594</v>
      </c>
      <c r="G1196" s="169" t="s">
        <v>1594</v>
      </c>
      <c r="H1196" s="169">
        <v>21</v>
      </c>
      <c r="I1196" s="136" t="str">
        <f t="shared" si="55"/>
        <v>DECIMAL(19, 2)</v>
      </c>
      <c r="J1196" s="169" t="s">
        <v>0</v>
      </c>
      <c r="K1196" s="169" t="s">
        <v>1</v>
      </c>
      <c r="L1196" s="169">
        <v>30</v>
      </c>
      <c r="M1196" s="168"/>
      <c r="N1196" s="168"/>
      <c r="O1196" s="168"/>
      <c r="P1196" s="168"/>
      <c r="Q1196" s="168" t="s">
        <v>0</v>
      </c>
      <c r="R1196" s="168" t="s">
        <v>1</v>
      </c>
      <c r="S1196" s="178" t="str">
        <f t="shared" si="56"/>
        <v>D_MAN_CLAIM_ORIGINT_DUE_CCY_AMT</v>
      </c>
    </row>
    <row r="1197" spans="1:19" ht="14.4" x14ac:dyDescent="0.3">
      <c r="A1197" s="169" t="s">
        <v>1847</v>
      </c>
      <c r="B1197" s="171" t="str">
        <f t="shared" si="54"/>
        <v>D_MAN_CLAIM_ORIG</v>
      </c>
      <c r="C1197" s="169" t="s">
        <v>1490</v>
      </c>
      <c r="D1197" s="169">
        <v>577</v>
      </c>
      <c r="E1197" s="169">
        <v>45</v>
      </c>
      <c r="F1197" s="169" t="s">
        <v>1490</v>
      </c>
      <c r="G1197" s="169" t="s">
        <v>1490</v>
      </c>
      <c r="H1197" s="169">
        <v>21</v>
      </c>
      <c r="I1197" s="136" t="str">
        <f t="shared" si="55"/>
        <v>DECIMAL(19, 2)</v>
      </c>
      <c r="J1197" s="169" t="s">
        <v>0</v>
      </c>
      <c r="K1197" s="169" t="s">
        <v>1</v>
      </c>
      <c r="L1197" s="169">
        <v>30</v>
      </c>
      <c r="M1197" s="168"/>
      <c r="N1197" s="168"/>
      <c r="O1197" s="168"/>
      <c r="P1197" s="168"/>
      <c r="Q1197" s="168" t="s">
        <v>0</v>
      </c>
      <c r="R1197" s="168" t="s">
        <v>1</v>
      </c>
      <c r="S1197" s="178" t="str">
        <f t="shared" si="56"/>
        <v>D_MAN_CLAIM_ORIGINT_DUE_RUB_AMT</v>
      </c>
    </row>
    <row r="1198" spans="1:19" ht="14.4" x14ac:dyDescent="0.3">
      <c r="A1198" s="169" t="s">
        <v>1847</v>
      </c>
      <c r="B1198" s="171" t="str">
        <f t="shared" si="54"/>
        <v>D_MAN_CLAIM_ORIG</v>
      </c>
      <c r="C1198" s="169" t="s">
        <v>532</v>
      </c>
      <c r="D1198" s="169">
        <v>578</v>
      </c>
      <c r="E1198" s="169">
        <v>46</v>
      </c>
      <c r="F1198" s="169" t="s">
        <v>532</v>
      </c>
      <c r="G1198" s="169" t="s">
        <v>532</v>
      </c>
      <c r="H1198" s="169">
        <v>7</v>
      </c>
      <c r="I1198" s="136" t="str">
        <f t="shared" si="55"/>
        <v>BIGINT</v>
      </c>
      <c r="J1198" s="169" t="s">
        <v>0</v>
      </c>
      <c r="K1198" s="169" t="s">
        <v>1</v>
      </c>
      <c r="L1198" s="169">
        <v>30</v>
      </c>
      <c r="M1198" s="168"/>
      <c r="N1198" s="168"/>
      <c r="O1198" s="168"/>
      <c r="P1198" s="168"/>
      <c r="Q1198" s="168" t="s">
        <v>0</v>
      </c>
      <c r="R1198" s="168" t="s">
        <v>1</v>
      </c>
      <c r="S1198" s="178" t="str">
        <f t="shared" si="56"/>
        <v>D_MAN_CLAIM_ORIGINT_ORG_ID</v>
      </c>
    </row>
    <row r="1199" spans="1:19" ht="14.4" x14ac:dyDescent="0.3">
      <c r="A1199" s="169" t="s">
        <v>1847</v>
      </c>
      <c r="B1199" s="171" t="str">
        <f t="shared" si="54"/>
        <v>D_MAN_CLAIM_ORIG</v>
      </c>
      <c r="C1199" s="169" t="s">
        <v>1478</v>
      </c>
      <c r="D1199" s="169">
        <v>579</v>
      </c>
      <c r="E1199" s="169">
        <v>47</v>
      </c>
      <c r="F1199" s="169" t="s">
        <v>1478</v>
      </c>
      <c r="G1199" s="169" t="s">
        <v>1478</v>
      </c>
      <c r="H1199" s="169">
        <v>24</v>
      </c>
      <c r="I1199" s="136" t="str">
        <f t="shared" si="55"/>
        <v xml:space="preserve">VARCHAR(40) </v>
      </c>
      <c r="J1199" s="169" t="s">
        <v>0</v>
      </c>
      <c r="K1199" s="169" t="s">
        <v>1</v>
      </c>
      <c r="L1199" s="169">
        <v>30</v>
      </c>
      <c r="M1199" s="168"/>
      <c r="N1199" s="168"/>
      <c r="O1199" s="168"/>
      <c r="P1199" s="168"/>
      <c r="Q1199" s="168" t="s">
        <v>0</v>
      </c>
      <c r="R1199" s="168" t="s">
        <v>1</v>
      </c>
      <c r="S1199" s="178" t="str">
        <f t="shared" si="56"/>
        <v>D_MAN_CLAIM_ORIGINT_PAST_DUE_BAL_ACC</v>
      </c>
    </row>
    <row r="1200" spans="1:19" ht="14.4" x14ac:dyDescent="0.3">
      <c r="A1200" s="169" t="s">
        <v>1847</v>
      </c>
      <c r="B1200" s="171" t="str">
        <f t="shared" si="54"/>
        <v>D_MAN_CLAIM_ORIG</v>
      </c>
      <c r="C1200" s="169" t="s">
        <v>1541</v>
      </c>
      <c r="D1200" s="169">
        <v>580</v>
      </c>
      <c r="E1200" s="169">
        <v>48</v>
      </c>
      <c r="F1200" s="169" t="s">
        <v>1541</v>
      </c>
      <c r="G1200" s="169" t="s">
        <v>1541</v>
      </c>
      <c r="H1200" s="169">
        <v>21</v>
      </c>
      <c r="I1200" s="136" t="str">
        <f t="shared" si="55"/>
        <v>DECIMAL(19, 2)</v>
      </c>
      <c r="J1200" s="169" t="s">
        <v>0</v>
      </c>
      <c r="K1200" s="169" t="s">
        <v>1</v>
      </c>
      <c r="L1200" s="169">
        <v>30</v>
      </c>
      <c r="M1200" s="168"/>
      <c r="N1200" s="168"/>
      <c r="O1200" s="168"/>
      <c r="P1200" s="168"/>
      <c r="Q1200" s="168" t="s">
        <v>0</v>
      </c>
      <c r="R1200" s="168" t="s">
        <v>1</v>
      </c>
      <c r="S1200" s="178" t="str">
        <f t="shared" si="56"/>
        <v>D_MAN_CLAIM_ORIGINT_PAST_DUE_BAL_CCY_AMT</v>
      </c>
    </row>
    <row r="1201" spans="1:19" ht="14.4" x14ac:dyDescent="0.3">
      <c r="A1201" s="169" t="s">
        <v>1847</v>
      </c>
      <c r="B1201" s="171" t="str">
        <f t="shared" si="54"/>
        <v>D_MAN_CLAIM_ORIG</v>
      </c>
      <c r="C1201" s="169" t="s">
        <v>1411</v>
      </c>
      <c r="D1201" s="169">
        <v>581</v>
      </c>
      <c r="E1201" s="169">
        <v>49</v>
      </c>
      <c r="F1201" s="169" t="s">
        <v>1411</v>
      </c>
      <c r="G1201" s="169" t="s">
        <v>1411</v>
      </c>
      <c r="H1201" s="169">
        <v>21</v>
      </c>
      <c r="I1201" s="136" t="str">
        <f t="shared" si="55"/>
        <v>DECIMAL(19, 2)</v>
      </c>
      <c r="J1201" s="169" t="s">
        <v>0</v>
      </c>
      <c r="K1201" s="169" t="s">
        <v>1</v>
      </c>
      <c r="L1201" s="169">
        <v>30</v>
      </c>
      <c r="M1201" s="168"/>
      <c r="N1201" s="168"/>
      <c r="O1201" s="168"/>
      <c r="P1201" s="168"/>
      <c r="Q1201" s="168" t="s">
        <v>0</v>
      </c>
      <c r="R1201" s="168" t="s">
        <v>1</v>
      </c>
      <c r="S1201" s="178" t="str">
        <f t="shared" si="56"/>
        <v>D_MAN_CLAIM_ORIGINT_PAST_DUE_BAL_RUB_AMT</v>
      </c>
    </row>
    <row r="1202" spans="1:19" ht="14.4" x14ac:dyDescent="0.3">
      <c r="A1202" s="169" t="s">
        <v>1847</v>
      </c>
      <c r="B1202" s="171" t="str">
        <f t="shared" si="54"/>
        <v>D_MAN_CLAIM_ORIG</v>
      </c>
      <c r="C1202" s="169" t="s">
        <v>1529</v>
      </c>
      <c r="D1202" s="169">
        <v>582</v>
      </c>
      <c r="E1202" s="169">
        <v>50</v>
      </c>
      <c r="F1202" s="169" t="s">
        <v>1529</v>
      </c>
      <c r="G1202" s="169" t="s">
        <v>1529</v>
      </c>
      <c r="H1202" s="169">
        <v>34</v>
      </c>
      <c r="I1202" s="136" t="str">
        <f t="shared" si="55"/>
        <v>DATE</v>
      </c>
      <c r="J1202" s="169" t="s">
        <v>0</v>
      </c>
      <c r="K1202" s="169" t="s">
        <v>1</v>
      </c>
      <c r="L1202" s="169">
        <v>30</v>
      </c>
      <c r="M1202" s="168"/>
      <c r="N1202" s="168"/>
      <c r="O1202" s="168"/>
      <c r="P1202" s="168"/>
      <c r="Q1202" s="168" t="s">
        <v>0</v>
      </c>
      <c r="R1202" s="168" t="s">
        <v>1</v>
      </c>
      <c r="S1202" s="178" t="str">
        <f t="shared" si="56"/>
        <v>D_MAN_CLAIM_ORIGINT_PAST_DUE_DT</v>
      </c>
    </row>
    <row r="1203" spans="1:19" ht="14.4" x14ac:dyDescent="0.3">
      <c r="A1203" s="169" t="s">
        <v>1847</v>
      </c>
      <c r="B1203" s="171" t="str">
        <f t="shared" si="54"/>
        <v>D_MAN_CLAIM_ORIG</v>
      </c>
      <c r="C1203" s="169" t="s">
        <v>1397</v>
      </c>
      <c r="D1203" s="169">
        <v>583</v>
      </c>
      <c r="E1203" s="169">
        <v>51</v>
      </c>
      <c r="F1203" s="169" t="s">
        <v>1397</v>
      </c>
      <c r="G1203" s="169" t="s">
        <v>1397</v>
      </c>
      <c r="H1203" s="169">
        <v>24</v>
      </c>
      <c r="I1203" s="136" t="str">
        <f t="shared" si="55"/>
        <v xml:space="preserve">VARCHAR(40) </v>
      </c>
      <c r="J1203" s="169" t="s">
        <v>0</v>
      </c>
      <c r="K1203" s="169" t="s">
        <v>1</v>
      </c>
      <c r="L1203" s="169">
        <v>30</v>
      </c>
      <c r="M1203" s="168"/>
      <c r="N1203" s="168"/>
      <c r="O1203" s="168"/>
      <c r="P1203" s="168"/>
      <c r="Q1203" s="168" t="s">
        <v>0</v>
      </c>
      <c r="R1203" s="168" t="s">
        <v>1</v>
      </c>
      <c r="S1203" s="178" t="str">
        <f t="shared" si="56"/>
        <v>D_MAN_CLAIM_ORIGINT_PAST_DUE_OFF_BAL_ACC</v>
      </c>
    </row>
    <row r="1204" spans="1:19" ht="14.4" x14ac:dyDescent="0.3">
      <c r="A1204" s="169" t="s">
        <v>1847</v>
      </c>
      <c r="B1204" s="171" t="str">
        <f t="shared" si="54"/>
        <v>D_MAN_CLAIM_ORIG</v>
      </c>
      <c r="C1204" s="169" t="s">
        <v>1611</v>
      </c>
      <c r="D1204" s="169">
        <v>584</v>
      </c>
      <c r="E1204" s="169">
        <v>52</v>
      </c>
      <c r="F1204" s="169" t="s">
        <v>1611</v>
      </c>
      <c r="G1204" s="169" t="s">
        <v>1611</v>
      </c>
      <c r="H1204" s="169">
        <v>21</v>
      </c>
      <c r="I1204" s="136" t="str">
        <f t="shared" si="55"/>
        <v>DECIMAL(19, 2)</v>
      </c>
      <c r="J1204" s="169" t="s">
        <v>0</v>
      </c>
      <c r="K1204" s="169" t="s">
        <v>1</v>
      </c>
      <c r="L1204" s="169">
        <v>30</v>
      </c>
      <c r="M1204" s="168"/>
      <c r="N1204" s="168"/>
      <c r="O1204" s="168"/>
      <c r="P1204" s="168"/>
      <c r="Q1204" s="168" t="s">
        <v>0</v>
      </c>
      <c r="R1204" s="168" t="s">
        <v>1</v>
      </c>
      <c r="S1204" s="178" t="str">
        <f t="shared" si="56"/>
        <v>D_MAN_CLAIM_ORIGINT_PAST_DUE_OFF_BAL_CCY_AMT</v>
      </c>
    </row>
    <row r="1205" spans="1:19" ht="14.4" x14ac:dyDescent="0.3">
      <c r="A1205" s="169" t="s">
        <v>1847</v>
      </c>
      <c r="B1205" s="171" t="str">
        <f t="shared" si="54"/>
        <v>D_MAN_CLAIM_ORIG</v>
      </c>
      <c r="C1205" s="169" t="s">
        <v>1519</v>
      </c>
      <c r="D1205" s="169">
        <v>585</v>
      </c>
      <c r="E1205" s="169">
        <v>53</v>
      </c>
      <c r="F1205" s="169" t="s">
        <v>1519</v>
      </c>
      <c r="G1205" s="169" t="s">
        <v>1519</v>
      </c>
      <c r="H1205" s="169">
        <v>21</v>
      </c>
      <c r="I1205" s="136" t="str">
        <f t="shared" si="55"/>
        <v>DECIMAL(19, 2)</v>
      </c>
      <c r="J1205" s="169" t="s">
        <v>0</v>
      </c>
      <c r="K1205" s="169" t="s">
        <v>1</v>
      </c>
      <c r="L1205" s="169">
        <v>30</v>
      </c>
      <c r="M1205" s="168"/>
      <c r="N1205" s="168"/>
      <c r="O1205" s="168"/>
      <c r="P1205" s="168"/>
      <c r="Q1205" s="168" t="s">
        <v>0</v>
      </c>
      <c r="R1205" s="168" t="s">
        <v>1</v>
      </c>
      <c r="S1205" s="178" t="str">
        <f t="shared" si="56"/>
        <v>D_MAN_CLAIM_ORIGINT_PAST_DUE_OFF_BAL_RUB_AMT</v>
      </c>
    </row>
    <row r="1206" spans="1:19" ht="14.4" x14ac:dyDescent="0.3">
      <c r="A1206" s="169" t="s">
        <v>1847</v>
      </c>
      <c r="B1206" s="171" t="str">
        <f t="shared" si="54"/>
        <v>D_MAN_CLAIM_ORIG</v>
      </c>
      <c r="C1206" s="169" t="s">
        <v>1380</v>
      </c>
      <c r="D1206" s="169">
        <v>586</v>
      </c>
      <c r="E1206" s="169">
        <v>54</v>
      </c>
      <c r="F1206" s="169" t="s">
        <v>1380</v>
      </c>
      <c r="G1206" s="169" t="s">
        <v>1380</v>
      </c>
      <c r="H1206" s="169">
        <v>21</v>
      </c>
      <c r="I1206" s="136" t="str">
        <f t="shared" si="55"/>
        <v>DECIMAL(19, 2)</v>
      </c>
      <c r="J1206" s="169" t="s">
        <v>0</v>
      </c>
      <c r="K1206" s="169" t="s">
        <v>1</v>
      </c>
      <c r="L1206" s="169">
        <v>30</v>
      </c>
      <c r="M1206" s="168"/>
      <c r="N1206" s="168"/>
      <c r="O1206" s="168"/>
      <c r="P1206" s="168"/>
      <c r="Q1206" s="168" t="s">
        <v>0</v>
      </c>
      <c r="R1206" s="168" t="s">
        <v>1</v>
      </c>
      <c r="S1206" s="178" t="str">
        <f t="shared" si="56"/>
        <v>D_MAN_CLAIM_ORIGINT_PROVISION_CCY_AMT</v>
      </c>
    </row>
    <row r="1207" spans="1:19" ht="14.4" x14ac:dyDescent="0.3">
      <c r="A1207" s="169" t="s">
        <v>1847</v>
      </c>
      <c r="B1207" s="171" t="str">
        <f t="shared" si="54"/>
        <v>D_MAN_CLAIM_ORIG</v>
      </c>
      <c r="C1207" s="169" t="s">
        <v>1460</v>
      </c>
      <c r="D1207" s="169">
        <v>587</v>
      </c>
      <c r="E1207" s="169">
        <v>55</v>
      </c>
      <c r="F1207" s="169" t="s">
        <v>1460</v>
      </c>
      <c r="G1207" s="169" t="s">
        <v>1460</v>
      </c>
      <c r="H1207" s="169">
        <v>21</v>
      </c>
      <c r="I1207" s="136" t="str">
        <f t="shared" si="55"/>
        <v>DECIMAL(19, 2)</v>
      </c>
      <c r="J1207" s="169" t="s">
        <v>0</v>
      </c>
      <c r="K1207" s="169" t="s">
        <v>1</v>
      </c>
      <c r="L1207" s="169">
        <v>30</v>
      </c>
      <c r="M1207" s="168"/>
      <c r="N1207" s="168"/>
      <c r="O1207" s="168"/>
      <c r="P1207" s="168"/>
      <c r="Q1207" s="168" t="s">
        <v>0</v>
      </c>
      <c r="R1207" s="168" t="s">
        <v>1</v>
      </c>
      <c r="S1207" s="178" t="str">
        <f t="shared" si="56"/>
        <v>D_MAN_CLAIM_ORIGINT_PROVISION_RUB_AMT</v>
      </c>
    </row>
    <row r="1208" spans="1:19" ht="14.4" x14ac:dyDescent="0.3">
      <c r="A1208" s="169" t="s">
        <v>1847</v>
      </c>
      <c r="B1208" s="171" t="str">
        <f t="shared" si="54"/>
        <v>D_MAN_CLAIM_ORIG</v>
      </c>
      <c r="C1208" s="169" t="s">
        <v>595</v>
      </c>
      <c r="D1208" s="169">
        <v>588</v>
      </c>
      <c r="E1208" s="169">
        <v>56</v>
      </c>
      <c r="F1208" s="169" t="s">
        <v>595</v>
      </c>
      <c r="G1208" s="169" t="s">
        <v>595</v>
      </c>
      <c r="H1208" s="169">
        <v>15</v>
      </c>
      <c r="I1208" s="136" t="str">
        <f t="shared" si="55"/>
        <v xml:space="preserve">CHAR(1) </v>
      </c>
      <c r="J1208" s="169" t="s">
        <v>0</v>
      </c>
      <c r="K1208" s="169" t="s">
        <v>1</v>
      </c>
      <c r="L1208" s="169">
        <v>30</v>
      </c>
      <c r="M1208" s="168"/>
      <c r="N1208" s="168"/>
      <c r="O1208" s="168"/>
      <c r="P1208" s="168"/>
      <c r="Q1208" s="168" t="s">
        <v>0</v>
      </c>
      <c r="R1208" s="168" t="s">
        <v>1</v>
      </c>
      <c r="S1208" s="178" t="str">
        <f t="shared" si="56"/>
        <v>D_MAN_CLAIM_ORIGIN_DEFAULT_IND</v>
      </c>
    </row>
    <row r="1209" spans="1:19" ht="14.4" x14ac:dyDescent="0.3">
      <c r="A1209" s="169" t="s">
        <v>1847</v>
      </c>
      <c r="B1209" s="171" t="str">
        <f t="shared" si="54"/>
        <v>D_MAN_CLAIM_ORIG</v>
      </c>
      <c r="C1209" s="169" t="s">
        <v>624</v>
      </c>
      <c r="D1209" s="169">
        <v>589</v>
      </c>
      <c r="E1209" s="169">
        <v>57</v>
      </c>
      <c r="F1209" s="169" t="s">
        <v>624</v>
      </c>
      <c r="G1209" s="169" t="s">
        <v>624</v>
      </c>
      <c r="H1209" s="169">
        <v>15</v>
      </c>
      <c r="I1209" s="136" t="str">
        <f t="shared" si="55"/>
        <v xml:space="preserve">CHAR(1) </v>
      </c>
      <c r="J1209" s="169" t="s">
        <v>0</v>
      </c>
      <c r="K1209" s="169" t="s">
        <v>1</v>
      </c>
      <c r="L1209" s="169">
        <v>30</v>
      </c>
      <c r="M1209" s="168"/>
      <c r="N1209" s="168"/>
      <c r="O1209" s="168"/>
      <c r="P1209" s="168"/>
      <c r="Q1209" s="168" t="s">
        <v>0</v>
      </c>
      <c r="R1209" s="168" t="s">
        <v>1</v>
      </c>
      <c r="S1209" s="178" t="str">
        <f t="shared" si="56"/>
        <v>D_MAN_CLAIM_ORIGIN_PAST_DUE_IND</v>
      </c>
    </row>
    <row r="1210" spans="1:19" ht="14.4" x14ac:dyDescent="0.3">
      <c r="A1210" s="169" t="s">
        <v>1847</v>
      </c>
      <c r="B1210" s="171" t="str">
        <f t="shared" si="54"/>
        <v>D_MAN_CLAIM_ORIG</v>
      </c>
      <c r="C1210" s="169" t="s">
        <v>589</v>
      </c>
      <c r="D1210" s="169">
        <v>590</v>
      </c>
      <c r="E1210" s="169">
        <v>58</v>
      </c>
      <c r="F1210" s="169" t="s">
        <v>589</v>
      </c>
      <c r="G1210" s="169" t="s">
        <v>589</v>
      </c>
      <c r="H1210" s="169">
        <v>7</v>
      </c>
      <c r="I1210" s="136" t="str">
        <f t="shared" si="55"/>
        <v>BIGINT</v>
      </c>
      <c r="J1210" s="169" t="s">
        <v>0</v>
      </c>
      <c r="K1210" s="169" t="s">
        <v>1</v>
      </c>
      <c r="L1210" s="169">
        <v>30</v>
      </c>
      <c r="M1210" s="168"/>
      <c r="N1210" s="168"/>
      <c r="O1210" s="168"/>
      <c r="P1210" s="168"/>
      <c r="Q1210" s="168" t="s">
        <v>0</v>
      </c>
      <c r="R1210" s="168" t="s">
        <v>1</v>
      </c>
      <c r="S1210" s="178" t="str">
        <f t="shared" si="56"/>
        <v>D_MAN_CLAIM_ORIGISSUER_CP_ORIG_ID</v>
      </c>
    </row>
    <row r="1211" spans="1:19" ht="14.4" x14ac:dyDescent="0.3">
      <c r="A1211" s="169" t="s">
        <v>1847</v>
      </c>
      <c r="B1211" s="171" t="str">
        <f t="shared" si="54"/>
        <v>D_MAN_CLAIM_ORIG</v>
      </c>
      <c r="C1211" s="169" t="s">
        <v>616</v>
      </c>
      <c r="D1211" s="169">
        <v>591</v>
      </c>
      <c r="E1211" s="169">
        <v>59</v>
      </c>
      <c r="F1211" s="169" t="s">
        <v>616</v>
      </c>
      <c r="G1211" s="169" t="s">
        <v>616</v>
      </c>
      <c r="H1211" s="169">
        <v>15</v>
      </c>
      <c r="I1211" s="136" t="str">
        <f t="shared" si="55"/>
        <v xml:space="preserve">CHAR(1) </v>
      </c>
      <c r="J1211" s="169" t="s">
        <v>0</v>
      </c>
      <c r="K1211" s="169" t="s">
        <v>1</v>
      </c>
      <c r="L1211" s="169">
        <v>30</v>
      </c>
      <c r="M1211" s="168"/>
      <c r="N1211" s="168"/>
      <c r="O1211" s="168"/>
      <c r="P1211" s="168"/>
      <c r="Q1211" s="168" t="s">
        <v>0</v>
      </c>
      <c r="R1211" s="168" t="s">
        <v>1</v>
      </c>
      <c r="S1211" s="178" t="str">
        <f t="shared" si="56"/>
        <v>D_MAN_CLAIM_ORIGIS_POOL_IND</v>
      </c>
    </row>
    <row r="1212" spans="1:19" ht="14.4" x14ac:dyDescent="0.3">
      <c r="A1212" s="169" t="s">
        <v>1847</v>
      </c>
      <c r="B1212" s="171" t="str">
        <f t="shared" si="54"/>
        <v>D_MAN_CLAIM_ORIG</v>
      </c>
      <c r="C1212" s="169" t="s">
        <v>597</v>
      </c>
      <c r="D1212" s="169">
        <v>592</v>
      </c>
      <c r="E1212" s="169">
        <v>60</v>
      </c>
      <c r="F1212" s="169" t="s">
        <v>597</v>
      </c>
      <c r="G1212" s="169" t="s">
        <v>597</v>
      </c>
      <c r="H1212" s="169">
        <v>15</v>
      </c>
      <c r="I1212" s="136" t="str">
        <f t="shared" si="55"/>
        <v xml:space="preserve">CHAR(1) </v>
      </c>
      <c r="J1212" s="169" t="s">
        <v>0</v>
      </c>
      <c r="K1212" s="169" t="s">
        <v>1</v>
      </c>
      <c r="L1212" s="169">
        <v>30</v>
      </c>
      <c r="M1212" s="168"/>
      <c r="N1212" s="168"/>
      <c r="O1212" s="168"/>
      <c r="P1212" s="168"/>
      <c r="Q1212" s="168" t="s">
        <v>0</v>
      </c>
      <c r="R1212" s="168" t="s">
        <v>1</v>
      </c>
      <c r="S1212" s="178" t="str">
        <f t="shared" si="56"/>
        <v>D_MAN_CLAIM_ORIGL100_BOUND_EQUITY_IND</v>
      </c>
    </row>
    <row r="1213" spans="1:19" ht="14.4" x14ac:dyDescent="0.3">
      <c r="A1213" s="169" t="s">
        <v>1847</v>
      </c>
      <c r="B1213" s="171" t="str">
        <f t="shared" si="54"/>
        <v>D_MAN_CLAIM_ORIG</v>
      </c>
      <c r="C1213" s="169" t="s">
        <v>696</v>
      </c>
      <c r="D1213" s="169">
        <v>593</v>
      </c>
      <c r="E1213" s="169">
        <v>61</v>
      </c>
      <c r="F1213" s="169" t="s">
        <v>696</v>
      </c>
      <c r="G1213" s="169" t="s">
        <v>696</v>
      </c>
      <c r="H1213" s="169">
        <v>3</v>
      </c>
      <c r="I1213" s="136" t="str">
        <f t="shared" si="55"/>
        <v>DECIMAL(20, 6)</v>
      </c>
      <c r="J1213" s="169" t="s">
        <v>0</v>
      </c>
      <c r="K1213" s="169" t="s">
        <v>1</v>
      </c>
      <c r="L1213" s="169">
        <v>30</v>
      </c>
      <c r="M1213" s="168"/>
      <c r="N1213" s="168"/>
      <c r="O1213" s="168"/>
      <c r="P1213" s="168"/>
      <c r="Q1213" s="168" t="s">
        <v>0</v>
      </c>
      <c r="R1213" s="168" t="s">
        <v>1</v>
      </c>
      <c r="S1213" s="178" t="str">
        <f t="shared" si="56"/>
        <v>D_MAN_CLAIM_ORIGLGD_DOWNTURN_PCT</v>
      </c>
    </row>
    <row r="1214" spans="1:19" ht="14.4" x14ac:dyDescent="0.3">
      <c r="A1214" s="169" t="s">
        <v>1847</v>
      </c>
      <c r="B1214" s="171" t="str">
        <f t="shared" si="54"/>
        <v>D_MAN_CLAIM_ORIG</v>
      </c>
      <c r="C1214" s="169" t="s">
        <v>552</v>
      </c>
      <c r="D1214" s="169">
        <v>594</v>
      </c>
      <c r="E1214" s="169">
        <v>62</v>
      </c>
      <c r="F1214" s="169" t="s">
        <v>552</v>
      </c>
      <c r="G1214" s="169" t="s">
        <v>552</v>
      </c>
      <c r="H1214" s="169">
        <v>3</v>
      </c>
      <c r="I1214" s="136" t="str">
        <f t="shared" si="55"/>
        <v>DECIMAL(20, 6)</v>
      </c>
      <c r="J1214" s="169" t="s">
        <v>0</v>
      </c>
      <c r="K1214" s="169" t="s">
        <v>1</v>
      </c>
      <c r="L1214" s="169">
        <v>30</v>
      </c>
      <c r="M1214" s="168"/>
      <c r="N1214" s="168"/>
      <c r="O1214" s="168"/>
      <c r="P1214" s="168"/>
      <c r="Q1214" s="168" t="s">
        <v>0</v>
      </c>
      <c r="R1214" s="168" t="s">
        <v>1</v>
      </c>
      <c r="S1214" s="178" t="str">
        <f t="shared" si="56"/>
        <v>D_MAN_CLAIM_ORIGLGD_INDEFAULT_PCT</v>
      </c>
    </row>
    <row r="1215" spans="1:19" ht="14.4" x14ac:dyDescent="0.3">
      <c r="A1215" s="169" t="s">
        <v>1847</v>
      </c>
      <c r="B1215" s="171" t="str">
        <f t="shared" si="54"/>
        <v>D_MAN_CLAIM_ORIG</v>
      </c>
      <c r="C1215" s="169" t="s">
        <v>551</v>
      </c>
      <c r="D1215" s="169">
        <v>595</v>
      </c>
      <c r="E1215" s="169">
        <v>63</v>
      </c>
      <c r="F1215" s="169" t="s">
        <v>551</v>
      </c>
      <c r="G1215" s="169" t="s">
        <v>551</v>
      </c>
      <c r="H1215" s="169">
        <v>3</v>
      </c>
      <c r="I1215" s="136" t="str">
        <f t="shared" si="55"/>
        <v>DECIMAL(20, 6)</v>
      </c>
      <c r="J1215" s="169" t="s">
        <v>0</v>
      </c>
      <c r="K1215" s="169" t="s">
        <v>1</v>
      </c>
      <c r="L1215" s="169">
        <v>30</v>
      </c>
      <c r="M1215" s="168"/>
      <c r="N1215" s="168"/>
      <c r="O1215" s="168"/>
      <c r="P1215" s="168"/>
      <c r="Q1215" s="168" t="s">
        <v>0</v>
      </c>
      <c r="R1215" s="168" t="s">
        <v>1</v>
      </c>
      <c r="S1215" s="178" t="str">
        <f t="shared" si="56"/>
        <v>D_MAN_CLAIM_ORIGLGD_LONGRUN_PCT</v>
      </c>
    </row>
    <row r="1216" spans="1:19" ht="14.4" x14ac:dyDescent="0.3">
      <c r="A1216" s="169" t="s">
        <v>1847</v>
      </c>
      <c r="B1216" s="171" t="str">
        <f t="shared" si="54"/>
        <v>D_MAN_CLAIM_ORIG</v>
      </c>
      <c r="C1216" s="169" t="s">
        <v>599</v>
      </c>
      <c r="D1216" s="169">
        <v>596</v>
      </c>
      <c r="E1216" s="169">
        <v>64</v>
      </c>
      <c r="F1216" s="169" t="s">
        <v>599</v>
      </c>
      <c r="G1216" s="169" t="s">
        <v>599</v>
      </c>
      <c r="H1216" s="169">
        <v>24</v>
      </c>
      <c r="I1216" s="136" t="str">
        <f t="shared" si="55"/>
        <v xml:space="preserve">VARCHAR(40) </v>
      </c>
      <c r="J1216" s="169" t="s">
        <v>0</v>
      </c>
      <c r="K1216" s="169" t="s">
        <v>1</v>
      </c>
      <c r="L1216" s="169">
        <v>30</v>
      </c>
      <c r="M1216" s="168"/>
      <c r="N1216" s="168"/>
      <c r="O1216" s="168"/>
      <c r="P1216" s="168"/>
      <c r="Q1216" s="168" t="s">
        <v>0</v>
      </c>
      <c r="R1216" s="168" t="s">
        <v>1</v>
      </c>
      <c r="S1216" s="178" t="str">
        <f t="shared" si="56"/>
        <v>D_MAN_CLAIM_ORIGLIMIT_TYPE</v>
      </c>
    </row>
    <row r="1217" spans="1:19" ht="14.4" x14ac:dyDescent="0.3">
      <c r="A1217" s="169" t="s">
        <v>1847</v>
      </c>
      <c r="B1217" s="171" t="str">
        <f t="shared" si="54"/>
        <v>D_MAN_CLAIM_ORIG</v>
      </c>
      <c r="C1217" s="169" t="s">
        <v>591</v>
      </c>
      <c r="D1217" s="169">
        <v>597</v>
      </c>
      <c r="E1217" s="169">
        <v>65</v>
      </c>
      <c r="F1217" s="169" t="s">
        <v>591</v>
      </c>
      <c r="G1217" s="169" t="s">
        <v>591</v>
      </c>
      <c r="H1217" s="169">
        <v>27</v>
      </c>
      <c r="I1217" s="136" t="str">
        <f t="shared" si="55"/>
        <v>INTEGER</v>
      </c>
      <c r="J1217" s="169" t="s">
        <v>0</v>
      </c>
      <c r="K1217" s="169" t="s">
        <v>1</v>
      </c>
      <c r="L1217" s="169">
        <v>30</v>
      </c>
      <c r="M1217" s="168"/>
      <c r="N1217" s="168"/>
      <c r="O1217" s="168"/>
      <c r="P1217" s="168"/>
      <c r="Q1217" s="168" t="s">
        <v>0</v>
      </c>
      <c r="R1217" s="168" t="s">
        <v>1</v>
      </c>
      <c r="S1217" s="178" t="str">
        <f t="shared" si="56"/>
        <v>D_MAN_CLAIM_ORIGLOAN_ENHANCEMENT_LEVEL</v>
      </c>
    </row>
    <row r="1218" spans="1:19" ht="14.4" x14ac:dyDescent="0.3">
      <c r="A1218" s="169" t="s">
        <v>1847</v>
      </c>
      <c r="B1218" s="171" t="str">
        <f t="shared" ref="B1218:B1281" si="57">IF(NOT(ISBLANK(A1218)),VLOOKUP(A1218,ERM_TABLE_NM,2,FALSE), "")</f>
        <v>D_MAN_CLAIM_ORIG</v>
      </c>
      <c r="C1218" s="169" t="s">
        <v>672</v>
      </c>
      <c r="D1218" s="169">
        <v>598</v>
      </c>
      <c r="E1218" s="169">
        <v>66</v>
      </c>
      <c r="F1218" s="169" t="s">
        <v>672</v>
      </c>
      <c r="G1218" s="169" t="s">
        <v>672</v>
      </c>
      <c r="H1218" s="169">
        <v>27</v>
      </c>
      <c r="I1218" s="136" t="str">
        <f t="shared" ref="I1218:I1281" si="58">IF(NOT(ISBLANK(H1218)),VLOOKUP(H1218,ERM_DOMAIN_NM,2,FALSE), "")</f>
        <v>INTEGER</v>
      </c>
      <c r="J1218" s="169" t="s">
        <v>0</v>
      </c>
      <c r="K1218" s="169" t="s">
        <v>1</v>
      </c>
      <c r="L1218" s="169">
        <v>30</v>
      </c>
      <c r="M1218" s="168"/>
      <c r="N1218" s="168"/>
      <c r="O1218" s="168"/>
      <c r="P1218" s="168"/>
      <c r="Q1218" s="168" t="s">
        <v>0</v>
      </c>
      <c r="R1218" s="168" t="s">
        <v>1</v>
      </c>
      <c r="S1218" s="178" t="str">
        <f t="shared" si="56"/>
        <v>D_MAN_CLAIM_ORIGLOAN_EXTENDED_CNT</v>
      </c>
    </row>
    <row r="1219" spans="1:19" ht="14.4" x14ac:dyDescent="0.3">
      <c r="A1219" s="169" t="s">
        <v>1847</v>
      </c>
      <c r="B1219" s="171" t="str">
        <f t="shared" si="57"/>
        <v>D_MAN_CLAIM_ORIG</v>
      </c>
      <c r="C1219" s="169" t="s">
        <v>670</v>
      </c>
      <c r="D1219" s="169">
        <v>599</v>
      </c>
      <c r="E1219" s="169">
        <v>67</v>
      </c>
      <c r="F1219" s="169" t="s">
        <v>670</v>
      </c>
      <c r="G1219" s="169" t="s">
        <v>670</v>
      </c>
      <c r="H1219" s="169">
        <v>15</v>
      </c>
      <c r="I1219" s="136" t="str">
        <f t="shared" si="58"/>
        <v xml:space="preserve">CHAR(1) </v>
      </c>
      <c r="J1219" s="169" t="s">
        <v>0</v>
      </c>
      <c r="K1219" s="169" t="s">
        <v>1</v>
      </c>
      <c r="L1219" s="169">
        <v>30</v>
      </c>
      <c r="M1219" s="168"/>
      <c r="N1219" s="168"/>
      <c r="O1219" s="168"/>
      <c r="P1219" s="168"/>
      <c r="Q1219" s="168" t="s">
        <v>0</v>
      </c>
      <c r="R1219" s="168" t="s">
        <v>1</v>
      </c>
      <c r="S1219" s="178" t="str">
        <f t="shared" ref="S1219:S1282" si="59">CONCATENATE(A1219,C1219)</f>
        <v>D_MAN_CLAIM_ORIGLOAN_EXTENDED_IND</v>
      </c>
    </row>
    <row r="1220" spans="1:19" ht="14.4" x14ac:dyDescent="0.3">
      <c r="A1220" s="169" t="s">
        <v>1847</v>
      </c>
      <c r="B1220" s="171" t="str">
        <f t="shared" si="57"/>
        <v>D_MAN_CLAIM_ORIG</v>
      </c>
      <c r="C1220" s="169" t="s">
        <v>678</v>
      </c>
      <c r="D1220" s="169">
        <v>600</v>
      </c>
      <c r="E1220" s="169">
        <v>68</v>
      </c>
      <c r="F1220" s="169" t="s">
        <v>678</v>
      </c>
      <c r="G1220" s="169" t="s">
        <v>678</v>
      </c>
      <c r="H1220" s="169">
        <v>34</v>
      </c>
      <c r="I1220" s="136" t="str">
        <f t="shared" si="58"/>
        <v>DATE</v>
      </c>
      <c r="J1220" s="169" t="s">
        <v>0</v>
      </c>
      <c r="K1220" s="169" t="s">
        <v>1</v>
      </c>
      <c r="L1220" s="169">
        <v>30</v>
      </c>
      <c r="M1220" s="168"/>
      <c r="N1220" s="168"/>
      <c r="O1220" s="168"/>
      <c r="P1220" s="168"/>
      <c r="Q1220" s="168" t="s">
        <v>0</v>
      </c>
      <c r="R1220" s="168" t="s">
        <v>1</v>
      </c>
      <c r="S1220" s="178" t="str">
        <f t="shared" si="59"/>
        <v>D_MAN_CLAIM_ORIGLOAN_LAST_EXTENDED_DT</v>
      </c>
    </row>
    <row r="1221" spans="1:19" ht="14.4" x14ac:dyDescent="0.3">
      <c r="A1221" s="169" t="s">
        <v>1847</v>
      </c>
      <c r="B1221" s="171" t="str">
        <f t="shared" si="57"/>
        <v>D_MAN_CLAIM_ORIG</v>
      </c>
      <c r="C1221" s="169" t="s">
        <v>676</v>
      </c>
      <c r="D1221" s="169">
        <v>601</v>
      </c>
      <c r="E1221" s="169">
        <v>69</v>
      </c>
      <c r="F1221" s="169" t="s">
        <v>676</v>
      </c>
      <c r="G1221" s="169" t="s">
        <v>676</v>
      </c>
      <c r="H1221" s="169">
        <v>34</v>
      </c>
      <c r="I1221" s="136" t="str">
        <f t="shared" si="58"/>
        <v>DATE</v>
      </c>
      <c r="J1221" s="169" t="s">
        <v>0</v>
      </c>
      <c r="K1221" s="169" t="s">
        <v>1</v>
      </c>
      <c r="L1221" s="169">
        <v>30</v>
      </c>
      <c r="M1221" s="168"/>
      <c r="N1221" s="168"/>
      <c r="O1221" s="168"/>
      <c r="P1221" s="168"/>
      <c r="Q1221" s="168" t="s">
        <v>0</v>
      </c>
      <c r="R1221" s="168" t="s">
        <v>1</v>
      </c>
      <c r="S1221" s="178" t="str">
        <f t="shared" si="59"/>
        <v>D_MAN_CLAIM_ORIGLOAN_LAST_RESTRUCTURED_DT</v>
      </c>
    </row>
    <row r="1222" spans="1:19" ht="14.4" x14ac:dyDescent="0.3">
      <c r="A1222" s="169" t="s">
        <v>1847</v>
      </c>
      <c r="B1222" s="171" t="str">
        <f t="shared" si="57"/>
        <v>D_MAN_CLAIM_ORIG</v>
      </c>
      <c r="C1222" s="169" t="s">
        <v>641</v>
      </c>
      <c r="D1222" s="169">
        <v>602</v>
      </c>
      <c r="E1222" s="169">
        <v>70</v>
      </c>
      <c r="F1222" s="169" t="s">
        <v>641</v>
      </c>
      <c r="G1222" s="169" t="s">
        <v>641</v>
      </c>
      <c r="H1222" s="169">
        <v>27</v>
      </c>
      <c r="I1222" s="136" t="str">
        <f t="shared" si="58"/>
        <v>INTEGER</v>
      </c>
      <c r="J1222" s="169" t="s">
        <v>0</v>
      </c>
      <c r="K1222" s="169" t="s">
        <v>1</v>
      </c>
      <c r="L1222" s="169">
        <v>30</v>
      </c>
      <c r="M1222" s="168"/>
      <c r="N1222" s="168"/>
      <c r="O1222" s="168"/>
      <c r="P1222" s="168"/>
      <c r="Q1222" s="168" t="s">
        <v>0</v>
      </c>
      <c r="R1222" s="168" t="s">
        <v>1</v>
      </c>
      <c r="S1222" s="178" t="str">
        <f t="shared" si="59"/>
        <v>D_MAN_CLAIM_ORIGLOAN_QUALITY_CATEGORY</v>
      </c>
    </row>
    <row r="1223" spans="1:19" ht="14.4" x14ac:dyDescent="0.3">
      <c r="A1223" s="169" t="s">
        <v>1847</v>
      </c>
      <c r="B1223" s="171" t="str">
        <f t="shared" si="57"/>
        <v>D_MAN_CLAIM_ORIG</v>
      </c>
      <c r="C1223" s="169" t="s">
        <v>674</v>
      </c>
      <c r="D1223" s="169">
        <v>603</v>
      </c>
      <c r="E1223" s="169">
        <v>71</v>
      </c>
      <c r="F1223" s="169" t="s">
        <v>674</v>
      </c>
      <c r="G1223" s="169" t="s">
        <v>674</v>
      </c>
      <c r="H1223" s="169">
        <v>27</v>
      </c>
      <c r="I1223" s="136" t="str">
        <f t="shared" si="58"/>
        <v>INTEGER</v>
      </c>
      <c r="J1223" s="169" t="s">
        <v>0</v>
      </c>
      <c r="K1223" s="169" t="s">
        <v>1</v>
      </c>
      <c r="L1223" s="169">
        <v>30</v>
      </c>
      <c r="M1223" s="168"/>
      <c r="N1223" s="168"/>
      <c r="O1223" s="168"/>
      <c r="P1223" s="168"/>
      <c r="Q1223" s="168" t="s">
        <v>0</v>
      </c>
      <c r="R1223" s="168" t="s">
        <v>1</v>
      </c>
      <c r="S1223" s="178" t="str">
        <f t="shared" si="59"/>
        <v>D_MAN_CLAIM_ORIGLOAN_RESTRUCTURED_CNT</v>
      </c>
    </row>
    <row r="1224" spans="1:19" ht="14.4" x14ac:dyDescent="0.3">
      <c r="A1224" s="169" t="s">
        <v>1847</v>
      </c>
      <c r="B1224" s="171" t="str">
        <f t="shared" si="57"/>
        <v>D_MAN_CLAIM_ORIG</v>
      </c>
      <c r="C1224" s="169" t="s">
        <v>645</v>
      </c>
      <c r="D1224" s="169">
        <v>604</v>
      </c>
      <c r="E1224" s="169">
        <v>72</v>
      </c>
      <c r="F1224" s="169" t="s">
        <v>645</v>
      </c>
      <c r="G1224" s="169" t="s">
        <v>645</v>
      </c>
      <c r="H1224" s="169">
        <v>15</v>
      </c>
      <c r="I1224" s="136" t="str">
        <f t="shared" si="58"/>
        <v xml:space="preserve">CHAR(1) </v>
      </c>
      <c r="J1224" s="169" t="s">
        <v>0</v>
      </c>
      <c r="K1224" s="169" t="s">
        <v>1</v>
      </c>
      <c r="L1224" s="169">
        <v>30</v>
      </c>
      <c r="M1224" s="168"/>
      <c r="N1224" s="168"/>
      <c r="O1224" s="168"/>
      <c r="P1224" s="168"/>
      <c r="Q1224" s="168" t="s">
        <v>0</v>
      </c>
      <c r="R1224" s="168" t="s">
        <v>1</v>
      </c>
      <c r="S1224" s="178" t="str">
        <f t="shared" si="59"/>
        <v>D_MAN_CLAIM_ORIGLOAN_RESTRUCTURED_IND</v>
      </c>
    </row>
    <row r="1225" spans="1:19" ht="14.4" x14ac:dyDescent="0.3">
      <c r="A1225" s="169" t="s">
        <v>1847</v>
      </c>
      <c r="B1225" s="171" t="str">
        <f t="shared" si="57"/>
        <v>D_MAN_CLAIM_ORIG</v>
      </c>
      <c r="C1225" s="169" t="s">
        <v>643</v>
      </c>
      <c r="D1225" s="169">
        <v>605</v>
      </c>
      <c r="E1225" s="169">
        <v>73</v>
      </c>
      <c r="F1225" s="169" t="s">
        <v>643</v>
      </c>
      <c r="G1225" s="169" t="s">
        <v>643</v>
      </c>
      <c r="H1225" s="169">
        <v>27</v>
      </c>
      <c r="I1225" s="136" t="str">
        <f t="shared" si="58"/>
        <v>INTEGER</v>
      </c>
      <c r="J1225" s="169" t="s">
        <v>0</v>
      </c>
      <c r="K1225" s="169" t="s">
        <v>1</v>
      </c>
      <c r="L1225" s="169">
        <v>30</v>
      </c>
      <c r="M1225" s="168"/>
      <c r="N1225" s="168"/>
      <c r="O1225" s="168"/>
      <c r="P1225" s="168"/>
      <c r="Q1225" s="168" t="s">
        <v>0</v>
      </c>
      <c r="R1225" s="168" t="s">
        <v>1</v>
      </c>
      <c r="S1225" s="178" t="str">
        <f t="shared" si="59"/>
        <v>D_MAN_CLAIM_ORIGLOAN_SERVICE_CONDITIONS</v>
      </c>
    </row>
    <row r="1226" spans="1:19" ht="14.4" x14ac:dyDescent="0.3">
      <c r="A1226" s="169" t="s">
        <v>1847</v>
      </c>
      <c r="B1226" s="171" t="str">
        <f t="shared" si="57"/>
        <v>D_MAN_CLAIM_ORIG</v>
      </c>
      <c r="C1226" s="169" t="s">
        <v>601</v>
      </c>
      <c r="D1226" s="169">
        <v>606</v>
      </c>
      <c r="E1226" s="169">
        <v>74</v>
      </c>
      <c r="F1226" s="169" t="s">
        <v>601</v>
      </c>
      <c r="G1226" s="169" t="s">
        <v>601</v>
      </c>
      <c r="H1226" s="169">
        <v>13</v>
      </c>
      <c r="I1226" s="136" t="str">
        <f t="shared" si="58"/>
        <v xml:space="preserve">VARCHAR(300) </v>
      </c>
      <c r="J1226" s="169" t="s">
        <v>0</v>
      </c>
      <c r="K1226" s="169" t="s">
        <v>1</v>
      </c>
      <c r="L1226" s="169">
        <v>30</v>
      </c>
      <c r="M1226" s="168"/>
      <c r="N1226" s="168"/>
      <c r="O1226" s="168"/>
      <c r="P1226" s="168"/>
      <c r="Q1226" s="168" t="s">
        <v>0</v>
      </c>
      <c r="R1226" s="168" t="s">
        <v>1</v>
      </c>
      <c r="S1226" s="178" t="str">
        <f t="shared" si="59"/>
        <v>D_MAN_CLAIM_ORIGLOCAL_EXP_CLASS</v>
      </c>
    </row>
    <row r="1227" spans="1:19" ht="14.4" x14ac:dyDescent="0.3">
      <c r="A1227" s="169" t="s">
        <v>1847</v>
      </c>
      <c r="B1227" s="171" t="str">
        <f t="shared" si="57"/>
        <v>D_MAN_CLAIM_ORIG</v>
      </c>
      <c r="C1227" s="169" t="s">
        <v>603</v>
      </c>
      <c r="D1227" s="169">
        <v>607</v>
      </c>
      <c r="E1227" s="169">
        <v>75</v>
      </c>
      <c r="F1227" s="169" t="s">
        <v>603</v>
      </c>
      <c r="G1227" s="169" t="s">
        <v>603</v>
      </c>
      <c r="H1227" s="169">
        <v>34</v>
      </c>
      <c r="I1227" s="136" t="str">
        <f t="shared" si="58"/>
        <v>DATE</v>
      </c>
      <c r="J1227" s="169" t="s">
        <v>0</v>
      </c>
      <c r="K1227" s="169" t="s">
        <v>1</v>
      </c>
      <c r="L1227" s="169">
        <v>30</v>
      </c>
      <c r="M1227" s="168"/>
      <c r="N1227" s="168"/>
      <c r="O1227" s="168"/>
      <c r="P1227" s="168"/>
      <c r="Q1227" s="168" t="s">
        <v>0</v>
      </c>
      <c r="R1227" s="168" t="s">
        <v>1</v>
      </c>
      <c r="S1227" s="178" t="str">
        <f t="shared" si="59"/>
        <v>D_MAN_CLAIM_ORIGMATURITY_DT</v>
      </c>
    </row>
    <row r="1228" spans="1:19" ht="14.4" x14ac:dyDescent="0.3">
      <c r="A1228" s="169" t="s">
        <v>1847</v>
      </c>
      <c r="B1228" s="171" t="str">
        <f t="shared" si="57"/>
        <v>D_MAN_CLAIM_ORIG</v>
      </c>
      <c r="C1228" s="169" t="s">
        <v>628</v>
      </c>
      <c r="D1228" s="169">
        <v>608</v>
      </c>
      <c r="E1228" s="169">
        <v>76</v>
      </c>
      <c r="F1228" s="169" t="s">
        <v>628</v>
      </c>
      <c r="G1228" s="169" t="s">
        <v>628</v>
      </c>
      <c r="H1228" s="169">
        <v>15</v>
      </c>
      <c r="I1228" s="136" t="str">
        <f t="shared" si="58"/>
        <v xml:space="preserve">CHAR(1) </v>
      </c>
      <c r="J1228" s="169" t="s">
        <v>0</v>
      </c>
      <c r="K1228" s="169" t="s">
        <v>1</v>
      </c>
      <c r="L1228" s="169">
        <v>30</v>
      </c>
      <c r="M1228" s="168"/>
      <c r="N1228" s="168"/>
      <c r="O1228" s="168"/>
      <c r="P1228" s="168"/>
      <c r="Q1228" s="168" t="s">
        <v>0</v>
      </c>
      <c r="R1228" s="168" t="s">
        <v>1</v>
      </c>
      <c r="S1228" s="178" t="str">
        <f t="shared" si="59"/>
        <v>D_MAN_CLAIM_ORIGMIN_MATURITY_IND</v>
      </c>
    </row>
    <row r="1229" spans="1:19" ht="14.4" x14ac:dyDescent="0.3">
      <c r="A1229" s="169" t="s">
        <v>1847</v>
      </c>
      <c r="B1229" s="171" t="str">
        <f t="shared" si="57"/>
        <v>D_MAN_CLAIM_ORIG</v>
      </c>
      <c r="C1229" s="169" t="s">
        <v>1617</v>
      </c>
      <c r="D1229" s="169">
        <v>609</v>
      </c>
      <c r="E1229" s="169">
        <v>77</v>
      </c>
      <c r="F1229" s="169" t="s">
        <v>1617</v>
      </c>
      <c r="G1229" s="169" t="s">
        <v>1617</v>
      </c>
      <c r="H1229" s="169">
        <v>34</v>
      </c>
      <c r="I1229" s="136" t="str">
        <f t="shared" si="58"/>
        <v>DATE</v>
      </c>
      <c r="J1229" s="169" t="s">
        <v>0</v>
      </c>
      <c r="K1229" s="169" t="s">
        <v>1</v>
      </c>
      <c r="L1229" s="169">
        <v>30</v>
      </c>
      <c r="M1229" s="168"/>
      <c r="N1229" s="168"/>
      <c r="O1229" s="168"/>
      <c r="P1229" s="168"/>
      <c r="Q1229" s="168" t="s">
        <v>0</v>
      </c>
      <c r="R1229" s="168" t="s">
        <v>1</v>
      </c>
      <c r="S1229" s="178" t="str">
        <f t="shared" si="59"/>
        <v>D_MAN_CLAIM_ORIGNEXT_PRIN_DUE_DT</v>
      </c>
    </row>
    <row r="1230" spans="1:19" ht="14.4" x14ac:dyDescent="0.3">
      <c r="A1230" s="169" t="s">
        <v>1847</v>
      </c>
      <c r="B1230" s="171" t="str">
        <f t="shared" si="57"/>
        <v>D_MAN_CLAIM_ORIG</v>
      </c>
      <c r="C1230" s="169" t="s">
        <v>1487</v>
      </c>
      <c r="D1230" s="169">
        <v>610</v>
      </c>
      <c r="E1230" s="169">
        <v>78</v>
      </c>
      <c r="F1230" s="169" t="s">
        <v>1487</v>
      </c>
      <c r="G1230" s="169" t="s">
        <v>1487</v>
      </c>
      <c r="H1230" s="169">
        <v>24</v>
      </c>
      <c r="I1230" s="136" t="str">
        <f t="shared" si="58"/>
        <v xml:space="preserve">VARCHAR(40) </v>
      </c>
      <c r="J1230" s="169" t="s">
        <v>0</v>
      </c>
      <c r="K1230" s="169" t="s">
        <v>1</v>
      </c>
      <c r="L1230" s="169">
        <v>30</v>
      </c>
      <c r="M1230" s="168"/>
      <c r="N1230" s="168"/>
      <c r="O1230" s="168"/>
      <c r="P1230" s="168"/>
      <c r="Q1230" s="168" t="s">
        <v>0</v>
      </c>
      <c r="R1230" s="168" t="s">
        <v>1</v>
      </c>
      <c r="S1230" s="178" t="str">
        <f t="shared" si="59"/>
        <v>D_MAN_CLAIM_ORIGOLD_FORMAT_SUBSID_RATING_GRADE</v>
      </c>
    </row>
    <row r="1231" spans="1:19" ht="14.4" x14ac:dyDescent="0.3">
      <c r="A1231" s="169" t="s">
        <v>1847</v>
      </c>
      <c r="B1231" s="171" t="str">
        <f t="shared" si="57"/>
        <v>D_MAN_CLAIM_ORIG</v>
      </c>
      <c r="C1231" s="169" t="s">
        <v>630</v>
      </c>
      <c r="D1231" s="169">
        <v>611</v>
      </c>
      <c r="E1231" s="169">
        <v>79</v>
      </c>
      <c r="F1231" s="169" t="s">
        <v>630</v>
      </c>
      <c r="G1231" s="169" t="s">
        <v>630</v>
      </c>
      <c r="H1231" s="169">
        <v>27</v>
      </c>
      <c r="I1231" s="136" t="str">
        <f t="shared" si="58"/>
        <v>INTEGER</v>
      </c>
      <c r="J1231" s="169" t="s">
        <v>0</v>
      </c>
      <c r="K1231" s="169" t="s">
        <v>1</v>
      </c>
      <c r="L1231" s="169">
        <v>30</v>
      </c>
      <c r="M1231" s="168"/>
      <c r="N1231" s="168"/>
      <c r="O1231" s="168"/>
      <c r="P1231" s="168"/>
      <c r="Q1231" s="168" t="s">
        <v>0</v>
      </c>
      <c r="R1231" s="168" t="s">
        <v>1</v>
      </c>
      <c r="S1231" s="178" t="str">
        <f t="shared" si="59"/>
        <v>D_MAN_CLAIM_ORIGPAST_DUE_DAYS_CNT</v>
      </c>
    </row>
    <row r="1232" spans="1:19" ht="14.4" x14ac:dyDescent="0.3">
      <c r="A1232" s="169" t="s">
        <v>1847</v>
      </c>
      <c r="B1232" s="171" t="str">
        <f t="shared" si="57"/>
        <v>D_MAN_CLAIM_ORIG</v>
      </c>
      <c r="C1232" s="169" t="s">
        <v>697</v>
      </c>
      <c r="D1232" s="169">
        <v>612</v>
      </c>
      <c r="E1232" s="169">
        <v>80</v>
      </c>
      <c r="F1232" s="169" t="s">
        <v>697</v>
      </c>
      <c r="G1232" s="169" t="s">
        <v>697</v>
      </c>
      <c r="H1232" s="169">
        <v>3</v>
      </c>
      <c r="I1232" s="136" t="str">
        <f t="shared" si="58"/>
        <v>DECIMAL(20, 6)</v>
      </c>
      <c r="J1232" s="169" t="s">
        <v>0</v>
      </c>
      <c r="K1232" s="169" t="s">
        <v>1</v>
      </c>
      <c r="L1232" s="169">
        <v>30</v>
      </c>
      <c r="M1232" s="168"/>
      <c r="N1232" s="168"/>
      <c r="O1232" s="168"/>
      <c r="P1232" s="168"/>
      <c r="Q1232" s="168" t="s">
        <v>0</v>
      </c>
      <c r="R1232" s="168" t="s">
        <v>1</v>
      </c>
      <c r="S1232" s="178" t="str">
        <f t="shared" si="59"/>
        <v>D_MAN_CLAIM_ORIGPD_PIT_PCT</v>
      </c>
    </row>
    <row r="1233" spans="1:19" ht="14.4" x14ac:dyDescent="0.3">
      <c r="A1233" s="169" t="s">
        <v>1847</v>
      </c>
      <c r="B1233" s="171" t="str">
        <f t="shared" si="57"/>
        <v>D_MAN_CLAIM_ORIG</v>
      </c>
      <c r="C1233" s="169" t="s">
        <v>437</v>
      </c>
      <c r="D1233" s="169">
        <v>613</v>
      </c>
      <c r="E1233" s="169">
        <v>81</v>
      </c>
      <c r="F1233" s="169" t="s">
        <v>437</v>
      </c>
      <c r="G1233" s="169" t="s">
        <v>437</v>
      </c>
      <c r="H1233" s="169">
        <v>3</v>
      </c>
      <c r="I1233" s="136" t="str">
        <f t="shared" si="58"/>
        <v>DECIMAL(20, 6)</v>
      </c>
      <c r="J1233" s="169" t="s">
        <v>0</v>
      </c>
      <c r="K1233" s="169" t="s">
        <v>1</v>
      </c>
      <c r="L1233" s="169">
        <v>30</v>
      </c>
      <c r="M1233" s="168"/>
      <c r="N1233" s="168"/>
      <c r="O1233" s="168"/>
      <c r="P1233" s="168"/>
      <c r="Q1233" s="168" t="s">
        <v>0</v>
      </c>
      <c r="R1233" s="168" t="s">
        <v>1</v>
      </c>
      <c r="S1233" s="178" t="str">
        <f t="shared" si="59"/>
        <v>D_MAN_CLAIM_ORIGPD_TTC_PCT</v>
      </c>
    </row>
    <row r="1234" spans="1:19" ht="14.4" x14ac:dyDescent="0.3">
      <c r="A1234" s="169" t="s">
        <v>1847</v>
      </c>
      <c r="B1234" s="171" t="str">
        <f t="shared" si="57"/>
        <v>D_MAN_CLAIM_ORIG</v>
      </c>
      <c r="C1234" s="169" t="s">
        <v>668</v>
      </c>
      <c r="D1234" s="169">
        <v>614</v>
      </c>
      <c r="E1234" s="169">
        <v>82</v>
      </c>
      <c r="F1234" s="169" t="s">
        <v>668</v>
      </c>
      <c r="G1234" s="169" t="s">
        <v>668</v>
      </c>
      <c r="H1234" s="169">
        <v>24</v>
      </c>
      <c r="I1234" s="136" t="str">
        <f t="shared" si="58"/>
        <v xml:space="preserve">VARCHAR(40) </v>
      </c>
      <c r="J1234" s="169" t="s">
        <v>0</v>
      </c>
      <c r="K1234" s="169" t="s">
        <v>1</v>
      </c>
      <c r="L1234" s="169">
        <v>30</v>
      </c>
      <c r="M1234" s="168"/>
      <c r="N1234" s="168"/>
      <c r="O1234" s="168"/>
      <c r="P1234" s="168"/>
      <c r="Q1234" s="168" t="s">
        <v>0</v>
      </c>
      <c r="R1234" s="168" t="s">
        <v>1</v>
      </c>
      <c r="S1234" s="178" t="str">
        <f t="shared" si="59"/>
        <v>D_MAN_CLAIM_ORIGPOLICY_CD</v>
      </c>
    </row>
    <row r="1235" spans="1:19" ht="14.4" x14ac:dyDescent="0.3">
      <c r="A1235" s="169" t="s">
        <v>1847</v>
      </c>
      <c r="B1235" s="171" t="str">
        <f t="shared" si="57"/>
        <v>D_MAN_CLAIM_ORIG</v>
      </c>
      <c r="C1235" s="169" t="s">
        <v>682</v>
      </c>
      <c r="D1235" s="169">
        <v>615</v>
      </c>
      <c r="E1235" s="169">
        <v>83</v>
      </c>
      <c r="F1235" s="169" t="s">
        <v>682</v>
      </c>
      <c r="G1235" s="169" t="s">
        <v>682</v>
      </c>
      <c r="H1235" s="169">
        <v>27</v>
      </c>
      <c r="I1235" s="136" t="str">
        <f t="shared" si="58"/>
        <v>INTEGER</v>
      </c>
      <c r="J1235" s="169" t="s">
        <v>0</v>
      </c>
      <c r="K1235" s="169" t="s">
        <v>1</v>
      </c>
      <c r="L1235" s="169">
        <v>30</v>
      </c>
      <c r="M1235" s="168"/>
      <c r="N1235" s="168"/>
      <c r="O1235" s="168"/>
      <c r="P1235" s="168"/>
      <c r="Q1235" s="168" t="s">
        <v>0</v>
      </c>
      <c r="R1235" s="168" t="s">
        <v>1</v>
      </c>
      <c r="S1235" s="178" t="str">
        <f t="shared" si="59"/>
        <v>D_MAN_CLAIM_ORIGPREV_RATING_GRADE</v>
      </c>
    </row>
    <row r="1236" spans="1:19" ht="14.4" x14ac:dyDescent="0.3">
      <c r="A1236" s="169" t="s">
        <v>1847</v>
      </c>
      <c r="B1236" s="171" t="str">
        <f t="shared" si="57"/>
        <v>D_MAN_CLAIM_ORIG</v>
      </c>
      <c r="C1236" s="169" t="s">
        <v>684</v>
      </c>
      <c r="D1236" s="169">
        <v>616</v>
      </c>
      <c r="E1236" s="169">
        <v>84</v>
      </c>
      <c r="F1236" s="169" t="s">
        <v>684</v>
      </c>
      <c r="G1236" s="169" t="s">
        <v>684</v>
      </c>
      <c r="H1236" s="169">
        <v>34</v>
      </c>
      <c r="I1236" s="136" t="str">
        <f t="shared" si="58"/>
        <v>DATE</v>
      </c>
      <c r="J1236" s="169" t="s">
        <v>0</v>
      </c>
      <c r="K1236" s="169" t="s">
        <v>1</v>
      </c>
      <c r="L1236" s="169">
        <v>30</v>
      </c>
      <c r="M1236" s="168"/>
      <c r="N1236" s="168"/>
      <c r="O1236" s="168"/>
      <c r="P1236" s="168"/>
      <c r="Q1236" s="168" t="s">
        <v>0</v>
      </c>
      <c r="R1236" s="168" t="s">
        <v>1</v>
      </c>
      <c r="S1236" s="178" t="str">
        <f t="shared" si="59"/>
        <v>D_MAN_CLAIM_ORIGPREV_RATING_GRADE_ESTBL_DT</v>
      </c>
    </row>
    <row r="1237" spans="1:19" ht="14.4" x14ac:dyDescent="0.3">
      <c r="A1237" s="169" t="s">
        <v>1847</v>
      </c>
      <c r="B1237" s="171" t="str">
        <f t="shared" si="57"/>
        <v>D_MAN_CLAIM_ORIG</v>
      </c>
      <c r="C1237" s="169" t="s">
        <v>1493</v>
      </c>
      <c r="D1237" s="169">
        <v>617</v>
      </c>
      <c r="E1237" s="169">
        <v>85</v>
      </c>
      <c r="F1237" s="169" t="s">
        <v>1493</v>
      </c>
      <c r="G1237" s="169" t="s">
        <v>1493</v>
      </c>
      <c r="H1237" s="169">
        <v>21</v>
      </c>
      <c r="I1237" s="136" t="str">
        <f t="shared" si="58"/>
        <v>DECIMAL(19, 2)</v>
      </c>
      <c r="J1237" s="169" t="s">
        <v>0</v>
      </c>
      <c r="K1237" s="169" t="s">
        <v>1</v>
      </c>
      <c r="L1237" s="169">
        <v>30</v>
      </c>
      <c r="M1237" s="168"/>
      <c r="N1237" s="168"/>
      <c r="O1237" s="168"/>
      <c r="P1237" s="168"/>
      <c r="Q1237" s="168" t="s">
        <v>0</v>
      </c>
      <c r="R1237" s="168" t="s">
        <v>1</v>
      </c>
      <c r="S1237" s="178" t="str">
        <f t="shared" si="59"/>
        <v>D_MAN_CLAIM_ORIGPRIN_CCY_AMT</v>
      </c>
    </row>
    <row r="1238" spans="1:19" ht="14.4" x14ac:dyDescent="0.3">
      <c r="A1238" s="169" t="s">
        <v>1847</v>
      </c>
      <c r="B1238" s="171" t="str">
        <f t="shared" si="57"/>
        <v>D_MAN_CLAIM_ORIG</v>
      </c>
      <c r="C1238" s="169" t="s">
        <v>1440</v>
      </c>
      <c r="D1238" s="169">
        <v>618</v>
      </c>
      <c r="E1238" s="169">
        <v>86</v>
      </c>
      <c r="F1238" s="169" t="s">
        <v>1440</v>
      </c>
      <c r="G1238" s="169" t="s">
        <v>1440</v>
      </c>
      <c r="H1238" s="169">
        <v>24</v>
      </c>
      <c r="I1238" s="136" t="str">
        <f t="shared" si="58"/>
        <v xml:space="preserve">VARCHAR(40) </v>
      </c>
      <c r="J1238" s="169" t="s">
        <v>0</v>
      </c>
      <c r="K1238" s="169" t="s">
        <v>1</v>
      </c>
      <c r="L1238" s="169">
        <v>30</v>
      </c>
      <c r="M1238" s="168"/>
      <c r="N1238" s="168"/>
      <c r="O1238" s="168"/>
      <c r="P1238" s="168"/>
      <c r="Q1238" s="168" t="s">
        <v>0</v>
      </c>
      <c r="R1238" s="168" t="s">
        <v>1</v>
      </c>
      <c r="S1238" s="178" t="str">
        <f t="shared" si="59"/>
        <v>D_MAN_CLAIM_ORIGPRIN_DUE_ACC</v>
      </c>
    </row>
    <row r="1239" spans="1:19" ht="14.4" x14ac:dyDescent="0.3">
      <c r="A1239" s="169" t="s">
        <v>1847</v>
      </c>
      <c r="B1239" s="171" t="str">
        <f t="shared" si="57"/>
        <v>D_MAN_CLAIM_ORIG</v>
      </c>
      <c r="C1239" s="169" t="s">
        <v>1555</v>
      </c>
      <c r="D1239" s="169">
        <v>619</v>
      </c>
      <c r="E1239" s="169">
        <v>87</v>
      </c>
      <c r="F1239" s="169" t="s">
        <v>1555</v>
      </c>
      <c r="G1239" s="169" t="s">
        <v>1555</v>
      </c>
      <c r="H1239" s="169">
        <v>21</v>
      </c>
      <c r="I1239" s="136" t="str">
        <f t="shared" si="58"/>
        <v>DECIMAL(19, 2)</v>
      </c>
      <c r="J1239" s="169" t="s">
        <v>0</v>
      </c>
      <c r="K1239" s="169" t="s">
        <v>1</v>
      </c>
      <c r="L1239" s="169">
        <v>30</v>
      </c>
      <c r="M1239" s="168"/>
      <c r="N1239" s="168"/>
      <c r="O1239" s="168"/>
      <c r="P1239" s="168"/>
      <c r="Q1239" s="168" t="s">
        <v>0</v>
      </c>
      <c r="R1239" s="168" t="s">
        <v>1</v>
      </c>
      <c r="S1239" s="178" t="str">
        <f t="shared" si="59"/>
        <v>D_MAN_CLAIM_ORIGPRIN_DUE_CCY_AMT</v>
      </c>
    </row>
    <row r="1240" spans="1:19" ht="14.4" x14ac:dyDescent="0.3">
      <c r="A1240" s="169" t="s">
        <v>1847</v>
      </c>
      <c r="B1240" s="171" t="str">
        <f t="shared" si="57"/>
        <v>D_MAN_CLAIM_ORIG</v>
      </c>
      <c r="C1240" s="169" t="s">
        <v>1429</v>
      </c>
      <c r="D1240" s="169">
        <v>620</v>
      </c>
      <c r="E1240" s="169">
        <v>88</v>
      </c>
      <c r="F1240" s="169" t="s">
        <v>1429</v>
      </c>
      <c r="G1240" s="169" t="s">
        <v>1429</v>
      </c>
      <c r="H1240" s="169">
        <v>21</v>
      </c>
      <c r="I1240" s="136" t="str">
        <f t="shared" si="58"/>
        <v>DECIMAL(19, 2)</v>
      </c>
      <c r="J1240" s="169" t="s">
        <v>0</v>
      </c>
      <c r="K1240" s="169" t="s">
        <v>1</v>
      </c>
      <c r="L1240" s="169">
        <v>30</v>
      </c>
      <c r="M1240" s="168"/>
      <c r="N1240" s="168"/>
      <c r="O1240" s="168"/>
      <c r="P1240" s="168"/>
      <c r="Q1240" s="168" t="s">
        <v>0</v>
      </c>
      <c r="R1240" s="168" t="s">
        <v>1</v>
      </c>
      <c r="S1240" s="178" t="str">
        <f t="shared" si="59"/>
        <v>D_MAN_CLAIM_ORIGPRIN_DUE_RUB_AMT</v>
      </c>
    </row>
    <row r="1241" spans="1:19" ht="14.4" x14ac:dyDescent="0.3">
      <c r="A1241" s="169" t="s">
        <v>1847</v>
      </c>
      <c r="B1241" s="171" t="str">
        <f t="shared" si="57"/>
        <v>D_MAN_CLAIM_ORIG</v>
      </c>
      <c r="C1241" s="169" t="s">
        <v>1545</v>
      </c>
      <c r="D1241" s="169">
        <v>621</v>
      </c>
      <c r="E1241" s="169">
        <v>89</v>
      </c>
      <c r="F1241" s="169" t="s">
        <v>1545</v>
      </c>
      <c r="G1241" s="169" t="s">
        <v>1545</v>
      </c>
      <c r="H1241" s="169">
        <v>24</v>
      </c>
      <c r="I1241" s="136" t="str">
        <f t="shared" si="58"/>
        <v xml:space="preserve">VARCHAR(40) </v>
      </c>
      <c r="J1241" s="169" t="s">
        <v>0</v>
      </c>
      <c r="K1241" s="169" t="s">
        <v>1</v>
      </c>
      <c r="L1241" s="169">
        <v>30</v>
      </c>
      <c r="M1241" s="168"/>
      <c r="N1241" s="168"/>
      <c r="O1241" s="168"/>
      <c r="P1241" s="168"/>
      <c r="Q1241" s="168" t="s">
        <v>0</v>
      </c>
      <c r="R1241" s="168" t="s">
        <v>1</v>
      </c>
      <c r="S1241" s="178" t="str">
        <f t="shared" si="59"/>
        <v>D_MAN_CLAIM_ORIGPRIN_PAST_DUE_ACC</v>
      </c>
    </row>
    <row r="1242" spans="1:19" ht="14.4" x14ac:dyDescent="0.3">
      <c r="A1242" s="169" t="s">
        <v>1847</v>
      </c>
      <c r="B1242" s="171" t="str">
        <f t="shared" si="57"/>
        <v>D_MAN_CLAIM_ORIG</v>
      </c>
      <c r="C1242" s="169" t="s">
        <v>1414</v>
      </c>
      <c r="D1242" s="169">
        <v>622</v>
      </c>
      <c r="E1242" s="169">
        <v>90</v>
      </c>
      <c r="F1242" s="169" t="s">
        <v>1414</v>
      </c>
      <c r="G1242" s="169" t="s">
        <v>1414</v>
      </c>
      <c r="H1242" s="169">
        <v>21</v>
      </c>
      <c r="I1242" s="136" t="str">
        <f t="shared" si="58"/>
        <v>DECIMAL(19, 2)</v>
      </c>
      <c r="J1242" s="169" t="s">
        <v>0</v>
      </c>
      <c r="K1242" s="169" t="s">
        <v>1</v>
      </c>
      <c r="L1242" s="169">
        <v>30</v>
      </c>
      <c r="M1242" s="168"/>
      <c r="N1242" s="168"/>
      <c r="O1242" s="168"/>
      <c r="P1242" s="168"/>
      <c r="Q1242" s="168" t="s">
        <v>0</v>
      </c>
      <c r="R1242" s="168" t="s">
        <v>1</v>
      </c>
      <c r="S1242" s="178" t="str">
        <f t="shared" si="59"/>
        <v>D_MAN_CLAIM_ORIGPRIN_PAST_DUE_CCY_AMT</v>
      </c>
    </row>
    <row r="1243" spans="1:19" ht="14.4" x14ac:dyDescent="0.3">
      <c r="A1243" s="169" t="s">
        <v>1847</v>
      </c>
      <c r="B1243" s="171" t="str">
        <f t="shared" si="57"/>
        <v>D_MAN_CLAIM_ORIG</v>
      </c>
      <c r="C1243" s="169" t="s">
        <v>1532</v>
      </c>
      <c r="D1243" s="169">
        <v>623</v>
      </c>
      <c r="E1243" s="169">
        <v>91</v>
      </c>
      <c r="F1243" s="169" t="s">
        <v>1532</v>
      </c>
      <c r="G1243" s="169" t="s">
        <v>1532</v>
      </c>
      <c r="H1243" s="169">
        <v>34</v>
      </c>
      <c r="I1243" s="136" t="str">
        <f t="shared" si="58"/>
        <v>DATE</v>
      </c>
      <c r="J1243" s="169" t="s">
        <v>0</v>
      </c>
      <c r="K1243" s="169" t="s">
        <v>1</v>
      </c>
      <c r="L1243" s="169">
        <v>30</v>
      </c>
      <c r="M1243" s="168"/>
      <c r="N1243" s="168"/>
      <c r="O1243" s="168"/>
      <c r="P1243" s="168"/>
      <c r="Q1243" s="168" t="s">
        <v>0</v>
      </c>
      <c r="R1243" s="168" t="s">
        <v>1</v>
      </c>
      <c r="S1243" s="178" t="str">
        <f t="shared" si="59"/>
        <v>D_MAN_CLAIM_ORIGPRIN_PAST_DUE_DT</v>
      </c>
    </row>
    <row r="1244" spans="1:19" ht="14.4" x14ac:dyDescent="0.3">
      <c r="A1244" s="169" t="s">
        <v>1847</v>
      </c>
      <c r="B1244" s="171" t="str">
        <f t="shared" si="57"/>
        <v>D_MAN_CLAIM_ORIG</v>
      </c>
      <c r="C1244" s="169" t="s">
        <v>1396</v>
      </c>
      <c r="D1244" s="169">
        <v>624</v>
      </c>
      <c r="E1244" s="169">
        <v>92</v>
      </c>
      <c r="F1244" s="169" t="s">
        <v>1396</v>
      </c>
      <c r="G1244" s="169" t="s">
        <v>1396</v>
      </c>
      <c r="H1244" s="169">
        <v>21</v>
      </c>
      <c r="I1244" s="136" t="str">
        <f t="shared" si="58"/>
        <v>DECIMAL(19, 2)</v>
      </c>
      <c r="J1244" s="169" t="s">
        <v>0</v>
      </c>
      <c r="K1244" s="169" t="s">
        <v>1</v>
      </c>
      <c r="L1244" s="169">
        <v>30</v>
      </c>
      <c r="M1244" s="168"/>
      <c r="N1244" s="168"/>
      <c r="O1244" s="168"/>
      <c r="P1244" s="168"/>
      <c r="Q1244" s="168" t="s">
        <v>0</v>
      </c>
      <c r="R1244" s="168" t="s">
        <v>1</v>
      </c>
      <c r="S1244" s="178" t="str">
        <f t="shared" si="59"/>
        <v>D_MAN_CLAIM_ORIGPRIN_PAST_DUE_RUB_AMT</v>
      </c>
    </row>
    <row r="1245" spans="1:19" ht="14.4" x14ac:dyDescent="0.3">
      <c r="A1245" s="169" t="s">
        <v>1847</v>
      </c>
      <c r="B1245" s="171" t="str">
        <f t="shared" si="57"/>
        <v>D_MAN_CLAIM_ORIG</v>
      </c>
      <c r="C1245" s="169" t="s">
        <v>555</v>
      </c>
      <c r="D1245" s="169">
        <v>625</v>
      </c>
      <c r="E1245" s="169">
        <v>93</v>
      </c>
      <c r="F1245" s="169" t="s">
        <v>555</v>
      </c>
      <c r="G1245" s="169" t="s">
        <v>555</v>
      </c>
      <c r="H1245" s="169">
        <v>7</v>
      </c>
      <c r="I1245" s="136" t="str">
        <f t="shared" si="58"/>
        <v>BIGINT</v>
      </c>
      <c r="J1245" s="169" t="s">
        <v>0</v>
      </c>
      <c r="K1245" s="169" t="s">
        <v>1</v>
      </c>
      <c r="L1245" s="169">
        <v>30</v>
      </c>
      <c r="M1245" s="168"/>
      <c r="N1245" s="168"/>
      <c r="O1245" s="168"/>
      <c r="P1245" s="168"/>
      <c r="Q1245" s="168" t="s">
        <v>0</v>
      </c>
      <c r="R1245" s="168" t="s">
        <v>1</v>
      </c>
      <c r="S1245" s="178" t="str">
        <f t="shared" si="59"/>
        <v>D_MAN_CLAIM_ORIGPRIN_PM_SCHED_TYPE_ID</v>
      </c>
    </row>
    <row r="1246" spans="1:19" ht="14.4" x14ac:dyDescent="0.3">
      <c r="A1246" s="169" t="s">
        <v>1847</v>
      </c>
      <c r="B1246" s="171" t="str">
        <f t="shared" si="57"/>
        <v>D_MAN_CLAIM_ORIG</v>
      </c>
      <c r="C1246" s="169" t="s">
        <v>1854</v>
      </c>
      <c r="D1246" s="169">
        <v>626</v>
      </c>
      <c r="E1246" s="169">
        <v>94</v>
      </c>
      <c r="F1246" s="169" t="s">
        <v>1854</v>
      </c>
      <c r="G1246" s="169" t="s">
        <v>1854</v>
      </c>
      <c r="H1246" s="169">
        <v>21</v>
      </c>
      <c r="I1246" s="136" t="str">
        <f t="shared" si="58"/>
        <v>DECIMAL(19, 2)</v>
      </c>
      <c r="J1246" s="169" t="s">
        <v>0</v>
      </c>
      <c r="K1246" s="169" t="s">
        <v>1</v>
      </c>
      <c r="L1246" s="169">
        <v>30</v>
      </c>
      <c r="M1246" s="168"/>
      <c r="N1246" s="168"/>
      <c r="O1246" s="168"/>
      <c r="P1246" s="168"/>
      <c r="Q1246" s="168" t="s">
        <v>0</v>
      </c>
      <c r="R1246" s="168" t="s">
        <v>1</v>
      </c>
      <c r="S1246" s="178" t="str">
        <f t="shared" si="59"/>
        <v>D_MAN_CLAIM_ORIGPROVISION_BAL_CCY_AMT</v>
      </c>
    </row>
    <row r="1247" spans="1:19" ht="14.4" x14ac:dyDescent="0.3">
      <c r="A1247" s="169" t="s">
        <v>1847</v>
      </c>
      <c r="B1247" s="171" t="str">
        <f t="shared" si="57"/>
        <v>D_MAN_CLAIM_ORIG</v>
      </c>
      <c r="C1247" s="169" t="s">
        <v>1855</v>
      </c>
      <c r="D1247" s="169">
        <v>627</v>
      </c>
      <c r="E1247" s="169">
        <v>95</v>
      </c>
      <c r="F1247" s="169" t="s">
        <v>1855</v>
      </c>
      <c r="G1247" s="169" t="s">
        <v>1855</v>
      </c>
      <c r="H1247" s="169">
        <v>21</v>
      </c>
      <c r="I1247" s="136" t="str">
        <f t="shared" si="58"/>
        <v>DECIMAL(19, 2)</v>
      </c>
      <c r="J1247" s="169" t="s">
        <v>0</v>
      </c>
      <c r="K1247" s="169" t="s">
        <v>1</v>
      </c>
      <c r="L1247" s="169">
        <v>30</v>
      </c>
      <c r="M1247" s="168"/>
      <c r="N1247" s="168"/>
      <c r="O1247" s="168"/>
      <c r="P1247" s="168"/>
      <c r="Q1247" s="168" t="s">
        <v>0</v>
      </c>
      <c r="R1247" s="168" t="s">
        <v>1</v>
      </c>
      <c r="S1247" s="178" t="str">
        <f t="shared" si="59"/>
        <v>D_MAN_CLAIM_ORIGPROVISION_BAL_RUB_AMT</v>
      </c>
    </row>
    <row r="1248" spans="1:19" ht="14.4" x14ac:dyDescent="0.3">
      <c r="A1248" s="169" t="s">
        <v>1847</v>
      </c>
      <c r="B1248" s="171" t="str">
        <f t="shared" si="57"/>
        <v>D_MAN_CLAIM_ORIG</v>
      </c>
      <c r="C1248" s="169" t="s">
        <v>648</v>
      </c>
      <c r="D1248" s="169">
        <v>628</v>
      </c>
      <c r="E1248" s="169">
        <v>96</v>
      </c>
      <c r="F1248" s="169" t="s">
        <v>648</v>
      </c>
      <c r="G1248" s="169" t="s">
        <v>648</v>
      </c>
      <c r="H1248" s="169">
        <v>21</v>
      </c>
      <c r="I1248" s="136" t="str">
        <f t="shared" si="58"/>
        <v>DECIMAL(19, 2)</v>
      </c>
      <c r="J1248" s="169" t="s">
        <v>0</v>
      </c>
      <c r="K1248" s="169" t="s">
        <v>1</v>
      </c>
      <c r="L1248" s="169">
        <v>30</v>
      </c>
      <c r="M1248" s="168"/>
      <c r="N1248" s="168"/>
      <c r="O1248" s="168"/>
      <c r="P1248" s="168"/>
      <c r="Q1248" s="168" t="s">
        <v>0</v>
      </c>
      <c r="R1248" s="168" t="s">
        <v>1</v>
      </c>
      <c r="S1248" s="178" t="str">
        <f t="shared" si="59"/>
        <v>D_MAN_CLAIM_ORIGPROVISION_CCY_AMT</v>
      </c>
    </row>
    <row r="1249" spans="1:19" ht="14.4" x14ac:dyDescent="0.3">
      <c r="A1249" s="169" t="s">
        <v>1847</v>
      </c>
      <c r="B1249" s="171" t="str">
        <f t="shared" si="57"/>
        <v>D_MAN_CLAIM_ORIG</v>
      </c>
      <c r="C1249" s="169" t="s">
        <v>1464</v>
      </c>
      <c r="D1249" s="169">
        <v>629</v>
      </c>
      <c r="E1249" s="169">
        <v>97</v>
      </c>
      <c r="F1249" s="169" t="s">
        <v>1464</v>
      </c>
      <c r="G1249" s="169" t="s">
        <v>1464</v>
      </c>
      <c r="H1249" s="169">
        <v>7</v>
      </c>
      <c r="I1249" s="136" t="str">
        <f t="shared" si="58"/>
        <v>BIGINT</v>
      </c>
      <c r="J1249" s="169" t="s">
        <v>0</v>
      </c>
      <c r="K1249" s="169" t="s">
        <v>1</v>
      </c>
      <c r="L1249" s="169">
        <v>30</v>
      </c>
      <c r="M1249" s="168"/>
      <c r="N1249" s="168"/>
      <c r="O1249" s="168"/>
      <c r="P1249" s="168"/>
      <c r="Q1249" s="168" t="s">
        <v>0</v>
      </c>
      <c r="R1249" s="168" t="s">
        <v>1</v>
      </c>
      <c r="S1249" s="178" t="str">
        <f t="shared" si="59"/>
        <v>D_MAN_CLAIM_ORIGPROVISION_CURRENCY_ID</v>
      </c>
    </row>
    <row r="1250" spans="1:19" ht="14.4" x14ac:dyDescent="0.3">
      <c r="A1250" s="169" t="s">
        <v>1847</v>
      </c>
      <c r="B1250" s="171" t="str">
        <f t="shared" si="57"/>
        <v>D_MAN_CLAIM_ORIG</v>
      </c>
      <c r="C1250" s="169" t="s">
        <v>1856</v>
      </c>
      <c r="D1250" s="169">
        <v>630</v>
      </c>
      <c r="E1250" s="169">
        <v>98</v>
      </c>
      <c r="F1250" s="169" t="s">
        <v>1856</v>
      </c>
      <c r="G1250" s="169" t="s">
        <v>1856</v>
      </c>
      <c r="H1250" s="169">
        <v>21</v>
      </c>
      <c r="I1250" s="136" t="str">
        <f t="shared" si="58"/>
        <v>DECIMAL(19, 2)</v>
      </c>
      <c r="J1250" s="169" t="s">
        <v>0</v>
      </c>
      <c r="K1250" s="169" t="s">
        <v>1</v>
      </c>
      <c r="L1250" s="169">
        <v>30</v>
      </c>
      <c r="M1250" s="168"/>
      <c r="N1250" s="168"/>
      <c r="O1250" s="168"/>
      <c r="P1250" s="168"/>
      <c r="Q1250" s="168" t="s">
        <v>0</v>
      </c>
      <c r="R1250" s="168" t="s">
        <v>1</v>
      </c>
      <c r="S1250" s="178" t="str">
        <f t="shared" si="59"/>
        <v>D_MAN_CLAIM_ORIGPROVISION_OFF_BAL_CCY_AMT</v>
      </c>
    </row>
    <row r="1251" spans="1:19" ht="14.4" x14ac:dyDescent="0.3">
      <c r="A1251" s="169" t="s">
        <v>1847</v>
      </c>
      <c r="B1251" s="171" t="str">
        <f t="shared" si="57"/>
        <v>D_MAN_CLAIM_ORIG</v>
      </c>
      <c r="C1251" s="169" t="s">
        <v>1857</v>
      </c>
      <c r="D1251" s="169">
        <v>631</v>
      </c>
      <c r="E1251" s="169">
        <v>99</v>
      </c>
      <c r="F1251" s="169" t="s">
        <v>1857</v>
      </c>
      <c r="G1251" s="169" t="s">
        <v>1857</v>
      </c>
      <c r="H1251" s="169">
        <v>21</v>
      </c>
      <c r="I1251" s="136" t="str">
        <f t="shared" si="58"/>
        <v>DECIMAL(19, 2)</v>
      </c>
      <c r="J1251" s="169" t="s">
        <v>0</v>
      </c>
      <c r="K1251" s="169" t="s">
        <v>1</v>
      </c>
      <c r="L1251" s="169">
        <v>30</v>
      </c>
      <c r="M1251" s="168"/>
      <c r="N1251" s="168"/>
      <c r="O1251" s="168"/>
      <c r="P1251" s="168"/>
      <c r="Q1251" s="168" t="s">
        <v>0</v>
      </c>
      <c r="R1251" s="168" t="s">
        <v>1</v>
      </c>
      <c r="S1251" s="178" t="str">
        <f t="shared" si="59"/>
        <v>D_MAN_CLAIM_ORIGPROVISION_OFF_BAL_RUB_AMT</v>
      </c>
    </row>
    <row r="1252" spans="1:19" ht="14.4" x14ac:dyDescent="0.3">
      <c r="A1252" s="169" t="s">
        <v>1847</v>
      </c>
      <c r="B1252" s="171" t="str">
        <f t="shared" si="57"/>
        <v>D_MAN_CLAIM_ORIG</v>
      </c>
      <c r="C1252" s="169" t="s">
        <v>605</v>
      </c>
      <c r="D1252" s="169">
        <v>632</v>
      </c>
      <c r="E1252" s="169">
        <v>100</v>
      </c>
      <c r="F1252" s="169" t="s">
        <v>605</v>
      </c>
      <c r="G1252" s="169" t="s">
        <v>605</v>
      </c>
      <c r="H1252" s="169">
        <v>21</v>
      </c>
      <c r="I1252" s="136" t="str">
        <f t="shared" si="58"/>
        <v>DECIMAL(19, 2)</v>
      </c>
      <c r="J1252" s="169" t="s">
        <v>0</v>
      </c>
      <c r="K1252" s="169" t="s">
        <v>1</v>
      </c>
      <c r="L1252" s="169">
        <v>30</v>
      </c>
      <c r="M1252" s="168"/>
      <c r="N1252" s="168"/>
      <c r="O1252" s="168"/>
      <c r="P1252" s="168"/>
      <c r="Q1252" s="168" t="s">
        <v>0</v>
      </c>
      <c r="R1252" s="168" t="s">
        <v>1</v>
      </c>
      <c r="S1252" s="178" t="str">
        <f t="shared" si="59"/>
        <v>D_MAN_CLAIM_ORIGPROVISION_RUB_AMT</v>
      </c>
    </row>
    <row r="1253" spans="1:19" ht="14.4" x14ac:dyDescent="0.3">
      <c r="A1253" s="169" t="s">
        <v>1847</v>
      </c>
      <c r="B1253" s="171" t="str">
        <f t="shared" si="57"/>
        <v>D_MAN_CLAIM_ORIG</v>
      </c>
      <c r="C1253" s="169" t="s">
        <v>611</v>
      </c>
      <c r="D1253" s="169">
        <v>633</v>
      </c>
      <c r="E1253" s="169">
        <v>101</v>
      </c>
      <c r="F1253" s="169" t="s">
        <v>611</v>
      </c>
      <c r="G1253" s="169" t="s">
        <v>611</v>
      </c>
      <c r="H1253" s="169">
        <v>27</v>
      </c>
      <c r="I1253" s="136" t="str">
        <f t="shared" si="58"/>
        <v>INTEGER</v>
      </c>
      <c r="J1253" s="169" t="s">
        <v>0</v>
      </c>
      <c r="K1253" s="169" t="s">
        <v>1</v>
      </c>
      <c r="L1253" s="169">
        <v>30</v>
      </c>
      <c r="M1253" s="168"/>
      <c r="N1253" s="168"/>
      <c r="O1253" s="168"/>
      <c r="P1253" s="168"/>
      <c r="Q1253" s="168" t="s">
        <v>0</v>
      </c>
      <c r="R1253" s="168" t="s">
        <v>1</v>
      </c>
      <c r="S1253" s="178" t="str">
        <f t="shared" si="59"/>
        <v>D_MAN_CLAIM_ORIGRATING_GRADE</v>
      </c>
    </row>
    <row r="1254" spans="1:19" ht="14.4" x14ac:dyDescent="0.3">
      <c r="A1254" s="169" t="s">
        <v>1847</v>
      </c>
      <c r="B1254" s="171" t="str">
        <f t="shared" si="57"/>
        <v>D_MAN_CLAIM_ORIG</v>
      </c>
      <c r="C1254" s="169" t="s">
        <v>647</v>
      </c>
      <c r="D1254" s="169">
        <v>634</v>
      </c>
      <c r="E1254" s="169">
        <v>102</v>
      </c>
      <c r="F1254" s="169" t="s">
        <v>647</v>
      </c>
      <c r="G1254" s="169" t="s">
        <v>647</v>
      </c>
      <c r="H1254" s="169">
        <v>15</v>
      </c>
      <c r="I1254" s="136" t="str">
        <f t="shared" si="58"/>
        <v xml:space="preserve">CHAR(1) </v>
      </c>
      <c r="J1254" s="169" t="s">
        <v>0</v>
      </c>
      <c r="K1254" s="169" t="s">
        <v>1</v>
      </c>
      <c r="L1254" s="169">
        <v>30</v>
      </c>
      <c r="M1254" s="168"/>
      <c r="N1254" s="168"/>
      <c r="O1254" s="168"/>
      <c r="P1254" s="168"/>
      <c r="Q1254" s="168" t="s">
        <v>0</v>
      </c>
      <c r="R1254" s="168" t="s">
        <v>1</v>
      </c>
      <c r="S1254" s="178" t="str">
        <f t="shared" si="59"/>
        <v>D_MAN_CLAIM_ORIGRATING_GRADE_CHANGED_IND</v>
      </c>
    </row>
    <row r="1255" spans="1:19" ht="14.4" x14ac:dyDescent="0.3">
      <c r="A1255" s="169" t="s">
        <v>1847</v>
      </c>
      <c r="B1255" s="171" t="str">
        <f t="shared" si="57"/>
        <v>D_MAN_CLAIM_ORIG</v>
      </c>
      <c r="C1255" s="169" t="s">
        <v>658</v>
      </c>
      <c r="D1255" s="169">
        <v>635</v>
      </c>
      <c r="E1255" s="169">
        <v>103</v>
      </c>
      <c r="F1255" s="169" t="s">
        <v>658</v>
      </c>
      <c r="G1255" s="169" t="s">
        <v>658</v>
      </c>
      <c r="H1255" s="169">
        <v>34</v>
      </c>
      <c r="I1255" s="136" t="str">
        <f t="shared" si="58"/>
        <v>DATE</v>
      </c>
      <c r="J1255" s="169" t="s">
        <v>0</v>
      </c>
      <c r="K1255" s="169" t="s">
        <v>1</v>
      </c>
      <c r="L1255" s="169">
        <v>30</v>
      </c>
      <c r="M1255" s="168"/>
      <c r="N1255" s="168"/>
      <c r="O1255" s="168"/>
      <c r="P1255" s="168"/>
      <c r="Q1255" s="168" t="s">
        <v>0</v>
      </c>
      <c r="R1255" s="168" t="s">
        <v>1</v>
      </c>
      <c r="S1255" s="178" t="str">
        <f t="shared" si="59"/>
        <v>D_MAN_CLAIM_ORIGRATING_GRADE_ESTABLISHED_DT</v>
      </c>
    </row>
    <row r="1256" spans="1:19" ht="14.4" x14ac:dyDescent="0.3">
      <c r="A1256" s="169" t="s">
        <v>1847</v>
      </c>
      <c r="B1256" s="171" t="str">
        <f t="shared" si="57"/>
        <v>D_MAN_CLAIM_ORIG</v>
      </c>
      <c r="C1256" s="169" t="s">
        <v>511</v>
      </c>
      <c r="D1256" s="169">
        <v>636</v>
      </c>
      <c r="E1256" s="169">
        <v>104</v>
      </c>
      <c r="F1256" s="169" t="s">
        <v>511</v>
      </c>
      <c r="G1256" s="169" t="s">
        <v>511</v>
      </c>
      <c r="H1256" s="169">
        <v>7</v>
      </c>
      <c r="I1256" s="136" t="str">
        <f t="shared" si="58"/>
        <v>BIGINT</v>
      </c>
      <c r="J1256" s="169" t="s">
        <v>0</v>
      </c>
      <c r="K1256" s="169" t="s">
        <v>1</v>
      </c>
      <c r="L1256" s="169">
        <v>30</v>
      </c>
      <c r="M1256" s="168"/>
      <c r="N1256" s="168"/>
      <c r="O1256" s="168"/>
      <c r="P1256" s="168"/>
      <c r="Q1256" s="168" t="s">
        <v>0</v>
      </c>
      <c r="R1256" s="168" t="s">
        <v>1</v>
      </c>
      <c r="S1256" s="178" t="str">
        <f t="shared" si="59"/>
        <v>D_MAN_CLAIM_ORIGREGLTRY_PRODUCT_TYPE_ID</v>
      </c>
    </row>
    <row r="1257" spans="1:19" ht="14.4" x14ac:dyDescent="0.3">
      <c r="A1257" s="169" t="s">
        <v>1847</v>
      </c>
      <c r="B1257" s="171" t="str">
        <f t="shared" si="57"/>
        <v>D_MAN_CLAIM_ORIG</v>
      </c>
      <c r="C1257" s="169" t="s">
        <v>702</v>
      </c>
      <c r="D1257" s="169">
        <v>637</v>
      </c>
      <c r="E1257" s="169">
        <v>105</v>
      </c>
      <c r="F1257" s="169" t="s">
        <v>702</v>
      </c>
      <c r="G1257" s="169" t="s">
        <v>702</v>
      </c>
      <c r="H1257" s="169">
        <v>3</v>
      </c>
      <c r="I1257" s="136" t="str">
        <f t="shared" si="58"/>
        <v>DECIMAL(20, 6)</v>
      </c>
      <c r="J1257" s="169" t="s">
        <v>0</v>
      </c>
      <c r="K1257" s="169" t="s">
        <v>1</v>
      </c>
      <c r="L1257" s="169">
        <v>30</v>
      </c>
      <c r="M1257" s="168"/>
      <c r="N1257" s="168"/>
      <c r="O1257" s="168"/>
      <c r="P1257" s="168"/>
      <c r="Q1257" s="168" t="s">
        <v>0</v>
      </c>
      <c r="R1257" s="168" t="s">
        <v>1</v>
      </c>
      <c r="S1257" s="178" t="str">
        <f t="shared" si="59"/>
        <v>D_MAN_CLAIM_ORIGREG_LGD_PCT</v>
      </c>
    </row>
    <row r="1258" spans="1:19" ht="14.4" x14ac:dyDescent="0.3">
      <c r="A1258" s="169" t="s">
        <v>1847</v>
      </c>
      <c r="B1258" s="171" t="str">
        <f t="shared" si="57"/>
        <v>D_MAN_CLAIM_ORIG</v>
      </c>
      <c r="C1258" s="169" t="s">
        <v>704</v>
      </c>
      <c r="D1258" s="169">
        <v>638</v>
      </c>
      <c r="E1258" s="169">
        <v>106</v>
      </c>
      <c r="F1258" s="169" t="s">
        <v>704</v>
      </c>
      <c r="G1258" s="169" t="s">
        <v>704</v>
      </c>
      <c r="H1258" s="169">
        <v>3</v>
      </c>
      <c r="I1258" s="136" t="str">
        <f t="shared" si="58"/>
        <v>DECIMAL(20, 6)</v>
      </c>
      <c r="J1258" s="169" t="s">
        <v>0</v>
      </c>
      <c r="K1258" s="169" t="s">
        <v>1</v>
      </c>
      <c r="L1258" s="169">
        <v>30</v>
      </c>
      <c r="M1258" s="168"/>
      <c r="N1258" s="168"/>
      <c r="O1258" s="168"/>
      <c r="P1258" s="168"/>
      <c r="Q1258" s="168" t="s">
        <v>0</v>
      </c>
      <c r="R1258" s="168" t="s">
        <v>1</v>
      </c>
      <c r="S1258" s="178" t="str">
        <f t="shared" si="59"/>
        <v>D_MAN_CLAIM_ORIGREG_PD_PCT</v>
      </c>
    </row>
    <row r="1259" spans="1:19" ht="14.4" x14ac:dyDescent="0.3">
      <c r="A1259" s="169" t="s">
        <v>1847</v>
      </c>
      <c r="B1259" s="171" t="str">
        <f t="shared" si="57"/>
        <v>D_MAN_CLAIM_ORIG</v>
      </c>
      <c r="C1259" s="169" t="s">
        <v>444</v>
      </c>
      <c r="D1259" s="169">
        <v>639</v>
      </c>
      <c r="E1259" s="169">
        <v>107</v>
      </c>
      <c r="F1259" s="169" t="s">
        <v>444</v>
      </c>
      <c r="G1259" s="169" t="s">
        <v>444</v>
      </c>
      <c r="H1259" s="169">
        <v>7</v>
      </c>
      <c r="I1259" s="136" t="str">
        <f t="shared" si="58"/>
        <v>BIGINT</v>
      </c>
      <c r="J1259" s="169" t="s">
        <v>0</v>
      </c>
      <c r="K1259" s="169" t="s">
        <v>1</v>
      </c>
      <c r="L1259" s="169">
        <v>30</v>
      </c>
      <c r="M1259" s="168"/>
      <c r="N1259" s="168"/>
      <c r="O1259" s="168"/>
      <c r="P1259" s="168"/>
      <c r="Q1259" s="168" t="s">
        <v>0</v>
      </c>
      <c r="R1259" s="168" t="s">
        <v>1</v>
      </c>
      <c r="S1259" s="178" t="str">
        <f t="shared" si="59"/>
        <v>D_MAN_CLAIM_ORIGREP_CLASS_ID</v>
      </c>
    </row>
    <row r="1260" spans="1:19" ht="14.4" x14ac:dyDescent="0.3">
      <c r="A1260" s="169" t="s">
        <v>1847</v>
      </c>
      <c r="B1260" s="171" t="str">
        <f t="shared" si="57"/>
        <v>D_MAN_CLAIM_ORIG</v>
      </c>
      <c r="C1260" s="169" t="s">
        <v>607</v>
      </c>
      <c r="D1260" s="169">
        <v>640</v>
      </c>
      <c r="E1260" s="169">
        <v>108</v>
      </c>
      <c r="F1260" s="169" t="s">
        <v>607</v>
      </c>
      <c r="G1260" s="169" t="s">
        <v>607</v>
      </c>
      <c r="H1260" s="169">
        <v>7</v>
      </c>
      <c r="I1260" s="136" t="str">
        <f t="shared" si="58"/>
        <v>BIGINT</v>
      </c>
      <c r="J1260" s="169" t="s">
        <v>0</v>
      </c>
      <c r="K1260" s="169" t="s">
        <v>1</v>
      </c>
      <c r="L1260" s="169">
        <v>30</v>
      </c>
      <c r="M1260" s="168"/>
      <c r="N1260" s="168"/>
      <c r="O1260" s="168"/>
      <c r="P1260" s="168"/>
      <c r="Q1260" s="168" t="s">
        <v>0</v>
      </c>
      <c r="R1260" s="168" t="s">
        <v>1</v>
      </c>
      <c r="S1260" s="178" t="str">
        <f t="shared" si="59"/>
        <v>D_MAN_CLAIM_ORIGSECURITIZATION_POOL_ID</v>
      </c>
    </row>
    <row r="1261" spans="1:19" ht="14.4" x14ac:dyDescent="0.3">
      <c r="A1261" s="169" t="s">
        <v>1847</v>
      </c>
      <c r="B1261" s="171" t="str">
        <f t="shared" si="57"/>
        <v>D_MAN_CLAIM_ORIG</v>
      </c>
      <c r="C1261" s="169" t="s">
        <v>51</v>
      </c>
      <c r="D1261" s="169">
        <v>641</v>
      </c>
      <c r="E1261" s="169">
        <v>109</v>
      </c>
      <c r="F1261" s="169" t="s">
        <v>51</v>
      </c>
      <c r="G1261" s="169" t="s">
        <v>51</v>
      </c>
      <c r="H1261" s="169">
        <v>34</v>
      </c>
      <c r="I1261" s="136" t="str">
        <f t="shared" si="58"/>
        <v>DATE</v>
      </c>
      <c r="J1261" s="169" t="s">
        <v>1</v>
      </c>
      <c r="K1261" s="169" t="s">
        <v>1</v>
      </c>
      <c r="L1261" s="169">
        <v>30</v>
      </c>
      <c r="M1261" s="168"/>
      <c r="N1261" s="168"/>
      <c r="O1261" s="168"/>
      <c r="P1261" s="168"/>
      <c r="Q1261" s="168" t="s">
        <v>0</v>
      </c>
      <c r="R1261" s="168" t="s">
        <v>1</v>
      </c>
      <c r="S1261" s="178" t="str">
        <f t="shared" si="59"/>
        <v>D_MAN_CLAIM_ORIGSTART_DT</v>
      </c>
    </row>
    <row r="1262" spans="1:19" ht="14.4" x14ac:dyDescent="0.3">
      <c r="A1262" s="169" t="s">
        <v>1847</v>
      </c>
      <c r="B1262" s="171" t="str">
        <f t="shared" si="57"/>
        <v>D_MAN_CLAIM_ORIG</v>
      </c>
      <c r="C1262" s="169" t="s">
        <v>1544</v>
      </c>
      <c r="D1262" s="169">
        <v>642</v>
      </c>
      <c r="E1262" s="169">
        <v>110</v>
      </c>
      <c r="F1262" s="169" t="s">
        <v>1544</v>
      </c>
      <c r="G1262" s="169" t="s">
        <v>1544</v>
      </c>
      <c r="H1262" s="169">
        <v>7</v>
      </c>
      <c r="I1262" s="136" t="str">
        <f t="shared" si="58"/>
        <v>BIGINT</v>
      </c>
      <c r="J1262" s="169" t="s">
        <v>0</v>
      </c>
      <c r="K1262" s="169" t="s">
        <v>1</v>
      </c>
      <c r="L1262" s="169">
        <v>30</v>
      </c>
      <c r="M1262" s="168"/>
      <c r="N1262" s="168"/>
      <c r="O1262" s="168"/>
      <c r="P1262" s="168"/>
      <c r="Q1262" s="168" t="s">
        <v>0</v>
      </c>
      <c r="R1262" s="168" t="s">
        <v>1</v>
      </c>
      <c r="S1262" s="178" t="str">
        <f t="shared" si="59"/>
        <v>D_MAN_CLAIM_ORIGSUBSIDIARY_LOAN_TYPE_ID</v>
      </c>
    </row>
    <row r="1263" spans="1:19" ht="14.4" x14ac:dyDescent="0.3">
      <c r="A1263" s="169" t="s">
        <v>1847</v>
      </c>
      <c r="B1263" s="171" t="str">
        <f t="shared" si="57"/>
        <v>D_MAN_CLAIM_ORIG</v>
      </c>
      <c r="C1263" s="169" t="s">
        <v>609</v>
      </c>
      <c r="D1263" s="169">
        <v>643</v>
      </c>
      <c r="E1263" s="169">
        <v>111</v>
      </c>
      <c r="F1263" s="169" t="s">
        <v>609</v>
      </c>
      <c r="G1263" s="169" t="s">
        <v>609</v>
      </c>
      <c r="H1263" s="169">
        <v>3</v>
      </c>
      <c r="I1263" s="136" t="str">
        <f t="shared" si="58"/>
        <v>DECIMAL(20, 6)</v>
      </c>
      <c r="J1263" s="169" t="s">
        <v>0</v>
      </c>
      <c r="K1263" s="169" t="s">
        <v>1</v>
      </c>
      <c r="L1263" s="169">
        <v>30</v>
      </c>
      <c r="M1263" s="168"/>
      <c r="N1263" s="168"/>
      <c r="O1263" s="168"/>
      <c r="P1263" s="168"/>
      <c r="Q1263" s="168" t="s">
        <v>0</v>
      </c>
      <c r="R1263" s="168" t="s">
        <v>1</v>
      </c>
      <c r="S1263" s="178" t="str">
        <f t="shared" si="59"/>
        <v>D_MAN_CLAIM_ORIGTHICKNESS_PCT</v>
      </c>
    </row>
    <row r="1264" spans="1:19" ht="14.4" x14ac:dyDescent="0.3">
      <c r="A1264" s="169" t="s">
        <v>1847</v>
      </c>
      <c r="B1264" s="171" t="str">
        <f t="shared" si="57"/>
        <v>D_MAN_CLAIM_ORIG</v>
      </c>
      <c r="C1264" s="169" t="s">
        <v>547</v>
      </c>
      <c r="D1264" s="169">
        <v>658</v>
      </c>
      <c r="E1264" s="169">
        <v>112</v>
      </c>
      <c r="F1264" s="169" t="s">
        <v>547</v>
      </c>
      <c r="G1264" s="169" t="s">
        <v>547</v>
      </c>
      <c r="H1264" s="169">
        <v>7</v>
      </c>
      <c r="I1264" s="136" t="str">
        <f t="shared" si="58"/>
        <v>BIGINT</v>
      </c>
      <c r="J1264" s="169" t="s">
        <v>0</v>
      </c>
      <c r="K1264" s="169" t="s">
        <v>1</v>
      </c>
      <c r="L1264" s="169">
        <v>30</v>
      </c>
      <c r="M1264" s="168"/>
      <c r="N1264" s="168"/>
      <c r="O1264" s="168"/>
      <c r="P1264" s="168"/>
      <c r="Q1264" s="168" t="s">
        <v>0</v>
      </c>
      <c r="R1264" s="168" t="s">
        <v>1</v>
      </c>
      <c r="S1264" s="178" t="str">
        <f t="shared" si="59"/>
        <v>D_MAN_CLAIM_ORIGUNDERW_PROCEDURE_ID</v>
      </c>
    </row>
    <row r="1265" spans="1:19" ht="14.4" x14ac:dyDescent="0.3">
      <c r="A1265" s="169" t="s">
        <v>1847</v>
      </c>
      <c r="B1265" s="171" t="str">
        <f t="shared" si="57"/>
        <v>D_MAN_CLAIM_ORIG</v>
      </c>
      <c r="C1265" s="169" t="s">
        <v>622</v>
      </c>
      <c r="D1265" s="169">
        <v>659</v>
      </c>
      <c r="E1265" s="169">
        <v>113</v>
      </c>
      <c r="F1265" s="169" t="s">
        <v>622</v>
      </c>
      <c r="G1265" s="169" t="s">
        <v>622</v>
      </c>
      <c r="H1265" s="169">
        <v>21</v>
      </c>
      <c r="I1265" s="136" t="str">
        <f t="shared" si="58"/>
        <v>DECIMAL(19, 2)</v>
      </c>
      <c r="J1265" s="169" t="s">
        <v>0</v>
      </c>
      <c r="K1265" s="169" t="s">
        <v>1</v>
      </c>
      <c r="L1265" s="169">
        <v>30</v>
      </c>
      <c r="M1265" s="168"/>
      <c r="N1265" s="168"/>
      <c r="O1265" s="168"/>
      <c r="P1265" s="168"/>
      <c r="Q1265" s="168" t="s">
        <v>0</v>
      </c>
      <c r="R1265" s="168" t="s">
        <v>1</v>
      </c>
      <c r="S1265" s="178" t="str">
        <f t="shared" si="59"/>
        <v>D_MAN_CLAIM_ORIGUNUSED_LIMIT_CCY_AMT</v>
      </c>
    </row>
    <row r="1266" spans="1:19" ht="14.4" x14ac:dyDescent="0.3">
      <c r="A1266" s="169" t="s">
        <v>1847</v>
      </c>
      <c r="B1266" s="171" t="str">
        <f t="shared" si="57"/>
        <v>D_MAN_CLAIM_ORIG</v>
      </c>
      <c r="C1266" s="169" t="s">
        <v>620</v>
      </c>
      <c r="D1266" s="169">
        <v>660</v>
      </c>
      <c r="E1266" s="169">
        <v>114</v>
      </c>
      <c r="F1266" s="169" t="s">
        <v>620</v>
      </c>
      <c r="G1266" s="169" t="s">
        <v>620</v>
      </c>
      <c r="H1266" s="169">
        <v>21</v>
      </c>
      <c r="I1266" s="136" t="str">
        <f t="shared" si="58"/>
        <v>DECIMAL(19, 2)</v>
      </c>
      <c r="J1266" s="169" t="s">
        <v>0</v>
      </c>
      <c r="K1266" s="169" t="s">
        <v>1</v>
      </c>
      <c r="L1266" s="169">
        <v>30</v>
      </c>
      <c r="M1266" s="168"/>
      <c r="N1266" s="168"/>
      <c r="O1266" s="168"/>
      <c r="P1266" s="168"/>
      <c r="Q1266" s="168" t="s">
        <v>0</v>
      </c>
      <c r="R1266" s="168" t="s">
        <v>1</v>
      </c>
      <c r="S1266" s="178" t="str">
        <f t="shared" si="59"/>
        <v>D_MAN_CLAIM_ORIGUNUSED_LIMIT_RUB_AMT</v>
      </c>
    </row>
    <row r="1267" spans="1:19" ht="14.4" x14ac:dyDescent="0.3">
      <c r="A1267" s="169" t="s">
        <v>1843</v>
      </c>
      <c r="B1267" s="171" t="str">
        <f t="shared" si="57"/>
        <v>D_MAN_CP_GROUP_ORIG</v>
      </c>
      <c r="C1267" s="169" t="s">
        <v>1449</v>
      </c>
      <c r="D1267" s="169">
        <v>1683</v>
      </c>
      <c r="E1267" s="169">
        <v>1</v>
      </c>
      <c r="F1267" s="169" t="s">
        <v>1449</v>
      </c>
      <c r="G1267" s="169" t="s">
        <v>1449</v>
      </c>
      <c r="H1267" s="169">
        <v>21</v>
      </c>
      <c r="I1267" s="136" t="str">
        <f t="shared" si="58"/>
        <v>DECIMAL(19, 2)</v>
      </c>
      <c r="J1267" s="169" t="s">
        <v>0</v>
      </c>
      <c r="K1267" s="169" t="s">
        <v>1</v>
      </c>
      <c r="L1267" s="169">
        <v>30</v>
      </c>
      <c r="M1267" s="168"/>
      <c r="N1267" s="168"/>
      <c r="O1267" s="168"/>
      <c r="P1267" s="168"/>
      <c r="Q1267" s="168" t="s">
        <v>0</v>
      </c>
      <c r="R1267" s="168" t="s">
        <v>1</v>
      </c>
      <c r="S1267" s="178" t="str">
        <f t="shared" si="59"/>
        <v>D_MAN_CP_GROUP_ORIGANNUAL_SALES_CCY_AMT</v>
      </c>
    </row>
    <row r="1268" spans="1:19" ht="14.4" x14ac:dyDescent="0.3">
      <c r="A1268" s="169" t="s">
        <v>1843</v>
      </c>
      <c r="B1268" s="171" t="str">
        <f t="shared" si="57"/>
        <v>D_MAN_CP_GROUP_ORIG</v>
      </c>
      <c r="C1268" s="169" t="s">
        <v>1471</v>
      </c>
      <c r="D1268" s="169">
        <v>1684</v>
      </c>
      <c r="E1268" s="169">
        <v>2</v>
      </c>
      <c r="F1268" s="169" t="s">
        <v>1471</v>
      </c>
      <c r="G1268" s="169" t="s">
        <v>1471</v>
      </c>
      <c r="H1268" s="169">
        <v>7</v>
      </c>
      <c r="I1268" s="136" t="str">
        <f t="shared" si="58"/>
        <v>BIGINT</v>
      </c>
      <c r="J1268" s="169" t="s">
        <v>0</v>
      </c>
      <c r="K1268" s="169" t="s">
        <v>1</v>
      </c>
      <c r="L1268" s="169">
        <v>30</v>
      </c>
      <c r="M1268" s="168"/>
      <c r="N1268" s="168"/>
      <c r="O1268" s="168"/>
      <c r="P1268" s="168"/>
      <c r="Q1268" s="168" t="s">
        <v>0</v>
      </c>
      <c r="R1268" s="168" t="s">
        <v>1</v>
      </c>
      <c r="S1268" s="178" t="str">
        <f t="shared" si="59"/>
        <v>D_MAN_CP_GROUP_ORIGANNUAL_SALES_CURRENCY_ID</v>
      </c>
    </row>
    <row r="1269" spans="1:19" ht="14.4" x14ac:dyDescent="0.3">
      <c r="A1269" s="169" t="s">
        <v>1843</v>
      </c>
      <c r="B1269" s="171" t="str">
        <f t="shared" si="57"/>
        <v>D_MAN_CP_GROUP_ORIG</v>
      </c>
      <c r="C1269" s="169" t="s">
        <v>711</v>
      </c>
      <c r="D1269" s="169">
        <v>1685</v>
      </c>
      <c r="E1269" s="169">
        <v>3</v>
      </c>
      <c r="F1269" s="169" t="s">
        <v>711</v>
      </c>
      <c r="G1269" s="169" t="s">
        <v>711</v>
      </c>
      <c r="H1269" s="169">
        <v>21</v>
      </c>
      <c r="I1269" s="136" t="str">
        <f t="shared" si="58"/>
        <v>DECIMAL(19, 2)</v>
      </c>
      <c r="J1269" s="169" t="s">
        <v>0</v>
      </c>
      <c r="K1269" s="169" t="s">
        <v>1</v>
      </c>
      <c r="L1269" s="169">
        <v>30</v>
      </c>
      <c r="M1269" s="168"/>
      <c r="N1269" s="168"/>
      <c r="O1269" s="168"/>
      <c r="P1269" s="168"/>
      <c r="Q1269" s="168" t="s">
        <v>0</v>
      </c>
      <c r="R1269" s="168" t="s">
        <v>1</v>
      </c>
      <c r="S1269" s="178" t="str">
        <f t="shared" si="59"/>
        <v>D_MAN_CP_GROUP_ORIGANNUAL_SALES_RUB_AMT</v>
      </c>
    </row>
    <row r="1270" spans="1:19" ht="14.4" x14ac:dyDescent="0.3">
      <c r="A1270" s="169" t="s">
        <v>1843</v>
      </c>
      <c r="B1270" s="171" t="str">
        <f t="shared" si="57"/>
        <v>D_MAN_CP_GROUP_ORIG</v>
      </c>
      <c r="C1270" s="169" t="s">
        <v>718</v>
      </c>
      <c r="D1270" s="169">
        <v>1686</v>
      </c>
      <c r="E1270" s="169">
        <v>4</v>
      </c>
      <c r="F1270" s="169" t="s">
        <v>718</v>
      </c>
      <c r="G1270" s="169" t="s">
        <v>718</v>
      </c>
      <c r="H1270" s="169">
        <v>7</v>
      </c>
      <c r="I1270" s="136" t="str">
        <f t="shared" si="58"/>
        <v>BIGINT</v>
      </c>
      <c r="J1270" s="169" t="s">
        <v>0</v>
      </c>
      <c r="K1270" s="169" t="s">
        <v>1</v>
      </c>
      <c r="L1270" s="169">
        <v>30</v>
      </c>
      <c r="M1270" s="168"/>
      <c r="N1270" s="168"/>
      <c r="O1270" s="168"/>
      <c r="P1270" s="168"/>
      <c r="Q1270" s="168" t="s">
        <v>0</v>
      </c>
      <c r="R1270" s="168" t="s">
        <v>1</v>
      </c>
      <c r="S1270" s="178" t="str">
        <f t="shared" si="59"/>
        <v>D_MAN_CP_GROUP_ORIGCOUNTRY_ID</v>
      </c>
    </row>
    <row r="1271" spans="1:19" ht="14.4" x14ac:dyDescent="0.3">
      <c r="A1271" s="169" t="s">
        <v>1843</v>
      </c>
      <c r="B1271" s="171" t="str">
        <f t="shared" si="57"/>
        <v>D_MAN_CP_GROUP_ORIG</v>
      </c>
      <c r="C1271" s="169" t="s">
        <v>1433</v>
      </c>
      <c r="D1271" s="169">
        <v>1687</v>
      </c>
      <c r="E1271" s="169">
        <v>5</v>
      </c>
      <c r="F1271" s="169" t="s">
        <v>1433</v>
      </c>
      <c r="G1271" s="169" t="s">
        <v>1433</v>
      </c>
      <c r="H1271" s="169">
        <v>24</v>
      </c>
      <c r="I1271" s="136" t="str">
        <f t="shared" si="58"/>
        <v xml:space="preserve">VARCHAR(40) </v>
      </c>
      <c r="J1271" s="169" t="s">
        <v>0</v>
      </c>
      <c r="K1271" s="169" t="s">
        <v>1</v>
      </c>
      <c r="L1271" s="169">
        <v>30</v>
      </c>
      <c r="M1271" s="168"/>
      <c r="N1271" s="168"/>
      <c r="O1271" s="168"/>
      <c r="P1271" s="168"/>
      <c r="Q1271" s="168" t="s">
        <v>0</v>
      </c>
      <c r="R1271" s="168" t="s">
        <v>1</v>
      </c>
      <c r="S1271" s="178" t="str">
        <f t="shared" si="59"/>
        <v>D_MAN_CP_GROUP_ORIGCP_GROUP_ID_IN_CRM</v>
      </c>
    </row>
    <row r="1272" spans="1:19" ht="14.4" x14ac:dyDescent="0.3">
      <c r="A1272" s="169" t="s">
        <v>1843</v>
      </c>
      <c r="B1272" s="171" t="str">
        <f t="shared" si="57"/>
        <v>D_MAN_CP_GROUP_ORIG</v>
      </c>
      <c r="C1272" s="169" t="s">
        <v>836</v>
      </c>
      <c r="D1272" s="169">
        <v>1688</v>
      </c>
      <c r="E1272" s="169">
        <v>6</v>
      </c>
      <c r="F1272" s="169" t="s">
        <v>836</v>
      </c>
      <c r="G1272" s="169" t="s">
        <v>836</v>
      </c>
      <c r="H1272" s="169">
        <v>21</v>
      </c>
      <c r="I1272" s="136" t="str">
        <f t="shared" si="58"/>
        <v>DECIMAL(19, 2)</v>
      </c>
      <c r="J1272" s="169" t="s">
        <v>0</v>
      </c>
      <c r="K1272" s="169" t="s">
        <v>1</v>
      </c>
      <c r="L1272" s="169">
        <v>30</v>
      </c>
      <c r="M1272" s="168"/>
      <c r="N1272" s="168"/>
      <c r="O1272" s="168"/>
      <c r="P1272" s="168"/>
      <c r="Q1272" s="168" t="s">
        <v>0</v>
      </c>
      <c r="R1272" s="168" t="s">
        <v>1</v>
      </c>
      <c r="S1272" s="178" t="str">
        <f t="shared" si="59"/>
        <v>D_MAN_CP_GROUP_ORIGCP_GROUP_LIMIT_CCY_AMT</v>
      </c>
    </row>
    <row r="1273" spans="1:19" ht="14.4" x14ac:dyDescent="0.3">
      <c r="A1273" s="169" t="s">
        <v>1843</v>
      </c>
      <c r="B1273" s="171" t="str">
        <f t="shared" si="57"/>
        <v>D_MAN_CP_GROUP_ORIG</v>
      </c>
      <c r="C1273" s="169" t="s">
        <v>842</v>
      </c>
      <c r="D1273" s="169">
        <v>1689</v>
      </c>
      <c r="E1273" s="169">
        <v>7</v>
      </c>
      <c r="F1273" s="169" t="s">
        <v>842</v>
      </c>
      <c r="G1273" s="169" t="s">
        <v>842</v>
      </c>
      <c r="H1273" s="169">
        <v>7</v>
      </c>
      <c r="I1273" s="136" t="str">
        <f t="shared" si="58"/>
        <v>BIGINT</v>
      </c>
      <c r="J1273" s="169" t="s">
        <v>0</v>
      </c>
      <c r="K1273" s="169" t="s">
        <v>1</v>
      </c>
      <c r="L1273" s="169">
        <v>30</v>
      </c>
      <c r="M1273" s="168"/>
      <c r="N1273" s="168"/>
      <c r="O1273" s="168"/>
      <c r="P1273" s="168"/>
      <c r="Q1273" s="168" t="s">
        <v>0</v>
      </c>
      <c r="R1273" s="168" t="s">
        <v>1</v>
      </c>
      <c r="S1273" s="178" t="str">
        <f t="shared" si="59"/>
        <v>D_MAN_CP_GROUP_ORIGCP_GROUP_LIMIT_CURRENCY_ID</v>
      </c>
    </row>
    <row r="1274" spans="1:19" ht="14.4" x14ac:dyDescent="0.3">
      <c r="A1274" s="169" t="s">
        <v>1843</v>
      </c>
      <c r="B1274" s="171" t="str">
        <f t="shared" si="57"/>
        <v>D_MAN_CP_GROUP_ORIG</v>
      </c>
      <c r="C1274" s="169" t="s">
        <v>838</v>
      </c>
      <c r="D1274" s="169">
        <v>1690</v>
      </c>
      <c r="E1274" s="169">
        <v>8</v>
      </c>
      <c r="F1274" s="169" t="s">
        <v>838</v>
      </c>
      <c r="G1274" s="169" t="s">
        <v>838</v>
      </c>
      <c r="H1274" s="169">
        <v>34</v>
      </c>
      <c r="I1274" s="136" t="str">
        <f t="shared" si="58"/>
        <v>DATE</v>
      </c>
      <c r="J1274" s="169" t="s">
        <v>0</v>
      </c>
      <c r="K1274" s="169" t="s">
        <v>1</v>
      </c>
      <c r="L1274" s="169">
        <v>30</v>
      </c>
      <c r="M1274" s="168"/>
      <c r="N1274" s="168"/>
      <c r="O1274" s="168"/>
      <c r="P1274" s="168"/>
      <c r="Q1274" s="168" t="s">
        <v>0</v>
      </c>
      <c r="R1274" s="168" t="s">
        <v>1</v>
      </c>
      <c r="S1274" s="178" t="str">
        <f t="shared" si="59"/>
        <v>D_MAN_CP_GROUP_ORIGCP_GROUP_LIMIT_ESTABLISHED_DT</v>
      </c>
    </row>
    <row r="1275" spans="1:19" ht="14.4" x14ac:dyDescent="0.3">
      <c r="A1275" s="169" t="s">
        <v>1843</v>
      </c>
      <c r="B1275" s="171" t="str">
        <f t="shared" si="57"/>
        <v>D_MAN_CP_GROUP_ORIG</v>
      </c>
      <c r="C1275" s="169" t="s">
        <v>840</v>
      </c>
      <c r="D1275" s="169">
        <v>1691</v>
      </c>
      <c r="E1275" s="169">
        <v>9</v>
      </c>
      <c r="F1275" s="169" t="s">
        <v>840</v>
      </c>
      <c r="G1275" s="169" t="s">
        <v>840</v>
      </c>
      <c r="H1275" s="169">
        <v>34</v>
      </c>
      <c r="I1275" s="136" t="str">
        <f t="shared" si="58"/>
        <v>DATE</v>
      </c>
      <c r="J1275" s="169" t="s">
        <v>0</v>
      </c>
      <c r="K1275" s="169" t="s">
        <v>1</v>
      </c>
      <c r="L1275" s="169">
        <v>30</v>
      </c>
      <c r="M1275" s="168"/>
      <c r="N1275" s="168"/>
      <c r="O1275" s="168"/>
      <c r="P1275" s="168"/>
      <c r="Q1275" s="168" t="s">
        <v>0</v>
      </c>
      <c r="R1275" s="168" t="s">
        <v>1</v>
      </c>
      <c r="S1275" s="178" t="str">
        <f t="shared" si="59"/>
        <v>D_MAN_CP_GROUP_ORIGCP_GROUP_LIMIT_EXPIRATION_DT</v>
      </c>
    </row>
    <row r="1276" spans="1:19" ht="14.4" x14ac:dyDescent="0.3">
      <c r="A1276" s="169" t="s">
        <v>1843</v>
      </c>
      <c r="B1276" s="171" t="str">
        <f t="shared" si="57"/>
        <v>D_MAN_CP_GROUP_ORIG</v>
      </c>
      <c r="C1276" s="169" t="s">
        <v>827</v>
      </c>
      <c r="D1276" s="169">
        <v>1692</v>
      </c>
      <c r="E1276" s="169">
        <v>10</v>
      </c>
      <c r="F1276" s="169" t="s">
        <v>827</v>
      </c>
      <c r="G1276" s="169" t="s">
        <v>827</v>
      </c>
      <c r="H1276" s="169">
        <v>13</v>
      </c>
      <c r="I1276" s="136" t="str">
        <f t="shared" si="58"/>
        <v xml:space="preserve">VARCHAR(300) </v>
      </c>
      <c r="J1276" s="169" t="s">
        <v>0</v>
      </c>
      <c r="K1276" s="169" t="s">
        <v>1</v>
      </c>
      <c r="L1276" s="169">
        <v>30</v>
      </c>
      <c r="M1276" s="168"/>
      <c r="N1276" s="168"/>
      <c r="O1276" s="168"/>
      <c r="P1276" s="168"/>
      <c r="Q1276" s="168" t="s">
        <v>0</v>
      </c>
      <c r="R1276" s="168" t="s">
        <v>1</v>
      </c>
      <c r="S1276" s="178" t="str">
        <f t="shared" si="59"/>
        <v>D_MAN_CP_GROUP_ORIGCP_GROUP_NM</v>
      </c>
    </row>
    <row r="1277" spans="1:19" ht="14.4" x14ac:dyDescent="0.3">
      <c r="A1277" s="169" t="s">
        <v>1843</v>
      </c>
      <c r="B1277" s="171" t="str">
        <f t="shared" si="57"/>
        <v>D_MAN_CP_GROUP_ORIG</v>
      </c>
      <c r="C1277" s="169" t="s">
        <v>523</v>
      </c>
      <c r="D1277" s="169">
        <v>1693</v>
      </c>
      <c r="E1277" s="169">
        <v>11</v>
      </c>
      <c r="F1277" s="169" t="s">
        <v>523</v>
      </c>
      <c r="G1277" s="169" t="s">
        <v>523</v>
      </c>
      <c r="H1277" s="169">
        <v>7</v>
      </c>
      <c r="I1277" s="136" t="str">
        <f t="shared" si="58"/>
        <v>BIGINT</v>
      </c>
      <c r="J1277" s="169" t="s">
        <v>0</v>
      </c>
      <c r="K1277" s="169" t="s">
        <v>0</v>
      </c>
      <c r="L1277" s="169">
        <v>30</v>
      </c>
      <c r="M1277" s="168"/>
      <c r="N1277" s="168"/>
      <c r="O1277" s="168"/>
      <c r="P1277" s="168"/>
      <c r="Q1277" s="168" t="s">
        <v>0</v>
      </c>
      <c r="R1277" s="168" t="s">
        <v>1</v>
      </c>
      <c r="S1277" s="178" t="str">
        <f t="shared" si="59"/>
        <v>D_MAN_CP_GROUP_ORIGCP_GROUP_ORIG_ID</v>
      </c>
    </row>
    <row r="1278" spans="1:19" ht="14.4" x14ac:dyDescent="0.3">
      <c r="A1278" s="169" t="s">
        <v>1843</v>
      </c>
      <c r="B1278" s="171" t="str">
        <f t="shared" si="57"/>
        <v>D_MAN_CP_GROUP_ORIG</v>
      </c>
      <c r="C1278" s="169" t="s">
        <v>829</v>
      </c>
      <c r="D1278" s="169">
        <v>1694</v>
      </c>
      <c r="E1278" s="169">
        <v>12</v>
      </c>
      <c r="F1278" s="169" t="s">
        <v>829</v>
      </c>
      <c r="G1278" s="169" t="s">
        <v>829</v>
      </c>
      <c r="H1278" s="169">
        <v>24</v>
      </c>
      <c r="I1278" s="136" t="str">
        <f t="shared" si="58"/>
        <v xml:space="preserve">VARCHAR(40) </v>
      </c>
      <c r="J1278" s="169" t="s">
        <v>0</v>
      </c>
      <c r="K1278" s="169" t="s">
        <v>1</v>
      </c>
      <c r="L1278" s="169">
        <v>30</v>
      </c>
      <c r="M1278" s="168"/>
      <c r="N1278" s="168"/>
      <c r="O1278" s="168"/>
      <c r="P1278" s="168"/>
      <c r="Q1278" s="168" t="s">
        <v>0</v>
      </c>
      <c r="R1278" s="168" t="s">
        <v>1</v>
      </c>
      <c r="S1278" s="178" t="str">
        <f t="shared" si="59"/>
        <v>D_MAN_CP_GROUP_ORIGCP_GROUP_TYPE</v>
      </c>
    </row>
    <row r="1279" spans="1:19" ht="14.4" x14ac:dyDescent="0.3">
      <c r="A1279" s="169" t="s">
        <v>1843</v>
      </c>
      <c r="B1279" s="171" t="str">
        <f t="shared" si="57"/>
        <v>D_MAN_CP_GROUP_ORIG</v>
      </c>
      <c r="C1279" s="169" t="s">
        <v>1465</v>
      </c>
      <c r="D1279" s="169">
        <v>1695</v>
      </c>
      <c r="E1279" s="169">
        <v>13</v>
      </c>
      <c r="F1279" s="169" t="s">
        <v>1465</v>
      </c>
      <c r="G1279" s="169" t="s">
        <v>1465</v>
      </c>
      <c r="H1279" s="169">
        <v>7</v>
      </c>
      <c r="I1279" s="136" t="str">
        <f t="shared" si="58"/>
        <v>BIGINT</v>
      </c>
      <c r="J1279" s="169" t="s">
        <v>0</v>
      </c>
      <c r="K1279" s="169" t="s">
        <v>1</v>
      </c>
      <c r="L1279" s="169">
        <v>30</v>
      </c>
      <c r="M1279" s="168"/>
      <c r="N1279" s="168"/>
      <c r="O1279" s="168"/>
      <c r="P1279" s="168"/>
      <c r="Q1279" s="168" t="s">
        <v>0</v>
      </c>
      <c r="R1279" s="168" t="s">
        <v>1</v>
      </c>
      <c r="S1279" s="178" t="str">
        <f t="shared" si="59"/>
        <v>D_MAN_CP_GROUP_ORIGCRM_INDUSTRY_ID</v>
      </c>
    </row>
    <row r="1280" spans="1:19" ht="14.4" x14ac:dyDescent="0.3">
      <c r="A1280" s="169" t="s">
        <v>1843</v>
      </c>
      <c r="B1280" s="171" t="str">
        <f t="shared" si="57"/>
        <v>D_MAN_CP_GROUP_ORIG</v>
      </c>
      <c r="C1280" s="169" t="s">
        <v>726</v>
      </c>
      <c r="D1280" s="169">
        <v>1696</v>
      </c>
      <c r="E1280" s="169">
        <v>14</v>
      </c>
      <c r="F1280" s="169" t="s">
        <v>726</v>
      </c>
      <c r="G1280" s="169" t="s">
        <v>726</v>
      </c>
      <c r="H1280" s="169">
        <v>13</v>
      </c>
      <c r="I1280" s="136" t="str">
        <f t="shared" si="58"/>
        <v xml:space="preserve">VARCHAR(300) </v>
      </c>
      <c r="J1280" s="169" t="s">
        <v>0</v>
      </c>
      <c r="K1280" s="169" t="s">
        <v>1</v>
      </c>
      <c r="L1280" s="169">
        <v>30</v>
      </c>
      <c r="M1280" s="168"/>
      <c r="N1280" s="168"/>
      <c r="O1280" s="168"/>
      <c r="P1280" s="168"/>
      <c r="Q1280" s="168" t="s">
        <v>0</v>
      </c>
      <c r="R1280" s="168" t="s">
        <v>1</v>
      </c>
      <c r="S1280" s="178" t="str">
        <f t="shared" si="59"/>
        <v>D_MAN_CP_GROUP_ORIGEFF_CITY</v>
      </c>
    </row>
    <row r="1281" spans="1:19" ht="14.4" x14ac:dyDescent="0.3">
      <c r="A1281" s="169" t="s">
        <v>1843</v>
      </c>
      <c r="B1281" s="171" t="str">
        <f t="shared" si="57"/>
        <v>D_MAN_CP_GROUP_ORIG</v>
      </c>
      <c r="C1281" s="169" t="s">
        <v>720</v>
      </c>
      <c r="D1281" s="169">
        <v>1697</v>
      </c>
      <c r="E1281" s="169">
        <v>15</v>
      </c>
      <c r="F1281" s="169" t="s">
        <v>720</v>
      </c>
      <c r="G1281" s="169" t="s">
        <v>720</v>
      </c>
      <c r="H1281" s="169">
        <v>7</v>
      </c>
      <c r="I1281" s="136" t="str">
        <f t="shared" si="58"/>
        <v>BIGINT</v>
      </c>
      <c r="J1281" s="169" t="s">
        <v>0</v>
      </c>
      <c r="K1281" s="169" t="s">
        <v>1</v>
      </c>
      <c r="L1281" s="169">
        <v>30</v>
      </c>
      <c r="M1281" s="168"/>
      <c r="N1281" s="168"/>
      <c r="O1281" s="168"/>
      <c r="P1281" s="168"/>
      <c r="Q1281" s="168" t="s">
        <v>0</v>
      </c>
      <c r="R1281" s="168" t="s">
        <v>1</v>
      </c>
      <c r="S1281" s="178" t="str">
        <f t="shared" si="59"/>
        <v>D_MAN_CP_GROUP_ORIGEFF_COUNTRY_ID</v>
      </c>
    </row>
    <row r="1282" spans="1:19" ht="14.4" x14ac:dyDescent="0.3">
      <c r="A1282" s="169" t="s">
        <v>1843</v>
      </c>
      <c r="B1282" s="171" t="str">
        <f t="shared" ref="B1282:B1345" si="60">IF(NOT(ISBLANK(A1282)),VLOOKUP(A1282,ERM_TABLE_NM,2,FALSE), "")</f>
        <v>D_MAN_CP_GROUP_ORIG</v>
      </c>
      <c r="C1282" s="169" t="s">
        <v>52</v>
      </c>
      <c r="D1282" s="169">
        <v>1698</v>
      </c>
      <c r="E1282" s="169">
        <v>16</v>
      </c>
      <c r="F1282" s="169" t="s">
        <v>52</v>
      </c>
      <c r="G1282" s="169" t="s">
        <v>52</v>
      </c>
      <c r="H1282" s="169">
        <v>34</v>
      </c>
      <c r="I1282" s="136" t="str">
        <f t="shared" ref="I1282:I1345" si="61">IF(NOT(ISBLANK(H1282)),VLOOKUP(H1282,ERM_DOMAIN_NM,2,FALSE), "")</f>
        <v>DATE</v>
      </c>
      <c r="J1282" s="169" t="s">
        <v>0</v>
      </c>
      <c r="K1282" s="169" t="s">
        <v>1</v>
      </c>
      <c r="L1282" s="169">
        <v>30</v>
      </c>
      <c r="M1282" s="168"/>
      <c r="N1282" s="168"/>
      <c r="O1282" s="168"/>
      <c r="P1282" s="168"/>
      <c r="Q1282" s="168" t="s">
        <v>0</v>
      </c>
      <c r="R1282" s="168" t="s">
        <v>1</v>
      </c>
      <c r="S1282" s="178" t="str">
        <f t="shared" si="59"/>
        <v>D_MAN_CP_GROUP_ORIGEND_DT</v>
      </c>
    </row>
    <row r="1283" spans="1:19" ht="14.4" x14ac:dyDescent="0.3">
      <c r="A1283" s="169" t="s">
        <v>1843</v>
      </c>
      <c r="B1283" s="171" t="str">
        <f t="shared" si="60"/>
        <v>D_MAN_CP_GROUP_ORIG</v>
      </c>
      <c r="C1283" s="169" t="s">
        <v>538</v>
      </c>
      <c r="D1283" s="169">
        <v>1699</v>
      </c>
      <c r="E1283" s="169">
        <v>17</v>
      </c>
      <c r="F1283" s="169" t="s">
        <v>538</v>
      </c>
      <c r="G1283" s="169" t="s">
        <v>538</v>
      </c>
      <c r="H1283" s="169">
        <v>7</v>
      </c>
      <c r="I1283" s="136" t="str">
        <f t="shared" si="61"/>
        <v>BIGINT</v>
      </c>
      <c r="J1283" s="169" t="s">
        <v>0</v>
      </c>
      <c r="K1283" s="169" t="s">
        <v>1</v>
      </c>
      <c r="L1283" s="169">
        <v>30</v>
      </c>
      <c r="M1283" s="168"/>
      <c r="N1283" s="168"/>
      <c r="O1283" s="168"/>
      <c r="P1283" s="168"/>
      <c r="Q1283" s="168" t="s">
        <v>0</v>
      </c>
      <c r="R1283" s="168" t="s">
        <v>1</v>
      </c>
      <c r="S1283" s="178" t="str">
        <f t="shared" ref="S1283:S1346" si="62">CONCATENATE(A1283,C1283)</f>
        <v>D_MAN_CP_GROUP_ORIGNACE_INDUSTRY_ID</v>
      </c>
    </row>
    <row r="1284" spans="1:19" ht="14.4" x14ac:dyDescent="0.3">
      <c r="A1284" s="169" t="s">
        <v>1843</v>
      </c>
      <c r="B1284" s="171" t="str">
        <f t="shared" si="60"/>
        <v>D_MAN_CP_GROUP_ORIG</v>
      </c>
      <c r="C1284" s="169" t="s">
        <v>736</v>
      </c>
      <c r="D1284" s="169">
        <v>1700</v>
      </c>
      <c r="E1284" s="169">
        <v>18</v>
      </c>
      <c r="F1284" s="169" t="s">
        <v>736</v>
      </c>
      <c r="G1284" s="169" t="s">
        <v>736</v>
      </c>
      <c r="H1284" s="169">
        <v>24</v>
      </c>
      <c r="I1284" s="136" t="str">
        <f t="shared" si="61"/>
        <v xml:space="preserve">VARCHAR(40) </v>
      </c>
      <c r="J1284" s="169" t="s">
        <v>0</v>
      </c>
      <c r="K1284" s="169" t="s">
        <v>1</v>
      </c>
      <c r="L1284" s="169">
        <v>30</v>
      </c>
      <c r="M1284" s="168"/>
      <c r="N1284" s="168"/>
      <c r="O1284" s="168"/>
      <c r="P1284" s="168"/>
      <c r="Q1284" s="168" t="s">
        <v>0</v>
      </c>
      <c r="R1284" s="168" t="s">
        <v>1</v>
      </c>
      <c r="S1284" s="178" t="str">
        <f t="shared" si="62"/>
        <v>D_MAN_CP_GROUP_ORIGOWNERSHIP_TYPE</v>
      </c>
    </row>
    <row r="1285" spans="1:19" ht="14.4" x14ac:dyDescent="0.3">
      <c r="A1285" s="169" t="s">
        <v>1843</v>
      </c>
      <c r="B1285" s="171" t="str">
        <f t="shared" si="60"/>
        <v>D_MAN_CP_GROUP_ORIG</v>
      </c>
      <c r="C1285" s="169" t="s">
        <v>51</v>
      </c>
      <c r="D1285" s="169">
        <v>1701</v>
      </c>
      <c r="E1285" s="169">
        <v>19</v>
      </c>
      <c r="F1285" s="169" t="s">
        <v>51</v>
      </c>
      <c r="G1285" s="169" t="s">
        <v>51</v>
      </c>
      <c r="H1285" s="169">
        <v>34</v>
      </c>
      <c r="I1285" s="136" t="str">
        <f t="shared" si="61"/>
        <v>DATE</v>
      </c>
      <c r="J1285" s="169" t="s">
        <v>0</v>
      </c>
      <c r="K1285" s="169" t="s">
        <v>1</v>
      </c>
      <c r="L1285" s="169">
        <v>30</v>
      </c>
      <c r="M1285" s="168"/>
      <c r="N1285" s="168"/>
      <c r="O1285" s="168"/>
      <c r="P1285" s="168"/>
      <c r="Q1285" s="168" t="s">
        <v>0</v>
      </c>
      <c r="R1285" s="168" t="s">
        <v>1</v>
      </c>
      <c r="S1285" s="178" t="str">
        <f t="shared" si="62"/>
        <v>D_MAN_CP_GROUP_ORIGSTART_DT</v>
      </c>
    </row>
    <row r="1286" spans="1:19" ht="14.4" x14ac:dyDescent="0.3">
      <c r="A1286" s="169" t="s">
        <v>1843</v>
      </c>
      <c r="B1286" s="171" t="str">
        <f t="shared" si="60"/>
        <v>D_MAN_CP_GROUP_ORIG</v>
      </c>
      <c r="C1286" s="169" t="s">
        <v>1391</v>
      </c>
      <c r="D1286" s="169">
        <v>1702</v>
      </c>
      <c r="E1286" s="169">
        <v>20</v>
      </c>
      <c r="F1286" s="169" t="s">
        <v>1391</v>
      </c>
      <c r="G1286" s="169" t="s">
        <v>1391</v>
      </c>
      <c r="H1286" s="169">
        <v>21</v>
      </c>
      <c r="I1286" s="136" t="str">
        <f t="shared" si="61"/>
        <v>DECIMAL(19, 2)</v>
      </c>
      <c r="J1286" s="169" t="s">
        <v>0</v>
      </c>
      <c r="K1286" s="169" t="s">
        <v>1</v>
      </c>
      <c r="L1286" s="169">
        <v>30</v>
      </c>
      <c r="M1286" s="168"/>
      <c r="N1286" s="168"/>
      <c r="O1286" s="168"/>
      <c r="P1286" s="168"/>
      <c r="Q1286" s="168" t="s">
        <v>0</v>
      </c>
      <c r="R1286" s="168" t="s">
        <v>1</v>
      </c>
      <c r="S1286" s="178" t="str">
        <f t="shared" si="62"/>
        <v>D_MAN_CP_GROUP_ORIGTOTAL_ASSETS_CCY_AMT</v>
      </c>
    </row>
    <row r="1287" spans="1:19" ht="14.4" x14ac:dyDescent="0.3">
      <c r="A1287" s="169" t="s">
        <v>1843</v>
      </c>
      <c r="B1287" s="171" t="str">
        <f t="shared" si="60"/>
        <v>D_MAN_CP_GROUP_ORIG</v>
      </c>
      <c r="C1287" s="169" t="s">
        <v>1382</v>
      </c>
      <c r="D1287" s="169">
        <v>1703</v>
      </c>
      <c r="E1287" s="169">
        <v>21</v>
      </c>
      <c r="F1287" s="169" t="s">
        <v>1382</v>
      </c>
      <c r="G1287" s="169" t="s">
        <v>1382</v>
      </c>
      <c r="H1287" s="169">
        <v>7</v>
      </c>
      <c r="I1287" s="136" t="str">
        <f t="shared" si="61"/>
        <v>BIGINT</v>
      </c>
      <c r="J1287" s="169" t="s">
        <v>0</v>
      </c>
      <c r="K1287" s="169" t="s">
        <v>1</v>
      </c>
      <c r="L1287" s="169">
        <v>30</v>
      </c>
      <c r="M1287" s="168"/>
      <c r="N1287" s="168"/>
      <c r="O1287" s="168"/>
      <c r="P1287" s="168"/>
      <c r="Q1287" s="168" t="s">
        <v>0</v>
      </c>
      <c r="R1287" s="168" t="s">
        <v>1</v>
      </c>
      <c r="S1287" s="178" t="str">
        <f t="shared" si="62"/>
        <v>D_MAN_CP_GROUP_ORIGTOTAL_ASSETS_CURRENCY_ID</v>
      </c>
    </row>
    <row r="1288" spans="1:19" ht="14.4" x14ac:dyDescent="0.3">
      <c r="A1288" s="169" t="s">
        <v>1843</v>
      </c>
      <c r="B1288" s="171" t="str">
        <f t="shared" si="60"/>
        <v>D_MAN_CP_GROUP_ORIG</v>
      </c>
      <c r="C1288" s="169" t="s">
        <v>715</v>
      </c>
      <c r="D1288" s="169">
        <v>1704</v>
      </c>
      <c r="E1288" s="169">
        <v>22</v>
      </c>
      <c r="F1288" s="169" t="s">
        <v>715</v>
      </c>
      <c r="G1288" s="169" t="s">
        <v>715</v>
      </c>
      <c r="H1288" s="169">
        <v>21</v>
      </c>
      <c r="I1288" s="136" t="str">
        <f t="shared" si="61"/>
        <v>DECIMAL(19, 2)</v>
      </c>
      <c r="J1288" s="169" t="s">
        <v>0</v>
      </c>
      <c r="K1288" s="169" t="s">
        <v>1</v>
      </c>
      <c r="L1288" s="169">
        <v>30</v>
      </c>
      <c r="M1288" s="168"/>
      <c r="N1288" s="168"/>
      <c r="O1288" s="168"/>
      <c r="P1288" s="168"/>
      <c r="Q1288" s="168" t="s">
        <v>0</v>
      </c>
      <c r="R1288" s="168" t="s">
        <v>1</v>
      </c>
      <c r="S1288" s="178" t="str">
        <f t="shared" si="62"/>
        <v>D_MAN_CP_GROUP_ORIGTOTAL_ASSETS_RUB_AMT</v>
      </c>
    </row>
    <row r="1289" spans="1:19" ht="14.4" x14ac:dyDescent="0.3">
      <c r="A1289" s="169" t="s">
        <v>1827</v>
      </c>
      <c r="B1289" s="171" t="str">
        <f t="shared" si="60"/>
        <v>D_MAN_CP_ORIG</v>
      </c>
      <c r="C1289" s="169" t="s">
        <v>1449</v>
      </c>
      <c r="D1289" s="169">
        <v>661</v>
      </c>
      <c r="E1289" s="169">
        <v>1</v>
      </c>
      <c r="F1289" s="169" t="s">
        <v>1449</v>
      </c>
      <c r="G1289" s="169" t="s">
        <v>1449</v>
      </c>
      <c r="H1289" s="169">
        <v>21</v>
      </c>
      <c r="I1289" s="136" t="str">
        <f t="shared" si="61"/>
        <v>DECIMAL(19, 2)</v>
      </c>
      <c r="J1289" s="169" t="s">
        <v>0</v>
      </c>
      <c r="K1289" s="169" t="s">
        <v>1</v>
      </c>
      <c r="L1289" s="169">
        <v>30</v>
      </c>
      <c r="M1289" s="168"/>
      <c r="N1289" s="168"/>
      <c r="O1289" s="168"/>
      <c r="P1289" s="168"/>
      <c r="Q1289" s="168" t="s">
        <v>0</v>
      </c>
      <c r="R1289" s="168" t="s">
        <v>1</v>
      </c>
      <c r="S1289" s="178" t="str">
        <f t="shared" si="62"/>
        <v>D_MAN_CP_ORIGANNUAL_SALES_CCY_AMT</v>
      </c>
    </row>
    <row r="1290" spans="1:19" ht="14.4" x14ac:dyDescent="0.3">
      <c r="A1290" s="169" t="s">
        <v>1827</v>
      </c>
      <c r="B1290" s="171" t="str">
        <f t="shared" si="60"/>
        <v>D_MAN_CP_ORIG</v>
      </c>
      <c r="C1290" s="169" t="s">
        <v>1471</v>
      </c>
      <c r="D1290" s="169">
        <v>662</v>
      </c>
      <c r="E1290" s="169">
        <v>2</v>
      </c>
      <c r="F1290" s="169" t="s">
        <v>1471</v>
      </c>
      <c r="G1290" s="169" t="s">
        <v>1471</v>
      </c>
      <c r="H1290" s="169">
        <v>7</v>
      </c>
      <c r="I1290" s="136" t="str">
        <f t="shared" si="61"/>
        <v>BIGINT</v>
      </c>
      <c r="J1290" s="169" t="s">
        <v>0</v>
      </c>
      <c r="K1290" s="169" t="s">
        <v>1</v>
      </c>
      <c r="L1290" s="169">
        <v>30</v>
      </c>
      <c r="M1290" s="168"/>
      <c r="N1290" s="168"/>
      <c r="O1290" s="168"/>
      <c r="P1290" s="168"/>
      <c r="Q1290" s="168" t="s">
        <v>0</v>
      </c>
      <c r="R1290" s="168" t="s">
        <v>1</v>
      </c>
      <c r="S1290" s="178" t="str">
        <f t="shared" si="62"/>
        <v>D_MAN_CP_ORIGANNUAL_SALES_CURRENCY_ID</v>
      </c>
    </row>
    <row r="1291" spans="1:19" ht="14.4" x14ac:dyDescent="0.3">
      <c r="A1291" s="169" t="s">
        <v>1827</v>
      </c>
      <c r="B1291" s="171" t="str">
        <f t="shared" si="60"/>
        <v>D_MAN_CP_ORIG</v>
      </c>
      <c r="C1291" s="169" t="s">
        <v>1499</v>
      </c>
      <c r="D1291" s="169">
        <v>663</v>
      </c>
      <c r="E1291" s="169">
        <v>3</v>
      </c>
      <c r="F1291" s="169" t="s">
        <v>1499</v>
      </c>
      <c r="G1291" s="169" t="s">
        <v>1499</v>
      </c>
      <c r="H1291" s="169">
        <v>34</v>
      </c>
      <c r="I1291" s="136" t="str">
        <f t="shared" si="61"/>
        <v>DATE</v>
      </c>
      <c r="J1291" s="169" t="s">
        <v>0</v>
      </c>
      <c r="K1291" s="169" t="s">
        <v>1</v>
      </c>
      <c r="L1291" s="169">
        <v>30</v>
      </c>
      <c r="M1291" s="168"/>
      <c r="N1291" s="168"/>
      <c r="O1291" s="168"/>
      <c r="P1291" s="168"/>
      <c r="Q1291" s="168" t="s">
        <v>0</v>
      </c>
      <c r="R1291" s="168" t="s">
        <v>1</v>
      </c>
      <c r="S1291" s="178" t="str">
        <f t="shared" si="62"/>
        <v>D_MAN_CP_ORIGANNUAL_SALES_RPT_DT</v>
      </c>
    </row>
    <row r="1292" spans="1:19" ht="14.4" x14ac:dyDescent="0.3">
      <c r="A1292" s="169" t="s">
        <v>1827</v>
      </c>
      <c r="B1292" s="171" t="str">
        <f t="shared" si="60"/>
        <v>D_MAN_CP_ORIG</v>
      </c>
      <c r="C1292" s="169" t="s">
        <v>743</v>
      </c>
      <c r="D1292" s="169">
        <v>664</v>
      </c>
      <c r="E1292" s="169">
        <v>4</v>
      </c>
      <c r="F1292" s="169" t="s">
        <v>743</v>
      </c>
      <c r="G1292" s="169" t="s">
        <v>743</v>
      </c>
      <c r="H1292" s="169">
        <v>15</v>
      </c>
      <c r="I1292" s="136" t="str">
        <f t="shared" si="61"/>
        <v xml:space="preserve">CHAR(1) </v>
      </c>
      <c r="J1292" s="169" t="s">
        <v>0</v>
      </c>
      <c r="K1292" s="169" t="s">
        <v>1</v>
      </c>
      <c r="L1292" s="169">
        <v>30</v>
      </c>
      <c r="M1292" s="168"/>
      <c r="N1292" s="168"/>
      <c r="O1292" s="168"/>
      <c r="P1292" s="168"/>
      <c r="Q1292" s="168" t="s">
        <v>0</v>
      </c>
      <c r="R1292" s="168" t="s">
        <v>1</v>
      </c>
      <c r="S1292" s="178" t="str">
        <f t="shared" si="62"/>
        <v>D_MAN_CP_ORIGBASEL3_ADJ_IND</v>
      </c>
    </row>
    <row r="1293" spans="1:19" ht="14.4" x14ac:dyDescent="0.3">
      <c r="A1293" s="169" t="s">
        <v>1827</v>
      </c>
      <c r="B1293" s="171" t="str">
        <f t="shared" si="60"/>
        <v>D_MAN_CP_ORIG</v>
      </c>
      <c r="C1293" s="169" t="s">
        <v>717</v>
      </c>
      <c r="D1293" s="169">
        <v>665</v>
      </c>
      <c r="E1293" s="169">
        <v>5</v>
      </c>
      <c r="F1293" s="169" t="s">
        <v>717</v>
      </c>
      <c r="G1293" s="169" t="s">
        <v>717</v>
      </c>
      <c r="H1293" s="169">
        <v>15</v>
      </c>
      <c r="I1293" s="136" t="str">
        <f t="shared" si="61"/>
        <v xml:space="preserve">CHAR(1) </v>
      </c>
      <c r="J1293" s="169" t="s">
        <v>0</v>
      </c>
      <c r="K1293" s="169" t="s">
        <v>1</v>
      </c>
      <c r="L1293" s="169">
        <v>30</v>
      </c>
      <c r="M1293" s="168"/>
      <c r="N1293" s="168"/>
      <c r="O1293" s="168"/>
      <c r="P1293" s="168"/>
      <c r="Q1293" s="168" t="s">
        <v>0</v>
      </c>
      <c r="R1293" s="168" t="s">
        <v>1</v>
      </c>
      <c r="S1293" s="178" t="str">
        <f t="shared" si="62"/>
        <v>D_MAN_CP_ORIGCBRF_IND</v>
      </c>
    </row>
    <row r="1294" spans="1:19" ht="14.4" x14ac:dyDescent="0.3">
      <c r="A1294" s="169" t="s">
        <v>1827</v>
      </c>
      <c r="B1294" s="171" t="str">
        <f t="shared" si="60"/>
        <v>D_MAN_CP_ORIG</v>
      </c>
      <c r="C1294" s="169" t="s">
        <v>718</v>
      </c>
      <c r="D1294" s="169">
        <v>666</v>
      </c>
      <c r="E1294" s="169">
        <v>6</v>
      </c>
      <c r="F1294" s="169" t="s">
        <v>718</v>
      </c>
      <c r="G1294" s="169" t="s">
        <v>718</v>
      </c>
      <c r="H1294" s="169">
        <v>7</v>
      </c>
      <c r="I1294" s="136" t="str">
        <f t="shared" si="61"/>
        <v>BIGINT</v>
      </c>
      <c r="J1294" s="169" t="s">
        <v>0</v>
      </c>
      <c r="K1294" s="169" t="s">
        <v>1</v>
      </c>
      <c r="L1294" s="169">
        <v>30</v>
      </c>
      <c r="M1294" s="168"/>
      <c r="N1294" s="168"/>
      <c r="O1294" s="168"/>
      <c r="P1294" s="168"/>
      <c r="Q1294" s="168" t="s">
        <v>0</v>
      </c>
      <c r="R1294" s="168" t="s">
        <v>1</v>
      </c>
      <c r="S1294" s="178" t="str">
        <f t="shared" si="62"/>
        <v>D_MAN_CP_ORIGCOUNTRY_ID</v>
      </c>
    </row>
    <row r="1295" spans="1:19" ht="14.4" x14ac:dyDescent="0.3">
      <c r="A1295" s="169" t="s">
        <v>1827</v>
      </c>
      <c r="B1295" s="171" t="str">
        <f t="shared" si="60"/>
        <v>D_MAN_CP_ORIG</v>
      </c>
      <c r="C1295" s="169" t="s">
        <v>725</v>
      </c>
      <c r="D1295" s="169">
        <v>667</v>
      </c>
      <c r="E1295" s="169">
        <v>7</v>
      </c>
      <c r="F1295" s="169" t="s">
        <v>725</v>
      </c>
      <c r="G1295" s="169" t="s">
        <v>725</v>
      </c>
      <c r="H1295" s="169">
        <v>7</v>
      </c>
      <c r="I1295" s="136" t="str">
        <f t="shared" si="61"/>
        <v>BIGINT</v>
      </c>
      <c r="J1295" s="169" t="s">
        <v>0</v>
      </c>
      <c r="K1295" s="169" t="s">
        <v>1</v>
      </c>
      <c r="L1295" s="169">
        <v>30</v>
      </c>
      <c r="M1295" s="168"/>
      <c r="N1295" s="168"/>
      <c r="O1295" s="168"/>
      <c r="P1295" s="168"/>
      <c r="Q1295" s="168" t="s">
        <v>0</v>
      </c>
      <c r="R1295" s="168" t="s">
        <v>1</v>
      </c>
      <c r="S1295" s="178" t="str">
        <f t="shared" si="62"/>
        <v>D_MAN_CP_ORIGCP_FIN_POS_ID</v>
      </c>
    </row>
    <row r="1296" spans="1:19" ht="14.4" x14ac:dyDescent="0.3">
      <c r="A1296" s="169" t="s">
        <v>1827</v>
      </c>
      <c r="B1296" s="171" t="str">
        <f t="shared" si="60"/>
        <v>D_MAN_CP_ORIG</v>
      </c>
      <c r="C1296" s="169" t="s">
        <v>523</v>
      </c>
      <c r="D1296" s="169">
        <v>668</v>
      </c>
      <c r="E1296" s="169">
        <v>8</v>
      </c>
      <c r="F1296" s="169" t="s">
        <v>523</v>
      </c>
      <c r="G1296" s="169" t="s">
        <v>523</v>
      </c>
      <c r="H1296" s="169">
        <v>7</v>
      </c>
      <c r="I1296" s="136" t="str">
        <f t="shared" si="61"/>
        <v>BIGINT</v>
      </c>
      <c r="J1296" s="169" t="s">
        <v>0</v>
      </c>
      <c r="K1296" s="169" t="s">
        <v>1</v>
      </c>
      <c r="L1296" s="169">
        <v>30</v>
      </c>
      <c r="M1296" s="168"/>
      <c r="N1296" s="168"/>
      <c r="O1296" s="168"/>
      <c r="P1296" s="168"/>
      <c r="Q1296" s="168" t="s">
        <v>0</v>
      </c>
      <c r="R1296" s="168" t="s">
        <v>1</v>
      </c>
      <c r="S1296" s="178" t="str">
        <f t="shared" si="62"/>
        <v>D_MAN_CP_ORIGCP_GROUP_ORIG_ID</v>
      </c>
    </row>
    <row r="1297" spans="1:19" ht="14.4" x14ac:dyDescent="0.3">
      <c r="A1297" s="169" t="s">
        <v>1827</v>
      </c>
      <c r="B1297" s="171" t="str">
        <f t="shared" si="60"/>
        <v>D_MAN_CP_ORIG</v>
      </c>
      <c r="C1297" s="169" t="s">
        <v>728</v>
      </c>
      <c r="D1297" s="169">
        <v>669</v>
      </c>
      <c r="E1297" s="169">
        <v>9</v>
      </c>
      <c r="F1297" s="169" t="s">
        <v>728</v>
      </c>
      <c r="G1297" s="169" t="s">
        <v>728</v>
      </c>
      <c r="H1297" s="169">
        <v>24</v>
      </c>
      <c r="I1297" s="136" t="str">
        <f t="shared" si="61"/>
        <v xml:space="preserve">VARCHAR(40) </v>
      </c>
      <c r="J1297" s="169" t="s">
        <v>0</v>
      </c>
      <c r="K1297" s="169" t="s">
        <v>1</v>
      </c>
      <c r="L1297" s="169">
        <v>30</v>
      </c>
      <c r="M1297" s="168"/>
      <c r="N1297" s="168"/>
      <c r="O1297" s="168"/>
      <c r="P1297" s="168"/>
      <c r="Q1297" s="168" t="s">
        <v>0</v>
      </c>
      <c r="R1297" s="168" t="s">
        <v>1</v>
      </c>
      <c r="S1297" s="178" t="str">
        <f t="shared" si="62"/>
        <v>D_MAN_CP_ORIGCP_ID_IN_CRM</v>
      </c>
    </row>
    <row r="1298" spans="1:19" ht="14.4" x14ac:dyDescent="0.3">
      <c r="A1298" s="169" t="s">
        <v>1827</v>
      </c>
      <c r="B1298" s="171" t="str">
        <f t="shared" si="60"/>
        <v>D_MAN_CP_ORIG</v>
      </c>
      <c r="C1298" s="169" t="s">
        <v>1445</v>
      </c>
      <c r="D1298" s="169">
        <v>670</v>
      </c>
      <c r="E1298" s="169">
        <v>10</v>
      </c>
      <c r="F1298" s="169" t="s">
        <v>1445</v>
      </c>
      <c r="G1298" s="169" t="s">
        <v>1445</v>
      </c>
      <c r="H1298" s="169">
        <v>24</v>
      </c>
      <c r="I1298" s="136" t="str">
        <f t="shared" si="61"/>
        <v xml:space="preserve">VARCHAR(40) </v>
      </c>
      <c r="J1298" s="169" t="s">
        <v>0</v>
      </c>
      <c r="K1298" s="169" t="s">
        <v>1</v>
      </c>
      <c r="L1298" s="169">
        <v>30</v>
      </c>
      <c r="M1298" s="168"/>
      <c r="N1298" s="168"/>
      <c r="O1298" s="168"/>
      <c r="P1298" s="168"/>
      <c r="Q1298" s="168" t="s">
        <v>0</v>
      </c>
      <c r="R1298" s="168" t="s">
        <v>1</v>
      </c>
      <c r="S1298" s="178" t="str">
        <f t="shared" si="62"/>
        <v>D_MAN_CP_ORIGCP_INN</v>
      </c>
    </row>
    <row r="1299" spans="1:19" ht="14.4" x14ac:dyDescent="0.3">
      <c r="A1299" s="169" t="s">
        <v>1827</v>
      </c>
      <c r="B1299" s="171" t="str">
        <f t="shared" si="60"/>
        <v>D_MAN_CP_ORIG</v>
      </c>
      <c r="C1299" s="169" t="s">
        <v>732</v>
      </c>
      <c r="D1299" s="169">
        <v>671</v>
      </c>
      <c r="E1299" s="169">
        <v>11</v>
      </c>
      <c r="F1299" s="169" t="s">
        <v>732</v>
      </c>
      <c r="G1299" s="169" t="s">
        <v>732</v>
      </c>
      <c r="H1299" s="169">
        <v>24</v>
      </c>
      <c r="I1299" s="136" t="str">
        <f t="shared" si="61"/>
        <v xml:space="preserve">VARCHAR(40) </v>
      </c>
      <c r="J1299" s="169" t="s">
        <v>0</v>
      </c>
      <c r="K1299" s="169" t="s">
        <v>1</v>
      </c>
      <c r="L1299" s="169">
        <v>30</v>
      </c>
      <c r="M1299" s="168"/>
      <c r="N1299" s="168"/>
      <c r="O1299" s="168"/>
      <c r="P1299" s="168"/>
      <c r="Q1299" s="168" t="s">
        <v>0</v>
      </c>
      <c r="R1299" s="168" t="s">
        <v>1</v>
      </c>
      <c r="S1299" s="178" t="str">
        <f t="shared" si="62"/>
        <v>D_MAN_CP_ORIGCP_KPP</v>
      </c>
    </row>
    <row r="1300" spans="1:19" ht="14.4" x14ac:dyDescent="0.3">
      <c r="A1300" s="169" t="s">
        <v>1827</v>
      </c>
      <c r="B1300" s="171" t="str">
        <f t="shared" si="60"/>
        <v>D_MAN_CP_ORIG</v>
      </c>
      <c r="C1300" s="169" t="s">
        <v>738</v>
      </c>
      <c r="D1300" s="169">
        <v>672</v>
      </c>
      <c r="E1300" s="169">
        <v>12</v>
      </c>
      <c r="F1300" s="169" t="s">
        <v>738</v>
      </c>
      <c r="G1300" s="169" t="s">
        <v>738</v>
      </c>
      <c r="H1300" s="169">
        <v>21</v>
      </c>
      <c r="I1300" s="136" t="str">
        <f t="shared" si="61"/>
        <v>DECIMAL(19, 2)</v>
      </c>
      <c r="J1300" s="169" t="s">
        <v>0</v>
      </c>
      <c r="K1300" s="169" t="s">
        <v>1</v>
      </c>
      <c r="L1300" s="169">
        <v>30</v>
      </c>
      <c r="M1300" s="168"/>
      <c r="N1300" s="168"/>
      <c r="O1300" s="168"/>
      <c r="P1300" s="168"/>
      <c r="Q1300" s="168" t="s">
        <v>0</v>
      </c>
      <c r="R1300" s="168" t="s">
        <v>1</v>
      </c>
      <c r="S1300" s="178" t="str">
        <f t="shared" si="62"/>
        <v>D_MAN_CP_ORIGCP_LIMIT_CCY_AMT</v>
      </c>
    </row>
    <row r="1301" spans="1:19" ht="14.4" x14ac:dyDescent="0.3">
      <c r="A1301" s="169" t="s">
        <v>1827</v>
      </c>
      <c r="B1301" s="171" t="str">
        <f t="shared" si="60"/>
        <v>D_MAN_CP_ORIG</v>
      </c>
      <c r="C1301" s="169" t="s">
        <v>721</v>
      </c>
      <c r="D1301" s="169">
        <v>673</v>
      </c>
      <c r="E1301" s="169">
        <v>13</v>
      </c>
      <c r="F1301" s="169" t="s">
        <v>721</v>
      </c>
      <c r="G1301" s="169" t="s">
        <v>721</v>
      </c>
      <c r="H1301" s="169">
        <v>7</v>
      </c>
      <c r="I1301" s="136" t="str">
        <f t="shared" si="61"/>
        <v>BIGINT</v>
      </c>
      <c r="J1301" s="169" t="s">
        <v>0</v>
      </c>
      <c r="K1301" s="169" t="s">
        <v>1</v>
      </c>
      <c r="L1301" s="169">
        <v>30</v>
      </c>
      <c r="M1301" s="168"/>
      <c r="N1301" s="168"/>
      <c r="O1301" s="168"/>
      <c r="P1301" s="168"/>
      <c r="Q1301" s="168" t="s">
        <v>0</v>
      </c>
      <c r="R1301" s="168" t="s">
        <v>1</v>
      </c>
      <c r="S1301" s="178" t="str">
        <f t="shared" si="62"/>
        <v>D_MAN_CP_ORIGCP_LIMIT_CURRENCY_ID</v>
      </c>
    </row>
    <row r="1302" spans="1:19" ht="14.4" x14ac:dyDescent="0.3">
      <c r="A1302" s="169" t="s">
        <v>1827</v>
      </c>
      <c r="B1302" s="171" t="str">
        <f t="shared" si="60"/>
        <v>D_MAN_CP_ORIG</v>
      </c>
      <c r="C1302" s="169" t="s">
        <v>739</v>
      </c>
      <c r="D1302" s="169">
        <v>674</v>
      </c>
      <c r="E1302" s="169">
        <v>14</v>
      </c>
      <c r="F1302" s="169" t="s">
        <v>739</v>
      </c>
      <c r="G1302" s="169" t="s">
        <v>739</v>
      </c>
      <c r="H1302" s="169">
        <v>34</v>
      </c>
      <c r="I1302" s="136" t="str">
        <f t="shared" si="61"/>
        <v>DATE</v>
      </c>
      <c r="J1302" s="169" t="s">
        <v>0</v>
      </c>
      <c r="K1302" s="169" t="s">
        <v>1</v>
      </c>
      <c r="L1302" s="169">
        <v>30</v>
      </c>
      <c r="M1302" s="168"/>
      <c r="N1302" s="168"/>
      <c r="O1302" s="168"/>
      <c r="P1302" s="168"/>
      <c r="Q1302" s="168" t="s">
        <v>0</v>
      </c>
      <c r="R1302" s="168" t="s">
        <v>1</v>
      </c>
      <c r="S1302" s="178" t="str">
        <f t="shared" si="62"/>
        <v>D_MAN_CP_ORIGCP_LIMIT_ESTABLISHED_DT</v>
      </c>
    </row>
    <row r="1303" spans="1:19" ht="14.4" x14ac:dyDescent="0.3">
      <c r="A1303" s="169" t="s">
        <v>1827</v>
      </c>
      <c r="B1303" s="171" t="str">
        <f t="shared" si="60"/>
        <v>D_MAN_CP_ORIG</v>
      </c>
      <c r="C1303" s="169" t="s">
        <v>740</v>
      </c>
      <c r="D1303" s="169">
        <v>675</v>
      </c>
      <c r="E1303" s="169">
        <v>15</v>
      </c>
      <c r="F1303" s="169" t="s">
        <v>740</v>
      </c>
      <c r="G1303" s="169" t="s">
        <v>740</v>
      </c>
      <c r="H1303" s="169">
        <v>34</v>
      </c>
      <c r="I1303" s="136" t="str">
        <f t="shared" si="61"/>
        <v>DATE</v>
      </c>
      <c r="J1303" s="169" t="s">
        <v>0</v>
      </c>
      <c r="K1303" s="169" t="s">
        <v>1</v>
      </c>
      <c r="L1303" s="169">
        <v>30</v>
      </c>
      <c r="M1303" s="168"/>
      <c r="N1303" s="168"/>
      <c r="O1303" s="168"/>
      <c r="P1303" s="168"/>
      <c r="Q1303" s="168" t="s">
        <v>0</v>
      </c>
      <c r="R1303" s="168" t="s">
        <v>1</v>
      </c>
      <c r="S1303" s="178" t="str">
        <f t="shared" si="62"/>
        <v>D_MAN_CP_ORIGCP_LIMIT_EXPIRATION_DT</v>
      </c>
    </row>
    <row r="1304" spans="1:19" ht="14.4" x14ac:dyDescent="0.3">
      <c r="A1304" s="169" t="s">
        <v>1827</v>
      </c>
      <c r="B1304" s="171" t="str">
        <f t="shared" si="60"/>
        <v>D_MAN_CP_ORIG</v>
      </c>
      <c r="C1304" s="169" t="s">
        <v>712</v>
      </c>
      <c r="D1304" s="169">
        <v>676</v>
      </c>
      <c r="E1304" s="169">
        <v>16</v>
      </c>
      <c r="F1304" s="169" t="s">
        <v>712</v>
      </c>
      <c r="G1304" s="169" t="s">
        <v>712</v>
      </c>
      <c r="H1304" s="169">
        <v>24</v>
      </c>
      <c r="I1304" s="136" t="str">
        <f t="shared" si="61"/>
        <v xml:space="preserve">VARCHAR(40) </v>
      </c>
      <c r="J1304" s="169" t="s">
        <v>0</v>
      </c>
      <c r="K1304" s="169" t="s">
        <v>1</v>
      </c>
      <c r="L1304" s="169">
        <v>30</v>
      </c>
      <c r="M1304" s="168"/>
      <c r="N1304" s="168"/>
      <c r="O1304" s="168"/>
      <c r="P1304" s="168"/>
      <c r="Q1304" s="168" t="s">
        <v>0</v>
      </c>
      <c r="R1304" s="168" t="s">
        <v>1</v>
      </c>
      <c r="S1304" s="178" t="str">
        <f t="shared" si="62"/>
        <v>D_MAN_CP_ORIGCP_MIXED_ID</v>
      </c>
    </row>
    <row r="1305" spans="1:19" ht="14.4" x14ac:dyDescent="0.3">
      <c r="A1305" s="169" t="s">
        <v>1827</v>
      </c>
      <c r="B1305" s="171" t="str">
        <f t="shared" si="60"/>
        <v>D_MAN_CP_ORIG</v>
      </c>
      <c r="C1305" s="169" t="s">
        <v>713</v>
      </c>
      <c r="D1305" s="169">
        <v>677</v>
      </c>
      <c r="E1305" s="169">
        <v>17</v>
      </c>
      <c r="F1305" s="169" t="s">
        <v>713</v>
      </c>
      <c r="G1305" s="169" t="s">
        <v>713</v>
      </c>
      <c r="H1305" s="169">
        <v>13</v>
      </c>
      <c r="I1305" s="136" t="str">
        <f t="shared" si="61"/>
        <v xml:space="preserve">VARCHAR(300) </v>
      </c>
      <c r="J1305" s="169" t="s">
        <v>0</v>
      </c>
      <c r="K1305" s="169" t="s">
        <v>1</v>
      </c>
      <c r="L1305" s="169">
        <v>30</v>
      </c>
      <c r="M1305" s="168"/>
      <c r="N1305" s="168"/>
      <c r="O1305" s="168"/>
      <c r="P1305" s="168"/>
      <c r="Q1305" s="168" t="s">
        <v>0</v>
      </c>
      <c r="R1305" s="168" t="s">
        <v>1</v>
      </c>
      <c r="S1305" s="178" t="str">
        <f t="shared" si="62"/>
        <v>D_MAN_CP_ORIGCP_NM</v>
      </c>
    </row>
    <row r="1306" spans="1:19" ht="14.4" x14ac:dyDescent="0.3">
      <c r="A1306" s="169" t="s">
        <v>1827</v>
      </c>
      <c r="B1306" s="171" t="str">
        <f t="shared" si="60"/>
        <v>D_MAN_CP_ORIG</v>
      </c>
      <c r="C1306" s="169" t="s">
        <v>581</v>
      </c>
      <c r="D1306" s="169">
        <v>678</v>
      </c>
      <c r="E1306" s="169">
        <v>18</v>
      </c>
      <c r="F1306" s="169" t="s">
        <v>581</v>
      </c>
      <c r="G1306" s="169" t="s">
        <v>581</v>
      </c>
      <c r="H1306" s="169">
        <v>27</v>
      </c>
      <c r="I1306" s="136" t="str">
        <f t="shared" si="61"/>
        <v>INTEGER</v>
      </c>
      <c r="J1306" s="169" t="s">
        <v>1</v>
      </c>
      <c r="K1306" s="169" t="s">
        <v>0</v>
      </c>
      <c r="L1306" s="169">
        <v>30</v>
      </c>
      <c r="M1306" s="168"/>
      <c r="N1306" s="168"/>
      <c r="O1306" s="168"/>
      <c r="P1306" s="168"/>
      <c r="Q1306" s="168" t="s">
        <v>0</v>
      </c>
      <c r="R1306" s="168" t="s">
        <v>1</v>
      </c>
      <c r="S1306" s="178" t="str">
        <f t="shared" si="62"/>
        <v>D_MAN_CP_ORIGCP_ORIG_ID</v>
      </c>
    </row>
    <row r="1307" spans="1:19" ht="14.4" x14ac:dyDescent="0.3">
      <c r="A1307" s="169" t="s">
        <v>1827</v>
      </c>
      <c r="B1307" s="171" t="str">
        <f t="shared" si="60"/>
        <v>D_MAN_CP_ORIG</v>
      </c>
      <c r="C1307" s="169" t="s">
        <v>723</v>
      </c>
      <c r="D1307" s="169">
        <v>679</v>
      </c>
      <c r="E1307" s="169">
        <v>19</v>
      </c>
      <c r="F1307" s="169" t="s">
        <v>723</v>
      </c>
      <c r="G1307" s="169" t="s">
        <v>723</v>
      </c>
      <c r="H1307" s="169">
        <v>7</v>
      </c>
      <c r="I1307" s="136" t="str">
        <f t="shared" si="61"/>
        <v>BIGINT</v>
      </c>
      <c r="J1307" s="169" t="s">
        <v>0</v>
      </c>
      <c r="K1307" s="169" t="s">
        <v>1</v>
      </c>
      <c r="L1307" s="169">
        <v>30</v>
      </c>
      <c r="M1307" s="168"/>
      <c r="N1307" s="168"/>
      <c r="O1307" s="168"/>
      <c r="P1307" s="168"/>
      <c r="Q1307" s="168" t="s">
        <v>0</v>
      </c>
      <c r="R1307" s="168" t="s">
        <v>1</v>
      </c>
      <c r="S1307" s="178" t="str">
        <f t="shared" si="62"/>
        <v>D_MAN_CP_ORIGCP_RELATION_TYPE_ID</v>
      </c>
    </row>
    <row r="1308" spans="1:19" ht="14.4" x14ac:dyDescent="0.3">
      <c r="A1308" s="169" t="s">
        <v>1827</v>
      </c>
      <c r="B1308" s="171" t="str">
        <f t="shared" si="60"/>
        <v>D_MAN_CP_ORIG</v>
      </c>
      <c r="C1308" s="169" t="s">
        <v>470</v>
      </c>
      <c r="D1308" s="169">
        <v>680</v>
      </c>
      <c r="E1308" s="169">
        <v>20</v>
      </c>
      <c r="F1308" s="169" t="s">
        <v>470</v>
      </c>
      <c r="G1308" s="169" t="s">
        <v>470</v>
      </c>
      <c r="H1308" s="169">
        <v>7</v>
      </c>
      <c r="I1308" s="136" t="str">
        <f t="shared" si="61"/>
        <v>BIGINT</v>
      </c>
      <c r="J1308" s="169" t="s">
        <v>0</v>
      </c>
      <c r="K1308" s="169" t="s">
        <v>1</v>
      </c>
      <c r="L1308" s="169">
        <v>30</v>
      </c>
      <c r="M1308" s="168"/>
      <c r="N1308" s="168"/>
      <c r="O1308" s="168"/>
      <c r="P1308" s="168"/>
      <c r="Q1308" s="168" t="s">
        <v>0</v>
      </c>
      <c r="R1308" s="168" t="s">
        <v>1</v>
      </c>
      <c r="S1308" s="178" t="str">
        <f t="shared" si="62"/>
        <v>D_MAN_CP_ORIGCP_TYPE_ID</v>
      </c>
    </row>
    <row r="1309" spans="1:19" ht="14.4" x14ac:dyDescent="0.3">
      <c r="A1309" s="169" t="s">
        <v>1827</v>
      </c>
      <c r="B1309" s="171" t="str">
        <f t="shared" si="60"/>
        <v>D_MAN_CP_ORIG</v>
      </c>
      <c r="C1309" s="169" t="s">
        <v>1494</v>
      </c>
      <c r="D1309" s="169">
        <v>681</v>
      </c>
      <c r="E1309" s="169">
        <v>21</v>
      </c>
      <c r="F1309" s="169" t="s">
        <v>1494</v>
      </c>
      <c r="G1309" s="169" t="s">
        <v>1494</v>
      </c>
      <c r="H1309" s="169">
        <v>7</v>
      </c>
      <c r="I1309" s="136" t="str">
        <f t="shared" si="61"/>
        <v>BIGINT</v>
      </c>
      <c r="J1309" s="169" t="s">
        <v>0</v>
      </c>
      <c r="K1309" s="169" t="s">
        <v>1</v>
      </c>
      <c r="L1309" s="169">
        <v>30</v>
      </c>
      <c r="M1309" s="168"/>
      <c r="N1309" s="168"/>
      <c r="O1309" s="168"/>
      <c r="P1309" s="168"/>
      <c r="Q1309" s="168" t="s">
        <v>0</v>
      </c>
      <c r="R1309" s="168" t="s">
        <v>1</v>
      </c>
      <c r="S1309" s="178" t="str">
        <f t="shared" si="62"/>
        <v>D_MAN_CP_ORIGCRM_CARD_TYPE_ID</v>
      </c>
    </row>
    <row r="1310" spans="1:19" ht="14.4" x14ac:dyDescent="0.3">
      <c r="A1310" s="169" t="s">
        <v>1827</v>
      </c>
      <c r="B1310" s="171" t="str">
        <f t="shared" si="60"/>
        <v>D_MAN_CP_ORIG</v>
      </c>
      <c r="C1310" s="169" t="s">
        <v>1465</v>
      </c>
      <c r="D1310" s="169">
        <v>682</v>
      </c>
      <c r="E1310" s="169">
        <v>22</v>
      </c>
      <c r="F1310" s="169" t="s">
        <v>1465</v>
      </c>
      <c r="G1310" s="169" t="s">
        <v>1465</v>
      </c>
      <c r="H1310" s="169">
        <v>7</v>
      </c>
      <c r="I1310" s="136" t="str">
        <f t="shared" si="61"/>
        <v>BIGINT</v>
      </c>
      <c r="J1310" s="169" t="s">
        <v>0</v>
      </c>
      <c r="K1310" s="169" t="s">
        <v>1</v>
      </c>
      <c r="L1310" s="169">
        <v>30</v>
      </c>
      <c r="M1310" s="168"/>
      <c r="N1310" s="168"/>
      <c r="O1310" s="168"/>
      <c r="P1310" s="168"/>
      <c r="Q1310" s="168" t="s">
        <v>0</v>
      </c>
      <c r="R1310" s="168" t="s">
        <v>1</v>
      </c>
      <c r="S1310" s="178" t="str">
        <f t="shared" si="62"/>
        <v>D_MAN_CP_ORIGCRM_INDUSTRY_ID</v>
      </c>
    </row>
    <row r="1311" spans="1:19" ht="14.4" x14ac:dyDescent="0.3">
      <c r="A1311" s="169" t="s">
        <v>1827</v>
      </c>
      <c r="B1311" s="171" t="str">
        <f t="shared" si="60"/>
        <v>D_MAN_CP_ORIG</v>
      </c>
      <c r="C1311" s="169" t="s">
        <v>748</v>
      </c>
      <c r="D1311" s="169">
        <v>683</v>
      </c>
      <c r="E1311" s="169">
        <v>23</v>
      </c>
      <c r="F1311" s="169" t="s">
        <v>748</v>
      </c>
      <c r="G1311" s="169" t="s">
        <v>748</v>
      </c>
      <c r="H1311" s="169">
        <v>13</v>
      </c>
      <c r="I1311" s="136" t="str">
        <f t="shared" si="61"/>
        <v xml:space="preserve">VARCHAR(300) </v>
      </c>
      <c r="J1311" s="169" t="s">
        <v>0</v>
      </c>
      <c r="K1311" s="169" t="s">
        <v>1</v>
      </c>
      <c r="L1311" s="169">
        <v>30</v>
      </c>
      <c r="M1311" s="168"/>
      <c r="N1311" s="168"/>
      <c r="O1311" s="168"/>
      <c r="P1311" s="168"/>
      <c r="Q1311" s="168" t="s">
        <v>0</v>
      </c>
      <c r="R1311" s="168" t="s">
        <v>1</v>
      </c>
      <c r="S1311" s="178" t="str">
        <f t="shared" si="62"/>
        <v>D_MAN_CP_ORIGCRM_SEGMENT_NM</v>
      </c>
    </row>
    <row r="1312" spans="1:19" ht="14.4" x14ac:dyDescent="0.3">
      <c r="A1312" s="169" t="s">
        <v>1827</v>
      </c>
      <c r="B1312" s="171" t="str">
        <f t="shared" si="60"/>
        <v>D_MAN_CP_ORIG</v>
      </c>
      <c r="C1312" s="169" t="s">
        <v>569</v>
      </c>
      <c r="D1312" s="169">
        <v>684</v>
      </c>
      <c r="E1312" s="169">
        <v>24</v>
      </c>
      <c r="F1312" s="169" t="s">
        <v>569</v>
      </c>
      <c r="G1312" s="169" t="s">
        <v>569</v>
      </c>
      <c r="H1312" s="169">
        <v>7</v>
      </c>
      <c r="I1312" s="136" t="str">
        <f t="shared" si="61"/>
        <v>BIGINT</v>
      </c>
      <c r="J1312" s="169" t="s">
        <v>0</v>
      </c>
      <c r="K1312" s="169" t="s">
        <v>1</v>
      </c>
      <c r="L1312" s="169">
        <v>30</v>
      </c>
      <c r="M1312" s="168"/>
      <c r="N1312" s="168"/>
      <c r="O1312" s="168"/>
      <c r="P1312" s="168"/>
      <c r="Q1312" s="168" t="s">
        <v>0</v>
      </c>
      <c r="R1312" s="168" t="s">
        <v>1</v>
      </c>
      <c r="S1312" s="178" t="str">
        <f t="shared" si="62"/>
        <v>D_MAN_CP_ORIGECAP_INDUSTRY_ID</v>
      </c>
    </row>
    <row r="1313" spans="1:19" ht="14.4" x14ac:dyDescent="0.3">
      <c r="A1313" s="169" t="s">
        <v>1827</v>
      </c>
      <c r="B1313" s="171" t="str">
        <f t="shared" si="60"/>
        <v>D_MAN_CP_ORIG</v>
      </c>
      <c r="C1313" s="169" t="s">
        <v>473</v>
      </c>
      <c r="D1313" s="169">
        <v>685</v>
      </c>
      <c r="E1313" s="169">
        <v>25</v>
      </c>
      <c r="F1313" s="169" t="s">
        <v>473</v>
      </c>
      <c r="G1313" s="169" t="s">
        <v>473</v>
      </c>
      <c r="H1313" s="169">
        <v>7</v>
      </c>
      <c r="I1313" s="136" t="str">
        <f t="shared" si="61"/>
        <v>BIGINT</v>
      </c>
      <c r="J1313" s="169" t="s">
        <v>0</v>
      </c>
      <c r="K1313" s="169" t="s">
        <v>1</v>
      </c>
      <c r="L1313" s="169">
        <v>30</v>
      </c>
      <c r="M1313" s="168"/>
      <c r="N1313" s="168"/>
      <c r="O1313" s="168"/>
      <c r="P1313" s="168"/>
      <c r="Q1313" s="168" t="s">
        <v>0</v>
      </c>
      <c r="R1313" s="168" t="s">
        <v>1</v>
      </c>
      <c r="S1313" s="178" t="str">
        <f t="shared" si="62"/>
        <v>D_MAN_CP_ORIGECAP_PARAM_INDUSTRY_ID</v>
      </c>
    </row>
    <row r="1314" spans="1:19" ht="14.4" x14ac:dyDescent="0.3">
      <c r="A1314" s="169" t="s">
        <v>1827</v>
      </c>
      <c r="B1314" s="171" t="str">
        <f t="shared" si="60"/>
        <v>D_MAN_CP_ORIG</v>
      </c>
      <c r="C1314" s="169" t="s">
        <v>515</v>
      </c>
      <c r="D1314" s="169">
        <v>686</v>
      </c>
      <c r="E1314" s="169">
        <v>26</v>
      </c>
      <c r="F1314" s="169" t="s">
        <v>515</v>
      </c>
      <c r="G1314" s="169" t="s">
        <v>515</v>
      </c>
      <c r="H1314" s="169">
        <v>7</v>
      </c>
      <c r="I1314" s="136" t="str">
        <f t="shared" si="61"/>
        <v>BIGINT</v>
      </c>
      <c r="J1314" s="169" t="s">
        <v>0</v>
      </c>
      <c r="K1314" s="169" t="s">
        <v>1</v>
      </c>
      <c r="L1314" s="169">
        <v>30</v>
      </c>
      <c r="M1314" s="168"/>
      <c r="N1314" s="168"/>
      <c r="O1314" s="168"/>
      <c r="P1314" s="168"/>
      <c r="Q1314" s="168" t="s">
        <v>0</v>
      </c>
      <c r="R1314" s="168" t="s">
        <v>1</v>
      </c>
      <c r="S1314" s="178" t="str">
        <f t="shared" si="62"/>
        <v>D_MAN_CP_ORIGECAP_SEGMENT_ID</v>
      </c>
    </row>
    <row r="1315" spans="1:19" ht="14.4" x14ac:dyDescent="0.3">
      <c r="A1315" s="169" t="s">
        <v>1827</v>
      </c>
      <c r="B1315" s="171" t="str">
        <f t="shared" si="60"/>
        <v>D_MAN_CP_ORIG</v>
      </c>
      <c r="C1315" s="169" t="s">
        <v>726</v>
      </c>
      <c r="D1315" s="169">
        <v>687</v>
      </c>
      <c r="E1315" s="169">
        <v>27</v>
      </c>
      <c r="F1315" s="169" t="s">
        <v>726</v>
      </c>
      <c r="G1315" s="169" t="s">
        <v>726</v>
      </c>
      <c r="H1315" s="169">
        <v>13</v>
      </c>
      <c r="I1315" s="136" t="str">
        <f t="shared" si="61"/>
        <v xml:space="preserve">VARCHAR(300) </v>
      </c>
      <c r="J1315" s="169" t="s">
        <v>0</v>
      </c>
      <c r="K1315" s="169" t="s">
        <v>1</v>
      </c>
      <c r="L1315" s="169">
        <v>30</v>
      </c>
      <c r="M1315" s="168"/>
      <c r="N1315" s="168"/>
      <c r="O1315" s="168"/>
      <c r="P1315" s="168"/>
      <c r="Q1315" s="168" t="s">
        <v>0</v>
      </c>
      <c r="R1315" s="168" t="s">
        <v>1</v>
      </c>
      <c r="S1315" s="178" t="str">
        <f t="shared" si="62"/>
        <v>D_MAN_CP_ORIGEFF_CITY</v>
      </c>
    </row>
    <row r="1316" spans="1:19" ht="14.4" x14ac:dyDescent="0.3">
      <c r="A1316" s="169" t="s">
        <v>1827</v>
      </c>
      <c r="B1316" s="171" t="str">
        <f t="shared" si="60"/>
        <v>D_MAN_CP_ORIG</v>
      </c>
      <c r="C1316" s="169" t="s">
        <v>720</v>
      </c>
      <c r="D1316" s="169">
        <v>688</v>
      </c>
      <c r="E1316" s="169">
        <v>28</v>
      </c>
      <c r="F1316" s="169" t="s">
        <v>720</v>
      </c>
      <c r="G1316" s="169" t="s">
        <v>720</v>
      </c>
      <c r="H1316" s="169">
        <v>7</v>
      </c>
      <c r="I1316" s="136" t="str">
        <f t="shared" si="61"/>
        <v>BIGINT</v>
      </c>
      <c r="J1316" s="169" t="s">
        <v>0</v>
      </c>
      <c r="K1316" s="169" t="s">
        <v>1</v>
      </c>
      <c r="L1316" s="169">
        <v>30</v>
      </c>
      <c r="M1316" s="168"/>
      <c r="N1316" s="168"/>
      <c r="O1316" s="168"/>
      <c r="P1316" s="168"/>
      <c r="Q1316" s="168" t="s">
        <v>0</v>
      </c>
      <c r="R1316" s="168" t="s">
        <v>1</v>
      </c>
      <c r="S1316" s="178" t="str">
        <f t="shared" si="62"/>
        <v>D_MAN_CP_ORIGEFF_COUNTRY_ID</v>
      </c>
    </row>
    <row r="1317" spans="1:19" ht="14.4" x14ac:dyDescent="0.3">
      <c r="A1317" s="169" t="s">
        <v>1827</v>
      </c>
      <c r="B1317" s="171" t="str">
        <f t="shared" si="60"/>
        <v>D_MAN_CP_ORIG</v>
      </c>
      <c r="C1317" s="169" t="s">
        <v>1421</v>
      </c>
      <c r="D1317" s="169">
        <v>696</v>
      </c>
      <c r="E1317" s="169">
        <v>29</v>
      </c>
      <c r="F1317" s="169" t="s">
        <v>1421</v>
      </c>
      <c r="G1317" s="169" t="s">
        <v>1421</v>
      </c>
      <c r="H1317" s="169">
        <v>27</v>
      </c>
      <c r="I1317" s="136" t="str">
        <f t="shared" si="61"/>
        <v>INTEGER</v>
      </c>
      <c r="J1317" s="169" t="s">
        <v>0</v>
      </c>
      <c r="K1317" s="169" t="s">
        <v>1</v>
      </c>
      <c r="L1317" s="169">
        <v>30</v>
      </c>
      <c r="M1317" s="168"/>
      <c r="N1317" s="168"/>
      <c r="O1317" s="168"/>
      <c r="P1317" s="168"/>
      <c r="Q1317" s="168" t="s">
        <v>0</v>
      </c>
      <c r="R1317" s="168" t="s">
        <v>1</v>
      </c>
      <c r="S1317" s="178" t="str">
        <f t="shared" si="62"/>
        <v>D_MAN_CP_ORIGEMPLOYEES_CNT</v>
      </c>
    </row>
    <row r="1318" spans="1:19" ht="14.4" x14ac:dyDescent="0.3">
      <c r="A1318" s="169" t="s">
        <v>1827</v>
      </c>
      <c r="B1318" s="171" t="str">
        <f t="shared" si="60"/>
        <v>D_MAN_CP_ORIG</v>
      </c>
      <c r="C1318" s="169" t="s">
        <v>52</v>
      </c>
      <c r="D1318" s="169">
        <v>697</v>
      </c>
      <c r="E1318" s="169">
        <v>30</v>
      </c>
      <c r="F1318" s="169" t="s">
        <v>52</v>
      </c>
      <c r="G1318" s="169" t="s">
        <v>52</v>
      </c>
      <c r="H1318" s="169">
        <v>34</v>
      </c>
      <c r="I1318" s="136" t="str">
        <f t="shared" si="61"/>
        <v>DATE</v>
      </c>
      <c r="J1318" s="169" t="s">
        <v>1</v>
      </c>
      <c r="K1318" s="169" t="s">
        <v>1</v>
      </c>
      <c r="L1318" s="169">
        <v>30</v>
      </c>
      <c r="M1318" s="168"/>
      <c r="N1318" s="168"/>
      <c r="O1318" s="168"/>
      <c r="P1318" s="168"/>
      <c r="Q1318" s="168" t="s">
        <v>0</v>
      </c>
      <c r="R1318" s="168" t="s">
        <v>1</v>
      </c>
      <c r="S1318" s="178" t="str">
        <f t="shared" si="62"/>
        <v>D_MAN_CP_ORIGEND_DT</v>
      </c>
    </row>
    <row r="1319" spans="1:19" ht="14.4" x14ac:dyDescent="0.3">
      <c r="A1319" s="169" t="s">
        <v>1827</v>
      </c>
      <c r="B1319" s="171" t="str">
        <f t="shared" si="60"/>
        <v>D_MAN_CP_ORIG</v>
      </c>
      <c r="C1319" s="169" t="s">
        <v>1386</v>
      </c>
      <c r="D1319" s="169">
        <v>698</v>
      </c>
      <c r="E1319" s="169">
        <v>31</v>
      </c>
      <c r="F1319" s="169" t="s">
        <v>1386</v>
      </c>
      <c r="G1319" s="169" t="s">
        <v>1386</v>
      </c>
      <c r="H1319" s="169">
        <v>7</v>
      </c>
      <c r="I1319" s="136" t="str">
        <f t="shared" si="61"/>
        <v>BIGINT</v>
      </c>
      <c r="J1319" s="169" t="s">
        <v>0</v>
      </c>
      <c r="K1319" s="169" t="s">
        <v>1</v>
      </c>
      <c r="L1319" s="169">
        <v>30</v>
      </c>
      <c r="M1319" s="168"/>
      <c r="N1319" s="168"/>
      <c r="O1319" s="168"/>
      <c r="P1319" s="168"/>
      <c r="Q1319" s="168" t="s">
        <v>0</v>
      </c>
      <c r="R1319" s="168" t="s">
        <v>1</v>
      </c>
      <c r="S1319" s="178" t="str">
        <f t="shared" si="62"/>
        <v>D_MAN_CP_ORIGERM_CP_SEGMENT_ID</v>
      </c>
    </row>
    <row r="1320" spans="1:19" ht="14.4" x14ac:dyDescent="0.3">
      <c r="A1320" s="169" t="s">
        <v>1827</v>
      </c>
      <c r="B1320" s="171" t="str">
        <f t="shared" si="60"/>
        <v>D_MAN_CP_ORIG</v>
      </c>
      <c r="C1320" s="169" t="s">
        <v>1422</v>
      </c>
      <c r="D1320" s="169">
        <v>699</v>
      </c>
      <c r="E1320" s="169">
        <v>32</v>
      </c>
      <c r="F1320" s="169" t="s">
        <v>1422</v>
      </c>
      <c r="G1320" s="169" t="s">
        <v>1422</v>
      </c>
      <c r="H1320" s="169">
        <v>24</v>
      </c>
      <c r="I1320" s="136" t="str">
        <f t="shared" si="61"/>
        <v xml:space="preserve">VARCHAR(40) </v>
      </c>
      <c r="J1320" s="169" t="s">
        <v>0</v>
      </c>
      <c r="K1320" s="169" t="s">
        <v>1</v>
      </c>
      <c r="L1320" s="169">
        <v>30</v>
      </c>
      <c r="M1320" s="168"/>
      <c r="N1320" s="168"/>
      <c r="O1320" s="168"/>
      <c r="P1320" s="168"/>
      <c r="Q1320" s="168" t="s">
        <v>0</v>
      </c>
      <c r="R1320" s="168" t="s">
        <v>1</v>
      </c>
      <c r="S1320" s="178" t="str">
        <f t="shared" si="62"/>
        <v>D_MAN_CP_ORIGEXTRNL_RATING_GRADE</v>
      </c>
    </row>
    <row r="1321" spans="1:19" ht="14.4" x14ac:dyDescent="0.3">
      <c r="A1321" s="169" t="s">
        <v>1827</v>
      </c>
      <c r="B1321" s="171" t="str">
        <f t="shared" si="60"/>
        <v>D_MAN_CP_ORIG</v>
      </c>
      <c r="C1321" s="169" t="s">
        <v>595</v>
      </c>
      <c r="D1321" s="169">
        <v>700</v>
      </c>
      <c r="E1321" s="169">
        <v>33</v>
      </c>
      <c r="F1321" s="169" t="s">
        <v>595</v>
      </c>
      <c r="G1321" s="169" t="s">
        <v>595</v>
      </c>
      <c r="H1321" s="169">
        <v>15</v>
      </c>
      <c r="I1321" s="136" t="str">
        <f t="shared" si="61"/>
        <v xml:space="preserve">CHAR(1) </v>
      </c>
      <c r="J1321" s="169" t="s">
        <v>0</v>
      </c>
      <c r="K1321" s="169" t="s">
        <v>1</v>
      </c>
      <c r="L1321" s="169">
        <v>30</v>
      </c>
      <c r="M1321" s="168"/>
      <c r="N1321" s="168"/>
      <c r="O1321" s="168"/>
      <c r="P1321" s="168"/>
      <c r="Q1321" s="168" t="s">
        <v>0</v>
      </c>
      <c r="R1321" s="168" t="s">
        <v>1</v>
      </c>
      <c r="S1321" s="178" t="str">
        <f t="shared" si="62"/>
        <v>D_MAN_CP_ORIGIN_DEFAULT_IND</v>
      </c>
    </row>
    <row r="1322" spans="1:19" ht="14.4" x14ac:dyDescent="0.3">
      <c r="A1322" s="169" t="s">
        <v>1827</v>
      </c>
      <c r="B1322" s="171" t="str">
        <f t="shared" si="60"/>
        <v>D_MAN_CP_ORIG</v>
      </c>
      <c r="C1322" s="169" t="s">
        <v>340</v>
      </c>
      <c r="D1322" s="169">
        <v>701</v>
      </c>
      <c r="E1322" s="169">
        <v>34</v>
      </c>
      <c r="F1322" s="169" t="s">
        <v>340</v>
      </c>
      <c r="G1322" s="169" t="s">
        <v>340</v>
      </c>
      <c r="H1322" s="169">
        <v>13</v>
      </c>
      <c r="I1322" s="136" t="str">
        <f t="shared" si="61"/>
        <v xml:space="preserve">VARCHAR(300) </v>
      </c>
      <c r="J1322" s="169" t="s">
        <v>0</v>
      </c>
      <c r="K1322" s="169" t="s">
        <v>1</v>
      </c>
      <c r="L1322" s="169">
        <v>30</v>
      </c>
      <c r="M1322" s="168"/>
      <c r="N1322" s="168"/>
      <c r="O1322" s="168"/>
      <c r="P1322" s="168"/>
      <c r="Q1322" s="168" t="s">
        <v>0</v>
      </c>
      <c r="R1322" s="168" t="s">
        <v>1</v>
      </c>
      <c r="S1322" s="178" t="str">
        <f t="shared" si="62"/>
        <v>D_MAN_CP_ORIGLOCAL_CP_CLASS1</v>
      </c>
    </row>
    <row r="1323" spans="1:19" ht="14.4" x14ac:dyDescent="0.3">
      <c r="A1323" s="169" t="s">
        <v>1827</v>
      </c>
      <c r="B1323" s="171" t="str">
        <f t="shared" si="60"/>
        <v>D_MAN_CP_ORIG</v>
      </c>
      <c r="C1323" s="169" t="s">
        <v>339</v>
      </c>
      <c r="D1323" s="169">
        <v>702</v>
      </c>
      <c r="E1323" s="169">
        <v>35</v>
      </c>
      <c r="F1323" s="169" t="s">
        <v>339</v>
      </c>
      <c r="G1323" s="169" t="s">
        <v>339</v>
      </c>
      <c r="H1323" s="169">
        <v>13</v>
      </c>
      <c r="I1323" s="136" t="str">
        <f t="shared" si="61"/>
        <v xml:space="preserve">VARCHAR(300) </v>
      </c>
      <c r="J1323" s="169" t="s">
        <v>0</v>
      </c>
      <c r="K1323" s="169" t="s">
        <v>1</v>
      </c>
      <c r="L1323" s="169">
        <v>30</v>
      </c>
      <c r="M1323" s="168"/>
      <c r="N1323" s="168"/>
      <c r="O1323" s="168"/>
      <c r="P1323" s="168"/>
      <c r="Q1323" s="168" t="s">
        <v>0</v>
      </c>
      <c r="R1323" s="168" t="s">
        <v>1</v>
      </c>
      <c r="S1323" s="178" t="str">
        <f t="shared" si="62"/>
        <v>D_MAN_CP_ORIGLOCAL_CP_CLASS2</v>
      </c>
    </row>
    <row r="1324" spans="1:19" ht="14.4" x14ac:dyDescent="0.3">
      <c r="A1324" s="169" t="s">
        <v>1827</v>
      </c>
      <c r="B1324" s="171" t="str">
        <f t="shared" si="60"/>
        <v>D_MAN_CP_ORIG</v>
      </c>
      <c r="C1324" s="169" t="s">
        <v>538</v>
      </c>
      <c r="D1324" s="169">
        <v>703</v>
      </c>
      <c r="E1324" s="169">
        <v>36</v>
      </c>
      <c r="F1324" s="169" t="s">
        <v>538</v>
      </c>
      <c r="G1324" s="169" t="s">
        <v>538</v>
      </c>
      <c r="H1324" s="169">
        <v>7</v>
      </c>
      <c r="I1324" s="136" t="str">
        <f t="shared" si="61"/>
        <v>BIGINT</v>
      </c>
      <c r="J1324" s="169" t="s">
        <v>0</v>
      </c>
      <c r="K1324" s="169" t="s">
        <v>1</v>
      </c>
      <c r="L1324" s="169">
        <v>30</v>
      </c>
      <c r="M1324" s="168"/>
      <c r="N1324" s="168"/>
      <c r="O1324" s="168"/>
      <c r="P1324" s="168"/>
      <c r="Q1324" s="168" t="s">
        <v>0</v>
      </c>
      <c r="R1324" s="168" t="s">
        <v>1</v>
      </c>
      <c r="S1324" s="178" t="str">
        <f t="shared" si="62"/>
        <v>D_MAN_CP_ORIGNACE_INDUSTRY_ID</v>
      </c>
    </row>
    <row r="1325" spans="1:19" ht="14.4" x14ac:dyDescent="0.3">
      <c r="A1325" s="169" t="s">
        <v>1827</v>
      </c>
      <c r="B1325" s="171" t="str">
        <f t="shared" si="60"/>
        <v>D_MAN_CP_ORIG</v>
      </c>
      <c r="C1325" s="169" t="s">
        <v>507</v>
      </c>
      <c r="D1325" s="169">
        <v>704</v>
      </c>
      <c r="E1325" s="169">
        <v>37</v>
      </c>
      <c r="F1325" s="169" t="s">
        <v>507</v>
      </c>
      <c r="G1325" s="169" t="s">
        <v>507</v>
      </c>
      <c r="H1325" s="169">
        <v>7</v>
      </c>
      <c r="I1325" s="136" t="str">
        <f t="shared" si="61"/>
        <v>BIGINT</v>
      </c>
      <c r="J1325" s="169" t="s">
        <v>0</v>
      </c>
      <c r="K1325" s="169" t="s">
        <v>1</v>
      </c>
      <c r="L1325" s="169">
        <v>30</v>
      </c>
      <c r="M1325" s="168"/>
      <c r="N1325" s="168"/>
      <c r="O1325" s="168"/>
      <c r="P1325" s="168"/>
      <c r="Q1325" s="168" t="s">
        <v>0</v>
      </c>
      <c r="R1325" s="168" t="s">
        <v>1</v>
      </c>
      <c r="S1325" s="178" t="str">
        <f t="shared" si="62"/>
        <v>D_MAN_CP_ORIGOKVED_INDUSTRY_ID</v>
      </c>
    </row>
    <row r="1326" spans="1:19" ht="14.4" x14ac:dyDescent="0.3">
      <c r="A1326" s="169" t="s">
        <v>1827</v>
      </c>
      <c r="B1326" s="171" t="str">
        <f t="shared" si="60"/>
        <v>D_MAN_CP_ORIG</v>
      </c>
      <c r="C1326" s="169" t="s">
        <v>736</v>
      </c>
      <c r="D1326" s="169">
        <v>705</v>
      </c>
      <c r="E1326" s="169">
        <v>38</v>
      </c>
      <c r="F1326" s="169" t="s">
        <v>736</v>
      </c>
      <c r="G1326" s="169" t="s">
        <v>736</v>
      </c>
      <c r="H1326" s="169">
        <v>24</v>
      </c>
      <c r="I1326" s="136" t="str">
        <f t="shared" si="61"/>
        <v xml:space="preserve">VARCHAR(40) </v>
      </c>
      <c r="J1326" s="169" t="s">
        <v>0</v>
      </c>
      <c r="K1326" s="169" t="s">
        <v>1</v>
      </c>
      <c r="L1326" s="169">
        <v>30</v>
      </c>
      <c r="M1326" s="168"/>
      <c r="N1326" s="168"/>
      <c r="O1326" s="168"/>
      <c r="P1326" s="168"/>
      <c r="Q1326" s="168" t="s">
        <v>0</v>
      </c>
      <c r="R1326" s="168" t="s">
        <v>1</v>
      </c>
      <c r="S1326" s="178" t="str">
        <f t="shared" si="62"/>
        <v>D_MAN_CP_ORIGOWNERSHIP_TYPE</v>
      </c>
    </row>
    <row r="1327" spans="1:19" ht="14.4" x14ac:dyDescent="0.3">
      <c r="A1327" s="169" t="s">
        <v>1827</v>
      </c>
      <c r="B1327" s="171" t="str">
        <f t="shared" si="60"/>
        <v>D_MAN_CP_ORIG</v>
      </c>
      <c r="C1327" s="169" t="s">
        <v>630</v>
      </c>
      <c r="D1327" s="169">
        <v>706</v>
      </c>
      <c r="E1327" s="169">
        <v>39</v>
      </c>
      <c r="F1327" s="169" t="s">
        <v>630</v>
      </c>
      <c r="G1327" s="169" t="s">
        <v>630</v>
      </c>
      <c r="H1327" s="169">
        <v>27</v>
      </c>
      <c r="I1327" s="136" t="str">
        <f t="shared" si="61"/>
        <v>INTEGER</v>
      </c>
      <c r="J1327" s="169" t="s">
        <v>0</v>
      </c>
      <c r="K1327" s="169" t="s">
        <v>1</v>
      </c>
      <c r="L1327" s="169">
        <v>30</v>
      </c>
      <c r="M1327" s="168"/>
      <c r="N1327" s="168"/>
      <c r="O1327" s="168"/>
      <c r="P1327" s="168"/>
      <c r="Q1327" s="168" t="s">
        <v>0</v>
      </c>
      <c r="R1327" s="168" t="s">
        <v>1</v>
      </c>
      <c r="S1327" s="178" t="str">
        <f t="shared" si="62"/>
        <v>D_MAN_CP_ORIGPAST_DUE_DAYS_CNT</v>
      </c>
    </row>
    <row r="1328" spans="1:19" ht="14.4" x14ac:dyDescent="0.3">
      <c r="A1328" s="169" t="s">
        <v>1827</v>
      </c>
      <c r="B1328" s="171" t="str">
        <f t="shared" si="60"/>
        <v>D_MAN_CP_ORIG</v>
      </c>
      <c r="C1328" s="169" t="s">
        <v>1461</v>
      </c>
      <c r="D1328" s="169">
        <v>707</v>
      </c>
      <c r="E1328" s="169">
        <v>40</v>
      </c>
      <c r="F1328" s="169" t="s">
        <v>1461</v>
      </c>
      <c r="G1328" s="169" t="s">
        <v>1461</v>
      </c>
      <c r="H1328" s="169">
        <v>7</v>
      </c>
      <c r="I1328" s="136" t="str">
        <f t="shared" si="61"/>
        <v>BIGINT</v>
      </c>
      <c r="J1328" s="169" t="s">
        <v>0</v>
      </c>
      <c r="K1328" s="169" t="s">
        <v>1</v>
      </c>
      <c r="L1328" s="169">
        <v>30</v>
      </c>
      <c r="M1328" s="168"/>
      <c r="N1328" s="168"/>
      <c r="O1328" s="168"/>
      <c r="P1328" s="168"/>
      <c r="Q1328" s="168" t="s">
        <v>0</v>
      </c>
      <c r="R1328" s="168" t="s">
        <v>1</v>
      </c>
      <c r="S1328" s="178" t="str">
        <f t="shared" si="62"/>
        <v>D_MAN_CP_ORIGPD_MODEL_ID</v>
      </c>
    </row>
    <row r="1329" spans="1:19" ht="14.4" x14ac:dyDescent="0.3">
      <c r="A1329" s="169" t="s">
        <v>1827</v>
      </c>
      <c r="B1329" s="171" t="str">
        <f t="shared" si="60"/>
        <v>D_MAN_CP_ORIG</v>
      </c>
      <c r="C1329" s="169" t="s">
        <v>697</v>
      </c>
      <c r="D1329" s="169">
        <v>708</v>
      </c>
      <c r="E1329" s="169">
        <v>41</v>
      </c>
      <c r="F1329" s="169" t="s">
        <v>697</v>
      </c>
      <c r="G1329" s="169" t="s">
        <v>697</v>
      </c>
      <c r="H1329" s="169">
        <v>3</v>
      </c>
      <c r="I1329" s="136" t="str">
        <f t="shared" si="61"/>
        <v>DECIMAL(20, 6)</v>
      </c>
      <c r="J1329" s="169" t="s">
        <v>0</v>
      </c>
      <c r="K1329" s="169" t="s">
        <v>1</v>
      </c>
      <c r="L1329" s="169">
        <v>30</v>
      </c>
      <c r="M1329" s="168"/>
      <c r="N1329" s="168"/>
      <c r="O1329" s="168"/>
      <c r="P1329" s="168"/>
      <c r="Q1329" s="168" t="s">
        <v>0</v>
      </c>
      <c r="R1329" s="168" t="s">
        <v>1</v>
      </c>
      <c r="S1329" s="178" t="str">
        <f t="shared" si="62"/>
        <v>D_MAN_CP_ORIGPD_PIT_PCT</v>
      </c>
    </row>
    <row r="1330" spans="1:19" ht="14.4" x14ac:dyDescent="0.3">
      <c r="A1330" s="169" t="s">
        <v>1827</v>
      </c>
      <c r="B1330" s="171" t="str">
        <f t="shared" si="60"/>
        <v>D_MAN_CP_ORIG</v>
      </c>
      <c r="C1330" s="169" t="s">
        <v>437</v>
      </c>
      <c r="D1330" s="169">
        <v>709</v>
      </c>
      <c r="E1330" s="169">
        <v>42</v>
      </c>
      <c r="F1330" s="169" t="s">
        <v>437</v>
      </c>
      <c r="G1330" s="169" t="s">
        <v>437</v>
      </c>
      <c r="H1330" s="169">
        <v>3</v>
      </c>
      <c r="I1330" s="136" t="str">
        <f t="shared" si="61"/>
        <v>DECIMAL(20, 6)</v>
      </c>
      <c r="J1330" s="169" t="s">
        <v>0</v>
      </c>
      <c r="K1330" s="169" t="s">
        <v>1</v>
      </c>
      <c r="L1330" s="169">
        <v>30</v>
      </c>
      <c r="M1330" s="168"/>
      <c r="N1330" s="168"/>
      <c r="O1330" s="168"/>
      <c r="P1330" s="168"/>
      <c r="Q1330" s="168" t="s">
        <v>0</v>
      </c>
      <c r="R1330" s="168" t="s">
        <v>1</v>
      </c>
      <c r="S1330" s="178" t="str">
        <f t="shared" si="62"/>
        <v>D_MAN_CP_ORIGPD_TTC_PCT</v>
      </c>
    </row>
    <row r="1331" spans="1:19" ht="14.4" x14ac:dyDescent="0.3">
      <c r="A1331" s="169" t="s">
        <v>1827</v>
      </c>
      <c r="B1331" s="171" t="str">
        <f t="shared" si="60"/>
        <v>D_MAN_CP_ORIG</v>
      </c>
      <c r="C1331" s="169" t="s">
        <v>682</v>
      </c>
      <c r="D1331" s="169">
        <v>710</v>
      </c>
      <c r="E1331" s="169">
        <v>43</v>
      </c>
      <c r="F1331" s="169" t="s">
        <v>682</v>
      </c>
      <c r="G1331" s="169" t="s">
        <v>682</v>
      </c>
      <c r="H1331" s="169">
        <v>27</v>
      </c>
      <c r="I1331" s="136" t="str">
        <f t="shared" si="61"/>
        <v>INTEGER</v>
      </c>
      <c r="J1331" s="169" t="s">
        <v>0</v>
      </c>
      <c r="K1331" s="169" t="s">
        <v>1</v>
      </c>
      <c r="L1331" s="169">
        <v>30</v>
      </c>
      <c r="M1331" s="168"/>
      <c r="N1331" s="168"/>
      <c r="O1331" s="168"/>
      <c r="P1331" s="168"/>
      <c r="Q1331" s="168" t="s">
        <v>0</v>
      </c>
      <c r="R1331" s="168" t="s">
        <v>1</v>
      </c>
      <c r="S1331" s="178" t="str">
        <f t="shared" si="62"/>
        <v>D_MAN_CP_ORIGPREV_RATING_GRADE</v>
      </c>
    </row>
    <row r="1332" spans="1:19" ht="14.4" x14ac:dyDescent="0.3">
      <c r="A1332" s="169" t="s">
        <v>1827</v>
      </c>
      <c r="B1332" s="171" t="str">
        <f t="shared" si="60"/>
        <v>D_MAN_CP_ORIG</v>
      </c>
      <c r="C1332" s="169" t="s">
        <v>747</v>
      </c>
      <c r="D1332" s="169">
        <v>711</v>
      </c>
      <c r="E1332" s="169">
        <v>44</v>
      </c>
      <c r="F1332" s="169" t="s">
        <v>747</v>
      </c>
      <c r="G1332" s="169" t="s">
        <v>747</v>
      </c>
      <c r="H1332" s="169">
        <v>34</v>
      </c>
      <c r="I1332" s="136" t="str">
        <f t="shared" si="61"/>
        <v>DATE</v>
      </c>
      <c r="J1332" s="169" t="s">
        <v>0</v>
      </c>
      <c r="K1332" s="169" t="s">
        <v>1</v>
      </c>
      <c r="L1332" s="169">
        <v>30</v>
      </c>
      <c r="M1332" s="168"/>
      <c r="N1332" s="168"/>
      <c r="O1332" s="168"/>
      <c r="P1332" s="168"/>
      <c r="Q1332" s="168" t="s">
        <v>0</v>
      </c>
      <c r="R1332" s="168" t="s">
        <v>1</v>
      </c>
      <c r="S1332" s="178" t="str">
        <f t="shared" si="62"/>
        <v>D_MAN_CP_ORIGPREV_RATING_GRADE_ESTB_DT</v>
      </c>
    </row>
    <row r="1333" spans="1:19" ht="14.4" x14ac:dyDescent="0.3">
      <c r="A1333" s="169" t="s">
        <v>1827</v>
      </c>
      <c r="B1333" s="171" t="str">
        <f t="shared" si="60"/>
        <v>D_MAN_CP_ORIG</v>
      </c>
      <c r="C1333" s="169" t="s">
        <v>611</v>
      </c>
      <c r="D1333" s="169">
        <v>719</v>
      </c>
      <c r="E1333" s="169">
        <v>45</v>
      </c>
      <c r="F1333" s="169" t="s">
        <v>611</v>
      </c>
      <c r="G1333" s="169" t="s">
        <v>611</v>
      </c>
      <c r="H1333" s="169">
        <v>27</v>
      </c>
      <c r="I1333" s="136" t="str">
        <f t="shared" si="61"/>
        <v>INTEGER</v>
      </c>
      <c r="J1333" s="169" t="s">
        <v>0</v>
      </c>
      <c r="K1333" s="169" t="s">
        <v>1</v>
      </c>
      <c r="L1333" s="169">
        <v>30</v>
      </c>
      <c r="M1333" s="168"/>
      <c r="N1333" s="168"/>
      <c r="O1333" s="168"/>
      <c r="P1333" s="168"/>
      <c r="Q1333" s="168" t="s">
        <v>0</v>
      </c>
      <c r="R1333" s="168" t="s">
        <v>1</v>
      </c>
      <c r="S1333" s="178" t="str">
        <f t="shared" si="62"/>
        <v>D_MAN_CP_ORIGRATING_GRADE</v>
      </c>
    </row>
    <row r="1334" spans="1:19" ht="14.4" x14ac:dyDescent="0.3">
      <c r="A1334" s="169" t="s">
        <v>1827</v>
      </c>
      <c r="B1334" s="171" t="str">
        <f t="shared" si="60"/>
        <v>D_MAN_CP_ORIG</v>
      </c>
      <c r="C1334" s="169" t="s">
        <v>658</v>
      </c>
      <c r="D1334" s="169">
        <v>720</v>
      </c>
      <c r="E1334" s="169">
        <v>46</v>
      </c>
      <c r="F1334" s="169" t="s">
        <v>658</v>
      </c>
      <c r="G1334" s="169" t="s">
        <v>658</v>
      </c>
      <c r="H1334" s="169">
        <v>34</v>
      </c>
      <c r="I1334" s="136" t="str">
        <f t="shared" si="61"/>
        <v>DATE</v>
      </c>
      <c r="J1334" s="169" t="s">
        <v>0</v>
      </c>
      <c r="K1334" s="169" t="s">
        <v>1</v>
      </c>
      <c r="L1334" s="169">
        <v>30</v>
      </c>
      <c r="M1334" s="168"/>
      <c r="N1334" s="168"/>
      <c r="O1334" s="168"/>
      <c r="P1334" s="168"/>
      <c r="Q1334" s="168" t="s">
        <v>0</v>
      </c>
      <c r="R1334" s="168" t="s">
        <v>1</v>
      </c>
      <c r="S1334" s="178" t="str">
        <f t="shared" si="62"/>
        <v>D_MAN_CP_ORIGRATING_GRADE_ESTABLISHED_DT</v>
      </c>
    </row>
    <row r="1335" spans="1:19" ht="14.4" x14ac:dyDescent="0.3">
      <c r="A1335" s="169" t="s">
        <v>1827</v>
      </c>
      <c r="B1335" s="171" t="str">
        <f t="shared" si="60"/>
        <v>D_MAN_CP_ORIG</v>
      </c>
      <c r="C1335" s="169" t="s">
        <v>1444</v>
      </c>
      <c r="D1335" s="169">
        <v>721</v>
      </c>
      <c r="E1335" s="169">
        <v>47</v>
      </c>
      <c r="F1335" s="169" t="s">
        <v>1444</v>
      </c>
      <c r="G1335" s="169" t="s">
        <v>1444</v>
      </c>
      <c r="H1335" s="169">
        <v>13</v>
      </c>
      <c r="I1335" s="136" t="str">
        <f t="shared" si="61"/>
        <v xml:space="preserve">VARCHAR(300) </v>
      </c>
      <c r="J1335" s="169" t="s">
        <v>0</v>
      </c>
      <c r="K1335" s="169" t="s">
        <v>1</v>
      </c>
      <c r="L1335" s="169">
        <v>30</v>
      </c>
      <c r="M1335" s="168"/>
      <c r="N1335" s="168"/>
      <c r="O1335" s="168"/>
      <c r="P1335" s="168"/>
      <c r="Q1335" s="168" t="s">
        <v>0</v>
      </c>
      <c r="R1335" s="168" t="s">
        <v>1</v>
      </c>
      <c r="S1335" s="178" t="str">
        <f t="shared" si="62"/>
        <v>D_MAN_CP_ORIGRATING_ID_IN_CRM</v>
      </c>
    </row>
    <row r="1336" spans="1:19" ht="14.4" x14ac:dyDescent="0.3">
      <c r="A1336" s="169" t="s">
        <v>1827</v>
      </c>
      <c r="B1336" s="171" t="str">
        <f t="shared" si="60"/>
        <v>D_MAN_CP_ORIG</v>
      </c>
      <c r="C1336" s="169" t="s">
        <v>486</v>
      </c>
      <c r="D1336" s="169">
        <v>722</v>
      </c>
      <c r="E1336" s="169">
        <v>48</v>
      </c>
      <c r="F1336" s="169" t="s">
        <v>486</v>
      </c>
      <c r="G1336" s="169" t="s">
        <v>486</v>
      </c>
      <c r="H1336" s="169">
        <v>7</v>
      </c>
      <c r="I1336" s="136" t="str">
        <f t="shared" si="61"/>
        <v>BIGINT</v>
      </c>
      <c r="J1336" s="169" t="s">
        <v>0</v>
      </c>
      <c r="K1336" s="169" t="s">
        <v>1</v>
      </c>
      <c r="L1336" s="169">
        <v>30</v>
      </c>
      <c r="M1336" s="168"/>
      <c r="N1336" s="168"/>
      <c r="O1336" s="168"/>
      <c r="P1336" s="168"/>
      <c r="Q1336" s="168" t="s">
        <v>0</v>
      </c>
      <c r="R1336" s="168" t="s">
        <v>1</v>
      </c>
      <c r="S1336" s="178" t="str">
        <f t="shared" si="62"/>
        <v>D_MAN_CP_ORIGREGLTRY_CP_TYPE_ID</v>
      </c>
    </row>
    <row r="1337" spans="1:19" ht="14.4" x14ac:dyDescent="0.3">
      <c r="A1337" s="169" t="s">
        <v>1827</v>
      </c>
      <c r="B1337" s="171" t="str">
        <f t="shared" si="60"/>
        <v>D_MAN_CP_ORIG</v>
      </c>
      <c r="C1337" s="169" t="s">
        <v>704</v>
      </c>
      <c r="D1337" s="169">
        <v>723</v>
      </c>
      <c r="E1337" s="169">
        <v>49</v>
      </c>
      <c r="F1337" s="169" t="s">
        <v>704</v>
      </c>
      <c r="G1337" s="169" t="s">
        <v>704</v>
      </c>
      <c r="H1337" s="169">
        <v>3</v>
      </c>
      <c r="I1337" s="136" t="str">
        <f t="shared" si="61"/>
        <v>DECIMAL(20, 6)</v>
      </c>
      <c r="J1337" s="169" t="s">
        <v>0</v>
      </c>
      <c r="K1337" s="169" t="s">
        <v>1</v>
      </c>
      <c r="L1337" s="169">
        <v>30</v>
      </c>
      <c r="M1337" s="168"/>
      <c r="N1337" s="168"/>
      <c r="O1337" s="168"/>
      <c r="P1337" s="168"/>
      <c r="Q1337" s="168" t="s">
        <v>0</v>
      </c>
      <c r="R1337" s="168" t="s">
        <v>1</v>
      </c>
      <c r="S1337" s="178" t="str">
        <f t="shared" si="62"/>
        <v>D_MAN_CP_ORIGREG_PD_PCT</v>
      </c>
    </row>
    <row r="1338" spans="1:19" ht="14.4" x14ac:dyDescent="0.3">
      <c r="A1338" s="169" t="s">
        <v>1827</v>
      </c>
      <c r="B1338" s="171" t="str">
        <f t="shared" si="60"/>
        <v>D_MAN_CP_ORIG</v>
      </c>
      <c r="C1338" s="169" t="s">
        <v>745</v>
      </c>
      <c r="D1338" s="169">
        <v>724</v>
      </c>
      <c r="E1338" s="169">
        <v>50</v>
      </c>
      <c r="F1338" s="169" t="s">
        <v>745</v>
      </c>
      <c r="G1338" s="169" t="s">
        <v>745</v>
      </c>
      <c r="H1338" s="169">
        <v>15</v>
      </c>
      <c r="I1338" s="136" t="str">
        <f t="shared" si="61"/>
        <v xml:space="preserve">CHAR(1) </v>
      </c>
      <c r="J1338" s="169" t="s">
        <v>0</v>
      </c>
      <c r="K1338" s="169" t="s">
        <v>1</v>
      </c>
      <c r="L1338" s="169">
        <v>30</v>
      </c>
      <c r="M1338" s="168"/>
      <c r="N1338" s="168"/>
      <c r="O1338" s="168"/>
      <c r="P1338" s="168"/>
      <c r="Q1338" s="168" t="s">
        <v>0</v>
      </c>
      <c r="R1338" s="168" t="s">
        <v>1</v>
      </c>
      <c r="S1338" s="178" t="str">
        <f t="shared" si="62"/>
        <v>D_MAN_CP_ORIGRETAIL_POOL_IND</v>
      </c>
    </row>
    <row r="1339" spans="1:19" ht="14.4" x14ac:dyDescent="0.3">
      <c r="A1339" s="169" t="s">
        <v>1827</v>
      </c>
      <c r="B1339" s="171" t="str">
        <f t="shared" si="60"/>
        <v>D_MAN_CP_ORIG</v>
      </c>
      <c r="C1339" s="169" t="s">
        <v>734</v>
      </c>
      <c r="D1339" s="169">
        <v>725</v>
      </c>
      <c r="E1339" s="169">
        <v>51</v>
      </c>
      <c r="F1339" s="169" t="s">
        <v>734</v>
      </c>
      <c r="G1339" s="169" t="s">
        <v>734</v>
      </c>
      <c r="H1339" s="169">
        <v>15</v>
      </c>
      <c r="I1339" s="136" t="str">
        <f t="shared" si="61"/>
        <v xml:space="preserve">CHAR(1) </v>
      </c>
      <c r="J1339" s="169" t="s">
        <v>0</v>
      </c>
      <c r="K1339" s="169" t="s">
        <v>1</v>
      </c>
      <c r="L1339" s="169">
        <v>30</v>
      </c>
      <c r="M1339" s="168"/>
      <c r="N1339" s="168"/>
      <c r="O1339" s="168"/>
      <c r="P1339" s="168"/>
      <c r="Q1339" s="168" t="s">
        <v>0</v>
      </c>
      <c r="R1339" s="168" t="s">
        <v>1</v>
      </c>
      <c r="S1339" s="178" t="str">
        <f t="shared" si="62"/>
        <v>D_MAN_CP_ORIGSBER_AFFILIATION_IND</v>
      </c>
    </row>
    <row r="1340" spans="1:19" ht="14.4" x14ac:dyDescent="0.3">
      <c r="A1340" s="169" t="s">
        <v>1827</v>
      </c>
      <c r="B1340" s="171" t="str">
        <f t="shared" si="60"/>
        <v>D_MAN_CP_ORIG</v>
      </c>
      <c r="C1340" s="169" t="s">
        <v>746</v>
      </c>
      <c r="D1340" s="169">
        <v>726</v>
      </c>
      <c r="E1340" s="169">
        <v>52</v>
      </c>
      <c r="F1340" s="169" t="s">
        <v>746</v>
      </c>
      <c r="G1340" s="169" t="s">
        <v>746</v>
      </c>
      <c r="H1340" s="169">
        <v>15</v>
      </c>
      <c r="I1340" s="136" t="str">
        <f t="shared" si="61"/>
        <v xml:space="preserve">CHAR(1) </v>
      </c>
      <c r="J1340" s="169" t="s">
        <v>0</v>
      </c>
      <c r="K1340" s="169" t="s">
        <v>1</v>
      </c>
      <c r="L1340" s="169">
        <v>30</v>
      </c>
      <c r="M1340" s="168"/>
      <c r="N1340" s="168"/>
      <c r="O1340" s="168"/>
      <c r="P1340" s="168"/>
      <c r="Q1340" s="168" t="s">
        <v>0</v>
      </c>
      <c r="R1340" s="168" t="s">
        <v>1</v>
      </c>
      <c r="S1340" s="178" t="str">
        <f t="shared" si="62"/>
        <v>D_MAN_CP_ORIGSMB_IND</v>
      </c>
    </row>
    <row r="1341" spans="1:19" ht="14.4" x14ac:dyDescent="0.3">
      <c r="A1341" s="169" t="s">
        <v>1827</v>
      </c>
      <c r="B1341" s="171" t="str">
        <f t="shared" si="60"/>
        <v>D_MAN_CP_ORIG</v>
      </c>
      <c r="C1341" s="169" t="s">
        <v>51</v>
      </c>
      <c r="D1341" s="169">
        <v>727</v>
      </c>
      <c r="E1341" s="169">
        <v>53</v>
      </c>
      <c r="F1341" s="169" t="s">
        <v>51</v>
      </c>
      <c r="G1341" s="169" t="s">
        <v>51</v>
      </c>
      <c r="H1341" s="169">
        <v>34</v>
      </c>
      <c r="I1341" s="136" t="str">
        <f t="shared" si="61"/>
        <v>DATE</v>
      </c>
      <c r="J1341" s="169" t="s">
        <v>1</v>
      </c>
      <c r="K1341" s="169" t="s">
        <v>1</v>
      </c>
      <c r="L1341" s="169">
        <v>30</v>
      </c>
      <c r="M1341" s="168"/>
      <c r="N1341" s="168"/>
      <c r="O1341" s="168"/>
      <c r="P1341" s="168"/>
      <c r="Q1341" s="168" t="s">
        <v>0</v>
      </c>
      <c r="R1341" s="168" t="s">
        <v>1</v>
      </c>
      <c r="S1341" s="178" t="str">
        <f t="shared" si="62"/>
        <v>D_MAN_CP_ORIGSTART_DT</v>
      </c>
    </row>
    <row r="1342" spans="1:19" ht="14.4" x14ac:dyDescent="0.3">
      <c r="A1342" s="169" t="s">
        <v>1827</v>
      </c>
      <c r="B1342" s="171" t="str">
        <f t="shared" si="60"/>
        <v>D_MAN_CP_ORIG</v>
      </c>
      <c r="C1342" s="169" t="s">
        <v>716</v>
      </c>
      <c r="D1342" s="169">
        <v>728</v>
      </c>
      <c r="E1342" s="169">
        <v>54</v>
      </c>
      <c r="F1342" s="169" t="s">
        <v>716</v>
      </c>
      <c r="G1342" s="169" t="s">
        <v>716</v>
      </c>
      <c r="H1342" s="169">
        <v>15</v>
      </c>
      <c r="I1342" s="136" t="str">
        <f t="shared" si="61"/>
        <v xml:space="preserve">CHAR(1) </v>
      </c>
      <c r="J1342" s="169" t="s">
        <v>0</v>
      </c>
      <c r="K1342" s="169" t="s">
        <v>1</v>
      </c>
      <c r="L1342" s="169">
        <v>30</v>
      </c>
      <c r="M1342" s="168"/>
      <c r="N1342" s="168"/>
      <c r="O1342" s="168"/>
      <c r="P1342" s="168"/>
      <c r="Q1342" s="168" t="s">
        <v>0</v>
      </c>
      <c r="R1342" s="168" t="s">
        <v>1</v>
      </c>
      <c r="S1342" s="178" t="str">
        <f t="shared" si="62"/>
        <v>D_MAN_CP_ORIGSTOCK_EXCHANGE_TRADING_IND</v>
      </c>
    </row>
    <row r="1343" spans="1:19" ht="14.4" x14ac:dyDescent="0.3">
      <c r="A1343" s="169" t="s">
        <v>1827</v>
      </c>
      <c r="B1343" s="171" t="str">
        <f t="shared" si="60"/>
        <v>D_MAN_CP_ORIG</v>
      </c>
      <c r="C1343" s="169" t="s">
        <v>1391</v>
      </c>
      <c r="D1343" s="169">
        <v>729</v>
      </c>
      <c r="E1343" s="169">
        <v>55</v>
      </c>
      <c r="F1343" s="169" t="s">
        <v>1391</v>
      </c>
      <c r="G1343" s="169" t="s">
        <v>1391</v>
      </c>
      <c r="H1343" s="169">
        <v>21</v>
      </c>
      <c r="I1343" s="136" t="str">
        <f t="shared" si="61"/>
        <v>DECIMAL(19, 2)</v>
      </c>
      <c r="J1343" s="169" t="s">
        <v>0</v>
      </c>
      <c r="K1343" s="169" t="s">
        <v>1</v>
      </c>
      <c r="L1343" s="169">
        <v>30</v>
      </c>
      <c r="M1343" s="168"/>
      <c r="N1343" s="168"/>
      <c r="O1343" s="168"/>
      <c r="P1343" s="168"/>
      <c r="Q1343" s="168" t="s">
        <v>0</v>
      </c>
      <c r="R1343" s="168" t="s">
        <v>1</v>
      </c>
      <c r="S1343" s="178" t="str">
        <f t="shared" si="62"/>
        <v>D_MAN_CP_ORIGTOTAL_ASSETS_CCY_AMT</v>
      </c>
    </row>
    <row r="1344" spans="1:19" ht="14.4" x14ac:dyDescent="0.3">
      <c r="A1344" s="169" t="s">
        <v>1827</v>
      </c>
      <c r="B1344" s="171" t="str">
        <f t="shared" si="60"/>
        <v>D_MAN_CP_ORIG</v>
      </c>
      <c r="C1344" s="169" t="s">
        <v>1382</v>
      </c>
      <c r="D1344" s="169">
        <v>730</v>
      </c>
      <c r="E1344" s="169">
        <v>56</v>
      </c>
      <c r="F1344" s="169" t="s">
        <v>1382</v>
      </c>
      <c r="G1344" s="169" t="s">
        <v>1382</v>
      </c>
      <c r="H1344" s="169">
        <v>7</v>
      </c>
      <c r="I1344" s="136" t="str">
        <f t="shared" si="61"/>
        <v>BIGINT</v>
      </c>
      <c r="J1344" s="169" t="s">
        <v>0</v>
      </c>
      <c r="K1344" s="169" t="s">
        <v>1</v>
      </c>
      <c r="L1344" s="169">
        <v>30</v>
      </c>
      <c r="M1344" s="168"/>
      <c r="N1344" s="168"/>
      <c r="O1344" s="168"/>
      <c r="P1344" s="168"/>
      <c r="Q1344" s="168" t="s">
        <v>0</v>
      </c>
      <c r="R1344" s="168" t="s">
        <v>1</v>
      </c>
      <c r="S1344" s="178" t="str">
        <f t="shared" si="62"/>
        <v>D_MAN_CP_ORIGTOTAL_ASSETS_CURRENCY_ID</v>
      </c>
    </row>
    <row r="1345" spans="1:19" ht="14.4" x14ac:dyDescent="0.3">
      <c r="A1345" s="169" t="s">
        <v>1827</v>
      </c>
      <c r="B1345" s="171" t="str">
        <f t="shared" si="60"/>
        <v>D_MAN_CP_ORIG</v>
      </c>
      <c r="C1345" s="169" t="s">
        <v>1454</v>
      </c>
      <c r="D1345" s="169">
        <v>731</v>
      </c>
      <c r="E1345" s="169">
        <v>57</v>
      </c>
      <c r="F1345" s="169" t="s">
        <v>1454</v>
      </c>
      <c r="G1345" s="169" t="s">
        <v>1454</v>
      </c>
      <c r="H1345" s="169">
        <v>34</v>
      </c>
      <c r="I1345" s="136" t="str">
        <f t="shared" si="61"/>
        <v>DATE</v>
      </c>
      <c r="J1345" s="169" t="s">
        <v>0</v>
      </c>
      <c r="K1345" s="169" t="s">
        <v>1</v>
      </c>
      <c r="L1345" s="169">
        <v>30</v>
      </c>
      <c r="M1345" s="168"/>
      <c r="N1345" s="168"/>
      <c r="O1345" s="168"/>
      <c r="P1345" s="168"/>
      <c r="Q1345" s="168" t="s">
        <v>0</v>
      </c>
      <c r="R1345" s="168" t="s">
        <v>1</v>
      </c>
      <c r="S1345" s="178" t="str">
        <f t="shared" si="62"/>
        <v>D_MAN_CP_ORIGTOTAL_ASSETS_RPT_DT</v>
      </c>
    </row>
    <row r="1346" spans="1:19" ht="14.4" x14ac:dyDescent="0.3">
      <c r="A1346" s="169" t="s">
        <v>1827</v>
      </c>
      <c r="B1346" s="171" t="str">
        <f t="shared" ref="B1346:B1409" si="63">IF(NOT(ISBLANK(A1346)),VLOOKUP(A1346,ERM_TABLE_NM,2,FALSE), "")</f>
        <v>D_MAN_CP_ORIG</v>
      </c>
      <c r="C1346" s="169" t="s">
        <v>570</v>
      </c>
      <c r="D1346" s="169">
        <v>732</v>
      </c>
      <c r="E1346" s="169">
        <v>58</v>
      </c>
      <c r="F1346" s="169" t="s">
        <v>570</v>
      </c>
      <c r="G1346" s="169" t="s">
        <v>570</v>
      </c>
      <c r="H1346" s="169">
        <v>15</v>
      </c>
      <c r="I1346" s="136" t="str">
        <f t="shared" ref="I1346:I1409" si="64">IF(NOT(ISBLANK(H1346)),VLOOKUP(H1346,ERM_DOMAIN_NM,2,FALSE), "")</f>
        <v xml:space="preserve">CHAR(1) </v>
      </c>
      <c r="J1346" s="169" t="s">
        <v>0</v>
      </c>
      <c r="K1346" s="169" t="s">
        <v>1</v>
      </c>
      <c r="L1346" s="169">
        <v>30</v>
      </c>
      <c r="M1346" s="168"/>
      <c r="N1346" s="168"/>
      <c r="O1346" s="168"/>
      <c r="P1346" s="168"/>
      <c r="Q1346" s="168" t="s">
        <v>0</v>
      </c>
      <c r="R1346" s="168" t="s">
        <v>1</v>
      </c>
      <c r="S1346" s="178" t="str">
        <f t="shared" si="62"/>
        <v>D_MAN_CP_ORIGUSE_ASSETS_FOR_SIZE_IND</v>
      </c>
    </row>
    <row r="1347" spans="1:19" ht="14.4" x14ac:dyDescent="0.3">
      <c r="A1347" s="169" t="s">
        <v>2045</v>
      </c>
      <c r="B1347" s="171" t="str">
        <f t="shared" si="63"/>
        <v>D_MAN_DST_IND_GROWTH</v>
      </c>
      <c r="C1347" s="169" t="s">
        <v>2127</v>
      </c>
      <c r="D1347" s="169">
        <v>1705</v>
      </c>
      <c r="E1347" s="169">
        <v>1</v>
      </c>
      <c r="F1347" s="169" t="s">
        <v>2127</v>
      </c>
      <c r="G1347" s="169" t="s">
        <v>2127</v>
      </c>
      <c r="H1347" s="169">
        <v>7</v>
      </c>
      <c r="I1347" s="136" t="str">
        <f t="shared" si="64"/>
        <v>BIGINT</v>
      </c>
      <c r="J1347" s="169" t="s">
        <v>1</v>
      </c>
      <c r="K1347" s="169" t="s">
        <v>1</v>
      </c>
      <c r="L1347" s="169">
        <v>30</v>
      </c>
      <c r="M1347" s="168"/>
      <c r="N1347" s="168"/>
      <c r="O1347" s="168"/>
      <c r="P1347" s="168"/>
      <c r="Q1347" s="168" t="s">
        <v>0</v>
      </c>
      <c r="R1347" s="168" t="s">
        <v>1</v>
      </c>
      <c r="S1347" s="178" t="str">
        <f t="shared" ref="S1347:S1410" si="65">CONCATENATE(A1347,C1347)</f>
        <v>D_MAN_DST_IND_GROWTHDST_IND_GROWTH_ID</v>
      </c>
    </row>
    <row r="1348" spans="1:19" ht="14.4" x14ac:dyDescent="0.3">
      <c r="A1348" s="169" t="s">
        <v>2045</v>
      </c>
      <c r="B1348" s="171" t="str">
        <f t="shared" si="63"/>
        <v>D_MAN_DST_IND_GROWTH</v>
      </c>
      <c r="C1348" s="169" t="s">
        <v>473</v>
      </c>
      <c r="D1348" s="169">
        <v>1706</v>
      </c>
      <c r="E1348" s="169">
        <v>2</v>
      </c>
      <c r="F1348" s="169" t="s">
        <v>473</v>
      </c>
      <c r="G1348" s="169" t="s">
        <v>473</v>
      </c>
      <c r="H1348" s="169">
        <v>7</v>
      </c>
      <c r="I1348" s="136" t="str">
        <f t="shared" si="64"/>
        <v>BIGINT</v>
      </c>
      <c r="J1348" s="169" t="s">
        <v>1</v>
      </c>
      <c r="K1348" s="169" t="s">
        <v>1</v>
      </c>
      <c r="L1348" s="169">
        <v>30</v>
      </c>
      <c r="M1348" s="168"/>
      <c r="N1348" s="168"/>
      <c r="O1348" s="168"/>
      <c r="P1348" s="168"/>
      <c r="Q1348" s="168" t="s">
        <v>0</v>
      </c>
      <c r="R1348" s="168" t="s">
        <v>1</v>
      </c>
      <c r="S1348" s="178" t="str">
        <f t="shared" si="65"/>
        <v>D_MAN_DST_IND_GROWTHECAP_PARAM_INDUSTRY_ID</v>
      </c>
    </row>
    <row r="1349" spans="1:19" ht="14.4" x14ac:dyDescent="0.3">
      <c r="A1349" s="169" t="s">
        <v>2045</v>
      </c>
      <c r="B1349" s="171" t="str">
        <f t="shared" si="63"/>
        <v>D_MAN_DST_IND_GROWTH</v>
      </c>
      <c r="C1349" s="169" t="s">
        <v>52</v>
      </c>
      <c r="D1349" s="169">
        <v>1707</v>
      </c>
      <c r="E1349" s="169">
        <v>3</v>
      </c>
      <c r="F1349" s="169" t="s">
        <v>52</v>
      </c>
      <c r="G1349" s="169" t="s">
        <v>52</v>
      </c>
      <c r="H1349" s="169">
        <v>34</v>
      </c>
      <c r="I1349" s="136" t="str">
        <f t="shared" si="64"/>
        <v>DATE</v>
      </c>
      <c r="J1349" s="169" t="s">
        <v>1</v>
      </c>
      <c r="K1349" s="169" t="s">
        <v>1</v>
      </c>
      <c r="L1349" s="169">
        <v>30</v>
      </c>
      <c r="M1349" s="168"/>
      <c r="N1349" s="168"/>
      <c r="O1349" s="168"/>
      <c r="P1349" s="168"/>
      <c r="Q1349" s="168" t="s">
        <v>0</v>
      </c>
      <c r="R1349" s="168" t="s">
        <v>1</v>
      </c>
      <c r="S1349" s="178" t="str">
        <f t="shared" si="65"/>
        <v>D_MAN_DST_IND_GROWTHEND_DT</v>
      </c>
    </row>
    <row r="1350" spans="1:19" ht="14.4" x14ac:dyDescent="0.3">
      <c r="A1350" s="169" t="s">
        <v>2045</v>
      </c>
      <c r="B1350" s="171" t="str">
        <f t="shared" si="63"/>
        <v>D_MAN_DST_IND_GROWTH</v>
      </c>
      <c r="C1350" s="169" t="s">
        <v>2128</v>
      </c>
      <c r="D1350" s="169">
        <v>1708</v>
      </c>
      <c r="E1350" s="169">
        <v>4</v>
      </c>
      <c r="F1350" s="169" t="s">
        <v>2128</v>
      </c>
      <c r="G1350" s="169" t="s">
        <v>2128</v>
      </c>
      <c r="H1350" s="169">
        <v>3</v>
      </c>
      <c r="I1350" s="136" t="str">
        <f t="shared" si="64"/>
        <v>DECIMAL(20, 6)</v>
      </c>
      <c r="J1350" s="169" t="s">
        <v>0</v>
      </c>
      <c r="K1350" s="169" t="s">
        <v>1</v>
      </c>
      <c r="L1350" s="169">
        <v>30</v>
      </c>
      <c r="M1350" s="168"/>
      <c r="N1350" s="168"/>
      <c r="O1350" s="168"/>
      <c r="P1350" s="168"/>
      <c r="Q1350" s="168" t="s">
        <v>0</v>
      </c>
      <c r="R1350" s="168" t="s">
        <v>1</v>
      </c>
      <c r="S1350" s="178" t="str">
        <f t="shared" si="65"/>
        <v>D_MAN_DST_IND_GROWTHGROWTH_RATE_PCT</v>
      </c>
    </row>
    <row r="1351" spans="1:19" ht="14.4" x14ac:dyDescent="0.3">
      <c r="A1351" s="169" t="s">
        <v>2045</v>
      </c>
      <c r="B1351" s="171" t="str">
        <f t="shared" si="63"/>
        <v>D_MAN_DST_IND_GROWTH</v>
      </c>
      <c r="C1351" s="169" t="s">
        <v>2073</v>
      </c>
      <c r="D1351" s="169">
        <v>1709</v>
      </c>
      <c r="E1351" s="169">
        <v>5</v>
      </c>
      <c r="F1351" s="169" t="s">
        <v>2073</v>
      </c>
      <c r="G1351" s="169" t="s">
        <v>2073</v>
      </c>
      <c r="H1351" s="169">
        <v>7</v>
      </c>
      <c r="I1351" s="136" t="str">
        <f t="shared" si="64"/>
        <v>BIGINT</v>
      </c>
      <c r="J1351" s="169" t="s">
        <v>1</v>
      </c>
      <c r="K1351" s="169" t="s">
        <v>1</v>
      </c>
      <c r="L1351" s="169">
        <v>30</v>
      </c>
      <c r="M1351" s="168"/>
      <c r="N1351" s="168"/>
      <c r="O1351" s="168"/>
      <c r="P1351" s="168"/>
      <c r="Q1351" s="168" t="s">
        <v>0</v>
      </c>
      <c r="R1351" s="168" t="s">
        <v>1</v>
      </c>
      <c r="S1351" s="178" t="str">
        <f t="shared" si="65"/>
        <v>D_MAN_DST_IND_GROWTHPERIOD_ID</v>
      </c>
    </row>
    <row r="1352" spans="1:19" ht="14.4" x14ac:dyDescent="0.3">
      <c r="A1352" s="169" t="s">
        <v>2045</v>
      </c>
      <c r="B1352" s="171" t="str">
        <f t="shared" si="63"/>
        <v>D_MAN_DST_IND_GROWTH</v>
      </c>
      <c r="C1352" s="169" t="s">
        <v>2074</v>
      </c>
      <c r="D1352" s="169">
        <v>1710</v>
      </c>
      <c r="E1352" s="169">
        <v>6</v>
      </c>
      <c r="F1352" s="169" t="s">
        <v>2074</v>
      </c>
      <c r="G1352" s="169" t="s">
        <v>2074</v>
      </c>
      <c r="H1352" s="169">
        <v>7</v>
      </c>
      <c r="I1352" s="136" t="str">
        <f t="shared" si="64"/>
        <v>BIGINT</v>
      </c>
      <c r="J1352" s="169" t="s">
        <v>1</v>
      </c>
      <c r="K1352" s="169" t="s">
        <v>0</v>
      </c>
      <c r="L1352" s="169">
        <v>30</v>
      </c>
      <c r="M1352" s="168"/>
      <c r="N1352" s="168"/>
      <c r="O1352" s="168"/>
      <c r="P1352" s="168"/>
      <c r="Q1352" s="168" t="s">
        <v>0</v>
      </c>
      <c r="R1352" s="168" t="s">
        <v>1</v>
      </c>
      <c r="S1352" s="178" t="str">
        <f t="shared" si="65"/>
        <v>D_MAN_DST_IND_GROWTHSCENARIO_ID</v>
      </c>
    </row>
    <row r="1353" spans="1:19" ht="14.4" x14ac:dyDescent="0.3">
      <c r="A1353" s="169" t="s">
        <v>2045</v>
      </c>
      <c r="B1353" s="171" t="str">
        <f t="shared" si="63"/>
        <v>D_MAN_DST_IND_GROWTH</v>
      </c>
      <c r="C1353" s="169" t="s">
        <v>51</v>
      </c>
      <c r="D1353" s="169">
        <v>1711</v>
      </c>
      <c r="E1353" s="169">
        <v>7</v>
      </c>
      <c r="F1353" s="169" t="s">
        <v>51</v>
      </c>
      <c r="G1353" s="169" t="s">
        <v>51</v>
      </c>
      <c r="H1353" s="169">
        <v>34</v>
      </c>
      <c r="I1353" s="136" t="str">
        <f t="shared" si="64"/>
        <v>DATE</v>
      </c>
      <c r="J1353" s="169" t="s">
        <v>1</v>
      </c>
      <c r="K1353" s="169" t="s">
        <v>1</v>
      </c>
      <c r="L1353" s="169">
        <v>30</v>
      </c>
      <c r="M1353" s="168"/>
      <c r="N1353" s="168"/>
      <c r="O1353" s="168"/>
      <c r="P1353" s="168"/>
      <c r="Q1353" s="168" t="s">
        <v>0</v>
      </c>
      <c r="R1353" s="168" t="s">
        <v>1</v>
      </c>
      <c r="S1353" s="178" t="str">
        <f t="shared" si="65"/>
        <v>D_MAN_DST_IND_GROWTHSTART_DT</v>
      </c>
    </row>
    <row r="1354" spans="1:19" ht="14.4" x14ac:dyDescent="0.3">
      <c r="A1354" s="169" t="s">
        <v>2054</v>
      </c>
      <c r="B1354" s="171" t="str">
        <f t="shared" si="63"/>
        <v>D_MAN_DST_PERIOD</v>
      </c>
      <c r="C1354" s="169" t="s">
        <v>2129</v>
      </c>
      <c r="D1354" s="169">
        <v>1712</v>
      </c>
      <c r="E1354" s="169">
        <v>1</v>
      </c>
      <c r="F1354" s="169" t="s">
        <v>2129</v>
      </c>
      <c r="G1354" s="169" t="s">
        <v>2129</v>
      </c>
      <c r="H1354" s="169">
        <v>7</v>
      </c>
      <c r="I1354" s="136" t="str">
        <f t="shared" si="64"/>
        <v>BIGINT</v>
      </c>
      <c r="J1354" s="169" t="s">
        <v>1</v>
      </c>
      <c r="K1354" s="169" t="s">
        <v>1</v>
      </c>
      <c r="L1354" s="169">
        <v>30</v>
      </c>
      <c r="M1354" s="168"/>
      <c r="N1354" s="168"/>
      <c r="O1354" s="168"/>
      <c r="P1354" s="168"/>
      <c r="Q1354" s="168" t="s">
        <v>0</v>
      </c>
      <c r="R1354" s="168" t="s">
        <v>1</v>
      </c>
      <c r="S1354" s="178" t="str">
        <f t="shared" si="65"/>
        <v>D_MAN_DST_PERIODDST_PERIOD_ID</v>
      </c>
    </row>
    <row r="1355" spans="1:19" ht="14.4" x14ac:dyDescent="0.3">
      <c r="A1355" s="169" t="s">
        <v>2054</v>
      </c>
      <c r="B1355" s="171" t="str">
        <f t="shared" si="63"/>
        <v>D_MAN_DST_PERIOD</v>
      </c>
      <c r="C1355" s="169" t="s">
        <v>52</v>
      </c>
      <c r="D1355" s="169">
        <v>1713</v>
      </c>
      <c r="E1355" s="169">
        <v>2</v>
      </c>
      <c r="F1355" s="169" t="s">
        <v>52</v>
      </c>
      <c r="G1355" s="169" t="s">
        <v>52</v>
      </c>
      <c r="H1355" s="169">
        <v>34</v>
      </c>
      <c r="I1355" s="136" t="str">
        <f t="shared" si="64"/>
        <v>DATE</v>
      </c>
      <c r="J1355" s="169" t="s">
        <v>1</v>
      </c>
      <c r="K1355" s="169" t="s">
        <v>1</v>
      </c>
      <c r="L1355" s="169">
        <v>30</v>
      </c>
      <c r="M1355" s="168"/>
      <c r="N1355" s="168"/>
      <c r="O1355" s="168"/>
      <c r="P1355" s="168"/>
      <c r="Q1355" s="168" t="s">
        <v>0</v>
      </c>
      <c r="R1355" s="168" t="s">
        <v>1</v>
      </c>
      <c r="S1355" s="178" t="str">
        <f t="shared" si="65"/>
        <v>D_MAN_DST_PERIODEND_DT</v>
      </c>
    </row>
    <row r="1356" spans="1:19" ht="14.4" x14ac:dyDescent="0.3">
      <c r="A1356" s="169" t="s">
        <v>2054</v>
      </c>
      <c r="B1356" s="171" t="str">
        <f t="shared" si="63"/>
        <v>D_MAN_DST_PERIOD</v>
      </c>
      <c r="C1356" s="169" t="s">
        <v>2130</v>
      </c>
      <c r="D1356" s="169">
        <v>1714</v>
      </c>
      <c r="E1356" s="169">
        <v>3</v>
      </c>
      <c r="F1356" s="169" t="s">
        <v>2130</v>
      </c>
      <c r="G1356" s="169" t="s">
        <v>2130</v>
      </c>
      <c r="H1356" s="169">
        <v>3</v>
      </c>
      <c r="I1356" s="136" t="str">
        <f t="shared" si="64"/>
        <v>DECIMAL(20, 6)</v>
      </c>
      <c r="J1356" s="169" t="s">
        <v>0</v>
      </c>
      <c r="K1356" s="169" t="s">
        <v>1</v>
      </c>
      <c r="L1356" s="169">
        <v>30</v>
      </c>
      <c r="M1356" s="168"/>
      <c r="N1356" s="168"/>
      <c r="O1356" s="168"/>
      <c r="P1356" s="168"/>
      <c r="Q1356" s="168" t="s">
        <v>0</v>
      </c>
      <c r="R1356" s="168" t="s">
        <v>1</v>
      </c>
      <c r="S1356" s="178" t="str">
        <f t="shared" si="65"/>
        <v>D_MAN_DST_PERIODPERIOD_DURATION_YEAR</v>
      </c>
    </row>
    <row r="1357" spans="1:19" ht="14.4" x14ac:dyDescent="0.3">
      <c r="A1357" s="169" t="s">
        <v>2054</v>
      </c>
      <c r="B1357" s="171" t="str">
        <f t="shared" si="63"/>
        <v>D_MAN_DST_PERIOD</v>
      </c>
      <c r="C1357" s="169" t="s">
        <v>2073</v>
      </c>
      <c r="D1357" s="169">
        <v>1715</v>
      </c>
      <c r="E1357" s="169">
        <v>4</v>
      </c>
      <c r="F1357" s="169" t="s">
        <v>2073</v>
      </c>
      <c r="G1357" s="169" t="s">
        <v>2073</v>
      </c>
      <c r="H1357" s="169">
        <v>7</v>
      </c>
      <c r="I1357" s="136" t="str">
        <f t="shared" si="64"/>
        <v>BIGINT</v>
      </c>
      <c r="J1357" s="169" t="s">
        <v>1</v>
      </c>
      <c r="K1357" s="169" t="s">
        <v>0</v>
      </c>
      <c r="L1357" s="169">
        <v>30</v>
      </c>
      <c r="M1357" s="168"/>
      <c r="N1357" s="168"/>
      <c r="O1357" s="168"/>
      <c r="P1357" s="168"/>
      <c r="Q1357" s="168" t="s">
        <v>0</v>
      </c>
      <c r="R1357" s="168" t="s">
        <v>1</v>
      </c>
      <c r="S1357" s="178" t="str">
        <f t="shared" si="65"/>
        <v>D_MAN_DST_PERIODPERIOD_ID</v>
      </c>
    </row>
    <row r="1358" spans="1:19" ht="14.4" x14ac:dyDescent="0.3">
      <c r="A1358" s="169" t="s">
        <v>2054</v>
      </c>
      <c r="B1358" s="171" t="str">
        <f t="shared" si="63"/>
        <v>D_MAN_DST_PERIOD</v>
      </c>
      <c r="C1358" s="169" t="s">
        <v>2131</v>
      </c>
      <c r="D1358" s="169">
        <v>1716</v>
      </c>
      <c r="E1358" s="169">
        <v>5</v>
      </c>
      <c r="F1358" s="169" t="s">
        <v>2131</v>
      </c>
      <c r="G1358" s="169" t="s">
        <v>2131</v>
      </c>
      <c r="H1358" s="169">
        <v>13</v>
      </c>
      <c r="I1358" s="136" t="str">
        <f t="shared" si="64"/>
        <v xml:space="preserve">VARCHAR(300) </v>
      </c>
      <c r="J1358" s="169" t="s">
        <v>1</v>
      </c>
      <c r="K1358" s="169" t="s">
        <v>1</v>
      </c>
      <c r="L1358" s="169">
        <v>30</v>
      </c>
      <c r="M1358" s="168"/>
      <c r="N1358" s="168"/>
      <c r="O1358" s="168"/>
      <c r="P1358" s="168"/>
      <c r="Q1358" s="168" t="s">
        <v>0</v>
      </c>
      <c r="R1358" s="168" t="s">
        <v>1</v>
      </c>
      <c r="S1358" s="178" t="str">
        <f t="shared" si="65"/>
        <v>D_MAN_DST_PERIODPERIOD_NM</v>
      </c>
    </row>
    <row r="1359" spans="1:19" ht="14.4" x14ac:dyDescent="0.3">
      <c r="A1359" s="169" t="s">
        <v>2054</v>
      </c>
      <c r="B1359" s="171" t="str">
        <f t="shared" si="63"/>
        <v>D_MAN_DST_PERIOD</v>
      </c>
      <c r="C1359" s="169" t="s">
        <v>51</v>
      </c>
      <c r="D1359" s="169">
        <v>1717</v>
      </c>
      <c r="E1359" s="169">
        <v>6</v>
      </c>
      <c r="F1359" s="169" t="s">
        <v>51</v>
      </c>
      <c r="G1359" s="169" t="s">
        <v>51</v>
      </c>
      <c r="H1359" s="169">
        <v>34</v>
      </c>
      <c r="I1359" s="136" t="str">
        <f t="shared" si="64"/>
        <v>DATE</v>
      </c>
      <c r="J1359" s="169" t="s">
        <v>1</v>
      </c>
      <c r="K1359" s="169" t="s">
        <v>1</v>
      </c>
      <c r="L1359" s="169">
        <v>30</v>
      </c>
      <c r="M1359" s="168"/>
      <c r="N1359" s="168"/>
      <c r="O1359" s="168"/>
      <c r="P1359" s="168"/>
      <c r="Q1359" s="168" t="s">
        <v>0</v>
      </c>
      <c r="R1359" s="168" t="s">
        <v>1</v>
      </c>
      <c r="S1359" s="178" t="str">
        <f t="shared" si="65"/>
        <v>D_MAN_DST_PERIODSTART_DT</v>
      </c>
    </row>
    <row r="1360" spans="1:19" ht="14.4" x14ac:dyDescent="0.3">
      <c r="A1360" s="169" t="s">
        <v>2039</v>
      </c>
      <c r="B1360" s="171" t="str">
        <f t="shared" si="63"/>
        <v>D_MAN_DST_SCENARIO</v>
      </c>
      <c r="C1360" s="169" t="s">
        <v>2132</v>
      </c>
      <c r="D1360" s="169">
        <v>1718</v>
      </c>
      <c r="E1360" s="169">
        <v>1</v>
      </c>
      <c r="F1360" s="169" t="s">
        <v>2132</v>
      </c>
      <c r="G1360" s="169" t="s">
        <v>2132</v>
      </c>
      <c r="H1360" s="169">
        <v>7</v>
      </c>
      <c r="I1360" s="136" t="str">
        <f t="shared" si="64"/>
        <v>BIGINT</v>
      </c>
      <c r="J1360" s="169" t="s">
        <v>1</v>
      </c>
      <c r="K1360" s="169" t="s">
        <v>1</v>
      </c>
      <c r="L1360" s="169">
        <v>30</v>
      </c>
      <c r="M1360" s="168"/>
      <c r="N1360" s="168"/>
      <c r="O1360" s="168"/>
      <c r="P1360" s="168"/>
      <c r="Q1360" s="168" t="s">
        <v>0</v>
      </c>
      <c r="R1360" s="168" t="s">
        <v>1</v>
      </c>
      <c r="S1360" s="178" t="str">
        <f t="shared" si="65"/>
        <v>D_MAN_DST_SCENARIODST_SCENARIO_ID</v>
      </c>
    </row>
    <row r="1361" spans="1:19" ht="14.4" x14ac:dyDescent="0.3">
      <c r="A1361" s="169" t="s">
        <v>2039</v>
      </c>
      <c r="B1361" s="171" t="str">
        <f t="shared" si="63"/>
        <v>D_MAN_DST_SCENARIO</v>
      </c>
      <c r="C1361" s="169" t="s">
        <v>52</v>
      </c>
      <c r="D1361" s="169">
        <v>1719</v>
      </c>
      <c r="E1361" s="169">
        <v>2</v>
      </c>
      <c r="F1361" s="169" t="s">
        <v>52</v>
      </c>
      <c r="G1361" s="169" t="s">
        <v>52</v>
      </c>
      <c r="H1361" s="169">
        <v>34</v>
      </c>
      <c r="I1361" s="136" t="str">
        <f t="shared" si="64"/>
        <v>DATE</v>
      </c>
      <c r="J1361" s="169" t="s">
        <v>1</v>
      </c>
      <c r="K1361" s="169" t="s">
        <v>1</v>
      </c>
      <c r="L1361" s="169">
        <v>30</v>
      </c>
      <c r="M1361" s="168"/>
      <c r="N1361" s="168"/>
      <c r="O1361" s="168"/>
      <c r="P1361" s="168"/>
      <c r="Q1361" s="168" t="s">
        <v>0</v>
      </c>
      <c r="R1361" s="168" t="s">
        <v>1</v>
      </c>
      <c r="S1361" s="178" t="str">
        <f t="shared" si="65"/>
        <v>D_MAN_DST_SCENARIOEND_DT</v>
      </c>
    </row>
    <row r="1362" spans="1:19" ht="14.4" x14ac:dyDescent="0.3">
      <c r="A1362" s="169" t="s">
        <v>2039</v>
      </c>
      <c r="B1362" s="171" t="str">
        <f t="shared" si="63"/>
        <v>D_MAN_DST_SCENARIO</v>
      </c>
      <c r="C1362" s="169" t="s">
        <v>2074</v>
      </c>
      <c r="D1362" s="169">
        <v>1720</v>
      </c>
      <c r="E1362" s="169">
        <v>3</v>
      </c>
      <c r="F1362" s="169" t="s">
        <v>2074</v>
      </c>
      <c r="G1362" s="169" t="s">
        <v>2074</v>
      </c>
      <c r="H1362" s="169">
        <v>7</v>
      </c>
      <c r="I1362" s="136" t="str">
        <f t="shared" si="64"/>
        <v>BIGINT</v>
      </c>
      <c r="J1362" s="169" t="s">
        <v>1</v>
      </c>
      <c r="K1362" s="169" t="s">
        <v>0</v>
      </c>
      <c r="L1362" s="169">
        <v>30</v>
      </c>
      <c r="M1362" s="168"/>
      <c r="N1362" s="168"/>
      <c r="O1362" s="168"/>
      <c r="P1362" s="168"/>
      <c r="Q1362" s="168" t="s">
        <v>0</v>
      </c>
      <c r="R1362" s="168" t="s">
        <v>1</v>
      </c>
      <c r="S1362" s="178" t="str">
        <f t="shared" si="65"/>
        <v>D_MAN_DST_SCENARIOSCENARIO_ID</v>
      </c>
    </row>
    <row r="1363" spans="1:19" ht="14.4" x14ac:dyDescent="0.3">
      <c r="A1363" s="169" t="s">
        <v>2039</v>
      </c>
      <c r="B1363" s="171" t="str">
        <f t="shared" si="63"/>
        <v>D_MAN_DST_SCENARIO</v>
      </c>
      <c r="C1363" s="169" t="s">
        <v>2133</v>
      </c>
      <c r="D1363" s="169">
        <v>1721</v>
      </c>
      <c r="E1363" s="169">
        <v>4</v>
      </c>
      <c r="F1363" s="169" t="s">
        <v>2133</v>
      </c>
      <c r="G1363" s="169" t="s">
        <v>2133</v>
      </c>
      <c r="H1363" s="169">
        <v>13</v>
      </c>
      <c r="I1363" s="136" t="str">
        <f t="shared" si="64"/>
        <v xml:space="preserve">VARCHAR(300) </v>
      </c>
      <c r="J1363" s="169" t="s">
        <v>1</v>
      </c>
      <c r="K1363" s="169" t="s">
        <v>1</v>
      </c>
      <c r="L1363" s="169">
        <v>30</v>
      </c>
      <c r="M1363" s="168"/>
      <c r="N1363" s="168"/>
      <c r="O1363" s="168"/>
      <c r="P1363" s="168"/>
      <c r="Q1363" s="168" t="s">
        <v>0</v>
      </c>
      <c r="R1363" s="168" t="s">
        <v>1</v>
      </c>
      <c r="S1363" s="178" t="str">
        <f t="shared" si="65"/>
        <v>D_MAN_DST_SCENARIOSCENARIO_NM</v>
      </c>
    </row>
    <row r="1364" spans="1:19" ht="14.4" x14ac:dyDescent="0.3">
      <c r="A1364" s="169" t="s">
        <v>2039</v>
      </c>
      <c r="B1364" s="171" t="str">
        <f t="shared" si="63"/>
        <v>D_MAN_DST_SCENARIO</v>
      </c>
      <c r="C1364" s="169" t="s">
        <v>51</v>
      </c>
      <c r="D1364" s="169">
        <v>1722</v>
      </c>
      <c r="E1364" s="169">
        <v>5</v>
      </c>
      <c r="F1364" s="169" t="s">
        <v>51</v>
      </c>
      <c r="G1364" s="169" t="s">
        <v>51</v>
      </c>
      <c r="H1364" s="169">
        <v>34</v>
      </c>
      <c r="I1364" s="136" t="str">
        <f t="shared" si="64"/>
        <v>DATE</v>
      </c>
      <c r="J1364" s="169" t="s">
        <v>1</v>
      </c>
      <c r="K1364" s="169" t="s">
        <v>1</v>
      </c>
      <c r="L1364" s="169">
        <v>30</v>
      </c>
      <c r="M1364" s="168"/>
      <c r="N1364" s="168"/>
      <c r="O1364" s="168"/>
      <c r="P1364" s="168"/>
      <c r="Q1364" s="168" t="s">
        <v>0</v>
      </c>
      <c r="R1364" s="168" t="s">
        <v>1</v>
      </c>
      <c r="S1364" s="178" t="str">
        <f t="shared" si="65"/>
        <v>D_MAN_DST_SCENARIOSTART_DT</v>
      </c>
    </row>
    <row r="1365" spans="1:19" ht="14.4" x14ac:dyDescent="0.3">
      <c r="A1365" s="169" t="s">
        <v>2046</v>
      </c>
      <c r="B1365" s="171" t="str">
        <f t="shared" si="63"/>
        <v>D_MAN_DST_SEGM_GROWTH</v>
      </c>
      <c r="C1365" s="169" t="s">
        <v>2134</v>
      </c>
      <c r="D1365" s="169">
        <v>733</v>
      </c>
      <c r="E1365" s="169">
        <v>1</v>
      </c>
      <c r="F1365" s="169" t="s">
        <v>2134</v>
      </c>
      <c r="G1365" s="169" t="s">
        <v>2134</v>
      </c>
      <c r="H1365" s="169">
        <v>7</v>
      </c>
      <c r="I1365" s="136" t="str">
        <f t="shared" si="64"/>
        <v>BIGINT</v>
      </c>
      <c r="J1365" s="169" t="s">
        <v>1</v>
      </c>
      <c r="K1365" s="169" t="s">
        <v>0</v>
      </c>
      <c r="L1365" s="169">
        <v>30</v>
      </c>
      <c r="M1365" s="168"/>
      <c r="N1365" s="168"/>
      <c r="O1365" s="168"/>
      <c r="P1365" s="168"/>
      <c r="Q1365" s="168" t="s">
        <v>0</v>
      </c>
      <c r="R1365" s="168" t="s">
        <v>1</v>
      </c>
      <c r="S1365" s="178" t="str">
        <f t="shared" si="65"/>
        <v>D_MAN_DST_SEGM_GROWTHDST_SEGM_GROWTH_ID</v>
      </c>
    </row>
    <row r="1366" spans="1:19" ht="14.4" x14ac:dyDescent="0.3">
      <c r="A1366" s="169" t="s">
        <v>2046</v>
      </c>
      <c r="B1366" s="171" t="str">
        <f t="shared" si="63"/>
        <v>D_MAN_DST_SEGM_GROWTH</v>
      </c>
      <c r="C1366" s="169" t="s">
        <v>515</v>
      </c>
      <c r="D1366" s="169">
        <v>734</v>
      </c>
      <c r="E1366" s="169">
        <v>2</v>
      </c>
      <c r="F1366" s="169" t="s">
        <v>515</v>
      </c>
      <c r="G1366" s="169" t="s">
        <v>515</v>
      </c>
      <c r="H1366" s="169">
        <v>7</v>
      </c>
      <c r="I1366" s="136" t="str">
        <f t="shared" si="64"/>
        <v>BIGINT</v>
      </c>
      <c r="J1366" s="169" t="s">
        <v>1</v>
      </c>
      <c r="K1366" s="169" t="s">
        <v>1</v>
      </c>
      <c r="L1366" s="169">
        <v>30</v>
      </c>
      <c r="M1366" s="168"/>
      <c r="N1366" s="168"/>
      <c r="O1366" s="168"/>
      <c r="P1366" s="168"/>
      <c r="Q1366" s="168" t="s">
        <v>0</v>
      </c>
      <c r="R1366" s="168" t="s">
        <v>1</v>
      </c>
      <c r="S1366" s="178" t="str">
        <f t="shared" si="65"/>
        <v>D_MAN_DST_SEGM_GROWTHECAP_SEGMENT_ID</v>
      </c>
    </row>
    <row r="1367" spans="1:19" ht="14.4" x14ac:dyDescent="0.3">
      <c r="A1367" s="169" t="s">
        <v>2046</v>
      </c>
      <c r="B1367" s="171" t="str">
        <f t="shared" si="63"/>
        <v>D_MAN_DST_SEGM_GROWTH</v>
      </c>
      <c r="C1367" s="169" t="s">
        <v>52</v>
      </c>
      <c r="D1367" s="169">
        <v>735</v>
      </c>
      <c r="E1367" s="169">
        <v>3</v>
      </c>
      <c r="F1367" s="169" t="s">
        <v>52</v>
      </c>
      <c r="G1367" s="169" t="s">
        <v>52</v>
      </c>
      <c r="H1367" s="169">
        <v>34</v>
      </c>
      <c r="I1367" s="136" t="str">
        <f t="shared" si="64"/>
        <v>DATE</v>
      </c>
      <c r="J1367" s="169" t="s">
        <v>1</v>
      </c>
      <c r="K1367" s="169" t="s">
        <v>1</v>
      </c>
      <c r="L1367" s="169">
        <v>30</v>
      </c>
      <c r="M1367" s="168"/>
      <c r="N1367" s="168"/>
      <c r="O1367" s="168"/>
      <c r="P1367" s="168"/>
      <c r="Q1367" s="168" t="s">
        <v>0</v>
      </c>
      <c r="R1367" s="168" t="s">
        <v>1</v>
      </c>
      <c r="S1367" s="178" t="str">
        <f t="shared" si="65"/>
        <v>D_MAN_DST_SEGM_GROWTHEND_DT</v>
      </c>
    </row>
    <row r="1368" spans="1:19" ht="14.4" x14ac:dyDescent="0.3">
      <c r="A1368" s="169" t="s">
        <v>2046</v>
      </c>
      <c r="B1368" s="171" t="str">
        <f t="shared" si="63"/>
        <v>D_MAN_DST_SEGM_GROWTH</v>
      </c>
      <c r="C1368" s="169" t="s">
        <v>2128</v>
      </c>
      <c r="D1368" s="169">
        <v>736</v>
      </c>
      <c r="E1368" s="169">
        <v>4</v>
      </c>
      <c r="F1368" s="169" t="s">
        <v>2128</v>
      </c>
      <c r="G1368" s="169" t="s">
        <v>2128</v>
      </c>
      <c r="H1368" s="169">
        <v>3</v>
      </c>
      <c r="I1368" s="136" t="str">
        <f t="shared" si="64"/>
        <v>DECIMAL(20, 6)</v>
      </c>
      <c r="J1368" s="169" t="s">
        <v>0</v>
      </c>
      <c r="K1368" s="169" t="s">
        <v>1</v>
      </c>
      <c r="L1368" s="169">
        <v>30</v>
      </c>
      <c r="M1368" s="168"/>
      <c r="N1368" s="168"/>
      <c r="O1368" s="168"/>
      <c r="P1368" s="168"/>
      <c r="Q1368" s="168" t="s">
        <v>0</v>
      </c>
      <c r="R1368" s="168" t="s">
        <v>1</v>
      </c>
      <c r="S1368" s="178" t="str">
        <f t="shared" si="65"/>
        <v>D_MAN_DST_SEGM_GROWTHGROWTH_RATE_PCT</v>
      </c>
    </row>
    <row r="1369" spans="1:19" ht="14.4" x14ac:dyDescent="0.3">
      <c r="A1369" s="169" t="s">
        <v>2046</v>
      </c>
      <c r="B1369" s="171" t="str">
        <f t="shared" si="63"/>
        <v>D_MAN_DST_SEGM_GROWTH</v>
      </c>
      <c r="C1369" s="169" t="s">
        <v>2073</v>
      </c>
      <c r="D1369" s="169">
        <v>737</v>
      </c>
      <c r="E1369" s="169">
        <v>5</v>
      </c>
      <c r="F1369" s="169" t="s">
        <v>2073</v>
      </c>
      <c r="G1369" s="169" t="s">
        <v>2073</v>
      </c>
      <c r="H1369" s="169">
        <v>7</v>
      </c>
      <c r="I1369" s="136" t="str">
        <f t="shared" si="64"/>
        <v>BIGINT</v>
      </c>
      <c r="J1369" s="169" t="s">
        <v>1</v>
      </c>
      <c r="K1369" s="169" t="s">
        <v>1</v>
      </c>
      <c r="L1369" s="169">
        <v>30</v>
      </c>
      <c r="M1369" s="168"/>
      <c r="N1369" s="168"/>
      <c r="O1369" s="168"/>
      <c r="P1369" s="168"/>
      <c r="Q1369" s="168" t="s">
        <v>0</v>
      </c>
      <c r="R1369" s="168" t="s">
        <v>1</v>
      </c>
      <c r="S1369" s="178" t="str">
        <f t="shared" si="65"/>
        <v>D_MAN_DST_SEGM_GROWTHPERIOD_ID</v>
      </c>
    </row>
    <row r="1370" spans="1:19" ht="14.4" x14ac:dyDescent="0.3">
      <c r="A1370" s="169" t="s">
        <v>2046</v>
      </c>
      <c r="B1370" s="171" t="str">
        <f t="shared" si="63"/>
        <v>D_MAN_DST_SEGM_GROWTH</v>
      </c>
      <c r="C1370" s="169" t="s">
        <v>2074</v>
      </c>
      <c r="D1370" s="169">
        <v>738</v>
      </c>
      <c r="E1370" s="169">
        <v>6</v>
      </c>
      <c r="F1370" s="169" t="s">
        <v>2074</v>
      </c>
      <c r="G1370" s="169" t="s">
        <v>2074</v>
      </c>
      <c r="H1370" s="169">
        <v>7</v>
      </c>
      <c r="I1370" s="136" t="str">
        <f t="shared" si="64"/>
        <v>BIGINT</v>
      </c>
      <c r="J1370" s="169" t="s">
        <v>1</v>
      </c>
      <c r="K1370" s="169" t="s">
        <v>1</v>
      </c>
      <c r="L1370" s="169">
        <v>30</v>
      </c>
      <c r="M1370" s="168"/>
      <c r="N1370" s="168"/>
      <c r="O1370" s="168"/>
      <c r="P1370" s="168"/>
      <c r="Q1370" s="168" t="s">
        <v>0</v>
      </c>
      <c r="R1370" s="168" t="s">
        <v>1</v>
      </c>
      <c r="S1370" s="178" t="str">
        <f t="shared" si="65"/>
        <v>D_MAN_DST_SEGM_GROWTHSCENARIO_ID</v>
      </c>
    </row>
    <row r="1371" spans="1:19" ht="14.4" x14ac:dyDescent="0.3">
      <c r="A1371" s="169" t="s">
        <v>2046</v>
      </c>
      <c r="B1371" s="171" t="str">
        <f t="shared" si="63"/>
        <v>D_MAN_DST_SEGM_GROWTH</v>
      </c>
      <c r="C1371" s="169" t="s">
        <v>51</v>
      </c>
      <c r="D1371" s="169">
        <v>739</v>
      </c>
      <c r="E1371" s="169">
        <v>7</v>
      </c>
      <c r="F1371" s="169" t="s">
        <v>51</v>
      </c>
      <c r="G1371" s="169" t="s">
        <v>51</v>
      </c>
      <c r="H1371" s="169">
        <v>34</v>
      </c>
      <c r="I1371" s="136" t="str">
        <f t="shared" si="64"/>
        <v>DATE</v>
      </c>
      <c r="J1371" s="169" t="s">
        <v>1</v>
      </c>
      <c r="K1371" s="169" t="s">
        <v>1</v>
      </c>
      <c r="L1371" s="169">
        <v>30</v>
      </c>
      <c r="M1371" s="168"/>
      <c r="N1371" s="168"/>
      <c r="O1371" s="168"/>
      <c r="P1371" s="168"/>
      <c r="Q1371" s="168" t="s">
        <v>0</v>
      </c>
      <c r="R1371" s="168" t="s">
        <v>1</v>
      </c>
      <c r="S1371" s="178" t="str">
        <f t="shared" si="65"/>
        <v>D_MAN_DST_SEGM_GROWTHSTART_DT</v>
      </c>
    </row>
    <row r="1372" spans="1:19" ht="14.4" x14ac:dyDescent="0.3">
      <c r="A1372" s="169" t="s">
        <v>2027</v>
      </c>
      <c r="B1372" s="171" t="str">
        <f t="shared" si="63"/>
        <v>D_MAN_DST_STRESS_FACTOR_VAL</v>
      </c>
      <c r="C1372" s="169" t="s">
        <v>2135</v>
      </c>
      <c r="D1372" s="169">
        <v>1723</v>
      </c>
      <c r="E1372" s="169">
        <v>1</v>
      </c>
      <c r="F1372" s="169" t="s">
        <v>2135</v>
      </c>
      <c r="G1372" s="169" t="s">
        <v>2135</v>
      </c>
      <c r="H1372" s="169">
        <v>7</v>
      </c>
      <c r="I1372" s="136" t="str">
        <f t="shared" si="64"/>
        <v>BIGINT</v>
      </c>
      <c r="J1372" s="169" t="s">
        <v>1</v>
      </c>
      <c r="K1372" s="169" t="s">
        <v>0</v>
      </c>
      <c r="L1372" s="169">
        <v>30</v>
      </c>
      <c r="M1372" s="168"/>
      <c r="N1372" s="168"/>
      <c r="O1372" s="168"/>
      <c r="P1372" s="168"/>
      <c r="Q1372" s="168" t="s">
        <v>0</v>
      </c>
      <c r="R1372" s="168" t="s">
        <v>1</v>
      </c>
      <c r="S1372" s="178" t="str">
        <f t="shared" si="65"/>
        <v>D_MAN_DST_STRESS_FACTOR_VALDST_STRESS_FACTOR_VAL_ID</v>
      </c>
    </row>
    <row r="1373" spans="1:19" ht="14.4" x14ac:dyDescent="0.3">
      <c r="A1373" s="169" t="s">
        <v>2027</v>
      </c>
      <c r="B1373" s="171" t="str">
        <f t="shared" si="63"/>
        <v>D_MAN_DST_STRESS_FACTOR_VAL</v>
      </c>
      <c r="C1373" s="169" t="s">
        <v>52</v>
      </c>
      <c r="D1373" s="169">
        <v>1724</v>
      </c>
      <c r="E1373" s="169">
        <v>2</v>
      </c>
      <c r="F1373" s="169" t="s">
        <v>52</v>
      </c>
      <c r="G1373" s="169" t="s">
        <v>52</v>
      </c>
      <c r="H1373" s="169">
        <v>34</v>
      </c>
      <c r="I1373" s="136" t="str">
        <f t="shared" si="64"/>
        <v>DATE</v>
      </c>
      <c r="J1373" s="169" t="s">
        <v>1</v>
      </c>
      <c r="K1373" s="169" t="s">
        <v>1</v>
      </c>
      <c r="L1373" s="169">
        <v>30</v>
      </c>
      <c r="M1373" s="168"/>
      <c r="N1373" s="168"/>
      <c r="O1373" s="168"/>
      <c r="P1373" s="168"/>
      <c r="Q1373" s="168" t="s">
        <v>0</v>
      </c>
      <c r="R1373" s="168" t="s">
        <v>1</v>
      </c>
      <c r="S1373" s="178" t="str">
        <f t="shared" si="65"/>
        <v>D_MAN_DST_STRESS_FACTOR_VALEND_DT</v>
      </c>
    </row>
    <row r="1374" spans="1:19" ht="14.4" x14ac:dyDescent="0.3">
      <c r="A1374" s="169" t="s">
        <v>2027</v>
      </c>
      <c r="B1374" s="171" t="str">
        <f t="shared" si="63"/>
        <v>D_MAN_DST_STRESS_FACTOR_VAL</v>
      </c>
      <c r="C1374" s="169" t="s">
        <v>2136</v>
      </c>
      <c r="D1374" s="169">
        <v>1725</v>
      </c>
      <c r="E1374" s="169">
        <v>3</v>
      </c>
      <c r="F1374" s="169" t="s">
        <v>2136</v>
      </c>
      <c r="G1374" s="169" t="s">
        <v>2136</v>
      </c>
      <c r="H1374" s="169">
        <v>3</v>
      </c>
      <c r="I1374" s="136" t="str">
        <f t="shared" si="64"/>
        <v>DECIMAL(20, 6)</v>
      </c>
      <c r="J1374" s="169" t="s">
        <v>0</v>
      </c>
      <c r="K1374" s="169" t="s">
        <v>1</v>
      </c>
      <c r="L1374" s="169">
        <v>30</v>
      </c>
      <c r="M1374" s="168"/>
      <c r="N1374" s="168"/>
      <c r="O1374" s="168"/>
      <c r="P1374" s="168"/>
      <c r="Q1374" s="168" t="s">
        <v>0</v>
      </c>
      <c r="R1374" s="168" t="s">
        <v>1</v>
      </c>
      <c r="S1374" s="178" t="str">
        <f t="shared" si="65"/>
        <v>D_MAN_DST_STRESS_FACTOR_VALFACTOR_VALUE</v>
      </c>
    </row>
    <row r="1375" spans="1:19" ht="14.4" x14ac:dyDescent="0.3">
      <c r="A1375" s="169" t="s">
        <v>2027</v>
      </c>
      <c r="B1375" s="171" t="str">
        <f t="shared" si="63"/>
        <v>D_MAN_DST_STRESS_FACTOR_VAL</v>
      </c>
      <c r="C1375" s="169" t="s">
        <v>2073</v>
      </c>
      <c r="D1375" s="169">
        <v>1726</v>
      </c>
      <c r="E1375" s="169">
        <v>4</v>
      </c>
      <c r="F1375" s="169" t="s">
        <v>2073</v>
      </c>
      <c r="G1375" s="169" t="s">
        <v>2073</v>
      </c>
      <c r="H1375" s="169">
        <v>7</v>
      </c>
      <c r="I1375" s="136" t="str">
        <f t="shared" si="64"/>
        <v>BIGINT</v>
      </c>
      <c r="J1375" s="169" t="s">
        <v>1</v>
      </c>
      <c r="K1375" s="169" t="s">
        <v>1</v>
      </c>
      <c r="L1375" s="169">
        <v>30</v>
      </c>
      <c r="M1375" s="168"/>
      <c r="N1375" s="168"/>
      <c r="O1375" s="168"/>
      <c r="P1375" s="168"/>
      <c r="Q1375" s="168" t="s">
        <v>0</v>
      </c>
      <c r="R1375" s="168" t="s">
        <v>1</v>
      </c>
      <c r="S1375" s="178" t="str">
        <f t="shared" si="65"/>
        <v>D_MAN_DST_STRESS_FACTOR_VALPERIOD_ID</v>
      </c>
    </row>
    <row r="1376" spans="1:19" ht="14.4" x14ac:dyDescent="0.3">
      <c r="A1376" s="169" t="s">
        <v>2027</v>
      </c>
      <c r="B1376" s="171" t="str">
        <f t="shared" si="63"/>
        <v>D_MAN_DST_STRESS_FACTOR_VAL</v>
      </c>
      <c r="C1376" s="169" t="s">
        <v>556</v>
      </c>
      <c r="D1376" s="169">
        <v>1727</v>
      </c>
      <c r="E1376" s="169">
        <v>5</v>
      </c>
      <c r="F1376" s="169" t="s">
        <v>556</v>
      </c>
      <c r="G1376" s="169" t="s">
        <v>556</v>
      </c>
      <c r="H1376" s="169">
        <v>7</v>
      </c>
      <c r="I1376" s="136" t="str">
        <f t="shared" si="64"/>
        <v>BIGINT</v>
      </c>
      <c r="J1376" s="169" t="s">
        <v>1</v>
      </c>
      <c r="K1376" s="169" t="s">
        <v>1</v>
      </c>
      <c r="L1376" s="169">
        <v>30</v>
      </c>
      <c r="M1376" s="168"/>
      <c r="N1376" s="168"/>
      <c r="O1376" s="168"/>
      <c r="P1376" s="168"/>
      <c r="Q1376" s="168" t="s">
        <v>0</v>
      </c>
      <c r="R1376" s="168" t="s">
        <v>1</v>
      </c>
      <c r="S1376" s="178" t="str">
        <f t="shared" si="65"/>
        <v>D_MAN_DST_STRESS_FACTOR_VALRISK_FACTOR_ID</v>
      </c>
    </row>
    <row r="1377" spans="1:19" ht="14.4" x14ac:dyDescent="0.3">
      <c r="A1377" s="169" t="s">
        <v>2027</v>
      </c>
      <c r="B1377" s="171" t="str">
        <f t="shared" si="63"/>
        <v>D_MAN_DST_STRESS_FACTOR_VAL</v>
      </c>
      <c r="C1377" s="169" t="s">
        <v>2074</v>
      </c>
      <c r="D1377" s="169">
        <v>1728</v>
      </c>
      <c r="E1377" s="169">
        <v>6</v>
      </c>
      <c r="F1377" s="169" t="s">
        <v>2074</v>
      </c>
      <c r="G1377" s="169" t="s">
        <v>2074</v>
      </c>
      <c r="H1377" s="169">
        <v>7</v>
      </c>
      <c r="I1377" s="136" t="str">
        <f t="shared" si="64"/>
        <v>BIGINT</v>
      </c>
      <c r="J1377" s="169" t="s">
        <v>1</v>
      </c>
      <c r="K1377" s="169" t="s">
        <v>1</v>
      </c>
      <c r="L1377" s="169">
        <v>30</v>
      </c>
      <c r="M1377" s="168"/>
      <c r="N1377" s="168"/>
      <c r="O1377" s="168"/>
      <c r="P1377" s="168"/>
      <c r="Q1377" s="168" t="s">
        <v>0</v>
      </c>
      <c r="R1377" s="168" t="s">
        <v>1</v>
      </c>
      <c r="S1377" s="178" t="str">
        <f t="shared" si="65"/>
        <v>D_MAN_DST_STRESS_FACTOR_VALSCENARIO_ID</v>
      </c>
    </row>
    <row r="1378" spans="1:19" ht="14.4" x14ac:dyDescent="0.3">
      <c r="A1378" s="169" t="s">
        <v>2027</v>
      </c>
      <c r="B1378" s="171" t="str">
        <f t="shared" si="63"/>
        <v>D_MAN_DST_STRESS_FACTOR_VAL</v>
      </c>
      <c r="C1378" s="169" t="s">
        <v>51</v>
      </c>
      <c r="D1378" s="169">
        <v>1729</v>
      </c>
      <c r="E1378" s="169">
        <v>7</v>
      </c>
      <c r="F1378" s="169" t="s">
        <v>51</v>
      </c>
      <c r="G1378" s="169" t="s">
        <v>51</v>
      </c>
      <c r="H1378" s="169">
        <v>34</v>
      </c>
      <c r="I1378" s="136" t="str">
        <f t="shared" si="64"/>
        <v>DATE</v>
      </c>
      <c r="J1378" s="169" t="s">
        <v>1</v>
      </c>
      <c r="K1378" s="169" t="s">
        <v>1</v>
      </c>
      <c r="L1378" s="169">
        <v>30</v>
      </c>
      <c r="M1378" s="168"/>
      <c r="N1378" s="168"/>
      <c r="O1378" s="168"/>
      <c r="P1378" s="168"/>
      <c r="Q1378" s="168" t="s">
        <v>0</v>
      </c>
      <c r="R1378" s="168" t="s">
        <v>1</v>
      </c>
      <c r="S1378" s="178" t="str">
        <f t="shared" si="65"/>
        <v>D_MAN_DST_STRESS_FACTOR_VALSTART_DT</v>
      </c>
    </row>
    <row r="1379" spans="1:19" ht="14.4" x14ac:dyDescent="0.3">
      <c r="A1379" s="169" t="s">
        <v>1836</v>
      </c>
      <c r="B1379" s="171" t="str">
        <f t="shared" si="63"/>
        <v>D_MAN_ECAP_PLAN</v>
      </c>
      <c r="C1379" s="169" t="s">
        <v>614</v>
      </c>
      <c r="D1379" s="169">
        <v>740</v>
      </c>
      <c r="E1379" s="169">
        <v>1</v>
      </c>
      <c r="F1379" s="169" t="s">
        <v>614</v>
      </c>
      <c r="G1379" s="169" t="s">
        <v>614</v>
      </c>
      <c r="H1379" s="169">
        <v>7</v>
      </c>
      <c r="I1379" s="136" t="str">
        <f t="shared" si="64"/>
        <v>BIGINT</v>
      </c>
      <c r="J1379" s="169" t="s">
        <v>0</v>
      </c>
      <c r="K1379" s="169" t="s">
        <v>1</v>
      </c>
      <c r="L1379" s="169">
        <v>30</v>
      </c>
      <c r="M1379" s="168"/>
      <c r="N1379" s="168"/>
      <c r="O1379" s="168"/>
      <c r="P1379" s="168"/>
      <c r="Q1379" s="168" t="s">
        <v>0</v>
      </c>
      <c r="R1379" s="168" t="s">
        <v>1</v>
      </c>
      <c r="S1379" s="178" t="str">
        <f t="shared" si="65"/>
        <v>D_MAN_ECAP_PLANCURRENCY_ID</v>
      </c>
    </row>
    <row r="1380" spans="1:19" ht="14.4" x14ac:dyDescent="0.3">
      <c r="A1380" s="169" t="s">
        <v>1836</v>
      </c>
      <c r="B1380" s="171" t="str">
        <f t="shared" si="63"/>
        <v>D_MAN_ECAP_PLAN</v>
      </c>
      <c r="C1380" s="169" t="s">
        <v>1930</v>
      </c>
      <c r="D1380" s="169">
        <v>741</v>
      </c>
      <c r="E1380" s="169">
        <v>2</v>
      </c>
      <c r="F1380" s="169" t="s">
        <v>1930</v>
      </c>
      <c r="G1380" s="169" t="s">
        <v>1930</v>
      </c>
      <c r="H1380" s="169">
        <v>7</v>
      </c>
      <c r="I1380" s="136" t="str">
        <f t="shared" si="64"/>
        <v>BIGINT</v>
      </c>
      <c r="J1380" s="169" t="s">
        <v>1</v>
      </c>
      <c r="K1380" s="169" t="s">
        <v>0</v>
      </c>
      <c r="L1380" s="169">
        <v>30</v>
      </c>
      <c r="M1380" s="168"/>
      <c r="N1380" s="168"/>
      <c r="O1380" s="168"/>
      <c r="P1380" s="168"/>
      <c r="Q1380" s="168" t="s">
        <v>0</v>
      </c>
      <c r="R1380" s="168" t="s">
        <v>1</v>
      </c>
      <c r="S1380" s="178" t="str">
        <f t="shared" si="65"/>
        <v>D_MAN_ECAP_PLANECAP_PLAN_ID</v>
      </c>
    </row>
    <row r="1381" spans="1:19" ht="14.4" x14ac:dyDescent="0.3">
      <c r="A1381" s="169" t="s">
        <v>1836</v>
      </c>
      <c r="B1381" s="171" t="str">
        <f t="shared" si="63"/>
        <v>D_MAN_ECAP_PLAN</v>
      </c>
      <c r="C1381" s="169" t="s">
        <v>52</v>
      </c>
      <c r="D1381" s="169">
        <v>742</v>
      </c>
      <c r="E1381" s="169">
        <v>3</v>
      </c>
      <c r="F1381" s="169" t="s">
        <v>52</v>
      </c>
      <c r="G1381" s="169" t="s">
        <v>52</v>
      </c>
      <c r="H1381" s="169">
        <v>34</v>
      </c>
      <c r="I1381" s="136" t="str">
        <f t="shared" si="64"/>
        <v>DATE</v>
      </c>
      <c r="J1381" s="169" t="s">
        <v>1</v>
      </c>
      <c r="K1381" s="169" t="s">
        <v>1</v>
      </c>
      <c r="L1381" s="169">
        <v>30</v>
      </c>
      <c r="M1381" s="168"/>
      <c r="N1381" s="168"/>
      <c r="O1381" s="168"/>
      <c r="P1381" s="168"/>
      <c r="Q1381" s="168" t="s">
        <v>0</v>
      </c>
      <c r="R1381" s="168" t="s">
        <v>1</v>
      </c>
      <c r="S1381" s="178" t="str">
        <f t="shared" si="65"/>
        <v>D_MAN_ECAP_PLANEND_DT</v>
      </c>
    </row>
    <row r="1382" spans="1:19" ht="14.4" x14ac:dyDescent="0.3">
      <c r="A1382" s="169" t="s">
        <v>1836</v>
      </c>
      <c r="B1382" s="171" t="str">
        <f t="shared" si="63"/>
        <v>D_MAN_ECAP_PLAN</v>
      </c>
      <c r="C1382" s="169" t="s">
        <v>1931</v>
      </c>
      <c r="D1382" s="169">
        <v>743</v>
      </c>
      <c r="E1382" s="169">
        <v>4</v>
      </c>
      <c r="F1382" s="169" t="s">
        <v>1931</v>
      </c>
      <c r="G1382" s="169" t="s">
        <v>1931</v>
      </c>
      <c r="H1382" s="169">
        <v>7</v>
      </c>
      <c r="I1382" s="136" t="str">
        <f t="shared" si="64"/>
        <v>BIGINT</v>
      </c>
      <c r="J1382" s="169" t="s">
        <v>0</v>
      </c>
      <c r="K1382" s="169" t="s">
        <v>1</v>
      </c>
      <c r="L1382" s="169">
        <v>30</v>
      </c>
      <c r="M1382" s="168"/>
      <c r="N1382" s="168"/>
      <c r="O1382" s="168"/>
      <c r="P1382" s="168"/>
      <c r="Q1382" s="168" t="s">
        <v>0</v>
      </c>
      <c r="R1382" s="168" t="s">
        <v>1</v>
      </c>
      <c r="S1382" s="178" t="str">
        <f t="shared" si="65"/>
        <v>D_MAN_ECAP_PLANENTITY_SYSTEM_ID</v>
      </c>
    </row>
    <row r="1383" spans="1:19" ht="14.4" x14ac:dyDescent="0.3">
      <c r="A1383" s="169" t="s">
        <v>1836</v>
      </c>
      <c r="B1383" s="171" t="str">
        <f t="shared" si="63"/>
        <v>D_MAN_ECAP_PLAN</v>
      </c>
      <c r="C1383" s="169" t="s">
        <v>1932</v>
      </c>
      <c r="D1383" s="169">
        <v>744</v>
      </c>
      <c r="E1383" s="169">
        <v>5</v>
      </c>
      <c r="F1383" s="169" t="s">
        <v>1932</v>
      </c>
      <c r="G1383" s="169" t="s">
        <v>1932</v>
      </c>
      <c r="H1383" s="169">
        <v>21</v>
      </c>
      <c r="I1383" s="136" t="str">
        <f t="shared" si="64"/>
        <v>DECIMAL(19, 2)</v>
      </c>
      <c r="J1383" s="169" t="s">
        <v>0</v>
      </c>
      <c r="K1383" s="169" t="s">
        <v>1</v>
      </c>
      <c r="L1383" s="169">
        <v>30</v>
      </c>
      <c r="M1383" s="168"/>
      <c r="N1383" s="168"/>
      <c r="O1383" s="168"/>
      <c r="P1383" s="168"/>
      <c r="Q1383" s="168" t="s">
        <v>0</v>
      </c>
      <c r="R1383" s="168" t="s">
        <v>1</v>
      </c>
      <c r="S1383" s="178" t="str">
        <f t="shared" si="65"/>
        <v>D_MAN_ECAP_PLANPLAN_CCY_AMT</v>
      </c>
    </row>
    <row r="1384" spans="1:19" ht="14.4" x14ac:dyDescent="0.3">
      <c r="A1384" s="169" t="s">
        <v>1836</v>
      </c>
      <c r="B1384" s="171" t="str">
        <f t="shared" si="63"/>
        <v>D_MAN_ECAP_PLAN</v>
      </c>
      <c r="C1384" s="169" t="s">
        <v>1933</v>
      </c>
      <c r="D1384" s="169">
        <v>745</v>
      </c>
      <c r="E1384" s="169">
        <v>6</v>
      </c>
      <c r="F1384" s="169" t="s">
        <v>1933</v>
      </c>
      <c r="G1384" s="169" t="s">
        <v>1933</v>
      </c>
      <c r="H1384" s="169">
        <v>21</v>
      </c>
      <c r="I1384" s="136" t="str">
        <f t="shared" si="64"/>
        <v>DECIMAL(19, 2)</v>
      </c>
      <c r="J1384" s="169" t="s">
        <v>0</v>
      </c>
      <c r="K1384" s="169" t="s">
        <v>1</v>
      </c>
      <c r="L1384" s="169">
        <v>30</v>
      </c>
      <c r="M1384" s="168"/>
      <c r="N1384" s="168"/>
      <c r="O1384" s="168"/>
      <c r="P1384" s="168"/>
      <c r="Q1384" s="168" t="s">
        <v>0</v>
      </c>
      <c r="R1384" s="168" t="s">
        <v>1</v>
      </c>
      <c r="S1384" s="178" t="str">
        <f t="shared" si="65"/>
        <v>D_MAN_ECAP_PLANPLAN_RUB_AMT</v>
      </c>
    </row>
    <row r="1385" spans="1:19" ht="14.4" x14ac:dyDescent="0.3">
      <c r="A1385" s="169" t="s">
        <v>1836</v>
      </c>
      <c r="B1385" s="171" t="str">
        <f t="shared" si="63"/>
        <v>D_MAN_ECAP_PLAN</v>
      </c>
      <c r="C1385" s="169" t="s">
        <v>51</v>
      </c>
      <c r="D1385" s="169">
        <v>746</v>
      </c>
      <c r="E1385" s="169">
        <v>7</v>
      </c>
      <c r="F1385" s="169" t="s">
        <v>51</v>
      </c>
      <c r="G1385" s="169" t="s">
        <v>51</v>
      </c>
      <c r="H1385" s="169">
        <v>34</v>
      </c>
      <c r="I1385" s="136" t="str">
        <f t="shared" si="64"/>
        <v>DATE</v>
      </c>
      <c r="J1385" s="169" t="s">
        <v>1</v>
      </c>
      <c r="K1385" s="169" t="s">
        <v>1</v>
      </c>
      <c r="L1385" s="169">
        <v>30</v>
      </c>
      <c r="M1385" s="168"/>
      <c r="N1385" s="168"/>
      <c r="O1385" s="168"/>
      <c r="P1385" s="168"/>
      <c r="Q1385" s="168" t="s">
        <v>0</v>
      </c>
      <c r="R1385" s="168" t="s">
        <v>1</v>
      </c>
      <c r="S1385" s="178" t="str">
        <f t="shared" si="65"/>
        <v>D_MAN_ECAP_PLANSTART_DT</v>
      </c>
    </row>
    <row r="1386" spans="1:19" ht="14.4" x14ac:dyDescent="0.3">
      <c r="A1386" s="169" t="s">
        <v>1836</v>
      </c>
      <c r="B1386" s="171" t="str">
        <f t="shared" si="63"/>
        <v>D_MAN_ECAP_PLAN</v>
      </c>
      <c r="C1386" s="169" t="s">
        <v>1934</v>
      </c>
      <c r="D1386" s="169">
        <v>747</v>
      </c>
      <c r="E1386" s="169">
        <v>8</v>
      </c>
      <c r="F1386" s="169" t="s">
        <v>1934</v>
      </c>
      <c r="G1386" s="169" t="s">
        <v>1934</v>
      </c>
      <c r="H1386" s="169">
        <v>27</v>
      </c>
      <c r="I1386" s="136" t="str">
        <f t="shared" si="64"/>
        <v>INTEGER</v>
      </c>
      <c r="J1386" s="169" t="s">
        <v>0</v>
      </c>
      <c r="K1386" s="169" t="s">
        <v>1</v>
      </c>
      <c r="L1386" s="169">
        <v>30</v>
      </c>
      <c r="M1386" s="168"/>
      <c r="N1386" s="168"/>
      <c r="O1386" s="168"/>
      <c r="P1386" s="168"/>
      <c r="Q1386" s="168" t="s">
        <v>0</v>
      </c>
      <c r="R1386" s="168" t="s">
        <v>1</v>
      </c>
      <c r="S1386" s="178" t="str">
        <f t="shared" si="65"/>
        <v>D_MAN_ECAP_PLANVERSION_NO</v>
      </c>
    </row>
    <row r="1387" spans="1:19" ht="14.4" x14ac:dyDescent="0.3">
      <c r="A1387" s="169" t="s">
        <v>1841</v>
      </c>
      <c r="B1387" s="171" t="str">
        <f t="shared" si="63"/>
        <v>D_MAN_QUOTE_DATA</v>
      </c>
      <c r="C1387" s="169" t="s">
        <v>52</v>
      </c>
      <c r="D1387" s="169">
        <v>748</v>
      </c>
      <c r="E1387" s="169">
        <v>1</v>
      </c>
      <c r="F1387" s="169" t="s">
        <v>52</v>
      </c>
      <c r="G1387" s="169" t="s">
        <v>52</v>
      </c>
      <c r="H1387" s="169">
        <v>34</v>
      </c>
      <c r="I1387" s="136" t="str">
        <f t="shared" si="64"/>
        <v>DATE</v>
      </c>
      <c r="J1387" s="169" t="s">
        <v>1</v>
      </c>
      <c r="K1387" s="169" t="s">
        <v>1</v>
      </c>
      <c r="L1387" s="169">
        <v>30</v>
      </c>
      <c r="M1387" s="168"/>
      <c r="N1387" s="168"/>
      <c r="O1387" s="168"/>
      <c r="P1387" s="168"/>
      <c r="Q1387" s="168" t="s">
        <v>0</v>
      </c>
      <c r="R1387" s="168" t="s">
        <v>1</v>
      </c>
      <c r="S1387" s="178" t="str">
        <f t="shared" si="65"/>
        <v>D_MAN_QUOTE_DATAEND_DT</v>
      </c>
    </row>
    <row r="1388" spans="1:19" ht="14.4" x14ac:dyDescent="0.3">
      <c r="A1388" s="169" t="s">
        <v>1841</v>
      </c>
      <c r="B1388" s="171" t="str">
        <f t="shared" si="63"/>
        <v>D_MAN_QUOTE_DATA</v>
      </c>
      <c r="C1388" s="169" t="s">
        <v>1935</v>
      </c>
      <c r="D1388" s="169">
        <v>749</v>
      </c>
      <c r="E1388" s="169">
        <v>2</v>
      </c>
      <c r="F1388" s="169" t="s">
        <v>1935</v>
      </c>
      <c r="G1388" s="169" t="s">
        <v>1935</v>
      </c>
      <c r="H1388" s="169">
        <v>7</v>
      </c>
      <c r="I1388" s="136" t="str">
        <f t="shared" si="64"/>
        <v>BIGINT</v>
      </c>
      <c r="J1388" s="169" t="s">
        <v>1</v>
      </c>
      <c r="K1388" s="169" t="s">
        <v>0</v>
      </c>
      <c r="L1388" s="169">
        <v>30</v>
      </c>
      <c r="M1388" s="168"/>
      <c r="N1388" s="168"/>
      <c r="O1388" s="168"/>
      <c r="P1388" s="168"/>
      <c r="Q1388" s="168" t="s">
        <v>0</v>
      </c>
      <c r="R1388" s="168" t="s">
        <v>1</v>
      </c>
      <c r="S1388" s="178" t="str">
        <f t="shared" si="65"/>
        <v>D_MAN_QUOTE_DATAQUOTE_DATA_ID</v>
      </c>
    </row>
    <row r="1389" spans="1:19" ht="14.4" x14ac:dyDescent="0.3">
      <c r="A1389" s="169" t="s">
        <v>1841</v>
      </c>
      <c r="B1389" s="171" t="str">
        <f t="shared" si="63"/>
        <v>D_MAN_QUOTE_DATA</v>
      </c>
      <c r="C1389" s="169" t="s">
        <v>556</v>
      </c>
      <c r="D1389" s="169">
        <v>750</v>
      </c>
      <c r="E1389" s="169">
        <v>3</v>
      </c>
      <c r="F1389" s="169" t="s">
        <v>556</v>
      </c>
      <c r="G1389" s="169" t="s">
        <v>556</v>
      </c>
      <c r="H1389" s="169">
        <v>7</v>
      </c>
      <c r="I1389" s="136" t="str">
        <f t="shared" si="64"/>
        <v>BIGINT</v>
      </c>
      <c r="J1389" s="169" t="s">
        <v>1</v>
      </c>
      <c r="K1389" s="169" t="s">
        <v>1</v>
      </c>
      <c r="L1389" s="169">
        <v>30</v>
      </c>
      <c r="M1389" s="168"/>
      <c r="N1389" s="168"/>
      <c r="O1389" s="168"/>
      <c r="P1389" s="168"/>
      <c r="Q1389" s="168" t="s">
        <v>0</v>
      </c>
      <c r="R1389" s="168" t="s">
        <v>1</v>
      </c>
      <c r="S1389" s="178" t="str">
        <f t="shared" si="65"/>
        <v>D_MAN_QUOTE_DATARISK_FACTOR_ID</v>
      </c>
    </row>
    <row r="1390" spans="1:19" ht="14.4" x14ac:dyDescent="0.3">
      <c r="A1390" s="169" t="s">
        <v>1841</v>
      </c>
      <c r="B1390" s="171" t="str">
        <f t="shared" si="63"/>
        <v>D_MAN_QUOTE_DATA</v>
      </c>
      <c r="C1390" s="169" t="s">
        <v>1936</v>
      </c>
      <c r="D1390" s="169">
        <v>751</v>
      </c>
      <c r="E1390" s="169">
        <v>4</v>
      </c>
      <c r="F1390" s="169" t="s">
        <v>1936</v>
      </c>
      <c r="G1390" s="169" t="s">
        <v>1936</v>
      </c>
      <c r="H1390" s="169">
        <v>3</v>
      </c>
      <c r="I1390" s="136" t="str">
        <f t="shared" si="64"/>
        <v>DECIMAL(20, 6)</v>
      </c>
      <c r="J1390" s="169" t="s">
        <v>0</v>
      </c>
      <c r="K1390" s="169" t="s">
        <v>1</v>
      </c>
      <c r="L1390" s="169">
        <v>30</v>
      </c>
      <c r="M1390" s="168"/>
      <c r="N1390" s="168"/>
      <c r="O1390" s="168"/>
      <c r="P1390" s="168"/>
      <c r="Q1390" s="168" t="s">
        <v>0</v>
      </c>
      <c r="R1390" s="168" t="s">
        <v>1</v>
      </c>
      <c r="S1390" s="178" t="str">
        <f t="shared" si="65"/>
        <v>D_MAN_QUOTE_DATARISK_FACTOR_VALUE</v>
      </c>
    </row>
    <row r="1391" spans="1:19" ht="14.4" x14ac:dyDescent="0.3">
      <c r="A1391" s="169" t="s">
        <v>1841</v>
      </c>
      <c r="B1391" s="171" t="str">
        <f t="shared" si="63"/>
        <v>D_MAN_QUOTE_DATA</v>
      </c>
      <c r="C1391" s="169" t="s">
        <v>51</v>
      </c>
      <c r="D1391" s="169">
        <v>752</v>
      </c>
      <c r="E1391" s="169">
        <v>5</v>
      </c>
      <c r="F1391" s="169" t="s">
        <v>51</v>
      </c>
      <c r="G1391" s="169" t="s">
        <v>51</v>
      </c>
      <c r="H1391" s="169">
        <v>34</v>
      </c>
      <c r="I1391" s="136" t="str">
        <f t="shared" si="64"/>
        <v>DATE</v>
      </c>
      <c r="J1391" s="169" t="s">
        <v>1</v>
      </c>
      <c r="K1391" s="169" t="s">
        <v>1</v>
      </c>
      <c r="L1391" s="169">
        <v>30</v>
      </c>
      <c r="M1391" s="168"/>
      <c r="N1391" s="168"/>
      <c r="O1391" s="168"/>
      <c r="P1391" s="168"/>
      <c r="Q1391" s="168" t="s">
        <v>0</v>
      </c>
      <c r="R1391" s="168" t="s">
        <v>1</v>
      </c>
      <c r="S1391" s="178" t="str">
        <f t="shared" si="65"/>
        <v>D_MAN_QUOTE_DATASTART_DT</v>
      </c>
    </row>
    <row r="1392" spans="1:19" ht="14.4" x14ac:dyDescent="0.3">
      <c r="A1392" s="169" t="s">
        <v>1846</v>
      </c>
      <c r="B1392" s="171" t="str">
        <f t="shared" si="63"/>
        <v>D_MAN_REGLTRY_CAPITAL_MART</v>
      </c>
      <c r="C1392" s="169" t="s">
        <v>614</v>
      </c>
      <c r="D1392" s="169">
        <v>1730</v>
      </c>
      <c r="E1392" s="169">
        <v>1</v>
      </c>
      <c r="F1392" s="169" t="s">
        <v>614</v>
      </c>
      <c r="G1392" s="169" t="s">
        <v>614</v>
      </c>
      <c r="H1392" s="169">
        <v>7</v>
      </c>
      <c r="I1392" s="136" t="str">
        <f t="shared" si="64"/>
        <v>BIGINT</v>
      </c>
      <c r="J1392" s="169" t="s">
        <v>0</v>
      </c>
      <c r="K1392" s="169" t="s">
        <v>1</v>
      </c>
      <c r="L1392" s="169">
        <v>30</v>
      </c>
      <c r="M1392" s="168"/>
      <c r="N1392" s="168"/>
      <c r="O1392" s="168"/>
      <c r="P1392" s="168"/>
      <c r="Q1392" s="168" t="s">
        <v>0</v>
      </c>
      <c r="R1392" s="168" t="s">
        <v>1</v>
      </c>
      <c r="S1392" s="178" t="str">
        <f t="shared" si="65"/>
        <v>D_MAN_REGLTRY_CAPITAL_MARTCURRENCY_ID</v>
      </c>
    </row>
    <row r="1393" spans="1:19" ht="14.4" x14ac:dyDescent="0.3">
      <c r="A1393" s="169" t="s">
        <v>1846</v>
      </c>
      <c r="B1393" s="171" t="str">
        <f t="shared" si="63"/>
        <v>D_MAN_REGLTRY_CAPITAL_MART</v>
      </c>
      <c r="C1393" s="169" t="s">
        <v>52</v>
      </c>
      <c r="D1393" s="169">
        <v>1731</v>
      </c>
      <c r="E1393" s="169">
        <v>2</v>
      </c>
      <c r="F1393" s="169" t="s">
        <v>52</v>
      </c>
      <c r="G1393" s="169" t="s">
        <v>52</v>
      </c>
      <c r="H1393" s="169">
        <v>34</v>
      </c>
      <c r="I1393" s="136" t="str">
        <f t="shared" si="64"/>
        <v>DATE</v>
      </c>
      <c r="J1393" s="169" t="s">
        <v>1</v>
      </c>
      <c r="K1393" s="169" t="s">
        <v>1</v>
      </c>
      <c r="L1393" s="169">
        <v>30</v>
      </c>
      <c r="M1393" s="168"/>
      <c r="N1393" s="168"/>
      <c r="O1393" s="168"/>
      <c r="P1393" s="168"/>
      <c r="Q1393" s="168" t="s">
        <v>0</v>
      </c>
      <c r="R1393" s="168" t="s">
        <v>1</v>
      </c>
      <c r="S1393" s="178" t="str">
        <f t="shared" si="65"/>
        <v>D_MAN_REGLTRY_CAPITAL_MARTEND_DT</v>
      </c>
    </row>
    <row r="1394" spans="1:19" ht="14.4" x14ac:dyDescent="0.3">
      <c r="A1394" s="169" t="s">
        <v>1846</v>
      </c>
      <c r="B1394" s="171" t="str">
        <f t="shared" si="63"/>
        <v>D_MAN_REGLTRY_CAPITAL_MART</v>
      </c>
      <c r="C1394" s="169" t="s">
        <v>532</v>
      </c>
      <c r="D1394" s="169">
        <v>1732</v>
      </c>
      <c r="E1394" s="169">
        <v>3</v>
      </c>
      <c r="F1394" s="169" t="s">
        <v>532</v>
      </c>
      <c r="G1394" s="169" t="s">
        <v>532</v>
      </c>
      <c r="H1394" s="169">
        <v>7</v>
      </c>
      <c r="I1394" s="136" t="str">
        <f t="shared" si="64"/>
        <v>BIGINT</v>
      </c>
      <c r="J1394" s="169" t="s">
        <v>0</v>
      </c>
      <c r="K1394" s="169" t="s">
        <v>1</v>
      </c>
      <c r="L1394" s="169">
        <v>30</v>
      </c>
      <c r="M1394" s="168"/>
      <c r="N1394" s="168"/>
      <c r="O1394" s="168"/>
      <c r="P1394" s="168"/>
      <c r="Q1394" s="168" t="s">
        <v>0</v>
      </c>
      <c r="R1394" s="168" t="s">
        <v>1</v>
      </c>
      <c r="S1394" s="178" t="str">
        <f t="shared" si="65"/>
        <v>D_MAN_REGLTRY_CAPITAL_MARTINT_ORG_ID</v>
      </c>
    </row>
    <row r="1395" spans="1:19" ht="14.4" x14ac:dyDescent="0.3">
      <c r="A1395" s="169" t="s">
        <v>1846</v>
      </c>
      <c r="B1395" s="171" t="str">
        <f t="shared" si="63"/>
        <v>D_MAN_REGLTRY_CAPITAL_MART</v>
      </c>
      <c r="C1395" s="169" t="s">
        <v>1937</v>
      </c>
      <c r="D1395" s="169">
        <v>1733</v>
      </c>
      <c r="E1395" s="169">
        <v>4</v>
      </c>
      <c r="F1395" s="169" t="s">
        <v>1937</v>
      </c>
      <c r="G1395" s="169" t="s">
        <v>1937</v>
      </c>
      <c r="H1395" s="169">
        <v>21</v>
      </c>
      <c r="I1395" s="136" t="str">
        <f t="shared" si="64"/>
        <v>DECIMAL(19, 2)</v>
      </c>
      <c r="J1395" s="169" t="s">
        <v>0</v>
      </c>
      <c r="K1395" s="169" t="s">
        <v>1</v>
      </c>
      <c r="L1395" s="169">
        <v>30</v>
      </c>
      <c r="M1395" s="168"/>
      <c r="N1395" s="168"/>
      <c r="O1395" s="168"/>
      <c r="P1395" s="168"/>
      <c r="Q1395" s="168" t="s">
        <v>0</v>
      </c>
      <c r="R1395" s="168" t="s">
        <v>1</v>
      </c>
      <c r="S1395" s="178" t="str">
        <f t="shared" si="65"/>
        <v>D_MAN_REGLTRY_CAPITAL_MARTREGLTRY_CAPITAL_CCY_AMT</v>
      </c>
    </row>
    <row r="1396" spans="1:19" ht="14.4" x14ac:dyDescent="0.3">
      <c r="A1396" s="169" t="s">
        <v>1846</v>
      </c>
      <c r="B1396" s="171" t="str">
        <f t="shared" si="63"/>
        <v>D_MAN_REGLTRY_CAPITAL_MART</v>
      </c>
      <c r="C1396" s="169" t="s">
        <v>1938</v>
      </c>
      <c r="D1396" s="169">
        <v>1734</v>
      </c>
      <c r="E1396" s="169">
        <v>5</v>
      </c>
      <c r="F1396" s="169" t="s">
        <v>1938</v>
      </c>
      <c r="G1396" s="169" t="s">
        <v>1938</v>
      </c>
      <c r="H1396" s="169">
        <v>7</v>
      </c>
      <c r="I1396" s="136" t="str">
        <f t="shared" si="64"/>
        <v>BIGINT</v>
      </c>
      <c r="J1396" s="169" t="s">
        <v>1</v>
      </c>
      <c r="K1396" s="169" t="s">
        <v>0</v>
      </c>
      <c r="L1396" s="169">
        <v>30</v>
      </c>
      <c r="M1396" s="168"/>
      <c r="N1396" s="168"/>
      <c r="O1396" s="168"/>
      <c r="P1396" s="168"/>
      <c r="Q1396" s="168" t="s">
        <v>0</v>
      </c>
      <c r="R1396" s="168" t="s">
        <v>1</v>
      </c>
      <c r="S1396" s="178" t="str">
        <f t="shared" si="65"/>
        <v>D_MAN_REGLTRY_CAPITAL_MARTREGLTRY_CAPITAL_MART_ID</v>
      </c>
    </row>
    <row r="1397" spans="1:19" ht="14.4" x14ac:dyDescent="0.3">
      <c r="A1397" s="169" t="s">
        <v>1846</v>
      </c>
      <c r="B1397" s="171" t="str">
        <f t="shared" si="63"/>
        <v>D_MAN_REGLTRY_CAPITAL_MART</v>
      </c>
      <c r="C1397" s="169" t="s">
        <v>51</v>
      </c>
      <c r="D1397" s="169">
        <v>1735</v>
      </c>
      <c r="E1397" s="169">
        <v>6</v>
      </c>
      <c r="F1397" s="169" t="s">
        <v>51</v>
      </c>
      <c r="G1397" s="169" t="s">
        <v>51</v>
      </c>
      <c r="H1397" s="169">
        <v>34</v>
      </c>
      <c r="I1397" s="136" t="str">
        <f t="shared" si="64"/>
        <v>DATE</v>
      </c>
      <c r="J1397" s="169" t="s">
        <v>1</v>
      </c>
      <c r="K1397" s="169" t="s">
        <v>1</v>
      </c>
      <c r="L1397" s="169">
        <v>30</v>
      </c>
      <c r="M1397" s="168"/>
      <c r="N1397" s="168"/>
      <c r="O1397" s="168"/>
      <c r="P1397" s="168"/>
      <c r="Q1397" s="168" t="s">
        <v>0</v>
      </c>
      <c r="R1397" s="168" t="s">
        <v>1</v>
      </c>
      <c r="S1397" s="178" t="str">
        <f t="shared" si="65"/>
        <v>D_MAN_REGLTRY_CAPITAL_MARTSTART_DT</v>
      </c>
    </row>
    <row r="1398" spans="1:19" ht="14.4" x14ac:dyDescent="0.3">
      <c r="A1398" s="169" t="s">
        <v>1329</v>
      </c>
      <c r="B1398" s="171" t="str">
        <f t="shared" si="63"/>
        <v>D_MAP_BASEL2_CLASS</v>
      </c>
      <c r="C1398" s="169" t="s">
        <v>1553</v>
      </c>
      <c r="D1398" s="169">
        <v>1736</v>
      </c>
      <c r="E1398" s="169">
        <v>1</v>
      </c>
      <c r="F1398" s="169" t="s">
        <v>1553</v>
      </c>
      <c r="G1398" s="169" t="s">
        <v>1553</v>
      </c>
      <c r="H1398" s="169">
        <v>7</v>
      </c>
      <c r="I1398" s="136" t="str">
        <f t="shared" si="64"/>
        <v>BIGINT</v>
      </c>
      <c r="J1398" s="169" t="s">
        <v>1</v>
      </c>
      <c r="K1398" s="169" t="s">
        <v>0</v>
      </c>
      <c r="L1398" s="169">
        <v>30</v>
      </c>
      <c r="M1398" s="168"/>
      <c r="N1398" s="168"/>
      <c r="O1398" s="168"/>
      <c r="P1398" s="168"/>
      <c r="Q1398" s="168" t="s">
        <v>0</v>
      </c>
      <c r="R1398" s="168" t="s">
        <v>1</v>
      </c>
      <c r="S1398" s="178" t="str">
        <f t="shared" si="65"/>
        <v>D_MAP_BASEL2_CLASSBASEL2_CLASS_ID</v>
      </c>
    </row>
    <row r="1399" spans="1:19" ht="14.4" x14ac:dyDescent="0.3">
      <c r="A1399" s="169" t="s">
        <v>1329</v>
      </c>
      <c r="B1399" s="171" t="str">
        <f t="shared" si="63"/>
        <v>D_MAP_BASEL2_CLASS</v>
      </c>
      <c r="C1399" s="169" t="s">
        <v>1420</v>
      </c>
      <c r="D1399" s="169">
        <v>1737</v>
      </c>
      <c r="E1399" s="169">
        <v>2</v>
      </c>
      <c r="F1399" s="169" t="s">
        <v>1420</v>
      </c>
      <c r="G1399" s="169" t="s">
        <v>1420</v>
      </c>
      <c r="H1399" s="169">
        <v>7</v>
      </c>
      <c r="I1399" s="136" t="str">
        <f t="shared" si="64"/>
        <v>BIGINT</v>
      </c>
      <c r="J1399" s="169" t="s">
        <v>0</v>
      </c>
      <c r="K1399" s="169" t="s">
        <v>1</v>
      </c>
      <c r="L1399" s="169">
        <v>30</v>
      </c>
      <c r="M1399" s="168"/>
      <c r="N1399" s="168"/>
      <c r="O1399" s="168"/>
      <c r="P1399" s="168"/>
      <c r="Q1399" s="168" t="s">
        <v>0</v>
      </c>
      <c r="R1399" s="168" t="s">
        <v>1</v>
      </c>
      <c r="S1399" s="178" t="str">
        <f t="shared" si="65"/>
        <v>D_MAP_BASEL2_CLASSBASEL2_INT_CLASS_ID</v>
      </c>
    </row>
    <row r="1400" spans="1:19" ht="14.4" x14ac:dyDescent="0.3">
      <c r="A1400" s="169" t="s">
        <v>1329</v>
      </c>
      <c r="B1400" s="171" t="str">
        <f t="shared" si="63"/>
        <v>D_MAP_BASEL2_CLASS</v>
      </c>
      <c r="C1400" s="169" t="s">
        <v>848</v>
      </c>
      <c r="D1400" s="169">
        <v>1738</v>
      </c>
      <c r="E1400" s="169">
        <v>3</v>
      </c>
      <c r="F1400" s="169" t="s">
        <v>848</v>
      </c>
      <c r="G1400" s="169" t="s">
        <v>848</v>
      </c>
      <c r="H1400" s="169">
        <v>15</v>
      </c>
      <c r="I1400" s="136" t="str">
        <f t="shared" si="64"/>
        <v xml:space="preserve">CHAR(1) </v>
      </c>
      <c r="J1400" s="169" t="s">
        <v>0</v>
      </c>
      <c r="K1400" s="169" t="s">
        <v>1</v>
      </c>
      <c r="L1400" s="169">
        <v>30</v>
      </c>
      <c r="M1400" s="168"/>
      <c r="N1400" s="168"/>
      <c r="O1400" s="168"/>
      <c r="P1400" s="168"/>
      <c r="Q1400" s="168" t="s">
        <v>0</v>
      </c>
      <c r="R1400" s="168" t="s">
        <v>1</v>
      </c>
      <c r="S1400" s="178" t="str">
        <f t="shared" si="65"/>
        <v>D_MAP_BASEL2_CLASSCBRF_FLAG_IND</v>
      </c>
    </row>
    <row r="1401" spans="1:19" ht="14.4" x14ac:dyDescent="0.3">
      <c r="A1401" s="169" t="s">
        <v>1329</v>
      </c>
      <c r="B1401" s="171" t="str">
        <f t="shared" si="63"/>
        <v>D_MAP_BASEL2_CLASS</v>
      </c>
      <c r="C1401" s="169" t="s">
        <v>869</v>
      </c>
      <c r="D1401" s="169">
        <v>1739</v>
      </c>
      <c r="E1401" s="169">
        <v>4</v>
      </c>
      <c r="F1401" s="169" t="s">
        <v>869</v>
      </c>
      <c r="G1401" s="169" t="s">
        <v>869</v>
      </c>
      <c r="H1401" s="169">
        <v>7</v>
      </c>
      <c r="I1401" s="136" t="str">
        <f t="shared" si="64"/>
        <v>BIGINT</v>
      </c>
      <c r="J1401" s="169" t="s">
        <v>0</v>
      </c>
      <c r="K1401" s="169" t="s">
        <v>1</v>
      </c>
      <c r="L1401" s="169">
        <v>30</v>
      </c>
      <c r="M1401" s="168"/>
      <c r="N1401" s="168"/>
      <c r="O1401" s="168"/>
      <c r="P1401" s="168"/>
      <c r="Q1401" s="168" t="s">
        <v>0</v>
      </c>
      <c r="R1401" s="168" t="s">
        <v>1</v>
      </c>
      <c r="S1401" s="178" t="str">
        <f t="shared" si="65"/>
        <v>D_MAP_BASEL2_CLASSCCF_TYPE_ID</v>
      </c>
    </row>
    <row r="1402" spans="1:19" ht="14.4" x14ac:dyDescent="0.3">
      <c r="A1402" s="169" t="s">
        <v>1329</v>
      </c>
      <c r="B1402" s="171" t="str">
        <f t="shared" si="63"/>
        <v>D_MAP_BASEL2_CLASS</v>
      </c>
      <c r="C1402" s="169" t="s">
        <v>470</v>
      </c>
      <c r="D1402" s="169">
        <v>1740</v>
      </c>
      <c r="E1402" s="169">
        <v>5</v>
      </c>
      <c r="F1402" s="169" t="s">
        <v>470</v>
      </c>
      <c r="G1402" s="169" t="s">
        <v>470</v>
      </c>
      <c r="H1402" s="169">
        <v>7</v>
      </c>
      <c r="I1402" s="136" t="str">
        <f t="shared" si="64"/>
        <v>BIGINT</v>
      </c>
      <c r="J1402" s="169" t="s">
        <v>0</v>
      </c>
      <c r="K1402" s="169" t="s">
        <v>1</v>
      </c>
      <c r="L1402" s="169">
        <v>30</v>
      </c>
      <c r="M1402" s="168"/>
      <c r="N1402" s="168"/>
      <c r="O1402" s="168"/>
      <c r="P1402" s="168"/>
      <c r="Q1402" s="168" t="s">
        <v>0</v>
      </c>
      <c r="R1402" s="168" t="s">
        <v>1</v>
      </c>
      <c r="S1402" s="178" t="str">
        <f t="shared" si="65"/>
        <v>D_MAP_BASEL2_CLASSCP_TYPE_ID</v>
      </c>
    </row>
    <row r="1403" spans="1:19" ht="14.4" x14ac:dyDescent="0.3">
      <c r="A1403" s="169" t="s">
        <v>1329</v>
      </c>
      <c r="B1403" s="171" t="str">
        <f t="shared" si="63"/>
        <v>D_MAP_BASEL2_CLASS</v>
      </c>
      <c r="C1403" s="169" t="s">
        <v>52</v>
      </c>
      <c r="D1403" s="169">
        <v>1741</v>
      </c>
      <c r="E1403" s="169">
        <v>6</v>
      </c>
      <c r="F1403" s="169" t="s">
        <v>52</v>
      </c>
      <c r="G1403" s="169" t="s">
        <v>52</v>
      </c>
      <c r="H1403" s="169">
        <v>34</v>
      </c>
      <c r="I1403" s="136" t="str">
        <f t="shared" si="64"/>
        <v>DATE</v>
      </c>
      <c r="J1403" s="169" t="s">
        <v>1</v>
      </c>
      <c r="K1403" s="169" t="s">
        <v>1</v>
      </c>
      <c r="L1403" s="169">
        <v>30</v>
      </c>
      <c r="M1403" s="168"/>
      <c r="N1403" s="168"/>
      <c r="O1403" s="168"/>
      <c r="P1403" s="168"/>
      <c r="Q1403" s="168" t="s">
        <v>0</v>
      </c>
      <c r="R1403" s="168" t="s">
        <v>1</v>
      </c>
      <c r="S1403" s="178" t="str">
        <f t="shared" si="65"/>
        <v>D_MAP_BASEL2_CLASSEND_DT</v>
      </c>
    </row>
    <row r="1404" spans="1:19" ht="14.4" x14ac:dyDescent="0.3">
      <c r="A1404" s="169" t="s">
        <v>1329</v>
      </c>
      <c r="B1404" s="171" t="str">
        <f t="shared" si="63"/>
        <v>D_MAP_BASEL2_CLASS</v>
      </c>
      <c r="C1404" s="169" t="s">
        <v>599</v>
      </c>
      <c r="D1404" s="169">
        <v>1742</v>
      </c>
      <c r="E1404" s="169">
        <v>7</v>
      </c>
      <c r="F1404" s="169" t="s">
        <v>599</v>
      </c>
      <c r="G1404" s="169" t="s">
        <v>599</v>
      </c>
      <c r="H1404" s="169">
        <v>13</v>
      </c>
      <c r="I1404" s="136" t="str">
        <f t="shared" si="64"/>
        <v xml:space="preserve">VARCHAR(300) </v>
      </c>
      <c r="J1404" s="169" t="s">
        <v>0</v>
      </c>
      <c r="K1404" s="169" t="s">
        <v>1</v>
      </c>
      <c r="L1404" s="169">
        <v>30</v>
      </c>
      <c r="M1404" s="168"/>
      <c r="N1404" s="168"/>
      <c r="O1404" s="168"/>
      <c r="P1404" s="168"/>
      <c r="Q1404" s="168" t="s">
        <v>0</v>
      </c>
      <c r="R1404" s="168" t="s">
        <v>1</v>
      </c>
      <c r="S1404" s="178" t="str">
        <f t="shared" si="65"/>
        <v>D_MAP_BASEL2_CLASSLIMIT_TYPE</v>
      </c>
    </row>
    <row r="1405" spans="1:19" ht="14.4" x14ac:dyDescent="0.3">
      <c r="A1405" s="169" t="s">
        <v>1329</v>
      </c>
      <c r="B1405" s="171" t="str">
        <f t="shared" si="63"/>
        <v>D_MAP_BASEL2_CLASS</v>
      </c>
      <c r="C1405" s="169" t="s">
        <v>434</v>
      </c>
      <c r="D1405" s="169">
        <v>1743</v>
      </c>
      <c r="E1405" s="169">
        <v>8</v>
      </c>
      <c r="F1405" s="169" t="s">
        <v>434</v>
      </c>
      <c r="G1405" s="169" t="s">
        <v>434</v>
      </c>
      <c r="H1405" s="169">
        <v>27</v>
      </c>
      <c r="I1405" s="136" t="str">
        <f t="shared" si="64"/>
        <v>INTEGER</v>
      </c>
      <c r="J1405" s="169" t="s">
        <v>0</v>
      </c>
      <c r="K1405" s="169" t="s">
        <v>1</v>
      </c>
      <c r="L1405" s="169">
        <v>30</v>
      </c>
      <c r="M1405" s="168"/>
      <c r="N1405" s="168"/>
      <c r="O1405" s="168"/>
      <c r="P1405" s="168"/>
      <c r="Q1405" s="168" t="s">
        <v>0</v>
      </c>
      <c r="R1405" s="168" t="s">
        <v>1</v>
      </c>
      <c r="S1405" s="178" t="str">
        <f t="shared" si="65"/>
        <v>D_MAP_BASEL2_CLASSPRIORITY</v>
      </c>
    </row>
    <row r="1406" spans="1:19" ht="14.4" x14ac:dyDescent="0.3">
      <c r="A1406" s="169" t="s">
        <v>1329</v>
      </c>
      <c r="B1406" s="171" t="str">
        <f t="shared" si="63"/>
        <v>D_MAP_BASEL2_CLASS</v>
      </c>
      <c r="C1406" s="169" t="s">
        <v>486</v>
      </c>
      <c r="D1406" s="169">
        <v>1744</v>
      </c>
      <c r="E1406" s="169">
        <v>9</v>
      </c>
      <c r="F1406" s="169" t="s">
        <v>486</v>
      </c>
      <c r="G1406" s="169" t="s">
        <v>486</v>
      </c>
      <c r="H1406" s="169">
        <v>7</v>
      </c>
      <c r="I1406" s="136" t="str">
        <f t="shared" si="64"/>
        <v>BIGINT</v>
      </c>
      <c r="J1406" s="169" t="s">
        <v>0</v>
      </c>
      <c r="K1406" s="169" t="s">
        <v>1</v>
      </c>
      <c r="L1406" s="169">
        <v>30</v>
      </c>
      <c r="M1406" s="168"/>
      <c r="N1406" s="168"/>
      <c r="O1406" s="168"/>
      <c r="P1406" s="168"/>
      <c r="Q1406" s="168" t="s">
        <v>0</v>
      </c>
      <c r="R1406" s="168" t="s">
        <v>1</v>
      </c>
      <c r="S1406" s="178" t="str">
        <f t="shared" si="65"/>
        <v>D_MAP_BASEL2_CLASSREGLTRY_CP_TYPE_ID</v>
      </c>
    </row>
    <row r="1407" spans="1:19" ht="14.4" x14ac:dyDescent="0.3">
      <c r="A1407" s="169" t="s">
        <v>1329</v>
      </c>
      <c r="B1407" s="171" t="str">
        <f t="shared" si="63"/>
        <v>D_MAP_BASEL2_CLASS</v>
      </c>
      <c r="C1407" s="169" t="s">
        <v>511</v>
      </c>
      <c r="D1407" s="169">
        <v>1745</v>
      </c>
      <c r="E1407" s="169">
        <v>10</v>
      </c>
      <c r="F1407" s="169" t="s">
        <v>511</v>
      </c>
      <c r="G1407" s="169" t="s">
        <v>511</v>
      </c>
      <c r="H1407" s="169">
        <v>7</v>
      </c>
      <c r="I1407" s="136" t="str">
        <f t="shared" si="64"/>
        <v>BIGINT</v>
      </c>
      <c r="J1407" s="169" t="s">
        <v>0</v>
      </c>
      <c r="K1407" s="169" t="s">
        <v>1</v>
      </c>
      <c r="L1407" s="169">
        <v>30</v>
      </c>
      <c r="M1407" s="168"/>
      <c r="N1407" s="168"/>
      <c r="O1407" s="168"/>
      <c r="P1407" s="168"/>
      <c r="Q1407" s="168" t="s">
        <v>0</v>
      </c>
      <c r="R1407" s="168" t="s">
        <v>1</v>
      </c>
      <c r="S1407" s="178" t="str">
        <f t="shared" si="65"/>
        <v>D_MAP_BASEL2_CLASSREGLTRY_PRODUCT_TYPE_ID</v>
      </c>
    </row>
    <row r="1408" spans="1:19" ht="14.4" x14ac:dyDescent="0.3">
      <c r="A1408" s="169" t="s">
        <v>1329</v>
      </c>
      <c r="B1408" s="171" t="str">
        <f t="shared" si="63"/>
        <v>D_MAP_BASEL2_CLASS</v>
      </c>
      <c r="C1408" s="169" t="s">
        <v>444</v>
      </c>
      <c r="D1408" s="169">
        <v>1746</v>
      </c>
      <c r="E1408" s="169">
        <v>11</v>
      </c>
      <c r="F1408" s="169" t="s">
        <v>444</v>
      </c>
      <c r="G1408" s="169" t="s">
        <v>444</v>
      </c>
      <c r="H1408" s="169">
        <v>7</v>
      </c>
      <c r="I1408" s="136" t="str">
        <f t="shared" si="64"/>
        <v>BIGINT</v>
      </c>
      <c r="J1408" s="169" t="s">
        <v>0</v>
      </c>
      <c r="K1408" s="169" t="s">
        <v>1</v>
      </c>
      <c r="L1408" s="169">
        <v>30</v>
      </c>
      <c r="M1408" s="168"/>
      <c r="N1408" s="168"/>
      <c r="O1408" s="168"/>
      <c r="P1408" s="168"/>
      <c r="Q1408" s="168" t="s">
        <v>0</v>
      </c>
      <c r="R1408" s="168" t="s">
        <v>1</v>
      </c>
      <c r="S1408" s="178" t="str">
        <f t="shared" si="65"/>
        <v>D_MAP_BASEL2_CLASSREP_CLASS_ID</v>
      </c>
    </row>
    <row r="1409" spans="1:19" ht="14.4" x14ac:dyDescent="0.3">
      <c r="A1409" s="169" t="s">
        <v>1329</v>
      </c>
      <c r="B1409" s="171" t="str">
        <f t="shared" si="63"/>
        <v>D_MAP_BASEL2_CLASS</v>
      </c>
      <c r="C1409" s="169" t="s">
        <v>51</v>
      </c>
      <c r="D1409" s="169">
        <v>1747</v>
      </c>
      <c r="E1409" s="169">
        <v>12</v>
      </c>
      <c r="F1409" s="169" t="s">
        <v>51</v>
      </c>
      <c r="G1409" s="169" t="s">
        <v>51</v>
      </c>
      <c r="H1409" s="169">
        <v>34</v>
      </c>
      <c r="I1409" s="136" t="str">
        <f t="shared" si="64"/>
        <v>DATE</v>
      </c>
      <c r="J1409" s="169" t="s">
        <v>1</v>
      </c>
      <c r="K1409" s="169" t="s">
        <v>1</v>
      </c>
      <c r="L1409" s="169">
        <v>30</v>
      </c>
      <c r="M1409" s="168"/>
      <c r="N1409" s="168"/>
      <c r="O1409" s="168"/>
      <c r="P1409" s="168"/>
      <c r="Q1409" s="168" t="s">
        <v>0</v>
      </c>
      <c r="R1409" s="168" t="s">
        <v>1</v>
      </c>
      <c r="S1409" s="178" t="str">
        <f t="shared" si="65"/>
        <v>D_MAP_BASEL2_CLASSSTART_DT</v>
      </c>
    </row>
    <row r="1410" spans="1:19" ht="14.4" x14ac:dyDescent="0.3">
      <c r="A1410" s="169" t="s">
        <v>1835</v>
      </c>
      <c r="B1410" s="171" t="str">
        <f t="shared" ref="B1410:B1473" si="66">IF(NOT(ISBLANK(A1410)),VLOOKUP(A1410,ERM_TABLE_NM,2,FALSE), "")</f>
        <v>D_MAP_CCF_STD_BY_DEFAULT</v>
      </c>
      <c r="C1410" s="169" t="s">
        <v>1939</v>
      </c>
      <c r="D1410" s="169">
        <v>1748</v>
      </c>
      <c r="E1410" s="169">
        <v>1</v>
      </c>
      <c r="F1410" s="169" t="s">
        <v>1939</v>
      </c>
      <c r="G1410" s="169" t="s">
        <v>1939</v>
      </c>
      <c r="H1410" s="169">
        <v>3</v>
      </c>
      <c r="I1410" s="136" t="str">
        <f t="shared" ref="I1410:I1473" si="67">IF(NOT(ISBLANK(H1410)),VLOOKUP(H1410,ERM_DOMAIN_NM,2,FALSE), "")</f>
        <v>DECIMAL(20, 6)</v>
      </c>
      <c r="J1410" s="169" t="s">
        <v>0</v>
      </c>
      <c r="K1410" s="169" t="s">
        <v>1</v>
      </c>
      <c r="L1410" s="169">
        <v>30</v>
      </c>
      <c r="M1410" s="168"/>
      <c r="N1410" s="168"/>
      <c r="O1410" s="168"/>
      <c r="P1410" s="168"/>
      <c r="Q1410" s="168" t="s">
        <v>0</v>
      </c>
      <c r="R1410" s="168" t="s">
        <v>1</v>
      </c>
      <c r="S1410" s="178" t="str">
        <f t="shared" si="65"/>
        <v>D_MAP_CCF_STD_BY_DEFAULTCCF_STD_PCT</v>
      </c>
    </row>
    <row r="1411" spans="1:19" ht="14.4" x14ac:dyDescent="0.3">
      <c r="A1411" s="169" t="s">
        <v>1835</v>
      </c>
      <c r="B1411" s="171" t="str">
        <f t="shared" si="66"/>
        <v>D_MAP_CCF_STD_BY_DEFAULT</v>
      </c>
      <c r="C1411" s="169" t="s">
        <v>52</v>
      </c>
      <c r="D1411" s="169">
        <v>1749</v>
      </c>
      <c r="E1411" s="169">
        <v>2</v>
      </c>
      <c r="F1411" s="169" t="s">
        <v>52</v>
      </c>
      <c r="G1411" s="169" t="s">
        <v>52</v>
      </c>
      <c r="H1411" s="169">
        <v>34</v>
      </c>
      <c r="I1411" s="136" t="str">
        <f t="shared" si="67"/>
        <v>DATE</v>
      </c>
      <c r="J1411" s="169" t="s">
        <v>0</v>
      </c>
      <c r="K1411" s="169" t="s">
        <v>1</v>
      </c>
      <c r="L1411" s="169">
        <v>30</v>
      </c>
      <c r="M1411" s="168"/>
      <c r="N1411" s="168"/>
      <c r="O1411" s="168"/>
      <c r="P1411" s="168"/>
      <c r="Q1411" s="168" t="s">
        <v>0</v>
      </c>
      <c r="R1411" s="168" t="s">
        <v>1</v>
      </c>
      <c r="S1411" s="178" t="str">
        <f t="shared" ref="S1411:S1474" si="68">CONCATENATE(A1411,C1411)</f>
        <v>D_MAP_CCF_STD_BY_DEFAULTEND_DT</v>
      </c>
    </row>
    <row r="1412" spans="1:19" ht="14.4" x14ac:dyDescent="0.3">
      <c r="A1412" s="169" t="s">
        <v>1835</v>
      </c>
      <c r="B1412" s="171" t="str">
        <f t="shared" si="66"/>
        <v>D_MAP_CCF_STD_BY_DEFAULT</v>
      </c>
      <c r="C1412" s="169" t="s">
        <v>434</v>
      </c>
      <c r="D1412" s="169">
        <v>1750</v>
      </c>
      <c r="E1412" s="169">
        <v>3</v>
      </c>
      <c r="F1412" s="169" t="s">
        <v>434</v>
      </c>
      <c r="G1412" s="169" t="s">
        <v>434</v>
      </c>
      <c r="H1412" s="169">
        <v>27</v>
      </c>
      <c r="I1412" s="136" t="str">
        <f t="shared" si="67"/>
        <v>INTEGER</v>
      </c>
      <c r="J1412" s="169" t="s">
        <v>0</v>
      </c>
      <c r="K1412" s="169" t="s">
        <v>1</v>
      </c>
      <c r="L1412" s="169">
        <v>30</v>
      </c>
      <c r="M1412" s="168"/>
      <c r="N1412" s="168"/>
      <c r="O1412" s="168"/>
      <c r="P1412" s="168"/>
      <c r="Q1412" s="168" t="s">
        <v>0</v>
      </c>
      <c r="R1412" s="168" t="s">
        <v>1</v>
      </c>
      <c r="S1412" s="178" t="str">
        <f t="shared" si="68"/>
        <v>D_MAP_CCF_STD_BY_DEFAULTPRIORITY</v>
      </c>
    </row>
    <row r="1413" spans="1:19" ht="14.4" x14ac:dyDescent="0.3">
      <c r="A1413" s="169" t="s">
        <v>1835</v>
      </c>
      <c r="B1413" s="171" t="str">
        <f t="shared" si="66"/>
        <v>D_MAP_CCF_STD_BY_DEFAULT</v>
      </c>
      <c r="C1413" s="169" t="s">
        <v>1405</v>
      </c>
      <c r="D1413" s="169">
        <v>1751</v>
      </c>
      <c r="E1413" s="169">
        <v>4</v>
      </c>
      <c r="F1413" s="169" t="s">
        <v>1405</v>
      </c>
      <c r="G1413" s="169" t="s">
        <v>1405</v>
      </c>
      <c r="H1413" s="169">
        <v>7</v>
      </c>
      <c r="I1413" s="136" t="str">
        <f t="shared" si="67"/>
        <v>BIGINT</v>
      </c>
      <c r="J1413" s="169" t="s">
        <v>0</v>
      </c>
      <c r="K1413" s="169" t="s">
        <v>0</v>
      </c>
      <c r="L1413" s="169">
        <v>30</v>
      </c>
      <c r="M1413" s="168"/>
      <c r="N1413" s="168"/>
      <c r="O1413" s="168"/>
      <c r="P1413" s="168"/>
      <c r="Q1413" s="168" t="s">
        <v>0</v>
      </c>
      <c r="R1413" s="168" t="s">
        <v>1</v>
      </c>
      <c r="S1413" s="178" t="str">
        <f t="shared" si="68"/>
        <v>D_MAP_CCF_STD_BY_DEFAULTRULE_ID</v>
      </c>
    </row>
    <row r="1414" spans="1:19" ht="14.4" x14ac:dyDescent="0.3">
      <c r="A1414" s="169" t="s">
        <v>1835</v>
      </c>
      <c r="B1414" s="171" t="str">
        <f t="shared" si="66"/>
        <v>D_MAP_CCF_STD_BY_DEFAULT</v>
      </c>
      <c r="C1414" s="169" t="s">
        <v>527</v>
      </c>
      <c r="D1414" s="169">
        <v>1752</v>
      </c>
      <c r="E1414" s="169">
        <v>5</v>
      </c>
      <c r="F1414" s="169" t="s">
        <v>527</v>
      </c>
      <c r="G1414" s="169" t="s">
        <v>527</v>
      </c>
      <c r="H1414" s="169">
        <v>7</v>
      </c>
      <c r="I1414" s="136" t="str">
        <f t="shared" si="67"/>
        <v>BIGINT</v>
      </c>
      <c r="J1414" s="169" t="s">
        <v>0</v>
      </c>
      <c r="K1414" s="169" t="s">
        <v>1</v>
      </c>
      <c r="L1414" s="169">
        <v>30</v>
      </c>
      <c r="M1414" s="168"/>
      <c r="N1414" s="168"/>
      <c r="O1414" s="168"/>
      <c r="P1414" s="168"/>
      <c r="Q1414" s="168" t="s">
        <v>0</v>
      </c>
      <c r="R1414" s="168" t="s">
        <v>1</v>
      </c>
      <c r="S1414" s="178" t="str">
        <f t="shared" si="68"/>
        <v>D_MAP_CCF_STD_BY_DEFAULTSRC_SYS_ID</v>
      </c>
    </row>
    <row r="1415" spans="1:19" ht="14.4" x14ac:dyDescent="0.3">
      <c r="A1415" s="169" t="s">
        <v>1835</v>
      </c>
      <c r="B1415" s="171" t="str">
        <f t="shared" si="66"/>
        <v>D_MAP_CCF_STD_BY_DEFAULT</v>
      </c>
      <c r="C1415" s="169" t="s">
        <v>51</v>
      </c>
      <c r="D1415" s="169">
        <v>1753</v>
      </c>
      <c r="E1415" s="169">
        <v>6</v>
      </c>
      <c r="F1415" s="169" t="s">
        <v>51</v>
      </c>
      <c r="G1415" s="169" t="s">
        <v>51</v>
      </c>
      <c r="H1415" s="169">
        <v>34</v>
      </c>
      <c r="I1415" s="136" t="str">
        <f t="shared" si="67"/>
        <v>DATE</v>
      </c>
      <c r="J1415" s="169" t="s">
        <v>0</v>
      </c>
      <c r="K1415" s="169" t="s">
        <v>1</v>
      </c>
      <c r="L1415" s="169">
        <v>30</v>
      </c>
      <c r="M1415" s="168"/>
      <c r="N1415" s="168"/>
      <c r="O1415" s="168"/>
      <c r="P1415" s="168"/>
      <c r="Q1415" s="168" t="s">
        <v>0</v>
      </c>
      <c r="R1415" s="168" t="s">
        <v>1</v>
      </c>
      <c r="S1415" s="178" t="str">
        <f t="shared" si="68"/>
        <v>D_MAP_CCF_STD_BY_DEFAULTSTART_DT</v>
      </c>
    </row>
    <row r="1416" spans="1:19" ht="14.4" x14ac:dyDescent="0.3">
      <c r="A1416" s="169" t="s">
        <v>1845</v>
      </c>
      <c r="B1416" s="171" t="str">
        <f t="shared" si="66"/>
        <v>D_MAP_CL_LOAN_CAT_FILTER</v>
      </c>
      <c r="C1416" s="169" t="s">
        <v>52</v>
      </c>
      <c r="D1416" s="169">
        <v>1754</v>
      </c>
      <c r="E1416" s="169">
        <v>1</v>
      </c>
      <c r="F1416" s="169" t="s">
        <v>52</v>
      </c>
      <c r="G1416" s="169" t="s">
        <v>52</v>
      </c>
      <c r="H1416" s="169">
        <v>34</v>
      </c>
      <c r="I1416" s="136" t="str">
        <f t="shared" si="67"/>
        <v>DATE</v>
      </c>
      <c r="J1416" s="169" t="s">
        <v>0</v>
      </c>
      <c r="K1416" s="169" t="s">
        <v>1</v>
      </c>
      <c r="L1416" s="169">
        <v>30</v>
      </c>
      <c r="M1416" s="168"/>
      <c r="N1416" s="168"/>
      <c r="O1416" s="168"/>
      <c r="P1416" s="168"/>
      <c r="Q1416" s="168" t="s">
        <v>0</v>
      </c>
      <c r="R1416" s="168" t="s">
        <v>1</v>
      </c>
      <c r="S1416" s="178" t="str">
        <f t="shared" si="68"/>
        <v>D_MAP_CL_LOAN_CAT_FILTEREND_DT</v>
      </c>
    </row>
    <row r="1417" spans="1:19" ht="14.4" x14ac:dyDescent="0.3">
      <c r="A1417" s="169" t="s">
        <v>1845</v>
      </c>
      <c r="B1417" s="171" t="str">
        <f t="shared" si="66"/>
        <v>D_MAP_CL_LOAN_CAT_FILTER</v>
      </c>
      <c r="C1417" s="169" t="s">
        <v>1940</v>
      </c>
      <c r="D1417" s="169">
        <v>1755</v>
      </c>
      <c r="E1417" s="169">
        <v>2</v>
      </c>
      <c r="F1417" s="169" t="s">
        <v>1940</v>
      </c>
      <c r="G1417" s="169" t="s">
        <v>1940</v>
      </c>
      <c r="H1417" s="169">
        <v>24</v>
      </c>
      <c r="I1417" s="136" t="str">
        <f t="shared" si="67"/>
        <v xml:space="preserve">VARCHAR(40) </v>
      </c>
      <c r="J1417" s="169" t="s">
        <v>0</v>
      </c>
      <c r="K1417" s="169" t="s">
        <v>1</v>
      </c>
      <c r="L1417" s="169">
        <v>30</v>
      </c>
      <c r="M1417" s="168"/>
      <c r="N1417" s="168"/>
      <c r="O1417" s="168"/>
      <c r="P1417" s="168"/>
      <c r="Q1417" s="168" t="s">
        <v>0</v>
      </c>
      <c r="R1417" s="168" t="s">
        <v>1</v>
      </c>
      <c r="S1417" s="178" t="str">
        <f t="shared" si="68"/>
        <v>D_MAP_CL_LOAN_CAT_FILTERLOAN_CAT_CD</v>
      </c>
    </row>
    <row r="1418" spans="1:19" ht="14.4" x14ac:dyDescent="0.3">
      <c r="A1418" s="169" t="s">
        <v>1845</v>
      </c>
      <c r="B1418" s="171" t="str">
        <f t="shared" si="66"/>
        <v>D_MAP_CL_LOAN_CAT_FILTER</v>
      </c>
      <c r="C1418" s="169" t="s">
        <v>1405</v>
      </c>
      <c r="D1418" s="169">
        <v>1756</v>
      </c>
      <c r="E1418" s="169">
        <v>3</v>
      </c>
      <c r="F1418" s="169" t="s">
        <v>1405</v>
      </c>
      <c r="G1418" s="169" t="s">
        <v>1405</v>
      </c>
      <c r="H1418" s="169">
        <v>7</v>
      </c>
      <c r="I1418" s="136" t="str">
        <f t="shared" si="67"/>
        <v>BIGINT</v>
      </c>
      <c r="J1418" s="169" t="s">
        <v>0</v>
      </c>
      <c r="K1418" s="169" t="s">
        <v>0</v>
      </c>
      <c r="L1418" s="169">
        <v>30</v>
      </c>
      <c r="M1418" s="168"/>
      <c r="N1418" s="168"/>
      <c r="O1418" s="168"/>
      <c r="P1418" s="168"/>
      <c r="Q1418" s="168" t="s">
        <v>0</v>
      </c>
      <c r="R1418" s="168" t="s">
        <v>1</v>
      </c>
      <c r="S1418" s="178" t="str">
        <f t="shared" si="68"/>
        <v>D_MAP_CL_LOAN_CAT_FILTERRULE_ID</v>
      </c>
    </row>
    <row r="1419" spans="1:19" ht="14.4" x14ac:dyDescent="0.3">
      <c r="A1419" s="169" t="s">
        <v>1845</v>
      </c>
      <c r="B1419" s="171" t="str">
        <f t="shared" si="66"/>
        <v>D_MAP_CL_LOAN_CAT_FILTER</v>
      </c>
      <c r="C1419" s="169" t="s">
        <v>51</v>
      </c>
      <c r="D1419" s="169">
        <v>1757</v>
      </c>
      <c r="E1419" s="169">
        <v>4</v>
      </c>
      <c r="F1419" s="169" t="s">
        <v>51</v>
      </c>
      <c r="G1419" s="169" t="s">
        <v>51</v>
      </c>
      <c r="H1419" s="169">
        <v>34</v>
      </c>
      <c r="I1419" s="136" t="str">
        <f t="shared" si="67"/>
        <v>DATE</v>
      </c>
      <c r="J1419" s="169" t="s">
        <v>0</v>
      </c>
      <c r="K1419" s="169" t="s">
        <v>1</v>
      </c>
      <c r="L1419" s="169">
        <v>30</v>
      </c>
      <c r="M1419" s="168"/>
      <c r="N1419" s="168"/>
      <c r="O1419" s="168"/>
      <c r="P1419" s="168"/>
      <c r="Q1419" s="168" t="s">
        <v>0</v>
      </c>
      <c r="R1419" s="168" t="s">
        <v>1</v>
      </c>
      <c r="S1419" s="178" t="str">
        <f t="shared" si="68"/>
        <v>D_MAP_CL_LOAN_CAT_FILTERSTART_DT</v>
      </c>
    </row>
    <row r="1420" spans="1:19" ht="14.4" x14ac:dyDescent="0.3">
      <c r="A1420" s="169" t="s">
        <v>394</v>
      </c>
      <c r="B1420" s="171" t="str">
        <f t="shared" si="66"/>
        <v>Правила определения типа внебалансового обязательства для сделок из выгрузки УМРОГР</v>
      </c>
      <c r="C1420" s="169" t="s">
        <v>869</v>
      </c>
      <c r="D1420" s="169">
        <v>753</v>
      </c>
      <c r="E1420" s="169">
        <v>1</v>
      </c>
      <c r="F1420" s="169" t="s">
        <v>869</v>
      </c>
      <c r="G1420" s="169" t="s">
        <v>869</v>
      </c>
      <c r="H1420" s="169">
        <v>7</v>
      </c>
      <c r="I1420" s="136" t="str">
        <f t="shared" si="67"/>
        <v>BIGINT</v>
      </c>
      <c r="J1420" s="169" t="s">
        <v>0</v>
      </c>
      <c r="K1420" s="169" t="s">
        <v>1</v>
      </c>
      <c r="L1420" s="169">
        <v>30</v>
      </c>
      <c r="M1420" s="168"/>
      <c r="N1420" s="168"/>
      <c r="O1420" s="168"/>
      <c r="P1420" s="168"/>
      <c r="Q1420" s="168" t="s">
        <v>0</v>
      </c>
      <c r="R1420" s="168" t="s">
        <v>1</v>
      </c>
      <c r="S1420" s="178" t="str">
        <f t="shared" si="68"/>
        <v>D_MAP_CND_FIN2EF_OFFBALCCF_TYPE_ID</v>
      </c>
    </row>
    <row r="1421" spans="1:19" ht="14.4" x14ac:dyDescent="0.3">
      <c r="A1421" s="169" t="s">
        <v>394</v>
      </c>
      <c r="B1421" s="171" t="str">
        <f t="shared" si="66"/>
        <v>Правила определения типа внебалансового обязательства для сделок из выгрузки УМРОГР</v>
      </c>
      <c r="C1421" s="169" t="s">
        <v>52</v>
      </c>
      <c r="D1421" s="169">
        <v>754</v>
      </c>
      <c r="E1421" s="169">
        <v>2</v>
      </c>
      <c r="F1421" s="169" t="s">
        <v>52</v>
      </c>
      <c r="G1421" s="169" t="s">
        <v>52</v>
      </c>
      <c r="H1421" s="169">
        <v>34</v>
      </c>
      <c r="I1421" s="136" t="str">
        <f t="shared" si="67"/>
        <v>DATE</v>
      </c>
      <c r="J1421" s="169" t="s">
        <v>1</v>
      </c>
      <c r="K1421" s="169" t="s">
        <v>1</v>
      </c>
      <c r="L1421" s="169">
        <v>30</v>
      </c>
      <c r="M1421" s="168"/>
      <c r="N1421" s="168"/>
      <c r="O1421" s="168"/>
      <c r="P1421" s="168"/>
      <c r="Q1421" s="168" t="s">
        <v>0</v>
      </c>
      <c r="R1421" s="168" t="s">
        <v>1</v>
      </c>
      <c r="S1421" s="178" t="str">
        <f t="shared" si="68"/>
        <v>D_MAP_CND_FIN2EF_OFFBALEND_DT</v>
      </c>
    </row>
    <row r="1422" spans="1:19" ht="14.4" x14ac:dyDescent="0.3">
      <c r="A1422" s="169" t="s">
        <v>394</v>
      </c>
      <c r="B1422" s="171" t="str">
        <f t="shared" si="66"/>
        <v>Правила определения типа внебалансового обязательства для сделок из выгрузки УМРОГР</v>
      </c>
      <c r="C1422" s="169" t="s">
        <v>434</v>
      </c>
      <c r="D1422" s="169">
        <v>755</v>
      </c>
      <c r="E1422" s="169">
        <v>3</v>
      </c>
      <c r="F1422" s="169" t="s">
        <v>434</v>
      </c>
      <c r="G1422" s="169" t="s">
        <v>434</v>
      </c>
      <c r="H1422" s="169">
        <v>27</v>
      </c>
      <c r="I1422" s="136" t="str">
        <f t="shared" si="67"/>
        <v>INTEGER</v>
      </c>
      <c r="J1422" s="169" t="s">
        <v>0</v>
      </c>
      <c r="K1422" s="169" t="s">
        <v>1</v>
      </c>
      <c r="L1422" s="169">
        <v>30</v>
      </c>
      <c r="M1422" s="168"/>
      <c r="N1422" s="168"/>
      <c r="O1422" s="168"/>
      <c r="P1422" s="168"/>
      <c r="Q1422" s="168" t="s">
        <v>0</v>
      </c>
      <c r="R1422" s="168" t="s">
        <v>1</v>
      </c>
      <c r="S1422" s="178" t="str">
        <f t="shared" si="68"/>
        <v>D_MAP_CND_FIN2EF_OFFBALPRIORITY</v>
      </c>
    </row>
    <row r="1423" spans="1:19" ht="14.4" x14ac:dyDescent="0.3">
      <c r="A1423" s="169" t="s">
        <v>394</v>
      </c>
      <c r="B1423" s="171" t="str">
        <f t="shared" si="66"/>
        <v>Правила определения типа внебалансового обязательства для сделок из выгрузки УМРОГР</v>
      </c>
      <c r="C1423" s="169" t="s">
        <v>1405</v>
      </c>
      <c r="D1423" s="169">
        <v>756</v>
      </c>
      <c r="E1423" s="169">
        <v>4</v>
      </c>
      <c r="F1423" s="169" t="s">
        <v>1405</v>
      </c>
      <c r="G1423" s="169" t="s">
        <v>1405</v>
      </c>
      <c r="H1423" s="169">
        <v>7</v>
      </c>
      <c r="I1423" s="136" t="str">
        <f t="shared" si="67"/>
        <v>BIGINT</v>
      </c>
      <c r="J1423" s="169" t="s">
        <v>1</v>
      </c>
      <c r="K1423" s="169" t="s">
        <v>1</v>
      </c>
      <c r="L1423" s="169">
        <v>30</v>
      </c>
      <c r="M1423" s="168"/>
      <c r="N1423" s="168"/>
      <c r="O1423" s="168"/>
      <c r="P1423" s="168"/>
      <c r="Q1423" s="168" t="s">
        <v>0</v>
      </c>
      <c r="R1423" s="168" t="s">
        <v>1</v>
      </c>
      <c r="S1423" s="178" t="str">
        <f t="shared" si="68"/>
        <v>D_MAP_CND_FIN2EF_OFFBALRULE_ID</v>
      </c>
    </row>
    <row r="1424" spans="1:19" ht="14.4" x14ac:dyDescent="0.3">
      <c r="A1424" s="169" t="s">
        <v>394</v>
      </c>
      <c r="B1424" s="171" t="str">
        <f t="shared" si="66"/>
        <v>Правила определения типа внебалансового обязательства для сделок из выгрузки УМРОГР</v>
      </c>
      <c r="C1424" s="169" t="s">
        <v>790</v>
      </c>
      <c r="D1424" s="169">
        <v>757</v>
      </c>
      <c r="E1424" s="169">
        <v>5</v>
      </c>
      <c r="F1424" s="169" t="s">
        <v>790</v>
      </c>
      <c r="G1424" s="169" t="s">
        <v>790</v>
      </c>
      <c r="H1424" s="169">
        <v>3</v>
      </c>
      <c r="I1424" s="136" t="str">
        <f t="shared" si="67"/>
        <v>DECIMAL(20, 6)</v>
      </c>
      <c r="J1424" s="169" t="s">
        <v>0</v>
      </c>
      <c r="K1424" s="169" t="s">
        <v>0</v>
      </c>
      <c r="L1424" s="169">
        <v>30</v>
      </c>
      <c r="M1424" s="168"/>
      <c r="N1424" s="168"/>
      <c r="O1424" s="168"/>
      <c r="P1424" s="168"/>
      <c r="Q1424" s="168" t="s">
        <v>0</v>
      </c>
      <c r="R1424" s="168" t="s">
        <v>1</v>
      </c>
      <c r="S1424" s="178" t="str">
        <f t="shared" si="68"/>
        <v>D_MAP_CND_FIN2EF_OFFBALSOURCE_EFFECTIVE_MATURITY</v>
      </c>
    </row>
    <row r="1425" spans="1:19" ht="14.4" x14ac:dyDescent="0.3">
      <c r="A1425" s="169" t="s">
        <v>394</v>
      </c>
      <c r="B1425" s="171" t="str">
        <f t="shared" si="66"/>
        <v>Правила определения типа внебалансового обязательства для сделок из выгрузки УМРОГР</v>
      </c>
      <c r="C1425" s="169" t="s">
        <v>777</v>
      </c>
      <c r="D1425" s="169">
        <v>758</v>
      </c>
      <c r="E1425" s="169">
        <v>6</v>
      </c>
      <c r="F1425" s="169" t="s">
        <v>777</v>
      </c>
      <c r="G1425" s="169" t="s">
        <v>777</v>
      </c>
      <c r="H1425" s="169">
        <v>24</v>
      </c>
      <c r="I1425" s="136" t="str">
        <f t="shared" si="67"/>
        <v xml:space="preserve">VARCHAR(40) </v>
      </c>
      <c r="J1425" s="169" t="s">
        <v>0</v>
      </c>
      <c r="K1425" s="169" t="s">
        <v>0</v>
      </c>
      <c r="L1425" s="169">
        <v>30</v>
      </c>
      <c r="M1425" s="168"/>
      <c r="N1425" s="168"/>
      <c r="O1425" s="168"/>
      <c r="P1425" s="168"/>
      <c r="Q1425" s="168" t="s">
        <v>0</v>
      </c>
      <c r="R1425" s="168" t="s">
        <v>1</v>
      </c>
      <c r="S1425" s="178" t="str">
        <f t="shared" si="68"/>
        <v>D_MAP_CND_FIN2EF_OFFBALSOURCE_OFFBALANCE_TYPE</v>
      </c>
    </row>
    <row r="1426" spans="1:19" ht="14.4" x14ac:dyDescent="0.3">
      <c r="A1426" s="169" t="s">
        <v>394</v>
      </c>
      <c r="B1426" s="171" t="str">
        <f t="shared" si="66"/>
        <v>Правила определения типа внебалансового обязательства для сделок из выгрузки УМРОГР</v>
      </c>
      <c r="C1426" s="169" t="s">
        <v>51</v>
      </c>
      <c r="D1426" s="169">
        <v>759</v>
      </c>
      <c r="E1426" s="169">
        <v>7</v>
      </c>
      <c r="F1426" s="169" t="s">
        <v>51</v>
      </c>
      <c r="G1426" s="169" t="s">
        <v>51</v>
      </c>
      <c r="H1426" s="169">
        <v>34</v>
      </c>
      <c r="I1426" s="136" t="str">
        <f t="shared" si="67"/>
        <v>DATE</v>
      </c>
      <c r="J1426" s="169" t="s">
        <v>1</v>
      </c>
      <c r="K1426" s="169" t="s">
        <v>1</v>
      </c>
      <c r="L1426" s="169">
        <v>30</v>
      </c>
      <c r="M1426" s="168"/>
      <c r="N1426" s="168"/>
      <c r="O1426" s="168"/>
      <c r="P1426" s="168"/>
      <c r="Q1426" s="168" t="s">
        <v>0</v>
      </c>
      <c r="R1426" s="168" t="s">
        <v>1</v>
      </c>
      <c r="S1426" s="178" t="str">
        <f t="shared" si="68"/>
        <v>D_MAP_CND_FIN2EF_OFFBALSTART_DT</v>
      </c>
    </row>
    <row r="1427" spans="1:19" ht="14.4" x14ac:dyDescent="0.3">
      <c r="A1427" s="169" t="s">
        <v>1371</v>
      </c>
      <c r="B1427" s="171" t="str">
        <f t="shared" si="66"/>
        <v>D_MAP_CND_FLOC2E_OFFBAL_TYPE</v>
      </c>
      <c r="C1427" s="169" t="s">
        <v>869</v>
      </c>
      <c r="D1427" s="169">
        <v>1758</v>
      </c>
      <c r="E1427" s="169">
        <v>1</v>
      </c>
      <c r="F1427" s="169" t="s">
        <v>869</v>
      </c>
      <c r="G1427" s="169" t="s">
        <v>869</v>
      </c>
      <c r="H1427" s="169">
        <v>7</v>
      </c>
      <c r="I1427" s="136" t="str">
        <f t="shared" si="67"/>
        <v>BIGINT</v>
      </c>
      <c r="J1427" s="169" t="s">
        <v>0</v>
      </c>
      <c r="K1427" s="169" t="s">
        <v>1</v>
      </c>
      <c r="L1427" s="169">
        <v>30</v>
      </c>
      <c r="M1427" s="168"/>
      <c r="N1427" s="168"/>
      <c r="O1427" s="168"/>
      <c r="P1427" s="168"/>
      <c r="Q1427" s="168" t="s">
        <v>0</v>
      </c>
      <c r="R1427" s="168" t="s">
        <v>1</v>
      </c>
      <c r="S1427" s="178" t="str">
        <f t="shared" si="68"/>
        <v>D_MAP_CND_FLOC2E_OFFBAL_TYPECCF_TYPE_ID</v>
      </c>
    </row>
    <row r="1428" spans="1:19" ht="14.4" x14ac:dyDescent="0.3">
      <c r="A1428" s="169" t="s">
        <v>1371</v>
      </c>
      <c r="B1428" s="171" t="str">
        <f t="shared" si="66"/>
        <v>D_MAP_CND_FLOC2E_OFFBAL_TYPE</v>
      </c>
      <c r="C1428" s="169" t="s">
        <v>52</v>
      </c>
      <c r="D1428" s="169">
        <v>1759</v>
      </c>
      <c r="E1428" s="169">
        <v>2</v>
      </c>
      <c r="F1428" s="169" t="s">
        <v>52</v>
      </c>
      <c r="G1428" s="169" t="s">
        <v>52</v>
      </c>
      <c r="H1428" s="169">
        <v>34</v>
      </c>
      <c r="I1428" s="136" t="str">
        <f t="shared" si="67"/>
        <v>DATE</v>
      </c>
      <c r="J1428" s="169" t="s">
        <v>1</v>
      </c>
      <c r="K1428" s="169" t="s">
        <v>1</v>
      </c>
      <c r="L1428" s="169">
        <v>30</v>
      </c>
      <c r="M1428" s="168"/>
      <c r="N1428" s="168"/>
      <c r="O1428" s="168"/>
      <c r="P1428" s="168"/>
      <c r="Q1428" s="168" t="s">
        <v>0</v>
      </c>
      <c r="R1428" s="168" t="s">
        <v>1</v>
      </c>
      <c r="S1428" s="178" t="str">
        <f t="shared" si="68"/>
        <v>D_MAP_CND_FLOC2E_OFFBAL_TYPEEND_DT</v>
      </c>
    </row>
    <row r="1429" spans="1:19" ht="14.4" x14ac:dyDescent="0.3">
      <c r="A1429" s="169" t="s">
        <v>1371</v>
      </c>
      <c r="B1429" s="171" t="str">
        <f t="shared" si="66"/>
        <v>D_MAP_CND_FLOC2E_OFFBAL_TYPE</v>
      </c>
      <c r="C1429" s="169" t="s">
        <v>434</v>
      </c>
      <c r="D1429" s="169">
        <v>1760</v>
      </c>
      <c r="E1429" s="169">
        <v>3</v>
      </c>
      <c r="F1429" s="169" t="s">
        <v>434</v>
      </c>
      <c r="G1429" s="169" t="s">
        <v>434</v>
      </c>
      <c r="H1429" s="169">
        <v>27</v>
      </c>
      <c r="I1429" s="136" t="str">
        <f t="shared" si="67"/>
        <v>INTEGER</v>
      </c>
      <c r="J1429" s="169" t="s">
        <v>0</v>
      </c>
      <c r="K1429" s="169" t="s">
        <v>1</v>
      </c>
      <c r="L1429" s="169">
        <v>30</v>
      </c>
      <c r="M1429" s="168"/>
      <c r="N1429" s="168"/>
      <c r="O1429" s="168"/>
      <c r="P1429" s="168"/>
      <c r="Q1429" s="168" t="s">
        <v>0</v>
      </c>
      <c r="R1429" s="168" t="s">
        <v>1</v>
      </c>
      <c r="S1429" s="178" t="str">
        <f t="shared" si="68"/>
        <v>D_MAP_CND_FLOC2E_OFFBAL_TYPEPRIORITY</v>
      </c>
    </row>
    <row r="1430" spans="1:19" ht="14.4" x14ac:dyDescent="0.3">
      <c r="A1430" s="169" t="s">
        <v>1371</v>
      </c>
      <c r="B1430" s="171" t="str">
        <f t="shared" si="66"/>
        <v>D_MAP_CND_FLOC2E_OFFBAL_TYPE</v>
      </c>
      <c r="C1430" s="169" t="s">
        <v>1405</v>
      </c>
      <c r="D1430" s="169">
        <v>1761</v>
      </c>
      <c r="E1430" s="169">
        <v>4</v>
      </c>
      <c r="F1430" s="169" t="s">
        <v>1405</v>
      </c>
      <c r="G1430" s="169" t="s">
        <v>1405</v>
      </c>
      <c r="H1430" s="169">
        <v>7</v>
      </c>
      <c r="I1430" s="136" t="str">
        <f t="shared" si="67"/>
        <v>BIGINT</v>
      </c>
      <c r="J1430" s="169" t="s">
        <v>1</v>
      </c>
      <c r="K1430" s="169" t="s">
        <v>1</v>
      </c>
      <c r="L1430" s="169">
        <v>30</v>
      </c>
      <c r="M1430" s="168"/>
      <c r="N1430" s="168"/>
      <c r="O1430" s="168"/>
      <c r="P1430" s="168"/>
      <c r="Q1430" s="168" t="s">
        <v>0</v>
      </c>
      <c r="R1430" s="168" t="s">
        <v>1</v>
      </c>
      <c r="S1430" s="178" t="str">
        <f t="shared" si="68"/>
        <v>D_MAP_CND_FLOC2E_OFFBAL_TYPERULE_ID</v>
      </c>
    </row>
    <row r="1431" spans="1:19" ht="14.4" x14ac:dyDescent="0.3">
      <c r="A1431" s="169" t="s">
        <v>1371</v>
      </c>
      <c r="B1431" s="171" t="str">
        <f t="shared" si="66"/>
        <v>D_MAP_CND_FLOC2E_OFFBAL_TYPE</v>
      </c>
      <c r="C1431" s="169" t="s">
        <v>1456</v>
      </c>
      <c r="D1431" s="169">
        <v>1762</v>
      </c>
      <c r="E1431" s="169">
        <v>5</v>
      </c>
      <c r="F1431" s="169" t="s">
        <v>1456</v>
      </c>
      <c r="G1431" s="169" t="s">
        <v>1456</v>
      </c>
      <c r="H1431" s="169">
        <v>3</v>
      </c>
      <c r="I1431" s="136" t="str">
        <f t="shared" si="67"/>
        <v>DECIMAL(20, 6)</v>
      </c>
      <c r="J1431" s="169" t="s">
        <v>0</v>
      </c>
      <c r="K1431" s="169" t="s">
        <v>0</v>
      </c>
      <c r="L1431" s="169">
        <v>30</v>
      </c>
      <c r="M1431" s="168"/>
      <c r="N1431" s="168"/>
      <c r="O1431" s="168"/>
      <c r="P1431" s="168"/>
      <c r="Q1431" s="168" t="s">
        <v>0</v>
      </c>
      <c r="R1431" s="168" t="s">
        <v>1</v>
      </c>
      <c r="S1431" s="178" t="str">
        <f t="shared" si="68"/>
        <v>D_MAP_CND_FLOC2E_OFFBAL_TYPESOURCE_EFF_M</v>
      </c>
    </row>
    <row r="1432" spans="1:19" ht="14.4" x14ac:dyDescent="0.3">
      <c r="A1432" s="169" t="s">
        <v>1371</v>
      </c>
      <c r="B1432" s="171" t="str">
        <f t="shared" si="66"/>
        <v>D_MAP_CND_FLOC2E_OFFBAL_TYPE</v>
      </c>
      <c r="C1432" s="169" t="s">
        <v>1563</v>
      </c>
      <c r="D1432" s="169">
        <v>1763</v>
      </c>
      <c r="E1432" s="169">
        <v>6</v>
      </c>
      <c r="F1432" s="169" t="s">
        <v>1563</v>
      </c>
      <c r="G1432" s="169" t="s">
        <v>1563</v>
      </c>
      <c r="H1432" s="169">
        <v>13</v>
      </c>
      <c r="I1432" s="136" t="str">
        <f t="shared" si="67"/>
        <v xml:space="preserve">VARCHAR(300) </v>
      </c>
      <c r="J1432" s="169" t="s">
        <v>0</v>
      </c>
      <c r="K1432" s="169" t="s">
        <v>0</v>
      </c>
      <c r="L1432" s="169">
        <v>30</v>
      </c>
      <c r="M1432" s="168"/>
      <c r="N1432" s="168"/>
      <c r="O1432" s="168"/>
      <c r="P1432" s="168"/>
      <c r="Q1432" s="168" t="s">
        <v>0</v>
      </c>
      <c r="R1432" s="168" t="s">
        <v>1</v>
      </c>
      <c r="S1432" s="178" t="str">
        <f t="shared" si="68"/>
        <v>D_MAP_CND_FLOC2E_OFFBAL_TYPESOURCE_TYPE</v>
      </c>
    </row>
    <row r="1433" spans="1:19" ht="14.4" x14ac:dyDescent="0.3">
      <c r="A1433" s="169" t="s">
        <v>1371</v>
      </c>
      <c r="B1433" s="171" t="str">
        <f t="shared" si="66"/>
        <v>D_MAP_CND_FLOC2E_OFFBAL_TYPE</v>
      </c>
      <c r="C1433" s="169" t="s">
        <v>51</v>
      </c>
      <c r="D1433" s="169">
        <v>1764</v>
      </c>
      <c r="E1433" s="169">
        <v>7</v>
      </c>
      <c r="F1433" s="169" t="s">
        <v>51</v>
      </c>
      <c r="G1433" s="169" t="s">
        <v>51</v>
      </c>
      <c r="H1433" s="169">
        <v>34</v>
      </c>
      <c r="I1433" s="136" t="str">
        <f t="shared" si="67"/>
        <v>DATE</v>
      </c>
      <c r="J1433" s="169" t="s">
        <v>1</v>
      </c>
      <c r="K1433" s="169" t="s">
        <v>1</v>
      </c>
      <c r="L1433" s="169">
        <v>30</v>
      </c>
      <c r="M1433" s="168"/>
      <c r="N1433" s="168"/>
      <c r="O1433" s="168"/>
      <c r="P1433" s="168"/>
      <c r="Q1433" s="168" t="s">
        <v>0</v>
      </c>
      <c r="R1433" s="168" t="s">
        <v>1</v>
      </c>
      <c r="S1433" s="178" t="str">
        <f t="shared" si="68"/>
        <v>D_MAP_CND_FLOC2E_OFFBAL_TYPESTART_DT</v>
      </c>
    </row>
    <row r="1434" spans="1:19" ht="14.4" x14ac:dyDescent="0.3">
      <c r="A1434" s="169" t="s">
        <v>1359</v>
      </c>
      <c r="B1434" s="171" t="str">
        <f t="shared" si="66"/>
        <v>D_MAP_CND_N_DUE_DAYS2_RTNG</v>
      </c>
      <c r="C1434" s="169" t="s">
        <v>52</v>
      </c>
      <c r="D1434" s="169">
        <v>1765</v>
      </c>
      <c r="E1434" s="169">
        <v>1</v>
      </c>
      <c r="F1434" s="169" t="s">
        <v>52</v>
      </c>
      <c r="G1434" s="169" t="s">
        <v>52</v>
      </c>
      <c r="H1434" s="169">
        <v>34</v>
      </c>
      <c r="I1434" s="136" t="str">
        <f t="shared" si="67"/>
        <v>DATE</v>
      </c>
      <c r="J1434" s="169" t="s">
        <v>1</v>
      </c>
      <c r="K1434" s="169" t="s">
        <v>1</v>
      </c>
      <c r="L1434" s="169">
        <v>30</v>
      </c>
      <c r="M1434" s="168"/>
      <c r="N1434" s="168"/>
      <c r="O1434" s="168"/>
      <c r="P1434" s="168"/>
      <c r="Q1434" s="168" t="s">
        <v>0</v>
      </c>
      <c r="R1434" s="168" t="s">
        <v>1</v>
      </c>
      <c r="S1434" s="178" t="str">
        <f t="shared" si="68"/>
        <v>D_MAP_CND_N_DUE_DAYS2_RTNGEND_DT</v>
      </c>
    </row>
    <row r="1435" spans="1:19" ht="14.4" x14ac:dyDescent="0.3">
      <c r="A1435" s="169" t="s">
        <v>1359</v>
      </c>
      <c r="B1435" s="171" t="str">
        <f t="shared" si="66"/>
        <v>D_MAP_CND_N_DUE_DAYS2_RTNG</v>
      </c>
      <c r="C1435" s="169" t="s">
        <v>870</v>
      </c>
      <c r="D1435" s="169">
        <v>1766</v>
      </c>
      <c r="E1435" s="169">
        <v>2</v>
      </c>
      <c r="F1435" s="169" t="s">
        <v>870</v>
      </c>
      <c r="G1435" s="169" t="s">
        <v>870</v>
      </c>
      <c r="H1435" s="169">
        <v>24</v>
      </c>
      <c r="I1435" s="136" t="str">
        <f t="shared" si="67"/>
        <v xml:space="preserve">VARCHAR(40) </v>
      </c>
      <c r="J1435" s="169" t="s">
        <v>0</v>
      </c>
      <c r="K1435" s="169" t="s">
        <v>1</v>
      </c>
      <c r="L1435" s="169">
        <v>30</v>
      </c>
      <c r="M1435" s="168"/>
      <c r="N1435" s="168"/>
      <c r="O1435" s="168"/>
      <c r="P1435" s="168"/>
      <c r="Q1435" s="168" t="s">
        <v>0</v>
      </c>
      <c r="R1435" s="168" t="s">
        <v>1</v>
      </c>
      <c r="S1435" s="178" t="str">
        <f t="shared" si="68"/>
        <v>D_MAP_CND_N_DUE_DAYS2_RTNGPD_MODEL_RATING_GRADE</v>
      </c>
    </row>
    <row r="1436" spans="1:19" ht="14.4" x14ac:dyDescent="0.3">
      <c r="A1436" s="169" t="s">
        <v>1359</v>
      </c>
      <c r="B1436" s="171" t="str">
        <f t="shared" si="66"/>
        <v>D_MAP_CND_N_DUE_DAYS2_RTNG</v>
      </c>
      <c r="C1436" s="169" t="s">
        <v>434</v>
      </c>
      <c r="D1436" s="169">
        <v>1767</v>
      </c>
      <c r="E1436" s="169">
        <v>3</v>
      </c>
      <c r="F1436" s="169" t="s">
        <v>434</v>
      </c>
      <c r="G1436" s="169" t="s">
        <v>434</v>
      </c>
      <c r="H1436" s="169">
        <v>27</v>
      </c>
      <c r="I1436" s="136" t="str">
        <f t="shared" si="67"/>
        <v>INTEGER</v>
      </c>
      <c r="J1436" s="169" t="s">
        <v>0</v>
      </c>
      <c r="K1436" s="169" t="s">
        <v>1</v>
      </c>
      <c r="L1436" s="169">
        <v>30</v>
      </c>
      <c r="M1436" s="168"/>
      <c r="N1436" s="168"/>
      <c r="O1436" s="168"/>
      <c r="P1436" s="168"/>
      <c r="Q1436" s="168" t="s">
        <v>0</v>
      </c>
      <c r="R1436" s="168" t="s">
        <v>1</v>
      </c>
      <c r="S1436" s="178" t="str">
        <f t="shared" si="68"/>
        <v>D_MAP_CND_N_DUE_DAYS2_RTNGPRIORITY</v>
      </c>
    </row>
    <row r="1437" spans="1:19" ht="14.4" x14ac:dyDescent="0.3">
      <c r="A1437" s="169" t="s">
        <v>1359</v>
      </c>
      <c r="B1437" s="171" t="str">
        <f t="shared" si="66"/>
        <v>D_MAP_CND_N_DUE_DAYS2_RTNG</v>
      </c>
      <c r="C1437" s="169" t="s">
        <v>1405</v>
      </c>
      <c r="D1437" s="169">
        <v>1768</v>
      </c>
      <c r="E1437" s="169">
        <v>4</v>
      </c>
      <c r="F1437" s="169" t="s">
        <v>1405</v>
      </c>
      <c r="G1437" s="169" t="s">
        <v>1405</v>
      </c>
      <c r="H1437" s="169">
        <v>7</v>
      </c>
      <c r="I1437" s="136" t="str">
        <f t="shared" si="67"/>
        <v>BIGINT</v>
      </c>
      <c r="J1437" s="169" t="s">
        <v>1</v>
      </c>
      <c r="K1437" s="169" t="s">
        <v>1</v>
      </c>
      <c r="L1437" s="169">
        <v>30</v>
      </c>
      <c r="M1437" s="168"/>
      <c r="N1437" s="168"/>
      <c r="O1437" s="168"/>
      <c r="P1437" s="168"/>
      <c r="Q1437" s="168" t="s">
        <v>0</v>
      </c>
      <c r="R1437" s="168" t="s">
        <v>1</v>
      </c>
      <c r="S1437" s="178" t="str">
        <f t="shared" si="68"/>
        <v>D_MAP_CND_N_DUE_DAYS2_RTNGRULE_ID</v>
      </c>
    </row>
    <row r="1438" spans="1:19" ht="14.4" x14ac:dyDescent="0.3">
      <c r="A1438" s="169" t="s">
        <v>1359</v>
      </c>
      <c r="B1438" s="171" t="str">
        <f t="shared" si="66"/>
        <v>D_MAP_CND_N_DUE_DAYS2_RTNG</v>
      </c>
      <c r="C1438" s="169" t="s">
        <v>1801</v>
      </c>
      <c r="D1438" s="169">
        <v>1769</v>
      </c>
      <c r="E1438" s="169">
        <v>5</v>
      </c>
      <c r="F1438" s="169" t="s">
        <v>1801</v>
      </c>
      <c r="G1438" s="169" t="s">
        <v>1801</v>
      </c>
      <c r="H1438" s="169">
        <v>27</v>
      </c>
      <c r="I1438" s="136" t="str">
        <f t="shared" si="67"/>
        <v>INTEGER</v>
      </c>
      <c r="J1438" s="169" t="s">
        <v>0</v>
      </c>
      <c r="K1438" s="169" t="s">
        <v>0</v>
      </c>
      <c r="L1438" s="169">
        <v>30</v>
      </c>
      <c r="M1438" s="168"/>
      <c r="N1438" s="168"/>
      <c r="O1438" s="168"/>
      <c r="P1438" s="168"/>
      <c r="Q1438" s="168" t="s">
        <v>0</v>
      </c>
      <c r="R1438" s="168" t="s">
        <v>1</v>
      </c>
      <c r="S1438" s="178" t="str">
        <f t="shared" si="68"/>
        <v>D_MAP_CND_N_DUE_DAYS2_RTNGSOURCE_due_days</v>
      </c>
    </row>
    <row r="1439" spans="1:19" ht="14.4" x14ac:dyDescent="0.3">
      <c r="A1439" s="169" t="s">
        <v>1359</v>
      </c>
      <c r="B1439" s="171" t="str">
        <f t="shared" si="66"/>
        <v>D_MAP_CND_N_DUE_DAYS2_RTNG</v>
      </c>
      <c r="C1439" s="169" t="s">
        <v>51</v>
      </c>
      <c r="D1439" s="169">
        <v>1770</v>
      </c>
      <c r="E1439" s="169">
        <v>6</v>
      </c>
      <c r="F1439" s="169" t="s">
        <v>51</v>
      </c>
      <c r="G1439" s="169" t="s">
        <v>51</v>
      </c>
      <c r="H1439" s="169">
        <v>34</v>
      </c>
      <c r="I1439" s="136" t="str">
        <f t="shared" si="67"/>
        <v>DATE</v>
      </c>
      <c r="J1439" s="169" t="s">
        <v>1</v>
      </c>
      <c r="K1439" s="169" t="s">
        <v>1</v>
      </c>
      <c r="L1439" s="169">
        <v>30</v>
      </c>
      <c r="M1439" s="168"/>
      <c r="N1439" s="168"/>
      <c r="O1439" s="168"/>
      <c r="P1439" s="168"/>
      <c r="Q1439" s="168" t="s">
        <v>0</v>
      </c>
      <c r="R1439" s="168" t="s">
        <v>1</v>
      </c>
      <c r="S1439" s="178" t="str">
        <f t="shared" si="68"/>
        <v>D_MAP_CND_N_DUE_DAYS2_RTNGSTART_DT</v>
      </c>
    </row>
    <row r="1440" spans="1:19" ht="14.4" x14ac:dyDescent="0.3">
      <c r="A1440" s="169" t="s">
        <v>1342</v>
      </c>
      <c r="B1440" s="171" t="str">
        <f t="shared" si="66"/>
        <v>D_MAP_CND_XCM2ERM_CP_SEG</v>
      </c>
      <c r="C1440" s="169" t="s">
        <v>52</v>
      </c>
      <c r="D1440" s="169">
        <v>760</v>
      </c>
      <c r="E1440" s="169">
        <v>1</v>
      </c>
      <c r="F1440" s="169" t="s">
        <v>52</v>
      </c>
      <c r="G1440" s="169" t="s">
        <v>52</v>
      </c>
      <c r="H1440" s="169">
        <v>34</v>
      </c>
      <c r="I1440" s="136" t="str">
        <f t="shared" si="67"/>
        <v>DATE</v>
      </c>
      <c r="J1440" s="169" t="s">
        <v>1</v>
      </c>
      <c r="K1440" s="169" t="s">
        <v>1</v>
      </c>
      <c r="L1440" s="169">
        <v>30</v>
      </c>
      <c r="M1440" s="168"/>
      <c r="N1440" s="168"/>
      <c r="O1440" s="168"/>
      <c r="P1440" s="168"/>
      <c r="Q1440" s="168" t="s">
        <v>0</v>
      </c>
      <c r="R1440" s="168" t="s">
        <v>1</v>
      </c>
      <c r="S1440" s="178" t="str">
        <f t="shared" si="68"/>
        <v>D_MAP_CND_XCM2ERM_CP_SEGEND_DT</v>
      </c>
    </row>
    <row r="1441" spans="1:19" ht="14.4" x14ac:dyDescent="0.3">
      <c r="A1441" s="169" t="s">
        <v>1342</v>
      </c>
      <c r="B1441" s="171" t="str">
        <f t="shared" si="66"/>
        <v>D_MAP_CND_XCM2ERM_CP_SEG</v>
      </c>
      <c r="C1441" s="169" t="s">
        <v>1386</v>
      </c>
      <c r="D1441" s="169">
        <v>761</v>
      </c>
      <c r="E1441" s="169">
        <v>2</v>
      </c>
      <c r="F1441" s="169" t="s">
        <v>1386</v>
      </c>
      <c r="G1441" s="169" t="s">
        <v>1386</v>
      </c>
      <c r="H1441" s="169">
        <v>7</v>
      </c>
      <c r="I1441" s="136" t="str">
        <f t="shared" si="67"/>
        <v>BIGINT</v>
      </c>
      <c r="J1441" s="169" t="s">
        <v>0</v>
      </c>
      <c r="K1441" s="169" t="s">
        <v>1</v>
      </c>
      <c r="L1441" s="169">
        <v>30</v>
      </c>
      <c r="M1441" s="168"/>
      <c r="N1441" s="168"/>
      <c r="O1441" s="168"/>
      <c r="P1441" s="168"/>
      <c r="Q1441" s="168" t="s">
        <v>0</v>
      </c>
      <c r="R1441" s="168" t="s">
        <v>1</v>
      </c>
      <c r="S1441" s="178" t="str">
        <f t="shared" si="68"/>
        <v>D_MAP_CND_XCM2ERM_CP_SEGERM_CP_SEGMENT_ID</v>
      </c>
    </row>
    <row r="1442" spans="1:19" ht="14.4" x14ac:dyDescent="0.3">
      <c r="A1442" s="169" t="s">
        <v>1342</v>
      </c>
      <c r="B1442" s="171" t="str">
        <f t="shared" si="66"/>
        <v>D_MAP_CND_XCM2ERM_CP_SEG</v>
      </c>
      <c r="C1442" s="169" t="s">
        <v>434</v>
      </c>
      <c r="D1442" s="169">
        <v>762</v>
      </c>
      <c r="E1442" s="169">
        <v>3</v>
      </c>
      <c r="F1442" s="169" t="s">
        <v>434</v>
      </c>
      <c r="G1442" s="169" t="s">
        <v>434</v>
      </c>
      <c r="H1442" s="169">
        <v>27</v>
      </c>
      <c r="I1442" s="136" t="str">
        <f t="shared" si="67"/>
        <v>INTEGER</v>
      </c>
      <c r="J1442" s="169" t="s">
        <v>0</v>
      </c>
      <c r="K1442" s="169" t="s">
        <v>1</v>
      </c>
      <c r="L1442" s="169">
        <v>30</v>
      </c>
      <c r="M1442" s="168"/>
      <c r="N1442" s="168"/>
      <c r="O1442" s="168"/>
      <c r="P1442" s="168"/>
      <c r="Q1442" s="168" t="s">
        <v>0</v>
      </c>
      <c r="R1442" s="168" t="s">
        <v>1</v>
      </c>
      <c r="S1442" s="178" t="str">
        <f t="shared" si="68"/>
        <v>D_MAP_CND_XCM2ERM_CP_SEGPRIORITY</v>
      </c>
    </row>
    <row r="1443" spans="1:19" ht="14.4" x14ac:dyDescent="0.3">
      <c r="A1443" s="169" t="s">
        <v>1342</v>
      </c>
      <c r="B1443" s="171" t="str">
        <f t="shared" si="66"/>
        <v>D_MAP_CND_XCM2ERM_CP_SEG</v>
      </c>
      <c r="C1443" s="169" t="s">
        <v>1405</v>
      </c>
      <c r="D1443" s="169">
        <v>763</v>
      </c>
      <c r="E1443" s="169">
        <v>4</v>
      </c>
      <c r="F1443" s="169" t="s">
        <v>1405</v>
      </c>
      <c r="G1443" s="169" t="s">
        <v>1405</v>
      </c>
      <c r="H1443" s="169">
        <v>7</v>
      </c>
      <c r="I1443" s="136" t="str">
        <f t="shared" si="67"/>
        <v>BIGINT</v>
      </c>
      <c r="J1443" s="169" t="s">
        <v>1</v>
      </c>
      <c r="K1443" s="169" t="s">
        <v>1</v>
      </c>
      <c r="L1443" s="169">
        <v>30</v>
      </c>
      <c r="M1443" s="168"/>
      <c r="N1443" s="168"/>
      <c r="O1443" s="168"/>
      <c r="P1443" s="168"/>
      <c r="Q1443" s="168" t="s">
        <v>0</v>
      </c>
      <c r="R1443" s="168" t="s">
        <v>1</v>
      </c>
      <c r="S1443" s="178" t="str">
        <f t="shared" si="68"/>
        <v>D_MAP_CND_XCM2ERM_CP_SEGRULE_ID</v>
      </c>
    </row>
    <row r="1444" spans="1:19" ht="14.4" x14ac:dyDescent="0.3">
      <c r="A1444" s="169" t="s">
        <v>1342</v>
      </c>
      <c r="B1444" s="171" t="str">
        <f t="shared" si="66"/>
        <v>D_MAP_CND_XCM2ERM_CP_SEG</v>
      </c>
      <c r="C1444" s="169" t="s">
        <v>514</v>
      </c>
      <c r="D1444" s="169">
        <v>764</v>
      </c>
      <c r="E1444" s="169">
        <v>5</v>
      </c>
      <c r="F1444" s="169" t="s">
        <v>514</v>
      </c>
      <c r="G1444" s="169" t="s">
        <v>514</v>
      </c>
      <c r="H1444" s="169">
        <v>21</v>
      </c>
      <c r="I1444" s="136" t="str">
        <f t="shared" si="67"/>
        <v>DECIMAL(19, 2)</v>
      </c>
      <c r="J1444" s="169" t="s">
        <v>0</v>
      </c>
      <c r="K1444" s="169" t="s">
        <v>0</v>
      </c>
      <c r="L1444" s="169">
        <v>30</v>
      </c>
      <c r="M1444" s="168"/>
      <c r="N1444" s="168"/>
      <c r="O1444" s="168"/>
      <c r="P1444" s="168"/>
      <c r="Q1444" s="168" t="s">
        <v>0</v>
      </c>
      <c r="R1444" s="168" t="s">
        <v>1</v>
      </c>
      <c r="S1444" s="178" t="str">
        <f t="shared" si="68"/>
        <v>D_MAP_CND_XCM2ERM_CP_SEGSOURCE_REVENUE_TO</v>
      </c>
    </row>
    <row r="1445" spans="1:19" ht="14.4" x14ac:dyDescent="0.3">
      <c r="A1445" s="169" t="s">
        <v>1342</v>
      </c>
      <c r="B1445" s="171" t="str">
        <f t="shared" si="66"/>
        <v>D_MAP_CND_XCM2ERM_CP_SEG</v>
      </c>
      <c r="C1445" s="169" t="s">
        <v>51</v>
      </c>
      <c r="D1445" s="169">
        <v>765</v>
      </c>
      <c r="E1445" s="169">
        <v>6</v>
      </c>
      <c r="F1445" s="169" t="s">
        <v>51</v>
      </c>
      <c r="G1445" s="169" t="s">
        <v>51</v>
      </c>
      <c r="H1445" s="169">
        <v>34</v>
      </c>
      <c r="I1445" s="136" t="str">
        <f t="shared" si="67"/>
        <v>DATE</v>
      </c>
      <c r="J1445" s="169" t="s">
        <v>1</v>
      </c>
      <c r="K1445" s="169" t="s">
        <v>1</v>
      </c>
      <c r="L1445" s="169">
        <v>30</v>
      </c>
      <c r="M1445" s="168"/>
      <c r="N1445" s="168"/>
      <c r="O1445" s="168"/>
      <c r="P1445" s="168"/>
      <c r="Q1445" s="168" t="s">
        <v>0</v>
      </c>
      <c r="R1445" s="168" t="s">
        <v>1</v>
      </c>
      <c r="S1445" s="178" t="str">
        <f t="shared" si="68"/>
        <v>D_MAP_CND_XCM2ERM_CP_SEGSTART_DT</v>
      </c>
    </row>
    <row r="1446" spans="1:19" ht="14.4" x14ac:dyDescent="0.3">
      <c r="A1446" s="169" t="s">
        <v>406</v>
      </c>
      <c r="B1446" s="171" t="str">
        <f t="shared" si="66"/>
        <v>Правила сопоставления значений индустрии из CRM и индустрий для расчета экономического капитала</v>
      </c>
      <c r="C1446" s="169" t="s">
        <v>569</v>
      </c>
      <c r="D1446" s="169">
        <v>766</v>
      </c>
      <c r="E1446" s="169">
        <v>1</v>
      </c>
      <c r="F1446" s="169" t="s">
        <v>569</v>
      </c>
      <c r="G1446" s="169" t="s">
        <v>569</v>
      </c>
      <c r="H1446" s="169">
        <v>7</v>
      </c>
      <c r="I1446" s="136" t="str">
        <f t="shared" si="67"/>
        <v>BIGINT</v>
      </c>
      <c r="J1446" s="169" t="s">
        <v>0</v>
      </c>
      <c r="K1446" s="169" t="s">
        <v>1</v>
      </c>
      <c r="L1446" s="169">
        <v>30</v>
      </c>
      <c r="M1446" s="168"/>
      <c r="N1446" s="168"/>
      <c r="O1446" s="168"/>
      <c r="P1446" s="168"/>
      <c r="Q1446" s="168" t="s">
        <v>0</v>
      </c>
      <c r="R1446" s="168" t="s">
        <v>1</v>
      </c>
      <c r="S1446" s="178" t="str">
        <f t="shared" si="68"/>
        <v>D_MAP_CRM2CM_INDECAP_INDUSTRY_ID</v>
      </c>
    </row>
    <row r="1447" spans="1:19" ht="14.4" x14ac:dyDescent="0.3">
      <c r="A1447" s="169" t="s">
        <v>406</v>
      </c>
      <c r="B1447" s="171" t="str">
        <f t="shared" si="66"/>
        <v>Правила сопоставления значений индустрии из CRM и индустрий для расчета экономического капитала</v>
      </c>
      <c r="C1447" s="169" t="s">
        <v>473</v>
      </c>
      <c r="D1447" s="169">
        <v>767</v>
      </c>
      <c r="E1447" s="169">
        <v>2</v>
      </c>
      <c r="F1447" s="169" t="s">
        <v>473</v>
      </c>
      <c r="G1447" s="169" t="s">
        <v>473</v>
      </c>
      <c r="H1447" s="169">
        <v>7</v>
      </c>
      <c r="I1447" s="136" t="str">
        <f t="shared" si="67"/>
        <v>BIGINT</v>
      </c>
      <c r="J1447" s="169" t="s">
        <v>0</v>
      </c>
      <c r="K1447" s="169" t="s">
        <v>1</v>
      </c>
      <c r="L1447" s="169">
        <v>30</v>
      </c>
      <c r="M1447" s="168"/>
      <c r="N1447" s="168"/>
      <c r="O1447" s="168"/>
      <c r="P1447" s="168"/>
      <c r="Q1447" s="168" t="s">
        <v>0</v>
      </c>
      <c r="R1447" s="168" t="s">
        <v>1</v>
      </c>
      <c r="S1447" s="178" t="str">
        <f t="shared" si="68"/>
        <v>D_MAP_CRM2CM_INDECAP_PARAM_INDUSTRY_ID</v>
      </c>
    </row>
    <row r="1448" spans="1:19" ht="14.4" x14ac:dyDescent="0.3">
      <c r="A1448" s="169" t="s">
        <v>406</v>
      </c>
      <c r="B1448" s="171" t="str">
        <f t="shared" si="66"/>
        <v>Правила сопоставления значений индустрии из CRM и индустрий для расчета экономического капитала</v>
      </c>
      <c r="C1448" s="169" t="s">
        <v>52</v>
      </c>
      <c r="D1448" s="169">
        <v>768</v>
      </c>
      <c r="E1448" s="169">
        <v>3</v>
      </c>
      <c r="F1448" s="169" t="s">
        <v>52</v>
      </c>
      <c r="G1448" s="169" t="s">
        <v>52</v>
      </c>
      <c r="H1448" s="169">
        <v>34</v>
      </c>
      <c r="I1448" s="136" t="str">
        <f t="shared" si="67"/>
        <v>DATE</v>
      </c>
      <c r="J1448" s="169" t="s">
        <v>1</v>
      </c>
      <c r="K1448" s="169" t="s">
        <v>1</v>
      </c>
      <c r="L1448" s="169">
        <v>30</v>
      </c>
      <c r="M1448" s="168"/>
      <c r="N1448" s="168"/>
      <c r="O1448" s="168"/>
      <c r="P1448" s="168"/>
      <c r="Q1448" s="168" t="s">
        <v>0</v>
      </c>
      <c r="R1448" s="168" t="s">
        <v>1</v>
      </c>
      <c r="S1448" s="178" t="str">
        <f t="shared" si="68"/>
        <v>D_MAP_CRM2CM_INDEND_DT</v>
      </c>
    </row>
    <row r="1449" spans="1:19" ht="14.4" x14ac:dyDescent="0.3">
      <c r="A1449" s="169" t="s">
        <v>406</v>
      </c>
      <c r="B1449" s="171" t="str">
        <f t="shared" si="66"/>
        <v>Правила сопоставления значений индустрии из CRM и индустрий для расчета экономического капитала</v>
      </c>
      <c r="C1449" s="169" t="s">
        <v>434</v>
      </c>
      <c r="D1449" s="169">
        <v>769</v>
      </c>
      <c r="E1449" s="169">
        <v>4</v>
      </c>
      <c r="F1449" s="169" t="s">
        <v>434</v>
      </c>
      <c r="G1449" s="169" t="s">
        <v>434</v>
      </c>
      <c r="H1449" s="169">
        <v>27</v>
      </c>
      <c r="I1449" s="136" t="str">
        <f t="shared" si="67"/>
        <v>INTEGER</v>
      </c>
      <c r="J1449" s="169" t="s">
        <v>0</v>
      </c>
      <c r="K1449" s="169" t="s">
        <v>1</v>
      </c>
      <c r="L1449" s="169">
        <v>30</v>
      </c>
      <c r="M1449" s="168"/>
      <c r="N1449" s="168"/>
      <c r="O1449" s="168"/>
      <c r="P1449" s="168"/>
      <c r="Q1449" s="168" t="s">
        <v>0</v>
      </c>
      <c r="R1449" s="168" t="s">
        <v>1</v>
      </c>
      <c r="S1449" s="178" t="str">
        <f t="shared" si="68"/>
        <v>D_MAP_CRM2CM_INDPRIORITY</v>
      </c>
    </row>
    <row r="1450" spans="1:19" ht="14.4" x14ac:dyDescent="0.3">
      <c r="A1450" s="169" t="s">
        <v>406</v>
      </c>
      <c r="B1450" s="171" t="str">
        <f t="shared" si="66"/>
        <v>Правила сопоставления значений индустрии из CRM и индустрий для расчета экономического капитала</v>
      </c>
      <c r="C1450" s="169" t="s">
        <v>1405</v>
      </c>
      <c r="D1450" s="169">
        <v>770</v>
      </c>
      <c r="E1450" s="169">
        <v>5</v>
      </c>
      <c r="F1450" s="169" t="s">
        <v>1405</v>
      </c>
      <c r="G1450" s="169" t="s">
        <v>1405</v>
      </c>
      <c r="H1450" s="169">
        <v>7</v>
      </c>
      <c r="I1450" s="136" t="str">
        <f t="shared" si="67"/>
        <v>BIGINT</v>
      </c>
      <c r="J1450" s="169" t="s">
        <v>1</v>
      </c>
      <c r="K1450" s="169" t="s">
        <v>1</v>
      </c>
      <c r="L1450" s="169">
        <v>30</v>
      </c>
      <c r="M1450" s="168"/>
      <c r="N1450" s="168"/>
      <c r="O1450" s="168"/>
      <c r="P1450" s="168"/>
      <c r="Q1450" s="168" t="s">
        <v>0</v>
      </c>
      <c r="R1450" s="168" t="s">
        <v>1</v>
      </c>
      <c r="S1450" s="178" t="str">
        <f t="shared" si="68"/>
        <v>D_MAP_CRM2CM_INDRULE_ID</v>
      </c>
    </row>
    <row r="1451" spans="1:19" ht="14.4" x14ac:dyDescent="0.3">
      <c r="A1451" s="169" t="s">
        <v>406</v>
      </c>
      <c r="B1451" s="171" t="str">
        <f t="shared" si="66"/>
        <v>Правила сопоставления значений индустрии из CRM и индустрий для расчета экономического капитала</v>
      </c>
      <c r="C1451" s="169" t="s">
        <v>1606</v>
      </c>
      <c r="D1451" s="169">
        <v>771</v>
      </c>
      <c r="E1451" s="169">
        <v>6</v>
      </c>
      <c r="F1451" s="169" t="s">
        <v>1606</v>
      </c>
      <c r="G1451" s="169" t="s">
        <v>1606</v>
      </c>
      <c r="H1451" s="169">
        <v>7</v>
      </c>
      <c r="I1451" s="136" t="str">
        <f t="shared" si="67"/>
        <v>BIGINT</v>
      </c>
      <c r="J1451" s="169" t="s">
        <v>0</v>
      </c>
      <c r="K1451" s="169" t="s">
        <v>0</v>
      </c>
      <c r="L1451" s="169">
        <v>30</v>
      </c>
      <c r="M1451" s="168"/>
      <c r="N1451" s="168"/>
      <c r="O1451" s="168"/>
      <c r="P1451" s="168"/>
      <c r="Q1451" s="168" t="s">
        <v>0</v>
      </c>
      <c r="R1451" s="168" t="s">
        <v>1</v>
      </c>
      <c r="S1451" s="178" t="str">
        <f t="shared" si="68"/>
        <v>D_MAP_CRM2CM_INDSOURCE_CRM_INDUSTRY_ID</v>
      </c>
    </row>
    <row r="1452" spans="1:19" ht="14.4" x14ac:dyDescent="0.3">
      <c r="A1452" s="169" t="s">
        <v>406</v>
      </c>
      <c r="B1452" s="171" t="str">
        <f t="shared" si="66"/>
        <v>Правила сопоставления значений индустрии из CRM и индустрий для расчета экономического капитала</v>
      </c>
      <c r="C1452" s="169" t="s">
        <v>51</v>
      </c>
      <c r="D1452" s="169">
        <v>772</v>
      </c>
      <c r="E1452" s="169">
        <v>7</v>
      </c>
      <c r="F1452" s="169" t="s">
        <v>51</v>
      </c>
      <c r="G1452" s="169" t="s">
        <v>51</v>
      </c>
      <c r="H1452" s="169">
        <v>34</v>
      </c>
      <c r="I1452" s="136" t="str">
        <f t="shared" si="67"/>
        <v>DATE</v>
      </c>
      <c r="J1452" s="169" t="s">
        <v>1</v>
      </c>
      <c r="K1452" s="169" t="s">
        <v>1</v>
      </c>
      <c r="L1452" s="169">
        <v>30</v>
      </c>
      <c r="M1452" s="168"/>
      <c r="N1452" s="168"/>
      <c r="O1452" s="168"/>
      <c r="P1452" s="168"/>
      <c r="Q1452" s="168" t="s">
        <v>0</v>
      </c>
      <c r="R1452" s="168" t="s">
        <v>1</v>
      </c>
      <c r="S1452" s="178" t="str">
        <f t="shared" si="68"/>
        <v>D_MAP_CRM2CM_INDSTART_DT</v>
      </c>
    </row>
    <row r="1453" spans="1:19" ht="14.4" x14ac:dyDescent="0.3">
      <c r="A1453" s="169" t="s">
        <v>1376</v>
      </c>
      <c r="B1453" s="171" t="str">
        <f t="shared" si="66"/>
        <v>D_MAP_CRM_CARD_TYPE2PRIORITY</v>
      </c>
      <c r="C1453" s="169" t="s">
        <v>52</v>
      </c>
      <c r="D1453" s="169">
        <v>1771</v>
      </c>
      <c r="E1453" s="169">
        <v>1</v>
      </c>
      <c r="F1453" s="169" t="s">
        <v>52</v>
      </c>
      <c r="G1453" s="169" t="s">
        <v>52</v>
      </c>
      <c r="H1453" s="169">
        <v>34</v>
      </c>
      <c r="I1453" s="136" t="str">
        <f t="shared" si="67"/>
        <v>DATE</v>
      </c>
      <c r="J1453" s="169" t="s">
        <v>1</v>
      </c>
      <c r="K1453" s="169" t="s">
        <v>1</v>
      </c>
      <c r="L1453" s="169">
        <v>30</v>
      </c>
      <c r="M1453" s="168"/>
      <c r="N1453" s="168"/>
      <c r="O1453" s="168"/>
      <c r="P1453" s="168"/>
      <c r="Q1453" s="168" t="s">
        <v>0</v>
      </c>
      <c r="R1453" s="168" t="s">
        <v>1</v>
      </c>
      <c r="S1453" s="178" t="str">
        <f t="shared" si="68"/>
        <v>D_MAP_CRM_CARD_TYPE2PRIORITYEND_DT</v>
      </c>
    </row>
    <row r="1454" spans="1:19" ht="14.4" x14ac:dyDescent="0.3">
      <c r="A1454" s="169" t="s">
        <v>1376</v>
      </c>
      <c r="B1454" s="171" t="str">
        <f t="shared" si="66"/>
        <v>D_MAP_CRM_CARD_TYPE2PRIORITY</v>
      </c>
      <c r="C1454" s="169" t="s">
        <v>434</v>
      </c>
      <c r="D1454" s="169">
        <v>1772</v>
      </c>
      <c r="E1454" s="169">
        <v>2</v>
      </c>
      <c r="F1454" s="169" t="s">
        <v>434</v>
      </c>
      <c r="G1454" s="169" t="s">
        <v>434</v>
      </c>
      <c r="H1454" s="169">
        <v>27</v>
      </c>
      <c r="I1454" s="136" t="str">
        <f t="shared" si="67"/>
        <v>INTEGER</v>
      </c>
      <c r="J1454" s="169" t="s">
        <v>0</v>
      </c>
      <c r="K1454" s="169" t="s">
        <v>1</v>
      </c>
      <c r="L1454" s="169">
        <v>30</v>
      </c>
      <c r="M1454" s="168"/>
      <c r="N1454" s="168"/>
      <c r="O1454" s="168"/>
      <c r="P1454" s="168"/>
      <c r="Q1454" s="168" t="s">
        <v>0</v>
      </c>
      <c r="R1454" s="168" t="s">
        <v>1</v>
      </c>
      <c r="S1454" s="178" t="str">
        <f t="shared" si="68"/>
        <v>D_MAP_CRM_CARD_TYPE2PRIORITYPRIORITY</v>
      </c>
    </row>
    <row r="1455" spans="1:19" ht="14.4" x14ac:dyDescent="0.3">
      <c r="A1455" s="169" t="s">
        <v>1376</v>
      </c>
      <c r="B1455" s="171" t="str">
        <f t="shared" si="66"/>
        <v>D_MAP_CRM_CARD_TYPE2PRIORITY</v>
      </c>
      <c r="C1455" s="169" t="s">
        <v>1405</v>
      </c>
      <c r="D1455" s="169">
        <v>1773</v>
      </c>
      <c r="E1455" s="169">
        <v>3</v>
      </c>
      <c r="F1455" s="169" t="s">
        <v>1405</v>
      </c>
      <c r="G1455" s="169" t="s">
        <v>1405</v>
      </c>
      <c r="H1455" s="169">
        <v>7</v>
      </c>
      <c r="I1455" s="136" t="str">
        <f t="shared" si="67"/>
        <v>BIGINT</v>
      </c>
      <c r="J1455" s="169" t="s">
        <v>1</v>
      </c>
      <c r="K1455" s="169" t="s">
        <v>1</v>
      </c>
      <c r="L1455" s="169">
        <v>30</v>
      </c>
      <c r="M1455" s="168"/>
      <c r="N1455" s="168"/>
      <c r="O1455" s="168"/>
      <c r="P1455" s="168"/>
      <c r="Q1455" s="168" t="s">
        <v>0</v>
      </c>
      <c r="R1455" s="168" t="s">
        <v>1</v>
      </c>
      <c r="S1455" s="178" t="str">
        <f t="shared" si="68"/>
        <v>D_MAP_CRM_CARD_TYPE2PRIORITYRULE_ID</v>
      </c>
    </row>
    <row r="1456" spans="1:19" ht="14.4" x14ac:dyDescent="0.3">
      <c r="A1456" s="169" t="s">
        <v>1376</v>
      </c>
      <c r="B1456" s="171" t="str">
        <f t="shared" si="66"/>
        <v>D_MAP_CRM_CARD_TYPE2PRIORITY</v>
      </c>
      <c r="C1456" s="169" t="s">
        <v>1618</v>
      </c>
      <c r="D1456" s="169">
        <v>1774</v>
      </c>
      <c r="E1456" s="169">
        <v>4</v>
      </c>
      <c r="F1456" s="169" t="s">
        <v>1618</v>
      </c>
      <c r="G1456" s="169" t="s">
        <v>1618</v>
      </c>
      <c r="H1456" s="169">
        <v>7</v>
      </c>
      <c r="I1456" s="136" t="str">
        <f t="shared" si="67"/>
        <v>BIGINT</v>
      </c>
      <c r="J1456" s="169" t="s">
        <v>0</v>
      </c>
      <c r="K1456" s="169" t="s">
        <v>0</v>
      </c>
      <c r="L1456" s="169">
        <v>30</v>
      </c>
      <c r="M1456" s="168"/>
      <c r="N1456" s="168"/>
      <c r="O1456" s="168"/>
      <c r="P1456" s="168"/>
      <c r="Q1456" s="168" t="s">
        <v>0</v>
      </c>
      <c r="R1456" s="168" t="s">
        <v>1</v>
      </c>
      <c r="S1456" s="178" t="str">
        <f t="shared" si="68"/>
        <v>D_MAP_CRM_CARD_TYPE2PRIORITYSOURCE_CRM_CARD_TYPE_ID</v>
      </c>
    </row>
    <row r="1457" spans="1:19" ht="14.4" x14ac:dyDescent="0.3">
      <c r="A1457" s="169" t="s">
        <v>1376</v>
      </c>
      <c r="B1457" s="171" t="str">
        <f t="shared" si="66"/>
        <v>D_MAP_CRM_CARD_TYPE2PRIORITY</v>
      </c>
      <c r="C1457" s="169" t="s">
        <v>51</v>
      </c>
      <c r="D1457" s="169">
        <v>1775</v>
      </c>
      <c r="E1457" s="169">
        <v>5</v>
      </c>
      <c r="F1457" s="169" t="s">
        <v>51</v>
      </c>
      <c r="G1457" s="169" t="s">
        <v>51</v>
      </c>
      <c r="H1457" s="169">
        <v>34</v>
      </c>
      <c r="I1457" s="136" t="str">
        <f t="shared" si="67"/>
        <v>DATE</v>
      </c>
      <c r="J1457" s="169" t="s">
        <v>1</v>
      </c>
      <c r="K1457" s="169" t="s">
        <v>1</v>
      </c>
      <c r="L1457" s="169">
        <v>30</v>
      </c>
      <c r="M1457" s="168"/>
      <c r="N1457" s="168"/>
      <c r="O1457" s="168"/>
      <c r="P1457" s="168"/>
      <c r="Q1457" s="168" t="s">
        <v>0</v>
      </c>
      <c r="R1457" s="168" t="s">
        <v>1</v>
      </c>
      <c r="S1457" s="178" t="str">
        <f t="shared" si="68"/>
        <v>D_MAP_CRM_CARD_TYPE2PRIORITYSTART_DT</v>
      </c>
    </row>
    <row r="1458" spans="1:19" ht="14.4" x14ac:dyDescent="0.3">
      <c r="A1458" s="169" t="s">
        <v>1327</v>
      </c>
      <c r="B1458" s="171" t="str">
        <f t="shared" si="66"/>
        <v>D_MAP_CRM_SEGMENT2PRIORITY</v>
      </c>
      <c r="C1458" s="169" t="s">
        <v>52</v>
      </c>
      <c r="D1458" s="169">
        <v>773</v>
      </c>
      <c r="E1458" s="169">
        <v>1</v>
      </c>
      <c r="F1458" s="169" t="s">
        <v>52</v>
      </c>
      <c r="G1458" s="169" t="s">
        <v>52</v>
      </c>
      <c r="H1458" s="169">
        <v>34</v>
      </c>
      <c r="I1458" s="136" t="str">
        <f t="shared" si="67"/>
        <v>DATE</v>
      </c>
      <c r="J1458" s="169" t="s">
        <v>1</v>
      </c>
      <c r="K1458" s="169" t="s">
        <v>1</v>
      </c>
      <c r="L1458" s="169">
        <v>30</v>
      </c>
      <c r="M1458" s="168"/>
      <c r="N1458" s="168"/>
      <c r="O1458" s="168"/>
      <c r="P1458" s="168"/>
      <c r="Q1458" s="168" t="s">
        <v>0</v>
      </c>
      <c r="R1458" s="168" t="s">
        <v>1</v>
      </c>
      <c r="S1458" s="178" t="str">
        <f t="shared" si="68"/>
        <v>D_MAP_CRM_SEGMENT2PRIORITYEND_DT</v>
      </c>
    </row>
    <row r="1459" spans="1:19" ht="14.4" x14ac:dyDescent="0.3">
      <c r="A1459" s="169" t="s">
        <v>1327</v>
      </c>
      <c r="B1459" s="171" t="str">
        <f t="shared" si="66"/>
        <v>D_MAP_CRM_SEGMENT2PRIORITY</v>
      </c>
      <c r="C1459" s="169" t="s">
        <v>434</v>
      </c>
      <c r="D1459" s="169">
        <v>774</v>
      </c>
      <c r="E1459" s="169">
        <v>2</v>
      </c>
      <c r="F1459" s="169" t="s">
        <v>434</v>
      </c>
      <c r="G1459" s="169" t="s">
        <v>434</v>
      </c>
      <c r="H1459" s="169">
        <v>27</v>
      </c>
      <c r="I1459" s="136" t="str">
        <f t="shared" si="67"/>
        <v>INTEGER</v>
      </c>
      <c r="J1459" s="169" t="s">
        <v>1</v>
      </c>
      <c r="K1459" s="169" t="s">
        <v>1</v>
      </c>
      <c r="L1459" s="169">
        <v>30</v>
      </c>
      <c r="M1459" s="168"/>
      <c r="N1459" s="168"/>
      <c r="O1459" s="168"/>
      <c r="P1459" s="168"/>
      <c r="Q1459" s="168" t="s">
        <v>0</v>
      </c>
      <c r="R1459" s="168" t="s">
        <v>1</v>
      </c>
      <c r="S1459" s="178" t="str">
        <f t="shared" si="68"/>
        <v>D_MAP_CRM_SEGMENT2PRIORITYPRIORITY</v>
      </c>
    </row>
    <row r="1460" spans="1:19" ht="14.4" x14ac:dyDescent="0.3">
      <c r="A1460" s="169" t="s">
        <v>1327</v>
      </c>
      <c r="B1460" s="171" t="str">
        <f t="shared" si="66"/>
        <v>D_MAP_CRM_SEGMENT2PRIORITY</v>
      </c>
      <c r="C1460" s="169" t="s">
        <v>1405</v>
      </c>
      <c r="D1460" s="169">
        <v>775</v>
      </c>
      <c r="E1460" s="169">
        <v>3</v>
      </c>
      <c r="F1460" s="169" t="s">
        <v>1405</v>
      </c>
      <c r="G1460" s="169" t="s">
        <v>1405</v>
      </c>
      <c r="H1460" s="169">
        <v>7</v>
      </c>
      <c r="I1460" s="136" t="str">
        <f t="shared" si="67"/>
        <v>BIGINT</v>
      </c>
      <c r="J1460" s="169" t="s">
        <v>1</v>
      </c>
      <c r="K1460" s="169" t="s">
        <v>1</v>
      </c>
      <c r="L1460" s="169">
        <v>30</v>
      </c>
      <c r="M1460" s="168"/>
      <c r="N1460" s="168"/>
      <c r="O1460" s="168"/>
      <c r="P1460" s="168"/>
      <c r="Q1460" s="168" t="s">
        <v>0</v>
      </c>
      <c r="R1460" s="168" t="s">
        <v>1</v>
      </c>
      <c r="S1460" s="178" t="str">
        <f t="shared" si="68"/>
        <v>D_MAP_CRM_SEGMENT2PRIORITYRULE_ID</v>
      </c>
    </row>
    <row r="1461" spans="1:19" ht="14.4" x14ac:dyDescent="0.3">
      <c r="A1461" s="169" t="s">
        <v>1327</v>
      </c>
      <c r="B1461" s="171" t="str">
        <f t="shared" si="66"/>
        <v>D_MAP_CRM_SEGMENT2PRIORITY</v>
      </c>
      <c r="C1461" s="169" t="s">
        <v>1475</v>
      </c>
      <c r="D1461" s="169">
        <v>776</v>
      </c>
      <c r="E1461" s="169">
        <v>4</v>
      </c>
      <c r="F1461" s="169" t="s">
        <v>1475</v>
      </c>
      <c r="G1461" s="169" t="s">
        <v>1475</v>
      </c>
      <c r="H1461" s="169">
        <v>13</v>
      </c>
      <c r="I1461" s="136" t="str">
        <f t="shared" si="67"/>
        <v xml:space="preserve">VARCHAR(300) </v>
      </c>
      <c r="J1461" s="169" t="s">
        <v>0</v>
      </c>
      <c r="K1461" s="169" t="s">
        <v>0</v>
      </c>
      <c r="L1461" s="169">
        <v>30</v>
      </c>
      <c r="M1461" s="168"/>
      <c r="N1461" s="168"/>
      <c r="O1461" s="168"/>
      <c r="P1461" s="168"/>
      <c r="Q1461" s="168" t="s">
        <v>0</v>
      </c>
      <c r="R1461" s="168" t="s">
        <v>1</v>
      </c>
      <c r="S1461" s="178" t="str">
        <f t="shared" si="68"/>
        <v>D_MAP_CRM_SEGMENT2PRIORITYSOURCE_CRM_SEGMENT_NM</v>
      </c>
    </row>
    <row r="1462" spans="1:19" ht="14.4" x14ac:dyDescent="0.3">
      <c r="A1462" s="169" t="s">
        <v>1327</v>
      </c>
      <c r="B1462" s="171" t="str">
        <f t="shared" si="66"/>
        <v>D_MAP_CRM_SEGMENT2PRIORITY</v>
      </c>
      <c r="C1462" s="169" t="s">
        <v>51</v>
      </c>
      <c r="D1462" s="169">
        <v>777</v>
      </c>
      <c r="E1462" s="169">
        <v>5</v>
      </c>
      <c r="F1462" s="169" t="s">
        <v>51</v>
      </c>
      <c r="G1462" s="169" t="s">
        <v>51</v>
      </c>
      <c r="H1462" s="169">
        <v>34</v>
      </c>
      <c r="I1462" s="136" t="str">
        <f t="shared" si="67"/>
        <v>DATE</v>
      </c>
      <c r="J1462" s="169" t="s">
        <v>1</v>
      </c>
      <c r="K1462" s="169" t="s">
        <v>1</v>
      </c>
      <c r="L1462" s="169">
        <v>30</v>
      </c>
      <c r="M1462" s="168"/>
      <c r="N1462" s="168"/>
      <c r="O1462" s="168"/>
      <c r="P1462" s="168"/>
      <c r="Q1462" s="168" t="s">
        <v>0</v>
      </c>
      <c r="R1462" s="168" t="s">
        <v>1</v>
      </c>
      <c r="S1462" s="178" t="str">
        <f t="shared" si="68"/>
        <v>D_MAP_CRM_SEGMENT2PRIORITYSTART_DT</v>
      </c>
    </row>
    <row r="1463" spans="1:19" ht="14.4" x14ac:dyDescent="0.3">
      <c r="A1463" s="169" t="s">
        <v>416</v>
      </c>
      <c r="B1463" s="171" t="str">
        <f t="shared" si="66"/>
        <v>Список корневых подразделений (Сбербанк и его дочерние банки)</v>
      </c>
      <c r="C1463" s="169" t="s">
        <v>932</v>
      </c>
      <c r="D1463" s="169">
        <v>778</v>
      </c>
      <c r="E1463" s="169">
        <v>1</v>
      </c>
      <c r="F1463" s="169" t="s">
        <v>932</v>
      </c>
      <c r="G1463" s="169" t="s">
        <v>932</v>
      </c>
      <c r="H1463" s="169">
        <v>13</v>
      </c>
      <c r="I1463" s="136" t="str">
        <f t="shared" si="67"/>
        <v xml:space="preserve">VARCHAR(300) </v>
      </c>
      <c r="J1463" s="169" t="s">
        <v>0</v>
      </c>
      <c r="K1463" s="169" t="s">
        <v>1</v>
      </c>
      <c r="L1463" s="169">
        <v>30</v>
      </c>
      <c r="M1463" s="168"/>
      <c r="N1463" s="168"/>
      <c r="O1463" s="168"/>
      <c r="P1463" s="168"/>
      <c r="Q1463" s="168" t="s">
        <v>0</v>
      </c>
      <c r="R1463" s="168" t="s">
        <v>1</v>
      </c>
      <c r="S1463" s="178" t="str">
        <f t="shared" si="68"/>
        <v>D_MAP_ENTITY_SYSTEM_IDBUSINESS_ENTITY_DSC</v>
      </c>
    </row>
    <row r="1464" spans="1:19" ht="14.4" x14ac:dyDescent="0.3">
      <c r="A1464" s="169" t="s">
        <v>416</v>
      </c>
      <c r="B1464" s="171" t="str">
        <f t="shared" si="66"/>
        <v>Список корневых подразделений (Сбербанк и его дочерние банки)</v>
      </c>
      <c r="C1464" s="169" t="s">
        <v>52</v>
      </c>
      <c r="D1464" s="169">
        <v>779</v>
      </c>
      <c r="E1464" s="169">
        <v>2</v>
      </c>
      <c r="F1464" s="169" t="s">
        <v>52</v>
      </c>
      <c r="G1464" s="169" t="s">
        <v>52</v>
      </c>
      <c r="H1464" s="169">
        <v>34</v>
      </c>
      <c r="I1464" s="136" t="str">
        <f t="shared" si="67"/>
        <v>DATE</v>
      </c>
      <c r="J1464" s="169" t="s">
        <v>1</v>
      </c>
      <c r="K1464" s="169" t="s">
        <v>1</v>
      </c>
      <c r="L1464" s="169">
        <v>30</v>
      </c>
      <c r="M1464" s="168"/>
      <c r="N1464" s="168"/>
      <c r="O1464" s="168"/>
      <c r="P1464" s="168"/>
      <c r="Q1464" s="168" t="s">
        <v>0</v>
      </c>
      <c r="R1464" s="168" t="s">
        <v>1</v>
      </c>
      <c r="S1464" s="178" t="str">
        <f t="shared" si="68"/>
        <v>D_MAP_ENTITY_SYSTEM_IDEND_DT</v>
      </c>
    </row>
    <row r="1465" spans="1:19" ht="14.4" x14ac:dyDescent="0.3">
      <c r="A1465" s="169" t="s">
        <v>416</v>
      </c>
      <c r="B1465" s="171" t="str">
        <f t="shared" si="66"/>
        <v>Список корневых подразделений (Сбербанк и его дочерние банки)</v>
      </c>
      <c r="C1465" s="169" t="s">
        <v>936</v>
      </c>
      <c r="D1465" s="169">
        <v>780</v>
      </c>
      <c r="E1465" s="169">
        <v>3</v>
      </c>
      <c r="F1465" s="169" t="s">
        <v>936</v>
      </c>
      <c r="G1465" s="169" t="s">
        <v>936</v>
      </c>
      <c r="H1465" s="169">
        <v>7</v>
      </c>
      <c r="I1465" s="136" t="str">
        <f t="shared" si="67"/>
        <v>BIGINT</v>
      </c>
      <c r="J1465" s="169" t="s">
        <v>1</v>
      </c>
      <c r="K1465" s="169" t="s">
        <v>1</v>
      </c>
      <c r="L1465" s="169">
        <v>30</v>
      </c>
      <c r="M1465" s="168"/>
      <c r="N1465" s="168"/>
      <c r="O1465" s="168"/>
      <c r="P1465" s="168"/>
      <c r="Q1465" s="168" t="s">
        <v>0</v>
      </c>
      <c r="R1465" s="168" t="s">
        <v>1</v>
      </c>
      <c r="S1465" s="178" t="str">
        <f t="shared" si="68"/>
        <v>D_MAP_ENTITY_SYSTEM_IDENTITY_ID</v>
      </c>
    </row>
    <row r="1466" spans="1:19" ht="14.4" x14ac:dyDescent="0.3">
      <c r="A1466" s="169" t="s">
        <v>416</v>
      </c>
      <c r="B1466" s="171" t="str">
        <f t="shared" si="66"/>
        <v>Список корневых подразделений (Сбербанк и его дочерние банки)</v>
      </c>
      <c r="C1466" s="169" t="s">
        <v>930</v>
      </c>
      <c r="D1466" s="169">
        <v>781</v>
      </c>
      <c r="E1466" s="169">
        <v>4</v>
      </c>
      <c r="F1466" s="169" t="s">
        <v>930</v>
      </c>
      <c r="G1466" s="169" t="s">
        <v>930</v>
      </c>
      <c r="H1466" s="169">
        <v>24</v>
      </c>
      <c r="I1466" s="136" t="str">
        <f t="shared" si="67"/>
        <v xml:space="preserve">VARCHAR(40) </v>
      </c>
      <c r="J1466" s="169" t="s">
        <v>0</v>
      </c>
      <c r="K1466" s="169" t="s">
        <v>1</v>
      </c>
      <c r="L1466" s="169">
        <v>30</v>
      </c>
      <c r="M1466" s="168"/>
      <c r="N1466" s="168"/>
      <c r="O1466" s="168"/>
      <c r="P1466" s="168"/>
      <c r="Q1466" s="168" t="s">
        <v>0</v>
      </c>
      <c r="R1466" s="168" t="s">
        <v>1</v>
      </c>
      <c r="S1466" s="178" t="str">
        <f t="shared" si="68"/>
        <v>D_MAP_ENTITY_SYSTEM_IDENTITY_SYSTEM_CD</v>
      </c>
    </row>
    <row r="1467" spans="1:19" ht="14.4" x14ac:dyDescent="0.3">
      <c r="A1467" s="169" t="s">
        <v>416</v>
      </c>
      <c r="B1467" s="171" t="str">
        <f t="shared" si="66"/>
        <v>Список корневых подразделений (Сбербанк и его дочерние банки)</v>
      </c>
      <c r="C1467" s="169" t="s">
        <v>934</v>
      </c>
      <c r="D1467" s="169">
        <v>782</v>
      </c>
      <c r="E1467" s="169">
        <v>5</v>
      </c>
      <c r="F1467" s="169" t="s">
        <v>934</v>
      </c>
      <c r="G1467" s="169" t="s">
        <v>934</v>
      </c>
      <c r="H1467" s="169">
        <v>7</v>
      </c>
      <c r="I1467" s="136" t="str">
        <f t="shared" si="67"/>
        <v>BIGINT</v>
      </c>
      <c r="J1467" s="169" t="s">
        <v>0</v>
      </c>
      <c r="K1467" s="169" t="s">
        <v>0</v>
      </c>
      <c r="L1467" s="169">
        <v>30</v>
      </c>
      <c r="M1467" s="168"/>
      <c r="N1467" s="168"/>
      <c r="O1467" s="168"/>
      <c r="P1467" s="168"/>
      <c r="Q1467" s="168" t="s">
        <v>0</v>
      </c>
      <c r="R1467" s="168" t="s">
        <v>1</v>
      </c>
      <c r="S1467" s="178" t="str">
        <f t="shared" si="68"/>
        <v>D_MAP_ENTITY_SYSTEM_IDINTERNAL_ORG_ORIG_ID</v>
      </c>
    </row>
    <row r="1468" spans="1:19" ht="14.4" x14ac:dyDescent="0.3">
      <c r="A1468" s="169" t="s">
        <v>416</v>
      </c>
      <c r="B1468" s="171" t="str">
        <f t="shared" si="66"/>
        <v>Список корневых подразделений (Сбербанк и его дочерние банки)</v>
      </c>
      <c r="C1468" s="169" t="s">
        <v>51</v>
      </c>
      <c r="D1468" s="169">
        <v>783</v>
      </c>
      <c r="E1468" s="169">
        <v>6</v>
      </c>
      <c r="F1468" s="169" t="s">
        <v>51</v>
      </c>
      <c r="G1468" s="169" t="s">
        <v>51</v>
      </c>
      <c r="H1468" s="169">
        <v>34</v>
      </c>
      <c r="I1468" s="136" t="str">
        <f t="shared" si="67"/>
        <v>DATE</v>
      </c>
      <c r="J1468" s="169" t="s">
        <v>1</v>
      </c>
      <c r="K1468" s="169" t="s">
        <v>1</v>
      </c>
      <c r="L1468" s="169">
        <v>30</v>
      </c>
      <c r="M1468" s="168"/>
      <c r="N1468" s="168"/>
      <c r="O1468" s="168"/>
      <c r="P1468" s="168"/>
      <c r="Q1468" s="168" t="s">
        <v>0</v>
      </c>
      <c r="R1468" s="168" t="s">
        <v>1</v>
      </c>
      <c r="S1468" s="178" t="str">
        <f t="shared" si="68"/>
        <v>D_MAP_ENTITY_SYSTEM_IDSTART_DT</v>
      </c>
    </row>
    <row r="1469" spans="1:19" ht="14.4" x14ac:dyDescent="0.3">
      <c r="A1469" s="169" t="s">
        <v>2037</v>
      </c>
      <c r="B1469" s="171" t="str">
        <f t="shared" si="66"/>
        <v>D_MAP_FDSC_CODES_TO_IGNORE</v>
      </c>
      <c r="C1469" s="169" t="s">
        <v>52</v>
      </c>
      <c r="D1469" s="169">
        <v>784</v>
      </c>
      <c r="E1469" s="169">
        <v>1</v>
      </c>
      <c r="F1469" s="169" t="s">
        <v>52</v>
      </c>
      <c r="G1469" s="169" t="s">
        <v>52</v>
      </c>
      <c r="H1469" s="169">
        <v>34</v>
      </c>
      <c r="I1469" s="136" t="str">
        <f t="shared" si="67"/>
        <v>DATE</v>
      </c>
      <c r="J1469" s="169" t="s">
        <v>0</v>
      </c>
      <c r="K1469" s="169" t="s">
        <v>1</v>
      </c>
      <c r="L1469" s="169">
        <v>30</v>
      </c>
      <c r="M1469" s="168"/>
      <c r="N1469" s="168"/>
      <c r="O1469" s="168"/>
      <c r="P1469" s="168"/>
      <c r="Q1469" s="168" t="s">
        <v>0</v>
      </c>
      <c r="R1469" s="168" t="s">
        <v>1</v>
      </c>
      <c r="S1469" s="178" t="str">
        <f t="shared" si="68"/>
        <v>D_MAP_FDSC_CODES_TO_IGNOREEND_DT</v>
      </c>
    </row>
    <row r="1470" spans="1:19" ht="14.4" x14ac:dyDescent="0.3">
      <c r="A1470" s="169" t="s">
        <v>2037</v>
      </c>
      <c r="B1470" s="171" t="str">
        <f t="shared" si="66"/>
        <v>D_MAP_FDSC_CODES_TO_IGNORE</v>
      </c>
      <c r="C1470" s="169" t="s">
        <v>2137</v>
      </c>
      <c r="D1470" s="169">
        <v>785</v>
      </c>
      <c r="E1470" s="169">
        <v>2</v>
      </c>
      <c r="F1470" s="169" t="s">
        <v>2137</v>
      </c>
      <c r="G1470" s="169" t="s">
        <v>2137</v>
      </c>
      <c r="H1470" s="169">
        <v>13</v>
      </c>
      <c r="I1470" s="136" t="str">
        <f t="shared" si="67"/>
        <v xml:space="preserve">VARCHAR(300) </v>
      </c>
      <c r="J1470" s="169" t="s">
        <v>0</v>
      </c>
      <c r="K1470" s="169" t="s">
        <v>1</v>
      </c>
      <c r="L1470" s="169">
        <v>30</v>
      </c>
      <c r="M1470" s="168"/>
      <c r="N1470" s="168"/>
      <c r="O1470" s="168"/>
      <c r="P1470" s="168"/>
      <c r="Q1470" s="168" t="s">
        <v>0</v>
      </c>
      <c r="R1470" s="168" t="s">
        <v>1</v>
      </c>
      <c r="S1470" s="178" t="str">
        <f t="shared" si="68"/>
        <v>D_MAP_FDSC_CODES_TO_IGNOREFDSC_TO_IGNORE_CD</v>
      </c>
    </row>
    <row r="1471" spans="1:19" ht="14.4" x14ac:dyDescent="0.3">
      <c r="A1471" s="169" t="s">
        <v>2037</v>
      </c>
      <c r="B1471" s="171" t="str">
        <f t="shared" si="66"/>
        <v>D_MAP_FDSC_CODES_TO_IGNORE</v>
      </c>
      <c r="C1471" s="169" t="s">
        <v>1405</v>
      </c>
      <c r="D1471" s="169">
        <v>786</v>
      </c>
      <c r="E1471" s="169">
        <v>3</v>
      </c>
      <c r="F1471" s="169" t="s">
        <v>1405</v>
      </c>
      <c r="G1471" s="169" t="s">
        <v>1405</v>
      </c>
      <c r="H1471" s="169">
        <v>7</v>
      </c>
      <c r="I1471" s="136" t="str">
        <f t="shared" si="67"/>
        <v>BIGINT</v>
      </c>
      <c r="J1471" s="169" t="s">
        <v>0</v>
      </c>
      <c r="K1471" s="169" t="s">
        <v>0</v>
      </c>
      <c r="L1471" s="169">
        <v>30</v>
      </c>
      <c r="M1471" s="168"/>
      <c r="N1471" s="168"/>
      <c r="O1471" s="168"/>
      <c r="P1471" s="168"/>
      <c r="Q1471" s="168" t="s">
        <v>0</v>
      </c>
      <c r="R1471" s="168" t="s">
        <v>1</v>
      </c>
      <c r="S1471" s="178" t="str">
        <f t="shared" si="68"/>
        <v>D_MAP_FDSC_CODES_TO_IGNORERULE_ID</v>
      </c>
    </row>
    <row r="1472" spans="1:19" ht="14.4" x14ac:dyDescent="0.3">
      <c r="A1472" s="169" t="s">
        <v>2037</v>
      </c>
      <c r="B1472" s="171" t="str">
        <f t="shared" si="66"/>
        <v>D_MAP_FDSC_CODES_TO_IGNORE</v>
      </c>
      <c r="C1472" s="169" t="s">
        <v>51</v>
      </c>
      <c r="D1472" s="169">
        <v>787</v>
      </c>
      <c r="E1472" s="169">
        <v>4</v>
      </c>
      <c r="F1472" s="169" t="s">
        <v>51</v>
      </c>
      <c r="G1472" s="169" t="s">
        <v>51</v>
      </c>
      <c r="H1472" s="169">
        <v>34</v>
      </c>
      <c r="I1472" s="136" t="str">
        <f t="shared" si="67"/>
        <v>DATE</v>
      </c>
      <c r="J1472" s="169" t="s">
        <v>0</v>
      </c>
      <c r="K1472" s="169" t="s">
        <v>1</v>
      </c>
      <c r="L1472" s="169">
        <v>30</v>
      </c>
      <c r="M1472" s="168"/>
      <c r="N1472" s="168"/>
      <c r="O1472" s="168"/>
      <c r="P1472" s="168"/>
      <c r="Q1472" s="168" t="s">
        <v>0</v>
      </c>
      <c r="R1472" s="168" t="s">
        <v>1</v>
      </c>
      <c r="S1472" s="178" t="str">
        <f t="shared" si="68"/>
        <v>D_MAP_FDSC_CODES_TO_IGNORESTART_DT</v>
      </c>
    </row>
    <row r="1473" spans="1:19" ht="14.4" x14ac:dyDescent="0.3">
      <c r="A1473" s="169" t="s">
        <v>421</v>
      </c>
      <c r="B1473" s="171" t="str">
        <f t="shared" si="66"/>
        <v>Правила определения типа контрагента по выгрузке УМРОГР</v>
      </c>
      <c r="C1473" s="169" t="s">
        <v>470</v>
      </c>
      <c r="D1473" s="169">
        <v>788</v>
      </c>
      <c r="E1473" s="169">
        <v>1</v>
      </c>
      <c r="F1473" s="169" t="s">
        <v>470</v>
      </c>
      <c r="G1473" s="169" t="s">
        <v>470</v>
      </c>
      <c r="H1473" s="169">
        <v>7</v>
      </c>
      <c r="I1473" s="136" t="str">
        <f t="shared" si="67"/>
        <v>BIGINT</v>
      </c>
      <c r="J1473" s="169" t="s">
        <v>0</v>
      </c>
      <c r="K1473" s="169" t="s">
        <v>1</v>
      </c>
      <c r="L1473" s="169">
        <v>30</v>
      </c>
      <c r="M1473" s="168"/>
      <c r="N1473" s="168"/>
      <c r="O1473" s="168"/>
      <c r="P1473" s="168"/>
      <c r="Q1473" s="168" t="s">
        <v>0</v>
      </c>
      <c r="R1473" s="168" t="s">
        <v>1</v>
      </c>
      <c r="S1473" s="178" t="str">
        <f t="shared" si="68"/>
        <v>D_MAP_FIN2CP_CPTY_TPCP_TYPE_ID</v>
      </c>
    </row>
    <row r="1474" spans="1:19" ht="14.4" x14ac:dyDescent="0.3">
      <c r="A1474" s="169" t="s">
        <v>421</v>
      </c>
      <c r="B1474" s="171" t="str">
        <f t="shared" ref="B1474:B1537" si="69">IF(NOT(ISBLANK(A1474)),VLOOKUP(A1474,ERM_TABLE_NM,2,FALSE), "")</f>
        <v>Правила определения типа контрагента по выгрузке УМРОГР</v>
      </c>
      <c r="C1474" s="169" t="s">
        <v>52</v>
      </c>
      <c r="D1474" s="169">
        <v>789</v>
      </c>
      <c r="E1474" s="169">
        <v>2</v>
      </c>
      <c r="F1474" s="169" t="s">
        <v>52</v>
      </c>
      <c r="G1474" s="169" t="s">
        <v>52</v>
      </c>
      <c r="H1474" s="169">
        <v>34</v>
      </c>
      <c r="I1474" s="136" t="str">
        <f t="shared" ref="I1474:I1537" si="70">IF(NOT(ISBLANK(H1474)),VLOOKUP(H1474,ERM_DOMAIN_NM,2,FALSE), "")</f>
        <v>DATE</v>
      </c>
      <c r="J1474" s="169" t="s">
        <v>1</v>
      </c>
      <c r="K1474" s="169" t="s">
        <v>1</v>
      </c>
      <c r="L1474" s="169">
        <v>30</v>
      </c>
      <c r="M1474" s="168"/>
      <c r="N1474" s="168"/>
      <c r="O1474" s="168"/>
      <c r="P1474" s="168"/>
      <c r="Q1474" s="168" t="s">
        <v>0</v>
      </c>
      <c r="R1474" s="168" t="s">
        <v>1</v>
      </c>
      <c r="S1474" s="178" t="str">
        <f t="shared" si="68"/>
        <v>D_MAP_FIN2CP_CPTY_TPEND_DT</v>
      </c>
    </row>
    <row r="1475" spans="1:19" ht="14.4" x14ac:dyDescent="0.3">
      <c r="A1475" s="169" t="s">
        <v>421</v>
      </c>
      <c r="B1475" s="171" t="str">
        <f t="shared" si="69"/>
        <v>Правила определения типа контрагента по выгрузке УМРОГР</v>
      </c>
      <c r="C1475" s="169" t="s">
        <v>434</v>
      </c>
      <c r="D1475" s="169">
        <v>790</v>
      </c>
      <c r="E1475" s="169">
        <v>3</v>
      </c>
      <c r="F1475" s="169" t="s">
        <v>434</v>
      </c>
      <c r="G1475" s="169" t="s">
        <v>434</v>
      </c>
      <c r="H1475" s="169">
        <v>27</v>
      </c>
      <c r="I1475" s="136" t="str">
        <f t="shared" si="70"/>
        <v>INTEGER</v>
      </c>
      <c r="J1475" s="169" t="s">
        <v>0</v>
      </c>
      <c r="K1475" s="169" t="s">
        <v>1</v>
      </c>
      <c r="L1475" s="169">
        <v>30</v>
      </c>
      <c r="M1475" s="168"/>
      <c r="N1475" s="168"/>
      <c r="O1475" s="168"/>
      <c r="P1475" s="168"/>
      <c r="Q1475" s="168" t="s">
        <v>0</v>
      </c>
      <c r="R1475" s="168" t="s">
        <v>1</v>
      </c>
      <c r="S1475" s="178" t="str">
        <f t="shared" ref="S1475:S1538" si="71">CONCATENATE(A1475,C1475)</f>
        <v>D_MAP_FIN2CP_CPTY_TPPRIORITY</v>
      </c>
    </row>
    <row r="1476" spans="1:19" ht="14.4" x14ac:dyDescent="0.3">
      <c r="A1476" s="169" t="s">
        <v>421</v>
      </c>
      <c r="B1476" s="171" t="str">
        <f t="shared" si="69"/>
        <v>Правила определения типа контрагента по выгрузке УМРОГР</v>
      </c>
      <c r="C1476" s="169" t="s">
        <v>1405</v>
      </c>
      <c r="D1476" s="169">
        <v>791</v>
      </c>
      <c r="E1476" s="169">
        <v>4</v>
      </c>
      <c r="F1476" s="169" t="s">
        <v>1405</v>
      </c>
      <c r="G1476" s="169" t="s">
        <v>1405</v>
      </c>
      <c r="H1476" s="169">
        <v>7</v>
      </c>
      <c r="I1476" s="136" t="str">
        <f t="shared" si="70"/>
        <v>BIGINT</v>
      </c>
      <c r="J1476" s="169" t="s">
        <v>1</v>
      </c>
      <c r="K1476" s="169" t="s">
        <v>1</v>
      </c>
      <c r="L1476" s="169">
        <v>30</v>
      </c>
      <c r="M1476" s="168"/>
      <c r="N1476" s="168"/>
      <c r="O1476" s="168"/>
      <c r="P1476" s="168"/>
      <c r="Q1476" s="168" t="s">
        <v>0</v>
      </c>
      <c r="R1476" s="168" t="s">
        <v>1</v>
      </c>
      <c r="S1476" s="178" t="str">
        <f t="shared" si="71"/>
        <v>D_MAP_FIN2CP_CPTY_TPRULE_ID</v>
      </c>
    </row>
    <row r="1477" spans="1:19" ht="14.4" x14ac:dyDescent="0.3">
      <c r="A1477" s="169" t="s">
        <v>421</v>
      </c>
      <c r="B1477" s="171" t="str">
        <f t="shared" si="69"/>
        <v>Правила определения типа контрагента по выгрузке УМРОГР</v>
      </c>
      <c r="C1477" s="169" t="s">
        <v>468</v>
      </c>
      <c r="D1477" s="169">
        <v>792</v>
      </c>
      <c r="E1477" s="169">
        <v>5</v>
      </c>
      <c r="F1477" s="169" t="s">
        <v>468</v>
      </c>
      <c r="G1477" s="169" t="s">
        <v>468</v>
      </c>
      <c r="H1477" s="169">
        <v>24</v>
      </c>
      <c r="I1477" s="136" t="str">
        <f t="shared" si="70"/>
        <v xml:space="preserve">VARCHAR(40) </v>
      </c>
      <c r="J1477" s="169" t="s">
        <v>0</v>
      </c>
      <c r="K1477" s="169" t="s">
        <v>0</v>
      </c>
      <c r="L1477" s="169">
        <v>30</v>
      </c>
      <c r="M1477" s="168"/>
      <c r="N1477" s="168"/>
      <c r="O1477" s="168"/>
      <c r="P1477" s="168"/>
      <c r="Q1477" s="168" t="s">
        <v>0</v>
      </c>
      <c r="R1477" s="168" t="s">
        <v>1</v>
      </c>
      <c r="S1477" s="178" t="str">
        <f t="shared" si="71"/>
        <v>D_MAP_FIN2CP_CPTY_TPSOURCE_IND_LET</v>
      </c>
    </row>
    <row r="1478" spans="1:19" ht="14.4" x14ac:dyDescent="0.3">
      <c r="A1478" s="169" t="s">
        <v>421</v>
      </c>
      <c r="B1478" s="171" t="str">
        <f t="shared" si="69"/>
        <v>Правила определения типа контрагента по выгрузке УМРОГР</v>
      </c>
      <c r="C1478" s="169" t="s">
        <v>51</v>
      </c>
      <c r="D1478" s="169">
        <v>793</v>
      </c>
      <c r="E1478" s="169">
        <v>6</v>
      </c>
      <c r="F1478" s="169" t="s">
        <v>51</v>
      </c>
      <c r="G1478" s="169" t="s">
        <v>51</v>
      </c>
      <c r="H1478" s="169">
        <v>34</v>
      </c>
      <c r="I1478" s="136" t="str">
        <f t="shared" si="70"/>
        <v>DATE</v>
      </c>
      <c r="J1478" s="169" t="s">
        <v>1</v>
      </c>
      <c r="K1478" s="169" t="s">
        <v>1</v>
      </c>
      <c r="L1478" s="169">
        <v>30</v>
      </c>
      <c r="M1478" s="168"/>
      <c r="N1478" s="168"/>
      <c r="O1478" s="168"/>
      <c r="P1478" s="168"/>
      <c r="Q1478" s="168" t="s">
        <v>0</v>
      </c>
      <c r="R1478" s="168" t="s">
        <v>1</v>
      </c>
      <c r="S1478" s="178" t="str">
        <f t="shared" si="71"/>
        <v>D_MAP_FIN2CP_CPTY_TPSTART_DT</v>
      </c>
    </row>
    <row r="1479" spans="1:19" ht="14.4" x14ac:dyDescent="0.3">
      <c r="A1479" s="169" t="s">
        <v>423</v>
      </c>
      <c r="B1479" s="171" t="str">
        <f t="shared" si="69"/>
        <v>Правила проставления регуляторного класса продукта для таблиц типа ISSUE по данным с финансовых рынков (новый вариант)</v>
      </c>
      <c r="C1479" s="169" t="s">
        <v>52</v>
      </c>
      <c r="D1479" s="169">
        <v>1776</v>
      </c>
      <c r="E1479" s="169">
        <v>1</v>
      </c>
      <c r="F1479" s="169" t="s">
        <v>52</v>
      </c>
      <c r="G1479" s="169" t="s">
        <v>52</v>
      </c>
      <c r="H1479" s="169">
        <v>34</v>
      </c>
      <c r="I1479" s="136" t="str">
        <f t="shared" si="70"/>
        <v>DATE</v>
      </c>
      <c r="J1479" s="169" t="s">
        <v>1</v>
      </c>
      <c r="K1479" s="169" t="s">
        <v>1</v>
      </c>
      <c r="L1479" s="169">
        <v>30</v>
      </c>
      <c r="M1479" s="168"/>
      <c r="N1479" s="168"/>
      <c r="O1479" s="168"/>
      <c r="P1479" s="168"/>
      <c r="Q1479" s="168" t="s">
        <v>0</v>
      </c>
      <c r="R1479" s="168" t="s">
        <v>1</v>
      </c>
      <c r="S1479" s="178" t="str">
        <f t="shared" si="71"/>
        <v>D_MAP_FIN2I_REG_PROD_CDEND_DT</v>
      </c>
    </row>
    <row r="1480" spans="1:19" ht="14.4" x14ac:dyDescent="0.3">
      <c r="A1480" s="169" t="s">
        <v>423</v>
      </c>
      <c r="B1480" s="171" t="str">
        <f t="shared" si="69"/>
        <v>Правила проставления регуляторного класса продукта для таблиц типа ISSUE по данным с финансовых рынков (новый вариант)</v>
      </c>
      <c r="C1480" s="169" t="s">
        <v>434</v>
      </c>
      <c r="D1480" s="169">
        <v>1777</v>
      </c>
      <c r="E1480" s="169">
        <v>2</v>
      </c>
      <c r="F1480" s="169" t="s">
        <v>434</v>
      </c>
      <c r="G1480" s="169" t="s">
        <v>434</v>
      </c>
      <c r="H1480" s="169">
        <v>27</v>
      </c>
      <c r="I1480" s="136" t="str">
        <f t="shared" si="70"/>
        <v>INTEGER</v>
      </c>
      <c r="J1480" s="169" t="s">
        <v>0</v>
      </c>
      <c r="K1480" s="169" t="s">
        <v>1</v>
      </c>
      <c r="L1480" s="169">
        <v>30</v>
      </c>
      <c r="M1480" s="168"/>
      <c r="N1480" s="168"/>
      <c r="O1480" s="168"/>
      <c r="P1480" s="168"/>
      <c r="Q1480" s="168" t="s">
        <v>0</v>
      </c>
      <c r="R1480" s="168" t="s">
        <v>1</v>
      </c>
      <c r="S1480" s="178" t="str">
        <f t="shared" si="71"/>
        <v>D_MAP_FIN2I_REG_PROD_CDPRIORITY</v>
      </c>
    </row>
    <row r="1481" spans="1:19" ht="14.4" x14ac:dyDescent="0.3">
      <c r="A1481" s="169" t="s">
        <v>423</v>
      </c>
      <c r="B1481" s="171" t="str">
        <f t="shared" si="69"/>
        <v>Правила проставления регуляторного класса продукта для таблиц типа ISSUE по данным с финансовых рынков (новый вариант)</v>
      </c>
      <c r="C1481" s="169" t="s">
        <v>511</v>
      </c>
      <c r="D1481" s="169">
        <v>1778</v>
      </c>
      <c r="E1481" s="169">
        <v>3</v>
      </c>
      <c r="F1481" s="169" t="s">
        <v>511</v>
      </c>
      <c r="G1481" s="169" t="s">
        <v>511</v>
      </c>
      <c r="H1481" s="169">
        <v>7</v>
      </c>
      <c r="I1481" s="136" t="str">
        <f t="shared" si="70"/>
        <v>BIGINT</v>
      </c>
      <c r="J1481" s="169" t="s">
        <v>0</v>
      </c>
      <c r="K1481" s="169" t="s">
        <v>0</v>
      </c>
      <c r="L1481" s="169">
        <v>30</v>
      </c>
      <c r="M1481" s="168"/>
      <c r="N1481" s="168"/>
      <c r="O1481" s="168"/>
      <c r="P1481" s="168"/>
      <c r="Q1481" s="168" t="s">
        <v>0</v>
      </c>
      <c r="R1481" s="168" t="s">
        <v>1</v>
      </c>
      <c r="S1481" s="178" t="str">
        <f t="shared" si="71"/>
        <v>D_MAP_FIN2I_REG_PROD_CDREGLTRY_PRODUCT_TYPE_ID</v>
      </c>
    </row>
    <row r="1482" spans="1:19" ht="14.4" x14ac:dyDescent="0.3">
      <c r="A1482" s="169" t="s">
        <v>423</v>
      </c>
      <c r="B1482" s="171" t="str">
        <f t="shared" si="69"/>
        <v>Правила проставления регуляторного класса продукта для таблиц типа ISSUE по данным с финансовых рынков (новый вариант)</v>
      </c>
      <c r="C1482" s="169" t="s">
        <v>1405</v>
      </c>
      <c r="D1482" s="169">
        <v>1779</v>
      </c>
      <c r="E1482" s="169">
        <v>4</v>
      </c>
      <c r="F1482" s="169" t="s">
        <v>1405</v>
      </c>
      <c r="G1482" s="169" t="s">
        <v>1405</v>
      </c>
      <c r="H1482" s="169">
        <v>7</v>
      </c>
      <c r="I1482" s="136" t="str">
        <f t="shared" si="70"/>
        <v>BIGINT</v>
      </c>
      <c r="J1482" s="169" t="s">
        <v>1</v>
      </c>
      <c r="K1482" s="169" t="s">
        <v>1</v>
      </c>
      <c r="L1482" s="169">
        <v>30</v>
      </c>
      <c r="M1482" s="168"/>
      <c r="N1482" s="168"/>
      <c r="O1482" s="168"/>
      <c r="P1482" s="168"/>
      <c r="Q1482" s="168" t="s">
        <v>0</v>
      </c>
      <c r="R1482" s="168" t="s">
        <v>1</v>
      </c>
      <c r="S1482" s="178" t="str">
        <f t="shared" si="71"/>
        <v>D_MAP_FIN2I_REG_PROD_CDRULE_ID</v>
      </c>
    </row>
    <row r="1483" spans="1:19" ht="14.4" x14ac:dyDescent="0.3">
      <c r="A1483" s="169" t="s">
        <v>423</v>
      </c>
      <c r="B1483" s="171" t="str">
        <f t="shared" si="69"/>
        <v>Правила проставления регуляторного класса продукта для таблиц типа ISSUE по данным с финансовых рынков (новый вариант)</v>
      </c>
      <c r="C1483" s="169" t="s">
        <v>2138</v>
      </c>
      <c r="D1483" s="169">
        <v>1780</v>
      </c>
      <c r="E1483" s="169">
        <v>5</v>
      </c>
      <c r="F1483" s="169" t="s">
        <v>2138</v>
      </c>
      <c r="G1483" s="169" t="s">
        <v>2138</v>
      </c>
      <c r="H1483" s="169">
        <v>7</v>
      </c>
      <c r="I1483" s="136" t="str">
        <f t="shared" si="70"/>
        <v>BIGINT</v>
      </c>
      <c r="J1483" s="169" t="s">
        <v>0</v>
      </c>
      <c r="K1483" s="169" t="s">
        <v>1</v>
      </c>
      <c r="L1483" s="169">
        <v>30</v>
      </c>
      <c r="M1483" s="168"/>
      <c r="N1483" s="168"/>
      <c r="O1483" s="168"/>
      <c r="P1483" s="168"/>
      <c r="Q1483" s="168" t="s">
        <v>0</v>
      </c>
      <c r="R1483" s="168" t="s">
        <v>1</v>
      </c>
      <c r="S1483" s="178" t="str">
        <f t="shared" si="71"/>
        <v>D_MAP_FIN2I_REG_PROD_CDSOURCE_DEAL_TYPE_ID</v>
      </c>
    </row>
    <row r="1484" spans="1:19" ht="14.4" x14ac:dyDescent="0.3">
      <c r="A1484" s="169" t="s">
        <v>423</v>
      </c>
      <c r="B1484" s="171" t="str">
        <f t="shared" si="69"/>
        <v>Правила проставления регуляторного класса продукта для таблиц типа ISSUE по данным с финансовых рынков (новый вариант)</v>
      </c>
      <c r="C1484" s="169" t="s">
        <v>51</v>
      </c>
      <c r="D1484" s="169">
        <v>1781</v>
      </c>
      <c r="E1484" s="169">
        <v>6</v>
      </c>
      <c r="F1484" s="169" t="s">
        <v>51</v>
      </c>
      <c r="G1484" s="169" t="s">
        <v>51</v>
      </c>
      <c r="H1484" s="169">
        <v>34</v>
      </c>
      <c r="I1484" s="136" t="str">
        <f t="shared" si="70"/>
        <v>DATE</v>
      </c>
      <c r="J1484" s="169" t="s">
        <v>1</v>
      </c>
      <c r="K1484" s="169" t="s">
        <v>1</v>
      </c>
      <c r="L1484" s="169">
        <v>30</v>
      </c>
      <c r="M1484" s="168"/>
      <c r="N1484" s="168"/>
      <c r="O1484" s="168"/>
      <c r="P1484" s="168"/>
      <c r="Q1484" s="168" t="s">
        <v>0</v>
      </c>
      <c r="R1484" s="168" t="s">
        <v>1</v>
      </c>
      <c r="S1484" s="178" t="str">
        <f t="shared" si="71"/>
        <v>D_MAP_FIN2I_REG_PROD_CDSTART_DT</v>
      </c>
    </row>
    <row r="1485" spans="1:19" ht="14.4" x14ac:dyDescent="0.3">
      <c r="A1485" s="169" t="s">
        <v>424</v>
      </c>
      <c r="B1485" s="171" t="str">
        <f t="shared" si="69"/>
        <v>Правила проставления класса продукта для таблиц типа ISSUE по данным с финансовых рынков (новый вариант)</v>
      </c>
      <c r="C1485" s="169" t="s">
        <v>52</v>
      </c>
      <c r="D1485" s="169">
        <v>794</v>
      </c>
      <c r="E1485" s="169">
        <v>1</v>
      </c>
      <c r="F1485" s="169" t="s">
        <v>52</v>
      </c>
      <c r="G1485" s="169" t="s">
        <v>52</v>
      </c>
      <c r="H1485" s="169">
        <v>34</v>
      </c>
      <c r="I1485" s="136" t="str">
        <f t="shared" si="70"/>
        <v>DATE</v>
      </c>
      <c r="J1485" s="169" t="s">
        <v>1</v>
      </c>
      <c r="K1485" s="169" t="s">
        <v>1</v>
      </c>
      <c r="L1485" s="169">
        <v>30</v>
      </c>
      <c r="M1485" s="168"/>
      <c r="N1485" s="168"/>
      <c r="O1485" s="168"/>
      <c r="P1485" s="168"/>
      <c r="Q1485" s="168" t="s">
        <v>0</v>
      </c>
      <c r="R1485" s="168" t="s">
        <v>1</v>
      </c>
      <c r="S1485" s="178" t="str">
        <f t="shared" si="71"/>
        <v>D_MAP_FIN2I_REP_CLASSEND_DT</v>
      </c>
    </row>
    <row r="1486" spans="1:19" ht="14.4" x14ac:dyDescent="0.3">
      <c r="A1486" s="169" t="s">
        <v>424</v>
      </c>
      <c r="B1486" s="171" t="str">
        <f t="shared" si="69"/>
        <v>Правила проставления класса продукта для таблиц типа ISSUE по данным с финансовых рынков (новый вариант)</v>
      </c>
      <c r="C1486" s="169" t="s">
        <v>434</v>
      </c>
      <c r="D1486" s="169">
        <v>795</v>
      </c>
      <c r="E1486" s="169">
        <v>2</v>
      </c>
      <c r="F1486" s="169" t="s">
        <v>434</v>
      </c>
      <c r="G1486" s="169" t="s">
        <v>434</v>
      </c>
      <c r="H1486" s="169">
        <v>27</v>
      </c>
      <c r="I1486" s="136" t="str">
        <f t="shared" si="70"/>
        <v>INTEGER</v>
      </c>
      <c r="J1486" s="169" t="s">
        <v>0</v>
      </c>
      <c r="K1486" s="169" t="s">
        <v>1</v>
      </c>
      <c r="L1486" s="169">
        <v>30</v>
      </c>
      <c r="M1486" s="168"/>
      <c r="N1486" s="168"/>
      <c r="O1486" s="168"/>
      <c r="P1486" s="168"/>
      <c r="Q1486" s="168" t="s">
        <v>0</v>
      </c>
      <c r="R1486" s="168" t="s">
        <v>1</v>
      </c>
      <c r="S1486" s="178" t="str">
        <f t="shared" si="71"/>
        <v>D_MAP_FIN2I_REP_CLASSPRIORITY</v>
      </c>
    </row>
    <row r="1487" spans="1:19" ht="14.4" x14ac:dyDescent="0.3">
      <c r="A1487" s="169" t="s">
        <v>424</v>
      </c>
      <c r="B1487" s="171" t="str">
        <f t="shared" si="69"/>
        <v>Правила проставления класса продукта для таблиц типа ISSUE по данным с финансовых рынков (новый вариант)</v>
      </c>
      <c r="C1487" s="169" t="s">
        <v>444</v>
      </c>
      <c r="D1487" s="169">
        <v>796</v>
      </c>
      <c r="E1487" s="169">
        <v>3</v>
      </c>
      <c r="F1487" s="169" t="s">
        <v>444</v>
      </c>
      <c r="G1487" s="169" t="s">
        <v>444</v>
      </c>
      <c r="H1487" s="169">
        <v>7</v>
      </c>
      <c r="I1487" s="136" t="str">
        <f t="shared" si="70"/>
        <v>BIGINT</v>
      </c>
      <c r="J1487" s="169" t="s">
        <v>0</v>
      </c>
      <c r="K1487" s="169" t="s">
        <v>1</v>
      </c>
      <c r="L1487" s="169">
        <v>30</v>
      </c>
      <c r="M1487" s="168"/>
      <c r="N1487" s="168"/>
      <c r="O1487" s="168"/>
      <c r="P1487" s="168"/>
      <c r="Q1487" s="168" t="s">
        <v>0</v>
      </c>
      <c r="R1487" s="168" t="s">
        <v>1</v>
      </c>
      <c r="S1487" s="178" t="str">
        <f t="shared" si="71"/>
        <v>D_MAP_FIN2I_REP_CLASSREP_CLASS_ID</v>
      </c>
    </row>
    <row r="1488" spans="1:19" ht="14.4" x14ac:dyDescent="0.3">
      <c r="A1488" s="169" t="s">
        <v>424</v>
      </c>
      <c r="B1488" s="171" t="str">
        <f t="shared" si="69"/>
        <v>Правила проставления класса продукта для таблиц типа ISSUE по данным с финансовых рынков (новый вариант)</v>
      </c>
      <c r="C1488" s="169" t="s">
        <v>1405</v>
      </c>
      <c r="D1488" s="169">
        <v>797</v>
      </c>
      <c r="E1488" s="169">
        <v>4</v>
      </c>
      <c r="F1488" s="169" t="s">
        <v>1405</v>
      </c>
      <c r="G1488" s="169" t="s">
        <v>1405</v>
      </c>
      <c r="H1488" s="169">
        <v>7</v>
      </c>
      <c r="I1488" s="136" t="str">
        <f t="shared" si="70"/>
        <v>BIGINT</v>
      </c>
      <c r="J1488" s="169" t="s">
        <v>1</v>
      </c>
      <c r="K1488" s="169" t="s">
        <v>1</v>
      </c>
      <c r="L1488" s="169">
        <v>30</v>
      </c>
      <c r="M1488" s="168"/>
      <c r="N1488" s="168"/>
      <c r="O1488" s="168"/>
      <c r="P1488" s="168"/>
      <c r="Q1488" s="168" t="s">
        <v>0</v>
      </c>
      <c r="R1488" s="168" t="s">
        <v>1</v>
      </c>
      <c r="S1488" s="178" t="str">
        <f t="shared" si="71"/>
        <v>D_MAP_FIN2I_REP_CLASSRULE_ID</v>
      </c>
    </row>
    <row r="1489" spans="1:19" ht="14.4" x14ac:dyDescent="0.3">
      <c r="A1489" s="169" t="s">
        <v>424</v>
      </c>
      <c r="B1489" s="171" t="str">
        <f t="shared" si="69"/>
        <v>Правила проставления класса продукта для таблиц типа ISSUE по данным с финансовых рынков (новый вариант)</v>
      </c>
      <c r="C1489" s="169" t="s">
        <v>2138</v>
      </c>
      <c r="D1489" s="169">
        <v>805</v>
      </c>
      <c r="E1489" s="169">
        <v>5</v>
      </c>
      <c r="F1489" s="169" t="s">
        <v>2138</v>
      </c>
      <c r="G1489" s="169" t="s">
        <v>2138</v>
      </c>
      <c r="H1489" s="169">
        <v>7</v>
      </c>
      <c r="I1489" s="136" t="str">
        <f t="shared" si="70"/>
        <v>BIGINT</v>
      </c>
      <c r="J1489" s="169" t="s">
        <v>0</v>
      </c>
      <c r="K1489" s="169" t="s">
        <v>1</v>
      </c>
      <c r="L1489" s="169">
        <v>30</v>
      </c>
      <c r="M1489" s="168"/>
      <c r="N1489" s="168"/>
      <c r="O1489" s="168"/>
      <c r="P1489" s="168"/>
      <c r="Q1489" s="168" t="s">
        <v>0</v>
      </c>
      <c r="R1489" s="168" t="s">
        <v>1</v>
      </c>
      <c r="S1489" s="178" t="str">
        <f t="shared" si="71"/>
        <v>D_MAP_FIN2I_REP_CLASSSOURCE_DEAL_TYPE_ID</v>
      </c>
    </row>
    <row r="1490" spans="1:19" ht="14.4" x14ac:dyDescent="0.3">
      <c r="A1490" s="169" t="s">
        <v>424</v>
      </c>
      <c r="B1490" s="171" t="str">
        <f t="shared" si="69"/>
        <v>Правила проставления класса продукта для таблиц типа ISSUE по данным с финансовых рынков (новый вариант)</v>
      </c>
      <c r="C1490" s="169" t="s">
        <v>821</v>
      </c>
      <c r="D1490" s="169">
        <v>806</v>
      </c>
      <c r="E1490" s="169">
        <v>6</v>
      </c>
      <c r="F1490" s="169" t="s">
        <v>821</v>
      </c>
      <c r="G1490" s="169" t="s">
        <v>821</v>
      </c>
      <c r="H1490" s="169">
        <v>24</v>
      </c>
      <c r="I1490" s="136" t="str">
        <f t="shared" si="70"/>
        <v xml:space="preserve">VARCHAR(40) </v>
      </c>
      <c r="J1490" s="169" t="s">
        <v>0</v>
      </c>
      <c r="K1490" s="169" t="s">
        <v>0</v>
      </c>
      <c r="L1490" s="169">
        <v>30</v>
      </c>
      <c r="M1490" s="168"/>
      <c r="N1490" s="168"/>
      <c r="O1490" s="168"/>
      <c r="P1490" s="168"/>
      <c r="Q1490" s="168" t="s">
        <v>0</v>
      </c>
      <c r="R1490" s="168" t="s">
        <v>1</v>
      </c>
      <c r="S1490" s="178" t="str">
        <f t="shared" si="71"/>
        <v>D_MAP_FIN2I_REP_CLASSSOURCE_PORT_TYPE</v>
      </c>
    </row>
    <row r="1491" spans="1:19" ht="14.4" x14ac:dyDescent="0.3">
      <c r="A1491" s="169" t="s">
        <v>424</v>
      </c>
      <c r="B1491" s="171" t="str">
        <f t="shared" si="69"/>
        <v>Правила проставления класса продукта для таблиц типа ISSUE по данным с финансовых рынков (новый вариант)</v>
      </c>
      <c r="C1491" s="169" t="s">
        <v>51</v>
      </c>
      <c r="D1491" s="169">
        <v>807</v>
      </c>
      <c r="E1491" s="169">
        <v>7</v>
      </c>
      <c r="F1491" s="169" t="s">
        <v>51</v>
      </c>
      <c r="G1491" s="169" t="s">
        <v>51</v>
      </c>
      <c r="H1491" s="169">
        <v>34</v>
      </c>
      <c r="I1491" s="136" t="str">
        <f t="shared" si="70"/>
        <v>DATE</v>
      </c>
      <c r="J1491" s="169" t="s">
        <v>1</v>
      </c>
      <c r="K1491" s="169" t="s">
        <v>1</v>
      </c>
      <c r="L1491" s="169">
        <v>30</v>
      </c>
      <c r="M1491" s="168"/>
      <c r="N1491" s="168"/>
      <c r="O1491" s="168"/>
      <c r="P1491" s="168"/>
      <c r="Q1491" s="168" t="s">
        <v>0</v>
      </c>
      <c r="R1491" s="168" t="s">
        <v>1</v>
      </c>
      <c r="S1491" s="178" t="str">
        <f t="shared" si="71"/>
        <v>D_MAP_FIN2I_REP_CLASSSTART_DT</v>
      </c>
    </row>
    <row r="1492" spans="1:19" ht="14.4" x14ac:dyDescent="0.3">
      <c r="A1492" s="169" t="s">
        <v>1370</v>
      </c>
      <c r="B1492" s="171" t="str">
        <f t="shared" si="69"/>
        <v>Правила распределения сделок из выгрузки УМРОГР по сущностям ISSUE и EXPOSURE</v>
      </c>
      <c r="C1492" s="169" t="s">
        <v>52</v>
      </c>
      <c r="D1492" s="169">
        <v>808</v>
      </c>
      <c r="E1492" s="169">
        <v>1</v>
      </c>
      <c r="F1492" s="169" t="s">
        <v>52</v>
      </c>
      <c r="G1492" s="169" t="s">
        <v>52</v>
      </c>
      <c r="H1492" s="169">
        <v>34</v>
      </c>
      <c r="I1492" s="136" t="str">
        <f t="shared" si="70"/>
        <v>DATE</v>
      </c>
      <c r="J1492" s="169" t="s">
        <v>1</v>
      </c>
      <c r="K1492" s="169" t="s">
        <v>1</v>
      </c>
      <c r="L1492" s="169">
        <v>30</v>
      </c>
      <c r="M1492" s="168"/>
      <c r="N1492" s="168"/>
      <c r="O1492" s="168"/>
      <c r="P1492" s="168"/>
      <c r="Q1492" s="168" t="s">
        <v>0</v>
      </c>
      <c r="R1492" s="168" t="s">
        <v>1</v>
      </c>
      <c r="S1492" s="178" t="str">
        <f t="shared" si="71"/>
        <v>D_MAP_FIN2_DSTREND_DT</v>
      </c>
    </row>
    <row r="1493" spans="1:19" ht="14.4" x14ac:dyDescent="0.3">
      <c r="A1493" s="169" t="s">
        <v>1370</v>
      </c>
      <c r="B1493" s="171" t="str">
        <f t="shared" si="69"/>
        <v>Правила распределения сделок из выгрузки УМРОГР по сущностям ISSUE и EXPOSURE</v>
      </c>
      <c r="C1493" s="169" t="s">
        <v>489</v>
      </c>
      <c r="D1493" s="169">
        <v>809</v>
      </c>
      <c r="E1493" s="169">
        <v>2</v>
      </c>
      <c r="F1493" s="169" t="s">
        <v>489</v>
      </c>
      <c r="G1493" s="169" t="s">
        <v>489</v>
      </c>
      <c r="H1493" s="169">
        <v>7</v>
      </c>
      <c r="I1493" s="136" t="str">
        <f t="shared" si="70"/>
        <v>BIGINT</v>
      </c>
      <c r="J1493" s="169" t="s">
        <v>0</v>
      </c>
      <c r="K1493" s="169" t="s">
        <v>1</v>
      </c>
      <c r="L1493" s="169">
        <v>30</v>
      </c>
      <c r="M1493" s="168"/>
      <c r="N1493" s="168"/>
      <c r="O1493" s="168"/>
      <c r="P1493" s="168"/>
      <c r="Q1493" s="168" t="s">
        <v>0</v>
      </c>
      <c r="R1493" s="168" t="s">
        <v>1</v>
      </c>
      <c r="S1493" s="178" t="str">
        <f t="shared" si="71"/>
        <v>D_MAP_FIN2_DSTREXPOSURE_TYPE_ID</v>
      </c>
    </row>
    <row r="1494" spans="1:19" ht="14.4" x14ac:dyDescent="0.3">
      <c r="A1494" s="169" t="s">
        <v>1370</v>
      </c>
      <c r="B1494" s="171" t="str">
        <f t="shared" si="69"/>
        <v>Правила распределения сделок из выгрузки УМРОГР по сущностям ISSUE и EXPOSURE</v>
      </c>
      <c r="C1494" s="169" t="s">
        <v>434</v>
      </c>
      <c r="D1494" s="169">
        <v>810</v>
      </c>
      <c r="E1494" s="169">
        <v>3</v>
      </c>
      <c r="F1494" s="169" t="s">
        <v>434</v>
      </c>
      <c r="G1494" s="169" t="s">
        <v>434</v>
      </c>
      <c r="H1494" s="169">
        <v>27</v>
      </c>
      <c r="I1494" s="136" t="str">
        <f t="shared" si="70"/>
        <v>INTEGER</v>
      </c>
      <c r="J1494" s="169" t="s">
        <v>0</v>
      </c>
      <c r="K1494" s="169" t="s">
        <v>1</v>
      </c>
      <c r="L1494" s="169">
        <v>30</v>
      </c>
      <c r="M1494" s="168"/>
      <c r="N1494" s="168"/>
      <c r="O1494" s="168"/>
      <c r="P1494" s="168"/>
      <c r="Q1494" s="168" t="s">
        <v>0</v>
      </c>
      <c r="R1494" s="168" t="s">
        <v>1</v>
      </c>
      <c r="S1494" s="178" t="str">
        <f t="shared" si="71"/>
        <v>D_MAP_FIN2_DSTRPRIORITY</v>
      </c>
    </row>
    <row r="1495" spans="1:19" ht="14.4" x14ac:dyDescent="0.3">
      <c r="A1495" s="169" t="s">
        <v>1370</v>
      </c>
      <c r="B1495" s="171" t="str">
        <f t="shared" si="69"/>
        <v>Правила распределения сделок из выгрузки УМРОГР по сущностям ISSUE и EXPOSURE</v>
      </c>
      <c r="C1495" s="169" t="s">
        <v>1405</v>
      </c>
      <c r="D1495" s="169">
        <v>811</v>
      </c>
      <c r="E1495" s="169">
        <v>4</v>
      </c>
      <c r="F1495" s="169" t="s">
        <v>1405</v>
      </c>
      <c r="G1495" s="169" t="s">
        <v>1405</v>
      </c>
      <c r="H1495" s="169">
        <v>7</v>
      </c>
      <c r="I1495" s="136" t="str">
        <f t="shared" si="70"/>
        <v>BIGINT</v>
      </c>
      <c r="J1495" s="169" t="s">
        <v>1</v>
      </c>
      <c r="K1495" s="169" t="s">
        <v>1</v>
      </c>
      <c r="L1495" s="169">
        <v>30</v>
      </c>
      <c r="M1495" s="168"/>
      <c r="N1495" s="168"/>
      <c r="O1495" s="168"/>
      <c r="P1495" s="168"/>
      <c r="Q1495" s="168" t="s">
        <v>0</v>
      </c>
      <c r="R1495" s="168" t="s">
        <v>1</v>
      </c>
      <c r="S1495" s="178" t="str">
        <f t="shared" si="71"/>
        <v>D_MAP_FIN2_DSTRRULE_ID</v>
      </c>
    </row>
    <row r="1496" spans="1:19" ht="14.4" x14ac:dyDescent="0.3">
      <c r="A1496" s="169" t="s">
        <v>1370</v>
      </c>
      <c r="B1496" s="171" t="str">
        <f t="shared" si="69"/>
        <v>Правила распределения сделок из выгрузки УМРОГР по сущностям ISSUE и EXPOSURE</v>
      </c>
      <c r="C1496" s="169" t="s">
        <v>2138</v>
      </c>
      <c r="D1496" s="169">
        <v>812</v>
      </c>
      <c r="E1496" s="169">
        <v>5</v>
      </c>
      <c r="F1496" s="169" t="s">
        <v>2138</v>
      </c>
      <c r="G1496" s="169" t="s">
        <v>2138</v>
      </c>
      <c r="H1496" s="169">
        <v>7</v>
      </c>
      <c r="I1496" s="136" t="str">
        <f t="shared" si="70"/>
        <v>BIGINT</v>
      </c>
      <c r="J1496" s="169" t="s">
        <v>0</v>
      </c>
      <c r="K1496" s="169" t="s">
        <v>1</v>
      </c>
      <c r="L1496" s="169">
        <v>30</v>
      </c>
      <c r="M1496" s="168"/>
      <c r="N1496" s="168"/>
      <c r="O1496" s="168"/>
      <c r="P1496" s="168"/>
      <c r="Q1496" s="168" t="s">
        <v>0</v>
      </c>
      <c r="R1496" s="168" t="s">
        <v>1</v>
      </c>
      <c r="S1496" s="178" t="str">
        <f t="shared" si="71"/>
        <v>D_MAP_FIN2_DSTRSOURCE_DEAL_TYPE_ID</v>
      </c>
    </row>
    <row r="1497" spans="1:19" ht="14.4" x14ac:dyDescent="0.3">
      <c r="A1497" s="169" t="s">
        <v>1370</v>
      </c>
      <c r="B1497" s="171" t="str">
        <f t="shared" si="69"/>
        <v>Правила распределения сделок из выгрузки УМРОГР по сущностям ISSUE и EXPOSURE</v>
      </c>
      <c r="C1497" s="169" t="s">
        <v>777</v>
      </c>
      <c r="D1497" s="169">
        <v>813</v>
      </c>
      <c r="E1497" s="169">
        <v>6</v>
      </c>
      <c r="F1497" s="169" t="s">
        <v>777</v>
      </c>
      <c r="G1497" s="169" t="s">
        <v>777</v>
      </c>
      <c r="H1497" s="169">
        <v>24</v>
      </c>
      <c r="I1497" s="136" t="str">
        <f t="shared" si="70"/>
        <v xml:space="preserve">VARCHAR(40) </v>
      </c>
      <c r="J1497" s="169" t="s">
        <v>0</v>
      </c>
      <c r="K1497" s="169" t="s">
        <v>0</v>
      </c>
      <c r="L1497" s="169">
        <v>30</v>
      </c>
      <c r="M1497" s="168"/>
      <c r="N1497" s="168"/>
      <c r="O1497" s="168"/>
      <c r="P1497" s="168"/>
      <c r="Q1497" s="168" t="s">
        <v>0</v>
      </c>
      <c r="R1497" s="168" t="s">
        <v>1</v>
      </c>
      <c r="S1497" s="178" t="str">
        <f t="shared" si="71"/>
        <v>D_MAP_FIN2_DSTRSOURCE_OFFBALANCE_TYPE</v>
      </c>
    </row>
    <row r="1498" spans="1:19" ht="14.4" x14ac:dyDescent="0.3">
      <c r="A1498" s="169" t="s">
        <v>1370</v>
      </c>
      <c r="B1498" s="171" t="str">
        <f t="shared" si="69"/>
        <v>Правила распределения сделок из выгрузки УМРОГР по сущностям ISSUE и EXPOSURE</v>
      </c>
      <c r="C1498" s="169" t="s">
        <v>51</v>
      </c>
      <c r="D1498" s="169">
        <v>814</v>
      </c>
      <c r="E1498" s="169">
        <v>7</v>
      </c>
      <c r="F1498" s="169" t="s">
        <v>51</v>
      </c>
      <c r="G1498" s="169" t="s">
        <v>51</v>
      </c>
      <c r="H1498" s="169">
        <v>34</v>
      </c>
      <c r="I1498" s="136" t="str">
        <f t="shared" si="70"/>
        <v>DATE</v>
      </c>
      <c r="J1498" s="169" t="s">
        <v>1</v>
      </c>
      <c r="K1498" s="169" t="s">
        <v>1</v>
      </c>
      <c r="L1498" s="169">
        <v>30</v>
      </c>
      <c r="M1498" s="168"/>
      <c r="N1498" s="168"/>
      <c r="O1498" s="168"/>
      <c r="P1498" s="168"/>
      <c r="Q1498" s="168" t="s">
        <v>0</v>
      </c>
      <c r="R1498" s="168" t="s">
        <v>1</v>
      </c>
      <c r="S1498" s="178" t="str">
        <f t="shared" si="71"/>
        <v>D_MAP_FIN2_DSTRSTART_DT</v>
      </c>
    </row>
    <row r="1499" spans="1:19" ht="14.4" x14ac:dyDescent="0.3">
      <c r="A1499" s="169" t="s">
        <v>1344</v>
      </c>
      <c r="B1499" s="171" t="str">
        <f t="shared" si="69"/>
        <v>D_MAP_FIN_OFFBAL_TP2E_CCF_TP</v>
      </c>
      <c r="C1499" s="169" t="s">
        <v>869</v>
      </c>
      <c r="D1499" s="169">
        <v>815</v>
      </c>
      <c r="E1499" s="169">
        <v>1</v>
      </c>
      <c r="F1499" s="169" t="s">
        <v>869</v>
      </c>
      <c r="G1499" s="169" t="s">
        <v>869</v>
      </c>
      <c r="H1499" s="169">
        <v>7</v>
      </c>
      <c r="I1499" s="136" t="str">
        <f t="shared" si="70"/>
        <v>BIGINT</v>
      </c>
      <c r="J1499" s="169" t="s">
        <v>0</v>
      </c>
      <c r="K1499" s="169" t="s">
        <v>1</v>
      </c>
      <c r="L1499" s="169">
        <v>30</v>
      </c>
      <c r="M1499" s="168"/>
      <c r="N1499" s="168"/>
      <c r="O1499" s="168"/>
      <c r="P1499" s="168"/>
      <c r="Q1499" s="168" t="s">
        <v>0</v>
      </c>
      <c r="R1499" s="168" t="s">
        <v>1</v>
      </c>
      <c r="S1499" s="178" t="str">
        <f t="shared" si="71"/>
        <v>D_MAP_FIN_OFFBAL_TP2E_CCF_TPCCF_TYPE_ID</v>
      </c>
    </row>
    <row r="1500" spans="1:19" ht="14.4" x14ac:dyDescent="0.3">
      <c r="A1500" s="169" t="s">
        <v>1344</v>
      </c>
      <c r="B1500" s="171" t="str">
        <f t="shared" si="69"/>
        <v>D_MAP_FIN_OFFBAL_TP2E_CCF_TP</v>
      </c>
      <c r="C1500" s="169" t="s">
        <v>52</v>
      </c>
      <c r="D1500" s="169">
        <v>816</v>
      </c>
      <c r="E1500" s="169">
        <v>2</v>
      </c>
      <c r="F1500" s="169" t="s">
        <v>52</v>
      </c>
      <c r="G1500" s="169" t="s">
        <v>52</v>
      </c>
      <c r="H1500" s="169">
        <v>34</v>
      </c>
      <c r="I1500" s="136" t="str">
        <f t="shared" si="70"/>
        <v>DATE</v>
      </c>
      <c r="J1500" s="169" t="s">
        <v>1</v>
      </c>
      <c r="K1500" s="169" t="s">
        <v>1</v>
      </c>
      <c r="L1500" s="169">
        <v>30</v>
      </c>
      <c r="M1500" s="168"/>
      <c r="N1500" s="168"/>
      <c r="O1500" s="168"/>
      <c r="P1500" s="168"/>
      <c r="Q1500" s="168" t="s">
        <v>0</v>
      </c>
      <c r="R1500" s="168" t="s">
        <v>1</v>
      </c>
      <c r="S1500" s="178" t="str">
        <f t="shared" si="71"/>
        <v>D_MAP_FIN_OFFBAL_TP2E_CCF_TPEND_DT</v>
      </c>
    </row>
    <row r="1501" spans="1:19" ht="14.4" x14ac:dyDescent="0.3">
      <c r="A1501" s="169" t="s">
        <v>1344</v>
      </c>
      <c r="B1501" s="171" t="str">
        <f t="shared" si="69"/>
        <v>D_MAP_FIN_OFFBAL_TP2E_CCF_TP</v>
      </c>
      <c r="C1501" s="169" t="s">
        <v>434</v>
      </c>
      <c r="D1501" s="169">
        <v>817</v>
      </c>
      <c r="E1501" s="169">
        <v>3</v>
      </c>
      <c r="F1501" s="169" t="s">
        <v>434</v>
      </c>
      <c r="G1501" s="169" t="s">
        <v>434</v>
      </c>
      <c r="H1501" s="169">
        <v>27</v>
      </c>
      <c r="I1501" s="136" t="str">
        <f t="shared" si="70"/>
        <v>INTEGER</v>
      </c>
      <c r="J1501" s="169" t="s">
        <v>0</v>
      </c>
      <c r="K1501" s="169" t="s">
        <v>1</v>
      </c>
      <c r="L1501" s="169">
        <v>30</v>
      </c>
      <c r="M1501" s="168"/>
      <c r="N1501" s="168"/>
      <c r="O1501" s="168"/>
      <c r="P1501" s="168"/>
      <c r="Q1501" s="168" t="s">
        <v>0</v>
      </c>
      <c r="R1501" s="168" t="s">
        <v>1</v>
      </c>
      <c r="S1501" s="178" t="str">
        <f t="shared" si="71"/>
        <v>D_MAP_FIN_OFFBAL_TP2E_CCF_TPPRIORITY</v>
      </c>
    </row>
    <row r="1502" spans="1:19" ht="14.4" x14ac:dyDescent="0.3">
      <c r="A1502" s="169" t="s">
        <v>1344</v>
      </c>
      <c r="B1502" s="171" t="str">
        <f t="shared" si="69"/>
        <v>D_MAP_FIN_OFFBAL_TP2E_CCF_TP</v>
      </c>
      <c r="C1502" s="169" t="s">
        <v>1405</v>
      </c>
      <c r="D1502" s="169">
        <v>818</v>
      </c>
      <c r="E1502" s="169">
        <v>4</v>
      </c>
      <c r="F1502" s="169" t="s">
        <v>1405</v>
      </c>
      <c r="G1502" s="169" t="s">
        <v>1405</v>
      </c>
      <c r="H1502" s="169">
        <v>7</v>
      </c>
      <c r="I1502" s="136" t="str">
        <f t="shared" si="70"/>
        <v>BIGINT</v>
      </c>
      <c r="J1502" s="169" t="s">
        <v>1</v>
      </c>
      <c r="K1502" s="169" t="s">
        <v>1</v>
      </c>
      <c r="L1502" s="169">
        <v>30</v>
      </c>
      <c r="M1502" s="168"/>
      <c r="N1502" s="168"/>
      <c r="O1502" s="168"/>
      <c r="P1502" s="168"/>
      <c r="Q1502" s="168" t="s">
        <v>0</v>
      </c>
      <c r="R1502" s="168" t="s">
        <v>1</v>
      </c>
      <c r="S1502" s="178" t="str">
        <f t="shared" si="71"/>
        <v>D_MAP_FIN_OFFBAL_TP2E_CCF_TPRULE_ID</v>
      </c>
    </row>
    <row r="1503" spans="1:19" ht="14.4" x14ac:dyDescent="0.3">
      <c r="A1503" s="169" t="s">
        <v>1344</v>
      </c>
      <c r="B1503" s="171" t="str">
        <f t="shared" si="69"/>
        <v>D_MAP_FIN_OFFBAL_TP2E_CCF_TP</v>
      </c>
      <c r="C1503" s="169" t="s">
        <v>777</v>
      </c>
      <c r="D1503" s="169">
        <v>819</v>
      </c>
      <c r="E1503" s="169">
        <v>5</v>
      </c>
      <c r="F1503" s="169" t="s">
        <v>777</v>
      </c>
      <c r="G1503" s="169" t="s">
        <v>777</v>
      </c>
      <c r="H1503" s="169">
        <v>24</v>
      </c>
      <c r="I1503" s="136" t="str">
        <f t="shared" si="70"/>
        <v xml:space="preserve">VARCHAR(40) </v>
      </c>
      <c r="J1503" s="169" t="s">
        <v>0</v>
      </c>
      <c r="K1503" s="169" t="s">
        <v>0</v>
      </c>
      <c r="L1503" s="169">
        <v>30</v>
      </c>
      <c r="M1503" s="168"/>
      <c r="N1503" s="168"/>
      <c r="O1503" s="168"/>
      <c r="P1503" s="168"/>
      <c r="Q1503" s="168" t="s">
        <v>0</v>
      </c>
      <c r="R1503" s="168" t="s">
        <v>1</v>
      </c>
      <c r="S1503" s="178" t="str">
        <f t="shared" si="71"/>
        <v>D_MAP_FIN_OFFBAL_TP2E_CCF_TPSOURCE_OFFBALANCE_TYPE</v>
      </c>
    </row>
    <row r="1504" spans="1:19" ht="14.4" x14ac:dyDescent="0.3">
      <c r="A1504" s="169" t="s">
        <v>1344</v>
      </c>
      <c r="B1504" s="171" t="str">
        <f t="shared" si="69"/>
        <v>D_MAP_FIN_OFFBAL_TP2E_CCF_TP</v>
      </c>
      <c r="C1504" s="169" t="s">
        <v>51</v>
      </c>
      <c r="D1504" s="169">
        <v>820</v>
      </c>
      <c r="E1504" s="169">
        <v>6</v>
      </c>
      <c r="F1504" s="169" t="s">
        <v>51</v>
      </c>
      <c r="G1504" s="169" t="s">
        <v>51</v>
      </c>
      <c r="H1504" s="169">
        <v>34</v>
      </c>
      <c r="I1504" s="136" t="str">
        <f t="shared" si="70"/>
        <v>DATE</v>
      </c>
      <c r="J1504" s="169" t="s">
        <v>1</v>
      </c>
      <c r="K1504" s="169" t="s">
        <v>1</v>
      </c>
      <c r="L1504" s="169">
        <v>30</v>
      </c>
      <c r="M1504" s="168"/>
      <c r="N1504" s="168"/>
      <c r="O1504" s="168"/>
      <c r="P1504" s="168"/>
      <c r="Q1504" s="168" t="s">
        <v>0</v>
      </c>
      <c r="R1504" s="168" t="s">
        <v>1</v>
      </c>
      <c r="S1504" s="178" t="str">
        <f t="shared" si="71"/>
        <v>D_MAP_FIN_OFFBAL_TP2E_CCF_TPSTART_DT</v>
      </c>
    </row>
    <row r="1505" spans="1:19" ht="14.4" x14ac:dyDescent="0.3">
      <c r="A1505" s="169" t="s">
        <v>1330</v>
      </c>
      <c r="B1505" s="171" t="str">
        <f t="shared" si="69"/>
        <v>D_MAP_FLOC_TB2I_INT_ORG</v>
      </c>
      <c r="C1505" s="169" t="s">
        <v>52</v>
      </c>
      <c r="D1505" s="169">
        <v>821</v>
      </c>
      <c r="E1505" s="169">
        <v>1</v>
      </c>
      <c r="F1505" s="169" t="s">
        <v>52</v>
      </c>
      <c r="G1505" s="169" t="s">
        <v>52</v>
      </c>
      <c r="H1505" s="169">
        <v>34</v>
      </c>
      <c r="I1505" s="136" t="str">
        <f t="shared" si="70"/>
        <v>DATE</v>
      </c>
      <c r="J1505" s="169" t="s">
        <v>1</v>
      </c>
      <c r="K1505" s="169" t="s">
        <v>1</v>
      </c>
      <c r="L1505" s="169">
        <v>30</v>
      </c>
      <c r="M1505" s="168"/>
      <c r="N1505" s="168"/>
      <c r="O1505" s="168"/>
      <c r="P1505" s="168"/>
      <c r="Q1505" s="168" t="s">
        <v>0</v>
      </c>
      <c r="R1505" s="168" t="s">
        <v>1</v>
      </c>
      <c r="S1505" s="178" t="str">
        <f t="shared" si="71"/>
        <v>D_MAP_FLOC_TB2I_INT_ORGEND_DT</v>
      </c>
    </row>
    <row r="1506" spans="1:19" ht="14.4" x14ac:dyDescent="0.3">
      <c r="A1506" s="169" t="s">
        <v>1330</v>
      </c>
      <c r="B1506" s="171" t="str">
        <f t="shared" si="69"/>
        <v>D_MAP_FLOC_TB2I_INT_ORG</v>
      </c>
      <c r="C1506" s="169" t="s">
        <v>532</v>
      </c>
      <c r="D1506" s="169">
        <v>822</v>
      </c>
      <c r="E1506" s="169">
        <v>2</v>
      </c>
      <c r="F1506" s="169" t="s">
        <v>532</v>
      </c>
      <c r="G1506" s="169" t="s">
        <v>532</v>
      </c>
      <c r="H1506" s="169">
        <v>7</v>
      </c>
      <c r="I1506" s="136" t="str">
        <f t="shared" si="70"/>
        <v>BIGINT</v>
      </c>
      <c r="J1506" s="169" t="s">
        <v>0</v>
      </c>
      <c r="K1506" s="169" t="s">
        <v>1</v>
      </c>
      <c r="L1506" s="169">
        <v>30</v>
      </c>
      <c r="M1506" s="168"/>
      <c r="N1506" s="168"/>
      <c r="O1506" s="168"/>
      <c r="P1506" s="168"/>
      <c r="Q1506" s="168" t="s">
        <v>0</v>
      </c>
      <c r="R1506" s="168" t="s">
        <v>1</v>
      </c>
      <c r="S1506" s="178" t="str">
        <f t="shared" si="71"/>
        <v>D_MAP_FLOC_TB2I_INT_ORGINT_ORG_ID</v>
      </c>
    </row>
    <row r="1507" spans="1:19" ht="14.4" x14ac:dyDescent="0.3">
      <c r="A1507" s="169" t="s">
        <v>1330</v>
      </c>
      <c r="B1507" s="171" t="str">
        <f t="shared" si="69"/>
        <v>D_MAP_FLOC_TB2I_INT_ORG</v>
      </c>
      <c r="C1507" s="169" t="s">
        <v>434</v>
      </c>
      <c r="D1507" s="169">
        <v>823</v>
      </c>
      <c r="E1507" s="169">
        <v>3</v>
      </c>
      <c r="F1507" s="169" t="s">
        <v>434</v>
      </c>
      <c r="G1507" s="169" t="s">
        <v>434</v>
      </c>
      <c r="H1507" s="169">
        <v>27</v>
      </c>
      <c r="I1507" s="136" t="str">
        <f t="shared" si="70"/>
        <v>INTEGER</v>
      </c>
      <c r="J1507" s="169" t="s">
        <v>0</v>
      </c>
      <c r="K1507" s="169" t="s">
        <v>1</v>
      </c>
      <c r="L1507" s="169">
        <v>30</v>
      </c>
      <c r="M1507" s="168"/>
      <c r="N1507" s="168"/>
      <c r="O1507" s="168"/>
      <c r="P1507" s="168"/>
      <c r="Q1507" s="168" t="s">
        <v>0</v>
      </c>
      <c r="R1507" s="168" t="s">
        <v>1</v>
      </c>
      <c r="S1507" s="178" t="str">
        <f t="shared" si="71"/>
        <v>D_MAP_FLOC_TB2I_INT_ORGPRIORITY</v>
      </c>
    </row>
    <row r="1508" spans="1:19" ht="14.4" x14ac:dyDescent="0.3">
      <c r="A1508" s="169" t="s">
        <v>1330</v>
      </c>
      <c r="B1508" s="171" t="str">
        <f t="shared" si="69"/>
        <v>D_MAP_FLOC_TB2I_INT_ORG</v>
      </c>
      <c r="C1508" s="169" t="s">
        <v>1405</v>
      </c>
      <c r="D1508" s="169">
        <v>824</v>
      </c>
      <c r="E1508" s="169">
        <v>4</v>
      </c>
      <c r="F1508" s="169" t="s">
        <v>1405</v>
      </c>
      <c r="G1508" s="169" t="s">
        <v>1405</v>
      </c>
      <c r="H1508" s="169">
        <v>7</v>
      </c>
      <c r="I1508" s="136" t="str">
        <f t="shared" si="70"/>
        <v>BIGINT</v>
      </c>
      <c r="J1508" s="169" t="s">
        <v>1</v>
      </c>
      <c r="K1508" s="169" t="s">
        <v>1</v>
      </c>
      <c r="L1508" s="169">
        <v>30</v>
      </c>
      <c r="M1508" s="168"/>
      <c r="N1508" s="168"/>
      <c r="O1508" s="168"/>
      <c r="P1508" s="168"/>
      <c r="Q1508" s="168" t="s">
        <v>0</v>
      </c>
      <c r="R1508" s="168" t="s">
        <v>1</v>
      </c>
      <c r="S1508" s="178" t="str">
        <f t="shared" si="71"/>
        <v>D_MAP_FLOC_TB2I_INT_ORGRULE_ID</v>
      </c>
    </row>
    <row r="1509" spans="1:19" ht="14.4" x14ac:dyDescent="0.3">
      <c r="A1509" s="169" t="s">
        <v>1330</v>
      </c>
      <c r="B1509" s="171" t="str">
        <f t="shared" si="69"/>
        <v>D_MAP_FLOC_TB2I_INT_ORG</v>
      </c>
      <c r="C1509" s="169" t="s">
        <v>1495</v>
      </c>
      <c r="D1509" s="169">
        <v>825</v>
      </c>
      <c r="E1509" s="169">
        <v>5</v>
      </c>
      <c r="F1509" s="169" t="s">
        <v>1495</v>
      </c>
      <c r="G1509" s="169" t="s">
        <v>1495</v>
      </c>
      <c r="H1509" s="169">
        <v>13</v>
      </c>
      <c r="I1509" s="136" t="str">
        <f t="shared" si="70"/>
        <v xml:space="preserve">VARCHAR(300) </v>
      </c>
      <c r="J1509" s="169" t="s">
        <v>0</v>
      </c>
      <c r="K1509" s="169" t="s">
        <v>0</v>
      </c>
      <c r="L1509" s="169">
        <v>30</v>
      </c>
      <c r="M1509" s="168"/>
      <c r="N1509" s="168"/>
      <c r="O1509" s="168"/>
      <c r="P1509" s="168"/>
      <c r="Q1509" s="168" t="s">
        <v>0</v>
      </c>
      <c r="R1509" s="168" t="s">
        <v>1</v>
      </c>
      <c r="S1509" s="178" t="str">
        <f t="shared" si="71"/>
        <v>D_MAP_FLOC_TB2I_INT_ORGSOURCE_TB</v>
      </c>
    </row>
    <row r="1510" spans="1:19" ht="14.4" x14ac:dyDescent="0.3">
      <c r="A1510" s="169" t="s">
        <v>1330</v>
      </c>
      <c r="B1510" s="171" t="str">
        <f t="shared" si="69"/>
        <v>D_MAP_FLOC_TB2I_INT_ORG</v>
      </c>
      <c r="C1510" s="169" t="s">
        <v>51</v>
      </c>
      <c r="D1510" s="169">
        <v>826</v>
      </c>
      <c r="E1510" s="169">
        <v>6</v>
      </c>
      <c r="F1510" s="169" t="s">
        <v>51</v>
      </c>
      <c r="G1510" s="169" t="s">
        <v>51</v>
      </c>
      <c r="H1510" s="169">
        <v>34</v>
      </c>
      <c r="I1510" s="136" t="str">
        <f t="shared" si="70"/>
        <v>DATE</v>
      </c>
      <c r="J1510" s="169" t="s">
        <v>1</v>
      </c>
      <c r="K1510" s="169" t="s">
        <v>1</v>
      </c>
      <c r="L1510" s="169">
        <v>30</v>
      </c>
      <c r="M1510" s="168"/>
      <c r="N1510" s="168"/>
      <c r="O1510" s="168"/>
      <c r="P1510" s="168"/>
      <c r="Q1510" s="168" t="s">
        <v>0</v>
      </c>
      <c r="R1510" s="168" t="s">
        <v>1</v>
      </c>
      <c r="S1510" s="178" t="str">
        <f t="shared" si="71"/>
        <v>D_MAP_FLOC_TB2I_INT_ORGSTART_DT</v>
      </c>
    </row>
    <row r="1511" spans="1:19" ht="14.4" x14ac:dyDescent="0.3">
      <c r="A1511" s="169" t="s">
        <v>1366</v>
      </c>
      <c r="B1511" s="171" t="str">
        <f t="shared" si="69"/>
        <v>Правила проставления флага ЦБ РФ для контрагента</v>
      </c>
      <c r="C1511" s="169" t="s">
        <v>848</v>
      </c>
      <c r="D1511" s="169">
        <v>827</v>
      </c>
      <c r="E1511" s="169">
        <v>1</v>
      </c>
      <c r="F1511" s="169" t="s">
        <v>848</v>
      </c>
      <c r="G1511" s="169" t="s">
        <v>848</v>
      </c>
      <c r="H1511" s="169">
        <v>15</v>
      </c>
      <c r="I1511" s="136" t="str">
        <f t="shared" si="70"/>
        <v xml:space="preserve">CHAR(1) </v>
      </c>
      <c r="J1511" s="169" t="s">
        <v>0</v>
      </c>
      <c r="K1511" s="169" t="s">
        <v>1</v>
      </c>
      <c r="L1511" s="169">
        <v>30</v>
      </c>
      <c r="M1511" s="168"/>
      <c r="N1511" s="168"/>
      <c r="O1511" s="168"/>
      <c r="P1511" s="168"/>
      <c r="Q1511" s="168" t="s">
        <v>0</v>
      </c>
      <c r="R1511" s="168" t="s">
        <v>1</v>
      </c>
      <c r="S1511" s="178" t="str">
        <f t="shared" si="71"/>
        <v>D_MAP_N2CM_CBRF_FLAGCBRF_FLAG_IND</v>
      </c>
    </row>
    <row r="1512" spans="1:19" ht="14.4" x14ac:dyDescent="0.3">
      <c r="A1512" s="169" t="s">
        <v>1366</v>
      </c>
      <c r="B1512" s="171" t="str">
        <f t="shared" si="69"/>
        <v>Правила проставления флага ЦБ РФ для контрагента</v>
      </c>
      <c r="C1512" s="169" t="s">
        <v>52</v>
      </c>
      <c r="D1512" s="169">
        <v>828</v>
      </c>
      <c r="E1512" s="169">
        <v>2</v>
      </c>
      <c r="F1512" s="169" t="s">
        <v>52</v>
      </c>
      <c r="G1512" s="169" t="s">
        <v>52</v>
      </c>
      <c r="H1512" s="169">
        <v>34</v>
      </c>
      <c r="I1512" s="136" t="str">
        <f t="shared" si="70"/>
        <v>DATE</v>
      </c>
      <c r="J1512" s="169" t="s">
        <v>1</v>
      </c>
      <c r="K1512" s="169" t="s">
        <v>1</v>
      </c>
      <c r="L1512" s="169">
        <v>30</v>
      </c>
      <c r="M1512" s="168"/>
      <c r="N1512" s="168"/>
      <c r="O1512" s="168"/>
      <c r="P1512" s="168"/>
      <c r="Q1512" s="168" t="s">
        <v>0</v>
      </c>
      <c r="R1512" s="168" t="s">
        <v>1</v>
      </c>
      <c r="S1512" s="178" t="str">
        <f t="shared" si="71"/>
        <v>D_MAP_N2CM_CBRF_FLAGEND_DT</v>
      </c>
    </row>
    <row r="1513" spans="1:19" ht="14.4" x14ac:dyDescent="0.3">
      <c r="A1513" s="169" t="s">
        <v>1366</v>
      </c>
      <c r="B1513" s="171" t="str">
        <f t="shared" si="69"/>
        <v>Правила проставления флага ЦБ РФ для контрагента</v>
      </c>
      <c r="C1513" s="169" t="s">
        <v>434</v>
      </c>
      <c r="D1513" s="169">
        <v>829</v>
      </c>
      <c r="E1513" s="169">
        <v>3</v>
      </c>
      <c r="F1513" s="169" t="s">
        <v>434</v>
      </c>
      <c r="G1513" s="169" t="s">
        <v>434</v>
      </c>
      <c r="H1513" s="169">
        <v>27</v>
      </c>
      <c r="I1513" s="136" t="str">
        <f t="shared" si="70"/>
        <v>INTEGER</v>
      </c>
      <c r="J1513" s="169" t="s">
        <v>0</v>
      </c>
      <c r="K1513" s="169" t="s">
        <v>1</v>
      </c>
      <c r="L1513" s="169">
        <v>30</v>
      </c>
      <c r="M1513" s="168"/>
      <c r="N1513" s="168"/>
      <c r="O1513" s="168"/>
      <c r="P1513" s="168"/>
      <c r="Q1513" s="168" t="s">
        <v>0</v>
      </c>
      <c r="R1513" s="168" t="s">
        <v>1</v>
      </c>
      <c r="S1513" s="178" t="str">
        <f t="shared" si="71"/>
        <v>D_MAP_N2CM_CBRF_FLAGPRIORITY</v>
      </c>
    </row>
    <row r="1514" spans="1:19" ht="14.4" x14ac:dyDescent="0.3">
      <c r="A1514" s="169" t="s">
        <v>1366</v>
      </c>
      <c r="B1514" s="171" t="str">
        <f t="shared" si="69"/>
        <v>Правила проставления флага ЦБ РФ для контрагента</v>
      </c>
      <c r="C1514" s="169" t="s">
        <v>1405</v>
      </c>
      <c r="D1514" s="169">
        <v>830</v>
      </c>
      <c r="E1514" s="169">
        <v>4</v>
      </c>
      <c r="F1514" s="169" t="s">
        <v>1405</v>
      </c>
      <c r="G1514" s="169" t="s">
        <v>1405</v>
      </c>
      <c r="H1514" s="169">
        <v>7</v>
      </c>
      <c r="I1514" s="136" t="str">
        <f t="shared" si="70"/>
        <v>BIGINT</v>
      </c>
      <c r="J1514" s="169" t="s">
        <v>1</v>
      </c>
      <c r="K1514" s="169" t="s">
        <v>1</v>
      </c>
      <c r="L1514" s="169">
        <v>30</v>
      </c>
      <c r="M1514" s="168"/>
      <c r="N1514" s="168"/>
      <c r="O1514" s="168"/>
      <c r="P1514" s="168"/>
      <c r="Q1514" s="168" t="s">
        <v>0</v>
      </c>
      <c r="R1514" s="168" t="s">
        <v>1</v>
      </c>
      <c r="S1514" s="178" t="str">
        <f t="shared" si="71"/>
        <v>D_MAP_N2CM_CBRF_FLAGRULE_ID</v>
      </c>
    </row>
    <row r="1515" spans="1:19" ht="14.4" x14ac:dyDescent="0.3">
      <c r="A1515" s="169" t="s">
        <v>1366</v>
      </c>
      <c r="B1515" s="171" t="str">
        <f t="shared" si="69"/>
        <v>Правила проставления флага ЦБ РФ для контрагента</v>
      </c>
      <c r="C1515" s="169" t="s">
        <v>1802</v>
      </c>
      <c r="D1515" s="169">
        <v>831</v>
      </c>
      <c r="E1515" s="169">
        <v>5</v>
      </c>
      <c r="F1515" s="169" t="s">
        <v>1802</v>
      </c>
      <c r="G1515" s="169" t="s">
        <v>1802</v>
      </c>
      <c r="H1515" s="169">
        <v>24</v>
      </c>
      <c r="I1515" s="136" t="str">
        <f t="shared" si="70"/>
        <v xml:space="preserve">VARCHAR(40) </v>
      </c>
      <c r="J1515" s="169" t="s">
        <v>0</v>
      </c>
      <c r="K1515" s="169" t="s">
        <v>0</v>
      </c>
      <c r="L1515" s="169">
        <v>30</v>
      </c>
      <c r="M1515" s="168"/>
      <c r="N1515" s="168"/>
      <c r="O1515" s="168"/>
      <c r="P1515" s="168"/>
      <c r="Q1515" s="168" t="s">
        <v>0</v>
      </c>
      <c r="R1515" s="168" t="s">
        <v>1</v>
      </c>
      <c r="S1515" s="178" t="str">
        <f t="shared" si="71"/>
        <v>D_MAP_N2CM_CBRF_FLAGSOURCE_crm_id</v>
      </c>
    </row>
    <row r="1516" spans="1:19" ht="14.4" x14ac:dyDescent="0.3">
      <c r="A1516" s="169" t="s">
        <v>1366</v>
      </c>
      <c r="B1516" s="171" t="str">
        <f t="shared" si="69"/>
        <v>Правила проставления флага ЦБ РФ для контрагента</v>
      </c>
      <c r="C1516" s="169" t="s">
        <v>846</v>
      </c>
      <c r="D1516" s="169">
        <v>832</v>
      </c>
      <c r="E1516" s="169">
        <v>6</v>
      </c>
      <c r="F1516" s="169" t="s">
        <v>846</v>
      </c>
      <c r="G1516" s="169" t="s">
        <v>846</v>
      </c>
      <c r="H1516" s="169">
        <v>24</v>
      </c>
      <c r="I1516" s="136" t="str">
        <f t="shared" si="70"/>
        <v xml:space="preserve">VARCHAR(40) </v>
      </c>
      <c r="J1516" s="169" t="s">
        <v>0</v>
      </c>
      <c r="K1516" s="169" t="s">
        <v>0</v>
      </c>
      <c r="L1516" s="169">
        <v>30</v>
      </c>
      <c r="M1516" s="168"/>
      <c r="N1516" s="168"/>
      <c r="O1516" s="168"/>
      <c r="P1516" s="168"/>
      <c r="Q1516" s="168" t="s">
        <v>0</v>
      </c>
      <c r="R1516" s="168" t="s">
        <v>1</v>
      </c>
      <c r="S1516" s="178" t="str">
        <f t="shared" si="71"/>
        <v>D_MAP_N2CM_CBRF_FLAGSOURCE_FIN_CP_ID</v>
      </c>
    </row>
    <row r="1517" spans="1:19" ht="14.4" x14ac:dyDescent="0.3">
      <c r="A1517" s="169" t="s">
        <v>1366</v>
      </c>
      <c r="B1517" s="171" t="str">
        <f t="shared" si="69"/>
        <v>Правила проставления флага ЦБ РФ для контрагента</v>
      </c>
      <c r="C1517" s="169" t="s">
        <v>1803</v>
      </c>
      <c r="D1517" s="169">
        <v>833</v>
      </c>
      <c r="E1517" s="169">
        <v>7</v>
      </c>
      <c r="F1517" s="169" t="s">
        <v>1803</v>
      </c>
      <c r="G1517" s="169" t="s">
        <v>1803</v>
      </c>
      <c r="H1517" s="169">
        <v>24</v>
      </c>
      <c r="I1517" s="136" t="str">
        <f t="shared" si="70"/>
        <v xml:space="preserve">VARCHAR(40) </v>
      </c>
      <c r="J1517" s="169" t="s">
        <v>0</v>
      </c>
      <c r="K1517" s="169" t="s">
        <v>0</v>
      </c>
      <c r="L1517" s="169">
        <v>30</v>
      </c>
      <c r="M1517" s="168"/>
      <c r="N1517" s="168"/>
      <c r="O1517" s="168"/>
      <c r="P1517" s="168"/>
      <c r="Q1517" s="168" t="s">
        <v>0</v>
      </c>
      <c r="R1517" s="168" t="s">
        <v>1</v>
      </c>
      <c r="S1517" s="178" t="str">
        <f t="shared" si="71"/>
        <v>D_MAP_N2CM_CBRF_FLAGSOURCE_inn</v>
      </c>
    </row>
    <row r="1518" spans="1:19" ht="14.4" x14ac:dyDescent="0.3">
      <c r="A1518" s="169" t="s">
        <v>1366</v>
      </c>
      <c r="B1518" s="171" t="str">
        <f t="shared" si="69"/>
        <v>Правила проставления флага ЦБ РФ для контрагента</v>
      </c>
      <c r="C1518" s="169" t="s">
        <v>51</v>
      </c>
      <c r="D1518" s="169">
        <v>834</v>
      </c>
      <c r="E1518" s="169">
        <v>8</v>
      </c>
      <c r="F1518" s="169" t="s">
        <v>51</v>
      </c>
      <c r="G1518" s="169" t="s">
        <v>51</v>
      </c>
      <c r="H1518" s="169">
        <v>34</v>
      </c>
      <c r="I1518" s="136" t="str">
        <f t="shared" si="70"/>
        <v>DATE</v>
      </c>
      <c r="J1518" s="169" t="s">
        <v>1</v>
      </c>
      <c r="K1518" s="169" t="s">
        <v>1</v>
      </c>
      <c r="L1518" s="169">
        <v>30</v>
      </c>
      <c r="M1518" s="168"/>
      <c r="N1518" s="168"/>
      <c r="O1518" s="168"/>
      <c r="P1518" s="168"/>
      <c r="Q1518" s="168" t="s">
        <v>0</v>
      </c>
      <c r="R1518" s="168" t="s">
        <v>1</v>
      </c>
      <c r="S1518" s="178" t="str">
        <f t="shared" si="71"/>
        <v>D_MAP_N2CM_CBRF_FLAGSTART_DT</v>
      </c>
    </row>
    <row r="1519" spans="1:19" ht="14.4" x14ac:dyDescent="0.3">
      <c r="A1519" s="169" t="s">
        <v>1309</v>
      </c>
      <c r="B1519" s="171" t="str">
        <f t="shared" si="69"/>
        <v>D_MAP_N_ERM_SEG2CP</v>
      </c>
      <c r="C1519" s="169" t="s">
        <v>470</v>
      </c>
      <c r="D1519" s="169">
        <v>835</v>
      </c>
      <c r="E1519" s="169">
        <v>1</v>
      </c>
      <c r="F1519" s="169" t="s">
        <v>470</v>
      </c>
      <c r="G1519" s="169" t="s">
        <v>470</v>
      </c>
      <c r="H1519" s="169">
        <v>7</v>
      </c>
      <c r="I1519" s="136" t="str">
        <f t="shared" si="70"/>
        <v>BIGINT</v>
      </c>
      <c r="J1519" s="169" t="s">
        <v>0</v>
      </c>
      <c r="K1519" s="169" t="s">
        <v>1</v>
      </c>
      <c r="L1519" s="169">
        <v>30</v>
      </c>
      <c r="M1519" s="168"/>
      <c r="N1519" s="168"/>
      <c r="O1519" s="168"/>
      <c r="P1519" s="168"/>
      <c r="Q1519" s="168" t="s">
        <v>0</v>
      </c>
      <c r="R1519" s="168" t="s">
        <v>1</v>
      </c>
      <c r="S1519" s="178" t="str">
        <f t="shared" si="71"/>
        <v>D_MAP_N_ERM_SEG2CPCP_TYPE_ID</v>
      </c>
    </row>
    <row r="1520" spans="1:19" ht="14.4" x14ac:dyDescent="0.3">
      <c r="A1520" s="169" t="s">
        <v>1309</v>
      </c>
      <c r="B1520" s="171" t="str">
        <f t="shared" si="69"/>
        <v>D_MAP_N_ERM_SEG2CP</v>
      </c>
      <c r="C1520" s="169" t="s">
        <v>515</v>
      </c>
      <c r="D1520" s="169">
        <v>836</v>
      </c>
      <c r="E1520" s="169">
        <v>2</v>
      </c>
      <c r="F1520" s="169" t="s">
        <v>515</v>
      </c>
      <c r="G1520" s="169" t="s">
        <v>515</v>
      </c>
      <c r="H1520" s="169">
        <v>7</v>
      </c>
      <c r="I1520" s="136" t="str">
        <f t="shared" si="70"/>
        <v>BIGINT</v>
      </c>
      <c r="J1520" s="169" t="s">
        <v>0</v>
      </c>
      <c r="K1520" s="169" t="s">
        <v>1</v>
      </c>
      <c r="L1520" s="169">
        <v>30</v>
      </c>
      <c r="M1520" s="168"/>
      <c r="N1520" s="168"/>
      <c r="O1520" s="168"/>
      <c r="P1520" s="168"/>
      <c r="Q1520" s="168" t="s">
        <v>0</v>
      </c>
      <c r="R1520" s="168" t="s">
        <v>1</v>
      </c>
      <c r="S1520" s="178" t="str">
        <f t="shared" si="71"/>
        <v>D_MAP_N_ERM_SEG2CPECAP_SEGMENT_ID</v>
      </c>
    </row>
    <row r="1521" spans="1:19" ht="14.4" x14ac:dyDescent="0.3">
      <c r="A1521" s="169" t="s">
        <v>1309</v>
      </c>
      <c r="B1521" s="171" t="str">
        <f t="shared" si="69"/>
        <v>D_MAP_N_ERM_SEG2CP</v>
      </c>
      <c r="C1521" s="169" t="s">
        <v>52</v>
      </c>
      <c r="D1521" s="169">
        <v>837</v>
      </c>
      <c r="E1521" s="169">
        <v>3</v>
      </c>
      <c r="F1521" s="169" t="s">
        <v>52</v>
      </c>
      <c r="G1521" s="169" t="s">
        <v>52</v>
      </c>
      <c r="H1521" s="169">
        <v>34</v>
      </c>
      <c r="I1521" s="136" t="str">
        <f t="shared" si="70"/>
        <v>DATE</v>
      </c>
      <c r="J1521" s="169" t="s">
        <v>1</v>
      </c>
      <c r="K1521" s="169" t="s">
        <v>1</v>
      </c>
      <c r="L1521" s="169">
        <v>30</v>
      </c>
      <c r="M1521" s="168"/>
      <c r="N1521" s="168"/>
      <c r="O1521" s="168"/>
      <c r="P1521" s="168"/>
      <c r="Q1521" s="168" t="s">
        <v>0</v>
      </c>
      <c r="R1521" s="168" t="s">
        <v>1</v>
      </c>
      <c r="S1521" s="178" t="str">
        <f t="shared" si="71"/>
        <v>D_MAP_N_ERM_SEG2CPEND_DT</v>
      </c>
    </row>
    <row r="1522" spans="1:19" ht="14.4" x14ac:dyDescent="0.3">
      <c r="A1522" s="169" t="s">
        <v>1309</v>
      </c>
      <c r="B1522" s="171" t="str">
        <f t="shared" si="69"/>
        <v>D_MAP_N_ERM_SEG2CP</v>
      </c>
      <c r="C1522" s="169" t="s">
        <v>434</v>
      </c>
      <c r="D1522" s="169">
        <v>838</v>
      </c>
      <c r="E1522" s="169">
        <v>4</v>
      </c>
      <c r="F1522" s="169" t="s">
        <v>434</v>
      </c>
      <c r="G1522" s="169" t="s">
        <v>434</v>
      </c>
      <c r="H1522" s="169">
        <v>27</v>
      </c>
      <c r="I1522" s="136" t="str">
        <f t="shared" si="70"/>
        <v>INTEGER</v>
      </c>
      <c r="J1522" s="169" t="s">
        <v>0</v>
      </c>
      <c r="K1522" s="169" t="s">
        <v>1</v>
      </c>
      <c r="L1522" s="169">
        <v>30</v>
      </c>
      <c r="M1522" s="168"/>
      <c r="N1522" s="168"/>
      <c r="O1522" s="168"/>
      <c r="P1522" s="168"/>
      <c r="Q1522" s="168" t="s">
        <v>0</v>
      </c>
      <c r="R1522" s="168" t="s">
        <v>1</v>
      </c>
      <c r="S1522" s="178" t="str">
        <f t="shared" si="71"/>
        <v>D_MAP_N_ERM_SEG2CPPRIORITY</v>
      </c>
    </row>
    <row r="1523" spans="1:19" ht="14.4" x14ac:dyDescent="0.3">
      <c r="A1523" s="169" t="s">
        <v>1309</v>
      </c>
      <c r="B1523" s="171" t="str">
        <f t="shared" si="69"/>
        <v>D_MAP_N_ERM_SEG2CP</v>
      </c>
      <c r="C1523" s="169" t="s">
        <v>486</v>
      </c>
      <c r="D1523" s="169">
        <v>839</v>
      </c>
      <c r="E1523" s="169">
        <v>5</v>
      </c>
      <c r="F1523" s="169" t="s">
        <v>486</v>
      </c>
      <c r="G1523" s="169" t="s">
        <v>486</v>
      </c>
      <c r="H1523" s="169">
        <v>7</v>
      </c>
      <c r="I1523" s="136" t="str">
        <f t="shared" si="70"/>
        <v>BIGINT</v>
      </c>
      <c r="J1523" s="169" t="s">
        <v>0</v>
      </c>
      <c r="K1523" s="169" t="s">
        <v>1</v>
      </c>
      <c r="L1523" s="169">
        <v>30</v>
      </c>
      <c r="M1523" s="168"/>
      <c r="N1523" s="168"/>
      <c r="O1523" s="168"/>
      <c r="P1523" s="168"/>
      <c r="Q1523" s="168" t="s">
        <v>0</v>
      </c>
      <c r="R1523" s="168" t="s">
        <v>1</v>
      </c>
      <c r="S1523" s="178" t="str">
        <f t="shared" si="71"/>
        <v>D_MAP_N_ERM_SEG2CPREGLTRY_CP_TYPE_ID</v>
      </c>
    </row>
    <row r="1524" spans="1:19" ht="14.4" x14ac:dyDescent="0.3">
      <c r="A1524" s="169" t="s">
        <v>1309</v>
      </c>
      <c r="B1524" s="171" t="str">
        <f t="shared" si="69"/>
        <v>D_MAP_N_ERM_SEG2CP</v>
      </c>
      <c r="C1524" s="169" t="s">
        <v>1405</v>
      </c>
      <c r="D1524" s="169">
        <v>840</v>
      </c>
      <c r="E1524" s="169">
        <v>6</v>
      </c>
      <c r="F1524" s="169" t="s">
        <v>1405</v>
      </c>
      <c r="G1524" s="169" t="s">
        <v>1405</v>
      </c>
      <c r="H1524" s="169">
        <v>7</v>
      </c>
      <c r="I1524" s="136" t="str">
        <f t="shared" si="70"/>
        <v>BIGINT</v>
      </c>
      <c r="J1524" s="169" t="s">
        <v>1</v>
      </c>
      <c r="K1524" s="169" t="s">
        <v>1</v>
      </c>
      <c r="L1524" s="169">
        <v>30</v>
      </c>
      <c r="M1524" s="168"/>
      <c r="N1524" s="168"/>
      <c r="O1524" s="168"/>
      <c r="P1524" s="168"/>
      <c r="Q1524" s="168" t="s">
        <v>0</v>
      </c>
      <c r="R1524" s="168" t="s">
        <v>1</v>
      </c>
      <c r="S1524" s="178" t="str">
        <f t="shared" si="71"/>
        <v>D_MAP_N_ERM_SEG2CPRULE_ID</v>
      </c>
    </row>
    <row r="1525" spans="1:19" ht="14.4" x14ac:dyDescent="0.3">
      <c r="A1525" s="169" t="s">
        <v>1309</v>
      </c>
      <c r="B1525" s="171" t="str">
        <f t="shared" si="69"/>
        <v>D_MAP_N_ERM_SEG2CP</v>
      </c>
      <c r="C1525" s="169" t="s">
        <v>1384</v>
      </c>
      <c r="D1525" s="169">
        <v>841</v>
      </c>
      <c r="E1525" s="169">
        <v>7</v>
      </c>
      <c r="F1525" s="169" t="s">
        <v>1384</v>
      </c>
      <c r="G1525" s="169" t="s">
        <v>1384</v>
      </c>
      <c r="H1525" s="169">
        <v>7</v>
      </c>
      <c r="I1525" s="136" t="str">
        <f t="shared" si="70"/>
        <v>BIGINT</v>
      </c>
      <c r="J1525" s="169" t="s">
        <v>0</v>
      </c>
      <c r="K1525" s="169" t="s">
        <v>0</v>
      </c>
      <c r="L1525" s="169">
        <v>30</v>
      </c>
      <c r="M1525" s="168"/>
      <c r="N1525" s="168"/>
      <c r="O1525" s="168"/>
      <c r="P1525" s="168"/>
      <c r="Q1525" s="168" t="s">
        <v>0</v>
      </c>
      <c r="R1525" s="168" t="s">
        <v>1</v>
      </c>
      <c r="S1525" s="178" t="str">
        <f t="shared" si="71"/>
        <v>D_MAP_N_ERM_SEG2CPSOURCE_ERM_CP_SEGMENT_ID</v>
      </c>
    </row>
    <row r="1526" spans="1:19" ht="14.4" x14ac:dyDescent="0.3">
      <c r="A1526" s="169" t="s">
        <v>1309</v>
      </c>
      <c r="B1526" s="171" t="str">
        <f t="shared" si="69"/>
        <v>D_MAP_N_ERM_SEG2CP</v>
      </c>
      <c r="C1526" s="169" t="s">
        <v>51</v>
      </c>
      <c r="D1526" s="169">
        <v>842</v>
      </c>
      <c r="E1526" s="169">
        <v>8</v>
      </c>
      <c r="F1526" s="169" t="s">
        <v>51</v>
      </c>
      <c r="G1526" s="169" t="s">
        <v>51</v>
      </c>
      <c r="H1526" s="169">
        <v>34</v>
      </c>
      <c r="I1526" s="136" t="str">
        <f t="shared" si="70"/>
        <v>DATE</v>
      </c>
      <c r="J1526" s="169" t="s">
        <v>1</v>
      </c>
      <c r="K1526" s="169" t="s">
        <v>1</v>
      </c>
      <c r="L1526" s="169">
        <v>30</v>
      </c>
      <c r="M1526" s="168"/>
      <c r="N1526" s="168"/>
      <c r="O1526" s="168"/>
      <c r="P1526" s="168"/>
      <c r="Q1526" s="168" t="s">
        <v>0</v>
      </c>
      <c r="R1526" s="168" t="s">
        <v>1</v>
      </c>
      <c r="S1526" s="178" t="str">
        <f t="shared" si="71"/>
        <v>D_MAP_N_ERM_SEG2CPSTART_DT</v>
      </c>
    </row>
    <row r="1527" spans="1:19" ht="14.4" x14ac:dyDescent="0.3">
      <c r="A1527" s="169" t="s">
        <v>1315</v>
      </c>
      <c r="B1527" s="171" t="str">
        <f t="shared" si="69"/>
        <v>D_MAP_N_PD_MDL2CM_ERM_SEG</v>
      </c>
      <c r="C1527" s="169" t="s">
        <v>52</v>
      </c>
      <c r="D1527" s="169">
        <v>843</v>
      </c>
      <c r="E1527" s="169">
        <v>1</v>
      </c>
      <c r="F1527" s="169" t="s">
        <v>52</v>
      </c>
      <c r="G1527" s="169" t="s">
        <v>52</v>
      </c>
      <c r="H1527" s="169">
        <v>34</v>
      </c>
      <c r="I1527" s="136" t="str">
        <f t="shared" si="70"/>
        <v>DATE</v>
      </c>
      <c r="J1527" s="169" t="s">
        <v>1</v>
      </c>
      <c r="K1527" s="169" t="s">
        <v>1</v>
      </c>
      <c r="L1527" s="169">
        <v>30</v>
      </c>
      <c r="M1527" s="168"/>
      <c r="N1527" s="168"/>
      <c r="O1527" s="168"/>
      <c r="P1527" s="168"/>
      <c r="Q1527" s="168" t="s">
        <v>0</v>
      </c>
      <c r="R1527" s="168" t="s">
        <v>1</v>
      </c>
      <c r="S1527" s="178" t="str">
        <f t="shared" si="71"/>
        <v>D_MAP_N_PD_MDL2CM_ERM_SEGEND_DT</v>
      </c>
    </row>
    <row r="1528" spans="1:19" ht="14.4" x14ac:dyDescent="0.3">
      <c r="A1528" s="169" t="s">
        <v>1315</v>
      </c>
      <c r="B1528" s="171" t="str">
        <f t="shared" si="69"/>
        <v>D_MAP_N_PD_MDL2CM_ERM_SEG</v>
      </c>
      <c r="C1528" s="169" t="s">
        <v>1386</v>
      </c>
      <c r="D1528" s="169">
        <v>844</v>
      </c>
      <c r="E1528" s="169">
        <v>2</v>
      </c>
      <c r="F1528" s="169" t="s">
        <v>1386</v>
      </c>
      <c r="G1528" s="169" t="s">
        <v>1386</v>
      </c>
      <c r="H1528" s="169">
        <v>7</v>
      </c>
      <c r="I1528" s="136" t="str">
        <f t="shared" si="70"/>
        <v>BIGINT</v>
      </c>
      <c r="J1528" s="169" t="s">
        <v>0</v>
      </c>
      <c r="K1528" s="169" t="s">
        <v>1</v>
      </c>
      <c r="L1528" s="169">
        <v>30</v>
      </c>
      <c r="M1528" s="168"/>
      <c r="N1528" s="168"/>
      <c r="O1528" s="168"/>
      <c r="P1528" s="168"/>
      <c r="Q1528" s="168" t="s">
        <v>0</v>
      </c>
      <c r="R1528" s="168" t="s">
        <v>1</v>
      </c>
      <c r="S1528" s="178" t="str">
        <f t="shared" si="71"/>
        <v>D_MAP_N_PD_MDL2CM_ERM_SEGERM_CP_SEGMENT_ID</v>
      </c>
    </row>
    <row r="1529" spans="1:19" ht="14.4" x14ac:dyDescent="0.3">
      <c r="A1529" s="169" t="s">
        <v>1315</v>
      </c>
      <c r="B1529" s="171" t="str">
        <f t="shared" si="69"/>
        <v>D_MAP_N_PD_MDL2CM_ERM_SEG</v>
      </c>
      <c r="C1529" s="169" t="s">
        <v>434</v>
      </c>
      <c r="D1529" s="169">
        <v>845</v>
      </c>
      <c r="E1529" s="169">
        <v>3</v>
      </c>
      <c r="F1529" s="169" t="s">
        <v>434</v>
      </c>
      <c r="G1529" s="169" t="s">
        <v>434</v>
      </c>
      <c r="H1529" s="169">
        <v>27</v>
      </c>
      <c r="I1529" s="136" t="str">
        <f t="shared" si="70"/>
        <v>INTEGER</v>
      </c>
      <c r="J1529" s="169" t="s">
        <v>0</v>
      </c>
      <c r="K1529" s="169" t="s">
        <v>1</v>
      </c>
      <c r="L1529" s="169">
        <v>30</v>
      </c>
      <c r="M1529" s="168"/>
      <c r="N1529" s="168"/>
      <c r="O1529" s="168"/>
      <c r="P1529" s="168"/>
      <c r="Q1529" s="168" t="s">
        <v>0</v>
      </c>
      <c r="R1529" s="168" t="s">
        <v>1</v>
      </c>
      <c r="S1529" s="178" t="str">
        <f t="shared" si="71"/>
        <v>D_MAP_N_PD_MDL2CM_ERM_SEGPRIORITY</v>
      </c>
    </row>
    <row r="1530" spans="1:19" ht="14.4" x14ac:dyDescent="0.3">
      <c r="A1530" s="169" t="s">
        <v>1315</v>
      </c>
      <c r="B1530" s="171" t="str">
        <f t="shared" si="69"/>
        <v>D_MAP_N_PD_MDL2CM_ERM_SEG</v>
      </c>
      <c r="C1530" s="169" t="s">
        <v>1405</v>
      </c>
      <c r="D1530" s="169">
        <v>846</v>
      </c>
      <c r="E1530" s="169">
        <v>4</v>
      </c>
      <c r="F1530" s="169" t="s">
        <v>1405</v>
      </c>
      <c r="G1530" s="169" t="s">
        <v>1405</v>
      </c>
      <c r="H1530" s="169">
        <v>7</v>
      </c>
      <c r="I1530" s="136" t="str">
        <f t="shared" si="70"/>
        <v>BIGINT</v>
      </c>
      <c r="J1530" s="169" t="s">
        <v>1</v>
      </c>
      <c r="K1530" s="169" t="s">
        <v>1</v>
      </c>
      <c r="L1530" s="169">
        <v>30</v>
      </c>
      <c r="M1530" s="168"/>
      <c r="N1530" s="168"/>
      <c r="O1530" s="168"/>
      <c r="P1530" s="168"/>
      <c r="Q1530" s="168" t="s">
        <v>0</v>
      </c>
      <c r="R1530" s="168" t="s">
        <v>1</v>
      </c>
      <c r="S1530" s="178" t="str">
        <f t="shared" si="71"/>
        <v>D_MAP_N_PD_MDL2CM_ERM_SEGRULE_ID</v>
      </c>
    </row>
    <row r="1531" spans="1:19" ht="14.4" x14ac:dyDescent="0.3">
      <c r="A1531" s="169" t="s">
        <v>1315</v>
      </c>
      <c r="B1531" s="171" t="str">
        <f t="shared" si="69"/>
        <v>D_MAP_N_PD_MDL2CM_ERM_SEG</v>
      </c>
      <c r="C1531" s="169" t="s">
        <v>1450</v>
      </c>
      <c r="D1531" s="169">
        <v>847</v>
      </c>
      <c r="E1531" s="169">
        <v>5</v>
      </c>
      <c r="F1531" s="169" t="s">
        <v>1450</v>
      </c>
      <c r="G1531" s="169" t="s">
        <v>1450</v>
      </c>
      <c r="H1531" s="169">
        <v>7</v>
      </c>
      <c r="I1531" s="136" t="str">
        <f t="shared" si="70"/>
        <v>BIGINT</v>
      </c>
      <c r="J1531" s="169" t="s">
        <v>0</v>
      </c>
      <c r="K1531" s="169" t="s">
        <v>0</v>
      </c>
      <c r="L1531" s="169">
        <v>30</v>
      </c>
      <c r="M1531" s="168"/>
      <c r="N1531" s="168"/>
      <c r="O1531" s="168"/>
      <c r="P1531" s="168"/>
      <c r="Q1531" s="168" t="s">
        <v>0</v>
      </c>
      <c r="R1531" s="168" t="s">
        <v>1</v>
      </c>
      <c r="S1531" s="178" t="str">
        <f t="shared" si="71"/>
        <v>D_MAP_N_PD_MDL2CM_ERM_SEGSOURCE_PD_MODEL_ID</v>
      </c>
    </row>
    <row r="1532" spans="1:19" ht="14.4" x14ac:dyDescent="0.3">
      <c r="A1532" s="169" t="s">
        <v>1315</v>
      </c>
      <c r="B1532" s="171" t="str">
        <f t="shared" si="69"/>
        <v>D_MAP_N_PD_MDL2CM_ERM_SEG</v>
      </c>
      <c r="C1532" s="169" t="s">
        <v>51</v>
      </c>
      <c r="D1532" s="169">
        <v>848</v>
      </c>
      <c r="E1532" s="169">
        <v>6</v>
      </c>
      <c r="F1532" s="169" t="s">
        <v>51</v>
      </c>
      <c r="G1532" s="169" t="s">
        <v>51</v>
      </c>
      <c r="H1532" s="169">
        <v>34</v>
      </c>
      <c r="I1532" s="136" t="str">
        <f t="shared" si="70"/>
        <v>DATE</v>
      </c>
      <c r="J1532" s="169" t="s">
        <v>1</v>
      </c>
      <c r="K1532" s="169" t="s">
        <v>1</v>
      </c>
      <c r="L1532" s="169">
        <v>30</v>
      </c>
      <c r="M1532" s="168"/>
      <c r="N1532" s="168"/>
      <c r="O1532" s="168"/>
      <c r="P1532" s="168"/>
      <c r="Q1532" s="168" t="s">
        <v>0</v>
      </c>
      <c r="R1532" s="168" t="s">
        <v>1</v>
      </c>
      <c r="S1532" s="178" t="str">
        <f t="shared" si="71"/>
        <v>D_MAP_N_PD_MDL2CM_ERM_SEGSTART_DT</v>
      </c>
    </row>
    <row r="1533" spans="1:19" ht="14.4" x14ac:dyDescent="0.3">
      <c r="A1533" s="169" t="s">
        <v>1314</v>
      </c>
      <c r="B1533" s="171" t="str">
        <f t="shared" si="69"/>
        <v>D_MAP_PD_MODEL_PRIORITY</v>
      </c>
      <c r="C1533" s="169" t="s">
        <v>52</v>
      </c>
      <c r="D1533" s="169">
        <v>849</v>
      </c>
      <c r="E1533" s="169">
        <v>1</v>
      </c>
      <c r="F1533" s="169" t="s">
        <v>52</v>
      </c>
      <c r="G1533" s="169" t="s">
        <v>52</v>
      </c>
      <c r="H1533" s="169">
        <v>34</v>
      </c>
      <c r="I1533" s="136" t="str">
        <f t="shared" si="70"/>
        <v>DATE</v>
      </c>
      <c r="J1533" s="169" t="s">
        <v>1</v>
      </c>
      <c r="K1533" s="169" t="s">
        <v>1</v>
      </c>
      <c r="L1533" s="169">
        <v>30</v>
      </c>
      <c r="M1533" s="168"/>
      <c r="N1533" s="168"/>
      <c r="O1533" s="168"/>
      <c r="P1533" s="168"/>
      <c r="Q1533" s="168" t="s">
        <v>0</v>
      </c>
      <c r="R1533" s="168" t="s">
        <v>1</v>
      </c>
      <c r="S1533" s="178" t="str">
        <f t="shared" si="71"/>
        <v>D_MAP_PD_MODEL_PRIORITYEND_DT</v>
      </c>
    </row>
    <row r="1534" spans="1:19" ht="14.4" x14ac:dyDescent="0.3">
      <c r="A1534" s="169" t="s">
        <v>1314</v>
      </c>
      <c r="B1534" s="171" t="str">
        <f t="shared" si="69"/>
        <v>D_MAP_PD_MODEL_PRIORITY</v>
      </c>
      <c r="C1534" s="169" t="s">
        <v>434</v>
      </c>
      <c r="D1534" s="169">
        <v>850</v>
      </c>
      <c r="E1534" s="169">
        <v>2</v>
      </c>
      <c r="F1534" s="169" t="s">
        <v>434</v>
      </c>
      <c r="G1534" s="169" t="s">
        <v>434</v>
      </c>
      <c r="H1534" s="169">
        <v>27</v>
      </c>
      <c r="I1534" s="136" t="str">
        <f t="shared" si="70"/>
        <v>INTEGER</v>
      </c>
      <c r="J1534" s="169" t="s">
        <v>0</v>
      </c>
      <c r="K1534" s="169" t="s">
        <v>1</v>
      </c>
      <c r="L1534" s="169">
        <v>30</v>
      </c>
      <c r="M1534" s="168"/>
      <c r="N1534" s="168"/>
      <c r="O1534" s="168"/>
      <c r="P1534" s="168"/>
      <c r="Q1534" s="168" t="s">
        <v>0</v>
      </c>
      <c r="R1534" s="168" t="s">
        <v>1</v>
      </c>
      <c r="S1534" s="178" t="str">
        <f t="shared" si="71"/>
        <v>D_MAP_PD_MODEL_PRIORITYPRIORITY</v>
      </c>
    </row>
    <row r="1535" spans="1:19" ht="14.4" x14ac:dyDescent="0.3">
      <c r="A1535" s="169" t="s">
        <v>1314</v>
      </c>
      <c r="B1535" s="171" t="str">
        <f t="shared" si="69"/>
        <v>D_MAP_PD_MODEL_PRIORITY</v>
      </c>
      <c r="C1535" s="169" t="s">
        <v>1405</v>
      </c>
      <c r="D1535" s="169">
        <v>851</v>
      </c>
      <c r="E1535" s="169">
        <v>3</v>
      </c>
      <c r="F1535" s="169" t="s">
        <v>1405</v>
      </c>
      <c r="G1535" s="169" t="s">
        <v>1405</v>
      </c>
      <c r="H1535" s="169">
        <v>7</v>
      </c>
      <c r="I1535" s="136" t="str">
        <f t="shared" si="70"/>
        <v>BIGINT</v>
      </c>
      <c r="J1535" s="169" t="s">
        <v>1</v>
      </c>
      <c r="K1535" s="169" t="s">
        <v>1</v>
      </c>
      <c r="L1535" s="169">
        <v>30</v>
      </c>
      <c r="M1535" s="168"/>
      <c r="N1535" s="168"/>
      <c r="O1535" s="168"/>
      <c r="P1535" s="168"/>
      <c r="Q1535" s="168" t="s">
        <v>0</v>
      </c>
      <c r="R1535" s="168" t="s">
        <v>1</v>
      </c>
      <c r="S1535" s="178" t="str">
        <f t="shared" si="71"/>
        <v>D_MAP_PD_MODEL_PRIORITYRULE_ID</v>
      </c>
    </row>
    <row r="1536" spans="1:19" ht="14.4" x14ac:dyDescent="0.3">
      <c r="A1536" s="169" t="s">
        <v>1314</v>
      </c>
      <c r="B1536" s="171" t="str">
        <f t="shared" si="69"/>
        <v>D_MAP_PD_MODEL_PRIORITY</v>
      </c>
      <c r="C1536" s="169" t="s">
        <v>1450</v>
      </c>
      <c r="D1536" s="169">
        <v>852</v>
      </c>
      <c r="E1536" s="169">
        <v>4</v>
      </c>
      <c r="F1536" s="169" t="s">
        <v>1450</v>
      </c>
      <c r="G1536" s="169" t="s">
        <v>1450</v>
      </c>
      <c r="H1536" s="169">
        <v>7</v>
      </c>
      <c r="I1536" s="136" t="str">
        <f t="shared" si="70"/>
        <v>BIGINT</v>
      </c>
      <c r="J1536" s="169" t="s">
        <v>0</v>
      </c>
      <c r="K1536" s="169" t="s">
        <v>0</v>
      </c>
      <c r="L1536" s="169">
        <v>30</v>
      </c>
      <c r="M1536" s="168"/>
      <c r="N1536" s="168"/>
      <c r="O1536" s="168"/>
      <c r="P1536" s="168"/>
      <c r="Q1536" s="168" t="s">
        <v>0</v>
      </c>
      <c r="R1536" s="168" t="s">
        <v>1</v>
      </c>
      <c r="S1536" s="178" t="str">
        <f t="shared" si="71"/>
        <v>D_MAP_PD_MODEL_PRIORITYSOURCE_PD_MODEL_ID</v>
      </c>
    </row>
    <row r="1537" spans="1:19" ht="14.4" x14ac:dyDescent="0.3">
      <c r="A1537" s="169" t="s">
        <v>1314</v>
      </c>
      <c r="B1537" s="171" t="str">
        <f t="shared" si="69"/>
        <v>D_MAP_PD_MODEL_PRIORITY</v>
      </c>
      <c r="C1537" s="169" t="s">
        <v>51</v>
      </c>
      <c r="D1537" s="169">
        <v>860</v>
      </c>
      <c r="E1537" s="169">
        <v>5</v>
      </c>
      <c r="F1537" s="169" t="s">
        <v>51</v>
      </c>
      <c r="G1537" s="169" t="s">
        <v>51</v>
      </c>
      <c r="H1537" s="169">
        <v>34</v>
      </c>
      <c r="I1537" s="136" t="str">
        <f t="shared" si="70"/>
        <v>DATE</v>
      </c>
      <c r="J1537" s="169" t="s">
        <v>1</v>
      </c>
      <c r="K1537" s="169" t="s">
        <v>1</v>
      </c>
      <c r="L1537" s="169">
        <v>30</v>
      </c>
      <c r="M1537" s="168"/>
      <c r="N1537" s="168"/>
      <c r="O1537" s="168"/>
      <c r="P1537" s="168"/>
      <c r="Q1537" s="168" t="s">
        <v>0</v>
      </c>
      <c r="R1537" s="168" t="s">
        <v>1</v>
      </c>
      <c r="S1537" s="178" t="str">
        <f t="shared" si="71"/>
        <v>D_MAP_PD_MODEL_PRIORITYSTART_DT</v>
      </c>
    </row>
    <row r="1538" spans="1:19" ht="14.4" x14ac:dyDescent="0.3">
      <c r="A1538" s="169" t="s">
        <v>1377</v>
      </c>
      <c r="B1538" s="171" t="str">
        <f t="shared" ref="B1538:B1601" si="72">IF(NOT(ISBLANK(A1538)),VLOOKUP(A1538,ERM_TABLE_NM,2,FALSE), "")</f>
        <v>D_MAP_SAS2IANCM_IN_DEF_IND</v>
      </c>
      <c r="C1538" s="169" t="s">
        <v>52</v>
      </c>
      <c r="D1538" s="169">
        <v>1782</v>
      </c>
      <c r="E1538" s="169">
        <v>1</v>
      </c>
      <c r="F1538" s="169" t="s">
        <v>52</v>
      </c>
      <c r="G1538" s="169" t="s">
        <v>52</v>
      </c>
      <c r="H1538" s="169">
        <v>34</v>
      </c>
      <c r="I1538" s="136" t="str">
        <f t="shared" ref="I1538:I1601" si="73">IF(NOT(ISBLANK(H1538)),VLOOKUP(H1538,ERM_DOMAIN_NM,2,FALSE), "")</f>
        <v>DATE</v>
      </c>
      <c r="J1538" s="169" t="s">
        <v>1</v>
      </c>
      <c r="K1538" s="169" t="s">
        <v>1</v>
      </c>
      <c r="L1538" s="169">
        <v>30</v>
      </c>
      <c r="M1538" s="168"/>
      <c r="N1538" s="168"/>
      <c r="O1538" s="168"/>
      <c r="P1538" s="168"/>
      <c r="Q1538" s="168" t="s">
        <v>0</v>
      </c>
      <c r="R1538" s="168" t="s">
        <v>1</v>
      </c>
      <c r="S1538" s="178" t="str">
        <f t="shared" si="71"/>
        <v>D_MAP_SAS2IANCM_IN_DEF_INDEND_DT</v>
      </c>
    </row>
    <row r="1539" spans="1:19" ht="14.4" x14ac:dyDescent="0.3">
      <c r="A1539" s="169" t="s">
        <v>1377</v>
      </c>
      <c r="B1539" s="171" t="str">
        <f t="shared" si="72"/>
        <v>D_MAP_SAS2IANCM_IN_DEF_IND</v>
      </c>
      <c r="C1539" s="169" t="s">
        <v>568</v>
      </c>
      <c r="D1539" s="169">
        <v>1783</v>
      </c>
      <c r="E1539" s="169">
        <v>2</v>
      </c>
      <c r="F1539" s="169" t="s">
        <v>568</v>
      </c>
      <c r="G1539" s="169" t="s">
        <v>568</v>
      </c>
      <c r="H1539" s="169">
        <v>15</v>
      </c>
      <c r="I1539" s="136" t="str">
        <f t="shared" si="73"/>
        <v xml:space="preserve">CHAR(1) </v>
      </c>
      <c r="J1539" s="169" t="s">
        <v>0</v>
      </c>
      <c r="K1539" s="169" t="s">
        <v>1</v>
      </c>
      <c r="L1539" s="169">
        <v>30</v>
      </c>
      <c r="M1539" s="168"/>
      <c r="N1539" s="168"/>
      <c r="O1539" s="168"/>
      <c r="P1539" s="168"/>
      <c r="Q1539" s="168" t="s">
        <v>0</v>
      </c>
      <c r="R1539" s="168" t="s">
        <v>1</v>
      </c>
      <c r="S1539" s="178" t="str">
        <f t="shared" ref="S1539:S1602" si="74">CONCATENATE(A1539,C1539)</f>
        <v>D_MAP_SAS2IANCM_IN_DEF_INDIN_DEFAULT_FLG_IND</v>
      </c>
    </row>
    <row r="1540" spans="1:19" ht="14.4" x14ac:dyDescent="0.3">
      <c r="A1540" s="169" t="s">
        <v>1377</v>
      </c>
      <c r="B1540" s="171" t="str">
        <f t="shared" si="72"/>
        <v>D_MAP_SAS2IANCM_IN_DEF_IND</v>
      </c>
      <c r="C1540" s="169" t="s">
        <v>434</v>
      </c>
      <c r="D1540" s="169">
        <v>1784</v>
      </c>
      <c r="E1540" s="169">
        <v>3</v>
      </c>
      <c r="F1540" s="169" t="s">
        <v>434</v>
      </c>
      <c r="G1540" s="169" t="s">
        <v>434</v>
      </c>
      <c r="H1540" s="169">
        <v>27</v>
      </c>
      <c r="I1540" s="136" t="str">
        <f t="shared" si="73"/>
        <v>INTEGER</v>
      </c>
      <c r="J1540" s="169" t="s">
        <v>0</v>
      </c>
      <c r="K1540" s="169" t="s">
        <v>1</v>
      </c>
      <c r="L1540" s="169">
        <v>30</v>
      </c>
      <c r="M1540" s="168"/>
      <c r="N1540" s="168"/>
      <c r="O1540" s="168"/>
      <c r="P1540" s="168"/>
      <c r="Q1540" s="168" t="s">
        <v>0</v>
      </c>
      <c r="R1540" s="168" t="s">
        <v>1</v>
      </c>
      <c r="S1540" s="178" t="str">
        <f t="shared" si="74"/>
        <v>D_MAP_SAS2IANCM_IN_DEF_INDPRIORITY</v>
      </c>
    </row>
    <row r="1541" spans="1:19" ht="14.4" x14ac:dyDescent="0.3">
      <c r="A1541" s="169" t="s">
        <v>1377</v>
      </c>
      <c r="B1541" s="171" t="str">
        <f t="shared" si="72"/>
        <v>D_MAP_SAS2IANCM_IN_DEF_IND</v>
      </c>
      <c r="C1541" s="169" t="s">
        <v>1405</v>
      </c>
      <c r="D1541" s="169">
        <v>1785</v>
      </c>
      <c r="E1541" s="169">
        <v>4</v>
      </c>
      <c r="F1541" s="169" t="s">
        <v>1405</v>
      </c>
      <c r="G1541" s="169" t="s">
        <v>1405</v>
      </c>
      <c r="H1541" s="169">
        <v>7</v>
      </c>
      <c r="I1541" s="136" t="str">
        <f t="shared" si="73"/>
        <v>BIGINT</v>
      </c>
      <c r="J1541" s="169" t="s">
        <v>1</v>
      </c>
      <c r="K1541" s="169" t="s">
        <v>1</v>
      </c>
      <c r="L1541" s="169">
        <v>30</v>
      </c>
      <c r="M1541" s="168"/>
      <c r="N1541" s="168"/>
      <c r="O1541" s="168"/>
      <c r="P1541" s="168"/>
      <c r="Q1541" s="168" t="s">
        <v>0</v>
      </c>
      <c r="R1541" s="168" t="s">
        <v>1</v>
      </c>
      <c r="S1541" s="178" t="str">
        <f t="shared" si="74"/>
        <v>D_MAP_SAS2IANCM_IN_DEF_INDRULE_ID</v>
      </c>
    </row>
    <row r="1542" spans="1:19" ht="14.4" x14ac:dyDescent="0.3">
      <c r="A1542" s="169" t="s">
        <v>1377</v>
      </c>
      <c r="B1542" s="171" t="str">
        <f t="shared" si="72"/>
        <v>D_MAP_SAS2IANCM_IN_DEF_IND</v>
      </c>
      <c r="C1542" s="169" t="s">
        <v>1804</v>
      </c>
      <c r="D1542" s="169">
        <v>1786</v>
      </c>
      <c r="E1542" s="169">
        <v>5</v>
      </c>
      <c r="F1542" s="169" t="s">
        <v>1804</v>
      </c>
      <c r="G1542" s="169" t="s">
        <v>1804</v>
      </c>
      <c r="H1542" s="169">
        <v>24</v>
      </c>
      <c r="I1542" s="136" t="str">
        <f t="shared" si="73"/>
        <v xml:space="preserve">VARCHAR(40) </v>
      </c>
      <c r="J1542" s="169" t="s">
        <v>0</v>
      </c>
      <c r="K1542" s="169" t="s">
        <v>0</v>
      </c>
      <c r="L1542" s="169">
        <v>30</v>
      </c>
      <c r="M1542" s="168"/>
      <c r="N1542" s="168"/>
      <c r="O1542" s="168"/>
      <c r="P1542" s="168"/>
      <c r="Q1542" s="168" t="s">
        <v>0</v>
      </c>
      <c r="R1542" s="168" t="s">
        <v>1</v>
      </c>
      <c r="S1542" s="178" t="str">
        <f t="shared" si="74"/>
        <v>D_MAP_SAS2IANCM_IN_DEF_INDSOURCE_Model</v>
      </c>
    </row>
    <row r="1543" spans="1:19" ht="14.4" x14ac:dyDescent="0.3">
      <c r="A1543" s="169" t="s">
        <v>1377</v>
      </c>
      <c r="B1543" s="171" t="str">
        <f t="shared" si="72"/>
        <v>D_MAP_SAS2IANCM_IN_DEF_IND</v>
      </c>
      <c r="C1543" s="169" t="s">
        <v>1805</v>
      </c>
      <c r="D1543" s="169">
        <v>1787</v>
      </c>
      <c r="E1543" s="169">
        <v>6</v>
      </c>
      <c r="F1543" s="169" t="s">
        <v>1805</v>
      </c>
      <c r="G1543" s="169" t="s">
        <v>1805</v>
      </c>
      <c r="H1543" s="169">
        <v>24</v>
      </c>
      <c r="I1543" s="136" t="str">
        <f t="shared" si="73"/>
        <v xml:space="preserve">VARCHAR(40) </v>
      </c>
      <c r="J1543" s="169" t="s">
        <v>0</v>
      </c>
      <c r="K1543" s="169" t="s">
        <v>0</v>
      </c>
      <c r="L1543" s="169">
        <v>30</v>
      </c>
      <c r="M1543" s="168"/>
      <c r="N1543" s="168"/>
      <c r="O1543" s="168"/>
      <c r="P1543" s="168"/>
      <c r="Q1543" s="168" t="s">
        <v>0</v>
      </c>
      <c r="R1543" s="168" t="s">
        <v>1</v>
      </c>
      <c r="S1543" s="178" t="str">
        <f t="shared" si="74"/>
        <v>D_MAP_SAS2IANCM_IN_DEF_INDSOURCE_Rating</v>
      </c>
    </row>
    <row r="1544" spans="1:19" ht="14.4" x14ac:dyDescent="0.3">
      <c r="A1544" s="169" t="s">
        <v>1377</v>
      </c>
      <c r="B1544" s="171" t="str">
        <f t="shared" si="72"/>
        <v>D_MAP_SAS2IANCM_IN_DEF_IND</v>
      </c>
      <c r="C1544" s="169" t="s">
        <v>51</v>
      </c>
      <c r="D1544" s="169">
        <v>1788</v>
      </c>
      <c r="E1544" s="169">
        <v>7</v>
      </c>
      <c r="F1544" s="169" t="s">
        <v>51</v>
      </c>
      <c r="G1544" s="169" t="s">
        <v>51</v>
      </c>
      <c r="H1544" s="169">
        <v>34</v>
      </c>
      <c r="I1544" s="136" t="str">
        <f t="shared" si="73"/>
        <v>DATE</v>
      </c>
      <c r="J1544" s="169" t="s">
        <v>1</v>
      </c>
      <c r="K1544" s="169" t="s">
        <v>1</v>
      </c>
      <c r="L1544" s="169">
        <v>30</v>
      </c>
      <c r="M1544" s="168"/>
      <c r="N1544" s="168"/>
      <c r="O1544" s="168"/>
      <c r="P1544" s="168"/>
      <c r="Q1544" s="168" t="s">
        <v>0</v>
      </c>
      <c r="R1544" s="168" t="s">
        <v>1</v>
      </c>
      <c r="S1544" s="178" t="str">
        <f t="shared" si="74"/>
        <v>D_MAP_SAS2IANCM_IN_DEF_INDSTART_DT</v>
      </c>
    </row>
    <row r="1545" spans="1:19" ht="14.4" x14ac:dyDescent="0.3">
      <c r="A1545" s="169" t="s">
        <v>1325</v>
      </c>
      <c r="B1545" s="171" t="str">
        <f t="shared" si="72"/>
        <v>Правила мэппинга строк из выгрузки из SAS поведенческий скоринг для определния флага просрочки в сущности ISSUE_ACCOUNT</v>
      </c>
      <c r="C1545" s="169" t="s">
        <v>52</v>
      </c>
      <c r="D1545" s="169">
        <v>1789</v>
      </c>
      <c r="E1545" s="169">
        <v>1</v>
      </c>
      <c r="F1545" s="169" t="s">
        <v>52</v>
      </c>
      <c r="G1545" s="169" t="s">
        <v>52</v>
      </c>
      <c r="H1545" s="169">
        <v>34</v>
      </c>
      <c r="I1545" s="136" t="str">
        <f t="shared" si="73"/>
        <v>DATE</v>
      </c>
      <c r="J1545" s="169" t="s">
        <v>1</v>
      </c>
      <c r="K1545" s="169" t="s">
        <v>1</v>
      </c>
      <c r="L1545" s="169">
        <v>30</v>
      </c>
      <c r="M1545" s="168"/>
      <c r="N1545" s="168"/>
      <c r="O1545" s="168"/>
      <c r="P1545" s="168"/>
      <c r="Q1545" s="168" t="s">
        <v>0</v>
      </c>
      <c r="R1545" s="168" t="s">
        <v>1</v>
      </c>
      <c r="S1545" s="178" t="str">
        <f t="shared" si="74"/>
        <v>D_MAP_SAS_MODEL2IAEND_DT</v>
      </c>
    </row>
    <row r="1546" spans="1:19" ht="14.4" x14ac:dyDescent="0.3">
      <c r="A1546" s="169" t="s">
        <v>1325</v>
      </c>
      <c r="B1546" s="171" t="str">
        <f t="shared" si="72"/>
        <v>Правила мэппинга строк из выгрузки из SAS поведенческий скоринг для определния флага просрочки в сущности ISSUE_ACCOUNT</v>
      </c>
      <c r="C1546" s="169" t="s">
        <v>691</v>
      </c>
      <c r="D1546" s="169">
        <v>1790</v>
      </c>
      <c r="E1546" s="169">
        <v>2</v>
      </c>
      <c r="F1546" s="169" t="s">
        <v>691</v>
      </c>
      <c r="G1546" s="169" t="s">
        <v>691</v>
      </c>
      <c r="H1546" s="169">
        <v>15</v>
      </c>
      <c r="I1546" s="136" t="str">
        <f t="shared" si="73"/>
        <v xml:space="preserve">CHAR(1) </v>
      </c>
      <c r="J1546" s="169" t="s">
        <v>0</v>
      </c>
      <c r="K1546" s="169" t="s">
        <v>1</v>
      </c>
      <c r="L1546" s="169">
        <v>30</v>
      </c>
      <c r="M1546" s="168"/>
      <c r="N1546" s="168"/>
      <c r="O1546" s="168"/>
      <c r="P1546" s="168"/>
      <c r="Q1546" s="168" t="s">
        <v>0</v>
      </c>
      <c r="R1546" s="168" t="s">
        <v>1</v>
      </c>
      <c r="S1546" s="178" t="str">
        <f t="shared" si="74"/>
        <v>D_MAP_SAS_MODEL2IAIN_PAST_DUE_FLG_IND</v>
      </c>
    </row>
    <row r="1547" spans="1:19" ht="14.4" x14ac:dyDescent="0.3">
      <c r="A1547" s="169" t="s">
        <v>1325</v>
      </c>
      <c r="B1547" s="171" t="str">
        <f t="shared" si="72"/>
        <v>Правила мэппинга строк из выгрузки из SAS поведенческий скоринг для определния флага просрочки в сущности ISSUE_ACCOUNT</v>
      </c>
      <c r="C1547" s="169" t="s">
        <v>434</v>
      </c>
      <c r="D1547" s="169">
        <v>1791</v>
      </c>
      <c r="E1547" s="169">
        <v>3</v>
      </c>
      <c r="F1547" s="169" t="s">
        <v>434</v>
      </c>
      <c r="G1547" s="169" t="s">
        <v>434</v>
      </c>
      <c r="H1547" s="169">
        <v>27</v>
      </c>
      <c r="I1547" s="136" t="str">
        <f t="shared" si="73"/>
        <v>INTEGER</v>
      </c>
      <c r="J1547" s="169" t="s">
        <v>0</v>
      </c>
      <c r="K1547" s="169" t="s">
        <v>1</v>
      </c>
      <c r="L1547" s="169">
        <v>30</v>
      </c>
      <c r="M1547" s="168"/>
      <c r="N1547" s="168"/>
      <c r="O1547" s="168"/>
      <c r="P1547" s="168"/>
      <c r="Q1547" s="168" t="s">
        <v>0</v>
      </c>
      <c r="R1547" s="168" t="s">
        <v>1</v>
      </c>
      <c r="S1547" s="178" t="str">
        <f t="shared" si="74"/>
        <v>D_MAP_SAS_MODEL2IAPRIORITY</v>
      </c>
    </row>
    <row r="1548" spans="1:19" ht="14.4" x14ac:dyDescent="0.3">
      <c r="A1548" s="169" t="s">
        <v>1325</v>
      </c>
      <c r="B1548" s="171" t="str">
        <f t="shared" si="72"/>
        <v>Правила мэппинга строк из выгрузки из SAS поведенческий скоринг для определния флага просрочки в сущности ISSUE_ACCOUNT</v>
      </c>
      <c r="C1548" s="169" t="s">
        <v>1405</v>
      </c>
      <c r="D1548" s="169">
        <v>1792</v>
      </c>
      <c r="E1548" s="169">
        <v>4</v>
      </c>
      <c r="F1548" s="169" t="s">
        <v>1405</v>
      </c>
      <c r="G1548" s="169" t="s">
        <v>1405</v>
      </c>
      <c r="H1548" s="169">
        <v>7</v>
      </c>
      <c r="I1548" s="136" t="str">
        <f t="shared" si="73"/>
        <v>BIGINT</v>
      </c>
      <c r="J1548" s="169" t="s">
        <v>1</v>
      </c>
      <c r="K1548" s="169" t="s">
        <v>1</v>
      </c>
      <c r="L1548" s="169">
        <v>30</v>
      </c>
      <c r="M1548" s="168"/>
      <c r="N1548" s="168"/>
      <c r="O1548" s="168"/>
      <c r="P1548" s="168"/>
      <c r="Q1548" s="168" t="s">
        <v>0</v>
      </c>
      <c r="R1548" s="168" t="s">
        <v>1</v>
      </c>
      <c r="S1548" s="178" t="str">
        <f t="shared" si="74"/>
        <v>D_MAP_SAS_MODEL2IARULE_ID</v>
      </c>
    </row>
    <row r="1549" spans="1:19" ht="14.4" x14ac:dyDescent="0.3">
      <c r="A1549" s="169" t="s">
        <v>1325</v>
      </c>
      <c r="B1549" s="171" t="str">
        <f t="shared" si="72"/>
        <v>Правила мэппинга строк из выгрузки из SAS поведенческий скоринг для определния флага просрочки в сущности ISSUE_ACCOUNT</v>
      </c>
      <c r="C1549" s="169" t="s">
        <v>1804</v>
      </c>
      <c r="D1549" s="169">
        <v>1793</v>
      </c>
      <c r="E1549" s="169">
        <v>5</v>
      </c>
      <c r="F1549" s="169" t="s">
        <v>1804</v>
      </c>
      <c r="G1549" s="169" t="s">
        <v>1804</v>
      </c>
      <c r="H1549" s="169">
        <v>24</v>
      </c>
      <c r="I1549" s="136" t="str">
        <f t="shared" si="73"/>
        <v xml:space="preserve">VARCHAR(40) </v>
      </c>
      <c r="J1549" s="169" t="s">
        <v>0</v>
      </c>
      <c r="K1549" s="169" t="s">
        <v>0</v>
      </c>
      <c r="L1549" s="169">
        <v>30</v>
      </c>
      <c r="M1549" s="168"/>
      <c r="N1549" s="168"/>
      <c r="O1549" s="168"/>
      <c r="P1549" s="168"/>
      <c r="Q1549" s="168" t="s">
        <v>0</v>
      </c>
      <c r="R1549" s="168" t="s">
        <v>1</v>
      </c>
      <c r="S1549" s="178" t="str">
        <f t="shared" si="74"/>
        <v>D_MAP_SAS_MODEL2IASOURCE_Model</v>
      </c>
    </row>
    <row r="1550" spans="1:19" ht="14.4" x14ac:dyDescent="0.3">
      <c r="A1550" s="169" t="s">
        <v>1325</v>
      </c>
      <c r="B1550" s="171" t="str">
        <f t="shared" si="72"/>
        <v>Правила мэппинга строк из выгрузки из SAS поведенческий скоринг для определния флага просрочки в сущности ISSUE_ACCOUNT</v>
      </c>
      <c r="C1550" s="169" t="s">
        <v>51</v>
      </c>
      <c r="D1550" s="169">
        <v>1794</v>
      </c>
      <c r="E1550" s="169">
        <v>6</v>
      </c>
      <c r="F1550" s="169" t="s">
        <v>51</v>
      </c>
      <c r="G1550" s="169" t="s">
        <v>51</v>
      </c>
      <c r="H1550" s="169">
        <v>34</v>
      </c>
      <c r="I1550" s="136" t="str">
        <f t="shared" si="73"/>
        <v>DATE</v>
      </c>
      <c r="J1550" s="169" t="s">
        <v>1</v>
      </c>
      <c r="K1550" s="169" t="s">
        <v>1</v>
      </c>
      <c r="L1550" s="169">
        <v>30</v>
      </c>
      <c r="M1550" s="168"/>
      <c r="N1550" s="168"/>
      <c r="O1550" s="168"/>
      <c r="P1550" s="168"/>
      <c r="Q1550" s="168" t="s">
        <v>0</v>
      </c>
      <c r="R1550" s="168" t="s">
        <v>1</v>
      </c>
      <c r="S1550" s="178" t="str">
        <f t="shared" si="74"/>
        <v>D_MAP_SAS_MODEL2IASTART_DT</v>
      </c>
    </row>
    <row r="1551" spans="1:19" ht="14.4" x14ac:dyDescent="0.3">
      <c r="A1551" s="169" t="s">
        <v>1318</v>
      </c>
      <c r="B1551" s="171" t="str">
        <f t="shared" si="72"/>
        <v>Правила мэппинга строк из выгрузки из SAS поведенческий скоринг в сущность COUNTERPARTY_MART</v>
      </c>
      <c r="C1551" s="169" t="s">
        <v>470</v>
      </c>
      <c r="D1551" s="169">
        <v>1795</v>
      </c>
      <c r="E1551" s="169">
        <v>1</v>
      </c>
      <c r="F1551" s="169" t="s">
        <v>470</v>
      </c>
      <c r="G1551" s="169" t="s">
        <v>470</v>
      </c>
      <c r="H1551" s="169">
        <v>7</v>
      </c>
      <c r="I1551" s="136" t="str">
        <f t="shared" si="73"/>
        <v>BIGINT</v>
      </c>
      <c r="J1551" s="169" t="s">
        <v>0</v>
      </c>
      <c r="K1551" s="169" t="s">
        <v>1</v>
      </c>
      <c r="L1551" s="169">
        <v>30</v>
      </c>
      <c r="M1551" s="168"/>
      <c r="N1551" s="168"/>
      <c r="O1551" s="168"/>
      <c r="P1551" s="168"/>
      <c r="Q1551" s="168" t="s">
        <v>0</v>
      </c>
      <c r="R1551" s="168" t="s">
        <v>1</v>
      </c>
      <c r="S1551" s="178" t="str">
        <f t="shared" si="74"/>
        <v>D_MAP_SAS_PRODUCT2CMCP_TYPE_ID</v>
      </c>
    </row>
    <row r="1552" spans="1:19" ht="14.4" x14ac:dyDescent="0.3">
      <c r="A1552" s="169" t="s">
        <v>1318</v>
      </c>
      <c r="B1552" s="171" t="str">
        <f t="shared" si="72"/>
        <v>Правила мэппинга строк из выгрузки из SAS поведенческий скоринг в сущность COUNTERPARTY_MART</v>
      </c>
      <c r="C1552" s="169" t="s">
        <v>515</v>
      </c>
      <c r="D1552" s="169">
        <v>1796</v>
      </c>
      <c r="E1552" s="169">
        <v>2</v>
      </c>
      <c r="F1552" s="169" t="s">
        <v>515</v>
      </c>
      <c r="G1552" s="169" t="s">
        <v>515</v>
      </c>
      <c r="H1552" s="169">
        <v>7</v>
      </c>
      <c r="I1552" s="136" t="str">
        <f t="shared" si="73"/>
        <v>BIGINT</v>
      </c>
      <c r="J1552" s="169" t="s">
        <v>0</v>
      </c>
      <c r="K1552" s="169" t="s">
        <v>1</v>
      </c>
      <c r="L1552" s="169">
        <v>30</v>
      </c>
      <c r="M1552" s="168"/>
      <c r="N1552" s="168"/>
      <c r="O1552" s="168"/>
      <c r="P1552" s="168"/>
      <c r="Q1552" s="168" t="s">
        <v>0</v>
      </c>
      <c r="R1552" s="168" t="s">
        <v>1</v>
      </c>
      <c r="S1552" s="178" t="str">
        <f t="shared" si="74"/>
        <v>D_MAP_SAS_PRODUCT2CMECAP_SEGMENT_ID</v>
      </c>
    </row>
    <row r="1553" spans="1:19" ht="14.4" x14ac:dyDescent="0.3">
      <c r="A1553" s="169" t="s">
        <v>1318</v>
      </c>
      <c r="B1553" s="171" t="str">
        <f t="shared" si="72"/>
        <v>Правила мэппинга строк из выгрузки из SAS поведенческий скоринг в сущность COUNTERPARTY_MART</v>
      </c>
      <c r="C1553" s="169" t="s">
        <v>52</v>
      </c>
      <c r="D1553" s="169">
        <v>1797</v>
      </c>
      <c r="E1553" s="169">
        <v>3</v>
      </c>
      <c r="F1553" s="169" t="s">
        <v>52</v>
      </c>
      <c r="G1553" s="169" t="s">
        <v>52</v>
      </c>
      <c r="H1553" s="169">
        <v>34</v>
      </c>
      <c r="I1553" s="136" t="str">
        <f t="shared" si="73"/>
        <v>DATE</v>
      </c>
      <c r="J1553" s="169" t="s">
        <v>1</v>
      </c>
      <c r="K1553" s="169" t="s">
        <v>1</v>
      </c>
      <c r="L1553" s="169">
        <v>30</v>
      </c>
      <c r="M1553" s="168"/>
      <c r="N1553" s="168"/>
      <c r="O1553" s="168"/>
      <c r="P1553" s="168"/>
      <c r="Q1553" s="168" t="s">
        <v>0</v>
      </c>
      <c r="R1553" s="168" t="s">
        <v>1</v>
      </c>
      <c r="S1553" s="178" t="str">
        <f t="shared" si="74"/>
        <v>D_MAP_SAS_PRODUCT2CMEND_DT</v>
      </c>
    </row>
    <row r="1554" spans="1:19" ht="14.4" x14ac:dyDescent="0.3">
      <c r="A1554" s="169" t="s">
        <v>1318</v>
      </c>
      <c r="B1554" s="171" t="str">
        <f t="shared" si="72"/>
        <v>Правила мэппинга строк из выгрузки из SAS поведенческий скоринг в сущность COUNTERPARTY_MART</v>
      </c>
      <c r="C1554" s="169" t="s">
        <v>434</v>
      </c>
      <c r="D1554" s="169">
        <v>1798</v>
      </c>
      <c r="E1554" s="169">
        <v>4</v>
      </c>
      <c r="F1554" s="169" t="s">
        <v>434</v>
      </c>
      <c r="G1554" s="169" t="s">
        <v>434</v>
      </c>
      <c r="H1554" s="169">
        <v>27</v>
      </c>
      <c r="I1554" s="136" t="str">
        <f t="shared" si="73"/>
        <v>INTEGER</v>
      </c>
      <c r="J1554" s="169" t="s">
        <v>0</v>
      </c>
      <c r="K1554" s="169" t="s">
        <v>1</v>
      </c>
      <c r="L1554" s="169">
        <v>30</v>
      </c>
      <c r="M1554" s="168"/>
      <c r="N1554" s="168"/>
      <c r="O1554" s="168"/>
      <c r="P1554" s="168"/>
      <c r="Q1554" s="168" t="s">
        <v>0</v>
      </c>
      <c r="R1554" s="168" t="s">
        <v>1</v>
      </c>
      <c r="S1554" s="178" t="str">
        <f t="shared" si="74"/>
        <v>D_MAP_SAS_PRODUCT2CMPRIORITY</v>
      </c>
    </row>
    <row r="1555" spans="1:19" ht="14.4" x14ac:dyDescent="0.3">
      <c r="A1555" s="169" t="s">
        <v>1318</v>
      </c>
      <c r="B1555" s="171" t="str">
        <f t="shared" si="72"/>
        <v>Правила мэппинга строк из выгрузки из SAS поведенческий скоринг в сущность COUNTERPARTY_MART</v>
      </c>
      <c r="C1555" s="169" t="s">
        <v>1405</v>
      </c>
      <c r="D1555" s="169">
        <v>1799</v>
      </c>
      <c r="E1555" s="169">
        <v>5</v>
      </c>
      <c r="F1555" s="169" t="s">
        <v>1405</v>
      </c>
      <c r="G1555" s="169" t="s">
        <v>1405</v>
      </c>
      <c r="H1555" s="169">
        <v>7</v>
      </c>
      <c r="I1555" s="136" t="str">
        <f t="shared" si="73"/>
        <v>BIGINT</v>
      </c>
      <c r="J1555" s="169" t="s">
        <v>1</v>
      </c>
      <c r="K1555" s="169" t="s">
        <v>1</v>
      </c>
      <c r="L1555" s="169">
        <v>30</v>
      </c>
      <c r="M1555" s="168"/>
      <c r="N1555" s="168"/>
      <c r="O1555" s="168"/>
      <c r="P1555" s="168"/>
      <c r="Q1555" s="168" t="s">
        <v>0</v>
      </c>
      <c r="R1555" s="168" t="s">
        <v>1</v>
      </c>
      <c r="S1555" s="178" t="str">
        <f t="shared" si="74"/>
        <v>D_MAP_SAS_PRODUCT2CMRULE_ID</v>
      </c>
    </row>
    <row r="1556" spans="1:19" ht="14.4" x14ac:dyDescent="0.3">
      <c r="A1556" s="169" t="s">
        <v>1318</v>
      </c>
      <c r="B1556" s="171" t="str">
        <f t="shared" si="72"/>
        <v>Правила мэппинга строк из выгрузки из SAS поведенческий скоринг в сущность COUNTERPARTY_MART</v>
      </c>
      <c r="C1556" s="169" t="s">
        <v>1806</v>
      </c>
      <c r="D1556" s="169">
        <v>1800</v>
      </c>
      <c r="E1556" s="169">
        <v>6</v>
      </c>
      <c r="F1556" s="169" t="s">
        <v>1806</v>
      </c>
      <c r="G1556" s="169" t="s">
        <v>1806</v>
      </c>
      <c r="H1556" s="169">
        <v>24</v>
      </c>
      <c r="I1556" s="136" t="str">
        <f t="shared" si="73"/>
        <v xml:space="preserve">VARCHAR(40) </v>
      </c>
      <c r="J1556" s="169" t="s">
        <v>0</v>
      </c>
      <c r="K1556" s="169" t="s">
        <v>0</v>
      </c>
      <c r="L1556" s="169">
        <v>30</v>
      </c>
      <c r="M1556" s="168"/>
      <c r="N1556" s="168"/>
      <c r="O1556" s="168"/>
      <c r="P1556" s="168"/>
      <c r="Q1556" s="168" t="s">
        <v>0</v>
      </c>
      <c r="R1556" s="168" t="s">
        <v>1</v>
      </c>
      <c r="S1556" s="178" t="str">
        <f t="shared" si="74"/>
        <v>D_MAP_SAS_PRODUCT2CMSOURCE_Product</v>
      </c>
    </row>
    <row r="1557" spans="1:19" ht="14.4" x14ac:dyDescent="0.3">
      <c r="A1557" s="169" t="s">
        <v>1318</v>
      </c>
      <c r="B1557" s="171" t="str">
        <f t="shared" si="72"/>
        <v>Правила мэппинга строк из выгрузки из SAS поведенческий скоринг в сущность COUNTERPARTY_MART</v>
      </c>
      <c r="C1557" s="169" t="s">
        <v>51</v>
      </c>
      <c r="D1557" s="169">
        <v>1801</v>
      </c>
      <c r="E1557" s="169">
        <v>7</v>
      </c>
      <c r="F1557" s="169" t="s">
        <v>51</v>
      </c>
      <c r="G1557" s="169" t="s">
        <v>51</v>
      </c>
      <c r="H1557" s="169">
        <v>34</v>
      </c>
      <c r="I1557" s="136" t="str">
        <f t="shared" si="73"/>
        <v>DATE</v>
      </c>
      <c r="J1557" s="169" t="s">
        <v>1</v>
      </c>
      <c r="K1557" s="169" t="s">
        <v>1</v>
      </c>
      <c r="L1557" s="169">
        <v>30</v>
      </c>
      <c r="M1557" s="168"/>
      <c r="N1557" s="168"/>
      <c r="O1557" s="168"/>
      <c r="P1557" s="168"/>
      <c r="Q1557" s="168" t="s">
        <v>0</v>
      </c>
      <c r="R1557" s="168" t="s">
        <v>1</v>
      </c>
      <c r="S1557" s="178" t="str">
        <f t="shared" si="74"/>
        <v>D_MAP_SAS_PRODUCT2CMSTART_DT</v>
      </c>
    </row>
    <row r="1558" spans="1:19" ht="14.4" x14ac:dyDescent="0.3">
      <c r="A1558" s="169" t="s">
        <v>1374</v>
      </c>
      <c r="B1558" s="171" t="str">
        <f t="shared" si="72"/>
        <v>Правила мэппинга строк из выгрузки из SAS поведенческий скоринг в сущность ISSUE_ACCOUNT</v>
      </c>
      <c r="C1558" s="169" t="s">
        <v>52</v>
      </c>
      <c r="D1558" s="169">
        <v>1802</v>
      </c>
      <c r="E1558" s="169">
        <v>1</v>
      </c>
      <c r="F1558" s="169" t="s">
        <v>52</v>
      </c>
      <c r="G1558" s="169" t="s">
        <v>52</v>
      </c>
      <c r="H1558" s="169">
        <v>34</v>
      </c>
      <c r="I1558" s="136" t="str">
        <f t="shared" si="73"/>
        <v>DATE</v>
      </c>
      <c r="J1558" s="169" t="s">
        <v>1</v>
      </c>
      <c r="K1558" s="169" t="s">
        <v>1</v>
      </c>
      <c r="L1558" s="169">
        <v>30</v>
      </c>
      <c r="M1558" s="168"/>
      <c r="N1558" s="168"/>
      <c r="O1558" s="168"/>
      <c r="P1558" s="168"/>
      <c r="Q1558" s="168" t="s">
        <v>0</v>
      </c>
      <c r="R1558" s="168" t="s">
        <v>1</v>
      </c>
      <c r="S1558" s="178" t="str">
        <f t="shared" si="74"/>
        <v>D_MAP_SAS_PRODUCT2IAEND_DT</v>
      </c>
    </row>
    <row r="1559" spans="1:19" ht="14.4" x14ac:dyDescent="0.3">
      <c r="A1559" s="169" t="s">
        <v>1374</v>
      </c>
      <c r="B1559" s="171" t="str">
        <f t="shared" si="72"/>
        <v>Правила мэппинга строк из выгрузки из SAS поведенческий скоринг в сущность ISSUE_ACCOUNT</v>
      </c>
      <c r="C1559" s="169" t="s">
        <v>434</v>
      </c>
      <c r="D1559" s="169">
        <v>1803</v>
      </c>
      <c r="E1559" s="169">
        <v>2</v>
      </c>
      <c r="F1559" s="169" t="s">
        <v>434</v>
      </c>
      <c r="G1559" s="169" t="s">
        <v>434</v>
      </c>
      <c r="H1559" s="169">
        <v>27</v>
      </c>
      <c r="I1559" s="136" t="str">
        <f t="shared" si="73"/>
        <v>INTEGER</v>
      </c>
      <c r="J1559" s="169" t="s">
        <v>0</v>
      </c>
      <c r="K1559" s="169" t="s">
        <v>1</v>
      </c>
      <c r="L1559" s="169">
        <v>30</v>
      </c>
      <c r="M1559" s="168"/>
      <c r="N1559" s="168"/>
      <c r="O1559" s="168"/>
      <c r="P1559" s="168"/>
      <c r="Q1559" s="168" t="s">
        <v>0</v>
      </c>
      <c r="R1559" s="168" t="s">
        <v>1</v>
      </c>
      <c r="S1559" s="178" t="str">
        <f t="shared" si="74"/>
        <v>D_MAP_SAS_PRODUCT2IAPRIORITY</v>
      </c>
    </row>
    <row r="1560" spans="1:19" ht="14.4" x14ac:dyDescent="0.3">
      <c r="A1560" s="169" t="s">
        <v>1374</v>
      </c>
      <c r="B1560" s="171" t="str">
        <f t="shared" si="72"/>
        <v>Правила мэппинга строк из выгрузки из SAS поведенческий скоринг в сущность ISSUE_ACCOUNT</v>
      </c>
      <c r="C1560" s="169" t="s">
        <v>511</v>
      </c>
      <c r="D1560" s="169">
        <v>1804</v>
      </c>
      <c r="E1560" s="169">
        <v>3</v>
      </c>
      <c r="F1560" s="169" t="s">
        <v>511</v>
      </c>
      <c r="G1560" s="169" t="s">
        <v>511</v>
      </c>
      <c r="H1560" s="169">
        <v>7</v>
      </c>
      <c r="I1560" s="136" t="str">
        <f t="shared" si="73"/>
        <v>BIGINT</v>
      </c>
      <c r="J1560" s="169" t="s">
        <v>0</v>
      </c>
      <c r="K1560" s="169" t="s">
        <v>1</v>
      </c>
      <c r="L1560" s="169">
        <v>30</v>
      </c>
      <c r="M1560" s="168"/>
      <c r="N1560" s="168"/>
      <c r="O1560" s="168"/>
      <c r="P1560" s="168"/>
      <c r="Q1560" s="168" t="s">
        <v>0</v>
      </c>
      <c r="R1560" s="168" t="s">
        <v>1</v>
      </c>
      <c r="S1560" s="178" t="str">
        <f t="shared" si="74"/>
        <v>D_MAP_SAS_PRODUCT2IAREGLTRY_PRODUCT_TYPE_ID</v>
      </c>
    </row>
    <row r="1561" spans="1:19" ht="14.4" x14ac:dyDescent="0.3">
      <c r="A1561" s="169" t="s">
        <v>1374</v>
      </c>
      <c r="B1561" s="171" t="str">
        <f t="shared" si="72"/>
        <v>Правила мэппинга строк из выгрузки из SAS поведенческий скоринг в сущность ISSUE_ACCOUNT</v>
      </c>
      <c r="C1561" s="169" t="s">
        <v>444</v>
      </c>
      <c r="D1561" s="169">
        <v>1805</v>
      </c>
      <c r="E1561" s="169">
        <v>4</v>
      </c>
      <c r="F1561" s="169" t="s">
        <v>444</v>
      </c>
      <c r="G1561" s="169" t="s">
        <v>444</v>
      </c>
      <c r="H1561" s="169">
        <v>7</v>
      </c>
      <c r="I1561" s="136" t="str">
        <f t="shared" si="73"/>
        <v>BIGINT</v>
      </c>
      <c r="J1561" s="169" t="s">
        <v>0</v>
      </c>
      <c r="K1561" s="169" t="s">
        <v>1</v>
      </c>
      <c r="L1561" s="169">
        <v>30</v>
      </c>
      <c r="M1561" s="168"/>
      <c r="N1561" s="168"/>
      <c r="O1561" s="168"/>
      <c r="P1561" s="168"/>
      <c r="Q1561" s="168" t="s">
        <v>0</v>
      </c>
      <c r="R1561" s="168" t="s">
        <v>1</v>
      </c>
      <c r="S1561" s="178" t="str">
        <f t="shared" si="74"/>
        <v>D_MAP_SAS_PRODUCT2IAREP_CLASS_ID</v>
      </c>
    </row>
    <row r="1562" spans="1:19" ht="14.4" x14ac:dyDescent="0.3">
      <c r="A1562" s="169" t="s">
        <v>1374</v>
      </c>
      <c r="B1562" s="171" t="str">
        <f t="shared" si="72"/>
        <v>Правила мэппинга строк из выгрузки из SAS поведенческий скоринг в сущность ISSUE_ACCOUNT</v>
      </c>
      <c r="C1562" s="169" t="s">
        <v>1405</v>
      </c>
      <c r="D1562" s="169">
        <v>1806</v>
      </c>
      <c r="E1562" s="169">
        <v>5</v>
      </c>
      <c r="F1562" s="169" t="s">
        <v>1405</v>
      </c>
      <c r="G1562" s="169" t="s">
        <v>1405</v>
      </c>
      <c r="H1562" s="169">
        <v>7</v>
      </c>
      <c r="I1562" s="136" t="str">
        <f t="shared" si="73"/>
        <v>BIGINT</v>
      </c>
      <c r="J1562" s="169" t="s">
        <v>1</v>
      </c>
      <c r="K1562" s="169" t="s">
        <v>1</v>
      </c>
      <c r="L1562" s="169">
        <v>30</v>
      </c>
      <c r="M1562" s="168"/>
      <c r="N1562" s="168"/>
      <c r="O1562" s="168"/>
      <c r="P1562" s="168"/>
      <c r="Q1562" s="168" t="s">
        <v>0</v>
      </c>
      <c r="R1562" s="168" t="s">
        <v>1</v>
      </c>
      <c r="S1562" s="178" t="str">
        <f t="shared" si="74"/>
        <v>D_MAP_SAS_PRODUCT2IARULE_ID</v>
      </c>
    </row>
    <row r="1563" spans="1:19" ht="14.4" x14ac:dyDescent="0.3">
      <c r="A1563" s="169" t="s">
        <v>1374</v>
      </c>
      <c r="B1563" s="171" t="str">
        <f t="shared" si="72"/>
        <v>Правила мэппинга строк из выгрузки из SAS поведенческий скоринг в сущность ISSUE_ACCOUNT</v>
      </c>
      <c r="C1563" s="169" t="s">
        <v>1806</v>
      </c>
      <c r="D1563" s="169">
        <v>1807</v>
      </c>
      <c r="E1563" s="169">
        <v>6</v>
      </c>
      <c r="F1563" s="169" t="s">
        <v>1806</v>
      </c>
      <c r="G1563" s="169" t="s">
        <v>1806</v>
      </c>
      <c r="H1563" s="169">
        <v>24</v>
      </c>
      <c r="I1563" s="136" t="str">
        <f t="shared" si="73"/>
        <v xml:space="preserve">VARCHAR(40) </v>
      </c>
      <c r="J1563" s="169" t="s">
        <v>0</v>
      </c>
      <c r="K1563" s="169" t="s">
        <v>0</v>
      </c>
      <c r="L1563" s="169">
        <v>30</v>
      </c>
      <c r="M1563" s="168"/>
      <c r="N1563" s="168"/>
      <c r="O1563" s="168"/>
      <c r="P1563" s="168"/>
      <c r="Q1563" s="168" t="s">
        <v>0</v>
      </c>
      <c r="R1563" s="168" t="s">
        <v>1</v>
      </c>
      <c r="S1563" s="178" t="str">
        <f t="shared" si="74"/>
        <v>D_MAP_SAS_PRODUCT2IASOURCE_Product</v>
      </c>
    </row>
    <row r="1564" spans="1:19" ht="14.4" x14ac:dyDescent="0.3">
      <c r="A1564" s="169" t="s">
        <v>1374</v>
      </c>
      <c r="B1564" s="171" t="str">
        <f t="shared" si="72"/>
        <v>Правила мэппинга строк из выгрузки из SAS поведенческий скоринг в сущность ISSUE_ACCOUNT</v>
      </c>
      <c r="C1564" s="169" t="s">
        <v>51</v>
      </c>
      <c r="D1564" s="169">
        <v>1808</v>
      </c>
      <c r="E1564" s="169">
        <v>7</v>
      </c>
      <c r="F1564" s="169" t="s">
        <v>51</v>
      </c>
      <c r="G1564" s="169" t="s">
        <v>51</v>
      </c>
      <c r="H1564" s="169">
        <v>34</v>
      </c>
      <c r="I1564" s="136" t="str">
        <f t="shared" si="73"/>
        <v>DATE</v>
      </c>
      <c r="J1564" s="169" t="s">
        <v>1</v>
      </c>
      <c r="K1564" s="169" t="s">
        <v>1</v>
      </c>
      <c r="L1564" s="169">
        <v>30</v>
      </c>
      <c r="M1564" s="168"/>
      <c r="N1564" s="168"/>
      <c r="O1564" s="168"/>
      <c r="P1564" s="168"/>
      <c r="Q1564" s="168" t="s">
        <v>0</v>
      </c>
      <c r="R1564" s="168" t="s">
        <v>1</v>
      </c>
      <c r="S1564" s="178" t="str">
        <f t="shared" si="74"/>
        <v>D_MAP_SAS_PRODUCT2IASTART_DT</v>
      </c>
    </row>
    <row r="1565" spans="1:19" ht="14.4" x14ac:dyDescent="0.3">
      <c r="A1565" s="169" t="s">
        <v>1337</v>
      </c>
      <c r="B1565" s="171" t="str">
        <f t="shared" si="72"/>
        <v>D_MAP_SETTINGS</v>
      </c>
      <c r="C1565" s="169" t="s">
        <v>52</v>
      </c>
      <c r="D1565" s="169">
        <v>1809</v>
      </c>
      <c r="E1565" s="169">
        <v>1</v>
      </c>
      <c r="F1565" s="169" t="s">
        <v>52</v>
      </c>
      <c r="G1565" s="169" t="s">
        <v>52</v>
      </c>
      <c r="H1565" s="169">
        <v>34</v>
      </c>
      <c r="I1565" s="136" t="str">
        <f t="shared" si="73"/>
        <v>DATE</v>
      </c>
      <c r="J1565" s="169" t="s">
        <v>1</v>
      </c>
      <c r="K1565" s="169" t="s">
        <v>1</v>
      </c>
      <c r="L1565" s="169">
        <v>30</v>
      </c>
      <c r="M1565" s="168"/>
      <c r="N1565" s="168"/>
      <c r="O1565" s="168"/>
      <c r="P1565" s="168"/>
      <c r="Q1565" s="168" t="s">
        <v>0</v>
      </c>
      <c r="R1565" s="168" t="s">
        <v>1</v>
      </c>
      <c r="S1565" s="178" t="str">
        <f t="shared" si="74"/>
        <v>D_MAP_SETTINGSEND_DT</v>
      </c>
    </row>
    <row r="1566" spans="1:19" ht="14.4" x14ac:dyDescent="0.3">
      <c r="A1566" s="169" t="s">
        <v>1337</v>
      </c>
      <c r="B1566" s="171" t="str">
        <f t="shared" si="72"/>
        <v>D_MAP_SETTINGS</v>
      </c>
      <c r="C1566" s="169" t="s">
        <v>923</v>
      </c>
      <c r="D1566" s="169">
        <v>1810</v>
      </c>
      <c r="E1566" s="169">
        <v>2</v>
      </c>
      <c r="F1566" s="169" t="s">
        <v>923</v>
      </c>
      <c r="G1566" s="169" t="s">
        <v>923</v>
      </c>
      <c r="H1566" s="169">
        <v>13</v>
      </c>
      <c r="I1566" s="136" t="str">
        <f t="shared" si="73"/>
        <v xml:space="preserve">VARCHAR(300) </v>
      </c>
      <c r="J1566" s="169" t="s">
        <v>1</v>
      </c>
      <c r="K1566" s="169" t="s">
        <v>1</v>
      </c>
      <c r="L1566" s="169">
        <v>30</v>
      </c>
      <c r="M1566" s="168"/>
      <c r="N1566" s="168"/>
      <c r="O1566" s="168"/>
      <c r="P1566" s="168"/>
      <c r="Q1566" s="168" t="s">
        <v>0</v>
      </c>
      <c r="R1566" s="168" t="s">
        <v>1</v>
      </c>
      <c r="S1566" s="178" t="str">
        <f t="shared" si="74"/>
        <v>D_MAP_SETTINGSPARAMETER_VALUE</v>
      </c>
    </row>
    <row r="1567" spans="1:19" ht="14.4" x14ac:dyDescent="0.3">
      <c r="A1567" s="169" t="s">
        <v>1337</v>
      </c>
      <c r="B1567" s="171" t="str">
        <f t="shared" si="72"/>
        <v>D_MAP_SETTINGS</v>
      </c>
      <c r="C1567" s="169" t="s">
        <v>1405</v>
      </c>
      <c r="D1567" s="169">
        <v>1811</v>
      </c>
      <c r="E1567" s="169">
        <v>3</v>
      </c>
      <c r="F1567" s="169" t="s">
        <v>1405</v>
      </c>
      <c r="G1567" s="169" t="s">
        <v>1405</v>
      </c>
      <c r="H1567" s="169">
        <v>7</v>
      </c>
      <c r="I1567" s="136" t="str">
        <f t="shared" si="73"/>
        <v>BIGINT</v>
      </c>
      <c r="J1567" s="169" t="s">
        <v>1</v>
      </c>
      <c r="K1567" s="169" t="s">
        <v>1</v>
      </c>
      <c r="L1567" s="169">
        <v>30</v>
      </c>
      <c r="M1567" s="168"/>
      <c r="N1567" s="168"/>
      <c r="O1567" s="168"/>
      <c r="P1567" s="168"/>
      <c r="Q1567" s="168" t="s">
        <v>0</v>
      </c>
      <c r="R1567" s="168" t="s">
        <v>1</v>
      </c>
      <c r="S1567" s="178" t="str">
        <f t="shared" si="74"/>
        <v>D_MAP_SETTINGSRULE_ID</v>
      </c>
    </row>
    <row r="1568" spans="1:19" ht="14.4" x14ac:dyDescent="0.3">
      <c r="A1568" s="169" t="s">
        <v>1337</v>
      </c>
      <c r="B1568" s="171" t="str">
        <f t="shared" si="72"/>
        <v>D_MAP_SETTINGS</v>
      </c>
      <c r="C1568" s="169" t="s">
        <v>922</v>
      </c>
      <c r="D1568" s="169">
        <v>1812</v>
      </c>
      <c r="E1568" s="169">
        <v>4</v>
      </c>
      <c r="F1568" s="169" t="s">
        <v>922</v>
      </c>
      <c r="G1568" s="169" t="s">
        <v>922</v>
      </c>
      <c r="H1568" s="169">
        <v>13</v>
      </c>
      <c r="I1568" s="136" t="str">
        <f t="shared" si="73"/>
        <v xml:space="preserve">VARCHAR(300) </v>
      </c>
      <c r="J1568" s="169" t="s">
        <v>0</v>
      </c>
      <c r="K1568" s="169" t="s">
        <v>1</v>
      </c>
      <c r="L1568" s="169">
        <v>30</v>
      </c>
      <c r="M1568" s="168"/>
      <c r="N1568" s="168"/>
      <c r="O1568" s="168"/>
      <c r="P1568" s="168"/>
      <c r="Q1568" s="168" t="s">
        <v>0</v>
      </c>
      <c r="R1568" s="168" t="s">
        <v>1</v>
      </c>
      <c r="S1568" s="178" t="str">
        <f t="shared" si="74"/>
        <v>D_MAP_SETTINGSSETTING_DSC</v>
      </c>
    </row>
    <row r="1569" spans="1:19" ht="14.4" x14ac:dyDescent="0.3">
      <c r="A1569" s="169" t="s">
        <v>1337</v>
      </c>
      <c r="B1569" s="171" t="str">
        <f t="shared" si="72"/>
        <v>D_MAP_SETTINGS</v>
      </c>
      <c r="C1569" s="169" t="s">
        <v>921</v>
      </c>
      <c r="D1569" s="169">
        <v>1813</v>
      </c>
      <c r="E1569" s="169">
        <v>5</v>
      </c>
      <c r="F1569" s="169" t="s">
        <v>921</v>
      </c>
      <c r="G1569" s="169" t="s">
        <v>921</v>
      </c>
      <c r="H1569" s="169">
        <v>13</v>
      </c>
      <c r="I1569" s="136" t="str">
        <f t="shared" si="73"/>
        <v xml:space="preserve">VARCHAR(300) </v>
      </c>
      <c r="J1569" s="169" t="s">
        <v>1</v>
      </c>
      <c r="K1569" s="169" t="s">
        <v>0</v>
      </c>
      <c r="L1569" s="169">
        <v>30</v>
      </c>
      <c r="M1569" s="168"/>
      <c r="N1569" s="168"/>
      <c r="O1569" s="168"/>
      <c r="P1569" s="168"/>
      <c r="Q1569" s="168" t="s">
        <v>0</v>
      </c>
      <c r="R1569" s="168" t="s">
        <v>1</v>
      </c>
      <c r="S1569" s="178" t="str">
        <f t="shared" si="74"/>
        <v>D_MAP_SETTINGSSETTING_NM</v>
      </c>
    </row>
    <row r="1570" spans="1:19" ht="14.4" x14ac:dyDescent="0.3">
      <c r="A1570" s="169" t="s">
        <v>1337</v>
      </c>
      <c r="B1570" s="171" t="str">
        <f t="shared" si="72"/>
        <v>D_MAP_SETTINGS</v>
      </c>
      <c r="C1570" s="169" t="s">
        <v>51</v>
      </c>
      <c r="D1570" s="169">
        <v>1814</v>
      </c>
      <c r="E1570" s="169">
        <v>6</v>
      </c>
      <c r="F1570" s="169" t="s">
        <v>51</v>
      </c>
      <c r="G1570" s="169" t="s">
        <v>51</v>
      </c>
      <c r="H1570" s="169">
        <v>34</v>
      </c>
      <c r="I1570" s="136" t="str">
        <f t="shared" si="73"/>
        <v>DATE</v>
      </c>
      <c r="J1570" s="169" t="s">
        <v>1</v>
      </c>
      <c r="K1570" s="169" t="s">
        <v>1</v>
      </c>
      <c r="L1570" s="169">
        <v>30</v>
      </c>
      <c r="M1570" s="168"/>
      <c r="N1570" s="168"/>
      <c r="O1570" s="168"/>
      <c r="P1570" s="168"/>
      <c r="Q1570" s="168" t="s">
        <v>0</v>
      </c>
      <c r="R1570" s="168" t="s">
        <v>1</v>
      </c>
      <c r="S1570" s="178" t="str">
        <f t="shared" si="74"/>
        <v>D_MAP_SETTINGSSTART_DT</v>
      </c>
    </row>
    <row r="1571" spans="1:19" ht="14.4" x14ac:dyDescent="0.3">
      <c r="A1571" s="169" t="s">
        <v>1321</v>
      </c>
      <c r="B1571" s="171" t="str">
        <f t="shared" si="72"/>
        <v>D_MAP_SOVER_BLACK_LIST</v>
      </c>
      <c r="C1571" s="169" t="s">
        <v>52</v>
      </c>
      <c r="D1571" s="169">
        <v>1815</v>
      </c>
      <c r="E1571" s="169">
        <v>1</v>
      </c>
      <c r="F1571" s="169" t="s">
        <v>52</v>
      </c>
      <c r="G1571" s="169" t="s">
        <v>52</v>
      </c>
      <c r="H1571" s="169">
        <v>34</v>
      </c>
      <c r="I1571" s="136" t="str">
        <f t="shared" si="73"/>
        <v>DATE</v>
      </c>
      <c r="J1571" s="169" t="s">
        <v>1</v>
      </c>
      <c r="K1571" s="169" t="s">
        <v>1</v>
      </c>
      <c r="L1571" s="169">
        <v>30</v>
      </c>
      <c r="M1571" s="168"/>
      <c r="N1571" s="168"/>
      <c r="O1571" s="168"/>
      <c r="P1571" s="168"/>
      <c r="Q1571" s="168" t="s">
        <v>0</v>
      </c>
      <c r="R1571" s="168" t="s">
        <v>1</v>
      </c>
      <c r="S1571" s="178" t="str">
        <f t="shared" si="74"/>
        <v>D_MAP_SOVER_BLACK_LISTEND_DT</v>
      </c>
    </row>
    <row r="1572" spans="1:19" ht="14.4" x14ac:dyDescent="0.3">
      <c r="A1572" s="169" t="s">
        <v>1321</v>
      </c>
      <c r="B1572" s="171" t="str">
        <f t="shared" si="72"/>
        <v>D_MAP_SOVER_BLACK_LIST</v>
      </c>
      <c r="C1572" s="169" t="s">
        <v>1386</v>
      </c>
      <c r="D1572" s="169">
        <v>1816</v>
      </c>
      <c r="E1572" s="169">
        <v>2</v>
      </c>
      <c r="F1572" s="169" t="s">
        <v>1386</v>
      </c>
      <c r="G1572" s="169" t="s">
        <v>1386</v>
      </c>
      <c r="H1572" s="169">
        <v>7</v>
      </c>
      <c r="I1572" s="136" t="str">
        <f t="shared" si="73"/>
        <v>BIGINT</v>
      </c>
      <c r="J1572" s="169" t="s">
        <v>0</v>
      </c>
      <c r="K1572" s="169" t="s">
        <v>1</v>
      </c>
      <c r="L1572" s="169">
        <v>30</v>
      </c>
      <c r="M1572" s="168"/>
      <c r="N1572" s="168"/>
      <c r="O1572" s="168"/>
      <c r="P1572" s="168"/>
      <c r="Q1572" s="168" t="s">
        <v>0</v>
      </c>
      <c r="R1572" s="168" t="s">
        <v>1</v>
      </c>
      <c r="S1572" s="178" t="str">
        <f t="shared" si="74"/>
        <v>D_MAP_SOVER_BLACK_LISTERM_CP_SEGMENT_ID</v>
      </c>
    </row>
    <row r="1573" spans="1:19" ht="14.4" x14ac:dyDescent="0.3">
      <c r="A1573" s="169" t="s">
        <v>1321</v>
      </c>
      <c r="B1573" s="171" t="str">
        <f t="shared" si="72"/>
        <v>D_MAP_SOVER_BLACK_LIST</v>
      </c>
      <c r="C1573" s="169" t="s">
        <v>434</v>
      </c>
      <c r="D1573" s="169">
        <v>1817</v>
      </c>
      <c r="E1573" s="169">
        <v>3</v>
      </c>
      <c r="F1573" s="169" t="s">
        <v>434</v>
      </c>
      <c r="G1573" s="169" t="s">
        <v>434</v>
      </c>
      <c r="H1573" s="169">
        <v>27</v>
      </c>
      <c r="I1573" s="136" t="str">
        <f t="shared" si="73"/>
        <v>INTEGER</v>
      </c>
      <c r="J1573" s="169" t="s">
        <v>0</v>
      </c>
      <c r="K1573" s="169" t="s">
        <v>1</v>
      </c>
      <c r="L1573" s="169">
        <v>30</v>
      </c>
      <c r="M1573" s="168"/>
      <c r="N1573" s="168"/>
      <c r="O1573" s="168"/>
      <c r="P1573" s="168"/>
      <c r="Q1573" s="168" t="s">
        <v>0</v>
      </c>
      <c r="R1573" s="168" t="s">
        <v>1</v>
      </c>
      <c r="S1573" s="178" t="str">
        <f t="shared" si="74"/>
        <v>D_MAP_SOVER_BLACK_LISTPRIORITY</v>
      </c>
    </row>
    <row r="1574" spans="1:19" ht="14.4" x14ac:dyDescent="0.3">
      <c r="A1574" s="169" t="s">
        <v>1321</v>
      </c>
      <c r="B1574" s="171" t="str">
        <f t="shared" si="72"/>
        <v>D_MAP_SOVER_BLACK_LIST</v>
      </c>
      <c r="C1574" s="169" t="s">
        <v>1405</v>
      </c>
      <c r="D1574" s="169">
        <v>1818</v>
      </c>
      <c r="E1574" s="169">
        <v>4</v>
      </c>
      <c r="F1574" s="169" t="s">
        <v>1405</v>
      </c>
      <c r="G1574" s="169" t="s">
        <v>1405</v>
      </c>
      <c r="H1574" s="169">
        <v>7</v>
      </c>
      <c r="I1574" s="136" t="str">
        <f t="shared" si="73"/>
        <v>BIGINT</v>
      </c>
      <c r="J1574" s="169" t="s">
        <v>1</v>
      </c>
      <c r="K1574" s="169" t="s">
        <v>1</v>
      </c>
      <c r="L1574" s="169">
        <v>30</v>
      </c>
      <c r="M1574" s="168"/>
      <c r="N1574" s="168"/>
      <c r="O1574" s="168"/>
      <c r="P1574" s="168"/>
      <c r="Q1574" s="168" t="s">
        <v>0</v>
      </c>
      <c r="R1574" s="168" t="s">
        <v>1</v>
      </c>
      <c r="S1574" s="178" t="str">
        <f t="shared" si="74"/>
        <v>D_MAP_SOVER_BLACK_LISTRULE_ID</v>
      </c>
    </row>
    <row r="1575" spans="1:19" ht="14.4" x14ac:dyDescent="0.3">
      <c r="A1575" s="169" t="s">
        <v>1321</v>
      </c>
      <c r="B1575" s="171" t="str">
        <f t="shared" si="72"/>
        <v>D_MAP_SOVER_BLACK_LIST</v>
      </c>
      <c r="C1575" s="169" t="s">
        <v>1483</v>
      </c>
      <c r="D1575" s="169">
        <v>1819</v>
      </c>
      <c r="E1575" s="169">
        <v>5</v>
      </c>
      <c r="F1575" s="169" t="s">
        <v>1483</v>
      </c>
      <c r="G1575" s="169" t="s">
        <v>1483</v>
      </c>
      <c r="H1575" s="169">
        <v>13</v>
      </c>
      <c r="I1575" s="136" t="str">
        <f t="shared" si="73"/>
        <v xml:space="preserve">VARCHAR(300) </v>
      </c>
      <c r="J1575" s="169" t="s">
        <v>0</v>
      </c>
      <c r="K1575" s="169" t="s">
        <v>0</v>
      </c>
      <c r="L1575" s="169">
        <v>30</v>
      </c>
      <c r="M1575" s="168"/>
      <c r="N1575" s="168"/>
      <c r="O1575" s="168"/>
      <c r="P1575" s="168"/>
      <c r="Q1575" s="168" t="s">
        <v>0</v>
      </c>
      <c r="R1575" s="168" t="s">
        <v>1</v>
      </c>
      <c r="S1575" s="178" t="str">
        <f t="shared" si="74"/>
        <v>D_MAP_SOVER_BLACK_LISTSOURCE_CP_NM</v>
      </c>
    </row>
    <row r="1576" spans="1:19" ht="14.4" x14ac:dyDescent="0.3">
      <c r="A1576" s="169" t="s">
        <v>1321</v>
      </c>
      <c r="B1576" s="171" t="str">
        <f t="shared" si="72"/>
        <v>D_MAP_SOVER_BLACK_LIST</v>
      </c>
      <c r="C1576" s="169" t="s">
        <v>1807</v>
      </c>
      <c r="D1576" s="169">
        <v>1820</v>
      </c>
      <c r="E1576" s="169">
        <v>6</v>
      </c>
      <c r="F1576" s="169" t="s">
        <v>1807</v>
      </c>
      <c r="G1576" s="169" t="s">
        <v>1807</v>
      </c>
      <c r="H1576" s="169">
        <v>13</v>
      </c>
      <c r="I1576" s="136" t="str">
        <f t="shared" si="73"/>
        <v xml:space="preserve">VARCHAR(300) </v>
      </c>
      <c r="J1576" s="169" t="s">
        <v>0</v>
      </c>
      <c r="K1576" s="169" t="s">
        <v>0</v>
      </c>
      <c r="L1576" s="169">
        <v>30</v>
      </c>
      <c r="M1576" s="168"/>
      <c r="N1576" s="168"/>
      <c r="O1576" s="168"/>
      <c r="P1576" s="168"/>
      <c r="Q1576" s="168" t="s">
        <v>0</v>
      </c>
      <c r="R1576" s="168" t="s">
        <v>1</v>
      </c>
      <c r="S1576" s="178" t="str">
        <f t="shared" si="74"/>
        <v>D_MAP_SOVER_BLACK_LISTSOURCE_CP_NM_white</v>
      </c>
    </row>
    <row r="1577" spans="1:19" ht="14.4" x14ac:dyDescent="0.3">
      <c r="A1577" s="169" t="s">
        <v>1321</v>
      </c>
      <c r="B1577" s="171" t="str">
        <f t="shared" si="72"/>
        <v>D_MAP_SOVER_BLACK_LIST</v>
      </c>
      <c r="C1577" s="169" t="s">
        <v>51</v>
      </c>
      <c r="D1577" s="169">
        <v>1821</v>
      </c>
      <c r="E1577" s="169">
        <v>7</v>
      </c>
      <c r="F1577" s="169" t="s">
        <v>51</v>
      </c>
      <c r="G1577" s="169" t="s">
        <v>51</v>
      </c>
      <c r="H1577" s="169">
        <v>34</v>
      </c>
      <c r="I1577" s="136" t="str">
        <f t="shared" si="73"/>
        <v>DATE</v>
      </c>
      <c r="J1577" s="169" t="s">
        <v>1</v>
      </c>
      <c r="K1577" s="169" t="s">
        <v>1</v>
      </c>
      <c r="L1577" s="169">
        <v>30</v>
      </c>
      <c r="M1577" s="168"/>
      <c r="N1577" s="168"/>
      <c r="O1577" s="168"/>
      <c r="P1577" s="168"/>
      <c r="Q1577" s="168" t="s">
        <v>0</v>
      </c>
      <c r="R1577" s="168" t="s">
        <v>1</v>
      </c>
      <c r="S1577" s="178" t="str">
        <f t="shared" si="74"/>
        <v>D_MAP_SOVER_BLACK_LISTSTART_DT</v>
      </c>
    </row>
    <row r="1578" spans="1:19" ht="14.4" x14ac:dyDescent="0.3">
      <c r="A1578" s="169" t="s">
        <v>1313</v>
      </c>
      <c r="B1578" s="171" t="str">
        <f t="shared" si="72"/>
        <v>D_MAP_SOVER_WHITE_LIST</v>
      </c>
      <c r="C1578" s="169" t="s">
        <v>52</v>
      </c>
      <c r="D1578" s="169">
        <v>1822</v>
      </c>
      <c r="E1578" s="169">
        <v>1</v>
      </c>
      <c r="F1578" s="169" t="s">
        <v>52</v>
      </c>
      <c r="G1578" s="169" t="s">
        <v>52</v>
      </c>
      <c r="H1578" s="169">
        <v>34</v>
      </c>
      <c r="I1578" s="136" t="str">
        <f t="shared" si="73"/>
        <v>DATE</v>
      </c>
      <c r="J1578" s="169" t="s">
        <v>1</v>
      </c>
      <c r="K1578" s="169" t="s">
        <v>1</v>
      </c>
      <c r="L1578" s="169">
        <v>30</v>
      </c>
      <c r="M1578" s="168"/>
      <c r="N1578" s="168"/>
      <c r="O1578" s="168"/>
      <c r="P1578" s="168"/>
      <c r="Q1578" s="168" t="s">
        <v>0</v>
      </c>
      <c r="R1578" s="168" t="s">
        <v>1</v>
      </c>
      <c r="S1578" s="178" t="str">
        <f t="shared" si="74"/>
        <v>D_MAP_SOVER_WHITE_LISTEND_DT</v>
      </c>
    </row>
    <row r="1579" spans="1:19" ht="14.4" x14ac:dyDescent="0.3">
      <c r="A1579" s="169" t="s">
        <v>1313</v>
      </c>
      <c r="B1579" s="171" t="str">
        <f t="shared" si="72"/>
        <v>D_MAP_SOVER_WHITE_LIST</v>
      </c>
      <c r="C1579" s="169" t="s">
        <v>1386</v>
      </c>
      <c r="D1579" s="169">
        <v>1823</v>
      </c>
      <c r="E1579" s="169">
        <v>2</v>
      </c>
      <c r="F1579" s="169" t="s">
        <v>1386</v>
      </c>
      <c r="G1579" s="169" t="s">
        <v>1386</v>
      </c>
      <c r="H1579" s="169">
        <v>7</v>
      </c>
      <c r="I1579" s="136" t="str">
        <f t="shared" si="73"/>
        <v>BIGINT</v>
      </c>
      <c r="J1579" s="169" t="s">
        <v>0</v>
      </c>
      <c r="K1579" s="169" t="s">
        <v>1</v>
      </c>
      <c r="L1579" s="169">
        <v>30</v>
      </c>
      <c r="M1579" s="168"/>
      <c r="N1579" s="168"/>
      <c r="O1579" s="168"/>
      <c r="P1579" s="168"/>
      <c r="Q1579" s="168" t="s">
        <v>0</v>
      </c>
      <c r="R1579" s="168" t="s">
        <v>1</v>
      </c>
      <c r="S1579" s="178" t="str">
        <f t="shared" si="74"/>
        <v>D_MAP_SOVER_WHITE_LISTERM_CP_SEGMENT_ID</v>
      </c>
    </row>
    <row r="1580" spans="1:19" ht="14.4" x14ac:dyDescent="0.3">
      <c r="A1580" s="169" t="s">
        <v>1313</v>
      </c>
      <c r="B1580" s="171" t="str">
        <f t="shared" si="72"/>
        <v>D_MAP_SOVER_WHITE_LIST</v>
      </c>
      <c r="C1580" s="169" t="s">
        <v>434</v>
      </c>
      <c r="D1580" s="169">
        <v>1824</v>
      </c>
      <c r="E1580" s="169">
        <v>3</v>
      </c>
      <c r="F1580" s="169" t="s">
        <v>434</v>
      </c>
      <c r="G1580" s="169" t="s">
        <v>434</v>
      </c>
      <c r="H1580" s="169">
        <v>27</v>
      </c>
      <c r="I1580" s="136" t="str">
        <f t="shared" si="73"/>
        <v>INTEGER</v>
      </c>
      <c r="J1580" s="169" t="s">
        <v>0</v>
      </c>
      <c r="K1580" s="169" t="s">
        <v>1</v>
      </c>
      <c r="L1580" s="169">
        <v>30</v>
      </c>
      <c r="M1580" s="168"/>
      <c r="N1580" s="168"/>
      <c r="O1580" s="168"/>
      <c r="P1580" s="168"/>
      <c r="Q1580" s="168" t="s">
        <v>0</v>
      </c>
      <c r="R1580" s="168" t="s">
        <v>1</v>
      </c>
      <c r="S1580" s="178" t="str">
        <f t="shared" si="74"/>
        <v>D_MAP_SOVER_WHITE_LISTPRIORITY</v>
      </c>
    </row>
    <row r="1581" spans="1:19" ht="14.4" x14ac:dyDescent="0.3">
      <c r="A1581" s="169" t="s">
        <v>1313</v>
      </c>
      <c r="B1581" s="171" t="str">
        <f t="shared" si="72"/>
        <v>D_MAP_SOVER_WHITE_LIST</v>
      </c>
      <c r="C1581" s="169" t="s">
        <v>1405</v>
      </c>
      <c r="D1581" s="169">
        <v>1825</v>
      </c>
      <c r="E1581" s="169">
        <v>4</v>
      </c>
      <c r="F1581" s="169" t="s">
        <v>1405</v>
      </c>
      <c r="G1581" s="169" t="s">
        <v>1405</v>
      </c>
      <c r="H1581" s="169">
        <v>7</v>
      </c>
      <c r="I1581" s="136" t="str">
        <f t="shared" si="73"/>
        <v>BIGINT</v>
      </c>
      <c r="J1581" s="169" t="s">
        <v>1</v>
      </c>
      <c r="K1581" s="169" t="s">
        <v>1</v>
      </c>
      <c r="L1581" s="169">
        <v>30</v>
      </c>
      <c r="M1581" s="168"/>
      <c r="N1581" s="168"/>
      <c r="O1581" s="168"/>
      <c r="P1581" s="168"/>
      <c r="Q1581" s="168" t="s">
        <v>0</v>
      </c>
      <c r="R1581" s="168" t="s">
        <v>1</v>
      </c>
      <c r="S1581" s="178" t="str">
        <f t="shared" si="74"/>
        <v>D_MAP_SOVER_WHITE_LISTRULE_ID</v>
      </c>
    </row>
    <row r="1582" spans="1:19" ht="14.4" x14ac:dyDescent="0.3">
      <c r="A1582" s="169" t="s">
        <v>1313</v>
      </c>
      <c r="B1582" s="171" t="str">
        <f t="shared" si="72"/>
        <v>D_MAP_SOVER_WHITE_LIST</v>
      </c>
      <c r="C1582" s="169" t="s">
        <v>1483</v>
      </c>
      <c r="D1582" s="169">
        <v>1826</v>
      </c>
      <c r="E1582" s="169">
        <v>5</v>
      </c>
      <c r="F1582" s="169" t="s">
        <v>1483</v>
      </c>
      <c r="G1582" s="169" t="s">
        <v>1483</v>
      </c>
      <c r="H1582" s="169">
        <v>13</v>
      </c>
      <c r="I1582" s="136" t="str">
        <f t="shared" si="73"/>
        <v xml:space="preserve">VARCHAR(300) </v>
      </c>
      <c r="J1582" s="169" t="s">
        <v>0</v>
      </c>
      <c r="K1582" s="169" t="s">
        <v>0</v>
      </c>
      <c r="L1582" s="169">
        <v>30</v>
      </c>
      <c r="M1582" s="168"/>
      <c r="N1582" s="168"/>
      <c r="O1582" s="168"/>
      <c r="P1582" s="168"/>
      <c r="Q1582" s="168" t="s">
        <v>0</v>
      </c>
      <c r="R1582" s="168" t="s">
        <v>1</v>
      </c>
      <c r="S1582" s="178" t="str">
        <f t="shared" si="74"/>
        <v>D_MAP_SOVER_WHITE_LISTSOURCE_CP_NM</v>
      </c>
    </row>
    <row r="1583" spans="1:19" ht="14.4" x14ac:dyDescent="0.3">
      <c r="A1583" s="169" t="s">
        <v>1313</v>
      </c>
      <c r="B1583" s="171" t="str">
        <f t="shared" si="72"/>
        <v>D_MAP_SOVER_WHITE_LIST</v>
      </c>
      <c r="C1583" s="169" t="s">
        <v>1808</v>
      </c>
      <c r="D1583" s="169">
        <v>1827</v>
      </c>
      <c r="E1583" s="169">
        <v>6</v>
      </c>
      <c r="F1583" s="169" t="s">
        <v>1808</v>
      </c>
      <c r="G1583" s="169" t="s">
        <v>1808</v>
      </c>
      <c r="H1583" s="169">
        <v>13</v>
      </c>
      <c r="I1583" s="136" t="str">
        <f t="shared" si="73"/>
        <v xml:space="preserve">VARCHAR(300) </v>
      </c>
      <c r="J1583" s="169" t="s">
        <v>0</v>
      </c>
      <c r="K1583" s="169" t="s">
        <v>0</v>
      </c>
      <c r="L1583" s="169">
        <v>30</v>
      </c>
      <c r="M1583" s="168"/>
      <c r="N1583" s="168"/>
      <c r="O1583" s="168"/>
      <c r="P1583" s="168"/>
      <c r="Q1583" s="168" t="s">
        <v>0</v>
      </c>
      <c r="R1583" s="168" t="s">
        <v>1</v>
      </c>
      <c r="S1583" s="178" t="str">
        <f t="shared" si="74"/>
        <v>D_MAP_SOVER_WHITE_LISTSOURCE_CP_NM_black</v>
      </c>
    </row>
    <row r="1584" spans="1:19" ht="14.4" x14ac:dyDescent="0.3">
      <c r="A1584" s="169" t="s">
        <v>1313</v>
      </c>
      <c r="B1584" s="171" t="str">
        <f t="shared" si="72"/>
        <v>D_MAP_SOVER_WHITE_LIST</v>
      </c>
      <c r="C1584" s="169" t="s">
        <v>51</v>
      </c>
      <c r="D1584" s="169">
        <v>1828</v>
      </c>
      <c r="E1584" s="169">
        <v>7</v>
      </c>
      <c r="F1584" s="169" t="s">
        <v>51</v>
      </c>
      <c r="G1584" s="169" t="s">
        <v>51</v>
      </c>
      <c r="H1584" s="169">
        <v>34</v>
      </c>
      <c r="I1584" s="136" t="str">
        <f t="shared" si="73"/>
        <v>DATE</v>
      </c>
      <c r="J1584" s="169" t="s">
        <v>1</v>
      </c>
      <c r="K1584" s="169" t="s">
        <v>1</v>
      </c>
      <c r="L1584" s="169">
        <v>30</v>
      </c>
      <c r="M1584" s="168"/>
      <c r="N1584" s="168"/>
      <c r="O1584" s="168"/>
      <c r="P1584" s="168"/>
      <c r="Q1584" s="168" t="s">
        <v>0</v>
      </c>
      <c r="R1584" s="168" t="s">
        <v>1</v>
      </c>
      <c r="S1584" s="178" t="str">
        <f t="shared" si="74"/>
        <v>D_MAP_SOVER_WHITE_LISTSTART_DT</v>
      </c>
    </row>
    <row r="1585" spans="1:19" ht="14.4" x14ac:dyDescent="0.3">
      <c r="A1585" s="169" t="s">
        <v>1322</v>
      </c>
      <c r="B1585" s="171" t="str">
        <f t="shared" si="72"/>
        <v>D_MAP_SRC_SYS_PRIORITY</v>
      </c>
      <c r="C1585" s="169" t="s">
        <v>1438</v>
      </c>
      <c r="D1585" s="169">
        <v>861</v>
      </c>
      <c r="E1585" s="169">
        <v>1</v>
      </c>
      <c r="F1585" s="169" t="s">
        <v>1438</v>
      </c>
      <c r="G1585" s="169" t="s">
        <v>1438</v>
      </c>
      <c r="H1585" s="169">
        <v>24</v>
      </c>
      <c r="I1585" s="136" t="str">
        <f t="shared" si="73"/>
        <v xml:space="preserve">VARCHAR(40) </v>
      </c>
      <c r="J1585" s="169" t="s">
        <v>0</v>
      </c>
      <c r="K1585" s="169" t="s">
        <v>0</v>
      </c>
      <c r="L1585" s="169">
        <v>30</v>
      </c>
      <c r="M1585" s="168"/>
      <c r="N1585" s="168"/>
      <c r="O1585" s="168"/>
      <c r="P1585" s="168"/>
      <c r="Q1585" s="168" t="s">
        <v>0</v>
      </c>
      <c r="R1585" s="168" t="s">
        <v>1</v>
      </c>
      <c r="S1585" s="178" t="str">
        <f t="shared" si="74"/>
        <v>D_MAP_SRC_SYS_PRIORITYCOLUMN_NM</v>
      </c>
    </row>
    <row r="1586" spans="1:19" ht="14.4" x14ac:dyDescent="0.3">
      <c r="A1586" s="169" t="s">
        <v>1322</v>
      </c>
      <c r="B1586" s="171" t="str">
        <f t="shared" si="72"/>
        <v>D_MAP_SRC_SYS_PRIORITY</v>
      </c>
      <c r="C1586" s="169" t="s">
        <v>52</v>
      </c>
      <c r="D1586" s="169">
        <v>862</v>
      </c>
      <c r="E1586" s="169">
        <v>2</v>
      </c>
      <c r="F1586" s="169" t="s">
        <v>52</v>
      </c>
      <c r="G1586" s="169" t="s">
        <v>52</v>
      </c>
      <c r="H1586" s="169">
        <v>34</v>
      </c>
      <c r="I1586" s="136" t="str">
        <f t="shared" si="73"/>
        <v>DATE</v>
      </c>
      <c r="J1586" s="169" t="s">
        <v>1</v>
      </c>
      <c r="K1586" s="169" t="s">
        <v>1</v>
      </c>
      <c r="L1586" s="169">
        <v>30</v>
      </c>
      <c r="M1586" s="168"/>
      <c r="N1586" s="168"/>
      <c r="O1586" s="168"/>
      <c r="P1586" s="168"/>
      <c r="Q1586" s="168" t="s">
        <v>0</v>
      </c>
      <c r="R1586" s="168" t="s">
        <v>1</v>
      </c>
      <c r="S1586" s="178" t="str">
        <f t="shared" si="74"/>
        <v>D_MAP_SRC_SYS_PRIORITYEND_DT</v>
      </c>
    </row>
    <row r="1587" spans="1:19" ht="14.4" x14ac:dyDescent="0.3">
      <c r="A1587" s="169" t="s">
        <v>1322</v>
      </c>
      <c r="B1587" s="171" t="str">
        <f t="shared" si="72"/>
        <v>D_MAP_SRC_SYS_PRIORITY</v>
      </c>
      <c r="C1587" s="169" t="s">
        <v>434</v>
      </c>
      <c r="D1587" s="169">
        <v>863</v>
      </c>
      <c r="E1587" s="169">
        <v>3</v>
      </c>
      <c r="F1587" s="169" t="s">
        <v>434</v>
      </c>
      <c r="G1587" s="169" t="s">
        <v>434</v>
      </c>
      <c r="H1587" s="169">
        <v>27</v>
      </c>
      <c r="I1587" s="136" t="str">
        <f t="shared" si="73"/>
        <v>INTEGER</v>
      </c>
      <c r="J1587" s="169" t="s">
        <v>0</v>
      </c>
      <c r="K1587" s="169" t="s">
        <v>1</v>
      </c>
      <c r="L1587" s="169">
        <v>30</v>
      </c>
      <c r="M1587" s="168"/>
      <c r="N1587" s="168"/>
      <c r="O1587" s="168"/>
      <c r="P1587" s="168"/>
      <c r="Q1587" s="168" t="s">
        <v>0</v>
      </c>
      <c r="R1587" s="168" t="s">
        <v>1</v>
      </c>
      <c r="S1587" s="178" t="str">
        <f t="shared" si="74"/>
        <v>D_MAP_SRC_SYS_PRIORITYPRIORITY</v>
      </c>
    </row>
    <row r="1588" spans="1:19" ht="14.4" x14ac:dyDescent="0.3">
      <c r="A1588" s="169" t="s">
        <v>1322</v>
      </c>
      <c r="B1588" s="171" t="str">
        <f t="shared" si="72"/>
        <v>D_MAP_SRC_SYS_PRIORITY</v>
      </c>
      <c r="C1588" s="169" t="s">
        <v>1405</v>
      </c>
      <c r="D1588" s="169">
        <v>864</v>
      </c>
      <c r="E1588" s="169">
        <v>4</v>
      </c>
      <c r="F1588" s="169" t="s">
        <v>1405</v>
      </c>
      <c r="G1588" s="169" t="s">
        <v>1405</v>
      </c>
      <c r="H1588" s="169">
        <v>7</v>
      </c>
      <c r="I1588" s="136" t="str">
        <f t="shared" si="73"/>
        <v>BIGINT</v>
      </c>
      <c r="J1588" s="169" t="s">
        <v>1</v>
      </c>
      <c r="K1588" s="169" t="s">
        <v>1</v>
      </c>
      <c r="L1588" s="169">
        <v>30</v>
      </c>
      <c r="M1588" s="168"/>
      <c r="N1588" s="168"/>
      <c r="O1588" s="168"/>
      <c r="P1588" s="168"/>
      <c r="Q1588" s="168" t="s">
        <v>0</v>
      </c>
      <c r="R1588" s="168" t="s">
        <v>1</v>
      </c>
      <c r="S1588" s="178" t="str">
        <f t="shared" si="74"/>
        <v>D_MAP_SRC_SYS_PRIORITYRULE_ID</v>
      </c>
    </row>
    <row r="1589" spans="1:19" ht="14.4" x14ac:dyDescent="0.3">
      <c r="A1589" s="169" t="s">
        <v>1322</v>
      </c>
      <c r="B1589" s="171" t="str">
        <f t="shared" si="72"/>
        <v>D_MAP_SRC_SYS_PRIORITY</v>
      </c>
      <c r="C1589" s="169" t="s">
        <v>527</v>
      </c>
      <c r="D1589" s="169">
        <v>865</v>
      </c>
      <c r="E1589" s="169">
        <v>5</v>
      </c>
      <c r="F1589" s="169" t="s">
        <v>527</v>
      </c>
      <c r="G1589" s="169" t="s">
        <v>527</v>
      </c>
      <c r="H1589" s="169">
        <v>7</v>
      </c>
      <c r="I1589" s="136" t="str">
        <f t="shared" si="73"/>
        <v>BIGINT</v>
      </c>
      <c r="J1589" s="169" t="s">
        <v>0</v>
      </c>
      <c r="K1589" s="169" t="s">
        <v>1</v>
      </c>
      <c r="L1589" s="169">
        <v>30</v>
      </c>
      <c r="M1589" s="168"/>
      <c r="N1589" s="168"/>
      <c r="O1589" s="168"/>
      <c r="P1589" s="168"/>
      <c r="Q1589" s="168" t="s">
        <v>0</v>
      </c>
      <c r="R1589" s="168" t="s">
        <v>1</v>
      </c>
      <c r="S1589" s="178" t="str">
        <f t="shared" si="74"/>
        <v>D_MAP_SRC_SYS_PRIORITYSRC_SYS_ID</v>
      </c>
    </row>
    <row r="1590" spans="1:19" ht="14.4" x14ac:dyDescent="0.3">
      <c r="A1590" s="169" t="s">
        <v>1322</v>
      </c>
      <c r="B1590" s="171" t="str">
        <f t="shared" si="72"/>
        <v>D_MAP_SRC_SYS_PRIORITY</v>
      </c>
      <c r="C1590" s="169" t="s">
        <v>51</v>
      </c>
      <c r="D1590" s="169">
        <v>866</v>
      </c>
      <c r="E1590" s="169">
        <v>6</v>
      </c>
      <c r="F1590" s="169" t="s">
        <v>51</v>
      </c>
      <c r="G1590" s="169" t="s">
        <v>51</v>
      </c>
      <c r="H1590" s="169">
        <v>34</v>
      </c>
      <c r="I1590" s="136" t="str">
        <f t="shared" si="73"/>
        <v>DATE</v>
      </c>
      <c r="J1590" s="169" t="s">
        <v>1</v>
      </c>
      <c r="K1590" s="169" t="s">
        <v>1</v>
      </c>
      <c r="L1590" s="169">
        <v>30</v>
      </c>
      <c r="M1590" s="168"/>
      <c r="N1590" s="168"/>
      <c r="O1590" s="168"/>
      <c r="P1590" s="168"/>
      <c r="Q1590" s="168" t="s">
        <v>0</v>
      </c>
      <c r="R1590" s="168" t="s">
        <v>1</v>
      </c>
      <c r="S1590" s="178" t="str">
        <f t="shared" si="74"/>
        <v>D_MAP_SRC_SYS_PRIORITYSTART_DT</v>
      </c>
    </row>
    <row r="1591" spans="1:19" ht="14.4" x14ac:dyDescent="0.3">
      <c r="A1591" s="169" t="s">
        <v>1840</v>
      </c>
      <c r="B1591" s="171" t="str">
        <f t="shared" si="72"/>
        <v>D_MAP_SUBSID_CD_TO_LOAD</v>
      </c>
      <c r="C1591" s="169" t="s">
        <v>52</v>
      </c>
      <c r="D1591" s="169">
        <v>1829</v>
      </c>
      <c r="E1591" s="169">
        <v>1</v>
      </c>
      <c r="F1591" s="169" t="s">
        <v>52</v>
      </c>
      <c r="G1591" s="169" t="s">
        <v>52</v>
      </c>
      <c r="H1591" s="169">
        <v>34</v>
      </c>
      <c r="I1591" s="136" t="str">
        <f t="shared" si="73"/>
        <v>DATE</v>
      </c>
      <c r="J1591" s="169" t="s">
        <v>1</v>
      </c>
      <c r="K1591" s="169" t="s">
        <v>1</v>
      </c>
      <c r="L1591" s="169">
        <v>30</v>
      </c>
      <c r="M1591" s="168"/>
      <c r="N1591" s="168"/>
      <c r="O1591" s="168"/>
      <c r="P1591" s="168"/>
      <c r="Q1591" s="168" t="s">
        <v>0</v>
      </c>
      <c r="R1591" s="168" t="s">
        <v>1</v>
      </c>
      <c r="S1591" s="178" t="str">
        <f t="shared" si="74"/>
        <v>D_MAP_SUBSID_CD_TO_LOADEND_DT</v>
      </c>
    </row>
    <row r="1592" spans="1:19" ht="14.4" x14ac:dyDescent="0.3">
      <c r="A1592" s="169" t="s">
        <v>1840</v>
      </c>
      <c r="B1592" s="171" t="str">
        <f t="shared" si="72"/>
        <v>D_MAP_SUBSID_CD_TO_LOAD</v>
      </c>
      <c r="C1592" s="169" t="s">
        <v>1941</v>
      </c>
      <c r="D1592" s="169">
        <v>1830</v>
      </c>
      <c r="E1592" s="169">
        <v>2</v>
      </c>
      <c r="F1592" s="169" t="s">
        <v>1941</v>
      </c>
      <c r="G1592" s="169" t="s">
        <v>1941</v>
      </c>
      <c r="H1592" s="169">
        <v>23</v>
      </c>
      <c r="I1592" s="136" t="str">
        <f t="shared" si="73"/>
        <v xml:space="preserve">VARCHAR(1) </v>
      </c>
      <c r="J1592" s="169" t="s">
        <v>1</v>
      </c>
      <c r="K1592" s="169" t="s">
        <v>1</v>
      </c>
      <c r="L1592" s="169">
        <v>30</v>
      </c>
      <c r="M1592" s="168"/>
      <c r="N1592" s="168"/>
      <c r="O1592" s="168"/>
      <c r="P1592" s="168"/>
      <c r="Q1592" s="168" t="s">
        <v>0</v>
      </c>
      <c r="R1592" s="168" t="s">
        <v>1</v>
      </c>
      <c r="S1592" s="178" t="str">
        <f t="shared" si="74"/>
        <v>D_MAP_SUBSID_CD_TO_LOADLOAD_IND</v>
      </c>
    </row>
    <row r="1593" spans="1:19" ht="14.4" x14ac:dyDescent="0.3">
      <c r="A1593" s="169" t="s">
        <v>1840</v>
      </c>
      <c r="B1593" s="171" t="str">
        <f t="shared" si="72"/>
        <v>D_MAP_SUBSID_CD_TO_LOAD</v>
      </c>
      <c r="C1593" s="169" t="s">
        <v>1405</v>
      </c>
      <c r="D1593" s="169">
        <v>1831</v>
      </c>
      <c r="E1593" s="169">
        <v>3</v>
      </c>
      <c r="F1593" s="169" t="s">
        <v>1405</v>
      </c>
      <c r="G1593" s="169" t="s">
        <v>1405</v>
      </c>
      <c r="H1593" s="169">
        <v>7</v>
      </c>
      <c r="I1593" s="136" t="str">
        <f t="shared" si="73"/>
        <v>BIGINT</v>
      </c>
      <c r="J1593" s="169" t="s">
        <v>1</v>
      </c>
      <c r="K1593" s="169" t="s">
        <v>0</v>
      </c>
      <c r="L1593" s="169">
        <v>30</v>
      </c>
      <c r="M1593" s="168"/>
      <c r="N1593" s="168"/>
      <c r="O1593" s="168"/>
      <c r="P1593" s="168"/>
      <c r="Q1593" s="168" t="s">
        <v>0</v>
      </c>
      <c r="R1593" s="168" t="s">
        <v>1</v>
      </c>
      <c r="S1593" s="178" t="str">
        <f t="shared" si="74"/>
        <v>D_MAP_SUBSID_CD_TO_LOADRULE_ID</v>
      </c>
    </row>
    <row r="1594" spans="1:19" ht="14.4" x14ac:dyDescent="0.3">
      <c r="A1594" s="169" t="s">
        <v>1840</v>
      </c>
      <c r="B1594" s="171" t="str">
        <f t="shared" si="72"/>
        <v>D_MAP_SUBSID_CD_TO_LOAD</v>
      </c>
      <c r="C1594" s="169" t="s">
        <v>51</v>
      </c>
      <c r="D1594" s="169">
        <v>1832</v>
      </c>
      <c r="E1594" s="169">
        <v>4</v>
      </c>
      <c r="F1594" s="169" t="s">
        <v>51</v>
      </c>
      <c r="G1594" s="169" t="s">
        <v>51</v>
      </c>
      <c r="H1594" s="169">
        <v>34</v>
      </c>
      <c r="I1594" s="136" t="str">
        <f t="shared" si="73"/>
        <v>DATE</v>
      </c>
      <c r="J1594" s="169" t="s">
        <v>1</v>
      </c>
      <c r="K1594" s="169" t="s">
        <v>1</v>
      </c>
      <c r="L1594" s="169">
        <v>30</v>
      </c>
      <c r="M1594" s="168"/>
      <c r="N1594" s="168"/>
      <c r="O1594" s="168"/>
      <c r="P1594" s="168"/>
      <c r="Q1594" s="168" t="s">
        <v>0</v>
      </c>
      <c r="R1594" s="168" t="s">
        <v>1</v>
      </c>
      <c r="S1594" s="178" t="str">
        <f t="shared" si="74"/>
        <v>D_MAP_SUBSID_CD_TO_LOADSTART_DT</v>
      </c>
    </row>
    <row r="1595" spans="1:19" ht="14.4" x14ac:dyDescent="0.3">
      <c r="A1595" s="169" t="s">
        <v>1840</v>
      </c>
      <c r="B1595" s="171" t="str">
        <f t="shared" si="72"/>
        <v>D_MAP_SUBSID_CD_TO_LOAD</v>
      </c>
      <c r="C1595" s="169" t="s">
        <v>1942</v>
      </c>
      <c r="D1595" s="169">
        <v>1833</v>
      </c>
      <c r="E1595" s="169">
        <v>5</v>
      </c>
      <c r="F1595" s="169" t="s">
        <v>1942</v>
      </c>
      <c r="G1595" s="169" t="s">
        <v>1942</v>
      </c>
      <c r="H1595" s="169">
        <v>24</v>
      </c>
      <c r="I1595" s="136" t="str">
        <f t="shared" si="73"/>
        <v xml:space="preserve">VARCHAR(40) </v>
      </c>
      <c r="J1595" s="169" t="s">
        <v>1</v>
      </c>
      <c r="K1595" s="169" t="s">
        <v>1</v>
      </c>
      <c r="L1595" s="169">
        <v>30</v>
      </c>
      <c r="M1595" s="168"/>
      <c r="N1595" s="168"/>
      <c r="O1595" s="168"/>
      <c r="P1595" s="168"/>
      <c r="Q1595" s="168" t="s">
        <v>0</v>
      </c>
      <c r="R1595" s="168" t="s">
        <v>1</v>
      </c>
      <c r="S1595" s="178" t="str">
        <f t="shared" si="74"/>
        <v>D_MAP_SUBSID_CD_TO_LOADSUBSID_CD</v>
      </c>
    </row>
    <row r="1596" spans="1:19" ht="14.4" x14ac:dyDescent="0.3">
      <c r="A1596" s="169" t="s">
        <v>1840</v>
      </c>
      <c r="B1596" s="171" t="str">
        <f t="shared" si="72"/>
        <v>D_MAP_SUBSID_CD_TO_LOAD</v>
      </c>
      <c r="C1596" s="169" t="s">
        <v>1943</v>
      </c>
      <c r="D1596" s="169">
        <v>1834</v>
      </c>
      <c r="E1596" s="169">
        <v>6</v>
      </c>
      <c r="F1596" s="169" t="s">
        <v>1943</v>
      </c>
      <c r="G1596" s="169" t="s">
        <v>1943</v>
      </c>
      <c r="H1596" s="169">
        <v>13</v>
      </c>
      <c r="I1596" s="136" t="str">
        <f t="shared" si="73"/>
        <v xml:space="preserve">VARCHAR(300) </v>
      </c>
      <c r="J1596" s="169" t="s">
        <v>0</v>
      </c>
      <c r="K1596" s="169" t="s">
        <v>1</v>
      </c>
      <c r="L1596" s="169">
        <v>30</v>
      </c>
      <c r="M1596" s="168"/>
      <c r="N1596" s="168"/>
      <c r="O1596" s="168"/>
      <c r="P1596" s="168"/>
      <c r="Q1596" s="168" t="s">
        <v>0</v>
      </c>
      <c r="R1596" s="168" t="s">
        <v>1</v>
      </c>
      <c r="S1596" s="178" t="str">
        <f t="shared" si="74"/>
        <v>D_MAP_SUBSID_CD_TO_LOADSUBSID_DSC</v>
      </c>
    </row>
    <row r="1597" spans="1:19" ht="14.4" x14ac:dyDescent="0.3">
      <c r="A1597" s="169" t="s">
        <v>1365</v>
      </c>
      <c r="B1597" s="171" t="str">
        <f t="shared" si="72"/>
        <v>D_MAP_XCM2ANNUAL_SALES</v>
      </c>
      <c r="C1597" s="169" t="s">
        <v>711</v>
      </c>
      <c r="D1597" s="169">
        <v>1835</v>
      </c>
      <c r="E1597" s="169">
        <v>1</v>
      </c>
      <c r="F1597" s="169" t="s">
        <v>711</v>
      </c>
      <c r="G1597" s="169" t="s">
        <v>711</v>
      </c>
      <c r="H1597" s="169">
        <v>21</v>
      </c>
      <c r="I1597" s="136" t="str">
        <f t="shared" si="73"/>
        <v>DECIMAL(19, 2)</v>
      </c>
      <c r="J1597" s="169" t="s">
        <v>0</v>
      </c>
      <c r="K1597" s="169" t="s">
        <v>1</v>
      </c>
      <c r="L1597" s="169">
        <v>30</v>
      </c>
      <c r="M1597" s="168"/>
      <c r="N1597" s="168"/>
      <c r="O1597" s="168"/>
      <c r="P1597" s="168"/>
      <c r="Q1597" s="168" t="s">
        <v>0</v>
      </c>
      <c r="R1597" s="168" t="s">
        <v>1</v>
      </c>
      <c r="S1597" s="178" t="str">
        <f t="shared" si="74"/>
        <v>D_MAP_XCM2ANNUAL_SALESANNUAL_SALES_RUB_AMT</v>
      </c>
    </row>
    <row r="1598" spans="1:19" ht="14.4" x14ac:dyDescent="0.3">
      <c r="A1598" s="169" t="s">
        <v>1365</v>
      </c>
      <c r="B1598" s="171" t="str">
        <f t="shared" si="72"/>
        <v>D_MAP_XCM2ANNUAL_SALES</v>
      </c>
      <c r="C1598" s="169" t="s">
        <v>52</v>
      </c>
      <c r="D1598" s="169">
        <v>1836</v>
      </c>
      <c r="E1598" s="169">
        <v>2</v>
      </c>
      <c r="F1598" s="169" t="s">
        <v>52</v>
      </c>
      <c r="G1598" s="169" t="s">
        <v>52</v>
      </c>
      <c r="H1598" s="169">
        <v>34</v>
      </c>
      <c r="I1598" s="136" t="str">
        <f t="shared" si="73"/>
        <v>DATE</v>
      </c>
      <c r="J1598" s="169" t="s">
        <v>1</v>
      </c>
      <c r="K1598" s="169" t="s">
        <v>1</v>
      </c>
      <c r="L1598" s="169">
        <v>30</v>
      </c>
      <c r="M1598" s="168"/>
      <c r="N1598" s="168"/>
      <c r="O1598" s="168"/>
      <c r="P1598" s="168"/>
      <c r="Q1598" s="168" t="s">
        <v>0</v>
      </c>
      <c r="R1598" s="168" t="s">
        <v>1</v>
      </c>
      <c r="S1598" s="178" t="str">
        <f t="shared" si="74"/>
        <v>D_MAP_XCM2ANNUAL_SALESEND_DT</v>
      </c>
    </row>
    <row r="1599" spans="1:19" ht="14.4" x14ac:dyDescent="0.3">
      <c r="A1599" s="169" t="s">
        <v>1365</v>
      </c>
      <c r="B1599" s="171" t="str">
        <f t="shared" si="72"/>
        <v>D_MAP_XCM2ANNUAL_SALES</v>
      </c>
      <c r="C1599" s="169" t="s">
        <v>434</v>
      </c>
      <c r="D1599" s="169">
        <v>1837</v>
      </c>
      <c r="E1599" s="169">
        <v>3</v>
      </c>
      <c r="F1599" s="169" t="s">
        <v>434</v>
      </c>
      <c r="G1599" s="169" t="s">
        <v>434</v>
      </c>
      <c r="H1599" s="169">
        <v>27</v>
      </c>
      <c r="I1599" s="136" t="str">
        <f t="shared" si="73"/>
        <v>INTEGER</v>
      </c>
      <c r="J1599" s="169" t="s">
        <v>0</v>
      </c>
      <c r="K1599" s="169" t="s">
        <v>1</v>
      </c>
      <c r="L1599" s="169">
        <v>30</v>
      </c>
      <c r="M1599" s="168"/>
      <c r="N1599" s="168"/>
      <c r="O1599" s="168"/>
      <c r="P1599" s="168"/>
      <c r="Q1599" s="168" t="s">
        <v>0</v>
      </c>
      <c r="R1599" s="168" t="s">
        <v>1</v>
      </c>
      <c r="S1599" s="178" t="str">
        <f t="shared" si="74"/>
        <v>D_MAP_XCM2ANNUAL_SALESPRIORITY</v>
      </c>
    </row>
    <row r="1600" spans="1:19" ht="14.4" x14ac:dyDescent="0.3">
      <c r="A1600" s="169" t="s">
        <v>1365</v>
      </c>
      <c r="B1600" s="171" t="str">
        <f t="shared" si="72"/>
        <v>D_MAP_XCM2ANNUAL_SALES</v>
      </c>
      <c r="C1600" s="169" t="s">
        <v>1405</v>
      </c>
      <c r="D1600" s="169">
        <v>1838</v>
      </c>
      <c r="E1600" s="169">
        <v>4</v>
      </c>
      <c r="F1600" s="169" t="s">
        <v>1405</v>
      </c>
      <c r="G1600" s="169" t="s">
        <v>1405</v>
      </c>
      <c r="H1600" s="169">
        <v>7</v>
      </c>
      <c r="I1600" s="136" t="str">
        <f t="shared" si="73"/>
        <v>BIGINT</v>
      </c>
      <c r="J1600" s="169" t="s">
        <v>1</v>
      </c>
      <c r="K1600" s="169" t="s">
        <v>1</v>
      </c>
      <c r="L1600" s="169">
        <v>30</v>
      </c>
      <c r="M1600" s="168"/>
      <c r="N1600" s="168"/>
      <c r="O1600" s="168"/>
      <c r="P1600" s="168"/>
      <c r="Q1600" s="168" t="s">
        <v>0</v>
      </c>
      <c r="R1600" s="168" t="s">
        <v>1</v>
      </c>
      <c r="S1600" s="178" t="str">
        <f t="shared" si="74"/>
        <v>D_MAP_XCM2ANNUAL_SALESRULE_ID</v>
      </c>
    </row>
    <row r="1601" spans="1:19" ht="14.4" x14ac:dyDescent="0.3">
      <c r="A1601" s="169" t="s">
        <v>1365</v>
      </c>
      <c r="B1601" s="171" t="str">
        <f t="shared" si="72"/>
        <v>D_MAP_XCM2ANNUAL_SALES</v>
      </c>
      <c r="C1601" s="169" t="s">
        <v>1384</v>
      </c>
      <c r="D1601" s="169">
        <v>1839</v>
      </c>
      <c r="E1601" s="169">
        <v>5</v>
      </c>
      <c r="F1601" s="169" t="s">
        <v>1384</v>
      </c>
      <c r="G1601" s="169" t="s">
        <v>1384</v>
      </c>
      <c r="H1601" s="169">
        <v>7</v>
      </c>
      <c r="I1601" s="136" t="str">
        <f t="shared" si="73"/>
        <v>BIGINT</v>
      </c>
      <c r="J1601" s="169" t="s">
        <v>0</v>
      </c>
      <c r="K1601" s="169" t="s">
        <v>0</v>
      </c>
      <c r="L1601" s="169">
        <v>30</v>
      </c>
      <c r="M1601" s="168"/>
      <c r="N1601" s="168"/>
      <c r="O1601" s="168"/>
      <c r="P1601" s="168"/>
      <c r="Q1601" s="168" t="s">
        <v>0</v>
      </c>
      <c r="R1601" s="168" t="s">
        <v>1</v>
      </c>
      <c r="S1601" s="178" t="str">
        <f t="shared" si="74"/>
        <v>D_MAP_XCM2ANNUAL_SALESSOURCE_ERM_CP_SEGMENT_ID</v>
      </c>
    </row>
    <row r="1602" spans="1:19" ht="14.4" x14ac:dyDescent="0.3">
      <c r="A1602" s="169" t="s">
        <v>1365</v>
      </c>
      <c r="B1602" s="171" t="str">
        <f t="shared" ref="B1602:B1665" si="75">IF(NOT(ISBLANK(A1602)),VLOOKUP(A1602,ERM_TABLE_NM,2,FALSE), "")</f>
        <v>D_MAP_XCM2ANNUAL_SALES</v>
      </c>
      <c r="C1602" s="169" t="s">
        <v>51</v>
      </c>
      <c r="D1602" s="169">
        <v>1840</v>
      </c>
      <c r="E1602" s="169">
        <v>6</v>
      </c>
      <c r="F1602" s="169" t="s">
        <v>51</v>
      </c>
      <c r="G1602" s="169" t="s">
        <v>51</v>
      </c>
      <c r="H1602" s="169">
        <v>34</v>
      </c>
      <c r="I1602" s="136" t="str">
        <f t="shared" ref="I1602:I1665" si="76">IF(NOT(ISBLANK(H1602)),VLOOKUP(H1602,ERM_DOMAIN_NM,2,FALSE), "")</f>
        <v>DATE</v>
      </c>
      <c r="J1602" s="169" t="s">
        <v>1</v>
      </c>
      <c r="K1602" s="169" t="s">
        <v>1</v>
      </c>
      <c r="L1602" s="169">
        <v>30</v>
      </c>
      <c r="M1602" s="168"/>
      <c r="N1602" s="168"/>
      <c r="O1602" s="168"/>
      <c r="P1602" s="168"/>
      <c r="Q1602" s="168" t="s">
        <v>0</v>
      </c>
      <c r="R1602" s="168" t="s">
        <v>1</v>
      </c>
      <c r="S1602" s="178" t="str">
        <f t="shared" si="74"/>
        <v>D_MAP_XCM2ANNUAL_SALESSTART_DT</v>
      </c>
    </row>
    <row r="1603" spans="1:19" ht="14.4" x14ac:dyDescent="0.3">
      <c r="A1603" s="169" t="s">
        <v>1353</v>
      </c>
      <c r="B1603" s="171" t="str">
        <f t="shared" si="75"/>
        <v>D_MAP_XCM2ECAP_INDUSTRY</v>
      </c>
      <c r="C1603" s="169" t="s">
        <v>569</v>
      </c>
      <c r="D1603" s="169">
        <v>1841</v>
      </c>
      <c r="E1603" s="169">
        <v>1</v>
      </c>
      <c r="F1603" s="169" t="s">
        <v>569</v>
      </c>
      <c r="G1603" s="169" t="s">
        <v>569</v>
      </c>
      <c r="H1603" s="169">
        <v>7</v>
      </c>
      <c r="I1603" s="136" t="str">
        <f t="shared" si="76"/>
        <v>BIGINT</v>
      </c>
      <c r="J1603" s="169" t="s">
        <v>0</v>
      </c>
      <c r="K1603" s="169" t="s">
        <v>1</v>
      </c>
      <c r="L1603" s="169">
        <v>30</v>
      </c>
      <c r="M1603" s="168"/>
      <c r="N1603" s="168"/>
      <c r="O1603" s="168"/>
      <c r="P1603" s="168"/>
      <c r="Q1603" s="168" t="s">
        <v>0</v>
      </c>
      <c r="R1603" s="168" t="s">
        <v>1</v>
      </c>
      <c r="S1603" s="178" t="str">
        <f t="shared" ref="S1603:S1666" si="77">CONCATENATE(A1603,C1603)</f>
        <v>D_MAP_XCM2ECAP_INDUSTRYECAP_INDUSTRY_ID</v>
      </c>
    </row>
    <row r="1604" spans="1:19" ht="14.4" x14ac:dyDescent="0.3">
      <c r="A1604" s="169" t="s">
        <v>1353</v>
      </c>
      <c r="B1604" s="171" t="str">
        <f t="shared" si="75"/>
        <v>D_MAP_XCM2ECAP_INDUSTRY</v>
      </c>
      <c r="C1604" s="169" t="s">
        <v>473</v>
      </c>
      <c r="D1604" s="169">
        <v>1842</v>
      </c>
      <c r="E1604" s="169">
        <v>2</v>
      </c>
      <c r="F1604" s="169" t="s">
        <v>473</v>
      </c>
      <c r="G1604" s="169" t="s">
        <v>473</v>
      </c>
      <c r="H1604" s="169">
        <v>7</v>
      </c>
      <c r="I1604" s="136" t="str">
        <f t="shared" si="76"/>
        <v>BIGINT</v>
      </c>
      <c r="J1604" s="169" t="s">
        <v>0</v>
      </c>
      <c r="K1604" s="169" t="s">
        <v>1</v>
      </c>
      <c r="L1604" s="169">
        <v>30</v>
      </c>
      <c r="M1604" s="168"/>
      <c r="N1604" s="168"/>
      <c r="O1604" s="168"/>
      <c r="P1604" s="168"/>
      <c r="Q1604" s="168" t="s">
        <v>0</v>
      </c>
      <c r="R1604" s="168" t="s">
        <v>1</v>
      </c>
      <c r="S1604" s="178" t="str">
        <f t="shared" si="77"/>
        <v>D_MAP_XCM2ECAP_INDUSTRYECAP_PARAM_INDUSTRY_ID</v>
      </c>
    </row>
    <row r="1605" spans="1:19" ht="14.4" x14ac:dyDescent="0.3">
      <c r="A1605" s="169" t="s">
        <v>1353</v>
      </c>
      <c r="B1605" s="171" t="str">
        <f t="shared" si="75"/>
        <v>D_MAP_XCM2ECAP_INDUSTRY</v>
      </c>
      <c r="C1605" s="169" t="s">
        <v>52</v>
      </c>
      <c r="D1605" s="169">
        <v>1843</v>
      </c>
      <c r="E1605" s="169">
        <v>3</v>
      </c>
      <c r="F1605" s="169" t="s">
        <v>52</v>
      </c>
      <c r="G1605" s="169" t="s">
        <v>52</v>
      </c>
      <c r="H1605" s="169">
        <v>34</v>
      </c>
      <c r="I1605" s="136" t="str">
        <f t="shared" si="76"/>
        <v>DATE</v>
      </c>
      <c r="J1605" s="169" t="s">
        <v>1</v>
      </c>
      <c r="K1605" s="169" t="s">
        <v>1</v>
      </c>
      <c r="L1605" s="169">
        <v>30</v>
      </c>
      <c r="M1605" s="168"/>
      <c r="N1605" s="168"/>
      <c r="O1605" s="168"/>
      <c r="P1605" s="168"/>
      <c r="Q1605" s="168" t="s">
        <v>0</v>
      </c>
      <c r="R1605" s="168" t="s">
        <v>1</v>
      </c>
      <c r="S1605" s="178" t="str">
        <f t="shared" si="77"/>
        <v>D_MAP_XCM2ECAP_INDUSTRYEND_DT</v>
      </c>
    </row>
    <row r="1606" spans="1:19" ht="14.4" x14ac:dyDescent="0.3">
      <c r="A1606" s="169" t="s">
        <v>1353</v>
      </c>
      <c r="B1606" s="171" t="str">
        <f t="shared" si="75"/>
        <v>D_MAP_XCM2ECAP_INDUSTRY</v>
      </c>
      <c r="C1606" s="169" t="s">
        <v>434</v>
      </c>
      <c r="D1606" s="169">
        <v>1844</v>
      </c>
      <c r="E1606" s="169">
        <v>4</v>
      </c>
      <c r="F1606" s="169" t="s">
        <v>434</v>
      </c>
      <c r="G1606" s="169" t="s">
        <v>434</v>
      </c>
      <c r="H1606" s="169">
        <v>27</v>
      </c>
      <c r="I1606" s="136" t="str">
        <f t="shared" si="76"/>
        <v>INTEGER</v>
      </c>
      <c r="J1606" s="169" t="s">
        <v>0</v>
      </c>
      <c r="K1606" s="169" t="s">
        <v>1</v>
      </c>
      <c r="L1606" s="169">
        <v>30</v>
      </c>
      <c r="M1606" s="168"/>
      <c r="N1606" s="168"/>
      <c r="O1606" s="168"/>
      <c r="P1606" s="168"/>
      <c r="Q1606" s="168" t="s">
        <v>0</v>
      </c>
      <c r="R1606" s="168" t="s">
        <v>1</v>
      </c>
      <c r="S1606" s="178" t="str">
        <f t="shared" si="77"/>
        <v>D_MAP_XCM2ECAP_INDUSTRYPRIORITY</v>
      </c>
    </row>
    <row r="1607" spans="1:19" ht="14.4" x14ac:dyDescent="0.3">
      <c r="A1607" s="169" t="s">
        <v>1353</v>
      </c>
      <c r="B1607" s="171" t="str">
        <f t="shared" si="75"/>
        <v>D_MAP_XCM2ECAP_INDUSTRY</v>
      </c>
      <c r="C1607" s="169" t="s">
        <v>1405</v>
      </c>
      <c r="D1607" s="169">
        <v>1845</v>
      </c>
      <c r="E1607" s="169">
        <v>5</v>
      </c>
      <c r="F1607" s="169" t="s">
        <v>1405</v>
      </c>
      <c r="G1607" s="169" t="s">
        <v>1405</v>
      </c>
      <c r="H1607" s="169">
        <v>7</v>
      </c>
      <c r="I1607" s="136" t="str">
        <f t="shared" si="76"/>
        <v>BIGINT</v>
      </c>
      <c r="J1607" s="169" t="s">
        <v>1</v>
      </c>
      <c r="K1607" s="169" t="s">
        <v>1</v>
      </c>
      <c r="L1607" s="169">
        <v>30</v>
      </c>
      <c r="M1607" s="168"/>
      <c r="N1607" s="168"/>
      <c r="O1607" s="168"/>
      <c r="P1607" s="168"/>
      <c r="Q1607" s="168" t="s">
        <v>0</v>
      </c>
      <c r="R1607" s="168" t="s">
        <v>1</v>
      </c>
      <c r="S1607" s="178" t="str">
        <f t="shared" si="77"/>
        <v>D_MAP_XCM2ECAP_INDUSTRYRULE_ID</v>
      </c>
    </row>
    <row r="1608" spans="1:19" ht="14.4" x14ac:dyDescent="0.3">
      <c r="A1608" s="169" t="s">
        <v>1353</v>
      </c>
      <c r="B1608" s="171" t="str">
        <f t="shared" si="75"/>
        <v>D_MAP_XCM2ECAP_INDUSTRY</v>
      </c>
      <c r="C1608" s="169" t="s">
        <v>1483</v>
      </c>
      <c r="D1608" s="169">
        <v>1846</v>
      </c>
      <c r="E1608" s="169">
        <v>6</v>
      </c>
      <c r="F1608" s="169" t="s">
        <v>1483</v>
      </c>
      <c r="G1608" s="169" t="s">
        <v>1483</v>
      </c>
      <c r="H1608" s="169">
        <v>13</v>
      </c>
      <c r="I1608" s="136" t="str">
        <f t="shared" si="76"/>
        <v xml:space="preserve">VARCHAR(300) </v>
      </c>
      <c r="J1608" s="169" t="s">
        <v>0</v>
      </c>
      <c r="K1608" s="169" t="s">
        <v>1</v>
      </c>
      <c r="L1608" s="169">
        <v>30</v>
      </c>
      <c r="M1608" s="168"/>
      <c r="N1608" s="168"/>
      <c r="O1608" s="168"/>
      <c r="P1608" s="168"/>
      <c r="Q1608" s="168" t="s">
        <v>0</v>
      </c>
      <c r="R1608" s="168" t="s">
        <v>1</v>
      </c>
      <c r="S1608" s="178" t="str">
        <f t="shared" si="77"/>
        <v>D_MAP_XCM2ECAP_INDUSTRYSOURCE_CP_NM</v>
      </c>
    </row>
    <row r="1609" spans="1:19" ht="14.4" x14ac:dyDescent="0.3">
      <c r="A1609" s="169" t="s">
        <v>1353</v>
      </c>
      <c r="B1609" s="171" t="str">
        <f t="shared" si="75"/>
        <v>D_MAP_XCM2ECAP_INDUSTRY</v>
      </c>
      <c r="C1609" s="169" t="s">
        <v>1384</v>
      </c>
      <c r="D1609" s="169">
        <v>1847</v>
      </c>
      <c r="E1609" s="169">
        <v>7</v>
      </c>
      <c r="F1609" s="169" t="s">
        <v>1384</v>
      </c>
      <c r="G1609" s="169" t="s">
        <v>1384</v>
      </c>
      <c r="H1609" s="169">
        <v>7</v>
      </c>
      <c r="I1609" s="136" t="str">
        <f t="shared" si="76"/>
        <v>BIGINT</v>
      </c>
      <c r="J1609" s="169" t="s">
        <v>0</v>
      </c>
      <c r="K1609" s="169" t="s">
        <v>0</v>
      </c>
      <c r="L1609" s="169">
        <v>30</v>
      </c>
      <c r="M1609" s="168"/>
      <c r="N1609" s="168"/>
      <c r="O1609" s="168"/>
      <c r="P1609" s="168"/>
      <c r="Q1609" s="168" t="s">
        <v>0</v>
      </c>
      <c r="R1609" s="168" t="s">
        <v>1</v>
      </c>
      <c r="S1609" s="178" t="str">
        <f t="shared" si="77"/>
        <v>D_MAP_XCM2ECAP_INDUSTRYSOURCE_ERM_CP_SEGMENT_ID</v>
      </c>
    </row>
    <row r="1610" spans="1:19" ht="14.4" x14ac:dyDescent="0.3">
      <c r="A1610" s="169" t="s">
        <v>1353</v>
      </c>
      <c r="B1610" s="171" t="str">
        <f t="shared" si="75"/>
        <v>D_MAP_XCM2ECAP_INDUSTRY</v>
      </c>
      <c r="C1610" s="169" t="s">
        <v>51</v>
      </c>
      <c r="D1610" s="169">
        <v>1848</v>
      </c>
      <c r="E1610" s="169">
        <v>8</v>
      </c>
      <c r="F1610" s="169" t="s">
        <v>51</v>
      </c>
      <c r="G1610" s="169" t="s">
        <v>51</v>
      </c>
      <c r="H1610" s="169">
        <v>34</v>
      </c>
      <c r="I1610" s="136" t="str">
        <f t="shared" si="76"/>
        <v>DATE</v>
      </c>
      <c r="J1610" s="169" t="s">
        <v>1</v>
      </c>
      <c r="K1610" s="169" t="s">
        <v>1</v>
      </c>
      <c r="L1610" s="169">
        <v>30</v>
      </c>
      <c r="M1610" s="168"/>
      <c r="N1610" s="168"/>
      <c r="O1610" s="168"/>
      <c r="P1610" s="168"/>
      <c r="Q1610" s="168" t="s">
        <v>0</v>
      </c>
      <c r="R1610" s="168" t="s">
        <v>1</v>
      </c>
      <c r="S1610" s="178" t="str">
        <f t="shared" si="77"/>
        <v>D_MAP_XCM2ECAP_INDUSTRYSTART_DT</v>
      </c>
    </row>
    <row r="1611" spans="1:19" ht="14.4" x14ac:dyDescent="0.3">
      <c r="A1611" s="169" t="s">
        <v>1338</v>
      </c>
      <c r="B1611" s="171" t="str">
        <f t="shared" si="75"/>
        <v>D_MAP_XCM2I_PD</v>
      </c>
      <c r="C1611" s="169" t="s">
        <v>52</v>
      </c>
      <c r="D1611" s="169">
        <v>867</v>
      </c>
      <c r="E1611" s="169">
        <v>1</v>
      </c>
      <c r="F1611" s="169" t="s">
        <v>52</v>
      </c>
      <c r="G1611" s="169" t="s">
        <v>52</v>
      </c>
      <c r="H1611" s="169">
        <v>34</v>
      </c>
      <c r="I1611" s="136" t="str">
        <f t="shared" si="76"/>
        <v>DATE</v>
      </c>
      <c r="J1611" s="169" t="s">
        <v>1</v>
      </c>
      <c r="K1611" s="169" t="s">
        <v>1</v>
      </c>
      <c r="L1611" s="169">
        <v>30</v>
      </c>
      <c r="M1611" s="168"/>
      <c r="N1611" s="168"/>
      <c r="O1611" s="168"/>
      <c r="P1611" s="168"/>
      <c r="Q1611" s="168" t="s">
        <v>0</v>
      </c>
      <c r="R1611" s="168" t="s">
        <v>1</v>
      </c>
      <c r="S1611" s="178" t="str">
        <f t="shared" si="77"/>
        <v>D_MAP_XCM2I_PDEND_DT</v>
      </c>
    </row>
    <row r="1612" spans="1:19" ht="14.4" x14ac:dyDescent="0.3">
      <c r="A1612" s="169" t="s">
        <v>1338</v>
      </c>
      <c r="B1612" s="171" t="str">
        <f t="shared" si="75"/>
        <v>D_MAP_XCM2I_PD</v>
      </c>
      <c r="C1612" s="169" t="s">
        <v>338</v>
      </c>
      <c r="D1612" s="169">
        <v>868</v>
      </c>
      <c r="E1612" s="169">
        <v>2</v>
      </c>
      <c r="F1612" s="169" t="s">
        <v>338</v>
      </c>
      <c r="G1612" s="169" t="s">
        <v>338</v>
      </c>
      <c r="H1612" s="169">
        <v>3</v>
      </c>
      <c r="I1612" s="136" t="str">
        <f t="shared" si="76"/>
        <v>DECIMAL(20, 6)</v>
      </c>
      <c r="J1612" s="169" t="s">
        <v>0</v>
      </c>
      <c r="K1612" s="169" t="s">
        <v>1</v>
      </c>
      <c r="L1612" s="169">
        <v>30</v>
      </c>
      <c r="M1612" s="168"/>
      <c r="N1612" s="168"/>
      <c r="O1612" s="168"/>
      <c r="P1612" s="168"/>
      <c r="Q1612" s="168" t="s">
        <v>0</v>
      </c>
      <c r="R1612" s="168" t="s">
        <v>1</v>
      </c>
      <c r="S1612" s="178" t="str">
        <f t="shared" si="77"/>
        <v>D_MAP_XCM2I_PDPD_PCT</v>
      </c>
    </row>
    <row r="1613" spans="1:19" ht="14.4" x14ac:dyDescent="0.3">
      <c r="A1613" s="169" t="s">
        <v>1338</v>
      </c>
      <c r="B1613" s="171" t="str">
        <f t="shared" si="75"/>
        <v>D_MAP_XCM2I_PD</v>
      </c>
      <c r="C1613" s="169" t="s">
        <v>434</v>
      </c>
      <c r="D1613" s="169">
        <v>869</v>
      </c>
      <c r="E1613" s="169">
        <v>3</v>
      </c>
      <c r="F1613" s="169" t="s">
        <v>434</v>
      </c>
      <c r="G1613" s="169" t="s">
        <v>434</v>
      </c>
      <c r="H1613" s="169">
        <v>27</v>
      </c>
      <c r="I1613" s="136" t="str">
        <f t="shared" si="76"/>
        <v>INTEGER</v>
      </c>
      <c r="J1613" s="169" t="s">
        <v>0</v>
      </c>
      <c r="K1613" s="169" t="s">
        <v>1</v>
      </c>
      <c r="L1613" s="169">
        <v>30</v>
      </c>
      <c r="M1613" s="168"/>
      <c r="N1613" s="168"/>
      <c r="O1613" s="168"/>
      <c r="P1613" s="168"/>
      <c r="Q1613" s="168" t="s">
        <v>0</v>
      </c>
      <c r="R1613" s="168" t="s">
        <v>1</v>
      </c>
      <c r="S1613" s="178" t="str">
        <f t="shared" si="77"/>
        <v>D_MAP_XCM2I_PDPRIORITY</v>
      </c>
    </row>
    <row r="1614" spans="1:19" ht="14.4" x14ac:dyDescent="0.3">
      <c r="A1614" s="169" t="s">
        <v>1338</v>
      </c>
      <c r="B1614" s="171" t="str">
        <f t="shared" si="75"/>
        <v>D_MAP_XCM2I_PD</v>
      </c>
      <c r="C1614" s="169" t="s">
        <v>1405</v>
      </c>
      <c r="D1614" s="169">
        <v>870</v>
      </c>
      <c r="E1614" s="169">
        <v>4</v>
      </c>
      <c r="F1614" s="169" t="s">
        <v>1405</v>
      </c>
      <c r="G1614" s="169" t="s">
        <v>1405</v>
      </c>
      <c r="H1614" s="169">
        <v>7</v>
      </c>
      <c r="I1614" s="136" t="str">
        <f t="shared" si="76"/>
        <v>BIGINT</v>
      </c>
      <c r="J1614" s="169" t="s">
        <v>1</v>
      </c>
      <c r="K1614" s="169" t="s">
        <v>1</v>
      </c>
      <c r="L1614" s="169">
        <v>30</v>
      </c>
      <c r="M1614" s="168"/>
      <c r="N1614" s="168"/>
      <c r="O1614" s="168"/>
      <c r="P1614" s="168"/>
      <c r="Q1614" s="168" t="s">
        <v>0</v>
      </c>
      <c r="R1614" s="168" t="s">
        <v>1</v>
      </c>
      <c r="S1614" s="178" t="str">
        <f t="shared" si="77"/>
        <v>D_MAP_XCM2I_PDRULE_ID</v>
      </c>
    </row>
    <row r="1615" spans="1:19" ht="14.4" x14ac:dyDescent="0.3">
      <c r="A1615" s="169" t="s">
        <v>1338</v>
      </c>
      <c r="B1615" s="171" t="str">
        <f t="shared" si="75"/>
        <v>D_MAP_XCM2I_PD</v>
      </c>
      <c r="C1615" s="169" t="s">
        <v>436</v>
      </c>
      <c r="D1615" s="169">
        <v>871</v>
      </c>
      <c r="E1615" s="169">
        <v>5</v>
      </c>
      <c r="F1615" s="169" t="s">
        <v>436</v>
      </c>
      <c r="G1615" s="169" t="s">
        <v>436</v>
      </c>
      <c r="H1615" s="169">
        <v>24</v>
      </c>
      <c r="I1615" s="136" t="str">
        <f t="shared" si="76"/>
        <v xml:space="preserve">VARCHAR(40) </v>
      </c>
      <c r="J1615" s="169" t="s">
        <v>0</v>
      </c>
      <c r="K1615" s="169" t="s">
        <v>0</v>
      </c>
      <c r="L1615" s="169">
        <v>30</v>
      </c>
      <c r="M1615" s="168"/>
      <c r="N1615" s="168"/>
      <c r="O1615" s="168"/>
      <c r="P1615" s="168"/>
      <c r="Q1615" s="168" t="s">
        <v>0</v>
      </c>
      <c r="R1615" s="168" t="s">
        <v>1</v>
      </c>
      <c r="S1615" s="178" t="str">
        <f t="shared" si="77"/>
        <v>D_MAP_XCM2I_PDSOURCE_PD_RATING_GRADE</v>
      </c>
    </row>
    <row r="1616" spans="1:19" ht="14.4" x14ac:dyDescent="0.3">
      <c r="A1616" s="169" t="s">
        <v>1338</v>
      </c>
      <c r="B1616" s="171" t="str">
        <f t="shared" si="75"/>
        <v>D_MAP_XCM2I_PD</v>
      </c>
      <c r="C1616" s="169" t="s">
        <v>51</v>
      </c>
      <c r="D1616" s="169">
        <v>872</v>
      </c>
      <c r="E1616" s="169">
        <v>6</v>
      </c>
      <c r="F1616" s="169" t="s">
        <v>51</v>
      </c>
      <c r="G1616" s="169" t="s">
        <v>51</v>
      </c>
      <c r="H1616" s="169">
        <v>34</v>
      </c>
      <c r="I1616" s="136" t="str">
        <f t="shared" si="76"/>
        <v>DATE</v>
      </c>
      <c r="J1616" s="169" t="s">
        <v>1</v>
      </c>
      <c r="K1616" s="169" t="s">
        <v>1</v>
      </c>
      <c r="L1616" s="169">
        <v>30</v>
      </c>
      <c r="M1616" s="168"/>
      <c r="N1616" s="168"/>
      <c r="O1616" s="168"/>
      <c r="P1616" s="168"/>
      <c r="Q1616" s="168" t="s">
        <v>0</v>
      </c>
      <c r="R1616" s="168" t="s">
        <v>1</v>
      </c>
      <c r="S1616" s="178" t="str">
        <f t="shared" si="77"/>
        <v>D_MAP_XCM2I_PDSTART_DT</v>
      </c>
    </row>
    <row r="1617" spans="1:19" ht="14.4" x14ac:dyDescent="0.3">
      <c r="A1617" s="169" t="s">
        <v>1364</v>
      </c>
      <c r="B1617" s="171" t="str">
        <f t="shared" si="75"/>
        <v>D_MAP_XCM2I_REG_PROD</v>
      </c>
      <c r="C1617" s="169" t="s">
        <v>52</v>
      </c>
      <c r="D1617" s="169">
        <v>1849</v>
      </c>
      <c r="E1617" s="169">
        <v>1</v>
      </c>
      <c r="F1617" s="169" t="s">
        <v>52</v>
      </c>
      <c r="G1617" s="169" t="s">
        <v>52</v>
      </c>
      <c r="H1617" s="169">
        <v>34</v>
      </c>
      <c r="I1617" s="136" t="str">
        <f t="shared" si="76"/>
        <v>DATE</v>
      </c>
      <c r="J1617" s="169" t="s">
        <v>1</v>
      </c>
      <c r="K1617" s="169" t="s">
        <v>1</v>
      </c>
      <c r="L1617" s="169">
        <v>30</v>
      </c>
      <c r="M1617" s="168"/>
      <c r="N1617" s="168"/>
      <c r="O1617" s="168"/>
      <c r="P1617" s="168"/>
      <c r="Q1617" s="168" t="s">
        <v>0</v>
      </c>
      <c r="R1617" s="168" t="s">
        <v>1</v>
      </c>
      <c r="S1617" s="178" t="str">
        <f t="shared" si="77"/>
        <v>D_MAP_XCM2I_REG_PRODEND_DT</v>
      </c>
    </row>
    <row r="1618" spans="1:19" ht="14.4" x14ac:dyDescent="0.3">
      <c r="A1618" s="169" t="s">
        <v>1364</v>
      </c>
      <c r="B1618" s="171" t="str">
        <f t="shared" si="75"/>
        <v>D_MAP_XCM2I_REG_PROD</v>
      </c>
      <c r="C1618" s="169" t="s">
        <v>434</v>
      </c>
      <c r="D1618" s="169">
        <v>1850</v>
      </c>
      <c r="E1618" s="169">
        <v>2</v>
      </c>
      <c r="F1618" s="169" t="s">
        <v>434</v>
      </c>
      <c r="G1618" s="169" t="s">
        <v>434</v>
      </c>
      <c r="H1618" s="169">
        <v>27</v>
      </c>
      <c r="I1618" s="136" t="str">
        <f t="shared" si="76"/>
        <v>INTEGER</v>
      </c>
      <c r="J1618" s="169" t="s">
        <v>0</v>
      </c>
      <c r="K1618" s="169" t="s">
        <v>1</v>
      </c>
      <c r="L1618" s="169">
        <v>30</v>
      </c>
      <c r="M1618" s="168"/>
      <c r="N1618" s="168"/>
      <c r="O1618" s="168"/>
      <c r="P1618" s="168"/>
      <c r="Q1618" s="168" t="s">
        <v>0</v>
      </c>
      <c r="R1618" s="168" t="s">
        <v>1</v>
      </c>
      <c r="S1618" s="178" t="str">
        <f t="shared" si="77"/>
        <v>D_MAP_XCM2I_REG_PRODPRIORITY</v>
      </c>
    </row>
    <row r="1619" spans="1:19" ht="14.4" x14ac:dyDescent="0.3">
      <c r="A1619" s="169" t="s">
        <v>1364</v>
      </c>
      <c r="B1619" s="171" t="str">
        <f t="shared" si="75"/>
        <v>D_MAP_XCM2I_REG_PROD</v>
      </c>
      <c r="C1619" s="169" t="s">
        <v>511</v>
      </c>
      <c r="D1619" s="169">
        <v>1851</v>
      </c>
      <c r="E1619" s="169">
        <v>3</v>
      </c>
      <c r="F1619" s="169" t="s">
        <v>511</v>
      </c>
      <c r="G1619" s="169" t="s">
        <v>511</v>
      </c>
      <c r="H1619" s="169">
        <v>7</v>
      </c>
      <c r="I1619" s="136" t="str">
        <f t="shared" si="76"/>
        <v>BIGINT</v>
      </c>
      <c r="J1619" s="169" t="s">
        <v>0</v>
      </c>
      <c r="K1619" s="169" t="s">
        <v>1</v>
      </c>
      <c r="L1619" s="169">
        <v>30</v>
      </c>
      <c r="M1619" s="168"/>
      <c r="N1619" s="168"/>
      <c r="O1619" s="168"/>
      <c r="P1619" s="168"/>
      <c r="Q1619" s="168" t="s">
        <v>0</v>
      </c>
      <c r="R1619" s="168" t="s">
        <v>1</v>
      </c>
      <c r="S1619" s="178" t="str">
        <f t="shared" si="77"/>
        <v>D_MAP_XCM2I_REG_PRODREGLTRY_PRODUCT_TYPE_ID</v>
      </c>
    </row>
    <row r="1620" spans="1:19" ht="14.4" x14ac:dyDescent="0.3">
      <c r="A1620" s="169" t="s">
        <v>1364</v>
      </c>
      <c r="B1620" s="171" t="str">
        <f t="shared" si="75"/>
        <v>D_MAP_XCM2I_REG_PROD</v>
      </c>
      <c r="C1620" s="169" t="s">
        <v>1405</v>
      </c>
      <c r="D1620" s="169">
        <v>1852</v>
      </c>
      <c r="E1620" s="169">
        <v>4</v>
      </c>
      <c r="F1620" s="169" t="s">
        <v>1405</v>
      </c>
      <c r="G1620" s="169" t="s">
        <v>1405</v>
      </c>
      <c r="H1620" s="169">
        <v>7</v>
      </c>
      <c r="I1620" s="136" t="str">
        <f t="shared" si="76"/>
        <v>BIGINT</v>
      </c>
      <c r="J1620" s="169" t="s">
        <v>1</v>
      </c>
      <c r="K1620" s="169" t="s">
        <v>1</v>
      </c>
      <c r="L1620" s="169">
        <v>30</v>
      </c>
      <c r="M1620" s="168"/>
      <c r="N1620" s="168"/>
      <c r="O1620" s="168"/>
      <c r="P1620" s="168"/>
      <c r="Q1620" s="168" t="s">
        <v>0</v>
      </c>
      <c r="R1620" s="168" t="s">
        <v>1</v>
      </c>
      <c r="S1620" s="178" t="str">
        <f t="shared" si="77"/>
        <v>D_MAP_XCM2I_REG_PRODRULE_ID</v>
      </c>
    </row>
    <row r="1621" spans="1:19" ht="14.4" x14ac:dyDescent="0.3">
      <c r="A1621" s="169" t="s">
        <v>1364</v>
      </c>
      <c r="B1621" s="171" t="str">
        <f t="shared" si="75"/>
        <v>D_MAP_XCM2I_REG_PROD</v>
      </c>
      <c r="C1621" s="169" t="s">
        <v>1770</v>
      </c>
      <c r="D1621" s="169">
        <v>1853</v>
      </c>
      <c r="E1621" s="169">
        <v>5</v>
      </c>
      <c r="F1621" s="169" t="s">
        <v>1770</v>
      </c>
      <c r="G1621" s="169" t="s">
        <v>1770</v>
      </c>
      <c r="H1621" s="169">
        <v>3</v>
      </c>
      <c r="I1621" s="136" t="str">
        <f t="shared" si="76"/>
        <v>DECIMAL(20, 6)</v>
      </c>
      <c r="J1621" s="169" t="s">
        <v>0</v>
      </c>
      <c r="K1621" s="169" t="s">
        <v>0</v>
      </c>
      <c r="L1621" s="169">
        <v>30</v>
      </c>
      <c r="M1621" s="168"/>
      <c r="N1621" s="168"/>
      <c r="O1621" s="168"/>
      <c r="P1621" s="168"/>
      <c r="Q1621" s="168" t="s">
        <v>0</v>
      </c>
      <c r="R1621" s="168" t="s">
        <v>1</v>
      </c>
      <c r="S1621" s="178" t="str">
        <f t="shared" si="77"/>
        <v>D_MAP_XCM2I_REG_PRODSRC_CP_PF_RATIO</v>
      </c>
    </row>
    <row r="1622" spans="1:19" ht="14.4" x14ac:dyDescent="0.3">
      <c r="A1622" s="169" t="s">
        <v>1364</v>
      </c>
      <c r="B1622" s="171" t="str">
        <f t="shared" si="75"/>
        <v>D_MAP_XCM2I_REG_PROD</v>
      </c>
      <c r="C1622" s="169" t="s">
        <v>1771</v>
      </c>
      <c r="D1622" s="169">
        <v>1854</v>
      </c>
      <c r="E1622" s="169">
        <v>6</v>
      </c>
      <c r="F1622" s="169" t="s">
        <v>1771</v>
      </c>
      <c r="G1622" s="169" t="s">
        <v>1771</v>
      </c>
      <c r="H1622" s="169">
        <v>15</v>
      </c>
      <c r="I1622" s="136" t="str">
        <f t="shared" si="76"/>
        <v xml:space="preserve">CHAR(1) </v>
      </c>
      <c r="J1622" s="169" t="s">
        <v>0</v>
      </c>
      <c r="K1622" s="169" t="s">
        <v>0</v>
      </c>
      <c r="L1622" s="169">
        <v>30</v>
      </c>
      <c r="M1622" s="168"/>
      <c r="N1622" s="168"/>
      <c r="O1622" s="168"/>
      <c r="P1622" s="168"/>
      <c r="Q1622" s="168" t="s">
        <v>0</v>
      </c>
      <c r="R1622" s="168" t="s">
        <v>1</v>
      </c>
      <c r="S1622" s="178" t="str">
        <f t="shared" si="77"/>
        <v>D_MAP_XCM2I_REG_PRODSRC_DEFAULT_OR_NULL_RTNG</v>
      </c>
    </row>
    <row r="1623" spans="1:19" ht="14.4" x14ac:dyDescent="0.3">
      <c r="A1623" s="169" t="s">
        <v>1364</v>
      </c>
      <c r="B1623" s="171" t="str">
        <f t="shared" si="75"/>
        <v>D_MAP_XCM2I_REG_PROD</v>
      </c>
      <c r="C1623" s="169" t="s">
        <v>1772</v>
      </c>
      <c r="D1623" s="169">
        <v>1855</v>
      </c>
      <c r="E1623" s="169">
        <v>7</v>
      </c>
      <c r="F1623" s="169" t="s">
        <v>1772</v>
      </c>
      <c r="G1623" s="169" t="s">
        <v>1772</v>
      </c>
      <c r="H1623" s="169">
        <v>7</v>
      </c>
      <c r="I1623" s="136" t="str">
        <f t="shared" si="76"/>
        <v>BIGINT</v>
      </c>
      <c r="J1623" s="169" t="s">
        <v>0</v>
      </c>
      <c r="K1623" s="169" t="s">
        <v>0</v>
      </c>
      <c r="L1623" s="169">
        <v>30</v>
      </c>
      <c r="M1623" s="168"/>
      <c r="N1623" s="168"/>
      <c r="O1623" s="168"/>
      <c r="P1623" s="168"/>
      <c r="Q1623" s="168" t="s">
        <v>0</v>
      </c>
      <c r="R1623" s="168" t="s">
        <v>1</v>
      </c>
      <c r="S1623" s="178" t="str">
        <f t="shared" si="77"/>
        <v>D_MAP_XCM2I_REG_PRODSRC_ECAP_INDUSTRY_ID</v>
      </c>
    </row>
    <row r="1624" spans="1:19" ht="14.4" x14ac:dyDescent="0.3">
      <c r="A1624" s="169" t="s">
        <v>1364</v>
      </c>
      <c r="B1624" s="171" t="str">
        <f t="shared" si="75"/>
        <v>D_MAP_XCM2I_REG_PROD</v>
      </c>
      <c r="C1624" s="169" t="s">
        <v>1773</v>
      </c>
      <c r="D1624" s="169">
        <v>1856</v>
      </c>
      <c r="E1624" s="169">
        <v>8</v>
      </c>
      <c r="F1624" s="169" t="s">
        <v>1773</v>
      </c>
      <c r="G1624" s="169" t="s">
        <v>1773</v>
      </c>
      <c r="H1624" s="169">
        <v>7</v>
      </c>
      <c r="I1624" s="136" t="str">
        <f t="shared" si="76"/>
        <v>BIGINT</v>
      </c>
      <c r="J1624" s="169" t="s">
        <v>0</v>
      </c>
      <c r="K1624" s="169" t="s">
        <v>0</v>
      </c>
      <c r="L1624" s="169">
        <v>30</v>
      </c>
      <c r="M1624" s="168"/>
      <c r="N1624" s="168"/>
      <c r="O1624" s="168"/>
      <c r="P1624" s="168"/>
      <c r="Q1624" s="168" t="s">
        <v>0</v>
      </c>
      <c r="R1624" s="168" t="s">
        <v>1</v>
      </c>
      <c r="S1624" s="178" t="str">
        <f t="shared" si="77"/>
        <v>D_MAP_XCM2I_REG_PRODSRC_ECAP_PARAM_INDUSTRY_ID</v>
      </c>
    </row>
    <row r="1625" spans="1:19" ht="14.4" x14ac:dyDescent="0.3">
      <c r="A1625" s="169" t="s">
        <v>1364</v>
      </c>
      <c r="B1625" s="171" t="str">
        <f t="shared" si="75"/>
        <v>D_MAP_XCM2I_REG_PROD</v>
      </c>
      <c r="C1625" s="169" t="s">
        <v>1774</v>
      </c>
      <c r="D1625" s="169">
        <v>1857</v>
      </c>
      <c r="E1625" s="169">
        <v>9</v>
      </c>
      <c r="F1625" s="169" t="s">
        <v>1774</v>
      </c>
      <c r="G1625" s="169" t="s">
        <v>1774</v>
      </c>
      <c r="H1625" s="169">
        <v>7</v>
      </c>
      <c r="I1625" s="136" t="str">
        <f t="shared" si="76"/>
        <v>BIGINT</v>
      </c>
      <c r="J1625" s="169" t="s">
        <v>0</v>
      </c>
      <c r="K1625" s="169" t="s">
        <v>0</v>
      </c>
      <c r="L1625" s="169">
        <v>30</v>
      </c>
      <c r="M1625" s="168"/>
      <c r="N1625" s="168"/>
      <c r="O1625" s="168"/>
      <c r="P1625" s="168"/>
      <c r="Q1625" s="168" t="s">
        <v>0</v>
      </c>
      <c r="R1625" s="168" t="s">
        <v>1</v>
      </c>
      <c r="S1625" s="178" t="str">
        <f t="shared" si="77"/>
        <v>D_MAP_XCM2I_REG_PRODSRC_PD_MODEL_ID</v>
      </c>
    </row>
    <row r="1626" spans="1:19" ht="14.4" x14ac:dyDescent="0.3">
      <c r="A1626" s="169" t="s">
        <v>1364</v>
      </c>
      <c r="B1626" s="171" t="str">
        <f t="shared" si="75"/>
        <v>D_MAP_XCM2I_REG_PROD</v>
      </c>
      <c r="C1626" s="169" t="s">
        <v>51</v>
      </c>
      <c r="D1626" s="169">
        <v>1858</v>
      </c>
      <c r="E1626" s="169">
        <v>10</v>
      </c>
      <c r="F1626" s="169" t="s">
        <v>51</v>
      </c>
      <c r="G1626" s="169" t="s">
        <v>51</v>
      </c>
      <c r="H1626" s="169">
        <v>34</v>
      </c>
      <c r="I1626" s="136" t="str">
        <f t="shared" si="76"/>
        <v>DATE</v>
      </c>
      <c r="J1626" s="169" t="s">
        <v>1</v>
      </c>
      <c r="K1626" s="169" t="s">
        <v>1</v>
      </c>
      <c r="L1626" s="169">
        <v>30</v>
      </c>
      <c r="M1626" s="168"/>
      <c r="N1626" s="168"/>
      <c r="O1626" s="168"/>
      <c r="P1626" s="168"/>
      <c r="Q1626" s="168" t="s">
        <v>0</v>
      </c>
      <c r="R1626" s="168" t="s">
        <v>1</v>
      </c>
      <c r="S1626" s="178" t="str">
        <f t="shared" si="77"/>
        <v>D_MAP_XCM2I_REG_PRODSTART_DT</v>
      </c>
    </row>
    <row r="1627" spans="1:19" ht="14.4" x14ac:dyDescent="0.3">
      <c r="A1627" s="169" t="s">
        <v>1312</v>
      </c>
      <c r="B1627" s="171" t="str">
        <f t="shared" si="75"/>
        <v>Правила определения REP_CLASS в зависимости от типа контрагента по умолчанию</v>
      </c>
      <c r="C1627" s="169" t="s">
        <v>52</v>
      </c>
      <c r="D1627" s="169">
        <v>873</v>
      </c>
      <c r="E1627" s="169">
        <v>1</v>
      </c>
      <c r="F1627" s="169" t="s">
        <v>52</v>
      </c>
      <c r="G1627" s="169" t="s">
        <v>52</v>
      </c>
      <c r="H1627" s="169">
        <v>34</v>
      </c>
      <c r="I1627" s="136" t="str">
        <f t="shared" si="76"/>
        <v>DATE</v>
      </c>
      <c r="J1627" s="169" t="s">
        <v>1</v>
      </c>
      <c r="K1627" s="169" t="s">
        <v>1</v>
      </c>
      <c r="L1627" s="169">
        <v>30</v>
      </c>
      <c r="M1627" s="168"/>
      <c r="N1627" s="168"/>
      <c r="O1627" s="168"/>
      <c r="P1627" s="168"/>
      <c r="Q1627" s="168" t="s">
        <v>0</v>
      </c>
      <c r="R1627" s="168" t="s">
        <v>1</v>
      </c>
      <c r="S1627" s="178" t="str">
        <f t="shared" si="77"/>
        <v>D_MAP_XCM_CP_TP2E_REP_CLASSEND_DT</v>
      </c>
    </row>
    <row r="1628" spans="1:19" ht="14.4" x14ac:dyDescent="0.3">
      <c r="A1628" s="169" t="s">
        <v>1312</v>
      </c>
      <c r="B1628" s="171" t="str">
        <f t="shared" si="75"/>
        <v>Правила определения REP_CLASS в зависимости от типа контрагента по умолчанию</v>
      </c>
      <c r="C1628" s="169" t="s">
        <v>434</v>
      </c>
      <c r="D1628" s="169">
        <v>874</v>
      </c>
      <c r="E1628" s="169">
        <v>2</v>
      </c>
      <c r="F1628" s="169" t="s">
        <v>434</v>
      </c>
      <c r="G1628" s="169" t="s">
        <v>434</v>
      </c>
      <c r="H1628" s="169">
        <v>27</v>
      </c>
      <c r="I1628" s="136" t="str">
        <f t="shared" si="76"/>
        <v>INTEGER</v>
      </c>
      <c r="J1628" s="169" t="s">
        <v>0</v>
      </c>
      <c r="K1628" s="169" t="s">
        <v>1</v>
      </c>
      <c r="L1628" s="169">
        <v>30</v>
      </c>
      <c r="M1628" s="168"/>
      <c r="N1628" s="168"/>
      <c r="O1628" s="168"/>
      <c r="P1628" s="168"/>
      <c r="Q1628" s="168" t="s">
        <v>0</v>
      </c>
      <c r="R1628" s="168" t="s">
        <v>1</v>
      </c>
      <c r="S1628" s="178" t="str">
        <f t="shared" si="77"/>
        <v>D_MAP_XCM_CP_TP2E_REP_CLASSPRIORITY</v>
      </c>
    </row>
    <row r="1629" spans="1:19" ht="14.4" x14ac:dyDescent="0.3">
      <c r="A1629" s="169" t="s">
        <v>1312</v>
      </c>
      <c r="B1629" s="171" t="str">
        <f t="shared" si="75"/>
        <v>Правила определения REP_CLASS в зависимости от типа контрагента по умолчанию</v>
      </c>
      <c r="C1629" s="169" t="s">
        <v>444</v>
      </c>
      <c r="D1629" s="169">
        <v>875</v>
      </c>
      <c r="E1629" s="169">
        <v>3</v>
      </c>
      <c r="F1629" s="169" t="s">
        <v>444</v>
      </c>
      <c r="G1629" s="169" t="s">
        <v>444</v>
      </c>
      <c r="H1629" s="169">
        <v>7</v>
      </c>
      <c r="I1629" s="136" t="str">
        <f t="shared" si="76"/>
        <v>BIGINT</v>
      </c>
      <c r="J1629" s="169" t="s">
        <v>0</v>
      </c>
      <c r="K1629" s="169" t="s">
        <v>1</v>
      </c>
      <c r="L1629" s="169">
        <v>30</v>
      </c>
      <c r="M1629" s="168"/>
      <c r="N1629" s="168"/>
      <c r="O1629" s="168"/>
      <c r="P1629" s="168"/>
      <c r="Q1629" s="168" t="s">
        <v>0</v>
      </c>
      <c r="R1629" s="168" t="s">
        <v>1</v>
      </c>
      <c r="S1629" s="178" t="str">
        <f t="shared" si="77"/>
        <v>D_MAP_XCM_CP_TP2E_REP_CLASSREP_CLASS_ID</v>
      </c>
    </row>
    <row r="1630" spans="1:19" ht="14.4" x14ac:dyDescent="0.3">
      <c r="A1630" s="169" t="s">
        <v>1312</v>
      </c>
      <c r="B1630" s="171" t="str">
        <f t="shared" si="75"/>
        <v>Правила определения REP_CLASS в зависимости от типа контрагента по умолчанию</v>
      </c>
      <c r="C1630" s="169" t="s">
        <v>1405</v>
      </c>
      <c r="D1630" s="169">
        <v>876</v>
      </c>
      <c r="E1630" s="169">
        <v>4</v>
      </c>
      <c r="F1630" s="169" t="s">
        <v>1405</v>
      </c>
      <c r="G1630" s="169" t="s">
        <v>1405</v>
      </c>
      <c r="H1630" s="169">
        <v>7</v>
      </c>
      <c r="I1630" s="136" t="str">
        <f t="shared" si="76"/>
        <v>BIGINT</v>
      </c>
      <c r="J1630" s="169" t="s">
        <v>1</v>
      </c>
      <c r="K1630" s="169" t="s">
        <v>1</v>
      </c>
      <c r="L1630" s="169">
        <v>30</v>
      </c>
      <c r="M1630" s="168"/>
      <c r="N1630" s="168"/>
      <c r="O1630" s="168"/>
      <c r="P1630" s="168"/>
      <c r="Q1630" s="168" t="s">
        <v>0</v>
      </c>
      <c r="R1630" s="168" t="s">
        <v>1</v>
      </c>
      <c r="S1630" s="178" t="str">
        <f t="shared" si="77"/>
        <v>D_MAP_XCM_CP_TP2E_REP_CLASSRULE_ID</v>
      </c>
    </row>
    <row r="1631" spans="1:19" ht="14.4" x14ac:dyDescent="0.3">
      <c r="A1631" s="169" t="s">
        <v>1312</v>
      </c>
      <c r="B1631" s="171" t="str">
        <f t="shared" si="75"/>
        <v>Правила определения REP_CLASS в зависимости от типа контрагента по умолчанию</v>
      </c>
      <c r="C1631" s="169" t="s">
        <v>465</v>
      </c>
      <c r="D1631" s="169">
        <v>877</v>
      </c>
      <c r="E1631" s="169">
        <v>5</v>
      </c>
      <c r="F1631" s="169" t="s">
        <v>465</v>
      </c>
      <c r="G1631" s="169" t="s">
        <v>465</v>
      </c>
      <c r="H1631" s="169">
        <v>7</v>
      </c>
      <c r="I1631" s="136" t="str">
        <f t="shared" si="76"/>
        <v>BIGINT</v>
      </c>
      <c r="J1631" s="169" t="s">
        <v>0</v>
      </c>
      <c r="K1631" s="169" t="s">
        <v>0</v>
      </c>
      <c r="L1631" s="169">
        <v>30</v>
      </c>
      <c r="M1631" s="168"/>
      <c r="N1631" s="168"/>
      <c r="O1631" s="168"/>
      <c r="P1631" s="168"/>
      <c r="Q1631" s="168" t="s">
        <v>0</v>
      </c>
      <c r="R1631" s="168" t="s">
        <v>1</v>
      </c>
      <c r="S1631" s="178" t="str">
        <f t="shared" si="77"/>
        <v>D_MAP_XCM_CP_TP2E_REP_CLASSSOURCE_CP_TYPE_ID</v>
      </c>
    </row>
    <row r="1632" spans="1:19" ht="14.4" x14ac:dyDescent="0.3">
      <c r="A1632" s="169" t="s">
        <v>1312</v>
      </c>
      <c r="B1632" s="171" t="str">
        <f t="shared" si="75"/>
        <v>Правила определения REP_CLASS в зависимости от типа контрагента по умолчанию</v>
      </c>
      <c r="C1632" s="169" t="s">
        <v>51</v>
      </c>
      <c r="D1632" s="169">
        <v>878</v>
      </c>
      <c r="E1632" s="169">
        <v>6</v>
      </c>
      <c r="F1632" s="169" t="s">
        <v>51</v>
      </c>
      <c r="G1632" s="169" t="s">
        <v>51</v>
      </c>
      <c r="H1632" s="169">
        <v>34</v>
      </c>
      <c r="I1632" s="136" t="str">
        <f t="shared" si="76"/>
        <v>DATE</v>
      </c>
      <c r="J1632" s="169" t="s">
        <v>1</v>
      </c>
      <c r="K1632" s="169" t="s">
        <v>1</v>
      </c>
      <c r="L1632" s="169">
        <v>30</v>
      </c>
      <c r="M1632" s="168"/>
      <c r="N1632" s="168"/>
      <c r="O1632" s="168"/>
      <c r="P1632" s="168"/>
      <c r="Q1632" s="168" t="s">
        <v>0</v>
      </c>
      <c r="R1632" s="168" t="s">
        <v>1</v>
      </c>
      <c r="S1632" s="178" t="str">
        <f t="shared" si="77"/>
        <v>D_MAP_XCM_CP_TP2E_REP_CLASSSTART_DT</v>
      </c>
    </row>
    <row r="1633" spans="1:19" ht="14.4" x14ac:dyDescent="0.3">
      <c r="A1633" s="169" t="s">
        <v>1306</v>
      </c>
      <c r="B1633" s="171" t="str">
        <f t="shared" si="75"/>
        <v>D_MAP_XCM_CRM_SEG2ERM_CP_SEG</v>
      </c>
      <c r="C1633" s="169" t="s">
        <v>52</v>
      </c>
      <c r="D1633" s="169">
        <v>1859</v>
      </c>
      <c r="E1633" s="169">
        <v>1</v>
      </c>
      <c r="F1633" s="169" t="s">
        <v>52</v>
      </c>
      <c r="G1633" s="169" t="s">
        <v>52</v>
      </c>
      <c r="H1633" s="169">
        <v>34</v>
      </c>
      <c r="I1633" s="136" t="str">
        <f t="shared" si="76"/>
        <v>DATE</v>
      </c>
      <c r="J1633" s="169" t="s">
        <v>1</v>
      </c>
      <c r="K1633" s="169" t="s">
        <v>1</v>
      </c>
      <c r="L1633" s="169">
        <v>30</v>
      </c>
      <c r="M1633" s="168"/>
      <c r="N1633" s="168"/>
      <c r="O1633" s="168"/>
      <c r="P1633" s="168"/>
      <c r="Q1633" s="168" t="s">
        <v>0</v>
      </c>
      <c r="R1633" s="168" t="s">
        <v>1</v>
      </c>
      <c r="S1633" s="178" t="str">
        <f t="shared" si="77"/>
        <v>D_MAP_XCM_CRM_SEG2ERM_CP_SEGEND_DT</v>
      </c>
    </row>
    <row r="1634" spans="1:19" ht="14.4" x14ac:dyDescent="0.3">
      <c r="A1634" s="169" t="s">
        <v>1306</v>
      </c>
      <c r="B1634" s="171" t="str">
        <f t="shared" si="75"/>
        <v>D_MAP_XCM_CRM_SEG2ERM_CP_SEG</v>
      </c>
      <c r="C1634" s="169" t="s">
        <v>1386</v>
      </c>
      <c r="D1634" s="169">
        <v>1860</v>
      </c>
      <c r="E1634" s="169">
        <v>2</v>
      </c>
      <c r="F1634" s="169" t="s">
        <v>1386</v>
      </c>
      <c r="G1634" s="169" t="s">
        <v>1386</v>
      </c>
      <c r="H1634" s="169">
        <v>7</v>
      </c>
      <c r="I1634" s="136" t="str">
        <f t="shared" si="76"/>
        <v>BIGINT</v>
      </c>
      <c r="J1634" s="169" t="s">
        <v>0</v>
      </c>
      <c r="K1634" s="169" t="s">
        <v>1</v>
      </c>
      <c r="L1634" s="169">
        <v>30</v>
      </c>
      <c r="M1634" s="168"/>
      <c r="N1634" s="168"/>
      <c r="O1634" s="168"/>
      <c r="P1634" s="168"/>
      <c r="Q1634" s="168" t="s">
        <v>0</v>
      </c>
      <c r="R1634" s="168" t="s">
        <v>1</v>
      </c>
      <c r="S1634" s="178" t="str">
        <f t="shared" si="77"/>
        <v>D_MAP_XCM_CRM_SEG2ERM_CP_SEGERM_CP_SEGMENT_ID</v>
      </c>
    </row>
    <row r="1635" spans="1:19" ht="14.4" x14ac:dyDescent="0.3">
      <c r="A1635" s="169" t="s">
        <v>1306</v>
      </c>
      <c r="B1635" s="171" t="str">
        <f t="shared" si="75"/>
        <v>D_MAP_XCM_CRM_SEG2ERM_CP_SEG</v>
      </c>
      <c r="C1635" s="169" t="s">
        <v>434</v>
      </c>
      <c r="D1635" s="169">
        <v>1861</v>
      </c>
      <c r="E1635" s="169">
        <v>3</v>
      </c>
      <c r="F1635" s="169" t="s">
        <v>434</v>
      </c>
      <c r="G1635" s="169" t="s">
        <v>434</v>
      </c>
      <c r="H1635" s="169">
        <v>27</v>
      </c>
      <c r="I1635" s="136" t="str">
        <f t="shared" si="76"/>
        <v>INTEGER</v>
      </c>
      <c r="J1635" s="169" t="s">
        <v>0</v>
      </c>
      <c r="K1635" s="169" t="s">
        <v>1</v>
      </c>
      <c r="L1635" s="169">
        <v>30</v>
      </c>
      <c r="M1635" s="168"/>
      <c r="N1635" s="168"/>
      <c r="O1635" s="168"/>
      <c r="P1635" s="168"/>
      <c r="Q1635" s="168" t="s">
        <v>0</v>
      </c>
      <c r="R1635" s="168" t="s">
        <v>1</v>
      </c>
      <c r="S1635" s="178" t="str">
        <f t="shared" si="77"/>
        <v>D_MAP_XCM_CRM_SEG2ERM_CP_SEGPRIORITY</v>
      </c>
    </row>
    <row r="1636" spans="1:19" ht="14.4" x14ac:dyDescent="0.3">
      <c r="A1636" s="169" t="s">
        <v>1306</v>
      </c>
      <c r="B1636" s="171" t="str">
        <f t="shared" si="75"/>
        <v>D_MAP_XCM_CRM_SEG2ERM_CP_SEG</v>
      </c>
      <c r="C1636" s="169" t="s">
        <v>1405</v>
      </c>
      <c r="D1636" s="169">
        <v>1862</v>
      </c>
      <c r="E1636" s="169">
        <v>4</v>
      </c>
      <c r="F1636" s="169" t="s">
        <v>1405</v>
      </c>
      <c r="G1636" s="169" t="s">
        <v>1405</v>
      </c>
      <c r="H1636" s="169">
        <v>7</v>
      </c>
      <c r="I1636" s="136" t="str">
        <f t="shared" si="76"/>
        <v>BIGINT</v>
      </c>
      <c r="J1636" s="169" t="s">
        <v>1</v>
      </c>
      <c r="K1636" s="169" t="s">
        <v>1</v>
      </c>
      <c r="L1636" s="169">
        <v>30</v>
      </c>
      <c r="M1636" s="168"/>
      <c r="N1636" s="168"/>
      <c r="O1636" s="168"/>
      <c r="P1636" s="168"/>
      <c r="Q1636" s="168" t="s">
        <v>0</v>
      </c>
      <c r="R1636" s="168" t="s">
        <v>1</v>
      </c>
      <c r="S1636" s="178" t="str">
        <f t="shared" si="77"/>
        <v>D_MAP_XCM_CRM_SEG2ERM_CP_SEGRULE_ID</v>
      </c>
    </row>
    <row r="1637" spans="1:19" ht="14.4" x14ac:dyDescent="0.3">
      <c r="A1637" s="169" t="s">
        <v>1306</v>
      </c>
      <c r="B1637" s="171" t="str">
        <f t="shared" si="75"/>
        <v>D_MAP_XCM_CRM_SEG2ERM_CP_SEG</v>
      </c>
      <c r="C1637" s="169" t="s">
        <v>513</v>
      </c>
      <c r="D1637" s="169">
        <v>1863</v>
      </c>
      <c r="E1637" s="169">
        <v>5</v>
      </c>
      <c r="F1637" s="169" t="s">
        <v>513</v>
      </c>
      <c r="G1637" s="169" t="s">
        <v>513</v>
      </c>
      <c r="H1637" s="169">
        <v>13</v>
      </c>
      <c r="I1637" s="136" t="str">
        <f t="shared" si="76"/>
        <v xml:space="preserve">VARCHAR(300) </v>
      </c>
      <c r="J1637" s="169" t="s">
        <v>0</v>
      </c>
      <c r="K1637" s="169" t="s">
        <v>0</v>
      </c>
      <c r="L1637" s="169">
        <v>30</v>
      </c>
      <c r="M1637" s="168"/>
      <c r="N1637" s="168"/>
      <c r="O1637" s="168"/>
      <c r="P1637" s="168"/>
      <c r="Q1637" s="168" t="s">
        <v>0</v>
      </c>
      <c r="R1637" s="168" t="s">
        <v>1</v>
      </c>
      <c r="S1637" s="178" t="str">
        <f t="shared" si="77"/>
        <v>D_MAP_XCM_CRM_SEG2ERM_CP_SEGSOURCE_CRM_SEGMENT</v>
      </c>
    </row>
    <row r="1638" spans="1:19" ht="14.4" x14ac:dyDescent="0.3">
      <c r="A1638" s="169" t="s">
        <v>1306</v>
      </c>
      <c r="B1638" s="171" t="str">
        <f t="shared" si="75"/>
        <v>D_MAP_XCM_CRM_SEG2ERM_CP_SEG</v>
      </c>
      <c r="C1638" s="169" t="s">
        <v>51</v>
      </c>
      <c r="D1638" s="169">
        <v>1864</v>
      </c>
      <c r="E1638" s="169">
        <v>6</v>
      </c>
      <c r="F1638" s="169" t="s">
        <v>51</v>
      </c>
      <c r="G1638" s="169" t="s">
        <v>51</v>
      </c>
      <c r="H1638" s="169">
        <v>34</v>
      </c>
      <c r="I1638" s="136" t="str">
        <f t="shared" si="76"/>
        <v>DATE</v>
      </c>
      <c r="J1638" s="169" t="s">
        <v>1</v>
      </c>
      <c r="K1638" s="169" t="s">
        <v>1</v>
      </c>
      <c r="L1638" s="169">
        <v>30</v>
      </c>
      <c r="M1638" s="168"/>
      <c r="N1638" s="168"/>
      <c r="O1638" s="168"/>
      <c r="P1638" s="168"/>
      <c r="Q1638" s="168" t="s">
        <v>0</v>
      </c>
      <c r="R1638" s="168" t="s">
        <v>1</v>
      </c>
      <c r="S1638" s="178" t="str">
        <f t="shared" si="77"/>
        <v>D_MAP_XCM_CRM_SEG2ERM_CP_SEGSTART_DT</v>
      </c>
    </row>
    <row r="1639" spans="1:19" ht="14.4" x14ac:dyDescent="0.3">
      <c r="A1639" s="169" t="s">
        <v>1777</v>
      </c>
      <c r="B1639" s="171" t="str">
        <f t="shared" si="75"/>
        <v>D_MAP_XCP2E_LGD</v>
      </c>
      <c r="C1639" s="169" t="s">
        <v>452</v>
      </c>
      <c r="D1639" s="169">
        <v>879</v>
      </c>
      <c r="E1639" s="169">
        <v>1</v>
      </c>
      <c r="F1639" s="169" t="s">
        <v>452</v>
      </c>
      <c r="G1639" s="169" t="s">
        <v>452</v>
      </c>
      <c r="H1639" s="169">
        <v>24</v>
      </c>
      <c r="I1639" s="136" t="str">
        <f t="shared" si="76"/>
        <v xml:space="preserve">VARCHAR(40) </v>
      </c>
      <c r="J1639" s="169" t="s">
        <v>0</v>
      </c>
      <c r="K1639" s="169" t="s">
        <v>1</v>
      </c>
      <c r="L1639" s="169">
        <v>30</v>
      </c>
      <c r="M1639" s="168"/>
      <c r="N1639" s="168"/>
      <c r="O1639" s="168"/>
      <c r="P1639" s="168"/>
      <c r="Q1639" s="168" t="s">
        <v>0</v>
      </c>
      <c r="R1639" s="168" t="s">
        <v>1</v>
      </c>
      <c r="S1639" s="178" t="str">
        <f t="shared" si="77"/>
        <v>D_MAP_XCP2E_LGDCONFIGURATION_CD</v>
      </c>
    </row>
    <row r="1640" spans="1:19" ht="14.4" x14ac:dyDescent="0.3">
      <c r="A1640" s="169" t="s">
        <v>1777</v>
      </c>
      <c r="B1640" s="171" t="str">
        <f t="shared" si="75"/>
        <v>D_MAP_XCP2E_LGD</v>
      </c>
      <c r="C1640" s="169" t="s">
        <v>52</v>
      </c>
      <c r="D1640" s="169">
        <v>880</v>
      </c>
      <c r="E1640" s="169">
        <v>2</v>
      </c>
      <c r="F1640" s="169" t="s">
        <v>52</v>
      </c>
      <c r="G1640" s="169" t="s">
        <v>52</v>
      </c>
      <c r="H1640" s="169">
        <v>34</v>
      </c>
      <c r="I1640" s="136" t="str">
        <f t="shared" si="76"/>
        <v>DATE</v>
      </c>
      <c r="J1640" s="169" t="s">
        <v>1</v>
      </c>
      <c r="K1640" s="169" t="s">
        <v>1</v>
      </c>
      <c r="L1640" s="169">
        <v>30</v>
      </c>
      <c r="M1640" s="168"/>
      <c r="N1640" s="168"/>
      <c r="O1640" s="168"/>
      <c r="P1640" s="168"/>
      <c r="Q1640" s="168" t="s">
        <v>0</v>
      </c>
      <c r="R1640" s="168" t="s">
        <v>1</v>
      </c>
      <c r="S1640" s="178" t="str">
        <f t="shared" si="77"/>
        <v>D_MAP_XCP2E_LGDEND_DT</v>
      </c>
    </row>
    <row r="1641" spans="1:19" ht="14.4" x14ac:dyDescent="0.3">
      <c r="A1641" s="169" t="s">
        <v>1777</v>
      </c>
      <c r="B1641" s="171" t="str">
        <f t="shared" si="75"/>
        <v>D_MAP_XCP2E_LGD</v>
      </c>
      <c r="C1641" s="169" t="s">
        <v>696</v>
      </c>
      <c r="D1641" s="169">
        <v>881</v>
      </c>
      <c r="E1641" s="169">
        <v>3</v>
      </c>
      <c r="F1641" s="169" t="s">
        <v>696</v>
      </c>
      <c r="G1641" s="169" t="s">
        <v>696</v>
      </c>
      <c r="H1641" s="169">
        <v>3</v>
      </c>
      <c r="I1641" s="136" t="str">
        <f t="shared" si="76"/>
        <v>DECIMAL(20, 6)</v>
      </c>
      <c r="J1641" s="169" t="s">
        <v>0</v>
      </c>
      <c r="K1641" s="169" t="s">
        <v>1</v>
      </c>
      <c r="L1641" s="169">
        <v>30</v>
      </c>
      <c r="M1641" s="168"/>
      <c r="N1641" s="168"/>
      <c r="O1641" s="168"/>
      <c r="P1641" s="168"/>
      <c r="Q1641" s="168" t="s">
        <v>0</v>
      </c>
      <c r="R1641" s="168" t="s">
        <v>1</v>
      </c>
      <c r="S1641" s="178" t="str">
        <f t="shared" si="77"/>
        <v>D_MAP_XCP2E_LGDLGD_DOWNTURN_PCT</v>
      </c>
    </row>
    <row r="1642" spans="1:19" ht="14.4" x14ac:dyDescent="0.3">
      <c r="A1642" s="169" t="s">
        <v>1777</v>
      </c>
      <c r="B1642" s="171" t="str">
        <f t="shared" si="75"/>
        <v>D_MAP_XCP2E_LGD</v>
      </c>
      <c r="C1642" s="169" t="s">
        <v>552</v>
      </c>
      <c r="D1642" s="169">
        <v>882</v>
      </c>
      <c r="E1642" s="169">
        <v>4</v>
      </c>
      <c r="F1642" s="169" t="s">
        <v>552</v>
      </c>
      <c r="G1642" s="169" t="s">
        <v>552</v>
      </c>
      <c r="H1642" s="169">
        <v>3</v>
      </c>
      <c r="I1642" s="136" t="str">
        <f t="shared" si="76"/>
        <v>DECIMAL(20, 6)</v>
      </c>
      <c r="J1642" s="169" t="s">
        <v>0</v>
      </c>
      <c r="K1642" s="169" t="s">
        <v>1</v>
      </c>
      <c r="L1642" s="169">
        <v>30</v>
      </c>
      <c r="M1642" s="168"/>
      <c r="N1642" s="168"/>
      <c r="O1642" s="168"/>
      <c r="P1642" s="168"/>
      <c r="Q1642" s="168" t="s">
        <v>0</v>
      </c>
      <c r="R1642" s="168" t="s">
        <v>1</v>
      </c>
      <c r="S1642" s="178" t="str">
        <f t="shared" si="77"/>
        <v>D_MAP_XCP2E_LGDLGD_INDEFAULT_PCT</v>
      </c>
    </row>
    <row r="1643" spans="1:19" ht="14.4" x14ac:dyDescent="0.3">
      <c r="A1643" s="169" t="s">
        <v>1777</v>
      </c>
      <c r="B1643" s="171" t="str">
        <f t="shared" si="75"/>
        <v>D_MAP_XCP2E_LGD</v>
      </c>
      <c r="C1643" s="169" t="s">
        <v>551</v>
      </c>
      <c r="D1643" s="169">
        <v>883</v>
      </c>
      <c r="E1643" s="169">
        <v>5</v>
      </c>
      <c r="F1643" s="169" t="s">
        <v>551</v>
      </c>
      <c r="G1643" s="169" t="s">
        <v>551</v>
      </c>
      <c r="H1643" s="169">
        <v>3</v>
      </c>
      <c r="I1643" s="136" t="str">
        <f t="shared" si="76"/>
        <v>DECIMAL(20, 6)</v>
      </c>
      <c r="J1643" s="169" t="s">
        <v>0</v>
      </c>
      <c r="K1643" s="169" t="s">
        <v>1</v>
      </c>
      <c r="L1643" s="169">
        <v>30</v>
      </c>
      <c r="M1643" s="168"/>
      <c r="N1643" s="168"/>
      <c r="O1643" s="168"/>
      <c r="P1643" s="168"/>
      <c r="Q1643" s="168" t="s">
        <v>0</v>
      </c>
      <c r="R1643" s="168" t="s">
        <v>1</v>
      </c>
      <c r="S1643" s="178" t="str">
        <f t="shared" si="77"/>
        <v>D_MAP_XCP2E_LGDLGD_LONGRUN_PCT</v>
      </c>
    </row>
    <row r="1644" spans="1:19" ht="14.4" x14ac:dyDescent="0.3">
      <c r="A1644" s="169" t="s">
        <v>1777</v>
      </c>
      <c r="B1644" s="171" t="str">
        <f t="shared" si="75"/>
        <v>D_MAP_XCP2E_LGD</v>
      </c>
      <c r="C1644" s="169" t="s">
        <v>434</v>
      </c>
      <c r="D1644" s="169">
        <v>884</v>
      </c>
      <c r="E1644" s="169">
        <v>6</v>
      </c>
      <c r="F1644" s="169" t="s">
        <v>434</v>
      </c>
      <c r="G1644" s="169" t="s">
        <v>434</v>
      </c>
      <c r="H1644" s="169">
        <v>27</v>
      </c>
      <c r="I1644" s="136" t="str">
        <f t="shared" si="76"/>
        <v>INTEGER</v>
      </c>
      <c r="J1644" s="169" t="s">
        <v>0</v>
      </c>
      <c r="K1644" s="169" t="s">
        <v>1</v>
      </c>
      <c r="L1644" s="169">
        <v>30</v>
      </c>
      <c r="M1644" s="168"/>
      <c r="N1644" s="168"/>
      <c r="O1644" s="168"/>
      <c r="P1644" s="168"/>
      <c r="Q1644" s="168" t="s">
        <v>0</v>
      </c>
      <c r="R1644" s="168" t="s">
        <v>1</v>
      </c>
      <c r="S1644" s="178" t="str">
        <f t="shared" si="77"/>
        <v>D_MAP_XCP2E_LGDPRIORITY</v>
      </c>
    </row>
    <row r="1645" spans="1:19" ht="14.4" x14ac:dyDescent="0.3">
      <c r="A1645" s="169" t="s">
        <v>1777</v>
      </c>
      <c r="B1645" s="171" t="str">
        <f t="shared" si="75"/>
        <v>D_MAP_XCP2E_LGD</v>
      </c>
      <c r="C1645" s="169" t="s">
        <v>1405</v>
      </c>
      <c r="D1645" s="169">
        <v>885</v>
      </c>
      <c r="E1645" s="169">
        <v>7</v>
      </c>
      <c r="F1645" s="169" t="s">
        <v>1405</v>
      </c>
      <c r="G1645" s="169" t="s">
        <v>1405</v>
      </c>
      <c r="H1645" s="169">
        <v>7</v>
      </c>
      <c r="I1645" s="136" t="str">
        <f t="shared" si="76"/>
        <v>BIGINT</v>
      </c>
      <c r="J1645" s="169" t="s">
        <v>1</v>
      </c>
      <c r="K1645" s="169" t="s">
        <v>0</v>
      </c>
      <c r="L1645" s="169">
        <v>30</v>
      </c>
      <c r="M1645" s="168"/>
      <c r="N1645" s="168"/>
      <c r="O1645" s="168"/>
      <c r="P1645" s="168"/>
      <c r="Q1645" s="168" t="s">
        <v>0</v>
      </c>
      <c r="R1645" s="168" t="s">
        <v>1</v>
      </c>
      <c r="S1645" s="178" t="str">
        <f t="shared" si="77"/>
        <v>D_MAP_XCP2E_LGDRULE_ID</v>
      </c>
    </row>
    <row r="1646" spans="1:19" ht="14.4" x14ac:dyDescent="0.3">
      <c r="A1646" s="169" t="s">
        <v>1777</v>
      </c>
      <c r="B1646" s="171" t="str">
        <f t="shared" si="75"/>
        <v>D_MAP_XCP2E_LGD</v>
      </c>
      <c r="C1646" s="169" t="s">
        <v>1790</v>
      </c>
      <c r="D1646" s="169">
        <v>886</v>
      </c>
      <c r="E1646" s="169">
        <v>8</v>
      </c>
      <c r="F1646" s="169" t="s">
        <v>1790</v>
      </c>
      <c r="G1646" s="169" t="s">
        <v>1790</v>
      </c>
      <c r="H1646" s="169">
        <v>7</v>
      </c>
      <c r="I1646" s="136" t="str">
        <f t="shared" si="76"/>
        <v>BIGINT</v>
      </c>
      <c r="J1646" s="169" t="s">
        <v>0</v>
      </c>
      <c r="K1646" s="169" t="s">
        <v>1</v>
      </c>
      <c r="L1646" s="169">
        <v>30</v>
      </c>
      <c r="M1646" s="168"/>
      <c r="N1646" s="168"/>
      <c r="O1646" s="168"/>
      <c r="P1646" s="168"/>
      <c r="Q1646" s="168" t="s">
        <v>0</v>
      </c>
      <c r="R1646" s="168" t="s">
        <v>1</v>
      </c>
      <c r="S1646" s="178" t="str">
        <f t="shared" si="77"/>
        <v>D_MAP_XCP2E_LGDSOURCE_CP_COUNTRY_EFF_ID</v>
      </c>
    </row>
    <row r="1647" spans="1:19" ht="14.4" x14ac:dyDescent="0.3">
      <c r="A1647" s="169" t="s">
        <v>1777</v>
      </c>
      <c r="B1647" s="171" t="str">
        <f t="shared" si="75"/>
        <v>D_MAP_XCP2E_LGD</v>
      </c>
      <c r="C1647" s="169" t="s">
        <v>465</v>
      </c>
      <c r="D1647" s="169">
        <v>887</v>
      </c>
      <c r="E1647" s="169">
        <v>9</v>
      </c>
      <c r="F1647" s="169" t="s">
        <v>465</v>
      </c>
      <c r="G1647" s="169" t="s">
        <v>465</v>
      </c>
      <c r="H1647" s="169">
        <v>7</v>
      </c>
      <c r="I1647" s="136" t="str">
        <f t="shared" si="76"/>
        <v>BIGINT</v>
      </c>
      <c r="J1647" s="169" t="s">
        <v>0</v>
      </c>
      <c r="K1647" s="169" t="s">
        <v>1</v>
      </c>
      <c r="L1647" s="169">
        <v>30</v>
      </c>
      <c r="M1647" s="168"/>
      <c r="N1647" s="168"/>
      <c r="O1647" s="168"/>
      <c r="P1647" s="168"/>
      <c r="Q1647" s="168" t="s">
        <v>0</v>
      </c>
      <c r="R1647" s="168" t="s">
        <v>1</v>
      </c>
      <c r="S1647" s="178" t="str">
        <f t="shared" si="77"/>
        <v>D_MAP_XCP2E_LGDSOURCE_CP_TYPE_ID</v>
      </c>
    </row>
    <row r="1648" spans="1:19" ht="14.4" x14ac:dyDescent="0.3">
      <c r="A1648" s="169" t="s">
        <v>1777</v>
      </c>
      <c r="B1648" s="171" t="str">
        <f t="shared" si="75"/>
        <v>D_MAP_XCP2E_LGD</v>
      </c>
      <c r="C1648" s="169" t="s">
        <v>1787</v>
      </c>
      <c r="D1648" s="169">
        <v>888</v>
      </c>
      <c r="E1648" s="169">
        <v>10</v>
      </c>
      <c r="F1648" s="169" t="s">
        <v>1787</v>
      </c>
      <c r="G1648" s="169" t="s">
        <v>1787</v>
      </c>
      <c r="H1648" s="169">
        <v>7</v>
      </c>
      <c r="I1648" s="136" t="str">
        <f t="shared" si="76"/>
        <v>BIGINT</v>
      </c>
      <c r="J1648" s="169" t="s">
        <v>0</v>
      </c>
      <c r="K1648" s="169" t="s">
        <v>1</v>
      </c>
      <c r="L1648" s="169">
        <v>30</v>
      </c>
      <c r="M1648" s="168"/>
      <c r="N1648" s="168"/>
      <c r="O1648" s="168"/>
      <c r="P1648" s="168"/>
      <c r="Q1648" s="168" t="s">
        <v>0</v>
      </c>
      <c r="R1648" s="168" t="s">
        <v>1</v>
      </c>
      <c r="S1648" s="178" t="str">
        <f t="shared" si="77"/>
        <v>D_MAP_XCP2E_LGDSOURCE_CTRY_MATURITY_CLASS_ID</v>
      </c>
    </row>
    <row r="1649" spans="1:19" ht="14.4" x14ac:dyDescent="0.3">
      <c r="A1649" s="169" t="s">
        <v>1777</v>
      </c>
      <c r="B1649" s="171" t="str">
        <f t="shared" si="75"/>
        <v>D_MAP_XCP2E_LGD</v>
      </c>
      <c r="C1649" s="169" t="s">
        <v>1798</v>
      </c>
      <c r="D1649" s="169">
        <v>889</v>
      </c>
      <c r="E1649" s="169">
        <v>11</v>
      </c>
      <c r="F1649" s="169" t="s">
        <v>1798</v>
      </c>
      <c r="G1649" s="169" t="s">
        <v>1798</v>
      </c>
      <c r="H1649" s="169">
        <v>7</v>
      </c>
      <c r="I1649" s="136" t="str">
        <f t="shared" si="76"/>
        <v>BIGINT</v>
      </c>
      <c r="J1649" s="169" t="s">
        <v>0</v>
      </c>
      <c r="K1649" s="169" t="s">
        <v>1</v>
      </c>
      <c r="L1649" s="169">
        <v>30</v>
      </c>
      <c r="M1649" s="168"/>
      <c r="N1649" s="168"/>
      <c r="O1649" s="168"/>
      <c r="P1649" s="168"/>
      <c r="Q1649" s="168" t="s">
        <v>0</v>
      </c>
      <c r="R1649" s="168" t="s">
        <v>1</v>
      </c>
      <c r="S1649" s="178" t="str">
        <f t="shared" si="77"/>
        <v>D_MAP_XCP2E_LGDSOURCE_IMPORTANCE_CLASS_ID</v>
      </c>
    </row>
    <row r="1650" spans="1:19" ht="14.4" x14ac:dyDescent="0.3">
      <c r="A1650" s="169" t="s">
        <v>1777</v>
      </c>
      <c r="B1650" s="171" t="str">
        <f t="shared" si="75"/>
        <v>D_MAP_XCP2E_LGD</v>
      </c>
      <c r="C1650" s="169" t="s">
        <v>1786</v>
      </c>
      <c r="D1650" s="169">
        <v>890</v>
      </c>
      <c r="E1650" s="169">
        <v>12</v>
      </c>
      <c r="F1650" s="169" t="s">
        <v>1786</v>
      </c>
      <c r="G1650" s="169" t="s">
        <v>1786</v>
      </c>
      <c r="H1650" s="169">
        <v>7</v>
      </c>
      <c r="I1650" s="136" t="str">
        <f t="shared" si="76"/>
        <v>BIGINT</v>
      </c>
      <c r="J1650" s="169" t="s">
        <v>0</v>
      </c>
      <c r="K1650" s="169" t="s">
        <v>1</v>
      </c>
      <c r="L1650" s="169">
        <v>30</v>
      </c>
      <c r="M1650" s="168"/>
      <c r="N1650" s="168"/>
      <c r="O1650" s="168"/>
      <c r="P1650" s="168"/>
      <c r="Q1650" s="168" t="s">
        <v>0</v>
      </c>
      <c r="R1650" s="168" t="s">
        <v>1</v>
      </c>
      <c r="S1650" s="178" t="str">
        <f t="shared" si="77"/>
        <v>D_MAP_XCP2E_LGDSOURCE_OFF_BAL_SHEET_TYPE_ID</v>
      </c>
    </row>
    <row r="1651" spans="1:19" ht="14.4" x14ac:dyDescent="0.3">
      <c r="A1651" s="169" t="s">
        <v>1777</v>
      </c>
      <c r="B1651" s="171" t="str">
        <f t="shared" si="75"/>
        <v>D_MAP_XCP2E_LGD</v>
      </c>
      <c r="C1651" s="169" t="s">
        <v>1797</v>
      </c>
      <c r="D1651" s="169">
        <v>891</v>
      </c>
      <c r="E1651" s="169">
        <v>13</v>
      </c>
      <c r="F1651" s="169" t="s">
        <v>1797</v>
      </c>
      <c r="G1651" s="169" t="s">
        <v>1797</v>
      </c>
      <c r="H1651" s="169">
        <v>7</v>
      </c>
      <c r="I1651" s="136" t="str">
        <f t="shared" si="76"/>
        <v>BIGINT</v>
      </c>
      <c r="J1651" s="169" t="s">
        <v>0</v>
      </c>
      <c r="K1651" s="169" t="s">
        <v>1</v>
      </c>
      <c r="L1651" s="169">
        <v>30</v>
      </c>
      <c r="M1651" s="168"/>
      <c r="N1651" s="168"/>
      <c r="O1651" s="168"/>
      <c r="P1651" s="168"/>
      <c r="Q1651" s="168" t="s">
        <v>0</v>
      </c>
      <c r="R1651" s="168" t="s">
        <v>1</v>
      </c>
      <c r="S1651" s="178" t="str">
        <f t="shared" si="77"/>
        <v>D_MAP_XCP2E_LGDSOURCE_REGLTRY_CP_TYPE_ID</v>
      </c>
    </row>
    <row r="1652" spans="1:19" ht="14.4" x14ac:dyDescent="0.3">
      <c r="A1652" s="169" t="s">
        <v>1777</v>
      </c>
      <c r="B1652" s="171" t="str">
        <f t="shared" si="75"/>
        <v>D_MAP_XCP2E_LGD</v>
      </c>
      <c r="C1652" s="169" t="s">
        <v>1785</v>
      </c>
      <c r="D1652" s="169">
        <v>892</v>
      </c>
      <c r="E1652" s="169">
        <v>14</v>
      </c>
      <c r="F1652" s="169" t="s">
        <v>1785</v>
      </c>
      <c r="G1652" s="169" t="s">
        <v>1785</v>
      </c>
      <c r="H1652" s="169">
        <v>7</v>
      </c>
      <c r="I1652" s="136" t="str">
        <f t="shared" si="76"/>
        <v>BIGINT</v>
      </c>
      <c r="J1652" s="169" t="s">
        <v>0</v>
      </c>
      <c r="K1652" s="169" t="s">
        <v>1</v>
      </c>
      <c r="L1652" s="169">
        <v>30</v>
      </c>
      <c r="M1652" s="168"/>
      <c r="N1652" s="168"/>
      <c r="O1652" s="168"/>
      <c r="P1652" s="168"/>
      <c r="Q1652" s="168" t="s">
        <v>0</v>
      </c>
      <c r="R1652" s="168" t="s">
        <v>1</v>
      </c>
      <c r="S1652" s="178" t="str">
        <f t="shared" si="77"/>
        <v>D_MAP_XCP2E_LGDSOURCE_REGLTRY_PRODUCT_TYPE_ID</v>
      </c>
    </row>
    <row r="1653" spans="1:19" ht="14.4" x14ac:dyDescent="0.3">
      <c r="A1653" s="169" t="s">
        <v>1777</v>
      </c>
      <c r="B1653" s="171" t="str">
        <f t="shared" si="75"/>
        <v>D_MAP_XCP2E_LGD</v>
      </c>
      <c r="C1653" s="169" t="s">
        <v>51</v>
      </c>
      <c r="D1653" s="169">
        <v>893</v>
      </c>
      <c r="E1653" s="169">
        <v>15</v>
      </c>
      <c r="F1653" s="169" t="s">
        <v>51</v>
      </c>
      <c r="G1653" s="169" t="s">
        <v>51</v>
      </c>
      <c r="H1653" s="169">
        <v>34</v>
      </c>
      <c r="I1653" s="136" t="str">
        <f t="shared" si="76"/>
        <v>DATE</v>
      </c>
      <c r="J1653" s="169" t="s">
        <v>1</v>
      </c>
      <c r="K1653" s="169" t="s">
        <v>1</v>
      </c>
      <c r="L1653" s="169">
        <v>30</v>
      </c>
      <c r="M1653" s="168"/>
      <c r="N1653" s="168"/>
      <c r="O1653" s="168"/>
      <c r="P1653" s="168"/>
      <c r="Q1653" s="168" t="s">
        <v>0</v>
      </c>
      <c r="R1653" s="168" t="s">
        <v>1</v>
      </c>
      <c r="S1653" s="178" t="str">
        <f t="shared" si="77"/>
        <v>D_MAP_XCP2E_LGDSTART_DT</v>
      </c>
    </row>
    <row r="1654" spans="1:19" ht="14.4" x14ac:dyDescent="0.3">
      <c r="A1654" s="169" t="s">
        <v>1833</v>
      </c>
      <c r="B1654" s="171" t="str">
        <f t="shared" si="75"/>
        <v>D_MATERIALIZATION_LOG</v>
      </c>
      <c r="C1654" s="169" t="s">
        <v>1944</v>
      </c>
      <c r="D1654" s="169">
        <v>1865</v>
      </c>
      <c r="E1654" s="169">
        <v>1</v>
      </c>
      <c r="F1654" s="169" t="s">
        <v>1944</v>
      </c>
      <c r="G1654" s="169" t="s">
        <v>1944</v>
      </c>
      <c r="H1654" s="169">
        <v>22</v>
      </c>
      <c r="I1654" s="136" t="str">
        <f t="shared" si="76"/>
        <v>TIMESTAMP(6)</v>
      </c>
      <c r="J1654" s="169" t="s">
        <v>0</v>
      </c>
      <c r="K1654" s="169" t="s">
        <v>1</v>
      </c>
      <c r="L1654" s="169">
        <v>30</v>
      </c>
      <c r="M1654" s="168"/>
      <c r="N1654" s="168"/>
      <c r="O1654" s="168"/>
      <c r="P1654" s="168"/>
      <c r="Q1654" s="168" t="s">
        <v>0</v>
      </c>
      <c r="R1654" s="168" t="s">
        <v>1</v>
      </c>
      <c r="S1654" s="178" t="str">
        <f t="shared" si="77"/>
        <v>D_MATERIALIZATION_LOGERM_TS</v>
      </c>
    </row>
    <row r="1655" spans="1:19" ht="14.4" x14ac:dyDescent="0.3">
      <c r="A1655" s="169" t="s">
        <v>1833</v>
      </c>
      <c r="B1655" s="171" t="str">
        <f t="shared" si="75"/>
        <v>D_MATERIALIZATION_LOG</v>
      </c>
      <c r="C1655" s="169" t="s">
        <v>1875</v>
      </c>
      <c r="D1655" s="169">
        <v>1866</v>
      </c>
      <c r="E1655" s="169">
        <v>2</v>
      </c>
      <c r="F1655" s="169" t="s">
        <v>1875</v>
      </c>
      <c r="G1655" s="169" t="s">
        <v>1875</v>
      </c>
      <c r="H1655" s="169">
        <v>22</v>
      </c>
      <c r="I1655" s="136" t="str">
        <f t="shared" si="76"/>
        <v>TIMESTAMP(6)</v>
      </c>
      <c r="J1655" s="169" t="s">
        <v>0</v>
      </c>
      <c r="K1655" s="169" t="s">
        <v>0</v>
      </c>
      <c r="L1655" s="169">
        <v>30</v>
      </c>
      <c r="M1655" s="168"/>
      <c r="N1655" s="168"/>
      <c r="O1655" s="168"/>
      <c r="P1655" s="168"/>
      <c r="Q1655" s="168" t="s">
        <v>0</v>
      </c>
      <c r="R1655" s="168" t="s">
        <v>1</v>
      </c>
      <c r="S1655" s="178" t="str">
        <f t="shared" si="77"/>
        <v>D_MATERIALIZATION_LOGEXTRACTION_TS</v>
      </c>
    </row>
    <row r="1656" spans="1:19" ht="14.4" x14ac:dyDescent="0.3">
      <c r="A1656" s="169" t="s">
        <v>1833</v>
      </c>
      <c r="B1656" s="171" t="str">
        <f t="shared" si="75"/>
        <v>D_MATERIALIZATION_LOG</v>
      </c>
      <c r="C1656" s="169" t="s">
        <v>1945</v>
      </c>
      <c r="D1656" s="169">
        <v>1867</v>
      </c>
      <c r="E1656" s="169">
        <v>3</v>
      </c>
      <c r="F1656" s="169" t="s">
        <v>1945</v>
      </c>
      <c r="G1656" s="169" t="s">
        <v>1945</v>
      </c>
      <c r="H1656" s="169">
        <v>22</v>
      </c>
      <c r="I1656" s="136" t="str">
        <f t="shared" si="76"/>
        <v>TIMESTAMP(6)</v>
      </c>
      <c r="J1656" s="169" t="s">
        <v>0</v>
      </c>
      <c r="K1656" s="169" t="s">
        <v>1</v>
      </c>
      <c r="L1656" s="169">
        <v>30</v>
      </c>
      <c r="M1656" s="168"/>
      <c r="N1656" s="168"/>
      <c r="O1656" s="168"/>
      <c r="P1656" s="168"/>
      <c r="Q1656" s="168" t="s">
        <v>0</v>
      </c>
      <c r="R1656" s="168" t="s">
        <v>1</v>
      </c>
      <c r="S1656" s="178" t="str">
        <f t="shared" si="77"/>
        <v>D_MATERIALIZATION_LOGGUI_TS</v>
      </c>
    </row>
    <row r="1657" spans="1:19" ht="14.4" x14ac:dyDescent="0.3">
      <c r="A1657" s="169" t="s">
        <v>1833</v>
      </c>
      <c r="B1657" s="171" t="str">
        <f t="shared" si="75"/>
        <v>D_MATERIALIZATION_LOG</v>
      </c>
      <c r="C1657" s="169" t="s">
        <v>440</v>
      </c>
      <c r="D1657" s="169">
        <v>1868</v>
      </c>
      <c r="E1657" s="169">
        <v>4</v>
      </c>
      <c r="F1657" s="169" t="s">
        <v>440</v>
      </c>
      <c r="G1657" s="169" t="s">
        <v>440</v>
      </c>
      <c r="H1657" s="169">
        <v>22</v>
      </c>
      <c r="I1657" s="136" t="str">
        <f t="shared" si="76"/>
        <v>TIMESTAMP(6)</v>
      </c>
      <c r="J1657" s="169" t="s">
        <v>0</v>
      </c>
      <c r="K1657" s="169" t="s">
        <v>1</v>
      </c>
      <c r="L1657" s="169">
        <v>30</v>
      </c>
      <c r="M1657" s="168"/>
      <c r="N1657" s="168"/>
      <c r="O1657" s="168"/>
      <c r="P1657" s="168"/>
      <c r="Q1657" s="168" t="s">
        <v>0</v>
      </c>
      <c r="R1657" s="168" t="s">
        <v>1</v>
      </c>
      <c r="S1657" s="178" t="str">
        <f t="shared" si="77"/>
        <v>D_MATERIALIZATION_LOGRECORD_CREATE_TS</v>
      </c>
    </row>
    <row r="1658" spans="1:19" ht="14.4" x14ac:dyDescent="0.3">
      <c r="A1658" s="169" t="s">
        <v>1833</v>
      </c>
      <c r="B1658" s="171" t="str">
        <f t="shared" si="75"/>
        <v>D_MATERIALIZATION_LOG</v>
      </c>
      <c r="C1658" s="169" t="s">
        <v>429</v>
      </c>
      <c r="D1658" s="169">
        <v>1869</v>
      </c>
      <c r="E1658" s="169">
        <v>5</v>
      </c>
      <c r="F1658" s="169" t="s">
        <v>429</v>
      </c>
      <c r="G1658" s="169" t="s">
        <v>429</v>
      </c>
      <c r="H1658" s="169">
        <v>22</v>
      </c>
      <c r="I1658" s="136" t="str">
        <f t="shared" si="76"/>
        <v>TIMESTAMP(6)</v>
      </c>
      <c r="J1658" s="169" t="s">
        <v>0</v>
      </c>
      <c r="K1658" s="169" t="s">
        <v>1</v>
      </c>
      <c r="L1658" s="169">
        <v>30</v>
      </c>
      <c r="M1658" s="168"/>
      <c r="N1658" s="168"/>
      <c r="O1658" s="168"/>
      <c r="P1658" s="168"/>
      <c r="Q1658" s="168" t="s">
        <v>0</v>
      </c>
      <c r="R1658" s="168" t="s">
        <v>1</v>
      </c>
      <c r="S1658" s="178" t="str">
        <f t="shared" si="77"/>
        <v>D_MATERIALIZATION_LOGRECORD_UPDATE_TS</v>
      </c>
    </row>
    <row r="1659" spans="1:19" ht="14.4" x14ac:dyDescent="0.3">
      <c r="A1659" s="169" t="s">
        <v>1833</v>
      </c>
      <c r="B1659" s="171" t="str">
        <f t="shared" si="75"/>
        <v>D_MATERIALIZATION_LOG</v>
      </c>
      <c r="C1659" s="169" t="s">
        <v>498</v>
      </c>
      <c r="D1659" s="169">
        <v>1870</v>
      </c>
      <c r="E1659" s="169">
        <v>6</v>
      </c>
      <c r="F1659" s="169" t="s">
        <v>498</v>
      </c>
      <c r="G1659" s="169" t="s">
        <v>498</v>
      </c>
      <c r="H1659" s="169">
        <v>7</v>
      </c>
      <c r="I1659" s="136" t="str">
        <f t="shared" si="76"/>
        <v>BIGINT</v>
      </c>
      <c r="J1659" s="169" t="s">
        <v>0</v>
      </c>
      <c r="K1659" s="169" t="s">
        <v>1</v>
      </c>
      <c r="L1659" s="169">
        <v>30</v>
      </c>
      <c r="M1659" s="168"/>
      <c r="N1659" s="168"/>
      <c r="O1659" s="168"/>
      <c r="P1659" s="168"/>
      <c r="Q1659" s="168" t="s">
        <v>0</v>
      </c>
      <c r="R1659" s="168" t="s">
        <v>1</v>
      </c>
      <c r="S1659" s="178" t="str">
        <f t="shared" si="77"/>
        <v>D_MATERIALIZATION_LOGRUN_ID</v>
      </c>
    </row>
    <row r="1660" spans="1:19" ht="14.4" x14ac:dyDescent="0.3">
      <c r="A1660" s="169" t="s">
        <v>1833</v>
      </c>
      <c r="B1660" s="171" t="str">
        <f t="shared" si="75"/>
        <v>D_MATERIALIZATION_LOG</v>
      </c>
      <c r="C1660" s="169" t="s">
        <v>492</v>
      </c>
      <c r="D1660" s="169">
        <v>1871</v>
      </c>
      <c r="E1660" s="169">
        <v>7</v>
      </c>
      <c r="F1660" s="169" t="s">
        <v>492</v>
      </c>
      <c r="G1660" s="169" t="s">
        <v>492</v>
      </c>
      <c r="H1660" s="169">
        <v>34</v>
      </c>
      <c r="I1660" s="136" t="str">
        <f t="shared" si="76"/>
        <v>DATE</v>
      </c>
      <c r="J1660" s="169" t="s">
        <v>0</v>
      </c>
      <c r="K1660" s="169" t="s">
        <v>0</v>
      </c>
      <c r="L1660" s="169">
        <v>30</v>
      </c>
      <c r="M1660" s="168"/>
      <c r="N1660" s="168"/>
      <c r="O1660" s="168"/>
      <c r="P1660" s="168"/>
      <c r="Q1660" s="168" t="s">
        <v>0</v>
      </c>
      <c r="R1660" s="168" t="s">
        <v>1</v>
      </c>
      <c r="S1660" s="178" t="str">
        <f t="shared" si="77"/>
        <v>D_MATERIALIZATION_LOGVALIDITY_DT</v>
      </c>
    </row>
    <row r="1661" spans="1:19" ht="14.4" x14ac:dyDescent="0.3">
      <c r="A1661" s="169" t="s">
        <v>1781</v>
      </c>
      <c r="B1661" s="171" t="str">
        <f t="shared" si="75"/>
        <v>D_MODULE_STATUS</v>
      </c>
      <c r="C1661" s="169" t="s">
        <v>1796</v>
      </c>
      <c r="D1661" s="169">
        <v>1872</v>
      </c>
      <c r="E1661" s="169">
        <v>1</v>
      </c>
      <c r="F1661" s="169" t="s">
        <v>1796</v>
      </c>
      <c r="G1661" s="169" t="s">
        <v>1796</v>
      </c>
      <c r="H1661" s="169">
        <v>24</v>
      </c>
      <c r="I1661" s="136" t="str">
        <f t="shared" si="76"/>
        <v xml:space="preserve">VARCHAR(40) </v>
      </c>
      <c r="J1661" s="169" t="s">
        <v>0</v>
      </c>
      <c r="K1661" s="169" t="s">
        <v>0</v>
      </c>
      <c r="L1661" s="169">
        <v>30</v>
      </c>
      <c r="M1661" s="168"/>
      <c r="N1661" s="168"/>
      <c r="O1661" s="168"/>
      <c r="P1661" s="168"/>
      <c r="Q1661" s="168" t="s">
        <v>0</v>
      </c>
      <c r="R1661" s="168" t="s">
        <v>1</v>
      </c>
      <c r="S1661" s="178" t="str">
        <f t="shared" si="77"/>
        <v>D_MODULE_STATUSMODULE_CD</v>
      </c>
    </row>
    <row r="1662" spans="1:19" ht="14.4" x14ac:dyDescent="0.3">
      <c r="A1662" s="169" t="s">
        <v>1781</v>
      </c>
      <c r="B1662" s="171" t="str">
        <f t="shared" si="75"/>
        <v>D_MODULE_STATUS</v>
      </c>
      <c r="C1662" s="169" t="s">
        <v>429</v>
      </c>
      <c r="D1662" s="169">
        <v>1873</v>
      </c>
      <c r="E1662" s="169">
        <v>2</v>
      </c>
      <c r="F1662" s="169" t="s">
        <v>429</v>
      </c>
      <c r="G1662" s="169" t="s">
        <v>429</v>
      </c>
      <c r="H1662" s="169">
        <v>22</v>
      </c>
      <c r="I1662" s="136" t="str">
        <f t="shared" si="76"/>
        <v>TIMESTAMP(6)</v>
      </c>
      <c r="J1662" s="169" t="s">
        <v>1</v>
      </c>
      <c r="K1662" s="169" t="s">
        <v>1</v>
      </c>
      <c r="L1662" s="169">
        <v>30</v>
      </c>
      <c r="M1662" s="168"/>
      <c r="N1662" s="168"/>
      <c r="O1662" s="168"/>
      <c r="P1662" s="168"/>
      <c r="Q1662" s="168" t="s">
        <v>0</v>
      </c>
      <c r="R1662" s="168" t="s">
        <v>1</v>
      </c>
      <c r="S1662" s="178" t="str">
        <f t="shared" si="77"/>
        <v>D_MODULE_STATUSRECORD_UPDATE_TS</v>
      </c>
    </row>
    <row r="1663" spans="1:19" ht="14.4" x14ac:dyDescent="0.3">
      <c r="A1663" s="169" t="s">
        <v>1781</v>
      </c>
      <c r="B1663" s="171" t="str">
        <f t="shared" si="75"/>
        <v>D_MODULE_STATUS</v>
      </c>
      <c r="C1663" s="169" t="s">
        <v>498</v>
      </c>
      <c r="D1663" s="169">
        <v>1874</v>
      </c>
      <c r="E1663" s="169">
        <v>3</v>
      </c>
      <c r="F1663" s="169" t="s">
        <v>498</v>
      </c>
      <c r="G1663" s="169" t="s">
        <v>498</v>
      </c>
      <c r="H1663" s="169">
        <v>7</v>
      </c>
      <c r="I1663" s="136" t="str">
        <f t="shared" si="76"/>
        <v>BIGINT</v>
      </c>
      <c r="J1663" s="169" t="s">
        <v>1</v>
      </c>
      <c r="K1663" s="169" t="s">
        <v>1</v>
      </c>
      <c r="L1663" s="169">
        <v>30</v>
      </c>
      <c r="M1663" s="168"/>
      <c r="N1663" s="168"/>
      <c r="O1663" s="168"/>
      <c r="P1663" s="168"/>
      <c r="Q1663" s="168" t="s">
        <v>0</v>
      </c>
      <c r="R1663" s="168" t="s">
        <v>1</v>
      </c>
      <c r="S1663" s="178" t="str">
        <f t="shared" si="77"/>
        <v>D_MODULE_STATUSRUN_ID</v>
      </c>
    </row>
    <row r="1664" spans="1:19" ht="14.4" x14ac:dyDescent="0.3">
      <c r="A1664" s="169" t="s">
        <v>1781</v>
      </c>
      <c r="B1664" s="171" t="str">
        <f t="shared" si="75"/>
        <v>D_MODULE_STATUS</v>
      </c>
      <c r="C1664" s="169" t="s">
        <v>1795</v>
      </c>
      <c r="D1664" s="169">
        <v>1875</v>
      </c>
      <c r="E1664" s="169">
        <v>4</v>
      </c>
      <c r="F1664" s="169" t="s">
        <v>1795</v>
      </c>
      <c r="G1664" s="169" t="s">
        <v>1795</v>
      </c>
      <c r="H1664" s="169">
        <v>24</v>
      </c>
      <c r="I1664" s="136" t="str">
        <f t="shared" si="76"/>
        <v xml:space="preserve">VARCHAR(40) </v>
      </c>
      <c r="J1664" s="169" t="s">
        <v>0</v>
      </c>
      <c r="K1664" s="169" t="s">
        <v>1</v>
      </c>
      <c r="L1664" s="169">
        <v>30</v>
      </c>
      <c r="M1664" s="168"/>
      <c r="N1664" s="168"/>
      <c r="O1664" s="168"/>
      <c r="P1664" s="168"/>
      <c r="Q1664" s="168" t="s">
        <v>0</v>
      </c>
      <c r="R1664" s="168" t="s">
        <v>1</v>
      </c>
      <c r="S1664" s="178" t="str">
        <f t="shared" si="77"/>
        <v>D_MODULE_STATUSSTATUS_CD</v>
      </c>
    </row>
    <row r="1665" spans="1:19" ht="14.4" x14ac:dyDescent="0.3">
      <c r="A1665" s="169" t="s">
        <v>1781</v>
      </c>
      <c r="B1665" s="171" t="str">
        <f t="shared" si="75"/>
        <v>D_MODULE_STATUS</v>
      </c>
      <c r="C1665" s="169" t="s">
        <v>492</v>
      </c>
      <c r="D1665" s="169">
        <v>1876</v>
      </c>
      <c r="E1665" s="169">
        <v>5</v>
      </c>
      <c r="F1665" s="169" t="s">
        <v>492</v>
      </c>
      <c r="G1665" s="169" t="s">
        <v>492</v>
      </c>
      <c r="H1665" s="169">
        <v>34</v>
      </c>
      <c r="I1665" s="136" t="str">
        <f t="shared" si="76"/>
        <v>DATE</v>
      </c>
      <c r="J1665" s="169" t="s">
        <v>0</v>
      </c>
      <c r="K1665" s="169" t="s">
        <v>0</v>
      </c>
      <c r="L1665" s="169">
        <v>30</v>
      </c>
      <c r="M1665" s="168"/>
      <c r="N1665" s="168"/>
      <c r="O1665" s="168"/>
      <c r="P1665" s="168"/>
      <c r="Q1665" s="168" t="s">
        <v>0</v>
      </c>
      <c r="R1665" s="168" t="s">
        <v>1</v>
      </c>
      <c r="S1665" s="178" t="str">
        <f t="shared" si="77"/>
        <v>D_MODULE_STATUSVALIDITY_DT</v>
      </c>
    </row>
    <row r="1666" spans="1:19" ht="14.4" x14ac:dyDescent="0.3">
      <c r="A1666" s="169" t="s">
        <v>1349</v>
      </c>
      <c r="B1666" s="171" t="str">
        <f t="shared" ref="B1666:B1729" si="78">IF(NOT(ISBLANK(A1666)),VLOOKUP(A1666,ERM_TABLE_NM,2,FALSE), "")</f>
        <v>D_PD_DISTRIBUTION_BH</v>
      </c>
      <c r="C1666" s="169" t="s">
        <v>1489</v>
      </c>
      <c r="D1666" s="169">
        <v>1877</v>
      </c>
      <c r="E1666" s="169">
        <v>1</v>
      </c>
      <c r="F1666" s="169" t="s">
        <v>1489</v>
      </c>
      <c r="G1666" s="169" t="s">
        <v>1489</v>
      </c>
      <c r="H1666" s="169">
        <v>21</v>
      </c>
      <c r="I1666" s="136" t="str">
        <f t="shared" ref="I1666:I1729" si="79">IF(NOT(ISBLANK(H1666)),VLOOKUP(H1666,ERM_DOMAIN_NM,2,FALSE), "")</f>
        <v>DECIMAL(19, 2)</v>
      </c>
      <c r="J1666" s="169" t="s">
        <v>0</v>
      </c>
      <c r="K1666" s="169" t="s">
        <v>1</v>
      </c>
      <c r="L1666" s="169">
        <v>30</v>
      </c>
      <c r="M1666" s="168"/>
      <c r="N1666" s="168"/>
      <c r="O1666" s="168"/>
      <c r="P1666" s="168"/>
      <c r="Q1666" s="168" t="s">
        <v>0</v>
      </c>
      <c r="R1666" s="168" t="s">
        <v>1</v>
      </c>
      <c r="S1666" s="178" t="str">
        <f t="shared" si="77"/>
        <v>D_PD_DISTRIBUTION_BHEAD_RUB_AMT</v>
      </c>
    </row>
    <row r="1667" spans="1:19" ht="14.4" x14ac:dyDescent="0.3">
      <c r="A1667" s="169" t="s">
        <v>1349</v>
      </c>
      <c r="B1667" s="171" t="str">
        <f t="shared" si="78"/>
        <v>D_PD_DISTRIBUTION_BH</v>
      </c>
      <c r="C1667" s="169" t="s">
        <v>1386</v>
      </c>
      <c r="D1667" s="169">
        <v>1878</v>
      </c>
      <c r="E1667" s="169">
        <v>2</v>
      </c>
      <c r="F1667" s="169" t="s">
        <v>1386</v>
      </c>
      <c r="G1667" s="169" t="s">
        <v>1386</v>
      </c>
      <c r="H1667" s="169">
        <v>7</v>
      </c>
      <c r="I1667" s="136" t="str">
        <f t="shared" si="79"/>
        <v>BIGINT</v>
      </c>
      <c r="J1667" s="169" t="s">
        <v>1</v>
      </c>
      <c r="K1667" s="169" t="s">
        <v>0</v>
      </c>
      <c r="L1667" s="169">
        <v>30</v>
      </c>
      <c r="M1667" s="168"/>
      <c r="N1667" s="168"/>
      <c r="O1667" s="168"/>
      <c r="P1667" s="168"/>
      <c r="Q1667" s="168" t="s">
        <v>0</v>
      </c>
      <c r="R1667" s="168" t="s">
        <v>1</v>
      </c>
      <c r="S1667" s="178" t="str">
        <f t="shared" ref="S1667:S1730" si="80">CONCATENATE(A1667,C1667)</f>
        <v>D_PD_DISTRIBUTION_BHERM_CP_SEGMENT_ID</v>
      </c>
    </row>
    <row r="1668" spans="1:19" ht="14.4" x14ac:dyDescent="0.3">
      <c r="A1668" s="169" t="s">
        <v>1349</v>
      </c>
      <c r="B1668" s="171" t="str">
        <f t="shared" si="78"/>
        <v>D_PD_DISTRIBUTION_BH</v>
      </c>
      <c r="C1668" s="169" t="s">
        <v>697</v>
      </c>
      <c r="D1668" s="169">
        <v>1879</v>
      </c>
      <c r="E1668" s="169">
        <v>3</v>
      </c>
      <c r="F1668" s="169" t="s">
        <v>697</v>
      </c>
      <c r="G1668" s="169" t="s">
        <v>697</v>
      </c>
      <c r="H1668" s="169">
        <v>3</v>
      </c>
      <c r="I1668" s="136" t="str">
        <f t="shared" si="79"/>
        <v>DECIMAL(20, 6)</v>
      </c>
      <c r="J1668" s="169" t="s">
        <v>0</v>
      </c>
      <c r="K1668" s="169" t="s">
        <v>1</v>
      </c>
      <c r="L1668" s="169">
        <v>30</v>
      </c>
      <c r="M1668" s="168"/>
      <c r="N1668" s="168"/>
      <c r="O1668" s="168"/>
      <c r="P1668" s="168"/>
      <c r="Q1668" s="168" t="s">
        <v>0</v>
      </c>
      <c r="R1668" s="168" t="s">
        <v>1</v>
      </c>
      <c r="S1668" s="178" t="str">
        <f t="shared" si="80"/>
        <v>D_PD_DISTRIBUTION_BHPD_PIT_PCT</v>
      </c>
    </row>
    <row r="1669" spans="1:19" ht="14.4" x14ac:dyDescent="0.3">
      <c r="A1669" s="169" t="s">
        <v>1349</v>
      </c>
      <c r="B1669" s="171" t="str">
        <f t="shared" si="78"/>
        <v>D_PD_DISTRIBUTION_BH</v>
      </c>
      <c r="C1669" s="169" t="s">
        <v>437</v>
      </c>
      <c r="D1669" s="169">
        <v>1880</v>
      </c>
      <c r="E1669" s="169">
        <v>4</v>
      </c>
      <c r="F1669" s="169" t="s">
        <v>437</v>
      </c>
      <c r="G1669" s="169" t="s">
        <v>437</v>
      </c>
      <c r="H1669" s="169">
        <v>3</v>
      </c>
      <c r="I1669" s="136" t="str">
        <f t="shared" si="79"/>
        <v>DECIMAL(20, 6)</v>
      </c>
      <c r="J1669" s="169" t="s">
        <v>0</v>
      </c>
      <c r="K1669" s="169" t="s">
        <v>1</v>
      </c>
      <c r="L1669" s="169">
        <v>30</v>
      </c>
      <c r="M1669" s="168"/>
      <c r="N1669" s="168"/>
      <c r="O1669" s="168"/>
      <c r="P1669" s="168"/>
      <c r="Q1669" s="168" t="s">
        <v>0</v>
      </c>
      <c r="R1669" s="168" t="s">
        <v>1</v>
      </c>
      <c r="S1669" s="178" t="str">
        <f t="shared" si="80"/>
        <v>D_PD_DISTRIBUTION_BHPD_TTC_PCT</v>
      </c>
    </row>
    <row r="1670" spans="1:19" ht="14.4" x14ac:dyDescent="0.3">
      <c r="A1670" s="169" t="s">
        <v>1349</v>
      </c>
      <c r="B1670" s="171" t="str">
        <f t="shared" si="78"/>
        <v>D_PD_DISTRIBUTION_BH</v>
      </c>
      <c r="C1670" s="169" t="s">
        <v>611</v>
      </c>
      <c r="D1670" s="169">
        <v>1881</v>
      </c>
      <c r="E1670" s="169">
        <v>5</v>
      </c>
      <c r="F1670" s="169" t="s">
        <v>611</v>
      </c>
      <c r="G1670" s="169" t="s">
        <v>611</v>
      </c>
      <c r="H1670" s="169">
        <v>27</v>
      </c>
      <c r="I1670" s="136" t="str">
        <f t="shared" si="79"/>
        <v>INTEGER</v>
      </c>
      <c r="J1670" s="169" t="s">
        <v>0</v>
      </c>
      <c r="K1670" s="169" t="s">
        <v>1</v>
      </c>
      <c r="L1670" s="169">
        <v>30</v>
      </c>
      <c r="M1670" s="168"/>
      <c r="N1670" s="168"/>
      <c r="O1670" s="168"/>
      <c r="P1670" s="168"/>
      <c r="Q1670" s="168" t="s">
        <v>0</v>
      </c>
      <c r="R1670" s="168" t="s">
        <v>1</v>
      </c>
      <c r="S1670" s="178" t="str">
        <f t="shared" si="80"/>
        <v>D_PD_DISTRIBUTION_BHRATING_GRADE</v>
      </c>
    </row>
    <row r="1671" spans="1:19" ht="14.4" x14ac:dyDescent="0.3">
      <c r="A1671" s="169" t="s">
        <v>1349</v>
      </c>
      <c r="B1671" s="171" t="str">
        <f t="shared" si="78"/>
        <v>D_PD_DISTRIBUTION_BH</v>
      </c>
      <c r="C1671" s="169" t="s">
        <v>440</v>
      </c>
      <c r="D1671" s="169">
        <v>1882</v>
      </c>
      <c r="E1671" s="169">
        <v>6</v>
      </c>
      <c r="F1671" s="169" t="s">
        <v>440</v>
      </c>
      <c r="G1671" s="169" t="s">
        <v>440</v>
      </c>
      <c r="H1671" s="169">
        <v>22</v>
      </c>
      <c r="I1671" s="136" t="str">
        <f t="shared" si="79"/>
        <v>TIMESTAMP(6)</v>
      </c>
      <c r="J1671" s="169" t="s">
        <v>1</v>
      </c>
      <c r="K1671" s="169" t="s">
        <v>1</v>
      </c>
      <c r="L1671" s="169">
        <v>30</v>
      </c>
      <c r="M1671" s="168"/>
      <c r="N1671" s="168"/>
      <c r="O1671" s="168"/>
      <c r="P1671" s="168"/>
      <c r="Q1671" s="168" t="s">
        <v>0</v>
      </c>
      <c r="R1671" s="168" t="s">
        <v>1</v>
      </c>
      <c r="S1671" s="178" t="str">
        <f t="shared" si="80"/>
        <v>D_PD_DISTRIBUTION_BHRECORD_CREATE_TS</v>
      </c>
    </row>
    <row r="1672" spans="1:19" ht="14.4" x14ac:dyDescent="0.3">
      <c r="A1672" s="169" t="s">
        <v>1349</v>
      </c>
      <c r="B1672" s="171" t="str">
        <f t="shared" si="78"/>
        <v>D_PD_DISTRIBUTION_BH</v>
      </c>
      <c r="C1672" s="169" t="s">
        <v>429</v>
      </c>
      <c r="D1672" s="169">
        <v>1883</v>
      </c>
      <c r="E1672" s="169">
        <v>7</v>
      </c>
      <c r="F1672" s="169" t="s">
        <v>429</v>
      </c>
      <c r="G1672" s="169" t="s">
        <v>429</v>
      </c>
      <c r="H1672" s="169">
        <v>22</v>
      </c>
      <c r="I1672" s="136" t="str">
        <f t="shared" si="79"/>
        <v>TIMESTAMP(6)</v>
      </c>
      <c r="J1672" s="169" t="s">
        <v>1</v>
      </c>
      <c r="K1672" s="169" t="s">
        <v>1</v>
      </c>
      <c r="L1672" s="169">
        <v>30</v>
      </c>
      <c r="M1672" s="168"/>
      <c r="N1672" s="168"/>
      <c r="O1672" s="168"/>
      <c r="P1672" s="168"/>
      <c r="Q1672" s="168" t="s">
        <v>0</v>
      </c>
      <c r="R1672" s="168" t="s">
        <v>1</v>
      </c>
      <c r="S1672" s="178" t="str">
        <f t="shared" si="80"/>
        <v>D_PD_DISTRIBUTION_BHRECORD_UPDATE_TS</v>
      </c>
    </row>
    <row r="1673" spans="1:19" ht="14.4" x14ac:dyDescent="0.3">
      <c r="A1673" s="169" t="s">
        <v>1349</v>
      </c>
      <c r="B1673" s="171" t="str">
        <f t="shared" si="78"/>
        <v>D_PD_DISTRIBUTION_BH</v>
      </c>
      <c r="C1673" s="169" t="s">
        <v>498</v>
      </c>
      <c r="D1673" s="169">
        <v>1884</v>
      </c>
      <c r="E1673" s="169">
        <v>8</v>
      </c>
      <c r="F1673" s="169" t="s">
        <v>498</v>
      </c>
      <c r="G1673" s="169" t="s">
        <v>498</v>
      </c>
      <c r="H1673" s="169">
        <v>7</v>
      </c>
      <c r="I1673" s="136" t="str">
        <f t="shared" si="79"/>
        <v>BIGINT</v>
      </c>
      <c r="J1673" s="169" t="s">
        <v>1</v>
      </c>
      <c r="K1673" s="169" t="s">
        <v>1</v>
      </c>
      <c r="L1673" s="169">
        <v>30</v>
      </c>
      <c r="M1673" s="168"/>
      <c r="N1673" s="168"/>
      <c r="O1673" s="168"/>
      <c r="P1673" s="168"/>
      <c r="Q1673" s="168" t="s">
        <v>0</v>
      </c>
      <c r="R1673" s="168" t="s">
        <v>1</v>
      </c>
      <c r="S1673" s="178" t="str">
        <f t="shared" si="80"/>
        <v>D_PD_DISTRIBUTION_BHRUN_ID</v>
      </c>
    </row>
    <row r="1674" spans="1:19" ht="14.4" x14ac:dyDescent="0.3">
      <c r="A1674" s="169" t="s">
        <v>1349</v>
      </c>
      <c r="B1674" s="171" t="str">
        <f t="shared" si="78"/>
        <v>D_PD_DISTRIBUTION_BH</v>
      </c>
      <c r="C1674" s="169" t="s">
        <v>492</v>
      </c>
      <c r="D1674" s="169">
        <v>1885</v>
      </c>
      <c r="E1674" s="169">
        <v>9</v>
      </c>
      <c r="F1674" s="169" t="s">
        <v>492</v>
      </c>
      <c r="G1674" s="169" t="s">
        <v>492</v>
      </c>
      <c r="H1674" s="169">
        <v>34</v>
      </c>
      <c r="I1674" s="136" t="str">
        <f t="shared" si="79"/>
        <v>DATE</v>
      </c>
      <c r="J1674" s="169" t="s">
        <v>1</v>
      </c>
      <c r="K1674" s="169" t="s">
        <v>1</v>
      </c>
      <c r="L1674" s="169">
        <v>30</v>
      </c>
      <c r="M1674" s="168"/>
      <c r="N1674" s="168"/>
      <c r="O1674" s="168"/>
      <c r="P1674" s="168"/>
      <c r="Q1674" s="168" t="s">
        <v>0</v>
      </c>
      <c r="R1674" s="168" t="s">
        <v>1</v>
      </c>
      <c r="S1674" s="178" t="str">
        <f t="shared" si="80"/>
        <v>D_PD_DISTRIBUTION_BHVALIDITY_DT</v>
      </c>
    </row>
    <row r="1675" spans="1:19" ht="14.4" x14ac:dyDescent="0.3">
      <c r="A1675" s="169" t="s">
        <v>2052</v>
      </c>
      <c r="B1675" s="171" t="str">
        <f t="shared" si="78"/>
        <v>D_RCAP_AGGREGATED_RESULTS</v>
      </c>
      <c r="C1675" s="169" t="s">
        <v>2139</v>
      </c>
      <c r="D1675" s="169">
        <v>1886</v>
      </c>
      <c r="E1675" s="169">
        <v>1</v>
      </c>
      <c r="F1675" s="169" t="s">
        <v>2139</v>
      </c>
      <c r="G1675" s="169" t="s">
        <v>2139</v>
      </c>
      <c r="H1675" s="169">
        <v>49</v>
      </c>
      <c r="I1675" s="136" t="str">
        <f t="shared" si="79"/>
        <v>DECIMAL(20, 4)</v>
      </c>
      <c r="J1675" s="169" t="s">
        <v>0</v>
      </c>
      <c r="K1675" s="169" t="s">
        <v>1</v>
      </c>
      <c r="L1675" s="169">
        <v>30</v>
      </c>
      <c r="M1675" s="168"/>
      <c r="N1675" s="168"/>
      <c r="O1675" s="168"/>
      <c r="P1675" s="168"/>
      <c r="Q1675" s="168" t="s">
        <v>0</v>
      </c>
      <c r="R1675" s="168" t="s">
        <v>1</v>
      </c>
      <c r="S1675" s="178" t="str">
        <f t="shared" si="80"/>
        <v>D_RCAP_AGGREGATED_RESULTSAVAIL_CAP_DEDUCTION</v>
      </c>
    </row>
    <row r="1676" spans="1:19" ht="14.4" x14ac:dyDescent="0.3">
      <c r="A1676" s="169" t="s">
        <v>2052</v>
      </c>
      <c r="B1676" s="171" t="str">
        <f t="shared" si="78"/>
        <v>D_RCAP_AGGREGATED_RESULTS</v>
      </c>
      <c r="C1676" s="169" t="s">
        <v>2080</v>
      </c>
      <c r="D1676" s="169">
        <v>1887</v>
      </c>
      <c r="E1676" s="169">
        <v>2</v>
      </c>
      <c r="F1676" s="169" t="s">
        <v>2080</v>
      </c>
      <c r="G1676" s="169" t="s">
        <v>2080</v>
      </c>
      <c r="H1676" s="169">
        <v>27</v>
      </c>
      <c r="I1676" s="136" t="str">
        <f t="shared" si="79"/>
        <v>INTEGER</v>
      </c>
      <c r="J1676" s="169" t="s">
        <v>0</v>
      </c>
      <c r="K1676" s="169" t="s">
        <v>0</v>
      </c>
      <c r="L1676" s="169">
        <v>30</v>
      </c>
      <c r="M1676" s="168"/>
      <c r="N1676" s="168"/>
      <c r="O1676" s="168"/>
      <c r="P1676" s="168"/>
      <c r="Q1676" s="168" t="s">
        <v>0</v>
      </c>
      <c r="R1676" s="168" t="s">
        <v>1</v>
      </c>
      <c r="S1676" s="178" t="str">
        <f t="shared" si="80"/>
        <v>D_RCAP_AGGREGATED_RESULTSCALC_SESSION_ID</v>
      </c>
    </row>
    <row r="1677" spans="1:19" ht="14.4" x14ac:dyDescent="0.3">
      <c r="A1677" s="169" t="s">
        <v>2052</v>
      </c>
      <c r="B1677" s="171" t="str">
        <f t="shared" si="78"/>
        <v>D_RCAP_AGGREGATED_RESULTS</v>
      </c>
      <c r="C1677" s="169" t="s">
        <v>2140</v>
      </c>
      <c r="D1677" s="169">
        <v>1888</v>
      </c>
      <c r="E1677" s="169">
        <v>3</v>
      </c>
      <c r="F1677" s="169" t="s">
        <v>2140</v>
      </c>
      <c r="G1677" s="169" t="s">
        <v>2140</v>
      </c>
      <c r="H1677" s="169">
        <v>40</v>
      </c>
      <c r="I1677" s="136" t="str">
        <f t="shared" si="79"/>
        <v>DECIMAL(26, 4)</v>
      </c>
      <c r="J1677" s="169" t="s">
        <v>0</v>
      </c>
      <c r="K1677" s="169" t="s">
        <v>1</v>
      </c>
      <c r="L1677" s="169">
        <v>30</v>
      </c>
      <c r="M1677" s="168"/>
      <c r="N1677" s="168"/>
      <c r="O1677" s="168"/>
      <c r="P1677" s="168"/>
      <c r="Q1677" s="168" t="s">
        <v>0</v>
      </c>
      <c r="R1677" s="168" t="s">
        <v>1</v>
      </c>
      <c r="S1677" s="178" t="str">
        <f t="shared" si="80"/>
        <v>D_RCAP_AGGREGATED_RESULTSRCAP</v>
      </c>
    </row>
    <row r="1678" spans="1:19" ht="14.4" x14ac:dyDescent="0.3">
      <c r="A1678" s="169" t="s">
        <v>2052</v>
      </c>
      <c r="B1678" s="171" t="str">
        <f t="shared" si="78"/>
        <v>D_RCAP_AGGREGATED_RESULTS</v>
      </c>
      <c r="C1678" s="169" t="s">
        <v>2141</v>
      </c>
      <c r="D1678" s="169">
        <v>1889</v>
      </c>
      <c r="E1678" s="169">
        <v>4</v>
      </c>
      <c r="F1678" s="169" t="s">
        <v>2141</v>
      </c>
      <c r="G1678" s="169" t="s">
        <v>2141</v>
      </c>
      <c r="H1678" s="169">
        <v>40</v>
      </c>
      <c r="I1678" s="136" t="str">
        <f t="shared" si="79"/>
        <v>DECIMAL(26, 4)</v>
      </c>
      <c r="J1678" s="169" t="s">
        <v>0</v>
      </c>
      <c r="K1678" s="169" t="s">
        <v>1</v>
      </c>
      <c r="L1678" s="169">
        <v>30</v>
      </c>
      <c r="M1678" s="168"/>
      <c r="N1678" s="168"/>
      <c r="O1678" s="168"/>
      <c r="P1678" s="168"/>
      <c r="Q1678" s="168" t="s">
        <v>0</v>
      </c>
      <c r="R1678" s="168" t="s">
        <v>1</v>
      </c>
      <c r="S1678" s="178" t="str">
        <f t="shared" si="80"/>
        <v>D_RCAP_AGGREGATED_RESULTSRWA</v>
      </c>
    </row>
    <row r="1679" spans="1:19" ht="14.4" x14ac:dyDescent="0.3">
      <c r="A1679" s="169" t="s">
        <v>1825</v>
      </c>
      <c r="B1679" s="171" t="str">
        <f t="shared" si="78"/>
        <v>D_RCAP_CALC_SESSIONS</v>
      </c>
      <c r="C1679" s="169" t="s">
        <v>1946</v>
      </c>
      <c r="D1679" s="169">
        <v>894</v>
      </c>
      <c r="E1679" s="169">
        <v>1</v>
      </c>
      <c r="F1679" s="169" t="s">
        <v>1946</v>
      </c>
      <c r="G1679" s="169" t="s">
        <v>1946</v>
      </c>
      <c r="H1679" s="169">
        <v>11</v>
      </c>
      <c r="I1679" s="136" t="str">
        <f t="shared" si="79"/>
        <v>BLOB(2097088000)</v>
      </c>
      <c r="J1679" s="169" t="s">
        <v>0</v>
      </c>
      <c r="K1679" s="169" t="s">
        <v>1</v>
      </c>
      <c r="L1679" s="169">
        <v>30</v>
      </c>
      <c r="M1679" s="168"/>
      <c r="N1679" s="168"/>
      <c r="O1679" s="168"/>
      <c r="P1679" s="168"/>
      <c r="Q1679" s="168" t="s">
        <v>0</v>
      </c>
      <c r="R1679" s="168" t="s">
        <v>1</v>
      </c>
      <c r="S1679" s="178" t="str">
        <f t="shared" si="80"/>
        <v>D_RCAP_CALC_SESSIONSBLOB_ARCHIVE</v>
      </c>
    </row>
    <row r="1680" spans="1:19" ht="14.4" x14ac:dyDescent="0.3">
      <c r="A1680" s="169" t="s">
        <v>1825</v>
      </c>
      <c r="B1680" s="171" t="str">
        <f t="shared" si="78"/>
        <v>D_RCAP_CALC_SESSIONS</v>
      </c>
      <c r="C1680" s="169" t="s">
        <v>1947</v>
      </c>
      <c r="D1680" s="169">
        <v>895</v>
      </c>
      <c r="E1680" s="169">
        <v>2</v>
      </c>
      <c r="F1680" s="169" t="s">
        <v>1947</v>
      </c>
      <c r="G1680" s="169" t="s">
        <v>1947</v>
      </c>
      <c r="H1680" s="169">
        <v>22</v>
      </c>
      <c r="I1680" s="136" t="str">
        <f t="shared" si="79"/>
        <v>TIMESTAMP(6)</v>
      </c>
      <c r="J1680" s="169" t="s">
        <v>0</v>
      </c>
      <c r="K1680" s="169" t="s">
        <v>1</v>
      </c>
      <c r="L1680" s="169">
        <v>30</v>
      </c>
      <c r="M1680" s="168"/>
      <c r="N1680" s="168"/>
      <c r="O1680" s="168"/>
      <c r="P1680" s="168"/>
      <c r="Q1680" s="168" t="s">
        <v>0</v>
      </c>
      <c r="R1680" s="168" t="s">
        <v>1</v>
      </c>
      <c r="S1680" s="178" t="str">
        <f t="shared" si="80"/>
        <v>D_RCAP_CALC_SESSIONScalculation_end</v>
      </c>
    </row>
    <row r="1681" spans="1:19" ht="14.4" x14ac:dyDescent="0.3">
      <c r="A1681" s="169" t="s">
        <v>1825</v>
      </c>
      <c r="B1681" s="171" t="str">
        <f t="shared" si="78"/>
        <v>D_RCAP_CALC_SESSIONS</v>
      </c>
      <c r="C1681" s="169" t="s">
        <v>1948</v>
      </c>
      <c r="D1681" s="169">
        <v>896</v>
      </c>
      <c r="E1681" s="169">
        <v>3</v>
      </c>
      <c r="F1681" s="169" t="s">
        <v>1948</v>
      </c>
      <c r="G1681" s="169" t="s">
        <v>1948</v>
      </c>
      <c r="H1681" s="169">
        <v>22</v>
      </c>
      <c r="I1681" s="136" t="str">
        <f t="shared" si="79"/>
        <v>TIMESTAMP(6)</v>
      </c>
      <c r="J1681" s="169" t="s">
        <v>0</v>
      </c>
      <c r="K1681" s="169" t="s">
        <v>1</v>
      </c>
      <c r="L1681" s="169">
        <v>30</v>
      </c>
      <c r="M1681" s="168"/>
      <c r="N1681" s="168"/>
      <c r="O1681" s="168"/>
      <c r="P1681" s="168"/>
      <c r="Q1681" s="168" t="s">
        <v>0</v>
      </c>
      <c r="R1681" s="168" t="s">
        <v>1</v>
      </c>
      <c r="S1681" s="178" t="str">
        <f t="shared" si="80"/>
        <v>D_RCAP_CALC_SESSIONScalculation_start</v>
      </c>
    </row>
    <row r="1682" spans="1:19" ht="14.4" x14ac:dyDescent="0.3">
      <c r="A1682" s="169" t="s">
        <v>1825</v>
      </c>
      <c r="B1682" s="171" t="str">
        <f t="shared" si="78"/>
        <v>D_RCAP_CALC_SESSIONS</v>
      </c>
      <c r="C1682" s="169" t="s">
        <v>2016</v>
      </c>
      <c r="D1682" s="169">
        <v>897</v>
      </c>
      <c r="E1682" s="169">
        <v>4</v>
      </c>
      <c r="F1682" s="169" t="s">
        <v>1949</v>
      </c>
      <c r="G1682" s="169" t="s">
        <v>1949</v>
      </c>
      <c r="H1682" s="169">
        <v>25</v>
      </c>
      <c r="I1682" s="136" t="str">
        <f t="shared" si="79"/>
        <v xml:space="preserve">CHAR(100) </v>
      </c>
      <c r="J1682" s="169" t="s">
        <v>0</v>
      </c>
      <c r="K1682" s="169" t="s">
        <v>1</v>
      </c>
      <c r="L1682" s="169">
        <v>30</v>
      </c>
      <c r="M1682" s="168"/>
      <c r="N1682" s="168"/>
      <c r="O1682" s="168"/>
      <c r="P1682" s="168"/>
      <c r="Q1682" s="168" t="s">
        <v>0</v>
      </c>
      <c r="R1682" s="168" t="s">
        <v>1</v>
      </c>
      <c r="S1682" s="178" t="str">
        <f t="shared" si="80"/>
        <v>D_RCAP_CALC_SESSIONS"COMMENT"</v>
      </c>
    </row>
    <row r="1683" spans="1:19" ht="14.4" x14ac:dyDescent="0.3">
      <c r="A1683" s="169" t="s">
        <v>1825</v>
      </c>
      <c r="B1683" s="171" t="str">
        <f t="shared" si="78"/>
        <v>D_RCAP_CALC_SESSIONS</v>
      </c>
      <c r="C1683" s="169" t="s">
        <v>1950</v>
      </c>
      <c r="D1683" s="169">
        <v>898</v>
      </c>
      <c r="E1683" s="169">
        <v>5</v>
      </c>
      <c r="F1683" s="169" t="s">
        <v>1950</v>
      </c>
      <c r="G1683" s="169" t="s">
        <v>1950</v>
      </c>
      <c r="H1683" s="169">
        <v>16</v>
      </c>
      <c r="I1683" s="136" t="str">
        <f t="shared" si="79"/>
        <v>DECIMAL(26, 6)</v>
      </c>
      <c r="J1683" s="169" t="s">
        <v>0</v>
      </c>
      <c r="K1683" s="169" t="s">
        <v>1</v>
      </c>
      <c r="L1683" s="169">
        <v>30</v>
      </c>
      <c r="M1683" s="168"/>
      <c r="N1683" s="168"/>
      <c r="O1683" s="168"/>
      <c r="P1683" s="168"/>
      <c r="Q1683" s="168" t="s">
        <v>0</v>
      </c>
      <c r="R1683" s="168" t="s">
        <v>1</v>
      </c>
      <c r="S1683" s="178" t="str">
        <f t="shared" si="80"/>
        <v>D_RCAP_CALC_SESSIONSCONFIDENCE_INTERVAL</v>
      </c>
    </row>
    <row r="1684" spans="1:19" ht="14.4" x14ac:dyDescent="0.3">
      <c r="A1684" s="169" t="s">
        <v>1825</v>
      </c>
      <c r="B1684" s="171" t="str">
        <f t="shared" si="78"/>
        <v>D_RCAP_CALC_SESSIONS</v>
      </c>
      <c r="C1684" s="169" t="s">
        <v>1951</v>
      </c>
      <c r="D1684" s="169">
        <v>899</v>
      </c>
      <c r="E1684" s="169">
        <v>6</v>
      </c>
      <c r="F1684" s="169" t="s">
        <v>1951</v>
      </c>
      <c r="G1684" s="169" t="s">
        <v>1951</v>
      </c>
      <c r="H1684" s="169">
        <v>20</v>
      </c>
      <c r="I1684" s="136" t="str">
        <f t="shared" si="79"/>
        <v xml:space="preserve">VARCHAR(32) </v>
      </c>
      <c r="J1684" s="169" t="s">
        <v>0</v>
      </c>
      <c r="K1684" s="169" t="s">
        <v>1</v>
      </c>
      <c r="L1684" s="169">
        <v>30</v>
      </c>
      <c r="M1684" s="168"/>
      <c r="N1684" s="168"/>
      <c r="O1684" s="168"/>
      <c r="P1684" s="168"/>
      <c r="Q1684" s="168" t="s">
        <v>0</v>
      </c>
      <c r="R1684" s="168" t="s">
        <v>1</v>
      </c>
      <c r="S1684" s="178" t="str">
        <f t="shared" si="80"/>
        <v>D_RCAP_CALC_SESSIONSCONFIGURATION_ID</v>
      </c>
    </row>
    <row r="1685" spans="1:19" ht="14.4" x14ac:dyDescent="0.3">
      <c r="A1685" s="169" t="s">
        <v>1825</v>
      </c>
      <c r="B1685" s="171" t="str">
        <f t="shared" si="78"/>
        <v>D_RCAP_CALC_SESSIONS</v>
      </c>
      <c r="C1685" s="169" t="s">
        <v>1931</v>
      </c>
      <c r="D1685" s="169">
        <v>900</v>
      </c>
      <c r="E1685" s="169">
        <v>7</v>
      </c>
      <c r="F1685" s="169" t="s">
        <v>1931</v>
      </c>
      <c r="G1685" s="169" t="s">
        <v>1931</v>
      </c>
      <c r="H1685" s="169">
        <v>9</v>
      </c>
      <c r="I1685" s="136" t="str">
        <f t="shared" si="79"/>
        <v xml:space="preserve">CHAR(32) </v>
      </c>
      <c r="J1685" s="169" t="s">
        <v>0</v>
      </c>
      <c r="K1685" s="169" t="s">
        <v>1</v>
      </c>
      <c r="L1685" s="169">
        <v>30</v>
      </c>
      <c r="M1685" s="168"/>
      <c r="N1685" s="168"/>
      <c r="O1685" s="168"/>
      <c r="P1685" s="168"/>
      <c r="Q1685" s="168" t="s">
        <v>0</v>
      </c>
      <c r="R1685" s="168" t="s">
        <v>1</v>
      </c>
      <c r="S1685" s="178" t="str">
        <f t="shared" si="80"/>
        <v>D_RCAP_CALC_SESSIONSENTITY_SYSTEM_ID</v>
      </c>
    </row>
    <row r="1686" spans="1:19" ht="14.4" x14ac:dyDescent="0.3">
      <c r="A1686" s="169" t="s">
        <v>1825</v>
      </c>
      <c r="B1686" s="171" t="str">
        <f t="shared" si="78"/>
        <v>D_RCAP_CALC_SESSIONS</v>
      </c>
      <c r="C1686" s="169" t="s">
        <v>1952</v>
      </c>
      <c r="D1686" s="169">
        <v>901</v>
      </c>
      <c r="E1686" s="169">
        <v>8</v>
      </c>
      <c r="F1686" s="169" t="s">
        <v>1952</v>
      </c>
      <c r="G1686" s="169" t="s">
        <v>1952</v>
      </c>
      <c r="H1686" s="169">
        <v>16</v>
      </c>
      <c r="I1686" s="136" t="str">
        <f t="shared" si="79"/>
        <v>DECIMAL(26, 6)</v>
      </c>
      <c r="J1686" s="169" t="s">
        <v>0</v>
      </c>
      <c r="K1686" s="169" t="s">
        <v>1</v>
      </c>
      <c r="L1686" s="169">
        <v>30</v>
      </c>
      <c r="M1686" s="168"/>
      <c r="N1686" s="168"/>
      <c r="O1686" s="168"/>
      <c r="P1686" s="168"/>
      <c r="Q1686" s="168" t="s">
        <v>0</v>
      </c>
      <c r="R1686" s="168" t="s">
        <v>1</v>
      </c>
      <c r="S1686" s="178" t="str">
        <f t="shared" si="80"/>
        <v>D_RCAP_CALC_SESSIONSEUR_FX_RATE</v>
      </c>
    </row>
    <row r="1687" spans="1:19" ht="14.4" x14ac:dyDescent="0.3">
      <c r="A1687" s="169" t="s">
        <v>1825</v>
      </c>
      <c r="B1687" s="171" t="str">
        <f t="shared" si="78"/>
        <v>D_RCAP_CALC_SESSIONS</v>
      </c>
      <c r="C1687" s="169" t="s">
        <v>1953</v>
      </c>
      <c r="D1687" s="169">
        <v>902</v>
      </c>
      <c r="E1687" s="169">
        <v>9</v>
      </c>
      <c r="F1687" s="169" t="s">
        <v>1953</v>
      </c>
      <c r="G1687" s="169" t="s">
        <v>1953</v>
      </c>
      <c r="H1687" s="169">
        <v>22</v>
      </c>
      <c r="I1687" s="136" t="str">
        <f t="shared" si="79"/>
        <v>TIMESTAMP(6)</v>
      </c>
      <c r="J1687" s="169" t="s">
        <v>0</v>
      </c>
      <c r="K1687" s="169" t="s">
        <v>0</v>
      </c>
      <c r="L1687" s="169">
        <v>30</v>
      </c>
      <c r="M1687" s="168"/>
      <c r="N1687" s="168"/>
      <c r="O1687" s="168"/>
      <c r="P1687" s="168"/>
      <c r="Q1687" s="168" t="s">
        <v>0</v>
      </c>
      <c r="R1687" s="168" t="s">
        <v>1</v>
      </c>
      <c r="S1687" s="178" t="str">
        <f t="shared" si="80"/>
        <v>D_RCAP_CALC_SESSIONSEXTRACTION_DATETIME</v>
      </c>
    </row>
    <row r="1688" spans="1:19" ht="14.4" x14ac:dyDescent="0.3">
      <c r="A1688" s="169" t="s">
        <v>1825</v>
      </c>
      <c r="B1688" s="171" t="str">
        <f t="shared" si="78"/>
        <v>D_RCAP_CALC_SESSIONS</v>
      </c>
      <c r="C1688" s="169" t="s">
        <v>1954</v>
      </c>
      <c r="D1688" s="169">
        <v>903</v>
      </c>
      <c r="E1688" s="169">
        <v>10</v>
      </c>
      <c r="F1688" s="169" t="s">
        <v>1954</v>
      </c>
      <c r="G1688" s="169" t="s">
        <v>1954</v>
      </c>
      <c r="H1688" s="169">
        <v>10</v>
      </c>
      <c r="I1688" s="136" t="str">
        <f t="shared" si="79"/>
        <v xml:space="preserve">CHAR(12) </v>
      </c>
      <c r="J1688" s="169" t="s">
        <v>0</v>
      </c>
      <c r="K1688" s="169" t="s">
        <v>1</v>
      </c>
      <c r="L1688" s="169">
        <v>30</v>
      </c>
      <c r="M1688" s="168"/>
      <c r="N1688" s="168"/>
      <c r="O1688" s="168"/>
      <c r="P1688" s="168"/>
      <c r="Q1688" s="168" t="s">
        <v>0</v>
      </c>
      <c r="R1688" s="168" t="s">
        <v>1</v>
      </c>
      <c r="S1688" s="178" t="str">
        <f t="shared" si="80"/>
        <v>D_RCAP_CALC_SESSIONSLGD_TYPE</v>
      </c>
    </row>
    <row r="1689" spans="1:19" ht="14.4" x14ac:dyDescent="0.3">
      <c r="A1689" s="169" t="s">
        <v>1825</v>
      </c>
      <c r="B1689" s="171" t="str">
        <f t="shared" si="78"/>
        <v>D_RCAP_CALC_SESSIONS</v>
      </c>
      <c r="C1689" s="169" t="s">
        <v>1955</v>
      </c>
      <c r="D1689" s="169">
        <v>904</v>
      </c>
      <c r="E1689" s="169">
        <v>11</v>
      </c>
      <c r="F1689" s="169" t="s">
        <v>1955</v>
      </c>
      <c r="G1689" s="169" t="s">
        <v>1955</v>
      </c>
      <c r="H1689" s="169">
        <v>6</v>
      </c>
      <c r="I1689" s="136" t="str">
        <f t="shared" si="79"/>
        <v>SMALLINT</v>
      </c>
      <c r="J1689" s="169" t="s">
        <v>0</v>
      </c>
      <c r="K1689" s="169" t="s">
        <v>1</v>
      </c>
      <c r="L1689" s="169">
        <v>30</v>
      </c>
      <c r="M1689" s="168"/>
      <c r="N1689" s="168"/>
      <c r="O1689" s="168"/>
      <c r="P1689" s="168"/>
      <c r="Q1689" s="168" t="s">
        <v>0</v>
      </c>
      <c r="R1689" s="168" t="s">
        <v>1</v>
      </c>
      <c r="S1689" s="178" t="str">
        <f t="shared" si="80"/>
        <v>D_RCAP_CALC_SESSIONSMASTER_CALCULATION</v>
      </c>
    </row>
    <row r="1690" spans="1:19" ht="14.4" x14ac:dyDescent="0.3">
      <c r="A1690" s="169" t="s">
        <v>1825</v>
      </c>
      <c r="B1690" s="171" t="str">
        <f t="shared" si="78"/>
        <v>D_RCAP_CALC_SESSIONS</v>
      </c>
      <c r="C1690" s="169" t="s">
        <v>1956</v>
      </c>
      <c r="D1690" s="169">
        <v>905</v>
      </c>
      <c r="E1690" s="169">
        <v>12</v>
      </c>
      <c r="F1690" s="169" t="s">
        <v>1956</v>
      </c>
      <c r="G1690" s="169" t="s">
        <v>1956</v>
      </c>
      <c r="H1690" s="169">
        <v>36</v>
      </c>
      <c r="I1690" s="136" t="str">
        <f t="shared" si="79"/>
        <v xml:space="preserve">CHAR(17) </v>
      </c>
      <c r="J1690" s="169" t="s">
        <v>0</v>
      </c>
      <c r="K1690" s="169" t="s">
        <v>1</v>
      </c>
      <c r="L1690" s="169">
        <v>30</v>
      </c>
      <c r="M1690" s="168"/>
      <c r="N1690" s="168"/>
      <c r="O1690" s="168"/>
      <c r="P1690" s="168"/>
      <c r="Q1690" s="168" t="s">
        <v>0</v>
      </c>
      <c r="R1690" s="168" t="s">
        <v>1</v>
      </c>
      <c r="S1690" s="178" t="str">
        <f t="shared" si="80"/>
        <v>D_RCAP_CALC_SESSIONSPD_TYPE</v>
      </c>
    </row>
    <row r="1691" spans="1:19" ht="14.4" x14ac:dyDescent="0.3">
      <c r="A1691" s="169" t="s">
        <v>1825</v>
      </c>
      <c r="B1691" s="171" t="str">
        <f t="shared" si="78"/>
        <v>D_RCAP_CALC_SESSIONS</v>
      </c>
      <c r="C1691" s="169" t="s">
        <v>1957</v>
      </c>
      <c r="D1691" s="169">
        <v>906</v>
      </c>
      <c r="E1691" s="169">
        <v>13</v>
      </c>
      <c r="F1691" s="169" t="s">
        <v>1957</v>
      </c>
      <c r="G1691" s="169" t="s">
        <v>1957</v>
      </c>
      <c r="H1691" s="169">
        <v>6</v>
      </c>
      <c r="I1691" s="136" t="str">
        <f t="shared" si="79"/>
        <v>SMALLINT</v>
      </c>
      <c r="J1691" s="169" t="s">
        <v>0</v>
      </c>
      <c r="K1691" s="169" t="s">
        <v>1</v>
      </c>
      <c r="L1691" s="169">
        <v>30</v>
      </c>
      <c r="M1691" s="168"/>
      <c r="N1691" s="168"/>
      <c r="O1691" s="168"/>
      <c r="P1691" s="168"/>
      <c r="Q1691" s="168" t="s">
        <v>0</v>
      </c>
      <c r="R1691" s="168" t="s">
        <v>1</v>
      </c>
      <c r="S1691" s="178" t="str">
        <f t="shared" si="80"/>
        <v>D_RCAP_CALC_SESSIONSPRIMARY_CALCULATION</v>
      </c>
    </row>
    <row r="1692" spans="1:19" ht="14.4" x14ac:dyDescent="0.3">
      <c r="A1692" s="169" t="s">
        <v>1825</v>
      </c>
      <c r="B1692" s="171" t="str">
        <f t="shared" si="78"/>
        <v>D_RCAP_CALC_SESSIONS</v>
      </c>
      <c r="C1692" s="169" t="s">
        <v>1958</v>
      </c>
      <c r="D1692" s="169">
        <v>907</v>
      </c>
      <c r="E1692" s="169">
        <v>14</v>
      </c>
      <c r="F1692" s="169" t="s">
        <v>1958</v>
      </c>
      <c r="G1692" s="169" t="s">
        <v>1958</v>
      </c>
      <c r="H1692" s="169">
        <v>6</v>
      </c>
      <c r="I1692" s="136" t="str">
        <f t="shared" si="79"/>
        <v>SMALLINT</v>
      </c>
      <c r="J1692" s="169" t="s">
        <v>0</v>
      </c>
      <c r="K1692" s="169" t="s">
        <v>1</v>
      </c>
      <c r="L1692" s="169">
        <v>30</v>
      </c>
      <c r="M1692" s="168"/>
      <c r="N1692" s="168"/>
      <c r="O1692" s="168"/>
      <c r="P1692" s="168"/>
      <c r="Q1692" s="168" t="s">
        <v>0</v>
      </c>
      <c r="R1692" s="168" t="s">
        <v>1</v>
      </c>
      <c r="S1692" s="178" t="str">
        <f t="shared" si="80"/>
        <v>D_RCAP_CALC_SESSIONSREG_PRIORITY</v>
      </c>
    </row>
    <row r="1693" spans="1:19" ht="14.4" x14ac:dyDescent="0.3">
      <c r="A1693" s="169" t="s">
        <v>1825</v>
      </c>
      <c r="B1693" s="171" t="str">
        <f t="shared" si="78"/>
        <v>D_RCAP_CALC_SESSIONS</v>
      </c>
      <c r="C1693" s="169" t="s">
        <v>520</v>
      </c>
      <c r="D1693" s="169">
        <v>908</v>
      </c>
      <c r="E1693" s="169">
        <v>15</v>
      </c>
      <c r="F1693" s="169" t="s">
        <v>520</v>
      </c>
      <c r="G1693" s="169" t="s">
        <v>520</v>
      </c>
      <c r="H1693" s="169">
        <v>27</v>
      </c>
      <c r="I1693" s="136" t="str">
        <f t="shared" si="79"/>
        <v>INTEGER</v>
      </c>
      <c r="J1693" s="169" t="s">
        <v>0</v>
      </c>
      <c r="K1693" s="169" t="s">
        <v>0</v>
      </c>
      <c r="L1693" s="169">
        <v>30</v>
      </c>
      <c r="M1693" s="168"/>
      <c r="N1693" s="168"/>
      <c r="O1693" s="168"/>
      <c r="P1693" s="168"/>
      <c r="Q1693" s="168" t="s">
        <v>0</v>
      </c>
      <c r="R1693" s="168" t="s">
        <v>1</v>
      </c>
      <c r="S1693" s="178" t="str">
        <f t="shared" si="80"/>
        <v>D_RCAP_CALC_SESSIONSSESSION_ID</v>
      </c>
    </row>
    <row r="1694" spans="1:19" ht="14.4" x14ac:dyDescent="0.3">
      <c r="A1694" s="169" t="s">
        <v>1825</v>
      </c>
      <c r="B1694" s="171" t="str">
        <f t="shared" si="78"/>
        <v>D_RCAP_CALC_SESSIONS</v>
      </c>
      <c r="C1694" s="169" t="s">
        <v>522</v>
      </c>
      <c r="D1694" s="169">
        <v>909</v>
      </c>
      <c r="E1694" s="169">
        <v>16</v>
      </c>
      <c r="F1694" s="169" t="s">
        <v>522</v>
      </c>
      <c r="G1694" s="169" t="s">
        <v>522</v>
      </c>
      <c r="H1694" s="169">
        <v>9</v>
      </c>
      <c r="I1694" s="136" t="str">
        <f t="shared" si="79"/>
        <v xml:space="preserve">CHAR(32) </v>
      </c>
      <c r="J1694" s="169" t="s">
        <v>0</v>
      </c>
      <c r="K1694" s="169" t="s">
        <v>1</v>
      </c>
      <c r="L1694" s="169">
        <v>30</v>
      </c>
      <c r="M1694" s="168"/>
      <c r="N1694" s="168"/>
      <c r="O1694" s="168"/>
      <c r="P1694" s="168"/>
      <c r="Q1694" s="168" t="s">
        <v>0</v>
      </c>
      <c r="R1694" s="168" t="s">
        <v>1</v>
      </c>
      <c r="S1694" s="178" t="str">
        <f t="shared" si="80"/>
        <v>D_RCAP_CALC_SESSIONSSESSION_NAME</v>
      </c>
    </row>
    <row r="1695" spans="1:19" ht="14.4" x14ac:dyDescent="0.3">
      <c r="A1695" s="169" t="s">
        <v>1825</v>
      </c>
      <c r="B1695" s="171" t="str">
        <f t="shared" si="78"/>
        <v>D_RCAP_CALC_SESSIONS</v>
      </c>
      <c r="C1695" s="169" t="s">
        <v>1959</v>
      </c>
      <c r="D1695" s="169">
        <v>910</v>
      </c>
      <c r="E1695" s="169">
        <v>17</v>
      </c>
      <c r="F1695" s="169" t="s">
        <v>1959</v>
      </c>
      <c r="G1695" s="169" t="s">
        <v>1959</v>
      </c>
      <c r="H1695" s="169">
        <v>2</v>
      </c>
      <c r="I1695" s="136" t="str">
        <f t="shared" si="79"/>
        <v xml:space="preserve">CHAR(21) </v>
      </c>
      <c r="J1695" s="169" t="s">
        <v>0</v>
      </c>
      <c r="K1695" s="169" t="s">
        <v>1</v>
      </c>
      <c r="L1695" s="169">
        <v>30</v>
      </c>
      <c r="M1695" s="168"/>
      <c r="N1695" s="168"/>
      <c r="O1695" s="168"/>
      <c r="P1695" s="168"/>
      <c r="Q1695" s="168" t="s">
        <v>0</v>
      </c>
      <c r="R1695" s="168" t="s">
        <v>1</v>
      </c>
      <c r="S1695" s="178" t="str">
        <f t="shared" si="80"/>
        <v>D_RCAP_CALC_SESSIONSSL_CALC_TYPE</v>
      </c>
    </row>
    <row r="1696" spans="1:19" ht="14.4" x14ac:dyDescent="0.3">
      <c r="A1696" s="169" t="s">
        <v>1825</v>
      </c>
      <c r="B1696" s="171" t="str">
        <f t="shared" si="78"/>
        <v>D_RCAP_CALC_SESSIONS</v>
      </c>
      <c r="C1696" s="169" t="s">
        <v>2017</v>
      </c>
      <c r="D1696" s="169">
        <v>911</v>
      </c>
      <c r="E1696" s="169">
        <v>18</v>
      </c>
      <c r="F1696" s="169" t="s">
        <v>276</v>
      </c>
      <c r="G1696" s="169" t="s">
        <v>276</v>
      </c>
      <c r="H1696" s="169">
        <v>9</v>
      </c>
      <c r="I1696" s="136" t="str">
        <f t="shared" si="79"/>
        <v xml:space="preserve">CHAR(32) </v>
      </c>
      <c r="J1696" s="169" t="s">
        <v>0</v>
      </c>
      <c r="K1696" s="169" t="s">
        <v>1</v>
      </c>
      <c r="L1696" s="169">
        <v>30</v>
      </c>
      <c r="M1696" s="168"/>
      <c r="N1696" s="168"/>
      <c r="O1696" s="168"/>
      <c r="P1696" s="168"/>
      <c r="Q1696" s="168" t="s">
        <v>0</v>
      </c>
      <c r="R1696" s="168" t="s">
        <v>1</v>
      </c>
      <c r="S1696" s="178" t="str">
        <f t="shared" si="80"/>
        <v>D_RCAP_CALC_SESSIONS"USER"</v>
      </c>
    </row>
    <row r="1697" spans="1:19" ht="14.4" x14ac:dyDescent="0.3">
      <c r="A1697" s="169" t="s">
        <v>1825</v>
      </c>
      <c r="B1697" s="171" t="str">
        <f t="shared" si="78"/>
        <v>D_RCAP_CALC_SESSIONS</v>
      </c>
      <c r="C1697" s="169" t="s">
        <v>1887</v>
      </c>
      <c r="D1697" s="169">
        <v>912</v>
      </c>
      <c r="E1697" s="169">
        <v>19</v>
      </c>
      <c r="F1697" s="169" t="s">
        <v>1887</v>
      </c>
      <c r="G1697" s="169" t="s">
        <v>1887</v>
      </c>
      <c r="H1697" s="169">
        <v>34</v>
      </c>
      <c r="I1697" s="136" t="str">
        <f t="shared" si="79"/>
        <v>DATE</v>
      </c>
      <c r="J1697" s="169" t="s">
        <v>0</v>
      </c>
      <c r="K1697" s="169" t="s">
        <v>1</v>
      </c>
      <c r="L1697" s="169">
        <v>30</v>
      </c>
      <c r="M1697" s="168"/>
      <c r="N1697" s="168"/>
      <c r="O1697" s="168"/>
      <c r="P1697" s="168"/>
      <c r="Q1697" s="168" t="s">
        <v>0</v>
      </c>
      <c r="R1697" s="168" t="s">
        <v>1</v>
      </c>
      <c r="S1697" s="178" t="str">
        <f t="shared" si="80"/>
        <v>D_RCAP_CALC_SESSIONSVALIDITY_DATE</v>
      </c>
    </row>
    <row r="1698" spans="1:19" ht="14.4" x14ac:dyDescent="0.3">
      <c r="A1698" s="169" t="s">
        <v>2026</v>
      </c>
      <c r="B1698" s="171" t="str">
        <f t="shared" si="78"/>
        <v>D_RCAP_PER_EXPOSURE_RESULTS</v>
      </c>
      <c r="C1698" s="169" t="s">
        <v>2139</v>
      </c>
      <c r="D1698" s="169">
        <v>1890</v>
      </c>
      <c r="E1698" s="169">
        <v>1</v>
      </c>
      <c r="F1698" s="169" t="s">
        <v>2139</v>
      </c>
      <c r="G1698" s="169" t="s">
        <v>2139</v>
      </c>
      <c r="H1698" s="169">
        <v>40</v>
      </c>
      <c r="I1698" s="136" t="str">
        <f t="shared" si="79"/>
        <v>DECIMAL(26, 4)</v>
      </c>
      <c r="J1698" s="169" t="s">
        <v>0</v>
      </c>
      <c r="K1698" s="169" t="s">
        <v>1</v>
      </c>
      <c r="L1698" s="169">
        <v>30</v>
      </c>
      <c r="M1698" s="168"/>
      <c r="N1698" s="168"/>
      <c r="O1698" s="168"/>
      <c r="P1698" s="168"/>
      <c r="Q1698" s="168" t="s">
        <v>0</v>
      </c>
      <c r="R1698" s="168" t="s">
        <v>1</v>
      </c>
      <c r="S1698" s="178" t="str">
        <f t="shared" si="80"/>
        <v>D_RCAP_PER_EXPOSURE_RESULTSAVAIL_CAP_DEDUCTION</v>
      </c>
    </row>
    <row r="1699" spans="1:19" ht="14.4" x14ac:dyDescent="0.3">
      <c r="A1699" s="169" t="s">
        <v>2026</v>
      </c>
      <c r="B1699" s="171" t="str">
        <f t="shared" si="78"/>
        <v>D_RCAP_PER_EXPOSURE_RESULTS</v>
      </c>
      <c r="C1699" s="169" t="s">
        <v>2142</v>
      </c>
      <c r="D1699" s="169">
        <v>1891</v>
      </c>
      <c r="E1699" s="169">
        <v>2</v>
      </c>
      <c r="F1699" s="169" t="s">
        <v>2142</v>
      </c>
      <c r="G1699" s="169" t="s">
        <v>2142</v>
      </c>
      <c r="H1699" s="169">
        <v>16</v>
      </c>
      <c r="I1699" s="136" t="str">
        <f t="shared" si="79"/>
        <v>DECIMAL(26, 6)</v>
      </c>
      <c r="J1699" s="169" t="s">
        <v>0</v>
      </c>
      <c r="K1699" s="169" t="s">
        <v>1</v>
      </c>
      <c r="L1699" s="169">
        <v>30</v>
      </c>
      <c r="M1699" s="168"/>
      <c r="N1699" s="168"/>
      <c r="O1699" s="168"/>
      <c r="P1699" s="168"/>
      <c r="Q1699" s="168" t="s">
        <v>0</v>
      </c>
      <c r="R1699" s="168" t="s">
        <v>1</v>
      </c>
      <c r="S1699" s="178" t="str">
        <f t="shared" si="80"/>
        <v>D_RCAP_PER_EXPOSURE_RESULTSB</v>
      </c>
    </row>
    <row r="1700" spans="1:19" ht="14.4" x14ac:dyDescent="0.3">
      <c r="A1700" s="169" t="s">
        <v>2026</v>
      </c>
      <c r="B1700" s="171" t="str">
        <f t="shared" si="78"/>
        <v>D_RCAP_PER_EXPOSURE_RESULTS</v>
      </c>
      <c r="C1700" s="169" t="s">
        <v>2143</v>
      </c>
      <c r="D1700" s="169">
        <v>1892</v>
      </c>
      <c r="E1700" s="169">
        <v>3</v>
      </c>
      <c r="F1700" s="169" t="s">
        <v>2143</v>
      </c>
      <c r="G1700" s="169" t="s">
        <v>2143</v>
      </c>
      <c r="H1700" s="169">
        <v>16</v>
      </c>
      <c r="I1700" s="136" t="str">
        <f t="shared" si="79"/>
        <v>DECIMAL(26, 6)</v>
      </c>
      <c r="J1700" s="169" t="s">
        <v>0</v>
      </c>
      <c r="K1700" s="169" t="s">
        <v>1</v>
      </c>
      <c r="L1700" s="169">
        <v>30</v>
      </c>
      <c r="M1700" s="168"/>
      <c r="N1700" s="168"/>
      <c r="O1700" s="168"/>
      <c r="P1700" s="168"/>
      <c r="Q1700" s="168" t="s">
        <v>0</v>
      </c>
      <c r="R1700" s="168" t="s">
        <v>1</v>
      </c>
      <c r="S1700" s="178" t="str">
        <f t="shared" si="80"/>
        <v>D_RCAP_PER_EXPOSURE_RESULTSB_DEFAULT</v>
      </c>
    </row>
    <row r="1701" spans="1:19" ht="14.4" x14ac:dyDescent="0.3">
      <c r="A1701" s="169" t="s">
        <v>2026</v>
      </c>
      <c r="B1701" s="171" t="str">
        <f t="shared" si="78"/>
        <v>D_RCAP_PER_EXPOSURE_RESULTS</v>
      </c>
      <c r="C1701" s="169" t="s">
        <v>2144</v>
      </c>
      <c r="D1701" s="169">
        <v>1893</v>
      </c>
      <c r="E1701" s="169">
        <v>4</v>
      </c>
      <c r="F1701" s="169" t="s">
        <v>2144</v>
      </c>
      <c r="G1701" s="169" t="s">
        <v>2144</v>
      </c>
      <c r="H1701" s="169">
        <v>16</v>
      </c>
      <c r="I1701" s="136" t="str">
        <f t="shared" si="79"/>
        <v>DECIMAL(26, 6)</v>
      </c>
      <c r="J1701" s="169" t="s">
        <v>0</v>
      </c>
      <c r="K1701" s="169" t="s">
        <v>1</v>
      </c>
      <c r="L1701" s="169">
        <v>30</v>
      </c>
      <c r="M1701" s="168"/>
      <c r="N1701" s="168"/>
      <c r="O1701" s="168"/>
      <c r="P1701" s="168"/>
      <c r="Q1701" s="168" t="s">
        <v>0</v>
      </c>
      <c r="R1701" s="168" t="s">
        <v>1</v>
      </c>
      <c r="S1701" s="178" t="str">
        <f t="shared" si="80"/>
        <v>D_RCAP_PER_EXPOSURE_RESULTSB_DILUTION</v>
      </c>
    </row>
    <row r="1702" spans="1:19" ht="14.4" x14ac:dyDescent="0.3">
      <c r="A1702" s="169" t="s">
        <v>2026</v>
      </c>
      <c r="B1702" s="171" t="str">
        <f t="shared" si="78"/>
        <v>D_RCAP_PER_EXPOSURE_RESULTS</v>
      </c>
      <c r="C1702" s="169" t="s">
        <v>2080</v>
      </c>
      <c r="D1702" s="169">
        <v>1894</v>
      </c>
      <c r="E1702" s="169">
        <v>5</v>
      </c>
      <c r="F1702" s="169" t="s">
        <v>2080</v>
      </c>
      <c r="G1702" s="169" t="s">
        <v>2080</v>
      </c>
      <c r="H1702" s="169">
        <v>27</v>
      </c>
      <c r="I1702" s="136" t="str">
        <f t="shared" si="79"/>
        <v>INTEGER</v>
      </c>
      <c r="J1702" s="169" t="s">
        <v>0</v>
      </c>
      <c r="K1702" s="169" t="s">
        <v>0</v>
      </c>
      <c r="L1702" s="169">
        <v>30</v>
      </c>
      <c r="M1702" s="168"/>
      <c r="N1702" s="168"/>
      <c r="O1702" s="168"/>
      <c r="P1702" s="168"/>
      <c r="Q1702" s="168" t="s">
        <v>0</v>
      </c>
      <c r="R1702" s="168" t="s">
        <v>1</v>
      </c>
      <c r="S1702" s="178" t="str">
        <f t="shared" si="80"/>
        <v>D_RCAP_PER_EXPOSURE_RESULTSCALC_SESSION_ID</v>
      </c>
    </row>
    <row r="1703" spans="1:19" ht="14.4" x14ac:dyDescent="0.3">
      <c r="A1703" s="169" t="s">
        <v>2026</v>
      </c>
      <c r="B1703" s="171" t="str">
        <f t="shared" si="78"/>
        <v>D_RCAP_PER_EXPOSURE_RESULTS</v>
      </c>
      <c r="C1703" s="169" t="s">
        <v>1870</v>
      </c>
      <c r="D1703" s="169">
        <v>1895</v>
      </c>
      <c r="E1703" s="169">
        <v>6</v>
      </c>
      <c r="F1703" s="169" t="s">
        <v>1870</v>
      </c>
      <c r="G1703" s="169" t="s">
        <v>1870</v>
      </c>
      <c r="H1703" s="169">
        <v>45</v>
      </c>
      <c r="I1703" s="136" t="str">
        <f t="shared" si="79"/>
        <v>DECIMAL(15, 0)</v>
      </c>
      <c r="J1703" s="169" t="s">
        <v>0</v>
      </c>
      <c r="K1703" s="169" t="s">
        <v>1</v>
      </c>
      <c r="L1703" s="169">
        <v>30</v>
      </c>
      <c r="M1703" s="168"/>
      <c r="N1703" s="168"/>
      <c r="O1703" s="168"/>
      <c r="P1703" s="168"/>
      <c r="Q1703" s="168" t="s">
        <v>0</v>
      </c>
      <c r="R1703" s="168" t="s">
        <v>1</v>
      </c>
      <c r="S1703" s="178" t="str">
        <f t="shared" si="80"/>
        <v>D_RCAP_PER_EXPOSURE_RESULTSCOUNTERPARTY_RK</v>
      </c>
    </row>
    <row r="1704" spans="1:19" ht="14.4" x14ac:dyDescent="0.3">
      <c r="A1704" s="169" t="s">
        <v>2026</v>
      </c>
      <c r="B1704" s="171" t="str">
        <f t="shared" si="78"/>
        <v>D_RCAP_PER_EXPOSURE_RESULTS</v>
      </c>
      <c r="C1704" s="169" t="s">
        <v>2105</v>
      </c>
      <c r="D1704" s="169">
        <v>1896</v>
      </c>
      <c r="E1704" s="169">
        <v>7</v>
      </c>
      <c r="F1704" s="169" t="s">
        <v>2105</v>
      </c>
      <c r="G1704" s="169" t="s">
        <v>2105</v>
      </c>
      <c r="H1704" s="169">
        <v>40</v>
      </c>
      <c r="I1704" s="136" t="str">
        <f t="shared" si="79"/>
        <v>DECIMAL(26, 4)</v>
      </c>
      <c r="J1704" s="169" t="s">
        <v>0</v>
      </c>
      <c r="K1704" s="169" t="s">
        <v>1</v>
      </c>
      <c r="L1704" s="169">
        <v>30</v>
      </c>
      <c r="M1704" s="168"/>
      <c r="N1704" s="168"/>
      <c r="O1704" s="168"/>
      <c r="P1704" s="168"/>
      <c r="Q1704" s="168" t="s">
        <v>0</v>
      </c>
      <c r="R1704" s="168" t="s">
        <v>1</v>
      </c>
      <c r="S1704" s="178" t="str">
        <f t="shared" si="80"/>
        <v>D_RCAP_PER_EXPOSURE_RESULTSEAD_AMT</v>
      </c>
    </row>
    <row r="1705" spans="1:19" ht="14.4" x14ac:dyDescent="0.3">
      <c r="A1705" s="169" t="s">
        <v>2026</v>
      </c>
      <c r="B1705" s="171" t="str">
        <f t="shared" si="78"/>
        <v>D_RCAP_PER_EXPOSURE_RESULTS</v>
      </c>
      <c r="C1705" s="169" t="s">
        <v>2110</v>
      </c>
      <c r="D1705" s="169">
        <v>1897</v>
      </c>
      <c r="E1705" s="169">
        <v>8</v>
      </c>
      <c r="F1705" s="169" t="s">
        <v>2110</v>
      </c>
      <c r="G1705" s="169" t="s">
        <v>2110</v>
      </c>
      <c r="H1705" s="169">
        <v>40</v>
      </c>
      <c r="I1705" s="136" t="str">
        <f t="shared" si="79"/>
        <v>DECIMAL(26, 4)</v>
      </c>
      <c r="J1705" s="169" t="s">
        <v>0</v>
      </c>
      <c r="K1705" s="169" t="s">
        <v>1</v>
      </c>
      <c r="L1705" s="169">
        <v>30</v>
      </c>
      <c r="M1705" s="168"/>
      <c r="N1705" s="168"/>
      <c r="O1705" s="168"/>
      <c r="P1705" s="168"/>
      <c r="Q1705" s="168" t="s">
        <v>0</v>
      </c>
      <c r="R1705" s="168" t="s">
        <v>1</v>
      </c>
      <c r="S1705" s="178" t="str">
        <f t="shared" si="80"/>
        <v>D_RCAP_PER_EXPOSURE_RESULTSEXPECTED_LOSS_PERCENT</v>
      </c>
    </row>
    <row r="1706" spans="1:19" ht="14.4" x14ac:dyDescent="0.3">
      <c r="A1706" s="169" t="s">
        <v>2026</v>
      </c>
      <c r="B1706" s="171" t="str">
        <f t="shared" si="78"/>
        <v>D_RCAP_PER_EXPOSURE_RESULTS</v>
      </c>
      <c r="C1706" s="169" t="s">
        <v>1897</v>
      </c>
      <c r="D1706" s="169">
        <v>1898</v>
      </c>
      <c r="E1706" s="169">
        <v>9</v>
      </c>
      <c r="F1706" s="169" t="s">
        <v>1897</v>
      </c>
      <c r="G1706" s="169" t="s">
        <v>1897</v>
      </c>
      <c r="H1706" s="169">
        <v>54</v>
      </c>
      <c r="I1706" s="136" t="str">
        <f t="shared" si="79"/>
        <v xml:space="preserve">CHAR(20) </v>
      </c>
      <c r="J1706" s="169" t="s">
        <v>0</v>
      </c>
      <c r="K1706" s="169" t="s">
        <v>1</v>
      </c>
      <c r="L1706" s="169">
        <v>30</v>
      </c>
      <c r="M1706" s="168"/>
      <c r="N1706" s="168"/>
      <c r="O1706" s="168"/>
      <c r="P1706" s="168"/>
      <c r="Q1706" s="168" t="s">
        <v>0</v>
      </c>
      <c r="R1706" s="168" t="s">
        <v>1</v>
      </c>
      <c r="S1706" s="178" t="str">
        <f t="shared" si="80"/>
        <v>D_RCAP_PER_EXPOSURE_RESULTSINSTID</v>
      </c>
    </row>
    <row r="1707" spans="1:19" ht="14.4" x14ac:dyDescent="0.3">
      <c r="A1707" s="169" t="s">
        <v>2026</v>
      </c>
      <c r="B1707" s="171" t="str">
        <f t="shared" si="78"/>
        <v>D_RCAP_PER_EXPOSURE_RESULTS</v>
      </c>
      <c r="C1707" s="169" t="s">
        <v>1898</v>
      </c>
      <c r="D1707" s="169">
        <v>1899</v>
      </c>
      <c r="E1707" s="169">
        <v>10</v>
      </c>
      <c r="F1707" s="169" t="s">
        <v>1898</v>
      </c>
      <c r="G1707" s="169" t="s">
        <v>1898</v>
      </c>
      <c r="H1707" s="169">
        <v>45</v>
      </c>
      <c r="I1707" s="136" t="str">
        <f t="shared" si="79"/>
        <v>DECIMAL(15, 0)</v>
      </c>
      <c r="J1707" s="169" t="s">
        <v>0</v>
      </c>
      <c r="K1707" s="169" t="s">
        <v>1</v>
      </c>
      <c r="L1707" s="169">
        <v>30</v>
      </c>
      <c r="M1707" s="168"/>
      <c r="N1707" s="168"/>
      <c r="O1707" s="168"/>
      <c r="P1707" s="168"/>
      <c r="Q1707" s="168" t="s">
        <v>0</v>
      </c>
      <c r="R1707" s="168" t="s">
        <v>1</v>
      </c>
      <c r="S1707" s="178" t="str">
        <f t="shared" si="80"/>
        <v>D_RCAP_PER_EXPOSURE_RESULTSINTERNAL_ORG_RK</v>
      </c>
    </row>
    <row r="1708" spans="1:19" ht="14.4" x14ac:dyDescent="0.3">
      <c r="A1708" s="169" t="s">
        <v>2026</v>
      </c>
      <c r="B1708" s="171" t="str">
        <f t="shared" si="78"/>
        <v>D_RCAP_PER_EXPOSURE_RESULTS</v>
      </c>
      <c r="C1708" s="169" t="s">
        <v>2145</v>
      </c>
      <c r="D1708" s="169">
        <v>1900</v>
      </c>
      <c r="E1708" s="169">
        <v>11</v>
      </c>
      <c r="F1708" s="169" t="s">
        <v>2145</v>
      </c>
      <c r="G1708" s="169" t="s">
        <v>2145</v>
      </c>
      <c r="H1708" s="169">
        <v>16</v>
      </c>
      <c r="I1708" s="136" t="str">
        <f t="shared" si="79"/>
        <v>DECIMAL(26, 6)</v>
      </c>
      <c r="J1708" s="169" t="s">
        <v>0</v>
      </c>
      <c r="K1708" s="169" t="s">
        <v>1</v>
      </c>
      <c r="L1708" s="169">
        <v>30</v>
      </c>
      <c r="M1708" s="168"/>
      <c r="N1708" s="168"/>
      <c r="O1708" s="168"/>
      <c r="P1708" s="168"/>
      <c r="Q1708" s="168" t="s">
        <v>0</v>
      </c>
      <c r="R1708" s="168" t="s">
        <v>1</v>
      </c>
      <c r="S1708" s="178" t="str">
        <f t="shared" si="80"/>
        <v>D_RCAP_PER_EXPOSURE_RESULTSK</v>
      </c>
    </row>
    <row r="1709" spans="1:19" ht="14.4" x14ac:dyDescent="0.3">
      <c r="A1709" s="169" t="s">
        <v>2026</v>
      </c>
      <c r="B1709" s="171" t="str">
        <f t="shared" si="78"/>
        <v>D_RCAP_PER_EXPOSURE_RESULTS</v>
      </c>
      <c r="C1709" s="169" t="s">
        <v>2146</v>
      </c>
      <c r="D1709" s="169">
        <v>1901</v>
      </c>
      <c r="E1709" s="169">
        <v>12</v>
      </c>
      <c r="F1709" s="169" t="s">
        <v>2146</v>
      </c>
      <c r="G1709" s="169" t="s">
        <v>2146</v>
      </c>
      <c r="H1709" s="169">
        <v>16</v>
      </c>
      <c r="I1709" s="136" t="str">
        <f t="shared" si="79"/>
        <v>DECIMAL(26, 6)</v>
      </c>
      <c r="J1709" s="169" t="s">
        <v>0</v>
      </c>
      <c r="K1709" s="169" t="s">
        <v>1</v>
      </c>
      <c r="L1709" s="169">
        <v>30</v>
      </c>
      <c r="M1709" s="168"/>
      <c r="N1709" s="168"/>
      <c r="O1709" s="168"/>
      <c r="P1709" s="168"/>
      <c r="Q1709" s="168" t="s">
        <v>0</v>
      </c>
      <c r="R1709" s="168" t="s">
        <v>1</v>
      </c>
      <c r="S1709" s="178" t="str">
        <f t="shared" si="80"/>
        <v>D_RCAP_PER_EXPOSURE_RESULTSK_DEFAULT</v>
      </c>
    </row>
    <row r="1710" spans="1:19" ht="14.4" x14ac:dyDescent="0.3">
      <c r="A1710" s="169" t="s">
        <v>2026</v>
      </c>
      <c r="B1710" s="171" t="str">
        <f t="shared" si="78"/>
        <v>D_RCAP_PER_EXPOSURE_RESULTS</v>
      </c>
      <c r="C1710" s="169" t="s">
        <v>2147</v>
      </c>
      <c r="D1710" s="169">
        <v>1902</v>
      </c>
      <c r="E1710" s="169">
        <v>13</v>
      </c>
      <c r="F1710" s="169" t="s">
        <v>2147</v>
      </c>
      <c r="G1710" s="169" t="s">
        <v>2147</v>
      </c>
      <c r="H1710" s="169">
        <v>16</v>
      </c>
      <c r="I1710" s="136" t="str">
        <f t="shared" si="79"/>
        <v>DECIMAL(26, 6)</v>
      </c>
      <c r="J1710" s="169" t="s">
        <v>0</v>
      </c>
      <c r="K1710" s="169" t="s">
        <v>1</v>
      </c>
      <c r="L1710" s="169">
        <v>30</v>
      </c>
      <c r="M1710" s="168"/>
      <c r="N1710" s="168"/>
      <c r="O1710" s="168"/>
      <c r="P1710" s="168"/>
      <c r="Q1710" s="168" t="s">
        <v>0</v>
      </c>
      <c r="R1710" s="168" t="s">
        <v>1</v>
      </c>
      <c r="S1710" s="178" t="str">
        <f t="shared" si="80"/>
        <v>D_RCAP_PER_EXPOSURE_RESULTSK_DILUTION</v>
      </c>
    </row>
    <row r="1711" spans="1:19" ht="14.4" x14ac:dyDescent="0.3">
      <c r="A1711" s="169" t="s">
        <v>2026</v>
      </c>
      <c r="B1711" s="171" t="str">
        <f t="shared" si="78"/>
        <v>D_RCAP_PER_EXPOSURE_RESULTS</v>
      </c>
      <c r="C1711" s="169" t="s">
        <v>2148</v>
      </c>
      <c r="D1711" s="169">
        <v>1903</v>
      </c>
      <c r="E1711" s="169">
        <v>14</v>
      </c>
      <c r="F1711" s="169" t="s">
        <v>2148</v>
      </c>
      <c r="G1711" s="169" t="s">
        <v>2148</v>
      </c>
      <c r="H1711" s="169">
        <v>16</v>
      </c>
      <c r="I1711" s="136" t="str">
        <f t="shared" si="79"/>
        <v>DECIMAL(26, 6)</v>
      </c>
      <c r="J1711" s="169" t="s">
        <v>0</v>
      </c>
      <c r="K1711" s="169" t="s">
        <v>1</v>
      </c>
      <c r="L1711" s="169">
        <v>30</v>
      </c>
      <c r="M1711" s="168"/>
      <c r="N1711" s="168"/>
      <c r="O1711" s="168"/>
      <c r="P1711" s="168"/>
      <c r="Q1711" s="168" t="s">
        <v>0</v>
      </c>
      <c r="R1711" s="168" t="s">
        <v>1</v>
      </c>
      <c r="S1711" s="178" t="str">
        <f t="shared" si="80"/>
        <v>D_RCAP_PER_EXPOSURE_RESULTSLGD_CALCULATION</v>
      </c>
    </row>
    <row r="1712" spans="1:19" ht="14.4" x14ac:dyDescent="0.3">
      <c r="A1712" s="169" t="s">
        <v>2026</v>
      </c>
      <c r="B1712" s="171" t="str">
        <f t="shared" si="78"/>
        <v>D_RCAP_PER_EXPOSURE_RESULTS</v>
      </c>
      <c r="C1712" s="169" t="s">
        <v>552</v>
      </c>
      <c r="D1712" s="169">
        <v>1904</v>
      </c>
      <c r="E1712" s="169">
        <v>15</v>
      </c>
      <c r="F1712" s="169" t="s">
        <v>552</v>
      </c>
      <c r="G1712" s="169" t="s">
        <v>552</v>
      </c>
      <c r="H1712" s="169">
        <v>16</v>
      </c>
      <c r="I1712" s="136" t="str">
        <f t="shared" si="79"/>
        <v>DECIMAL(26, 6)</v>
      </c>
      <c r="J1712" s="169" t="s">
        <v>0</v>
      </c>
      <c r="K1712" s="169" t="s">
        <v>1</v>
      </c>
      <c r="L1712" s="169">
        <v>30</v>
      </c>
      <c r="M1712" s="168"/>
      <c r="N1712" s="168"/>
      <c r="O1712" s="168"/>
      <c r="P1712" s="168"/>
      <c r="Q1712" s="168" t="s">
        <v>0</v>
      </c>
      <c r="R1712" s="168" t="s">
        <v>1</v>
      </c>
      <c r="S1712" s="178" t="str">
        <f t="shared" si="80"/>
        <v>D_RCAP_PER_EXPOSURE_RESULTSLGD_INDEFAULT_PCT</v>
      </c>
    </row>
    <row r="1713" spans="1:19" ht="14.4" x14ac:dyDescent="0.3">
      <c r="A1713" s="169" t="s">
        <v>2026</v>
      </c>
      <c r="B1713" s="171" t="str">
        <f t="shared" si="78"/>
        <v>D_RCAP_PER_EXPOSURE_RESULTS</v>
      </c>
      <c r="C1713" s="169" t="s">
        <v>551</v>
      </c>
      <c r="D1713" s="169">
        <v>1905</v>
      </c>
      <c r="E1713" s="169">
        <v>16</v>
      </c>
      <c r="F1713" s="169" t="s">
        <v>551</v>
      </c>
      <c r="G1713" s="169" t="s">
        <v>551</v>
      </c>
      <c r="H1713" s="169">
        <v>16</v>
      </c>
      <c r="I1713" s="136" t="str">
        <f t="shared" si="79"/>
        <v>DECIMAL(26, 6)</v>
      </c>
      <c r="J1713" s="169" t="s">
        <v>0</v>
      </c>
      <c r="K1713" s="169" t="s">
        <v>1</v>
      </c>
      <c r="L1713" s="169">
        <v>30</v>
      </c>
      <c r="M1713" s="168"/>
      <c r="N1713" s="168"/>
      <c r="O1713" s="168"/>
      <c r="P1713" s="168"/>
      <c r="Q1713" s="168" t="s">
        <v>0</v>
      </c>
      <c r="R1713" s="168" t="s">
        <v>1</v>
      </c>
      <c r="S1713" s="178" t="str">
        <f t="shared" si="80"/>
        <v>D_RCAP_PER_EXPOSURE_RESULTSLGD_LONGRUN_PCT</v>
      </c>
    </row>
    <row r="1714" spans="1:19" ht="14.4" x14ac:dyDescent="0.3">
      <c r="A1714" s="169" t="s">
        <v>2026</v>
      </c>
      <c r="B1714" s="171" t="str">
        <f t="shared" si="78"/>
        <v>D_RCAP_PER_EXPOSURE_RESULTS</v>
      </c>
      <c r="C1714" s="169" t="s">
        <v>1918</v>
      </c>
      <c r="D1714" s="169">
        <v>1906</v>
      </c>
      <c r="E1714" s="169">
        <v>17</v>
      </c>
      <c r="F1714" s="169" t="s">
        <v>1918</v>
      </c>
      <c r="G1714" s="169" t="s">
        <v>1918</v>
      </c>
      <c r="H1714" s="169">
        <v>16</v>
      </c>
      <c r="I1714" s="136" t="str">
        <f t="shared" si="79"/>
        <v>DECIMAL(26, 6)</v>
      </c>
      <c r="J1714" s="169" t="s">
        <v>0</v>
      </c>
      <c r="K1714" s="169" t="s">
        <v>1</v>
      </c>
      <c r="L1714" s="169">
        <v>30</v>
      </c>
      <c r="M1714" s="168"/>
      <c r="N1714" s="168"/>
      <c r="O1714" s="168"/>
      <c r="P1714" s="168"/>
      <c r="Q1714" s="168" t="s">
        <v>0</v>
      </c>
      <c r="R1714" s="168" t="s">
        <v>1</v>
      </c>
      <c r="S1714" s="178" t="str">
        <f t="shared" si="80"/>
        <v>D_RCAP_PER_EXPOSURE_RESULTSLGD_PCT</v>
      </c>
    </row>
    <row r="1715" spans="1:19" ht="14.4" x14ac:dyDescent="0.3">
      <c r="A1715" s="169" t="s">
        <v>2026</v>
      </c>
      <c r="B1715" s="171" t="str">
        <f t="shared" si="78"/>
        <v>D_RCAP_PER_EXPOSURE_RESULTS</v>
      </c>
      <c r="C1715" s="169" t="s">
        <v>2149</v>
      </c>
      <c r="D1715" s="169">
        <v>1907</v>
      </c>
      <c r="E1715" s="169">
        <v>18</v>
      </c>
      <c r="F1715" s="169" t="s">
        <v>2149</v>
      </c>
      <c r="G1715" s="169" t="s">
        <v>2149</v>
      </c>
      <c r="H1715" s="169">
        <v>40</v>
      </c>
      <c r="I1715" s="136" t="str">
        <f t="shared" si="79"/>
        <v>DECIMAL(26, 4)</v>
      </c>
      <c r="J1715" s="169" t="s">
        <v>0</v>
      </c>
      <c r="K1715" s="169" t="s">
        <v>1</v>
      </c>
      <c r="L1715" s="169">
        <v>30</v>
      </c>
      <c r="M1715" s="168"/>
      <c r="N1715" s="168"/>
      <c r="O1715" s="168"/>
      <c r="P1715" s="168"/>
      <c r="Q1715" s="168" t="s">
        <v>0</v>
      </c>
      <c r="R1715" s="168" t="s">
        <v>1</v>
      </c>
      <c r="S1715" s="178" t="str">
        <f t="shared" si="80"/>
        <v>D_RCAP_PER_EXPOSURE_RESULTSM</v>
      </c>
    </row>
    <row r="1716" spans="1:19" ht="14.4" x14ac:dyDescent="0.3">
      <c r="A1716" s="169" t="s">
        <v>2026</v>
      </c>
      <c r="B1716" s="171" t="str">
        <f t="shared" si="78"/>
        <v>D_RCAP_PER_EXPOSURE_RESULTS</v>
      </c>
      <c r="C1716" s="169" t="s">
        <v>2150</v>
      </c>
      <c r="D1716" s="169">
        <v>1908</v>
      </c>
      <c r="E1716" s="169">
        <v>19</v>
      </c>
      <c r="F1716" s="169" t="s">
        <v>2150</v>
      </c>
      <c r="G1716" s="169" t="s">
        <v>2150</v>
      </c>
      <c r="H1716" s="169">
        <v>16</v>
      </c>
      <c r="I1716" s="136" t="str">
        <f t="shared" si="79"/>
        <v>DECIMAL(26, 6)</v>
      </c>
      <c r="J1716" s="169" t="s">
        <v>0</v>
      </c>
      <c r="K1716" s="169" t="s">
        <v>1</v>
      </c>
      <c r="L1716" s="169">
        <v>30</v>
      </c>
      <c r="M1716" s="168"/>
      <c r="N1716" s="168"/>
      <c r="O1716" s="168"/>
      <c r="P1716" s="168"/>
      <c r="Q1716" s="168" t="s">
        <v>0</v>
      </c>
      <c r="R1716" s="168" t="s">
        <v>1</v>
      </c>
      <c r="S1716" s="178" t="str">
        <f t="shared" si="80"/>
        <v>D_RCAP_PER_EXPOSURE_RESULTSPD_CALCULATION</v>
      </c>
    </row>
    <row r="1717" spans="1:19" ht="14.4" x14ac:dyDescent="0.3">
      <c r="A1717" s="169" t="s">
        <v>2026</v>
      </c>
      <c r="B1717" s="171" t="str">
        <f t="shared" si="78"/>
        <v>D_RCAP_PER_EXPOSURE_RESULTS</v>
      </c>
      <c r="C1717" s="169" t="s">
        <v>2151</v>
      </c>
      <c r="D1717" s="169">
        <v>1909</v>
      </c>
      <c r="E1717" s="169">
        <v>20</v>
      </c>
      <c r="F1717" s="169" t="s">
        <v>2151</v>
      </c>
      <c r="G1717" s="169" t="s">
        <v>2151</v>
      </c>
      <c r="H1717" s="169">
        <v>16</v>
      </c>
      <c r="I1717" s="136" t="str">
        <f t="shared" si="79"/>
        <v>DECIMAL(26, 6)</v>
      </c>
      <c r="J1717" s="169" t="s">
        <v>0</v>
      </c>
      <c r="K1717" s="169" t="s">
        <v>1</v>
      </c>
      <c r="L1717" s="169">
        <v>30</v>
      </c>
      <c r="M1717" s="168"/>
      <c r="N1717" s="168"/>
      <c r="O1717" s="168"/>
      <c r="P1717" s="168"/>
      <c r="Q1717" s="168" t="s">
        <v>0</v>
      </c>
      <c r="R1717" s="168" t="s">
        <v>1</v>
      </c>
      <c r="S1717" s="178" t="str">
        <f t="shared" si="80"/>
        <v>D_RCAP_PER_EXPOSURE_RESULTSR</v>
      </c>
    </row>
    <row r="1718" spans="1:19" ht="14.4" x14ac:dyDescent="0.3">
      <c r="A1718" s="169" t="s">
        <v>2026</v>
      </c>
      <c r="B1718" s="171" t="str">
        <f t="shared" si="78"/>
        <v>D_RCAP_PER_EXPOSURE_RESULTS</v>
      </c>
      <c r="C1718" s="169" t="s">
        <v>2140</v>
      </c>
      <c r="D1718" s="169">
        <v>1910</v>
      </c>
      <c r="E1718" s="169">
        <v>21</v>
      </c>
      <c r="F1718" s="169" t="s">
        <v>2140</v>
      </c>
      <c r="G1718" s="169" t="s">
        <v>2140</v>
      </c>
      <c r="H1718" s="169">
        <v>40</v>
      </c>
      <c r="I1718" s="136" t="str">
        <f t="shared" si="79"/>
        <v>DECIMAL(26, 4)</v>
      </c>
      <c r="J1718" s="169" t="s">
        <v>0</v>
      </c>
      <c r="K1718" s="169" t="s">
        <v>1</v>
      </c>
      <c r="L1718" s="169">
        <v>30</v>
      </c>
      <c r="M1718" s="168"/>
      <c r="N1718" s="168"/>
      <c r="O1718" s="168"/>
      <c r="P1718" s="168"/>
      <c r="Q1718" s="168" t="s">
        <v>0</v>
      </c>
      <c r="R1718" s="168" t="s">
        <v>1</v>
      </c>
      <c r="S1718" s="178" t="str">
        <f t="shared" si="80"/>
        <v>D_RCAP_PER_EXPOSURE_RESULTSRCAP</v>
      </c>
    </row>
    <row r="1719" spans="1:19" ht="14.4" x14ac:dyDescent="0.3">
      <c r="A1719" s="169" t="s">
        <v>2026</v>
      </c>
      <c r="B1719" s="171" t="str">
        <f t="shared" si="78"/>
        <v>D_RCAP_PER_EXPOSURE_RESULTS</v>
      </c>
      <c r="C1719" s="169" t="s">
        <v>1922</v>
      </c>
      <c r="D1719" s="169">
        <v>1911</v>
      </c>
      <c r="E1719" s="169">
        <v>22</v>
      </c>
      <c r="F1719" s="169" t="s">
        <v>1922</v>
      </c>
      <c r="G1719" s="169" t="s">
        <v>1922</v>
      </c>
      <c r="H1719" s="169">
        <v>14</v>
      </c>
      <c r="I1719" s="136" t="str">
        <f t="shared" si="79"/>
        <v xml:space="preserve">CHAR(3) </v>
      </c>
      <c r="J1719" s="169" t="s">
        <v>0</v>
      </c>
      <c r="K1719" s="169" t="s">
        <v>1</v>
      </c>
      <c r="L1719" s="169">
        <v>30</v>
      </c>
      <c r="M1719" s="168"/>
      <c r="N1719" s="168"/>
      <c r="O1719" s="168"/>
      <c r="P1719" s="168"/>
      <c r="Q1719" s="168" t="s">
        <v>0</v>
      </c>
      <c r="R1719" s="168" t="s">
        <v>1</v>
      </c>
      <c r="S1719" s="178" t="str">
        <f t="shared" si="80"/>
        <v>D_RCAP_PER_EXPOSURE_RESULTSREGULATORY_PRODUCT_CD</v>
      </c>
    </row>
    <row r="1720" spans="1:19" ht="14.4" x14ac:dyDescent="0.3">
      <c r="A1720" s="169" t="s">
        <v>2026</v>
      </c>
      <c r="B1720" s="171" t="str">
        <f t="shared" si="78"/>
        <v>D_RCAP_PER_EXPOSURE_RESULTS</v>
      </c>
      <c r="C1720" s="169" t="s">
        <v>1923</v>
      </c>
      <c r="D1720" s="169">
        <v>1912</v>
      </c>
      <c r="E1720" s="169">
        <v>23</v>
      </c>
      <c r="F1720" s="169" t="s">
        <v>1923</v>
      </c>
      <c r="G1720" s="169" t="s">
        <v>1923</v>
      </c>
      <c r="H1720" s="169">
        <v>44</v>
      </c>
      <c r="I1720" s="136" t="str">
        <f t="shared" si="79"/>
        <v xml:space="preserve">CHAR(4) </v>
      </c>
      <c r="J1720" s="169" t="s">
        <v>0</v>
      </c>
      <c r="K1720" s="169" t="s">
        <v>1</v>
      </c>
      <c r="L1720" s="169">
        <v>30</v>
      </c>
      <c r="M1720" s="168"/>
      <c r="N1720" s="168"/>
      <c r="O1720" s="168"/>
      <c r="P1720" s="168"/>
      <c r="Q1720" s="168" t="s">
        <v>0</v>
      </c>
      <c r="R1720" s="168" t="s">
        <v>1</v>
      </c>
      <c r="S1720" s="178" t="str">
        <f t="shared" si="80"/>
        <v>D_RCAP_PER_EXPOSURE_RESULTSREP_CLASS</v>
      </c>
    </row>
    <row r="1721" spans="1:19" ht="14.4" x14ac:dyDescent="0.3">
      <c r="A1721" s="169" t="s">
        <v>2026</v>
      </c>
      <c r="B1721" s="171" t="str">
        <f t="shared" si="78"/>
        <v>D_RCAP_PER_EXPOSURE_RESULTS</v>
      </c>
      <c r="C1721" s="169" t="s">
        <v>2152</v>
      </c>
      <c r="D1721" s="169">
        <v>1913</v>
      </c>
      <c r="E1721" s="169">
        <v>24</v>
      </c>
      <c r="F1721" s="169" t="s">
        <v>2152</v>
      </c>
      <c r="G1721" s="169" t="s">
        <v>2152</v>
      </c>
      <c r="H1721" s="169">
        <v>16</v>
      </c>
      <c r="I1721" s="136" t="str">
        <f t="shared" si="79"/>
        <v>DECIMAL(26, 6)</v>
      </c>
      <c r="J1721" s="169" t="s">
        <v>0</v>
      </c>
      <c r="K1721" s="169" t="s">
        <v>1</v>
      </c>
      <c r="L1721" s="169">
        <v>30</v>
      </c>
      <c r="M1721" s="168"/>
      <c r="N1721" s="168"/>
      <c r="O1721" s="168"/>
      <c r="P1721" s="168"/>
      <c r="Q1721" s="168" t="s">
        <v>0</v>
      </c>
      <c r="R1721" s="168" t="s">
        <v>1</v>
      </c>
      <c r="S1721" s="178" t="str">
        <f t="shared" si="80"/>
        <v>D_RCAP_PER_EXPOSURE_RESULTSRW</v>
      </c>
    </row>
    <row r="1722" spans="1:19" ht="14.4" x14ac:dyDescent="0.3">
      <c r="A1722" s="169" t="s">
        <v>2026</v>
      </c>
      <c r="B1722" s="171" t="str">
        <f t="shared" si="78"/>
        <v>D_RCAP_PER_EXPOSURE_RESULTS</v>
      </c>
      <c r="C1722" s="169" t="s">
        <v>2141</v>
      </c>
      <c r="D1722" s="169">
        <v>1914</v>
      </c>
      <c r="E1722" s="169">
        <v>25</v>
      </c>
      <c r="F1722" s="169" t="s">
        <v>2141</v>
      </c>
      <c r="G1722" s="169" t="s">
        <v>2141</v>
      </c>
      <c r="H1722" s="169">
        <v>40</v>
      </c>
      <c r="I1722" s="136" t="str">
        <f t="shared" si="79"/>
        <v>DECIMAL(26, 4)</v>
      </c>
      <c r="J1722" s="169" t="s">
        <v>0</v>
      </c>
      <c r="K1722" s="169" t="s">
        <v>1</v>
      </c>
      <c r="L1722" s="169">
        <v>30</v>
      </c>
      <c r="M1722" s="168"/>
      <c r="N1722" s="168"/>
      <c r="O1722" s="168"/>
      <c r="P1722" s="168"/>
      <c r="Q1722" s="168" t="s">
        <v>0</v>
      </c>
      <c r="R1722" s="168" t="s">
        <v>1</v>
      </c>
      <c r="S1722" s="178" t="str">
        <f t="shared" si="80"/>
        <v>D_RCAP_PER_EXPOSURE_RESULTSRWA</v>
      </c>
    </row>
    <row r="1723" spans="1:19" ht="14.4" x14ac:dyDescent="0.3">
      <c r="A1723" s="169" t="s">
        <v>2026</v>
      </c>
      <c r="B1723" s="171" t="str">
        <f t="shared" si="78"/>
        <v>D_RCAP_PER_EXPOSURE_RESULTS</v>
      </c>
      <c r="C1723" s="169" t="s">
        <v>2153</v>
      </c>
      <c r="D1723" s="169">
        <v>1915</v>
      </c>
      <c r="E1723" s="169">
        <v>26</v>
      </c>
      <c r="F1723" s="169" t="s">
        <v>2153</v>
      </c>
      <c r="G1723" s="169" t="s">
        <v>2153</v>
      </c>
      <c r="H1723" s="169">
        <v>40</v>
      </c>
      <c r="I1723" s="136" t="str">
        <f t="shared" si="79"/>
        <v>DECIMAL(26, 4)</v>
      </c>
      <c r="J1723" s="169" t="s">
        <v>0</v>
      </c>
      <c r="K1723" s="169" t="s">
        <v>1</v>
      </c>
      <c r="L1723" s="169">
        <v>30</v>
      </c>
      <c r="M1723" s="168"/>
      <c r="N1723" s="168"/>
      <c r="O1723" s="168"/>
      <c r="P1723" s="168"/>
      <c r="Q1723" s="168" t="s">
        <v>0</v>
      </c>
      <c r="R1723" s="168" t="s">
        <v>1</v>
      </c>
      <c r="S1723" s="178" t="str">
        <f t="shared" si="80"/>
        <v>D_RCAP_PER_EXPOSURE_RESULTSRWA_DEFAULT</v>
      </c>
    </row>
    <row r="1724" spans="1:19" ht="14.4" x14ac:dyDescent="0.3">
      <c r="A1724" s="169" t="s">
        <v>2026</v>
      </c>
      <c r="B1724" s="171" t="str">
        <f t="shared" si="78"/>
        <v>D_RCAP_PER_EXPOSURE_RESULTS</v>
      </c>
      <c r="C1724" s="169" t="s">
        <v>2154</v>
      </c>
      <c r="D1724" s="169">
        <v>1916</v>
      </c>
      <c r="E1724" s="169">
        <v>27</v>
      </c>
      <c r="F1724" s="169" t="s">
        <v>2154</v>
      </c>
      <c r="G1724" s="169" t="s">
        <v>2154</v>
      </c>
      <c r="H1724" s="169">
        <v>40</v>
      </c>
      <c r="I1724" s="136" t="str">
        <f t="shared" si="79"/>
        <v>DECIMAL(26, 4)</v>
      </c>
      <c r="J1724" s="169" t="s">
        <v>0</v>
      </c>
      <c r="K1724" s="169" t="s">
        <v>1</v>
      </c>
      <c r="L1724" s="169">
        <v>30</v>
      </c>
      <c r="M1724" s="168"/>
      <c r="N1724" s="168"/>
      <c r="O1724" s="168"/>
      <c r="P1724" s="168"/>
      <c r="Q1724" s="168" t="s">
        <v>0</v>
      </c>
      <c r="R1724" s="168" t="s">
        <v>1</v>
      </c>
      <c r="S1724" s="178" t="str">
        <f t="shared" si="80"/>
        <v>D_RCAP_PER_EXPOSURE_RESULTSRWA_DILUTION</v>
      </c>
    </row>
    <row r="1725" spans="1:19" ht="14.4" x14ac:dyDescent="0.3">
      <c r="A1725" s="169" t="s">
        <v>2026</v>
      </c>
      <c r="B1725" s="171" t="str">
        <f t="shared" si="78"/>
        <v>D_RCAP_PER_EXPOSURE_RESULTS</v>
      </c>
      <c r="C1725" s="169" t="s">
        <v>2155</v>
      </c>
      <c r="D1725" s="169">
        <v>1917</v>
      </c>
      <c r="E1725" s="169">
        <v>28</v>
      </c>
      <c r="F1725" s="169" t="s">
        <v>2155</v>
      </c>
      <c r="G1725" s="169" t="s">
        <v>2155</v>
      </c>
      <c r="H1725" s="169">
        <v>16</v>
      </c>
      <c r="I1725" s="136" t="str">
        <f t="shared" si="79"/>
        <v>DECIMAL(26, 6)</v>
      </c>
      <c r="J1725" s="169" t="s">
        <v>0</v>
      </c>
      <c r="K1725" s="169" t="s">
        <v>1</v>
      </c>
      <c r="L1725" s="169">
        <v>30</v>
      </c>
      <c r="M1725" s="168"/>
      <c r="N1725" s="168"/>
      <c r="O1725" s="168"/>
      <c r="P1725" s="168"/>
      <c r="Q1725" s="168" t="s">
        <v>0</v>
      </c>
      <c r="R1725" s="168" t="s">
        <v>1</v>
      </c>
      <c r="S1725" s="178" t="str">
        <f t="shared" si="80"/>
        <v>D_RCAP_PER_EXPOSURE_RESULTSR_DEFAULT</v>
      </c>
    </row>
    <row r="1726" spans="1:19" ht="14.4" x14ac:dyDescent="0.3">
      <c r="A1726" s="169" t="s">
        <v>2026</v>
      </c>
      <c r="B1726" s="171" t="str">
        <f t="shared" si="78"/>
        <v>D_RCAP_PER_EXPOSURE_RESULTS</v>
      </c>
      <c r="C1726" s="169" t="s">
        <v>2156</v>
      </c>
      <c r="D1726" s="169">
        <v>1918</v>
      </c>
      <c r="E1726" s="169">
        <v>29</v>
      </c>
      <c r="F1726" s="169" t="s">
        <v>2156</v>
      </c>
      <c r="G1726" s="169" t="s">
        <v>2156</v>
      </c>
      <c r="H1726" s="169">
        <v>16</v>
      </c>
      <c r="I1726" s="136" t="str">
        <f t="shared" si="79"/>
        <v>DECIMAL(26, 6)</v>
      </c>
      <c r="J1726" s="169" t="s">
        <v>0</v>
      </c>
      <c r="K1726" s="169" t="s">
        <v>1</v>
      </c>
      <c r="L1726" s="169">
        <v>30</v>
      </c>
      <c r="M1726" s="168"/>
      <c r="N1726" s="168"/>
      <c r="O1726" s="168"/>
      <c r="P1726" s="168"/>
      <c r="Q1726" s="168" t="s">
        <v>0</v>
      </c>
      <c r="R1726" s="168" t="s">
        <v>1</v>
      </c>
      <c r="S1726" s="178" t="str">
        <f t="shared" si="80"/>
        <v>D_RCAP_PER_EXPOSURE_RESULTSR_DILUTION</v>
      </c>
    </row>
    <row r="1727" spans="1:19" ht="14.4" x14ac:dyDescent="0.3">
      <c r="A1727" s="169" t="s">
        <v>2035</v>
      </c>
      <c r="B1727" s="171" t="str">
        <f t="shared" si="78"/>
        <v>D_RCAP_UPDATED_CPTY_ATTRIB</v>
      </c>
      <c r="C1727" s="169" t="s">
        <v>2080</v>
      </c>
      <c r="D1727" s="169">
        <v>1919</v>
      </c>
      <c r="E1727" s="169">
        <v>1</v>
      </c>
      <c r="F1727" s="169" t="s">
        <v>2080</v>
      </c>
      <c r="G1727" s="169" t="s">
        <v>2080</v>
      </c>
      <c r="H1727" s="169">
        <v>27</v>
      </c>
      <c r="I1727" s="136" t="str">
        <f t="shared" si="79"/>
        <v>INTEGER</v>
      </c>
      <c r="J1727" s="169" t="s">
        <v>0</v>
      </c>
      <c r="K1727" s="169" t="s">
        <v>0</v>
      </c>
      <c r="L1727" s="169">
        <v>30</v>
      </c>
      <c r="M1727" s="168"/>
      <c r="N1727" s="168"/>
      <c r="O1727" s="168"/>
      <c r="P1727" s="168"/>
      <c r="Q1727" s="168" t="s">
        <v>0</v>
      </c>
      <c r="R1727" s="168" t="s">
        <v>1</v>
      </c>
      <c r="S1727" s="178" t="str">
        <f t="shared" si="80"/>
        <v>D_RCAP_UPDATED_CPTY_ATTRIBCALC_SESSION_ID</v>
      </c>
    </row>
    <row r="1728" spans="1:19" ht="14.4" x14ac:dyDescent="0.3">
      <c r="A1728" s="169" t="s">
        <v>2035</v>
      </c>
      <c r="B1728" s="171" t="str">
        <f t="shared" si="78"/>
        <v>D_RCAP_UPDATED_CPTY_ATTRIB</v>
      </c>
      <c r="C1728" s="169" t="s">
        <v>1870</v>
      </c>
      <c r="D1728" s="169">
        <v>1920</v>
      </c>
      <c r="E1728" s="169">
        <v>2</v>
      </c>
      <c r="F1728" s="169" t="s">
        <v>1870</v>
      </c>
      <c r="G1728" s="169" t="s">
        <v>1870</v>
      </c>
      <c r="H1728" s="169">
        <v>45</v>
      </c>
      <c r="I1728" s="136" t="str">
        <f t="shared" si="79"/>
        <v>DECIMAL(15, 0)</v>
      </c>
      <c r="J1728" s="169" t="s">
        <v>0</v>
      </c>
      <c r="K1728" s="169" t="s">
        <v>1</v>
      </c>
      <c r="L1728" s="169">
        <v>30</v>
      </c>
      <c r="M1728" s="168"/>
      <c r="N1728" s="168"/>
      <c r="O1728" s="168"/>
      <c r="P1728" s="168"/>
      <c r="Q1728" s="168" t="s">
        <v>0</v>
      </c>
      <c r="R1728" s="168" t="s">
        <v>1</v>
      </c>
      <c r="S1728" s="178" t="str">
        <f t="shared" si="80"/>
        <v>D_RCAP_UPDATED_CPTY_ATTRIBCOUNTERPARTY_RK</v>
      </c>
    </row>
    <row r="1729" spans="1:19" ht="14.4" x14ac:dyDescent="0.3">
      <c r="A1729" s="169" t="s">
        <v>2035</v>
      </c>
      <c r="B1729" s="171" t="str">
        <f t="shared" si="78"/>
        <v>D_RCAP_UPDATED_CPTY_ATTRIB</v>
      </c>
      <c r="C1729" s="169" t="s">
        <v>1877</v>
      </c>
      <c r="D1729" s="169">
        <v>1921</v>
      </c>
      <c r="E1729" s="169">
        <v>3</v>
      </c>
      <c r="F1729" s="169" t="s">
        <v>1877</v>
      </c>
      <c r="G1729" s="169" t="s">
        <v>1877</v>
      </c>
      <c r="H1729" s="169">
        <v>32</v>
      </c>
      <c r="I1729" s="136" t="str">
        <f t="shared" si="79"/>
        <v>BYTEINT</v>
      </c>
      <c r="J1729" s="169" t="s">
        <v>0</v>
      </c>
      <c r="K1729" s="169" t="s">
        <v>1</v>
      </c>
      <c r="L1729" s="169">
        <v>30</v>
      </c>
      <c r="M1729" s="168"/>
      <c r="N1729" s="168"/>
      <c r="O1729" s="168"/>
      <c r="P1729" s="168"/>
      <c r="Q1729" s="168" t="s">
        <v>0</v>
      </c>
      <c r="R1729" s="168" t="s">
        <v>1</v>
      </c>
      <c r="S1729" s="178" t="str">
        <f t="shared" si="80"/>
        <v>D_RCAP_UPDATED_CPTY_ATTRIBIN_DEFAULT_FLG</v>
      </c>
    </row>
    <row r="1730" spans="1:19" ht="14.4" x14ac:dyDescent="0.3">
      <c r="A1730" s="169" t="s">
        <v>1352</v>
      </c>
      <c r="B1730" s="171" t="str">
        <f t="shared" ref="B1730:B1793" si="81">IF(NOT(ISBLANK(A1730)),VLOOKUP(A1730,ERM_TABLE_NM,2,FALSE), "")</f>
        <v>D_RDM_COLLATERAL_TYPE_BTH</v>
      </c>
      <c r="C1730" s="169" t="s">
        <v>553</v>
      </c>
      <c r="D1730" s="169">
        <v>913</v>
      </c>
      <c r="E1730" s="169">
        <v>1</v>
      </c>
      <c r="F1730" s="169" t="s">
        <v>553</v>
      </c>
      <c r="G1730" s="169" t="s">
        <v>553</v>
      </c>
      <c r="H1730" s="169">
        <v>13</v>
      </c>
      <c r="I1730" s="136" t="str">
        <f t="shared" ref="I1730:I1793" si="82">IF(NOT(ISBLANK(H1730)),VLOOKUP(H1730,ERM_DOMAIN_NM,2,FALSE), "")</f>
        <v xml:space="preserve">VARCHAR(300) </v>
      </c>
      <c r="J1730" s="169" t="s">
        <v>0</v>
      </c>
      <c r="K1730" s="169" t="s">
        <v>1</v>
      </c>
      <c r="L1730" s="169">
        <v>30</v>
      </c>
      <c r="M1730" s="168"/>
      <c r="N1730" s="168"/>
      <c r="O1730" s="168"/>
      <c r="P1730" s="168"/>
      <c r="Q1730" s="168" t="s">
        <v>0</v>
      </c>
      <c r="R1730" s="168" t="s">
        <v>1</v>
      </c>
      <c r="S1730" s="178" t="str">
        <f t="shared" si="80"/>
        <v>D_RDM_COLLATERAL_TYPE_BTHCOLLATERAL_TYPE_CD</v>
      </c>
    </row>
    <row r="1731" spans="1:19" ht="14.4" x14ac:dyDescent="0.3">
      <c r="A1731" s="169" t="s">
        <v>1352</v>
      </c>
      <c r="B1731" s="171" t="str">
        <f t="shared" si="81"/>
        <v>D_RDM_COLLATERAL_TYPE_BTH</v>
      </c>
      <c r="C1731" s="169" t="s">
        <v>496</v>
      </c>
      <c r="D1731" s="169">
        <v>914</v>
      </c>
      <c r="E1731" s="169">
        <v>2</v>
      </c>
      <c r="F1731" s="169" t="s">
        <v>496</v>
      </c>
      <c r="G1731" s="169" t="s">
        <v>496</v>
      </c>
      <c r="H1731" s="169">
        <v>7</v>
      </c>
      <c r="I1731" s="136" t="str">
        <f t="shared" si="82"/>
        <v>BIGINT</v>
      </c>
      <c r="J1731" s="169" t="s">
        <v>1</v>
      </c>
      <c r="K1731" s="169" t="s">
        <v>0</v>
      </c>
      <c r="L1731" s="169">
        <v>30</v>
      </c>
      <c r="M1731" s="168"/>
      <c r="N1731" s="168"/>
      <c r="O1731" s="168"/>
      <c r="P1731" s="168"/>
      <c r="Q1731" s="168" t="s">
        <v>0</v>
      </c>
      <c r="R1731" s="168" t="s">
        <v>1</v>
      </c>
      <c r="S1731" s="178" t="str">
        <f t="shared" ref="S1731:S1794" si="83">CONCATENATE(A1731,C1731)</f>
        <v>D_RDM_COLLATERAL_TYPE_BTHCOLLATERAL_TYPE_ID</v>
      </c>
    </row>
    <row r="1732" spans="1:19" ht="14.4" x14ac:dyDescent="0.3">
      <c r="A1732" s="169" t="s">
        <v>1352</v>
      </c>
      <c r="B1732" s="171" t="str">
        <f t="shared" si="81"/>
        <v>D_RDM_COLLATERAL_TYPE_BTH</v>
      </c>
      <c r="C1732" s="169" t="s">
        <v>554</v>
      </c>
      <c r="D1732" s="169">
        <v>915</v>
      </c>
      <c r="E1732" s="169">
        <v>3</v>
      </c>
      <c r="F1732" s="169" t="s">
        <v>554</v>
      </c>
      <c r="G1732" s="169" t="s">
        <v>554</v>
      </c>
      <c r="H1732" s="169">
        <v>19</v>
      </c>
      <c r="I1732" s="136" t="str">
        <f t="shared" si="82"/>
        <v xml:space="preserve">VARCHAR(1000) </v>
      </c>
      <c r="J1732" s="169" t="s">
        <v>0</v>
      </c>
      <c r="K1732" s="169" t="s">
        <v>1</v>
      </c>
      <c r="L1732" s="169">
        <v>30</v>
      </c>
      <c r="M1732" s="168"/>
      <c r="N1732" s="168"/>
      <c r="O1732" s="168"/>
      <c r="P1732" s="168"/>
      <c r="Q1732" s="168" t="s">
        <v>0</v>
      </c>
      <c r="R1732" s="168" t="s">
        <v>1</v>
      </c>
      <c r="S1732" s="178" t="str">
        <f t="shared" si="83"/>
        <v>D_RDM_COLLATERAL_TYPE_BTHCOLLATERAL_TYPE_NM</v>
      </c>
    </row>
    <row r="1733" spans="1:19" ht="14.4" x14ac:dyDescent="0.3">
      <c r="A1733" s="169" t="s">
        <v>1352</v>
      </c>
      <c r="B1733" s="171" t="str">
        <f t="shared" si="81"/>
        <v>D_RDM_COLLATERAL_TYPE_BTH</v>
      </c>
      <c r="C1733" s="169" t="s">
        <v>438</v>
      </c>
      <c r="D1733" s="169">
        <v>916</v>
      </c>
      <c r="E1733" s="169">
        <v>4</v>
      </c>
      <c r="F1733" s="169" t="s">
        <v>438</v>
      </c>
      <c r="G1733" s="169" t="s">
        <v>438</v>
      </c>
      <c r="H1733" s="169">
        <v>22</v>
      </c>
      <c r="I1733" s="136" t="str">
        <f t="shared" si="82"/>
        <v>TIMESTAMP(6)</v>
      </c>
      <c r="J1733" s="169" t="s">
        <v>1</v>
      </c>
      <c r="K1733" s="169" t="s">
        <v>1</v>
      </c>
      <c r="L1733" s="169">
        <v>30</v>
      </c>
      <c r="M1733" s="168"/>
      <c r="N1733" s="168"/>
      <c r="O1733" s="168"/>
      <c r="P1733" s="168"/>
      <c r="Q1733" s="168" t="s">
        <v>0</v>
      </c>
      <c r="R1733" s="168" t="s">
        <v>1</v>
      </c>
      <c r="S1733" s="178" t="str">
        <f t="shared" si="83"/>
        <v>D_RDM_COLLATERAL_TYPE_BTHRECORD_CLOSE_TS</v>
      </c>
    </row>
    <row r="1734" spans="1:19" ht="14.4" x14ac:dyDescent="0.3">
      <c r="A1734" s="169" t="s">
        <v>1352</v>
      </c>
      <c r="B1734" s="171" t="str">
        <f t="shared" si="81"/>
        <v>D_RDM_COLLATERAL_TYPE_BTH</v>
      </c>
      <c r="C1734" s="169" t="s">
        <v>440</v>
      </c>
      <c r="D1734" s="169">
        <v>917</v>
      </c>
      <c r="E1734" s="169">
        <v>5</v>
      </c>
      <c r="F1734" s="169" t="s">
        <v>440</v>
      </c>
      <c r="G1734" s="169" t="s">
        <v>440</v>
      </c>
      <c r="H1734" s="169">
        <v>22</v>
      </c>
      <c r="I1734" s="136" t="str">
        <f t="shared" si="82"/>
        <v>TIMESTAMP(6)</v>
      </c>
      <c r="J1734" s="169" t="s">
        <v>1</v>
      </c>
      <c r="K1734" s="169" t="s">
        <v>1</v>
      </c>
      <c r="L1734" s="169">
        <v>30</v>
      </c>
      <c r="M1734" s="168"/>
      <c r="N1734" s="168"/>
      <c r="O1734" s="168"/>
      <c r="P1734" s="168"/>
      <c r="Q1734" s="168" t="s">
        <v>0</v>
      </c>
      <c r="R1734" s="168" t="s">
        <v>1</v>
      </c>
      <c r="S1734" s="178" t="str">
        <f t="shared" si="83"/>
        <v>D_RDM_COLLATERAL_TYPE_BTHRECORD_CREATE_TS</v>
      </c>
    </row>
    <row r="1735" spans="1:19" ht="14.4" x14ac:dyDescent="0.3">
      <c r="A1735" s="169" t="s">
        <v>1352</v>
      </c>
      <c r="B1735" s="171" t="str">
        <f t="shared" si="81"/>
        <v>D_RDM_COLLATERAL_TYPE_BTH</v>
      </c>
      <c r="C1735" s="169" t="s">
        <v>429</v>
      </c>
      <c r="D1735" s="169">
        <v>918</v>
      </c>
      <c r="E1735" s="169">
        <v>6</v>
      </c>
      <c r="F1735" s="169" t="s">
        <v>429</v>
      </c>
      <c r="G1735" s="169" t="s">
        <v>429</v>
      </c>
      <c r="H1735" s="169">
        <v>22</v>
      </c>
      <c r="I1735" s="136" t="str">
        <f t="shared" si="82"/>
        <v>TIMESTAMP(6)</v>
      </c>
      <c r="J1735" s="169" t="s">
        <v>1</v>
      </c>
      <c r="K1735" s="169" t="s">
        <v>1</v>
      </c>
      <c r="L1735" s="169">
        <v>30</v>
      </c>
      <c r="M1735" s="168"/>
      <c r="N1735" s="168"/>
      <c r="O1735" s="168"/>
      <c r="P1735" s="168"/>
      <c r="Q1735" s="168" t="s">
        <v>0</v>
      </c>
      <c r="R1735" s="168" t="s">
        <v>1</v>
      </c>
      <c r="S1735" s="178" t="str">
        <f t="shared" si="83"/>
        <v>D_RDM_COLLATERAL_TYPE_BTHRECORD_UPDATE_TS</v>
      </c>
    </row>
    <row r="1736" spans="1:19" ht="14.4" x14ac:dyDescent="0.3">
      <c r="A1736" s="169" t="s">
        <v>1352</v>
      </c>
      <c r="B1736" s="171" t="str">
        <f t="shared" si="81"/>
        <v>D_RDM_COLLATERAL_TYPE_BTH</v>
      </c>
      <c r="C1736" s="169" t="s">
        <v>498</v>
      </c>
      <c r="D1736" s="169">
        <v>919</v>
      </c>
      <c r="E1736" s="169">
        <v>7</v>
      </c>
      <c r="F1736" s="169" t="s">
        <v>498</v>
      </c>
      <c r="G1736" s="169" t="s">
        <v>498</v>
      </c>
      <c r="H1736" s="169">
        <v>7</v>
      </c>
      <c r="I1736" s="136" t="str">
        <f t="shared" si="82"/>
        <v>BIGINT</v>
      </c>
      <c r="J1736" s="169" t="s">
        <v>1</v>
      </c>
      <c r="K1736" s="169" t="s">
        <v>1</v>
      </c>
      <c r="L1736" s="169">
        <v>30</v>
      </c>
      <c r="M1736" s="168"/>
      <c r="N1736" s="168"/>
      <c r="O1736" s="168"/>
      <c r="P1736" s="168"/>
      <c r="Q1736" s="168" t="s">
        <v>0</v>
      </c>
      <c r="R1736" s="168" t="s">
        <v>1</v>
      </c>
      <c r="S1736" s="178" t="str">
        <f t="shared" si="83"/>
        <v>D_RDM_COLLATERAL_TYPE_BTHRUN_ID</v>
      </c>
    </row>
    <row r="1737" spans="1:19" ht="14.4" x14ac:dyDescent="0.3">
      <c r="A1737" s="169" t="s">
        <v>1352</v>
      </c>
      <c r="B1737" s="171" t="str">
        <f t="shared" si="81"/>
        <v>D_RDM_COLLATERAL_TYPE_BTH</v>
      </c>
      <c r="C1737" s="169" t="s">
        <v>492</v>
      </c>
      <c r="D1737" s="169">
        <v>920</v>
      </c>
      <c r="E1737" s="169">
        <v>8</v>
      </c>
      <c r="F1737" s="169" t="s">
        <v>492</v>
      </c>
      <c r="G1737" s="169" t="s">
        <v>492</v>
      </c>
      <c r="H1737" s="169">
        <v>34</v>
      </c>
      <c r="I1737" s="136" t="str">
        <f t="shared" si="82"/>
        <v>DATE</v>
      </c>
      <c r="J1737" s="169" t="s">
        <v>1</v>
      </c>
      <c r="K1737" s="169" t="s">
        <v>1</v>
      </c>
      <c r="L1737" s="169">
        <v>30</v>
      </c>
      <c r="M1737" s="168"/>
      <c r="N1737" s="168"/>
      <c r="O1737" s="168"/>
      <c r="P1737" s="168"/>
      <c r="Q1737" s="168" t="s">
        <v>0</v>
      </c>
      <c r="R1737" s="168" t="s">
        <v>1</v>
      </c>
      <c r="S1737" s="178" t="str">
        <f t="shared" si="83"/>
        <v>D_RDM_COLLATERAL_TYPE_BTHVALIDITY_DT</v>
      </c>
    </row>
    <row r="1738" spans="1:19" ht="14.4" x14ac:dyDescent="0.3">
      <c r="A1738" s="169" t="s">
        <v>1341</v>
      </c>
      <c r="B1738" s="171" t="str">
        <f t="shared" si="81"/>
        <v>D_RDM_COUNTRY_BTH</v>
      </c>
      <c r="C1738" s="169" t="s">
        <v>907</v>
      </c>
      <c r="D1738" s="169">
        <v>921</v>
      </c>
      <c r="E1738" s="169">
        <v>1</v>
      </c>
      <c r="F1738" s="169" t="s">
        <v>907</v>
      </c>
      <c r="G1738" s="169" t="s">
        <v>907</v>
      </c>
      <c r="H1738" s="169">
        <v>13</v>
      </c>
      <c r="I1738" s="136" t="str">
        <f t="shared" si="82"/>
        <v xml:space="preserve">VARCHAR(300) </v>
      </c>
      <c r="J1738" s="169" t="s">
        <v>0</v>
      </c>
      <c r="K1738" s="169" t="s">
        <v>1</v>
      </c>
      <c r="L1738" s="169">
        <v>30</v>
      </c>
      <c r="M1738" s="168"/>
      <c r="N1738" s="168"/>
      <c r="O1738" s="168"/>
      <c r="P1738" s="168"/>
      <c r="Q1738" s="168" t="s">
        <v>0</v>
      </c>
      <c r="R1738" s="168" t="s">
        <v>1</v>
      </c>
      <c r="S1738" s="178" t="str">
        <f t="shared" si="83"/>
        <v>D_RDM_COUNTRY_BTHCOUNTRY_CD</v>
      </c>
    </row>
    <row r="1739" spans="1:19" ht="14.4" x14ac:dyDescent="0.3">
      <c r="A1739" s="169" t="s">
        <v>1341</v>
      </c>
      <c r="B1739" s="171" t="str">
        <f t="shared" si="81"/>
        <v>D_RDM_COUNTRY_BTH</v>
      </c>
      <c r="C1739" s="169" t="s">
        <v>718</v>
      </c>
      <c r="D1739" s="169">
        <v>922</v>
      </c>
      <c r="E1739" s="169">
        <v>2</v>
      </c>
      <c r="F1739" s="169" t="s">
        <v>718</v>
      </c>
      <c r="G1739" s="169" t="s">
        <v>718</v>
      </c>
      <c r="H1739" s="169">
        <v>7</v>
      </c>
      <c r="I1739" s="136" t="str">
        <f t="shared" si="82"/>
        <v>BIGINT</v>
      </c>
      <c r="J1739" s="169" t="s">
        <v>1</v>
      </c>
      <c r="K1739" s="169" t="s">
        <v>0</v>
      </c>
      <c r="L1739" s="169">
        <v>30</v>
      </c>
      <c r="M1739" s="168"/>
      <c r="N1739" s="168"/>
      <c r="O1739" s="168"/>
      <c r="P1739" s="168"/>
      <c r="Q1739" s="168" t="s">
        <v>0</v>
      </c>
      <c r="R1739" s="168" t="s">
        <v>1</v>
      </c>
      <c r="S1739" s="178" t="str">
        <f t="shared" si="83"/>
        <v>D_RDM_COUNTRY_BTHCOUNTRY_ID</v>
      </c>
    </row>
    <row r="1740" spans="1:19" ht="14.4" x14ac:dyDescent="0.3">
      <c r="A1740" s="169" t="s">
        <v>1341</v>
      </c>
      <c r="B1740" s="171" t="str">
        <f t="shared" si="81"/>
        <v>D_RDM_COUNTRY_BTH</v>
      </c>
      <c r="C1740" s="169" t="s">
        <v>908</v>
      </c>
      <c r="D1740" s="169">
        <v>923</v>
      </c>
      <c r="E1740" s="169">
        <v>3</v>
      </c>
      <c r="F1740" s="169" t="s">
        <v>908</v>
      </c>
      <c r="G1740" s="169" t="s">
        <v>908</v>
      </c>
      <c r="H1740" s="169">
        <v>19</v>
      </c>
      <c r="I1740" s="136" t="str">
        <f t="shared" si="82"/>
        <v xml:space="preserve">VARCHAR(1000) </v>
      </c>
      <c r="J1740" s="169" t="s">
        <v>0</v>
      </c>
      <c r="K1740" s="169" t="s">
        <v>1</v>
      </c>
      <c r="L1740" s="169">
        <v>30</v>
      </c>
      <c r="M1740" s="168"/>
      <c r="N1740" s="168"/>
      <c r="O1740" s="168"/>
      <c r="P1740" s="168"/>
      <c r="Q1740" s="168" t="s">
        <v>0</v>
      </c>
      <c r="R1740" s="168" t="s">
        <v>1</v>
      </c>
      <c r="S1740" s="178" t="str">
        <f t="shared" si="83"/>
        <v>D_RDM_COUNTRY_BTHCOUNTRY_NM</v>
      </c>
    </row>
    <row r="1741" spans="1:19" ht="14.4" x14ac:dyDescent="0.3">
      <c r="A1741" s="169" t="s">
        <v>1341</v>
      </c>
      <c r="B1741" s="171" t="str">
        <f t="shared" si="81"/>
        <v>D_RDM_COUNTRY_BTH</v>
      </c>
      <c r="C1741" s="169" t="s">
        <v>438</v>
      </c>
      <c r="D1741" s="169">
        <v>924</v>
      </c>
      <c r="E1741" s="169">
        <v>4</v>
      </c>
      <c r="F1741" s="169" t="s">
        <v>438</v>
      </c>
      <c r="G1741" s="169" t="s">
        <v>438</v>
      </c>
      <c r="H1741" s="169">
        <v>22</v>
      </c>
      <c r="I1741" s="136" t="str">
        <f t="shared" si="82"/>
        <v>TIMESTAMP(6)</v>
      </c>
      <c r="J1741" s="169" t="s">
        <v>1</v>
      </c>
      <c r="K1741" s="169" t="s">
        <v>1</v>
      </c>
      <c r="L1741" s="169">
        <v>30</v>
      </c>
      <c r="M1741" s="168"/>
      <c r="N1741" s="168"/>
      <c r="O1741" s="168"/>
      <c r="P1741" s="168"/>
      <c r="Q1741" s="168" t="s">
        <v>0</v>
      </c>
      <c r="R1741" s="168" t="s">
        <v>1</v>
      </c>
      <c r="S1741" s="178" t="str">
        <f t="shared" si="83"/>
        <v>D_RDM_COUNTRY_BTHRECORD_CLOSE_TS</v>
      </c>
    </row>
    <row r="1742" spans="1:19" ht="14.4" x14ac:dyDescent="0.3">
      <c r="A1742" s="169" t="s">
        <v>1341</v>
      </c>
      <c r="B1742" s="171" t="str">
        <f t="shared" si="81"/>
        <v>D_RDM_COUNTRY_BTH</v>
      </c>
      <c r="C1742" s="169" t="s">
        <v>440</v>
      </c>
      <c r="D1742" s="169">
        <v>925</v>
      </c>
      <c r="E1742" s="169">
        <v>5</v>
      </c>
      <c r="F1742" s="169" t="s">
        <v>440</v>
      </c>
      <c r="G1742" s="169" t="s">
        <v>440</v>
      </c>
      <c r="H1742" s="169">
        <v>22</v>
      </c>
      <c r="I1742" s="136" t="str">
        <f t="shared" si="82"/>
        <v>TIMESTAMP(6)</v>
      </c>
      <c r="J1742" s="169" t="s">
        <v>1</v>
      </c>
      <c r="K1742" s="169" t="s">
        <v>1</v>
      </c>
      <c r="L1742" s="169">
        <v>30</v>
      </c>
      <c r="M1742" s="168"/>
      <c r="N1742" s="168"/>
      <c r="O1742" s="168"/>
      <c r="P1742" s="168"/>
      <c r="Q1742" s="168" t="s">
        <v>0</v>
      </c>
      <c r="R1742" s="168" t="s">
        <v>1</v>
      </c>
      <c r="S1742" s="178" t="str">
        <f t="shared" si="83"/>
        <v>D_RDM_COUNTRY_BTHRECORD_CREATE_TS</v>
      </c>
    </row>
    <row r="1743" spans="1:19" ht="14.4" x14ac:dyDescent="0.3">
      <c r="A1743" s="169" t="s">
        <v>1341</v>
      </c>
      <c r="B1743" s="171" t="str">
        <f t="shared" si="81"/>
        <v>D_RDM_COUNTRY_BTH</v>
      </c>
      <c r="C1743" s="169" t="s">
        <v>429</v>
      </c>
      <c r="D1743" s="169">
        <v>926</v>
      </c>
      <c r="E1743" s="169">
        <v>6</v>
      </c>
      <c r="F1743" s="169" t="s">
        <v>429</v>
      </c>
      <c r="G1743" s="169" t="s">
        <v>429</v>
      </c>
      <c r="H1743" s="169">
        <v>22</v>
      </c>
      <c r="I1743" s="136" t="str">
        <f t="shared" si="82"/>
        <v>TIMESTAMP(6)</v>
      </c>
      <c r="J1743" s="169" t="s">
        <v>1</v>
      </c>
      <c r="K1743" s="169" t="s">
        <v>1</v>
      </c>
      <c r="L1743" s="169">
        <v>30</v>
      </c>
      <c r="M1743" s="168"/>
      <c r="N1743" s="168"/>
      <c r="O1743" s="168"/>
      <c r="P1743" s="168"/>
      <c r="Q1743" s="168" t="s">
        <v>0</v>
      </c>
      <c r="R1743" s="168" t="s">
        <v>1</v>
      </c>
      <c r="S1743" s="178" t="str">
        <f t="shared" si="83"/>
        <v>D_RDM_COUNTRY_BTHRECORD_UPDATE_TS</v>
      </c>
    </row>
    <row r="1744" spans="1:19" ht="14.4" x14ac:dyDescent="0.3">
      <c r="A1744" s="169" t="s">
        <v>1341</v>
      </c>
      <c r="B1744" s="171" t="str">
        <f t="shared" si="81"/>
        <v>D_RDM_COUNTRY_BTH</v>
      </c>
      <c r="C1744" s="169" t="s">
        <v>498</v>
      </c>
      <c r="D1744" s="169">
        <v>927</v>
      </c>
      <c r="E1744" s="169">
        <v>7</v>
      </c>
      <c r="F1744" s="169" t="s">
        <v>498</v>
      </c>
      <c r="G1744" s="169" t="s">
        <v>498</v>
      </c>
      <c r="H1744" s="169">
        <v>7</v>
      </c>
      <c r="I1744" s="136" t="str">
        <f t="shared" si="82"/>
        <v>BIGINT</v>
      </c>
      <c r="J1744" s="169" t="s">
        <v>1</v>
      </c>
      <c r="K1744" s="169" t="s">
        <v>1</v>
      </c>
      <c r="L1744" s="169">
        <v>30</v>
      </c>
      <c r="M1744" s="168"/>
      <c r="N1744" s="168"/>
      <c r="O1744" s="168"/>
      <c r="P1744" s="168"/>
      <c r="Q1744" s="168" t="s">
        <v>0</v>
      </c>
      <c r="R1744" s="168" t="s">
        <v>1</v>
      </c>
      <c r="S1744" s="178" t="str">
        <f t="shared" si="83"/>
        <v>D_RDM_COUNTRY_BTHRUN_ID</v>
      </c>
    </row>
    <row r="1745" spans="1:19" ht="14.4" x14ac:dyDescent="0.3">
      <c r="A1745" s="169" t="s">
        <v>1341</v>
      </c>
      <c r="B1745" s="171" t="str">
        <f t="shared" si="81"/>
        <v>D_RDM_COUNTRY_BTH</v>
      </c>
      <c r="C1745" s="169" t="s">
        <v>492</v>
      </c>
      <c r="D1745" s="169">
        <v>928</v>
      </c>
      <c r="E1745" s="169">
        <v>8</v>
      </c>
      <c r="F1745" s="169" t="s">
        <v>492</v>
      </c>
      <c r="G1745" s="169" t="s">
        <v>492</v>
      </c>
      <c r="H1745" s="169">
        <v>34</v>
      </c>
      <c r="I1745" s="136" t="str">
        <f t="shared" si="82"/>
        <v>DATE</v>
      </c>
      <c r="J1745" s="169" t="s">
        <v>1</v>
      </c>
      <c r="K1745" s="169" t="s">
        <v>1</v>
      </c>
      <c r="L1745" s="169">
        <v>30</v>
      </c>
      <c r="M1745" s="168"/>
      <c r="N1745" s="168"/>
      <c r="O1745" s="168"/>
      <c r="P1745" s="168"/>
      <c r="Q1745" s="168" t="s">
        <v>0</v>
      </c>
      <c r="R1745" s="168" t="s">
        <v>1</v>
      </c>
      <c r="S1745" s="178" t="str">
        <f t="shared" si="83"/>
        <v>D_RDM_COUNTRY_BTHVALIDITY_DT</v>
      </c>
    </row>
    <row r="1746" spans="1:19" ht="14.4" x14ac:dyDescent="0.3">
      <c r="A1746" s="169" t="s">
        <v>1323</v>
      </c>
      <c r="B1746" s="171" t="str">
        <f t="shared" si="81"/>
        <v>D_RDM_CURRENCY_BTH</v>
      </c>
      <c r="C1746" s="169" t="s">
        <v>919</v>
      </c>
      <c r="D1746" s="169">
        <v>929</v>
      </c>
      <c r="E1746" s="169">
        <v>1</v>
      </c>
      <c r="F1746" s="169" t="s">
        <v>919</v>
      </c>
      <c r="G1746" s="169" t="s">
        <v>919</v>
      </c>
      <c r="H1746" s="169">
        <v>19</v>
      </c>
      <c r="I1746" s="136" t="str">
        <f t="shared" si="82"/>
        <v xml:space="preserve">VARCHAR(1000) </v>
      </c>
      <c r="J1746" s="169" t="s">
        <v>0</v>
      </c>
      <c r="K1746" s="169" t="s">
        <v>1</v>
      </c>
      <c r="L1746" s="169">
        <v>30</v>
      </c>
      <c r="M1746" s="168"/>
      <c r="N1746" s="168"/>
      <c r="O1746" s="168"/>
      <c r="P1746" s="168"/>
      <c r="Q1746" s="168" t="s">
        <v>0</v>
      </c>
      <c r="R1746" s="168" t="s">
        <v>1</v>
      </c>
      <c r="S1746" s="178" t="str">
        <f t="shared" si="83"/>
        <v>D_RDM_CURRENCY_BTHCURRENCY_DSC</v>
      </c>
    </row>
    <row r="1747" spans="1:19" ht="14.4" x14ac:dyDescent="0.3">
      <c r="A1747" s="169" t="s">
        <v>1323</v>
      </c>
      <c r="B1747" s="171" t="str">
        <f t="shared" si="81"/>
        <v>D_RDM_CURRENCY_BTH</v>
      </c>
      <c r="C1747" s="169" t="s">
        <v>614</v>
      </c>
      <c r="D1747" s="169">
        <v>930</v>
      </c>
      <c r="E1747" s="169">
        <v>2</v>
      </c>
      <c r="F1747" s="169" t="s">
        <v>614</v>
      </c>
      <c r="G1747" s="169" t="s">
        <v>614</v>
      </c>
      <c r="H1747" s="169">
        <v>7</v>
      </c>
      <c r="I1747" s="136" t="str">
        <f t="shared" si="82"/>
        <v>BIGINT</v>
      </c>
      <c r="J1747" s="169" t="s">
        <v>1</v>
      </c>
      <c r="K1747" s="169" t="s">
        <v>0</v>
      </c>
      <c r="L1747" s="169">
        <v>30</v>
      </c>
      <c r="M1747" s="168"/>
      <c r="N1747" s="168"/>
      <c r="O1747" s="168"/>
      <c r="P1747" s="168"/>
      <c r="Q1747" s="168" t="s">
        <v>0</v>
      </c>
      <c r="R1747" s="168" t="s">
        <v>1</v>
      </c>
      <c r="S1747" s="178" t="str">
        <f t="shared" si="83"/>
        <v>D_RDM_CURRENCY_BTHCURRENCY_ID</v>
      </c>
    </row>
    <row r="1748" spans="1:19" ht="14.4" x14ac:dyDescent="0.3">
      <c r="A1748" s="169" t="s">
        <v>1323</v>
      </c>
      <c r="B1748" s="171" t="str">
        <f t="shared" si="81"/>
        <v>D_RDM_CURRENCY_BTH</v>
      </c>
      <c r="C1748" s="169" t="s">
        <v>918</v>
      </c>
      <c r="D1748" s="169">
        <v>931</v>
      </c>
      <c r="E1748" s="169">
        <v>3</v>
      </c>
      <c r="F1748" s="169" t="s">
        <v>918</v>
      </c>
      <c r="G1748" s="169" t="s">
        <v>918</v>
      </c>
      <c r="H1748" s="169">
        <v>24</v>
      </c>
      <c r="I1748" s="136" t="str">
        <f t="shared" si="82"/>
        <v xml:space="preserve">VARCHAR(40) </v>
      </c>
      <c r="J1748" s="169" t="s">
        <v>1</v>
      </c>
      <c r="K1748" s="169" t="s">
        <v>1</v>
      </c>
      <c r="L1748" s="169">
        <v>30</v>
      </c>
      <c r="M1748" s="168"/>
      <c r="N1748" s="168"/>
      <c r="O1748" s="168"/>
      <c r="P1748" s="168"/>
      <c r="Q1748" s="168" t="s">
        <v>0</v>
      </c>
      <c r="R1748" s="168" t="s">
        <v>1</v>
      </c>
      <c r="S1748" s="178" t="str">
        <f t="shared" si="83"/>
        <v>D_RDM_CURRENCY_BTHCURRENCY_ISO_CD</v>
      </c>
    </row>
    <row r="1749" spans="1:19" ht="14.4" x14ac:dyDescent="0.3">
      <c r="A1749" s="169" t="s">
        <v>1323</v>
      </c>
      <c r="B1749" s="171" t="str">
        <f t="shared" si="81"/>
        <v>D_RDM_CURRENCY_BTH</v>
      </c>
      <c r="C1749" s="169" t="s">
        <v>920</v>
      </c>
      <c r="D1749" s="169">
        <v>932</v>
      </c>
      <c r="E1749" s="169">
        <v>4</v>
      </c>
      <c r="F1749" s="169" t="s">
        <v>920</v>
      </c>
      <c r="G1749" s="169" t="s">
        <v>920</v>
      </c>
      <c r="H1749" s="169">
        <v>24</v>
      </c>
      <c r="I1749" s="136" t="str">
        <f t="shared" si="82"/>
        <v xml:space="preserve">VARCHAR(40) </v>
      </c>
      <c r="J1749" s="169" t="s">
        <v>0</v>
      </c>
      <c r="K1749" s="169" t="s">
        <v>1</v>
      </c>
      <c r="L1749" s="169">
        <v>30</v>
      </c>
      <c r="M1749" s="168"/>
      <c r="N1749" s="168"/>
      <c r="O1749" s="168"/>
      <c r="P1749" s="168"/>
      <c r="Q1749" s="168" t="s">
        <v>0</v>
      </c>
      <c r="R1749" s="168" t="s">
        <v>1</v>
      </c>
      <c r="S1749" s="178" t="str">
        <f t="shared" si="83"/>
        <v>D_RDM_CURRENCY_BTHCURRENCY_ISO_NUM</v>
      </c>
    </row>
    <row r="1750" spans="1:19" ht="14.4" x14ac:dyDescent="0.3">
      <c r="A1750" s="169" t="s">
        <v>1323</v>
      </c>
      <c r="B1750" s="171" t="str">
        <f t="shared" si="81"/>
        <v>D_RDM_CURRENCY_BTH</v>
      </c>
      <c r="C1750" s="169" t="s">
        <v>438</v>
      </c>
      <c r="D1750" s="169">
        <v>933</v>
      </c>
      <c r="E1750" s="169">
        <v>5</v>
      </c>
      <c r="F1750" s="169" t="s">
        <v>438</v>
      </c>
      <c r="G1750" s="169" t="s">
        <v>438</v>
      </c>
      <c r="H1750" s="169">
        <v>22</v>
      </c>
      <c r="I1750" s="136" t="str">
        <f t="shared" si="82"/>
        <v>TIMESTAMP(6)</v>
      </c>
      <c r="J1750" s="169" t="s">
        <v>1</v>
      </c>
      <c r="K1750" s="169" t="s">
        <v>1</v>
      </c>
      <c r="L1750" s="169">
        <v>30</v>
      </c>
      <c r="M1750" s="168"/>
      <c r="N1750" s="168"/>
      <c r="O1750" s="168"/>
      <c r="P1750" s="168"/>
      <c r="Q1750" s="168" t="s">
        <v>0</v>
      </c>
      <c r="R1750" s="168" t="s">
        <v>1</v>
      </c>
      <c r="S1750" s="178" t="str">
        <f t="shared" si="83"/>
        <v>D_RDM_CURRENCY_BTHRECORD_CLOSE_TS</v>
      </c>
    </row>
    <row r="1751" spans="1:19" ht="14.4" x14ac:dyDescent="0.3">
      <c r="A1751" s="169" t="s">
        <v>1323</v>
      </c>
      <c r="B1751" s="171" t="str">
        <f t="shared" si="81"/>
        <v>D_RDM_CURRENCY_BTH</v>
      </c>
      <c r="C1751" s="169" t="s">
        <v>440</v>
      </c>
      <c r="D1751" s="169">
        <v>934</v>
      </c>
      <c r="E1751" s="169">
        <v>6</v>
      </c>
      <c r="F1751" s="169" t="s">
        <v>440</v>
      </c>
      <c r="G1751" s="169" t="s">
        <v>440</v>
      </c>
      <c r="H1751" s="169">
        <v>22</v>
      </c>
      <c r="I1751" s="136" t="str">
        <f t="shared" si="82"/>
        <v>TIMESTAMP(6)</v>
      </c>
      <c r="J1751" s="169" t="s">
        <v>1</v>
      </c>
      <c r="K1751" s="169" t="s">
        <v>1</v>
      </c>
      <c r="L1751" s="169">
        <v>30</v>
      </c>
      <c r="M1751" s="168"/>
      <c r="N1751" s="168"/>
      <c r="O1751" s="168"/>
      <c r="P1751" s="168"/>
      <c r="Q1751" s="168" t="s">
        <v>0</v>
      </c>
      <c r="R1751" s="168" t="s">
        <v>1</v>
      </c>
      <c r="S1751" s="178" t="str">
        <f t="shared" si="83"/>
        <v>D_RDM_CURRENCY_BTHRECORD_CREATE_TS</v>
      </c>
    </row>
    <row r="1752" spans="1:19" ht="14.4" x14ac:dyDescent="0.3">
      <c r="A1752" s="169" t="s">
        <v>1323</v>
      </c>
      <c r="B1752" s="171" t="str">
        <f t="shared" si="81"/>
        <v>D_RDM_CURRENCY_BTH</v>
      </c>
      <c r="C1752" s="169" t="s">
        <v>429</v>
      </c>
      <c r="D1752" s="169">
        <v>935</v>
      </c>
      <c r="E1752" s="169">
        <v>7</v>
      </c>
      <c r="F1752" s="169" t="s">
        <v>429</v>
      </c>
      <c r="G1752" s="169" t="s">
        <v>429</v>
      </c>
      <c r="H1752" s="169">
        <v>22</v>
      </c>
      <c r="I1752" s="136" t="str">
        <f t="shared" si="82"/>
        <v>TIMESTAMP(6)</v>
      </c>
      <c r="J1752" s="169" t="s">
        <v>1</v>
      </c>
      <c r="K1752" s="169" t="s">
        <v>1</v>
      </c>
      <c r="L1752" s="169">
        <v>30</v>
      </c>
      <c r="M1752" s="168"/>
      <c r="N1752" s="168"/>
      <c r="O1752" s="168"/>
      <c r="P1752" s="168"/>
      <c r="Q1752" s="168" t="s">
        <v>0</v>
      </c>
      <c r="R1752" s="168" t="s">
        <v>1</v>
      </c>
      <c r="S1752" s="178" t="str">
        <f t="shared" si="83"/>
        <v>D_RDM_CURRENCY_BTHRECORD_UPDATE_TS</v>
      </c>
    </row>
    <row r="1753" spans="1:19" ht="14.4" x14ac:dyDescent="0.3">
      <c r="A1753" s="169" t="s">
        <v>1323</v>
      </c>
      <c r="B1753" s="171" t="str">
        <f t="shared" si="81"/>
        <v>D_RDM_CURRENCY_BTH</v>
      </c>
      <c r="C1753" s="169" t="s">
        <v>498</v>
      </c>
      <c r="D1753" s="169">
        <v>936</v>
      </c>
      <c r="E1753" s="169">
        <v>8</v>
      </c>
      <c r="F1753" s="169" t="s">
        <v>498</v>
      </c>
      <c r="G1753" s="169" t="s">
        <v>498</v>
      </c>
      <c r="H1753" s="169">
        <v>7</v>
      </c>
      <c r="I1753" s="136" t="str">
        <f t="shared" si="82"/>
        <v>BIGINT</v>
      </c>
      <c r="J1753" s="169" t="s">
        <v>1</v>
      </c>
      <c r="K1753" s="169" t="s">
        <v>1</v>
      </c>
      <c r="L1753" s="169">
        <v>30</v>
      </c>
      <c r="M1753" s="168"/>
      <c r="N1753" s="168"/>
      <c r="O1753" s="168"/>
      <c r="P1753" s="168"/>
      <c r="Q1753" s="168" t="s">
        <v>0</v>
      </c>
      <c r="R1753" s="168" t="s">
        <v>1</v>
      </c>
      <c r="S1753" s="178" t="str">
        <f t="shared" si="83"/>
        <v>D_RDM_CURRENCY_BTHRUN_ID</v>
      </c>
    </row>
    <row r="1754" spans="1:19" ht="14.4" x14ac:dyDescent="0.3">
      <c r="A1754" s="169" t="s">
        <v>1323</v>
      </c>
      <c r="B1754" s="171" t="str">
        <f t="shared" si="81"/>
        <v>D_RDM_CURRENCY_BTH</v>
      </c>
      <c r="C1754" s="169" t="s">
        <v>492</v>
      </c>
      <c r="D1754" s="169">
        <v>937</v>
      </c>
      <c r="E1754" s="169">
        <v>9</v>
      </c>
      <c r="F1754" s="169" t="s">
        <v>492</v>
      </c>
      <c r="G1754" s="169" t="s">
        <v>492</v>
      </c>
      <c r="H1754" s="169">
        <v>34</v>
      </c>
      <c r="I1754" s="136" t="str">
        <f t="shared" si="82"/>
        <v>DATE</v>
      </c>
      <c r="J1754" s="169" t="s">
        <v>1</v>
      </c>
      <c r="K1754" s="169" t="s">
        <v>1</v>
      </c>
      <c r="L1754" s="169">
        <v>30</v>
      </c>
      <c r="M1754" s="168"/>
      <c r="N1754" s="168"/>
      <c r="O1754" s="168"/>
      <c r="P1754" s="168"/>
      <c r="Q1754" s="168" t="s">
        <v>0</v>
      </c>
      <c r="R1754" s="168" t="s">
        <v>1</v>
      </c>
      <c r="S1754" s="178" t="str">
        <f t="shared" si="83"/>
        <v>D_RDM_CURRENCY_BTHVALIDITY_DT</v>
      </c>
    </row>
    <row r="1755" spans="1:19" ht="14.4" x14ac:dyDescent="0.3">
      <c r="A1755" s="169" t="s">
        <v>1336</v>
      </c>
      <c r="B1755" s="171" t="str">
        <f t="shared" si="81"/>
        <v>D_RDM_F26_INT_PM_FREQ_BTH</v>
      </c>
      <c r="C1755" s="169" t="s">
        <v>666</v>
      </c>
      <c r="D1755" s="169">
        <v>938</v>
      </c>
      <c r="E1755" s="169">
        <v>1</v>
      </c>
      <c r="F1755" s="169" t="s">
        <v>666</v>
      </c>
      <c r="G1755" s="169" t="s">
        <v>666</v>
      </c>
      <c r="H1755" s="169">
        <v>7</v>
      </c>
      <c r="I1755" s="136" t="str">
        <f t="shared" si="82"/>
        <v>BIGINT</v>
      </c>
      <c r="J1755" s="169" t="s">
        <v>1</v>
      </c>
      <c r="K1755" s="169" t="s">
        <v>0</v>
      </c>
      <c r="L1755" s="169">
        <v>30</v>
      </c>
      <c r="M1755" s="168"/>
      <c r="N1755" s="168"/>
      <c r="O1755" s="168"/>
      <c r="P1755" s="168"/>
      <c r="Q1755" s="168" t="s">
        <v>0</v>
      </c>
      <c r="R1755" s="168" t="s">
        <v>1</v>
      </c>
      <c r="S1755" s="178" t="str">
        <f t="shared" si="83"/>
        <v>D_RDM_F26_INT_PM_FREQ_BTHF26_INT_PM_FREQ_ID</v>
      </c>
    </row>
    <row r="1756" spans="1:19" ht="14.4" x14ac:dyDescent="0.3">
      <c r="A1756" s="169" t="s">
        <v>1336</v>
      </c>
      <c r="B1756" s="171" t="str">
        <f t="shared" si="81"/>
        <v>D_RDM_F26_INT_PM_FREQ_BTH</v>
      </c>
      <c r="C1756" s="169" t="s">
        <v>709</v>
      </c>
      <c r="D1756" s="169">
        <v>939</v>
      </c>
      <c r="E1756" s="169">
        <v>2</v>
      </c>
      <c r="F1756" s="169" t="s">
        <v>709</v>
      </c>
      <c r="G1756" s="169" t="s">
        <v>709</v>
      </c>
      <c r="H1756" s="169">
        <v>13</v>
      </c>
      <c r="I1756" s="136" t="str">
        <f t="shared" si="82"/>
        <v xml:space="preserve">VARCHAR(300) </v>
      </c>
      <c r="J1756" s="169" t="s">
        <v>0</v>
      </c>
      <c r="K1756" s="169" t="s">
        <v>1</v>
      </c>
      <c r="L1756" s="169">
        <v>30</v>
      </c>
      <c r="M1756" s="168"/>
      <c r="N1756" s="168"/>
      <c r="O1756" s="168"/>
      <c r="P1756" s="168"/>
      <c r="Q1756" s="168" t="s">
        <v>0</v>
      </c>
      <c r="R1756" s="168" t="s">
        <v>1</v>
      </c>
      <c r="S1756" s="178" t="str">
        <f t="shared" si="83"/>
        <v>D_RDM_F26_INT_PM_FREQ_BTHPM_FREQ_CD</v>
      </c>
    </row>
    <row r="1757" spans="1:19" ht="14.4" x14ac:dyDescent="0.3">
      <c r="A1757" s="169" t="s">
        <v>1336</v>
      </c>
      <c r="B1757" s="171" t="str">
        <f t="shared" si="81"/>
        <v>D_RDM_F26_INT_PM_FREQ_BTH</v>
      </c>
      <c r="C1757" s="169" t="s">
        <v>710</v>
      </c>
      <c r="D1757" s="169">
        <v>940</v>
      </c>
      <c r="E1757" s="169">
        <v>3</v>
      </c>
      <c r="F1757" s="169" t="s">
        <v>710</v>
      </c>
      <c r="G1757" s="169" t="s">
        <v>710</v>
      </c>
      <c r="H1757" s="169">
        <v>19</v>
      </c>
      <c r="I1757" s="136" t="str">
        <f t="shared" si="82"/>
        <v xml:space="preserve">VARCHAR(1000) </v>
      </c>
      <c r="J1757" s="169" t="s">
        <v>0</v>
      </c>
      <c r="K1757" s="169" t="s">
        <v>1</v>
      </c>
      <c r="L1757" s="169">
        <v>30</v>
      </c>
      <c r="M1757" s="168"/>
      <c r="N1757" s="168"/>
      <c r="O1757" s="168"/>
      <c r="P1757" s="168"/>
      <c r="Q1757" s="168" t="s">
        <v>0</v>
      </c>
      <c r="R1757" s="168" t="s">
        <v>1</v>
      </c>
      <c r="S1757" s="178" t="str">
        <f t="shared" si="83"/>
        <v>D_RDM_F26_INT_PM_FREQ_BTHPM_FREQ_NM</v>
      </c>
    </row>
    <row r="1758" spans="1:19" ht="14.4" x14ac:dyDescent="0.3">
      <c r="A1758" s="169" t="s">
        <v>1336</v>
      </c>
      <c r="B1758" s="171" t="str">
        <f t="shared" si="81"/>
        <v>D_RDM_F26_INT_PM_FREQ_BTH</v>
      </c>
      <c r="C1758" s="169" t="s">
        <v>438</v>
      </c>
      <c r="D1758" s="169">
        <v>941</v>
      </c>
      <c r="E1758" s="169">
        <v>4</v>
      </c>
      <c r="F1758" s="169" t="s">
        <v>438</v>
      </c>
      <c r="G1758" s="169" t="s">
        <v>438</v>
      </c>
      <c r="H1758" s="169">
        <v>22</v>
      </c>
      <c r="I1758" s="136" t="str">
        <f t="shared" si="82"/>
        <v>TIMESTAMP(6)</v>
      </c>
      <c r="J1758" s="169" t="s">
        <v>1</v>
      </c>
      <c r="K1758" s="169" t="s">
        <v>1</v>
      </c>
      <c r="L1758" s="169">
        <v>30</v>
      </c>
      <c r="M1758" s="168"/>
      <c r="N1758" s="168"/>
      <c r="O1758" s="168"/>
      <c r="P1758" s="168"/>
      <c r="Q1758" s="168" t="s">
        <v>0</v>
      </c>
      <c r="R1758" s="168" t="s">
        <v>1</v>
      </c>
      <c r="S1758" s="178" t="str">
        <f t="shared" si="83"/>
        <v>D_RDM_F26_INT_PM_FREQ_BTHRECORD_CLOSE_TS</v>
      </c>
    </row>
    <row r="1759" spans="1:19" ht="14.4" x14ac:dyDescent="0.3">
      <c r="A1759" s="169" t="s">
        <v>1336</v>
      </c>
      <c r="B1759" s="171" t="str">
        <f t="shared" si="81"/>
        <v>D_RDM_F26_INT_PM_FREQ_BTH</v>
      </c>
      <c r="C1759" s="169" t="s">
        <v>440</v>
      </c>
      <c r="D1759" s="169">
        <v>942</v>
      </c>
      <c r="E1759" s="169">
        <v>5</v>
      </c>
      <c r="F1759" s="169" t="s">
        <v>440</v>
      </c>
      <c r="G1759" s="169" t="s">
        <v>440</v>
      </c>
      <c r="H1759" s="169">
        <v>22</v>
      </c>
      <c r="I1759" s="136" t="str">
        <f t="shared" si="82"/>
        <v>TIMESTAMP(6)</v>
      </c>
      <c r="J1759" s="169" t="s">
        <v>1</v>
      </c>
      <c r="K1759" s="169" t="s">
        <v>1</v>
      </c>
      <c r="L1759" s="169">
        <v>30</v>
      </c>
      <c r="M1759" s="168"/>
      <c r="N1759" s="168"/>
      <c r="O1759" s="168"/>
      <c r="P1759" s="168"/>
      <c r="Q1759" s="168" t="s">
        <v>0</v>
      </c>
      <c r="R1759" s="168" t="s">
        <v>1</v>
      </c>
      <c r="S1759" s="178" t="str">
        <f t="shared" si="83"/>
        <v>D_RDM_F26_INT_PM_FREQ_BTHRECORD_CREATE_TS</v>
      </c>
    </row>
    <row r="1760" spans="1:19" ht="14.4" x14ac:dyDescent="0.3">
      <c r="A1760" s="169" t="s">
        <v>1336</v>
      </c>
      <c r="B1760" s="171" t="str">
        <f t="shared" si="81"/>
        <v>D_RDM_F26_INT_PM_FREQ_BTH</v>
      </c>
      <c r="C1760" s="169" t="s">
        <v>429</v>
      </c>
      <c r="D1760" s="169">
        <v>943</v>
      </c>
      <c r="E1760" s="169">
        <v>6</v>
      </c>
      <c r="F1760" s="169" t="s">
        <v>429</v>
      </c>
      <c r="G1760" s="169" t="s">
        <v>429</v>
      </c>
      <c r="H1760" s="169">
        <v>22</v>
      </c>
      <c r="I1760" s="136" t="str">
        <f t="shared" si="82"/>
        <v>TIMESTAMP(6)</v>
      </c>
      <c r="J1760" s="169" t="s">
        <v>1</v>
      </c>
      <c r="K1760" s="169" t="s">
        <v>1</v>
      </c>
      <c r="L1760" s="169">
        <v>30</v>
      </c>
      <c r="M1760" s="168"/>
      <c r="N1760" s="168"/>
      <c r="O1760" s="168"/>
      <c r="P1760" s="168"/>
      <c r="Q1760" s="168" t="s">
        <v>0</v>
      </c>
      <c r="R1760" s="168" t="s">
        <v>1</v>
      </c>
      <c r="S1760" s="178" t="str">
        <f t="shared" si="83"/>
        <v>D_RDM_F26_INT_PM_FREQ_BTHRECORD_UPDATE_TS</v>
      </c>
    </row>
    <row r="1761" spans="1:19" ht="14.4" x14ac:dyDescent="0.3">
      <c r="A1761" s="169" t="s">
        <v>1336</v>
      </c>
      <c r="B1761" s="171" t="str">
        <f t="shared" si="81"/>
        <v>D_RDM_F26_INT_PM_FREQ_BTH</v>
      </c>
      <c r="C1761" s="169" t="s">
        <v>498</v>
      </c>
      <c r="D1761" s="169">
        <v>944</v>
      </c>
      <c r="E1761" s="169">
        <v>7</v>
      </c>
      <c r="F1761" s="169" t="s">
        <v>498</v>
      </c>
      <c r="G1761" s="169" t="s">
        <v>498</v>
      </c>
      <c r="H1761" s="169">
        <v>7</v>
      </c>
      <c r="I1761" s="136" t="str">
        <f t="shared" si="82"/>
        <v>BIGINT</v>
      </c>
      <c r="J1761" s="169" t="s">
        <v>1</v>
      </c>
      <c r="K1761" s="169" t="s">
        <v>1</v>
      </c>
      <c r="L1761" s="169">
        <v>30</v>
      </c>
      <c r="M1761" s="168"/>
      <c r="N1761" s="168"/>
      <c r="O1761" s="168"/>
      <c r="P1761" s="168"/>
      <c r="Q1761" s="168" t="s">
        <v>0</v>
      </c>
      <c r="R1761" s="168" t="s">
        <v>1</v>
      </c>
      <c r="S1761" s="178" t="str">
        <f t="shared" si="83"/>
        <v>D_RDM_F26_INT_PM_FREQ_BTHRUN_ID</v>
      </c>
    </row>
    <row r="1762" spans="1:19" ht="14.4" x14ac:dyDescent="0.3">
      <c r="A1762" s="169" t="s">
        <v>1336</v>
      </c>
      <c r="B1762" s="171" t="str">
        <f t="shared" si="81"/>
        <v>D_RDM_F26_INT_PM_FREQ_BTH</v>
      </c>
      <c r="C1762" s="169" t="s">
        <v>492</v>
      </c>
      <c r="D1762" s="169">
        <v>945</v>
      </c>
      <c r="E1762" s="169">
        <v>8</v>
      </c>
      <c r="F1762" s="169" t="s">
        <v>492</v>
      </c>
      <c r="G1762" s="169" t="s">
        <v>492</v>
      </c>
      <c r="H1762" s="169">
        <v>34</v>
      </c>
      <c r="I1762" s="136" t="str">
        <f t="shared" si="82"/>
        <v>DATE</v>
      </c>
      <c r="J1762" s="169" t="s">
        <v>1</v>
      </c>
      <c r="K1762" s="169" t="s">
        <v>1</v>
      </c>
      <c r="L1762" s="169">
        <v>30</v>
      </c>
      <c r="M1762" s="168"/>
      <c r="N1762" s="168"/>
      <c r="O1762" s="168"/>
      <c r="P1762" s="168"/>
      <c r="Q1762" s="168" t="s">
        <v>0</v>
      </c>
      <c r="R1762" s="168" t="s">
        <v>1</v>
      </c>
      <c r="S1762" s="178" t="str">
        <f t="shared" si="83"/>
        <v>D_RDM_F26_INT_PM_FREQ_BTHVALIDITY_DT</v>
      </c>
    </row>
    <row r="1763" spans="1:19" ht="14.4" x14ac:dyDescent="0.3">
      <c r="A1763" s="169" t="s">
        <v>1372</v>
      </c>
      <c r="B1763" s="171" t="str">
        <f t="shared" si="81"/>
        <v>D_RDM_F26_LOAN_PURPOSE_BTH</v>
      </c>
      <c r="C1763" s="169" t="s">
        <v>659</v>
      </c>
      <c r="D1763" s="169">
        <v>1922</v>
      </c>
      <c r="E1763" s="169">
        <v>1</v>
      </c>
      <c r="F1763" s="169" t="s">
        <v>659</v>
      </c>
      <c r="G1763" s="169" t="s">
        <v>659</v>
      </c>
      <c r="H1763" s="169">
        <v>7</v>
      </c>
      <c r="I1763" s="136" t="str">
        <f t="shared" si="82"/>
        <v>BIGINT</v>
      </c>
      <c r="J1763" s="169" t="s">
        <v>1</v>
      </c>
      <c r="K1763" s="169" t="s">
        <v>0</v>
      </c>
      <c r="L1763" s="169">
        <v>30</v>
      </c>
      <c r="M1763" s="168"/>
      <c r="N1763" s="168"/>
      <c r="O1763" s="168"/>
      <c r="P1763" s="168"/>
      <c r="Q1763" s="168" t="s">
        <v>0</v>
      </c>
      <c r="R1763" s="168" t="s">
        <v>1</v>
      </c>
      <c r="S1763" s="178" t="str">
        <f t="shared" si="83"/>
        <v>D_RDM_F26_LOAN_PURPOSE_BTHF26_LOAN_PURPOSE_ID</v>
      </c>
    </row>
    <row r="1764" spans="1:19" ht="14.4" x14ac:dyDescent="0.3">
      <c r="A1764" s="169" t="s">
        <v>1372</v>
      </c>
      <c r="B1764" s="171" t="str">
        <f t="shared" si="81"/>
        <v>D_RDM_F26_LOAN_PURPOSE_BTH</v>
      </c>
      <c r="C1764" s="169" t="s">
        <v>766</v>
      </c>
      <c r="D1764" s="169">
        <v>1923</v>
      </c>
      <c r="E1764" s="169">
        <v>2</v>
      </c>
      <c r="F1764" s="169" t="s">
        <v>766</v>
      </c>
      <c r="G1764" s="169" t="s">
        <v>766</v>
      </c>
      <c r="H1764" s="169">
        <v>13</v>
      </c>
      <c r="I1764" s="136" t="str">
        <f t="shared" si="82"/>
        <v xml:space="preserve">VARCHAR(300) </v>
      </c>
      <c r="J1764" s="169" t="s">
        <v>0</v>
      </c>
      <c r="K1764" s="169" t="s">
        <v>1</v>
      </c>
      <c r="L1764" s="169">
        <v>30</v>
      </c>
      <c r="M1764" s="168"/>
      <c r="N1764" s="168"/>
      <c r="O1764" s="168"/>
      <c r="P1764" s="168"/>
      <c r="Q1764" s="168" t="s">
        <v>0</v>
      </c>
      <c r="R1764" s="168" t="s">
        <v>1</v>
      </c>
      <c r="S1764" s="178" t="str">
        <f t="shared" si="83"/>
        <v>D_RDM_F26_LOAN_PURPOSE_BTHLOAN_PURPOSE_CD</v>
      </c>
    </row>
    <row r="1765" spans="1:19" ht="14.4" x14ac:dyDescent="0.3">
      <c r="A1765" s="169" t="s">
        <v>1372</v>
      </c>
      <c r="B1765" s="171" t="str">
        <f t="shared" si="81"/>
        <v>D_RDM_F26_LOAN_PURPOSE_BTH</v>
      </c>
      <c r="C1765" s="169" t="s">
        <v>767</v>
      </c>
      <c r="D1765" s="169">
        <v>1924</v>
      </c>
      <c r="E1765" s="169">
        <v>3</v>
      </c>
      <c r="F1765" s="169" t="s">
        <v>767</v>
      </c>
      <c r="G1765" s="169" t="s">
        <v>767</v>
      </c>
      <c r="H1765" s="169">
        <v>19</v>
      </c>
      <c r="I1765" s="136" t="str">
        <f t="shared" si="82"/>
        <v xml:space="preserve">VARCHAR(1000) </v>
      </c>
      <c r="J1765" s="169" t="s">
        <v>0</v>
      </c>
      <c r="K1765" s="169" t="s">
        <v>1</v>
      </c>
      <c r="L1765" s="169">
        <v>30</v>
      </c>
      <c r="M1765" s="168"/>
      <c r="N1765" s="168"/>
      <c r="O1765" s="168"/>
      <c r="P1765" s="168"/>
      <c r="Q1765" s="168" t="s">
        <v>0</v>
      </c>
      <c r="R1765" s="168" t="s">
        <v>1</v>
      </c>
      <c r="S1765" s="178" t="str">
        <f t="shared" si="83"/>
        <v>D_RDM_F26_LOAN_PURPOSE_BTHLOAN_PURPOSE_NM</v>
      </c>
    </row>
    <row r="1766" spans="1:19" ht="14.4" x14ac:dyDescent="0.3">
      <c r="A1766" s="169" t="s">
        <v>1372</v>
      </c>
      <c r="B1766" s="171" t="str">
        <f t="shared" si="81"/>
        <v>D_RDM_F26_LOAN_PURPOSE_BTH</v>
      </c>
      <c r="C1766" s="169" t="s">
        <v>438</v>
      </c>
      <c r="D1766" s="169">
        <v>1925</v>
      </c>
      <c r="E1766" s="169">
        <v>4</v>
      </c>
      <c r="F1766" s="169" t="s">
        <v>438</v>
      </c>
      <c r="G1766" s="169" t="s">
        <v>438</v>
      </c>
      <c r="H1766" s="169">
        <v>22</v>
      </c>
      <c r="I1766" s="136" t="str">
        <f t="shared" si="82"/>
        <v>TIMESTAMP(6)</v>
      </c>
      <c r="J1766" s="169" t="s">
        <v>1</v>
      </c>
      <c r="K1766" s="169" t="s">
        <v>1</v>
      </c>
      <c r="L1766" s="169">
        <v>30</v>
      </c>
      <c r="M1766" s="168"/>
      <c r="N1766" s="168"/>
      <c r="O1766" s="168"/>
      <c r="P1766" s="168"/>
      <c r="Q1766" s="168" t="s">
        <v>0</v>
      </c>
      <c r="R1766" s="168" t="s">
        <v>1</v>
      </c>
      <c r="S1766" s="178" t="str">
        <f t="shared" si="83"/>
        <v>D_RDM_F26_LOAN_PURPOSE_BTHRECORD_CLOSE_TS</v>
      </c>
    </row>
    <row r="1767" spans="1:19" ht="14.4" x14ac:dyDescent="0.3">
      <c r="A1767" s="169" t="s">
        <v>1372</v>
      </c>
      <c r="B1767" s="171" t="str">
        <f t="shared" si="81"/>
        <v>D_RDM_F26_LOAN_PURPOSE_BTH</v>
      </c>
      <c r="C1767" s="169" t="s">
        <v>440</v>
      </c>
      <c r="D1767" s="169">
        <v>1926</v>
      </c>
      <c r="E1767" s="169">
        <v>5</v>
      </c>
      <c r="F1767" s="169" t="s">
        <v>440</v>
      </c>
      <c r="G1767" s="169" t="s">
        <v>440</v>
      </c>
      <c r="H1767" s="169">
        <v>22</v>
      </c>
      <c r="I1767" s="136" t="str">
        <f t="shared" si="82"/>
        <v>TIMESTAMP(6)</v>
      </c>
      <c r="J1767" s="169" t="s">
        <v>1</v>
      </c>
      <c r="K1767" s="169" t="s">
        <v>1</v>
      </c>
      <c r="L1767" s="169">
        <v>30</v>
      </c>
      <c r="M1767" s="168"/>
      <c r="N1767" s="168"/>
      <c r="O1767" s="168"/>
      <c r="P1767" s="168"/>
      <c r="Q1767" s="168" t="s">
        <v>0</v>
      </c>
      <c r="R1767" s="168" t="s">
        <v>1</v>
      </c>
      <c r="S1767" s="178" t="str">
        <f t="shared" si="83"/>
        <v>D_RDM_F26_LOAN_PURPOSE_BTHRECORD_CREATE_TS</v>
      </c>
    </row>
    <row r="1768" spans="1:19" ht="14.4" x14ac:dyDescent="0.3">
      <c r="A1768" s="169" t="s">
        <v>1372</v>
      </c>
      <c r="B1768" s="171" t="str">
        <f t="shared" si="81"/>
        <v>D_RDM_F26_LOAN_PURPOSE_BTH</v>
      </c>
      <c r="C1768" s="169" t="s">
        <v>429</v>
      </c>
      <c r="D1768" s="169">
        <v>1927</v>
      </c>
      <c r="E1768" s="169">
        <v>6</v>
      </c>
      <c r="F1768" s="169" t="s">
        <v>429</v>
      </c>
      <c r="G1768" s="169" t="s">
        <v>429</v>
      </c>
      <c r="H1768" s="169">
        <v>22</v>
      </c>
      <c r="I1768" s="136" t="str">
        <f t="shared" si="82"/>
        <v>TIMESTAMP(6)</v>
      </c>
      <c r="J1768" s="169" t="s">
        <v>1</v>
      </c>
      <c r="K1768" s="169" t="s">
        <v>1</v>
      </c>
      <c r="L1768" s="169">
        <v>30</v>
      </c>
      <c r="M1768" s="168"/>
      <c r="N1768" s="168"/>
      <c r="O1768" s="168"/>
      <c r="P1768" s="168"/>
      <c r="Q1768" s="168" t="s">
        <v>0</v>
      </c>
      <c r="R1768" s="168" t="s">
        <v>1</v>
      </c>
      <c r="S1768" s="178" t="str">
        <f t="shared" si="83"/>
        <v>D_RDM_F26_LOAN_PURPOSE_BTHRECORD_UPDATE_TS</v>
      </c>
    </row>
    <row r="1769" spans="1:19" ht="14.4" x14ac:dyDescent="0.3">
      <c r="A1769" s="169" t="s">
        <v>1372</v>
      </c>
      <c r="B1769" s="171" t="str">
        <f t="shared" si="81"/>
        <v>D_RDM_F26_LOAN_PURPOSE_BTH</v>
      </c>
      <c r="C1769" s="169" t="s">
        <v>498</v>
      </c>
      <c r="D1769" s="169">
        <v>1928</v>
      </c>
      <c r="E1769" s="169">
        <v>7</v>
      </c>
      <c r="F1769" s="169" t="s">
        <v>498</v>
      </c>
      <c r="G1769" s="169" t="s">
        <v>498</v>
      </c>
      <c r="H1769" s="169">
        <v>7</v>
      </c>
      <c r="I1769" s="136" t="str">
        <f t="shared" si="82"/>
        <v>BIGINT</v>
      </c>
      <c r="J1769" s="169" t="s">
        <v>1</v>
      </c>
      <c r="K1769" s="169" t="s">
        <v>1</v>
      </c>
      <c r="L1769" s="169">
        <v>30</v>
      </c>
      <c r="M1769" s="168"/>
      <c r="N1769" s="168"/>
      <c r="O1769" s="168"/>
      <c r="P1769" s="168"/>
      <c r="Q1769" s="168" t="s">
        <v>0</v>
      </c>
      <c r="R1769" s="168" t="s">
        <v>1</v>
      </c>
      <c r="S1769" s="178" t="str">
        <f t="shared" si="83"/>
        <v>D_RDM_F26_LOAN_PURPOSE_BTHRUN_ID</v>
      </c>
    </row>
    <row r="1770" spans="1:19" ht="14.4" x14ac:dyDescent="0.3">
      <c r="A1770" s="169" t="s">
        <v>1372</v>
      </c>
      <c r="B1770" s="171" t="str">
        <f t="shared" si="81"/>
        <v>D_RDM_F26_LOAN_PURPOSE_BTH</v>
      </c>
      <c r="C1770" s="169" t="s">
        <v>492</v>
      </c>
      <c r="D1770" s="169">
        <v>1929</v>
      </c>
      <c r="E1770" s="169">
        <v>8</v>
      </c>
      <c r="F1770" s="169" t="s">
        <v>492</v>
      </c>
      <c r="G1770" s="169" t="s">
        <v>492</v>
      </c>
      <c r="H1770" s="169">
        <v>34</v>
      </c>
      <c r="I1770" s="136" t="str">
        <f t="shared" si="82"/>
        <v>DATE</v>
      </c>
      <c r="J1770" s="169" t="s">
        <v>1</v>
      </c>
      <c r="K1770" s="169" t="s">
        <v>1</v>
      </c>
      <c r="L1770" s="169">
        <v>30</v>
      </c>
      <c r="M1770" s="168"/>
      <c r="N1770" s="168"/>
      <c r="O1770" s="168"/>
      <c r="P1770" s="168"/>
      <c r="Q1770" s="168" t="s">
        <v>0</v>
      </c>
      <c r="R1770" s="168" t="s">
        <v>1</v>
      </c>
      <c r="S1770" s="178" t="str">
        <f t="shared" si="83"/>
        <v>D_RDM_F26_LOAN_PURPOSE_BTHVALIDITY_DT</v>
      </c>
    </row>
    <row r="1771" spans="1:19" ht="14.4" x14ac:dyDescent="0.3">
      <c r="A1771" s="169" t="s">
        <v>1363</v>
      </c>
      <c r="B1771" s="171" t="str">
        <f t="shared" si="81"/>
        <v>D_RDM_F26_LOAN_REGIME_BTH</v>
      </c>
      <c r="C1771" s="169" t="s">
        <v>661</v>
      </c>
      <c r="D1771" s="169">
        <v>1930</v>
      </c>
      <c r="E1771" s="169">
        <v>1</v>
      </c>
      <c r="F1771" s="169" t="s">
        <v>661</v>
      </c>
      <c r="G1771" s="169" t="s">
        <v>661</v>
      </c>
      <c r="H1771" s="169">
        <v>7</v>
      </c>
      <c r="I1771" s="136" t="str">
        <f t="shared" si="82"/>
        <v>BIGINT</v>
      </c>
      <c r="J1771" s="169" t="s">
        <v>1</v>
      </c>
      <c r="K1771" s="169" t="s">
        <v>0</v>
      </c>
      <c r="L1771" s="169">
        <v>30</v>
      </c>
      <c r="M1771" s="168"/>
      <c r="N1771" s="168"/>
      <c r="O1771" s="168"/>
      <c r="P1771" s="168"/>
      <c r="Q1771" s="168" t="s">
        <v>0</v>
      </c>
      <c r="R1771" s="168" t="s">
        <v>1</v>
      </c>
      <c r="S1771" s="178" t="str">
        <f t="shared" si="83"/>
        <v>D_RDM_F26_LOAN_REGIME_BTHF26_LOAN_REGIME_ID</v>
      </c>
    </row>
    <row r="1772" spans="1:19" ht="14.4" x14ac:dyDescent="0.3">
      <c r="A1772" s="169" t="s">
        <v>1363</v>
      </c>
      <c r="B1772" s="171" t="str">
        <f t="shared" si="81"/>
        <v>D_RDM_F26_LOAN_REGIME_BTH</v>
      </c>
      <c r="C1772" s="169" t="s">
        <v>427</v>
      </c>
      <c r="D1772" s="169">
        <v>1931</v>
      </c>
      <c r="E1772" s="169">
        <v>2</v>
      </c>
      <c r="F1772" s="169" t="s">
        <v>427</v>
      </c>
      <c r="G1772" s="169" t="s">
        <v>427</v>
      </c>
      <c r="H1772" s="169">
        <v>13</v>
      </c>
      <c r="I1772" s="136" t="str">
        <f t="shared" si="82"/>
        <v xml:space="preserve">VARCHAR(300) </v>
      </c>
      <c r="J1772" s="169" t="s">
        <v>0</v>
      </c>
      <c r="K1772" s="169" t="s">
        <v>1</v>
      </c>
      <c r="L1772" s="169">
        <v>30</v>
      </c>
      <c r="M1772" s="168"/>
      <c r="N1772" s="168"/>
      <c r="O1772" s="168"/>
      <c r="P1772" s="168"/>
      <c r="Q1772" s="168" t="s">
        <v>0</v>
      </c>
      <c r="R1772" s="168" t="s">
        <v>1</v>
      </c>
      <c r="S1772" s="178" t="str">
        <f t="shared" si="83"/>
        <v>D_RDM_F26_LOAN_REGIME_BTHLOAN_REGIME_CD</v>
      </c>
    </row>
    <row r="1773" spans="1:19" ht="14.4" x14ac:dyDescent="0.3">
      <c r="A1773" s="169" t="s">
        <v>1363</v>
      </c>
      <c r="B1773" s="171" t="str">
        <f t="shared" si="81"/>
        <v>D_RDM_F26_LOAN_REGIME_BTH</v>
      </c>
      <c r="C1773" s="169" t="s">
        <v>428</v>
      </c>
      <c r="D1773" s="169">
        <v>1932</v>
      </c>
      <c r="E1773" s="169">
        <v>3</v>
      </c>
      <c r="F1773" s="169" t="s">
        <v>428</v>
      </c>
      <c r="G1773" s="169" t="s">
        <v>428</v>
      </c>
      <c r="H1773" s="169">
        <v>19</v>
      </c>
      <c r="I1773" s="136" t="str">
        <f t="shared" si="82"/>
        <v xml:space="preserve">VARCHAR(1000) </v>
      </c>
      <c r="J1773" s="169" t="s">
        <v>0</v>
      </c>
      <c r="K1773" s="169" t="s">
        <v>1</v>
      </c>
      <c r="L1773" s="169">
        <v>30</v>
      </c>
      <c r="M1773" s="168"/>
      <c r="N1773" s="168"/>
      <c r="O1773" s="168"/>
      <c r="P1773" s="168"/>
      <c r="Q1773" s="168" t="s">
        <v>0</v>
      </c>
      <c r="R1773" s="168" t="s">
        <v>1</v>
      </c>
      <c r="S1773" s="178" t="str">
        <f t="shared" si="83"/>
        <v>D_RDM_F26_LOAN_REGIME_BTHLOAN_REGIME_NM</v>
      </c>
    </row>
    <row r="1774" spans="1:19" ht="14.4" x14ac:dyDescent="0.3">
      <c r="A1774" s="169" t="s">
        <v>1363</v>
      </c>
      <c r="B1774" s="171" t="str">
        <f t="shared" si="81"/>
        <v>D_RDM_F26_LOAN_REGIME_BTH</v>
      </c>
      <c r="C1774" s="169" t="s">
        <v>438</v>
      </c>
      <c r="D1774" s="169">
        <v>1933</v>
      </c>
      <c r="E1774" s="169">
        <v>4</v>
      </c>
      <c r="F1774" s="169" t="s">
        <v>438</v>
      </c>
      <c r="G1774" s="169" t="s">
        <v>438</v>
      </c>
      <c r="H1774" s="169">
        <v>22</v>
      </c>
      <c r="I1774" s="136" t="str">
        <f t="shared" si="82"/>
        <v>TIMESTAMP(6)</v>
      </c>
      <c r="J1774" s="169" t="s">
        <v>1</v>
      </c>
      <c r="K1774" s="169" t="s">
        <v>1</v>
      </c>
      <c r="L1774" s="169">
        <v>30</v>
      </c>
      <c r="M1774" s="168"/>
      <c r="N1774" s="168"/>
      <c r="O1774" s="168"/>
      <c r="P1774" s="168"/>
      <c r="Q1774" s="168" t="s">
        <v>0</v>
      </c>
      <c r="R1774" s="168" t="s">
        <v>1</v>
      </c>
      <c r="S1774" s="178" t="str">
        <f t="shared" si="83"/>
        <v>D_RDM_F26_LOAN_REGIME_BTHRECORD_CLOSE_TS</v>
      </c>
    </row>
    <row r="1775" spans="1:19" ht="14.4" x14ac:dyDescent="0.3">
      <c r="A1775" s="169" t="s">
        <v>1363</v>
      </c>
      <c r="B1775" s="171" t="str">
        <f t="shared" si="81"/>
        <v>D_RDM_F26_LOAN_REGIME_BTH</v>
      </c>
      <c r="C1775" s="169" t="s">
        <v>440</v>
      </c>
      <c r="D1775" s="169">
        <v>1934</v>
      </c>
      <c r="E1775" s="169">
        <v>5</v>
      </c>
      <c r="F1775" s="169" t="s">
        <v>440</v>
      </c>
      <c r="G1775" s="169" t="s">
        <v>440</v>
      </c>
      <c r="H1775" s="169">
        <v>22</v>
      </c>
      <c r="I1775" s="136" t="str">
        <f t="shared" si="82"/>
        <v>TIMESTAMP(6)</v>
      </c>
      <c r="J1775" s="169" t="s">
        <v>1</v>
      </c>
      <c r="K1775" s="169" t="s">
        <v>1</v>
      </c>
      <c r="L1775" s="169">
        <v>30</v>
      </c>
      <c r="M1775" s="168"/>
      <c r="N1775" s="168"/>
      <c r="O1775" s="168"/>
      <c r="P1775" s="168"/>
      <c r="Q1775" s="168" t="s">
        <v>0</v>
      </c>
      <c r="R1775" s="168" t="s">
        <v>1</v>
      </c>
      <c r="S1775" s="178" t="str">
        <f t="shared" si="83"/>
        <v>D_RDM_F26_LOAN_REGIME_BTHRECORD_CREATE_TS</v>
      </c>
    </row>
    <row r="1776" spans="1:19" ht="14.4" x14ac:dyDescent="0.3">
      <c r="A1776" s="169" t="s">
        <v>1363</v>
      </c>
      <c r="B1776" s="171" t="str">
        <f t="shared" si="81"/>
        <v>D_RDM_F26_LOAN_REGIME_BTH</v>
      </c>
      <c r="C1776" s="169" t="s">
        <v>429</v>
      </c>
      <c r="D1776" s="169">
        <v>1935</v>
      </c>
      <c r="E1776" s="169">
        <v>6</v>
      </c>
      <c r="F1776" s="169" t="s">
        <v>429</v>
      </c>
      <c r="G1776" s="169" t="s">
        <v>429</v>
      </c>
      <c r="H1776" s="169">
        <v>22</v>
      </c>
      <c r="I1776" s="136" t="str">
        <f t="shared" si="82"/>
        <v>TIMESTAMP(6)</v>
      </c>
      <c r="J1776" s="169" t="s">
        <v>1</v>
      </c>
      <c r="K1776" s="169" t="s">
        <v>1</v>
      </c>
      <c r="L1776" s="169">
        <v>30</v>
      </c>
      <c r="M1776" s="168"/>
      <c r="N1776" s="168"/>
      <c r="O1776" s="168"/>
      <c r="P1776" s="168"/>
      <c r="Q1776" s="168" t="s">
        <v>0</v>
      </c>
      <c r="R1776" s="168" t="s">
        <v>1</v>
      </c>
      <c r="S1776" s="178" t="str">
        <f t="shared" si="83"/>
        <v>D_RDM_F26_LOAN_REGIME_BTHRECORD_UPDATE_TS</v>
      </c>
    </row>
    <row r="1777" spans="1:19" ht="14.4" x14ac:dyDescent="0.3">
      <c r="A1777" s="169" t="s">
        <v>1363</v>
      </c>
      <c r="B1777" s="171" t="str">
        <f t="shared" si="81"/>
        <v>D_RDM_F26_LOAN_REGIME_BTH</v>
      </c>
      <c r="C1777" s="169" t="s">
        <v>498</v>
      </c>
      <c r="D1777" s="169">
        <v>1936</v>
      </c>
      <c r="E1777" s="169">
        <v>7</v>
      </c>
      <c r="F1777" s="169" t="s">
        <v>498</v>
      </c>
      <c r="G1777" s="169" t="s">
        <v>498</v>
      </c>
      <c r="H1777" s="169">
        <v>7</v>
      </c>
      <c r="I1777" s="136" t="str">
        <f t="shared" si="82"/>
        <v>BIGINT</v>
      </c>
      <c r="J1777" s="169" t="s">
        <v>1</v>
      </c>
      <c r="K1777" s="169" t="s">
        <v>1</v>
      </c>
      <c r="L1777" s="169">
        <v>30</v>
      </c>
      <c r="M1777" s="168"/>
      <c r="N1777" s="168"/>
      <c r="O1777" s="168"/>
      <c r="P1777" s="168"/>
      <c r="Q1777" s="168" t="s">
        <v>0</v>
      </c>
      <c r="R1777" s="168" t="s">
        <v>1</v>
      </c>
      <c r="S1777" s="178" t="str">
        <f t="shared" si="83"/>
        <v>D_RDM_F26_LOAN_REGIME_BTHRUN_ID</v>
      </c>
    </row>
    <row r="1778" spans="1:19" ht="14.4" x14ac:dyDescent="0.3">
      <c r="A1778" s="169" t="s">
        <v>1363</v>
      </c>
      <c r="B1778" s="171" t="str">
        <f t="shared" si="81"/>
        <v>D_RDM_F26_LOAN_REGIME_BTH</v>
      </c>
      <c r="C1778" s="169" t="s">
        <v>492</v>
      </c>
      <c r="D1778" s="169">
        <v>1937</v>
      </c>
      <c r="E1778" s="169">
        <v>8</v>
      </c>
      <c r="F1778" s="169" t="s">
        <v>492</v>
      </c>
      <c r="G1778" s="169" t="s">
        <v>492</v>
      </c>
      <c r="H1778" s="169">
        <v>34</v>
      </c>
      <c r="I1778" s="136" t="str">
        <f t="shared" si="82"/>
        <v>DATE</v>
      </c>
      <c r="J1778" s="169" t="s">
        <v>1</v>
      </c>
      <c r="K1778" s="169" t="s">
        <v>1</v>
      </c>
      <c r="L1778" s="169">
        <v>30</v>
      </c>
      <c r="M1778" s="168"/>
      <c r="N1778" s="168"/>
      <c r="O1778" s="168"/>
      <c r="P1778" s="168"/>
      <c r="Q1778" s="168" t="s">
        <v>0</v>
      </c>
      <c r="R1778" s="168" t="s">
        <v>1</v>
      </c>
      <c r="S1778" s="178" t="str">
        <f t="shared" si="83"/>
        <v>D_RDM_F26_LOAN_REGIME_BTHVALIDITY_DT</v>
      </c>
    </row>
    <row r="1779" spans="1:19" ht="14.4" x14ac:dyDescent="0.3">
      <c r="A1779" s="169" t="s">
        <v>1335</v>
      </c>
      <c r="B1779" s="171" t="str">
        <f t="shared" si="81"/>
        <v>D_RDM_F26_LOAN_TYPE_BTH</v>
      </c>
      <c r="C1779" s="169" t="s">
        <v>663</v>
      </c>
      <c r="D1779" s="169">
        <v>1938</v>
      </c>
      <c r="E1779" s="169">
        <v>1</v>
      </c>
      <c r="F1779" s="169" t="s">
        <v>663</v>
      </c>
      <c r="G1779" s="169" t="s">
        <v>663</v>
      </c>
      <c r="H1779" s="169">
        <v>7</v>
      </c>
      <c r="I1779" s="136" t="str">
        <f t="shared" si="82"/>
        <v>BIGINT</v>
      </c>
      <c r="J1779" s="169" t="s">
        <v>1</v>
      </c>
      <c r="K1779" s="169" t="s">
        <v>0</v>
      </c>
      <c r="L1779" s="169">
        <v>30</v>
      </c>
      <c r="M1779" s="168"/>
      <c r="N1779" s="168"/>
      <c r="O1779" s="168"/>
      <c r="P1779" s="168"/>
      <c r="Q1779" s="168" t="s">
        <v>0</v>
      </c>
      <c r="R1779" s="168" t="s">
        <v>1</v>
      </c>
      <c r="S1779" s="178" t="str">
        <f t="shared" si="83"/>
        <v>D_RDM_F26_LOAN_TYPE_BTHF26_LOAN_TYPE_ID</v>
      </c>
    </row>
    <row r="1780" spans="1:19" ht="14.4" x14ac:dyDescent="0.3">
      <c r="A1780" s="169" t="s">
        <v>1335</v>
      </c>
      <c r="B1780" s="171" t="str">
        <f t="shared" si="81"/>
        <v>D_RDM_F26_LOAN_TYPE_BTH</v>
      </c>
      <c r="C1780" s="169" t="s">
        <v>788</v>
      </c>
      <c r="D1780" s="169">
        <v>1939</v>
      </c>
      <c r="E1780" s="169">
        <v>2</v>
      </c>
      <c r="F1780" s="169" t="s">
        <v>788</v>
      </c>
      <c r="G1780" s="169" t="s">
        <v>788</v>
      </c>
      <c r="H1780" s="169">
        <v>24</v>
      </c>
      <c r="I1780" s="136" t="str">
        <f t="shared" si="82"/>
        <v xml:space="preserve">VARCHAR(40) </v>
      </c>
      <c r="J1780" s="169" t="s">
        <v>0</v>
      </c>
      <c r="K1780" s="169" t="s">
        <v>1</v>
      </c>
      <c r="L1780" s="169">
        <v>30</v>
      </c>
      <c r="M1780" s="168"/>
      <c r="N1780" s="168"/>
      <c r="O1780" s="168"/>
      <c r="P1780" s="168"/>
      <c r="Q1780" s="168" t="s">
        <v>0</v>
      </c>
      <c r="R1780" s="168" t="s">
        <v>1</v>
      </c>
      <c r="S1780" s="178" t="str">
        <f t="shared" si="83"/>
        <v>D_RDM_F26_LOAN_TYPE_BTHLOAN_TYPE_CD</v>
      </c>
    </row>
    <row r="1781" spans="1:19" ht="14.4" x14ac:dyDescent="0.3">
      <c r="A1781" s="169" t="s">
        <v>1335</v>
      </c>
      <c r="B1781" s="171" t="str">
        <f t="shared" si="81"/>
        <v>D_RDM_F26_LOAN_TYPE_BTH</v>
      </c>
      <c r="C1781" s="169" t="s">
        <v>789</v>
      </c>
      <c r="D1781" s="169">
        <v>1940</v>
      </c>
      <c r="E1781" s="169">
        <v>3</v>
      </c>
      <c r="F1781" s="169" t="s">
        <v>789</v>
      </c>
      <c r="G1781" s="169" t="s">
        <v>789</v>
      </c>
      <c r="H1781" s="169">
        <v>19</v>
      </c>
      <c r="I1781" s="136" t="str">
        <f t="shared" si="82"/>
        <v xml:space="preserve">VARCHAR(1000) </v>
      </c>
      <c r="J1781" s="169" t="s">
        <v>0</v>
      </c>
      <c r="K1781" s="169" t="s">
        <v>1</v>
      </c>
      <c r="L1781" s="169">
        <v>30</v>
      </c>
      <c r="M1781" s="168"/>
      <c r="N1781" s="168"/>
      <c r="O1781" s="168"/>
      <c r="P1781" s="168"/>
      <c r="Q1781" s="168" t="s">
        <v>0</v>
      </c>
      <c r="R1781" s="168" t="s">
        <v>1</v>
      </c>
      <c r="S1781" s="178" t="str">
        <f t="shared" si="83"/>
        <v>D_RDM_F26_LOAN_TYPE_BTHLOAN_TYPE_NM</v>
      </c>
    </row>
    <row r="1782" spans="1:19" ht="14.4" x14ac:dyDescent="0.3">
      <c r="A1782" s="169" t="s">
        <v>1335</v>
      </c>
      <c r="B1782" s="171" t="str">
        <f t="shared" si="81"/>
        <v>D_RDM_F26_LOAN_TYPE_BTH</v>
      </c>
      <c r="C1782" s="169" t="s">
        <v>438</v>
      </c>
      <c r="D1782" s="169">
        <v>1941</v>
      </c>
      <c r="E1782" s="169">
        <v>4</v>
      </c>
      <c r="F1782" s="169" t="s">
        <v>438</v>
      </c>
      <c r="G1782" s="169" t="s">
        <v>438</v>
      </c>
      <c r="H1782" s="169">
        <v>22</v>
      </c>
      <c r="I1782" s="136" t="str">
        <f t="shared" si="82"/>
        <v>TIMESTAMP(6)</v>
      </c>
      <c r="J1782" s="169" t="s">
        <v>1</v>
      </c>
      <c r="K1782" s="169" t="s">
        <v>1</v>
      </c>
      <c r="L1782" s="169">
        <v>30</v>
      </c>
      <c r="M1782" s="168"/>
      <c r="N1782" s="168"/>
      <c r="O1782" s="168"/>
      <c r="P1782" s="168"/>
      <c r="Q1782" s="168" t="s">
        <v>0</v>
      </c>
      <c r="R1782" s="168" t="s">
        <v>1</v>
      </c>
      <c r="S1782" s="178" t="str">
        <f t="shared" si="83"/>
        <v>D_RDM_F26_LOAN_TYPE_BTHRECORD_CLOSE_TS</v>
      </c>
    </row>
    <row r="1783" spans="1:19" ht="14.4" x14ac:dyDescent="0.3">
      <c r="A1783" s="169" t="s">
        <v>1335</v>
      </c>
      <c r="B1783" s="171" t="str">
        <f t="shared" si="81"/>
        <v>D_RDM_F26_LOAN_TYPE_BTH</v>
      </c>
      <c r="C1783" s="169" t="s">
        <v>440</v>
      </c>
      <c r="D1783" s="169">
        <v>1942</v>
      </c>
      <c r="E1783" s="169">
        <v>5</v>
      </c>
      <c r="F1783" s="169" t="s">
        <v>440</v>
      </c>
      <c r="G1783" s="169" t="s">
        <v>440</v>
      </c>
      <c r="H1783" s="169">
        <v>22</v>
      </c>
      <c r="I1783" s="136" t="str">
        <f t="shared" si="82"/>
        <v>TIMESTAMP(6)</v>
      </c>
      <c r="J1783" s="169" t="s">
        <v>1</v>
      </c>
      <c r="K1783" s="169" t="s">
        <v>1</v>
      </c>
      <c r="L1783" s="169">
        <v>30</v>
      </c>
      <c r="M1783" s="168"/>
      <c r="N1783" s="168"/>
      <c r="O1783" s="168"/>
      <c r="P1783" s="168"/>
      <c r="Q1783" s="168" t="s">
        <v>0</v>
      </c>
      <c r="R1783" s="168" t="s">
        <v>1</v>
      </c>
      <c r="S1783" s="178" t="str">
        <f t="shared" si="83"/>
        <v>D_RDM_F26_LOAN_TYPE_BTHRECORD_CREATE_TS</v>
      </c>
    </row>
    <row r="1784" spans="1:19" ht="14.4" x14ac:dyDescent="0.3">
      <c r="A1784" s="169" t="s">
        <v>1335</v>
      </c>
      <c r="B1784" s="171" t="str">
        <f t="shared" si="81"/>
        <v>D_RDM_F26_LOAN_TYPE_BTH</v>
      </c>
      <c r="C1784" s="169" t="s">
        <v>429</v>
      </c>
      <c r="D1784" s="169">
        <v>1943</v>
      </c>
      <c r="E1784" s="169">
        <v>6</v>
      </c>
      <c r="F1784" s="169" t="s">
        <v>429</v>
      </c>
      <c r="G1784" s="169" t="s">
        <v>429</v>
      </c>
      <c r="H1784" s="169">
        <v>22</v>
      </c>
      <c r="I1784" s="136" t="str">
        <f t="shared" si="82"/>
        <v>TIMESTAMP(6)</v>
      </c>
      <c r="J1784" s="169" t="s">
        <v>1</v>
      </c>
      <c r="K1784" s="169" t="s">
        <v>1</v>
      </c>
      <c r="L1784" s="169">
        <v>30</v>
      </c>
      <c r="M1784" s="168"/>
      <c r="N1784" s="168"/>
      <c r="O1784" s="168"/>
      <c r="P1784" s="168"/>
      <c r="Q1784" s="168" t="s">
        <v>0</v>
      </c>
      <c r="R1784" s="168" t="s">
        <v>1</v>
      </c>
      <c r="S1784" s="178" t="str">
        <f t="shared" si="83"/>
        <v>D_RDM_F26_LOAN_TYPE_BTHRECORD_UPDATE_TS</v>
      </c>
    </row>
    <row r="1785" spans="1:19" ht="14.4" x14ac:dyDescent="0.3">
      <c r="A1785" s="169" t="s">
        <v>1335</v>
      </c>
      <c r="B1785" s="171" t="str">
        <f t="shared" si="81"/>
        <v>D_RDM_F26_LOAN_TYPE_BTH</v>
      </c>
      <c r="C1785" s="169" t="s">
        <v>498</v>
      </c>
      <c r="D1785" s="169">
        <v>1944</v>
      </c>
      <c r="E1785" s="169">
        <v>7</v>
      </c>
      <c r="F1785" s="169" t="s">
        <v>498</v>
      </c>
      <c r="G1785" s="169" t="s">
        <v>498</v>
      </c>
      <c r="H1785" s="169">
        <v>7</v>
      </c>
      <c r="I1785" s="136" t="str">
        <f t="shared" si="82"/>
        <v>BIGINT</v>
      </c>
      <c r="J1785" s="169" t="s">
        <v>1</v>
      </c>
      <c r="K1785" s="169" t="s">
        <v>1</v>
      </c>
      <c r="L1785" s="169">
        <v>30</v>
      </c>
      <c r="M1785" s="168"/>
      <c r="N1785" s="168"/>
      <c r="O1785" s="168"/>
      <c r="P1785" s="168"/>
      <c r="Q1785" s="168" t="s">
        <v>0</v>
      </c>
      <c r="R1785" s="168" t="s">
        <v>1</v>
      </c>
      <c r="S1785" s="178" t="str">
        <f t="shared" si="83"/>
        <v>D_RDM_F26_LOAN_TYPE_BTHRUN_ID</v>
      </c>
    </row>
    <row r="1786" spans="1:19" ht="14.4" x14ac:dyDescent="0.3">
      <c r="A1786" s="169" t="s">
        <v>1335</v>
      </c>
      <c r="B1786" s="171" t="str">
        <f t="shared" si="81"/>
        <v>D_RDM_F26_LOAN_TYPE_BTH</v>
      </c>
      <c r="C1786" s="169" t="s">
        <v>492</v>
      </c>
      <c r="D1786" s="169">
        <v>1945</v>
      </c>
      <c r="E1786" s="169">
        <v>8</v>
      </c>
      <c r="F1786" s="169" t="s">
        <v>492</v>
      </c>
      <c r="G1786" s="169" t="s">
        <v>492</v>
      </c>
      <c r="H1786" s="169">
        <v>34</v>
      </c>
      <c r="I1786" s="136" t="str">
        <f t="shared" si="82"/>
        <v>DATE</v>
      </c>
      <c r="J1786" s="169" t="s">
        <v>1</v>
      </c>
      <c r="K1786" s="169" t="s">
        <v>1</v>
      </c>
      <c r="L1786" s="169">
        <v>30</v>
      </c>
      <c r="M1786" s="168"/>
      <c r="N1786" s="168"/>
      <c r="O1786" s="168"/>
      <c r="P1786" s="168"/>
      <c r="Q1786" s="168" t="s">
        <v>0</v>
      </c>
      <c r="R1786" s="168" t="s">
        <v>1</v>
      </c>
      <c r="S1786" s="178" t="str">
        <f t="shared" si="83"/>
        <v>D_RDM_F26_LOAN_TYPE_BTHVALIDITY_DT</v>
      </c>
    </row>
    <row r="1787" spans="1:19" ht="14.4" x14ac:dyDescent="0.3">
      <c r="A1787" s="169" t="s">
        <v>1375</v>
      </c>
      <c r="B1787" s="171" t="str">
        <f t="shared" si="81"/>
        <v>D_RDM_FIN_POS_BTH</v>
      </c>
      <c r="C1787" s="169" t="s">
        <v>725</v>
      </c>
      <c r="D1787" s="169">
        <v>946</v>
      </c>
      <c r="E1787" s="169">
        <v>1</v>
      </c>
      <c r="F1787" s="169" t="s">
        <v>725</v>
      </c>
      <c r="G1787" s="169" t="s">
        <v>725</v>
      </c>
      <c r="H1787" s="169">
        <v>7</v>
      </c>
      <c r="I1787" s="136" t="str">
        <f t="shared" si="82"/>
        <v>BIGINT</v>
      </c>
      <c r="J1787" s="169" t="s">
        <v>1</v>
      </c>
      <c r="K1787" s="169" t="s">
        <v>0</v>
      </c>
      <c r="L1787" s="169">
        <v>30</v>
      </c>
      <c r="M1787" s="168"/>
      <c r="N1787" s="168"/>
      <c r="O1787" s="168"/>
      <c r="P1787" s="168"/>
      <c r="Q1787" s="168" t="s">
        <v>0</v>
      </c>
      <c r="R1787" s="168" t="s">
        <v>1</v>
      </c>
      <c r="S1787" s="178" t="str">
        <f t="shared" si="83"/>
        <v>D_RDM_FIN_POS_BTHCP_FIN_POS_ID</v>
      </c>
    </row>
    <row r="1788" spans="1:19" ht="14.4" x14ac:dyDescent="0.3">
      <c r="A1788" s="169" t="s">
        <v>1375</v>
      </c>
      <c r="B1788" s="171" t="str">
        <f t="shared" si="81"/>
        <v>D_RDM_FIN_POS_BTH</v>
      </c>
      <c r="C1788" s="169" t="s">
        <v>812</v>
      </c>
      <c r="D1788" s="169">
        <v>947</v>
      </c>
      <c r="E1788" s="169">
        <v>2</v>
      </c>
      <c r="F1788" s="169" t="s">
        <v>812</v>
      </c>
      <c r="G1788" s="169" t="s">
        <v>812</v>
      </c>
      <c r="H1788" s="169">
        <v>13</v>
      </c>
      <c r="I1788" s="136" t="str">
        <f t="shared" si="82"/>
        <v xml:space="preserve">VARCHAR(300) </v>
      </c>
      <c r="J1788" s="169" t="s">
        <v>0</v>
      </c>
      <c r="K1788" s="169" t="s">
        <v>1</v>
      </c>
      <c r="L1788" s="169">
        <v>30</v>
      </c>
      <c r="M1788" s="168"/>
      <c r="N1788" s="168"/>
      <c r="O1788" s="168"/>
      <c r="P1788" s="168"/>
      <c r="Q1788" s="168" t="s">
        <v>0</v>
      </c>
      <c r="R1788" s="168" t="s">
        <v>1</v>
      </c>
      <c r="S1788" s="178" t="str">
        <f t="shared" si="83"/>
        <v>D_RDM_FIN_POS_BTHFIN_POS_CD</v>
      </c>
    </row>
    <row r="1789" spans="1:19" ht="14.4" x14ac:dyDescent="0.3">
      <c r="A1789" s="169" t="s">
        <v>1375</v>
      </c>
      <c r="B1789" s="171" t="str">
        <f t="shared" si="81"/>
        <v>D_RDM_FIN_POS_BTH</v>
      </c>
      <c r="C1789" s="169" t="s">
        <v>813</v>
      </c>
      <c r="D1789" s="169">
        <v>948</v>
      </c>
      <c r="E1789" s="169">
        <v>3</v>
      </c>
      <c r="F1789" s="169" t="s">
        <v>813</v>
      </c>
      <c r="G1789" s="169" t="s">
        <v>813</v>
      </c>
      <c r="H1789" s="169">
        <v>19</v>
      </c>
      <c r="I1789" s="136" t="str">
        <f t="shared" si="82"/>
        <v xml:space="preserve">VARCHAR(1000) </v>
      </c>
      <c r="J1789" s="169" t="s">
        <v>0</v>
      </c>
      <c r="K1789" s="169" t="s">
        <v>1</v>
      </c>
      <c r="L1789" s="169">
        <v>30</v>
      </c>
      <c r="M1789" s="168"/>
      <c r="N1789" s="168"/>
      <c r="O1789" s="168"/>
      <c r="P1789" s="168"/>
      <c r="Q1789" s="168" t="s">
        <v>0</v>
      </c>
      <c r="R1789" s="168" t="s">
        <v>1</v>
      </c>
      <c r="S1789" s="178" t="str">
        <f t="shared" si="83"/>
        <v>D_RDM_FIN_POS_BTHFIN_POS_NM</v>
      </c>
    </row>
    <row r="1790" spans="1:19" ht="14.4" x14ac:dyDescent="0.3">
      <c r="A1790" s="169" t="s">
        <v>1375</v>
      </c>
      <c r="B1790" s="171" t="str">
        <f t="shared" si="81"/>
        <v>D_RDM_FIN_POS_BTH</v>
      </c>
      <c r="C1790" s="169" t="s">
        <v>438</v>
      </c>
      <c r="D1790" s="169">
        <v>949</v>
      </c>
      <c r="E1790" s="169">
        <v>4</v>
      </c>
      <c r="F1790" s="169" t="s">
        <v>438</v>
      </c>
      <c r="G1790" s="169" t="s">
        <v>438</v>
      </c>
      <c r="H1790" s="169">
        <v>22</v>
      </c>
      <c r="I1790" s="136" t="str">
        <f t="shared" si="82"/>
        <v>TIMESTAMP(6)</v>
      </c>
      <c r="J1790" s="169" t="s">
        <v>1</v>
      </c>
      <c r="K1790" s="169" t="s">
        <v>1</v>
      </c>
      <c r="L1790" s="169">
        <v>30</v>
      </c>
      <c r="M1790" s="168"/>
      <c r="N1790" s="168"/>
      <c r="O1790" s="168"/>
      <c r="P1790" s="168"/>
      <c r="Q1790" s="168" t="s">
        <v>0</v>
      </c>
      <c r="R1790" s="168" t="s">
        <v>1</v>
      </c>
      <c r="S1790" s="178" t="str">
        <f t="shared" si="83"/>
        <v>D_RDM_FIN_POS_BTHRECORD_CLOSE_TS</v>
      </c>
    </row>
    <row r="1791" spans="1:19" ht="14.4" x14ac:dyDescent="0.3">
      <c r="A1791" s="169" t="s">
        <v>1375</v>
      </c>
      <c r="B1791" s="171" t="str">
        <f t="shared" si="81"/>
        <v>D_RDM_FIN_POS_BTH</v>
      </c>
      <c r="C1791" s="169" t="s">
        <v>440</v>
      </c>
      <c r="D1791" s="169">
        <v>950</v>
      </c>
      <c r="E1791" s="169">
        <v>5</v>
      </c>
      <c r="F1791" s="169" t="s">
        <v>440</v>
      </c>
      <c r="G1791" s="169" t="s">
        <v>440</v>
      </c>
      <c r="H1791" s="169">
        <v>22</v>
      </c>
      <c r="I1791" s="136" t="str">
        <f t="shared" si="82"/>
        <v>TIMESTAMP(6)</v>
      </c>
      <c r="J1791" s="169" t="s">
        <v>1</v>
      </c>
      <c r="K1791" s="169" t="s">
        <v>1</v>
      </c>
      <c r="L1791" s="169">
        <v>30</v>
      </c>
      <c r="M1791" s="168"/>
      <c r="N1791" s="168"/>
      <c r="O1791" s="168"/>
      <c r="P1791" s="168"/>
      <c r="Q1791" s="168" t="s">
        <v>0</v>
      </c>
      <c r="R1791" s="168" t="s">
        <v>1</v>
      </c>
      <c r="S1791" s="178" t="str">
        <f t="shared" si="83"/>
        <v>D_RDM_FIN_POS_BTHRECORD_CREATE_TS</v>
      </c>
    </row>
    <row r="1792" spans="1:19" ht="14.4" x14ac:dyDescent="0.3">
      <c r="A1792" s="169" t="s">
        <v>1375</v>
      </c>
      <c r="B1792" s="171" t="str">
        <f t="shared" si="81"/>
        <v>D_RDM_FIN_POS_BTH</v>
      </c>
      <c r="C1792" s="169" t="s">
        <v>429</v>
      </c>
      <c r="D1792" s="169">
        <v>951</v>
      </c>
      <c r="E1792" s="169">
        <v>6</v>
      </c>
      <c r="F1792" s="169" t="s">
        <v>429</v>
      </c>
      <c r="G1792" s="169" t="s">
        <v>429</v>
      </c>
      <c r="H1792" s="169">
        <v>22</v>
      </c>
      <c r="I1792" s="136" t="str">
        <f t="shared" si="82"/>
        <v>TIMESTAMP(6)</v>
      </c>
      <c r="J1792" s="169" t="s">
        <v>1</v>
      </c>
      <c r="K1792" s="169" t="s">
        <v>1</v>
      </c>
      <c r="L1792" s="169">
        <v>30</v>
      </c>
      <c r="M1792" s="168"/>
      <c r="N1792" s="168"/>
      <c r="O1792" s="168"/>
      <c r="P1792" s="168"/>
      <c r="Q1792" s="168" t="s">
        <v>0</v>
      </c>
      <c r="R1792" s="168" t="s">
        <v>1</v>
      </c>
      <c r="S1792" s="178" t="str">
        <f t="shared" si="83"/>
        <v>D_RDM_FIN_POS_BTHRECORD_UPDATE_TS</v>
      </c>
    </row>
    <row r="1793" spans="1:19" ht="14.4" x14ac:dyDescent="0.3">
      <c r="A1793" s="169" t="s">
        <v>1375</v>
      </c>
      <c r="B1793" s="171" t="str">
        <f t="shared" si="81"/>
        <v>D_RDM_FIN_POS_BTH</v>
      </c>
      <c r="C1793" s="169" t="s">
        <v>498</v>
      </c>
      <c r="D1793" s="169">
        <v>952</v>
      </c>
      <c r="E1793" s="169">
        <v>7</v>
      </c>
      <c r="F1793" s="169" t="s">
        <v>498</v>
      </c>
      <c r="G1793" s="169" t="s">
        <v>498</v>
      </c>
      <c r="H1793" s="169">
        <v>7</v>
      </c>
      <c r="I1793" s="136" t="str">
        <f t="shared" si="82"/>
        <v>BIGINT</v>
      </c>
      <c r="J1793" s="169" t="s">
        <v>1</v>
      </c>
      <c r="K1793" s="169" t="s">
        <v>1</v>
      </c>
      <c r="L1793" s="169">
        <v>30</v>
      </c>
      <c r="M1793" s="168"/>
      <c r="N1793" s="168"/>
      <c r="O1793" s="168"/>
      <c r="P1793" s="168"/>
      <c r="Q1793" s="168" t="s">
        <v>0</v>
      </c>
      <c r="R1793" s="168" t="s">
        <v>1</v>
      </c>
      <c r="S1793" s="178" t="str">
        <f t="shared" si="83"/>
        <v>D_RDM_FIN_POS_BTHRUN_ID</v>
      </c>
    </row>
    <row r="1794" spans="1:19" ht="14.4" x14ac:dyDescent="0.3">
      <c r="A1794" s="169" t="s">
        <v>1375</v>
      </c>
      <c r="B1794" s="171" t="str">
        <f t="shared" ref="B1794:B1857" si="84">IF(NOT(ISBLANK(A1794)),VLOOKUP(A1794,ERM_TABLE_NM,2,FALSE), "")</f>
        <v>D_RDM_FIN_POS_BTH</v>
      </c>
      <c r="C1794" s="169" t="s">
        <v>492</v>
      </c>
      <c r="D1794" s="169">
        <v>953</v>
      </c>
      <c r="E1794" s="169">
        <v>8</v>
      </c>
      <c r="F1794" s="169" t="s">
        <v>492</v>
      </c>
      <c r="G1794" s="169" t="s">
        <v>492</v>
      </c>
      <c r="H1794" s="169">
        <v>34</v>
      </c>
      <c r="I1794" s="136" t="str">
        <f t="shared" ref="I1794:I1857" si="85">IF(NOT(ISBLANK(H1794)),VLOOKUP(H1794,ERM_DOMAIN_NM,2,FALSE), "")</f>
        <v>DATE</v>
      </c>
      <c r="J1794" s="169" t="s">
        <v>1</v>
      </c>
      <c r="K1794" s="169" t="s">
        <v>1</v>
      </c>
      <c r="L1794" s="169">
        <v>30</v>
      </c>
      <c r="M1794" s="168"/>
      <c r="N1794" s="168"/>
      <c r="O1794" s="168"/>
      <c r="P1794" s="168"/>
      <c r="Q1794" s="168" t="s">
        <v>0</v>
      </c>
      <c r="R1794" s="168" t="s">
        <v>1</v>
      </c>
      <c r="S1794" s="178" t="str">
        <f t="shared" si="83"/>
        <v>D_RDM_FIN_POS_BTHVALIDITY_DT</v>
      </c>
    </row>
    <row r="1795" spans="1:19" ht="14.4" x14ac:dyDescent="0.3">
      <c r="A1795" s="169" t="s">
        <v>1339</v>
      </c>
      <c r="B1795" s="171" t="str">
        <f t="shared" si="84"/>
        <v>D_RDM_OKVED_INDUSTRY_BTH</v>
      </c>
      <c r="C1795" s="169" t="s">
        <v>505</v>
      </c>
      <c r="D1795" s="169">
        <v>954</v>
      </c>
      <c r="E1795" s="169">
        <v>1</v>
      </c>
      <c r="F1795" s="169" t="s">
        <v>505</v>
      </c>
      <c r="G1795" s="169" t="s">
        <v>505</v>
      </c>
      <c r="H1795" s="169">
        <v>13</v>
      </c>
      <c r="I1795" s="136" t="str">
        <f t="shared" si="85"/>
        <v xml:space="preserve">VARCHAR(300) </v>
      </c>
      <c r="J1795" s="169" t="s">
        <v>0</v>
      </c>
      <c r="K1795" s="169" t="s">
        <v>1</v>
      </c>
      <c r="L1795" s="169">
        <v>30</v>
      </c>
      <c r="M1795" s="168"/>
      <c r="N1795" s="168"/>
      <c r="O1795" s="168"/>
      <c r="P1795" s="168"/>
      <c r="Q1795" s="168" t="s">
        <v>0</v>
      </c>
      <c r="R1795" s="168" t="s">
        <v>1</v>
      </c>
      <c r="S1795" s="178" t="str">
        <f t="shared" ref="S1795:S1858" si="86">CONCATENATE(A1795,C1795)</f>
        <v>D_RDM_OKVED_INDUSTRY_BTHOKVED_INDUSTRY_CD</v>
      </c>
    </row>
    <row r="1796" spans="1:19" ht="14.4" x14ac:dyDescent="0.3">
      <c r="A1796" s="169" t="s">
        <v>1339</v>
      </c>
      <c r="B1796" s="171" t="str">
        <f t="shared" si="84"/>
        <v>D_RDM_OKVED_INDUSTRY_BTH</v>
      </c>
      <c r="C1796" s="169" t="s">
        <v>506</v>
      </c>
      <c r="D1796" s="169">
        <v>955</v>
      </c>
      <c r="E1796" s="169">
        <v>2</v>
      </c>
      <c r="F1796" s="169" t="s">
        <v>506</v>
      </c>
      <c r="G1796" s="169" t="s">
        <v>506</v>
      </c>
      <c r="H1796" s="169">
        <v>19</v>
      </c>
      <c r="I1796" s="136" t="str">
        <f t="shared" si="85"/>
        <v xml:space="preserve">VARCHAR(1000) </v>
      </c>
      <c r="J1796" s="169" t="s">
        <v>0</v>
      </c>
      <c r="K1796" s="169" t="s">
        <v>1</v>
      </c>
      <c r="L1796" s="169">
        <v>30</v>
      </c>
      <c r="M1796" s="168"/>
      <c r="N1796" s="168"/>
      <c r="O1796" s="168"/>
      <c r="P1796" s="168"/>
      <c r="Q1796" s="168" t="s">
        <v>0</v>
      </c>
      <c r="R1796" s="168" t="s">
        <v>1</v>
      </c>
      <c r="S1796" s="178" t="str">
        <f t="shared" si="86"/>
        <v>D_RDM_OKVED_INDUSTRY_BTHOKVED_INDUSTRY_DSC</v>
      </c>
    </row>
    <row r="1797" spans="1:19" ht="14.4" x14ac:dyDescent="0.3">
      <c r="A1797" s="169" t="s">
        <v>1339</v>
      </c>
      <c r="B1797" s="171" t="str">
        <f t="shared" si="84"/>
        <v>D_RDM_OKVED_INDUSTRY_BTH</v>
      </c>
      <c r="C1797" s="169" t="s">
        <v>507</v>
      </c>
      <c r="D1797" s="169">
        <v>956</v>
      </c>
      <c r="E1797" s="169">
        <v>3</v>
      </c>
      <c r="F1797" s="169" t="s">
        <v>507</v>
      </c>
      <c r="G1797" s="169" t="s">
        <v>507</v>
      </c>
      <c r="H1797" s="169">
        <v>7</v>
      </c>
      <c r="I1797" s="136" t="str">
        <f t="shared" si="85"/>
        <v>BIGINT</v>
      </c>
      <c r="J1797" s="169" t="s">
        <v>1</v>
      </c>
      <c r="K1797" s="169" t="s">
        <v>0</v>
      </c>
      <c r="L1797" s="169">
        <v>30</v>
      </c>
      <c r="M1797" s="168"/>
      <c r="N1797" s="168"/>
      <c r="O1797" s="168"/>
      <c r="P1797" s="168"/>
      <c r="Q1797" s="168" t="s">
        <v>0</v>
      </c>
      <c r="R1797" s="168" t="s">
        <v>1</v>
      </c>
      <c r="S1797" s="178" t="str">
        <f t="shared" si="86"/>
        <v>D_RDM_OKVED_INDUSTRY_BTHOKVED_INDUSTRY_ID</v>
      </c>
    </row>
    <row r="1798" spans="1:19" ht="14.4" x14ac:dyDescent="0.3">
      <c r="A1798" s="169" t="s">
        <v>1339</v>
      </c>
      <c r="B1798" s="171" t="str">
        <f t="shared" si="84"/>
        <v>D_RDM_OKVED_INDUSTRY_BTH</v>
      </c>
      <c r="C1798" s="169" t="s">
        <v>438</v>
      </c>
      <c r="D1798" s="169">
        <v>957</v>
      </c>
      <c r="E1798" s="169">
        <v>4</v>
      </c>
      <c r="F1798" s="169" t="s">
        <v>438</v>
      </c>
      <c r="G1798" s="169" t="s">
        <v>438</v>
      </c>
      <c r="H1798" s="169">
        <v>22</v>
      </c>
      <c r="I1798" s="136" t="str">
        <f t="shared" si="85"/>
        <v>TIMESTAMP(6)</v>
      </c>
      <c r="J1798" s="169" t="s">
        <v>1</v>
      </c>
      <c r="K1798" s="169" t="s">
        <v>1</v>
      </c>
      <c r="L1798" s="169">
        <v>30</v>
      </c>
      <c r="M1798" s="168"/>
      <c r="N1798" s="168"/>
      <c r="O1798" s="168"/>
      <c r="P1798" s="168"/>
      <c r="Q1798" s="168" t="s">
        <v>0</v>
      </c>
      <c r="R1798" s="168" t="s">
        <v>1</v>
      </c>
      <c r="S1798" s="178" t="str">
        <f t="shared" si="86"/>
        <v>D_RDM_OKVED_INDUSTRY_BTHRECORD_CLOSE_TS</v>
      </c>
    </row>
    <row r="1799" spans="1:19" ht="14.4" x14ac:dyDescent="0.3">
      <c r="A1799" s="169" t="s">
        <v>1339</v>
      </c>
      <c r="B1799" s="171" t="str">
        <f t="shared" si="84"/>
        <v>D_RDM_OKVED_INDUSTRY_BTH</v>
      </c>
      <c r="C1799" s="169" t="s">
        <v>440</v>
      </c>
      <c r="D1799" s="169">
        <v>958</v>
      </c>
      <c r="E1799" s="169">
        <v>5</v>
      </c>
      <c r="F1799" s="169" t="s">
        <v>440</v>
      </c>
      <c r="G1799" s="169" t="s">
        <v>440</v>
      </c>
      <c r="H1799" s="169">
        <v>22</v>
      </c>
      <c r="I1799" s="136" t="str">
        <f t="shared" si="85"/>
        <v>TIMESTAMP(6)</v>
      </c>
      <c r="J1799" s="169" t="s">
        <v>1</v>
      </c>
      <c r="K1799" s="169" t="s">
        <v>1</v>
      </c>
      <c r="L1799" s="169">
        <v>30</v>
      </c>
      <c r="M1799" s="168"/>
      <c r="N1799" s="168"/>
      <c r="O1799" s="168"/>
      <c r="P1799" s="168"/>
      <c r="Q1799" s="168" t="s">
        <v>0</v>
      </c>
      <c r="R1799" s="168" t="s">
        <v>1</v>
      </c>
      <c r="S1799" s="178" t="str">
        <f t="shared" si="86"/>
        <v>D_RDM_OKVED_INDUSTRY_BTHRECORD_CREATE_TS</v>
      </c>
    </row>
    <row r="1800" spans="1:19" ht="14.4" x14ac:dyDescent="0.3">
      <c r="A1800" s="169" t="s">
        <v>1339</v>
      </c>
      <c r="B1800" s="171" t="str">
        <f t="shared" si="84"/>
        <v>D_RDM_OKVED_INDUSTRY_BTH</v>
      </c>
      <c r="C1800" s="169" t="s">
        <v>429</v>
      </c>
      <c r="D1800" s="169">
        <v>959</v>
      </c>
      <c r="E1800" s="169">
        <v>6</v>
      </c>
      <c r="F1800" s="169" t="s">
        <v>429</v>
      </c>
      <c r="G1800" s="169" t="s">
        <v>429</v>
      </c>
      <c r="H1800" s="169">
        <v>22</v>
      </c>
      <c r="I1800" s="136" t="str">
        <f t="shared" si="85"/>
        <v>TIMESTAMP(6)</v>
      </c>
      <c r="J1800" s="169" t="s">
        <v>1</v>
      </c>
      <c r="K1800" s="169" t="s">
        <v>1</v>
      </c>
      <c r="L1800" s="169">
        <v>30</v>
      </c>
      <c r="M1800" s="168"/>
      <c r="N1800" s="168"/>
      <c r="O1800" s="168"/>
      <c r="P1800" s="168"/>
      <c r="Q1800" s="168" t="s">
        <v>0</v>
      </c>
      <c r="R1800" s="168" t="s">
        <v>1</v>
      </c>
      <c r="S1800" s="178" t="str">
        <f t="shared" si="86"/>
        <v>D_RDM_OKVED_INDUSTRY_BTHRECORD_UPDATE_TS</v>
      </c>
    </row>
    <row r="1801" spans="1:19" ht="14.4" x14ac:dyDescent="0.3">
      <c r="A1801" s="169" t="s">
        <v>1339</v>
      </c>
      <c r="B1801" s="171" t="str">
        <f t="shared" si="84"/>
        <v>D_RDM_OKVED_INDUSTRY_BTH</v>
      </c>
      <c r="C1801" s="169" t="s">
        <v>498</v>
      </c>
      <c r="D1801" s="169">
        <v>960</v>
      </c>
      <c r="E1801" s="169">
        <v>7</v>
      </c>
      <c r="F1801" s="169" t="s">
        <v>498</v>
      </c>
      <c r="G1801" s="169" t="s">
        <v>498</v>
      </c>
      <c r="H1801" s="169">
        <v>7</v>
      </c>
      <c r="I1801" s="136" t="str">
        <f t="shared" si="85"/>
        <v>BIGINT</v>
      </c>
      <c r="J1801" s="169" t="s">
        <v>1</v>
      </c>
      <c r="K1801" s="169" t="s">
        <v>1</v>
      </c>
      <c r="L1801" s="169">
        <v>30</v>
      </c>
      <c r="M1801" s="168"/>
      <c r="N1801" s="168"/>
      <c r="O1801" s="168"/>
      <c r="P1801" s="168"/>
      <c r="Q1801" s="168" t="s">
        <v>0</v>
      </c>
      <c r="R1801" s="168" t="s">
        <v>1</v>
      </c>
      <c r="S1801" s="178" t="str">
        <f t="shared" si="86"/>
        <v>D_RDM_OKVED_INDUSTRY_BTHRUN_ID</v>
      </c>
    </row>
    <row r="1802" spans="1:19" ht="14.4" x14ac:dyDescent="0.3">
      <c r="A1802" s="169" t="s">
        <v>1339</v>
      </c>
      <c r="B1802" s="171" t="str">
        <f t="shared" si="84"/>
        <v>D_RDM_OKVED_INDUSTRY_BTH</v>
      </c>
      <c r="C1802" s="169" t="s">
        <v>492</v>
      </c>
      <c r="D1802" s="169">
        <v>961</v>
      </c>
      <c r="E1802" s="169">
        <v>8</v>
      </c>
      <c r="F1802" s="169" t="s">
        <v>492</v>
      </c>
      <c r="G1802" s="169" t="s">
        <v>492</v>
      </c>
      <c r="H1802" s="169">
        <v>34</v>
      </c>
      <c r="I1802" s="136" t="str">
        <f t="shared" si="85"/>
        <v>DATE</v>
      </c>
      <c r="J1802" s="169" t="s">
        <v>1</v>
      </c>
      <c r="K1802" s="169" t="s">
        <v>1</v>
      </c>
      <c r="L1802" s="169">
        <v>30</v>
      </c>
      <c r="M1802" s="168"/>
      <c r="N1802" s="168"/>
      <c r="O1802" s="168"/>
      <c r="P1802" s="168"/>
      <c r="Q1802" s="168" t="s">
        <v>0</v>
      </c>
      <c r="R1802" s="168" t="s">
        <v>1</v>
      </c>
      <c r="S1802" s="178" t="str">
        <f t="shared" si="86"/>
        <v>D_RDM_OKVED_INDUSTRY_BTHVALIDITY_DT</v>
      </c>
    </row>
    <row r="1803" spans="1:19" ht="14.4" x14ac:dyDescent="0.3">
      <c r="A1803" s="169" t="s">
        <v>1319</v>
      </c>
      <c r="B1803" s="171" t="str">
        <f t="shared" si="84"/>
        <v>D_RDM_PYMNT_CAT_BTH</v>
      </c>
      <c r="C1803" s="169" t="s">
        <v>529</v>
      </c>
      <c r="D1803" s="169">
        <v>1946</v>
      </c>
      <c r="E1803" s="169">
        <v>1</v>
      </c>
      <c r="F1803" s="169" t="s">
        <v>529</v>
      </c>
      <c r="G1803" s="169" t="s">
        <v>529</v>
      </c>
      <c r="H1803" s="169">
        <v>13</v>
      </c>
      <c r="I1803" s="136" t="str">
        <f t="shared" si="85"/>
        <v xml:space="preserve">VARCHAR(300) </v>
      </c>
      <c r="J1803" s="169" t="s">
        <v>0</v>
      </c>
      <c r="K1803" s="169" t="s">
        <v>1</v>
      </c>
      <c r="L1803" s="169">
        <v>30</v>
      </c>
      <c r="M1803" s="168"/>
      <c r="N1803" s="168"/>
      <c r="O1803" s="168"/>
      <c r="P1803" s="168"/>
      <c r="Q1803" s="168" t="s">
        <v>0</v>
      </c>
      <c r="R1803" s="168" t="s">
        <v>1</v>
      </c>
      <c r="S1803" s="178" t="str">
        <f t="shared" si="86"/>
        <v>D_RDM_PYMNT_CAT_BTHPYMNT_CAT_CD</v>
      </c>
    </row>
    <row r="1804" spans="1:19" ht="14.4" x14ac:dyDescent="0.3">
      <c r="A1804" s="169" t="s">
        <v>1319</v>
      </c>
      <c r="B1804" s="171" t="str">
        <f t="shared" si="84"/>
        <v>D_RDM_PYMNT_CAT_BTH</v>
      </c>
      <c r="C1804" s="169" t="s">
        <v>530</v>
      </c>
      <c r="D1804" s="169">
        <v>1947</v>
      </c>
      <c r="E1804" s="169">
        <v>2</v>
      </c>
      <c r="F1804" s="169" t="s">
        <v>530</v>
      </c>
      <c r="G1804" s="169" t="s">
        <v>530</v>
      </c>
      <c r="H1804" s="169">
        <v>19</v>
      </c>
      <c r="I1804" s="136" t="str">
        <f t="shared" si="85"/>
        <v xml:space="preserve">VARCHAR(1000) </v>
      </c>
      <c r="J1804" s="169" t="s">
        <v>0</v>
      </c>
      <c r="K1804" s="169" t="s">
        <v>1</v>
      </c>
      <c r="L1804" s="169">
        <v>30</v>
      </c>
      <c r="M1804" s="168"/>
      <c r="N1804" s="168"/>
      <c r="O1804" s="168"/>
      <c r="P1804" s="168"/>
      <c r="Q1804" s="168" t="s">
        <v>0</v>
      </c>
      <c r="R1804" s="168" t="s">
        <v>1</v>
      </c>
      <c r="S1804" s="178" t="str">
        <f t="shared" si="86"/>
        <v>D_RDM_PYMNT_CAT_BTHPYMNT_CAT_DSC</v>
      </c>
    </row>
    <row r="1805" spans="1:19" ht="14.4" x14ac:dyDescent="0.3">
      <c r="A1805" s="169" t="s">
        <v>1319</v>
      </c>
      <c r="B1805" s="171" t="str">
        <f t="shared" si="84"/>
        <v>D_RDM_PYMNT_CAT_BTH</v>
      </c>
      <c r="C1805" s="169" t="s">
        <v>531</v>
      </c>
      <c r="D1805" s="169">
        <v>1948</v>
      </c>
      <c r="E1805" s="169">
        <v>3</v>
      </c>
      <c r="F1805" s="169" t="s">
        <v>531</v>
      </c>
      <c r="G1805" s="169" t="s">
        <v>531</v>
      </c>
      <c r="H1805" s="169">
        <v>7</v>
      </c>
      <c r="I1805" s="136" t="str">
        <f t="shared" si="85"/>
        <v>BIGINT</v>
      </c>
      <c r="J1805" s="169" t="s">
        <v>1</v>
      </c>
      <c r="K1805" s="169" t="s">
        <v>0</v>
      </c>
      <c r="L1805" s="169">
        <v>30</v>
      </c>
      <c r="M1805" s="168"/>
      <c r="N1805" s="168"/>
      <c r="O1805" s="168"/>
      <c r="P1805" s="168"/>
      <c r="Q1805" s="168" t="s">
        <v>0</v>
      </c>
      <c r="R1805" s="168" t="s">
        <v>1</v>
      </c>
      <c r="S1805" s="178" t="str">
        <f t="shared" si="86"/>
        <v>D_RDM_PYMNT_CAT_BTHPYMNT_CAT_ID</v>
      </c>
    </row>
    <row r="1806" spans="1:19" ht="14.4" x14ac:dyDescent="0.3">
      <c r="A1806" s="169" t="s">
        <v>1319</v>
      </c>
      <c r="B1806" s="171" t="str">
        <f t="shared" si="84"/>
        <v>D_RDM_PYMNT_CAT_BTH</v>
      </c>
      <c r="C1806" s="169" t="s">
        <v>438</v>
      </c>
      <c r="D1806" s="169">
        <v>1949</v>
      </c>
      <c r="E1806" s="169">
        <v>4</v>
      </c>
      <c r="F1806" s="169" t="s">
        <v>438</v>
      </c>
      <c r="G1806" s="169" t="s">
        <v>438</v>
      </c>
      <c r="H1806" s="169">
        <v>22</v>
      </c>
      <c r="I1806" s="136" t="str">
        <f t="shared" si="85"/>
        <v>TIMESTAMP(6)</v>
      </c>
      <c r="J1806" s="169" t="s">
        <v>1</v>
      </c>
      <c r="K1806" s="169" t="s">
        <v>1</v>
      </c>
      <c r="L1806" s="169">
        <v>30</v>
      </c>
      <c r="M1806" s="168"/>
      <c r="N1806" s="168"/>
      <c r="O1806" s="168"/>
      <c r="P1806" s="168"/>
      <c r="Q1806" s="168" t="s">
        <v>0</v>
      </c>
      <c r="R1806" s="168" t="s">
        <v>1</v>
      </c>
      <c r="S1806" s="178" t="str">
        <f t="shared" si="86"/>
        <v>D_RDM_PYMNT_CAT_BTHRECORD_CLOSE_TS</v>
      </c>
    </row>
    <row r="1807" spans="1:19" ht="14.4" x14ac:dyDescent="0.3">
      <c r="A1807" s="169" t="s">
        <v>1319</v>
      </c>
      <c r="B1807" s="171" t="str">
        <f t="shared" si="84"/>
        <v>D_RDM_PYMNT_CAT_BTH</v>
      </c>
      <c r="C1807" s="169" t="s">
        <v>440</v>
      </c>
      <c r="D1807" s="169">
        <v>1950</v>
      </c>
      <c r="E1807" s="169">
        <v>5</v>
      </c>
      <c r="F1807" s="169" t="s">
        <v>440</v>
      </c>
      <c r="G1807" s="169" t="s">
        <v>440</v>
      </c>
      <c r="H1807" s="169">
        <v>22</v>
      </c>
      <c r="I1807" s="136" t="str">
        <f t="shared" si="85"/>
        <v>TIMESTAMP(6)</v>
      </c>
      <c r="J1807" s="169" t="s">
        <v>1</v>
      </c>
      <c r="K1807" s="169" t="s">
        <v>1</v>
      </c>
      <c r="L1807" s="169">
        <v>30</v>
      </c>
      <c r="M1807" s="168"/>
      <c r="N1807" s="168"/>
      <c r="O1807" s="168"/>
      <c r="P1807" s="168"/>
      <c r="Q1807" s="168" t="s">
        <v>0</v>
      </c>
      <c r="R1807" s="168" t="s">
        <v>1</v>
      </c>
      <c r="S1807" s="178" t="str">
        <f t="shared" si="86"/>
        <v>D_RDM_PYMNT_CAT_BTHRECORD_CREATE_TS</v>
      </c>
    </row>
    <row r="1808" spans="1:19" ht="14.4" x14ac:dyDescent="0.3">
      <c r="A1808" s="169" t="s">
        <v>1319</v>
      </c>
      <c r="B1808" s="171" t="str">
        <f t="shared" si="84"/>
        <v>D_RDM_PYMNT_CAT_BTH</v>
      </c>
      <c r="C1808" s="169" t="s">
        <v>429</v>
      </c>
      <c r="D1808" s="169">
        <v>1951</v>
      </c>
      <c r="E1808" s="169">
        <v>6</v>
      </c>
      <c r="F1808" s="169" t="s">
        <v>429</v>
      </c>
      <c r="G1808" s="169" t="s">
        <v>429</v>
      </c>
      <c r="H1808" s="169">
        <v>22</v>
      </c>
      <c r="I1808" s="136" t="str">
        <f t="shared" si="85"/>
        <v>TIMESTAMP(6)</v>
      </c>
      <c r="J1808" s="169" t="s">
        <v>1</v>
      </c>
      <c r="K1808" s="169" t="s">
        <v>1</v>
      </c>
      <c r="L1808" s="169">
        <v>30</v>
      </c>
      <c r="M1808" s="168"/>
      <c r="N1808" s="168"/>
      <c r="O1808" s="168"/>
      <c r="P1808" s="168"/>
      <c r="Q1808" s="168" t="s">
        <v>0</v>
      </c>
      <c r="R1808" s="168" t="s">
        <v>1</v>
      </c>
      <c r="S1808" s="178" t="str">
        <f t="shared" si="86"/>
        <v>D_RDM_PYMNT_CAT_BTHRECORD_UPDATE_TS</v>
      </c>
    </row>
    <row r="1809" spans="1:19" ht="14.4" x14ac:dyDescent="0.3">
      <c r="A1809" s="169" t="s">
        <v>1319</v>
      </c>
      <c r="B1809" s="171" t="str">
        <f t="shared" si="84"/>
        <v>D_RDM_PYMNT_CAT_BTH</v>
      </c>
      <c r="C1809" s="169" t="s">
        <v>498</v>
      </c>
      <c r="D1809" s="169">
        <v>1952</v>
      </c>
      <c r="E1809" s="169">
        <v>7</v>
      </c>
      <c r="F1809" s="169" t="s">
        <v>498</v>
      </c>
      <c r="G1809" s="169" t="s">
        <v>498</v>
      </c>
      <c r="H1809" s="169">
        <v>7</v>
      </c>
      <c r="I1809" s="136" t="str">
        <f t="shared" si="85"/>
        <v>BIGINT</v>
      </c>
      <c r="J1809" s="169" t="s">
        <v>1</v>
      </c>
      <c r="K1809" s="169" t="s">
        <v>1</v>
      </c>
      <c r="L1809" s="169">
        <v>30</v>
      </c>
      <c r="M1809" s="168"/>
      <c r="N1809" s="168"/>
      <c r="O1809" s="168"/>
      <c r="P1809" s="168"/>
      <c r="Q1809" s="168" t="s">
        <v>0</v>
      </c>
      <c r="R1809" s="168" t="s">
        <v>1</v>
      </c>
      <c r="S1809" s="178" t="str">
        <f t="shared" si="86"/>
        <v>D_RDM_PYMNT_CAT_BTHRUN_ID</v>
      </c>
    </row>
    <row r="1810" spans="1:19" ht="14.4" x14ac:dyDescent="0.3">
      <c r="A1810" s="169" t="s">
        <v>1319</v>
      </c>
      <c r="B1810" s="171" t="str">
        <f t="shared" si="84"/>
        <v>D_RDM_PYMNT_CAT_BTH</v>
      </c>
      <c r="C1810" s="169" t="s">
        <v>492</v>
      </c>
      <c r="D1810" s="169">
        <v>1953</v>
      </c>
      <c r="E1810" s="169">
        <v>8</v>
      </c>
      <c r="F1810" s="169" t="s">
        <v>492</v>
      </c>
      <c r="G1810" s="169" t="s">
        <v>492</v>
      </c>
      <c r="H1810" s="169">
        <v>34</v>
      </c>
      <c r="I1810" s="136" t="str">
        <f t="shared" si="85"/>
        <v>DATE</v>
      </c>
      <c r="J1810" s="169" t="s">
        <v>1</v>
      </c>
      <c r="K1810" s="169" t="s">
        <v>1</v>
      </c>
      <c r="L1810" s="169">
        <v>30</v>
      </c>
      <c r="M1810" s="168"/>
      <c r="N1810" s="168"/>
      <c r="O1810" s="168"/>
      <c r="P1810" s="168"/>
      <c r="Q1810" s="168" t="s">
        <v>0</v>
      </c>
      <c r="R1810" s="168" t="s">
        <v>1</v>
      </c>
      <c r="S1810" s="178" t="str">
        <f t="shared" si="86"/>
        <v>D_RDM_PYMNT_CAT_BTHVALIDITY_DT</v>
      </c>
    </row>
    <row r="1811" spans="1:19" ht="14.4" x14ac:dyDescent="0.3">
      <c r="A1811" s="169" t="s">
        <v>1317</v>
      </c>
      <c r="B1811" s="171" t="str">
        <f t="shared" si="84"/>
        <v>D_RDM_UNDERW_PROCEDURE_BTH</v>
      </c>
      <c r="C1811" s="169" t="s">
        <v>438</v>
      </c>
      <c r="D1811" s="169">
        <v>1954</v>
      </c>
      <c r="E1811" s="169">
        <v>1</v>
      </c>
      <c r="F1811" s="169" t="s">
        <v>438</v>
      </c>
      <c r="G1811" s="169" t="s">
        <v>438</v>
      </c>
      <c r="H1811" s="169">
        <v>22</v>
      </c>
      <c r="I1811" s="136" t="str">
        <f t="shared" si="85"/>
        <v>TIMESTAMP(6)</v>
      </c>
      <c r="J1811" s="169" t="s">
        <v>1</v>
      </c>
      <c r="K1811" s="169" t="s">
        <v>1</v>
      </c>
      <c r="L1811" s="169">
        <v>30</v>
      </c>
      <c r="M1811" s="168"/>
      <c r="N1811" s="168"/>
      <c r="O1811" s="168"/>
      <c r="P1811" s="168"/>
      <c r="Q1811" s="168" t="s">
        <v>0</v>
      </c>
      <c r="R1811" s="168" t="s">
        <v>1</v>
      </c>
      <c r="S1811" s="178" t="str">
        <f t="shared" si="86"/>
        <v>D_RDM_UNDERW_PROCEDURE_BTHRECORD_CLOSE_TS</v>
      </c>
    </row>
    <row r="1812" spans="1:19" ht="14.4" x14ac:dyDescent="0.3">
      <c r="A1812" s="169" t="s">
        <v>1317</v>
      </c>
      <c r="B1812" s="171" t="str">
        <f t="shared" si="84"/>
        <v>D_RDM_UNDERW_PROCEDURE_BTH</v>
      </c>
      <c r="C1812" s="169" t="s">
        <v>440</v>
      </c>
      <c r="D1812" s="169">
        <v>1955</v>
      </c>
      <c r="E1812" s="169">
        <v>2</v>
      </c>
      <c r="F1812" s="169" t="s">
        <v>440</v>
      </c>
      <c r="G1812" s="169" t="s">
        <v>440</v>
      </c>
      <c r="H1812" s="169">
        <v>22</v>
      </c>
      <c r="I1812" s="136" t="str">
        <f t="shared" si="85"/>
        <v>TIMESTAMP(6)</v>
      </c>
      <c r="J1812" s="169" t="s">
        <v>1</v>
      </c>
      <c r="K1812" s="169" t="s">
        <v>1</v>
      </c>
      <c r="L1812" s="169">
        <v>30</v>
      </c>
      <c r="M1812" s="168"/>
      <c r="N1812" s="168"/>
      <c r="O1812" s="168"/>
      <c r="P1812" s="168"/>
      <c r="Q1812" s="168" t="s">
        <v>0</v>
      </c>
      <c r="R1812" s="168" t="s">
        <v>1</v>
      </c>
      <c r="S1812" s="178" t="str">
        <f t="shared" si="86"/>
        <v>D_RDM_UNDERW_PROCEDURE_BTHRECORD_CREATE_TS</v>
      </c>
    </row>
    <row r="1813" spans="1:19" ht="14.4" x14ac:dyDescent="0.3">
      <c r="A1813" s="169" t="s">
        <v>1317</v>
      </c>
      <c r="B1813" s="171" t="str">
        <f t="shared" si="84"/>
        <v>D_RDM_UNDERW_PROCEDURE_BTH</v>
      </c>
      <c r="C1813" s="169" t="s">
        <v>429</v>
      </c>
      <c r="D1813" s="169">
        <v>1956</v>
      </c>
      <c r="E1813" s="169">
        <v>3</v>
      </c>
      <c r="F1813" s="169" t="s">
        <v>429</v>
      </c>
      <c r="G1813" s="169" t="s">
        <v>429</v>
      </c>
      <c r="H1813" s="169">
        <v>22</v>
      </c>
      <c r="I1813" s="136" t="str">
        <f t="shared" si="85"/>
        <v>TIMESTAMP(6)</v>
      </c>
      <c r="J1813" s="169" t="s">
        <v>1</v>
      </c>
      <c r="K1813" s="169" t="s">
        <v>1</v>
      </c>
      <c r="L1813" s="169">
        <v>30</v>
      </c>
      <c r="M1813" s="168"/>
      <c r="N1813" s="168"/>
      <c r="O1813" s="168"/>
      <c r="P1813" s="168"/>
      <c r="Q1813" s="168" t="s">
        <v>0</v>
      </c>
      <c r="R1813" s="168" t="s">
        <v>1</v>
      </c>
      <c r="S1813" s="178" t="str">
        <f t="shared" si="86"/>
        <v>D_RDM_UNDERW_PROCEDURE_BTHRECORD_UPDATE_TS</v>
      </c>
    </row>
    <row r="1814" spans="1:19" ht="14.4" x14ac:dyDescent="0.3">
      <c r="A1814" s="169" t="s">
        <v>1317</v>
      </c>
      <c r="B1814" s="171" t="str">
        <f t="shared" si="84"/>
        <v>D_RDM_UNDERW_PROCEDURE_BTH</v>
      </c>
      <c r="C1814" s="169" t="s">
        <v>498</v>
      </c>
      <c r="D1814" s="169">
        <v>1957</v>
      </c>
      <c r="E1814" s="169">
        <v>4</v>
      </c>
      <c r="F1814" s="169" t="s">
        <v>498</v>
      </c>
      <c r="G1814" s="169" t="s">
        <v>498</v>
      </c>
      <c r="H1814" s="169">
        <v>7</v>
      </c>
      <c r="I1814" s="136" t="str">
        <f t="shared" si="85"/>
        <v>BIGINT</v>
      </c>
      <c r="J1814" s="169" t="s">
        <v>1</v>
      </c>
      <c r="K1814" s="169" t="s">
        <v>1</v>
      </c>
      <c r="L1814" s="169">
        <v>30</v>
      </c>
      <c r="M1814" s="168"/>
      <c r="N1814" s="168"/>
      <c r="O1814" s="168"/>
      <c r="P1814" s="168"/>
      <c r="Q1814" s="168" t="s">
        <v>0</v>
      </c>
      <c r="R1814" s="168" t="s">
        <v>1</v>
      </c>
      <c r="S1814" s="178" t="str">
        <f t="shared" si="86"/>
        <v>D_RDM_UNDERW_PROCEDURE_BTHRUN_ID</v>
      </c>
    </row>
    <row r="1815" spans="1:19" ht="14.4" x14ac:dyDescent="0.3">
      <c r="A1815" s="169" t="s">
        <v>1317</v>
      </c>
      <c r="B1815" s="171" t="str">
        <f t="shared" si="84"/>
        <v>D_RDM_UNDERW_PROCEDURE_BTH</v>
      </c>
      <c r="C1815" s="169" t="s">
        <v>545</v>
      </c>
      <c r="D1815" s="169">
        <v>1958</v>
      </c>
      <c r="E1815" s="169">
        <v>5</v>
      </c>
      <c r="F1815" s="169" t="s">
        <v>545</v>
      </c>
      <c r="G1815" s="169" t="s">
        <v>545</v>
      </c>
      <c r="H1815" s="169">
        <v>24</v>
      </c>
      <c r="I1815" s="136" t="str">
        <f t="shared" si="85"/>
        <v xml:space="preserve">VARCHAR(40) </v>
      </c>
      <c r="J1815" s="169" t="s">
        <v>0</v>
      </c>
      <c r="K1815" s="169" t="s">
        <v>1</v>
      </c>
      <c r="L1815" s="169">
        <v>30</v>
      </c>
      <c r="M1815" s="168"/>
      <c r="N1815" s="168"/>
      <c r="O1815" s="168"/>
      <c r="P1815" s="168"/>
      <c r="Q1815" s="168" t="s">
        <v>0</v>
      </c>
      <c r="R1815" s="168" t="s">
        <v>1</v>
      </c>
      <c r="S1815" s="178" t="str">
        <f t="shared" si="86"/>
        <v>D_RDM_UNDERW_PROCEDURE_BTHUNDERW_PROCEDURE_CD</v>
      </c>
    </row>
    <row r="1816" spans="1:19" ht="14.4" x14ac:dyDescent="0.3">
      <c r="A1816" s="169" t="s">
        <v>1317</v>
      </c>
      <c r="B1816" s="171" t="str">
        <f t="shared" si="84"/>
        <v>D_RDM_UNDERW_PROCEDURE_BTH</v>
      </c>
      <c r="C1816" s="169" t="s">
        <v>546</v>
      </c>
      <c r="D1816" s="169">
        <v>1959</v>
      </c>
      <c r="E1816" s="169">
        <v>6</v>
      </c>
      <c r="F1816" s="169" t="s">
        <v>546</v>
      </c>
      <c r="G1816" s="169" t="s">
        <v>546</v>
      </c>
      <c r="H1816" s="169">
        <v>19</v>
      </c>
      <c r="I1816" s="136" t="str">
        <f t="shared" si="85"/>
        <v xml:space="preserve">VARCHAR(1000) </v>
      </c>
      <c r="J1816" s="169" t="s">
        <v>0</v>
      </c>
      <c r="K1816" s="169" t="s">
        <v>1</v>
      </c>
      <c r="L1816" s="169">
        <v>30</v>
      </c>
      <c r="M1816" s="168"/>
      <c r="N1816" s="168"/>
      <c r="O1816" s="168"/>
      <c r="P1816" s="168"/>
      <c r="Q1816" s="168" t="s">
        <v>0</v>
      </c>
      <c r="R1816" s="168" t="s">
        <v>1</v>
      </c>
      <c r="S1816" s="178" t="str">
        <f t="shared" si="86"/>
        <v>D_RDM_UNDERW_PROCEDURE_BTHUNDERW_PROCEDURE_DSC</v>
      </c>
    </row>
    <row r="1817" spans="1:19" ht="14.4" x14ac:dyDescent="0.3">
      <c r="A1817" s="169" t="s">
        <v>1317</v>
      </c>
      <c r="B1817" s="171" t="str">
        <f t="shared" si="84"/>
        <v>D_RDM_UNDERW_PROCEDURE_BTH</v>
      </c>
      <c r="C1817" s="169" t="s">
        <v>547</v>
      </c>
      <c r="D1817" s="169">
        <v>1960</v>
      </c>
      <c r="E1817" s="169">
        <v>7</v>
      </c>
      <c r="F1817" s="169" t="s">
        <v>547</v>
      </c>
      <c r="G1817" s="169" t="s">
        <v>547</v>
      </c>
      <c r="H1817" s="169">
        <v>7</v>
      </c>
      <c r="I1817" s="136" t="str">
        <f t="shared" si="85"/>
        <v>BIGINT</v>
      </c>
      <c r="J1817" s="169" t="s">
        <v>1</v>
      </c>
      <c r="K1817" s="169" t="s">
        <v>0</v>
      </c>
      <c r="L1817" s="169">
        <v>30</v>
      </c>
      <c r="M1817" s="168"/>
      <c r="N1817" s="168"/>
      <c r="O1817" s="168"/>
      <c r="P1817" s="168"/>
      <c r="Q1817" s="168" t="s">
        <v>0</v>
      </c>
      <c r="R1817" s="168" t="s">
        <v>1</v>
      </c>
      <c r="S1817" s="178" t="str">
        <f t="shared" si="86"/>
        <v>D_RDM_UNDERW_PROCEDURE_BTHUNDERW_PROCEDURE_ID</v>
      </c>
    </row>
    <row r="1818" spans="1:19" ht="14.4" x14ac:dyDescent="0.3">
      <c r="A1818" s="169" t="s">
        <v>1317</v>
      </c>
      <c r="B1818" s="171" t="str">
        <f t="shared" si="84"/>
        <v>D_RDM_UNDERW_PROCEDURE_BTH</v>
      </c>
      <c r="C1818" s="169" t="s">
        <v>492</v>
      </c>
      <c r="D1818" s="169">
        <v>1961</v>
      </c>
      <c r="E1818" s="169">
        <v>8</v>
      </c>
      <c r="F1818" s="169" t="s">
        <v>492</v>
      </c>
      <c r="G1818" s="169" t="s">
        <v>492</v>
      </c>
      <c r="H1818" s="169">
        <v>34</v>
      </c>
      <c r="I1818" s="136" t="str">
        <f t="shared" si="85"/>
        <v>DATE</v>
      </c>
      <c r="J1818" s="169" t="s">
        <v>1</v>
      </c>
      <c r="K1818" s="169" t="s">
        <v>1</v>
      </c>
      <c r="L1818" s="169">
        <v>30</v>
      </c>
      <c r="M1818" s="168"/>
      <c r="N1818" s="168"/>
      <c r="O1818" s="168"/>
      <c r="P1818" s="168"/>
      <c r="Q1818" s="168" t="s">
        <v>0</v>
      </c>
      <c r="R1818" s="168" t="s">
        <v>1</v>
      </c>
      <c r="S1818" s="178" t="str">
        <f t="shared" si="86"/>
        <v>D_RDM_UNDERW_PROCEDURE_BTHVALIDITY_DT</v>
      </c>
    </row>
    <row r="1819" spans="1:19" ht="14.4" x14ac:dyDescent="0.3">
      <c r="A1819" s="169" t="s">
        <v>1838</v>
      </c>
      <c r="B1819" s="171" t="str">
        <f t="shared" si="84"/>
        <v>D_SA_SESSIONS</v>
      </c>
      <c r="C1819" s="169" t="s">
        <v>2089</v>
      </c>
      <c r="D1819" s="169">
        <v>969</v>
      </c>
      <c r="E1819" s="169">
        <v>1</v>
      </c>
      <c r="F1819" s="169" t="s">
        <v>2089</v>
      </c>
      <c r="G1819" s="169" t="s">
        <v>2089</v>
      </c>
      <c r="H1819" s="169">
        <v>44</v>
      </c>
      <c r="I1819" s="136" t="str">
        <f t="shared" si="85"/>
        <v xml:space="preserve">CHAR(4) </v>
      </c>
      <c r="J1819" s="169" t="s">
        <v>0</v>
      </c>
      <c r="K1819" s="169" t="s">
        <v>1</v>
      </c>
      <c r="L1819" s="169">
        <v>30</v>
      </c>
      <c r="M1819" s="168"/>
      <c r="N1819" s="168"/>
      <c r="O1819" s="168"/>
      <c r="P1819" s="168"/>
      <c r="Q1819" s="168" t="s">
        <v>0</v>
      </c>
      <c r="R1819" s="168" t="s">
        <v>1</v>
      </c>
      <c r="S1819" s="178" t="str">
        <f t="shared" si="86"/>
        <v>D_SA_SESSIONSALLOC_SIMULATIONS</v>
      </c>
    </row>
    <row r="1820" spans="1:19" ht="14.4" x14ac:dyDescent="0.3">
      <c r="A1820" s="169" t="s">
        <v>1838</v>
      </c>
      <c r="B1820" s="171" t="str">
        <f t="shared" si="84"/>
        <v>D_SA_SESSIONS</v>
      </c>
      <c r="C1820" s="169" t="s">
        <v>2090</v>
      </c>
      <c r="D1820" s="169">
        <v>970</v>
      </c>
      <c r="E1820" s="169">
        <v>2</v>
      </c>
      <c r="F1820" s="169" t="s">
        <v>2090</v>
      </c>
      <c r="G1820" s="169" t="s">
        <v>2090</v>
      </c>
      <c r="H1820" s="169">
        <v>32</v>
      </c>
      <c r="I1820" s="136" t="str">
        <f t="shared" si="85"/>
        <v>BYTEINT</v>
      </c>
      <c r="J1820" s="169" t="s">
        <v>0</v>
      </c>
      <c r="K1820" s="169" t="s">
        <v>1</v>
      </c>
      <c r="L1820" s="169">
        <v>30</v>
      </c>
      <c r="M1820" s="168"/>
      <c r="N1820" s="168"/>
      <c r="O1820" s="168"/>
      <c r="P1820" s="168"/>
      <c r="Q1820" s="168" t="s">
        <v>0</v>
      </c>
      <c r="R1820" s="168" t="s">
        <v>1</v>
      </c>
      <c r="S1820" s="178" t="str">
        <f t="shared" si="86"/>
        <v>D_SA_SESSIONSALLOC_USE_EXP_LOSS</v>
      </c>
    </row>
    <row r="1821" spans="1:19" ht="14.4" x14ac:dyDescent="0.3">
      <c r="A1821" s="169" t="s">
        <v>1838</v>
      </c>
      <c r="B1821" s="171" t="str">
        <f t="shared" si="84"/>
        <v>D_SA_SESSIONS</v>
      </c>
      <c r="C1821" s="169" t="s">
        <v>1960</v>
      </c>
      <c r="D1821" s="169">
        <v>971</v>
      </c>
      <c r="E1821" s="169">
        <v>3</v>
      </c>
      <c r="F1821" s="169" t="s">
        <v>1960</v>
      </c>
      <c r="G1821" s="169" t="s">
        <v>1960</v>
      </c>
      <c r="H1821" s="169">
        <v>16</v>
      </c>
      <c r="I1821" s="136" t="str">
        <f t="shared" si="85"/>
        <v>DECIMAL(26, 6)</v>
      </c>
      <c r="J1821" s="169" t="s">
        <v>0</v>
      </c>
      <c r="K1821" s="169" t="s">
        <v>1</v>
      </c>
      <c r="L1821" s="169">
        <v>30</v>
      </c>
      <c r="M1821" s="168"/>
      <c r="N1821" s="168"/>
      <c r="O1821" s="168"/>
      <c r="P1821" s="168"/>
      <c r="Q1821" s="168" t="s">
        <v>0</v>
      </c>
      <c r="R1821" s="168" t="s">
        <v>1</v>
      </c>
      <c r="S1821" s="178" t="str">
        <f t="shared" si="86"/>
        <v>D_SA_SESSIONSAVG_ECAP_MINUS</v>
      </c>
    </row>
    <row r="1822" spans="1:19" ht="14.4" x14ac:dyDescent="0.3">
      <c r="A1822" s="169" t="s">
        <v>1838</v>
      </c>
      <c r="B1822" s="171" t="str">
        <f t="shared" si="84"/>
        <v>D_SA_SESSIONS</v>
      </c>
      <c r="C1822" s="169" t="s">
        <v>1961</v>
      </c>
      <c r="D1822" s="169">
        <v>972</v>
      </c>
      <c r="E1822" s="169">
        <v>4</v>
      </c>
      <c r="F1822" s="169" t="s">
        <v>1961</v>
      </c>
      <c r="G1822" s="169" t="s">
        <v>1961</v>
      </c>
      <c r="H1822" s="169">
        <v>16</v>
      </c>
      <c r="I1822" s="136" t="str">
        <f t="shared" si="85"/>
        <v>DECIMAL(26, 6)</v>
      </c>
      <c r="J1822" s="169" t="s">
        <v>0</v>
      </c>
      <c r="K1822" s="169" t="s">
        <v>1</v>
      </c>
      <c r="L1822" s="169">
        <v>30</v>
      </c>
      <c r="M1822" s="168"/>
      <c r="N1822" s="168"/>
      <c r="O1822" s="168"/>
      <c r="P1822" s="168"/>
      <c r="Q1822" s="168" t="s">
        <v>0</v>
      </c>
      <c r="R1822" s="168" t="s">
        <v>1</v>
      </c>
      <c r="S1822" s="178" t="str">
        <f t="shared" si="86"/>
        <v>D_SA_SESSIONSAVG_ECAP_PLUS</v>
      </c>
    </row>
    <row r="1823" spans="1:19" ht="14.4" x14ac:dyDescent="0.3">
      <c r="A1823" s="169" t="s">
        <v>1838</v>
      </c>
      <c r="B1823" s="171" t="str">
        <f t="shared" si="84"/>
        <v>D_SA_SESSIONS</v>
      </c>
      <c r="C1823" s="169" t="s">
        <v>1962</v>
      </c>
      <c r="D1823" s="169">
        <v>973</v>
      </c>
      <c r="E1823" s="169">
        <v>5</v>
      </c>
      <c r="F1823" s="169" t="s">
        <v>1962</v>
      </c>
      <c r="G1823" s="169" t="s">
        <v>1962</v>
      </c>
      <c r="H1823" s="169">
        <v>16</v>
      </c>
      <c r="I1823" s="136" t="str">
        <f t="shared" si="85"/>
        <v>DECIMAL(26, 6)</v>
      </c>
      <c r="J1823" s="169" t="s">
        <v>0</v>
      </c>
      <c r="K1823" s="169" t="s">
        <v>1</v>
      </c>
      <c r="L1823" s="169">
        <v>30</v>
      </c>
      <c r="M1823" s="168"/>
      <c r="N1823" s="168"/>
      <c r="O1823" s="168"/>
      <c r="P1823" s="168"/>
      <c r="Q1823" s="168" t="s">
        <v>0</v>
      </c>
      <c r="R1823" s="168" t="s">
        <v>1</v>
      </c>
      <c r="S1823" s="178" t="str">
        <f t="shared" si="86"/>
        <v>D_SA_SESSIONSAVG_ECAP_SENSITIVITY</v>
      </c>
    </row>
    <row r="1824" spans="1:19" ht="14.4" x14ac:dyDescent="0.3">
      <c r="A1824" s="169" t="s">
        <v>1838</v>
      </c>
      <c r="B1824" s="171" t="str">
        <f t="shared" si="84"/>
        <v>D_SA_SESSIONS</v>
      </c>
      <c r="C1824" s="169" t="s">
        <v>1963</v>
      </c>
      <c r="D1824" s="169">
        <v>974</v>
      </c>
      <c r="E1824" s="169">
        <v>6</v>
      </c>
      <c r="F1824" s="169" t="s">
        <v>1963</v>
      </c>
      <c r="G1824" s="169" t="s">
        <v>1963</v>
      </c>
      <c r="H1824" s="169">
        <v>27</v>
      </c>
      <c r="I1824" s="136" t="str">
        <f t="shared" si="85"/>
        <v>INTEGER</v>
      </c>
      <c r="J1824" s="169" t="s">
        <v>0</v>
      </c>
      <c r="K1824" s="169" t="s">
        <v>1</v>
      </c>
      <c r="L1824" s="169">
        <v>30</v>
      </c>
      <c r="M1824" s="168"/>
      <c r="N1824" s="168"/>
      <c r="O1824" s="168"/>
      <c r="P1824" s="168"/>
      <c r="Q1824" s="168" t="s">
        <v>0</v>
      </c>
      <c r="R1824" s="168" t="s">
        <v>1</v>
      </c>
      <c r="S1824" s="178" t="str">
        <f t="shared" si="86"/>
        <v>D_SA_SESSIONSBASE_SCENARIOS</v>
      </c>
    </row>
    <row r="1825" spans="1:19" ht="14.4" x14ac:dyDescent="0.3">
      <c r="A1825" s="169" t="s">
        <v>1838</v>
      </c>
      <c r="B1825" s="171" t="str">
        <f t="shared" si="84"/>
        <v>D_SA_SESSIONS</v>
      </c>
      <c r="C1825" s="169" t="s">
        <v>1964</v>
      </c>
      <c r="D1825" s="169">
        <v>975</v>
      </c>
      <c r="E1825" s="169">
        <v>7</v>
      </c>
      <c r="F1825" s="169" t="s">
        <v>1964</v>
      </c>
      <c r="G1825" s="169" t="s">
        <v>1964</v>
      </c>
      <c r="H1825" s="169">
        <v>22</v>
      </c>
      <c r="I1825" s="136" t="str">
        <f t="shared" si="85"/>
        <v>TIMESTAMP(6)</v>
      </c>
      <c r="J1825" s="169" t="s">
        <v>0</v>
      </c>
      <c r="K1825" s="169" t="s">
        <v>1</v>
      </c>
      <c r="L1825" s="169">
        <v>30</v>
      </c>
      <c r="M1825" s="168"/>
      <c r="N1825" s="168"/>
      <c r="O1825" s="168"/>
      <c r="P1825" s="168"/>
      <c r="Q1825" s="168" t="s">
        <v>0</v>
      </c>
      <c r="R1825" s="168" t="s">
        <v>1</v>
      </c>
      <c r="S1825" s="178" t="str">
        <f t="shared" si="86"/>
        <v>D_SA_SESSIONSCALCULATION_END</v>
      </c>
    </row>
    <row r="1826" spans="1:19" ht="14.4" x14ac:dyDescent="0.3">
      <c r="A1826" s="169" t="s">
        <v>1838</v>
      </c>
      <c r="B1826" s="171" t="str">
        <f t="shared" si="84"/>
        <v>D_SA_SESSIONS</v>
      </c>
      <c r="C1826" s="169" t="s">
        <v>1965</v>
      </c>
      <c r="D1826" s="169">
        <v>976</v>
      </c>
      <c r="E1826" s="169">
        <v>8</v>
      </c>
      <c r="F1826" s="169" t="s">
        <v>1965</v>
      </c>
      <c r="G1826" s="169" t="s">
        <v>1965</v>
      </c>
      <c r="H1826" s="169">
        <v>22</v>
      </c>
      <c r="I1826" s="136" t="str">
        <f t="shared" si="85"/>
        <v>TIMESTAMP(6)</v>
      </c>
      <c r="J1826" s="169" t="s">
        <v>0</v>
      </c>
      <c r="K1826" s="169" t="s">
        <v>1</v>
      </c>
      <c r="L1826" s="169">
        <v>30</v>
      </c>
      <c r="M1826" s="168"/>
      <c r="N1826" s="168"/>
      <c r="O1826" s="168"/>
      <c r="P1826" s="168"/>
      <c r="Q1826" s="168" t="s">
        <v>0</v>
      </c>
      <c r="R1826" s="168" t="s">
        <v>1</v>
      </c>
      <c r="S1826" s="178" t="str">
        <f t="shared" si="86"/>
        <v>D_SA_SESSIONSCALCULATION_START</v>
      </c>
    </row>
    <row r="1827" spans="1:19" ht="14.4" x14ac:dyDescent="0.3">
      <c r="A1827" s="169" t="s">
        <v>1838</v>
      </c>
      <c r="B1827" s="171" t="str">
        <f t="shared" si="84"/>
        <v>D_SA_SESSIONS</v>
      </c>
      <c r="C1827" s="169" t="s">
        <v>2016</v>
      </c>
      <c r="D1827" s="169">
        <v>977</v>
      </c>
      <c r="E1827" s="169">
        <v>9</v>
      </c>
      <c r="F1827" s="169" t="s">
        <v>1949</v>
      </c>
      <c r="G1827" s="169" t="s">
        <v>1949</v>
      </c>
      <c r="H1827" s="169">
        <v>25</v>
      </c>
      <c r="I1827" s="136" t="str">
        <f t="shared" si="85"/>
        <v xml:space="preserve">CHAR(100) </v>
      </c>
      <c r="J1827" s="169" t="s">
        <v>0</v>
      </c>
      <c r="K1827" s="169" t="s">
        <v>1</v>
      </c>
      <c r="L1827" s="169">
        <v>30</v>
      </c>
      <c r="M1827" s="168"/>
      <c r="N1827" s="168"/>
      <c r="O1827" s="168"/>
      <c r="P1827" s="168"/>
      <c r="Q1827" s="168" t="s">
        <v>0</v>
      </c>
      <c r="R1827" s="168" t="s">
        <v>1</v>
      </c>
      <c r="S1827" s="178" t="str">
        <f t="shared" si="86"/>
        <v>D_SA_SESSIONS"COMMENT"</v>
      </c>
    </row>
    <row r="1828" spans="1:19" ht="14.4" x14ac:dyDescent="0.3">
      <c r="A1828" s="169" t="s">
        <v>1838</v>
      </c>
      <c r="B1828" s="171" t="str">
        <f t="shared" si="84"/>
        <v>D_SA_SESSIONS</v>
      </c>
      <c r="C1828" s="169" t="s">
        <v>2157</v>
      </c>
      <c r="D1828" s="169">
        <v>978</v>
      </c>
      <c r="E1828" s="169">
        <v>10</v>
      </c>
      <c r="F1828" s="169" t="s">
        <v>2157</v>
      </c>
      <c r="G1828" s="169" t="s">
        <v>2157</v>
      </c>
      <c r="H1828" s="169">
        <v>16</v>
      </c>
      <c r="I1828" s="136" t="str">
        <f t="shared" si="85"/>
        <v>DECIMAL(26, 6)</v>
      </c>
      <c r="J1828" s="169" t="s">
        <v>0</v>
      </c>
      <c r="K1828" s="169" t="s">
        <v>1</v>
      </c>
      <c r="L1828" s="169">
        <v>30</v>
      </c>
      <c r="M1828" s="168"/>
      <c r="N1828" s="168"/>
      <c r="O1828" s="168"/>
      <c r="P1828" s="168"/>
      <c r="Q1828" s="168" t="s">
        <v>0</v>
      </c>
      <c r="R1828" s="168" t="s">
        <v>1</v>
      </c>
      <c r="S1828" s="178" t="str">
        <f t="shared" si="86"/>
        <v>D_SA_SESSIONSDELTA_MINUS</v>
      </c>
    </row>
    <row r="1829" spans="1:19" ht="14.4" x14ac:dyDescent="0.3">
      <c r="A1829" s="169" t="s">
        <v>1838</v>
      </c>
      <c r="B1829" s="171" t="str">
        <f t="shared" si="84"/>
        <v>D_SA_SESSIONS</v>
      </c>
      <c r="C1829" s="169" t="s">
        <v>2158</v>
      </c>
      <c r="D1829" s="169">
        <v>979</v>
      </c>
      <c r="E1829" s="169">
        <v>11</v>
      </c>
      <c r="F1829" s="169" t="s">
        <v>2158</v>
      </c>
      <c r="G1829" s="169" t="s">
        <v>2158</v>
      </c>
      <c r="H1829" s="169">
        <v>16</v>
      </c>
      <c r="I1829" s="136" t="str">
        <f t="shared" si="85"/>
        <v>DECIMAL(26, 6)</v>
      </c>
      <c r="J1829" s="169" t="s">
        <v>0</v>
      </c>
      <c r="K1829" s="169" t="s">
        <v>1</v>
      </c>
      <c r="L1829" s="169">
        <v>30</v>
      </c>
      <c r="M1829" s="168"/>
      <c r="N1829" s="168"/>
      <c r="O1829" s="168"/>
      <c r="P1829" s="168"/>
      <c r="Q1829" s="168" t="s">
        <v>0</v>
      </c>
      <c r="R1829" s="168" t="s">
        <v>1</v>
      </c>
      <c r="S1829" s="178" t="str">
        <f t="shared" si="86"/>
        <v>D_SA_SESSIONSDELTA_PLUS</v>
      </c>
    </row>
    <row r="1830" spans="1:19" ht="14.4" x14ac:dyDescent="0.3">
      <c r="A1830" s="169" t="s">
        <v>1838</v>
      </c>
      <c r="B1830" s="171" t="str">
        <f t="shared" si="84"/>
        <v>D_SA_SESSIONS</v>
      </c>
      <c r="C1830" s="169" t="s">
        <v>1966</v>
      </c>
      <c r="D1830" s="169">
        <v>980</v>
      </c>
      <c r="E1830" s="169">
        <v>12</v>
      </c>
      <c r="F1830" s="169" t="s">
        <v>1966</v>
      </c>
      <c r="G1830" s="169" t="s">
        <v>1966</v>
      </c>
      <c r="H1830" s="169">
        <v>16</v>
      </c>
      <c r="I1830" s="136" t="str">
        <f t="shared" si="85"/>
        <v>DECIMAL(26, 6)</v>
      </c>
      <c r="J1830" s="169" t="s">
        <v>0</v>
      </c>
      <c r="K1830" s="169" t="s">
        <v>1</v>
      </c>
      <c r="L1830" s="169">
        <v>30</v>
      </c>
      <c r="M1830" s="168"/>
      <c r="N1830" s="168"/>
      <c r="O1830" s="168"/>
      <c r="P1830" s="168"/>
      <c r="Q1830" s="168" t="s">
        <v>0</v>
      </c>
      <c r="R1830" s="168" t="s">
        <v>1</v>
      </c>
      <c r="S1830" s="178" t="str">
        <f t="shared" si="86"/>
        <v>D_SA_SESSIONSDELTA_RATIO</v>
      </c>
    </row>
    <row r="1831" spans="1:19" ht="14.4" x14ac:dyDescent="0.3">
      <c r="A1831" s="169" t="s">
        <v>1838</v>
      </c>
      <c r="B1831" s="171" t="str">
        <f t="shared" si="84"/>
        <v>D_SA_SESSIONS</v>
      </c>
      <c r="C1831" s="169" t="s">
        <v>1967</v>
      </c>
      <c r="D1831" s="169">
        <v>981</v>
      </c>
      <c r="E1831" s="169">
        <v>13</v>
      </c>
      <c r="F1831" s="169" t="s">
        <v>1967</v>
      </c>
      <c r="G1831" s="169" t="s">
        <v>1967</v>
      </c>
      <c r="H1831" s="169">
        <v>27</v>
      </c>
      <c r="I1831" s="136" t="str">
        <f t="shared" si="85"/>
        <v>INTEGER</v>
      </c>
      <c r="J1831" s="169" t="s">
        <v>0</v>
      </c>
      <c r="K1831" s="169" t="s">
        <v>1</v>
      </c>
      <c r="L1831" s="169">
        <v>30</v>
      </c>
      <c r="M1831" s="168"/>
      <c r="N1831" s="168"/>
      <c r="O1831" s="168"/>
      <c r="P1831" s="168"/>
      <c r="Q1831" s="168" t="s">
        <v>0</v>
      </c>
      <c r="R1831" s="168" t="s">
        <v>1</v>
      </c>
      <c r="S1831" s="178" t="str">
        <f t="shared" si="86"/>
        <v>D_SA_SESSIONSECAP_CALC_QTY</v>
      </c>
    </row>
    <row r="1832" spans="1:19" ht="14.4" x14ac:dyDescent="0.3">
      <c r="A1832" s="169" t="s">
        <v>1838</v>
      </c>
      <c r="B1832" s="171" t="str">
        <f t="shared" si="84"/>
        <v>D_SA_SESSIONS</v>
      </c>
      <c r="C1832" s="169" t="s">
        <v>2091</v>
      </c>
      <c r="D1832" s="169">
        <v>982</v>
      </c>
      <c r="E1832" s="169">
        <v>14</v>
      </c>
      <c r="F1832" s="169" t="s">
        <v>2091</v>
      </c>
      <c r="G1832" s="169" t="s">
        <v>2091</v>
      </c>
      <c r="H1832" s="169">
        <v>44</v>
      </c>
      <c r="I1832" s="136" t="str">
        <f t="shared" si="85"/>
        <v xml:space="preserve">CHAR(4) </v>
      </c>
      <c r="J1832" s="169" t="s">
        <v>0</v>
      </c>
      <c r="K1832" s="169" t="s">
        <v>1</v>
      </c>
      <c r="L1832" s="169">
        <v>30</v>
      </c>
      <c r="M1832" s="168"/>
      <c r="N1832" s="168"/>
      <c r="O1832" s="168"/>
      <c r="P1832" s="168"/>
      <c r="Q1832" s="168" t="s">
        <v>0</v>
      </c>
      <c r="R1832" s="168" t="s">
        <v>1</v>
      </c>
      <c r="S1832" s="178" t="str">
        <f t="shared" si="86"/>
        <v>D_SA_SESSIONSECAP_SIMULATIONS</v>
      </c>
    </row>
    <row r="1833" spans="1:19" ht="14.4" x14ac:dyDescent="0.3">
      <c r="A1833" s="169" t="s">
        <v>1838</v>
      </c>
      <c r="B1833" s="171" t="str">
        <f t="shared" si="84"/>
        <v>D_SA_SESSIONS</v>
      </c>
      <c r="C1833" s="169" t="s">
        <v>1968</v>
      </c>
      <c r="D1833" s="169">
        <v>983</v>
      </c>
      <c r="E1833" s="169">
        <v>15</v>
      </c>
      <c r="F1833" s="169" t="s">
        <v>1968</v>
      </c>
      <c r="G1833" s="169" t="s">
        <v>1968</v>
      </c>
      <c r="H1833" s="169">
        <v>16</v>
      </c>
      <c r="I1833" s="136" t="str">
        <f t="shared" si="85"/>
        <v>DECIMAL(26, 6)</v>
      </c>
      <c r="J1833" s="169" t="s">
        <v>0</v>
      </c>
      <c r="K1833" s="169" t="s">
        <v>1</v>
      </c>
      <c r="L1833" s="169">
        <v>30</v>
      </c>
      <c r="M1833" s="168"/>
      <c r="N1833" s="168"/>
      <c r="O1833" s="168"/>
      <c r="P1833" s="168"/>
      <c r="Q1833" s="168" t="s">
        <v>0</v>
      </c>
      <c r="R1833" s="168" t="s">
        <v>1</v>
      </c>
      <c r="S1833" s="178" t="str">
        <f t="shared" si="86"/>
        <v>D_SA_SESSIONSECAP_STD_DEV_MINUS</v>
      </c>
    </row>
    <row r="1834" spans="1:19" ht="14.4" x14ac:dyDescent="0.3">
      <c r="A1834" s="169" t="s">
        <v>1838</v>
      </c>
      <c r="B1834" s="171" t="str">
        <f t="shared" si="84"/>
        <v>D_SA_SESSIONS</v>
      </c>
      <c r="C1834" s="169" t="s">
        <v>1969</v>
      </c>
      <c r="D1834" s="169">
        <v>984</v>
      </c>
      <c r="E1834" s="169">
        <v>16</v>
      </c>
      <c r="F1834" s="169" t="s">
        <v>1969</v>
      </c>
      <c r="G1834" s="169" t="s">
        <v>1969</v>
      </c>
      <c r="H1834" s="169">
        <v>16</v>
      </c>
      <c r="I1834" s="136" t="str">
        <f t="shared" si="85"/>
        <v>DECIMAL(26, 6)</v>
      </c>
      <c r="J1834" s="169" t="s">
        <v>0</v>
      </c>
      <c r="K1834" s="169" t="s">
        <v>1</v>
      </c>
      <c r="L1834" s="169">
        <v>30</v>
      </c>
      <c r="M1834" s="168"/>
      <c r="N1834" s="168"/>
      <c r="O1834" s="168"/>
      <c r="P1834" s="168"/>
      <c r="Q1834" s="168" t="s">
        <v>0</v>
      </c>
      <c r="R1834" s="168" t="s">
        <v>1</v>
      </c>
      <c r="S1834" s="178" t="str">
        <f t="shared" si="86"/>
        <v>D_SA_SESSIONSECAP_STD_DEV_PLUS</v>
      </c>
    </row>
    <row r="1835" spans="1:19" ht="14.4" x14ac:dyDescent="0.3">
      <c r="A1835" s="169" t="s">
        <v>1838</v>
      </c>
      <c r="B1835" s="171" t="str">
        <f t="shared" si="84"/>
        <v>D_SA_SESSIONS</v>
      </c>
      <c r="C1835" s="169" t="s">
        <v>1931</v>
      </c>
      <c r="D1835" s="169">
        <v>985</v>
      </c>
      <c r="E1835" s="169">
        <v>17</v>
      </c>
      <c r="F1835" s="169" t="s">
        <v>1931</v>
      </c>
      <c r="G1835" s="169" t="s">
        <v>1931</v>
      </c>
      <c r="H1835" s="169">
        <v>9</v>
      </c>
      <c r="I1835" s="136" t="str">
        <f t="shared" si="85"/>
        <v xml:space="preserve">CHAR(32) </v>
      </c>
      <c r="J1835" s="169" t="s">
        <v>0</v>
      </c>
      <c r="K1835" s="169" t="s">
        <v>1</v>
      </c>
      <c r="L1835" s="169">
        <v>30</v>
      </c>
      <c r="M1835" s="168"/>
      <c r="N1835" s="168"/>
      <c r="O1835" s="168"/>
      <c r="P1835" s="168"/>
      <c r="Q1835" s="168" t="s">
        <v>0</v>
      </c>
      <c r="R1835" s="168" t="s">
        <v>1</v>
      </c>
      <c r="S1835" s="178" t="str">
        <f t="shared" si="86"/>
        <v>D_SA_SESSIONSENTITY_SYSTEM_ID</v>
      </c>
    </row>
    <row r="1836" spans="1:19" ht="14.4" x14ac:dyDescent="0.3">
      <c r="A1836" s="169" t="s">
        <v>1838</v>
      </c>
      <c r="B1836" s="171" t="str">
        <f t="shared" si="84"/>
        <v>D_SA_SESSIONS</v>
      </c>
      <c r="C1836" s="169" t="s">
        <v>1952</v>
      </c>
      <c r="D1836" s="169">
        <v>986</v>
      </c>
      <c r="E1836" s="169">
        <v>18</v>
      </c>
      <c r="F1836" s="169" t="s">
        <v>1952</v>
      </c>
      <c r="G1836" s="169" t="s">
        <v>1952</v>
      </c>
      <c r="H1836" s="169">
        <v>16</v>
      </c>
      <c r="I1836" s="136" t="str">
        <f t="shared" si="85"/>
        <v>DECIMAL(26, 6)</v>
      </c>
      <c r="J1836" s="169" t="s">
        <v>0</v>
      </c>
      <c r="K1836" s="169" t="s">
        <v>1</v>
      </c>
      <c r="L1836" s="169">
        <v>30</v>
      </c>
      <c r="M1836" s="168"/>
      <c r="N1836" s="168"/>
      <c r="O1836" s="168"/>
      <c r="P1836" s="168"/>
      <c r="Q1836" s="168" t="s">
        <v>0</v>
      </c>
      <c r="R1836" s="168" t="s">
        <v>1</v>
      </c>
      <c r="S1836" s="178" t="str">
        <f t="shared" si="86"/>
        <v>D_SA_SESSIONSEUR_FX_RATE</v>
      </c>
    </row>
    <row r="1837" spans="1:19" ht="14.4" x14ac:dyDescent="0.3">
      <c r="A1837" s="169" t="s">
        <v>1838</v>
      </c>
      <c r="B1837" s="171" t="str">
        <f t="shared" si="84"/>
        <v>D_SA_SESSIONS</v>
      </c>
      <c r="C1837" s="169" t="s">
        <v>1970</v>
      </c>
      <c r="D1837" s="169">
        <v>987</v>
      </c>
      <c r="E1837" s="169">
        <v>19</v>
      </c>
      <c r="F1837" s="169" t="s">
        <v>1970</v>
      </c>
      <c r="G1837" s="169" t="s">
        <v>1970</v>
      </c>
      <c r="H1837" s="169">
        <v>32</v>
      </c>
      <c r="I1837" s="136" t="str">
        <f t="shared" si="85"/>
        <v>BYTEINT</v>
      </c>
      <c r="J1837" s="169" t="s">
        <v>0</v>
      </c>
      <c r="K1837" s="169" t="s">
        <v>1</v>
      </c>
      <c r="L1837" s="169">
        <v>30</v>
      </c>
      <c r="M1837" s="168"/>
      <c r="N1837" s="168"/>
      <c r="O1837" s="168"/>
      <c r="P1837" s="168"/>
      <c r="Q1837" s="168" t="s">
        <v>0</v>
      </c>
      <c r="R1837" s="168" t="s">
        <v>1</v>
      </c>
      <c r="S1837" s="178" t="str">
        <f t="shared" si="86"/>
        <v>D_SA_SESSIONSEXPOSURE_RESULTS_MODE</v>
      </c>
    </row>
    <row r="1838" spans="1:19" ht="14.4" x14ac:dyDescent="0.3">
      <c r="A1838" s="169" t="s">
        <v>1838</v>
      </c>
      <c r="B1838" s="171" t="str">
        <f t="shared" si="84"/>
        <v>D_SA_SESSIONS</v>
      </c>
      <c r="C1838" s="169" t="s">
        <v>1953</v>
      </c>
      <c r="D1838" s="169">
        <v>988</v>
      </c>
      <c r="E1838" s="169">
        <v>20</v>
      </c>
      <c r="F1838" s="169" t="s">
        <v>1953</v>
      </c>
      <c r="G1838" s="169" t="s">
        <v>1953</v>
      </c>
      <c r="H1838" s="169">
        <v>22</v>
      </c>
      <c r="I1838" s="136" t="str">
        <f t="shared" si="85"/>
        <v>TIMESTAMP(6)</v>
      </c>
      <c r="J1838" s="169" t="s">
        <v>0</v>
      </c>
      <c r="K1838" s="169" t="s">
        <v>0</v>
      </c>
      <c r="L1838" s="169">
        <v>30</v>
      </c>
      <c r="M1838" s="168"/>
      <c r="N1838" s="168"/>
      <c r="O1838" s="168"/>
      <c r="P1838" s="168"/>
      <c r="Q1838" s="168" t="s">
        <v>0</v>
      </c>
      <c r="R1838" s="168" t="s">
        <v>1</v>
      </c>
      <c r="S1838" s="178" t="str">
        <f t="shared" si="86"/>
        <v>D_SA_SESSIONSEXTRACTION_DATETIME</v>
      </c>
    </row>
    <row r="1839" spans="1:19" ht="14.4" x14ac:dyDescent="0.3">
      <c r="A1839" s="169" t="s">
        <v>1838</v>
      </c>
      <c r="B1839" s="171" t="str">
        <f t="shared" si="84"/>
        <v>D_SA_SESSIONS</v>
      </c>
      <c r="C1839" s="169" t="s">
        <v>1971</v>
      </c>
      <c r="D1839" s="169">
        <v>989</v>
      </c>
      <c r="E1839" s="169">
        <v>21</v>
      </c>
      <c r="F1839" s="169" t="s">
        <v>1971</v>
      </c>
      <c r="G1839" s="169" t="s">
        <v>1971</v>
      </c>
      <c r="H1839" s="169">
        <v>27</v>
      </c>
      <c r="I1839" s="136" t="str">
        <f t="shared" si="85"/>
        <v>INTEGER</v>
      </c>
      <c r="J1839" s="169" t="s">
        <v>0</v>
      </c>
      <c r="K1839" s="169" t="s">
        <v>1</v>
      </c>
      <c r="L1839" s="169">
        <v>30</v>
      </c>
      <c r="M1839" s="168"/>
      <c r="N1839" s="168"/>
      <c r="O1839" s="168"/>
      <c r="P1839" s="168"/>
      <c r="Q1839" s="168" t="s">
        <v>0</v>
      </c>
      <c r="R1839" s="168" t="s">
        <v>1</v>
      </c>
      <c r="S1839" s="178" t="str">
        <f t="shared" si="86"/>
        <v>D_SA_SESSIONSIMPS_SCENARIOS</v>
      </c>
    </row>
    <row r="1840" spans="1:19" ht="14.4" x14ac:dyDescent="0.3">
      <c r="A1840" s="169" t="s">
        <v>1838</v>
      </c>
      <c r="B1840" s="171" t="str">
        <f t="shared" si="84"/>
        <v>D_SA_SESSIONS</v>
      </c>
      <c r="C1840" s="169" t="s">
        <v>1955</v>
      </c>
      <c r="D1840" s="169">
        <v>990</v>
      </c>
      <c r="E1840" s="169">
        <v>22</v>
      </c>
      <c r="F1840" s="169" t="s">
        <v>1955</v>
      </c>
      <c r="G1840" s="169" t="s">
        <v>1955</v>
      </c>
      <c r="H1840" s="169">
        <v>6</v>
      </c>
      <c r="I1840" s="136" t="str">
        <f t="shared" si="85"/>
        <v>SMALLINT</v>
      </c>
      <c r="J1840" s="169" t="s">
        <v>0</v>
      </c>
      <c r="K1840" s="169" t="s">
        <v>1</v>
      </c>
      <c r="L1840" s="169">
        <v>30</v>
      </c>
      <c r="M1840" s="168"/>
      <c r="N1840" s="168"/>
      <c r="O1840" s="168"/>
      <c r="P1840" s="168"/>
      <c r="Q1840" s="168" t="s">
        <v>0</v>
      </c>
      <c r="R1840" s="168" t="s">
        <v>1</v>
      </c>
      <c r="S1840" s="178" t="str">
        <f t="shared" si="86"/>
        <v>D_SA_SESSIONSMASTER_CALCULATION</v>
      </c>
    </row>
    <row r="1841" spans="1:19" ht="14.4" x14ac:dyDescent="0.3">
      <c r="A1841" s="169" t="s">
        <v>1838</v>
      </c>
      <c r="B1841" s="171" t="str">
        <f t="shared" si="84"/>
        <v>D_SA_SESSIONS</v>
      </c>
      <c r="C1841" s="169" t="s">
        <v>1972</v>
      </c>
      <c r="D1841" s="169">
        <v>991</v>
      </c>
      <c r="E1841" s="169">
        <v>23</v>
      </c>
      <c r="F1841" s="169" t="s">
        <v>1972</v>
      </c>
      <c r="G1841" s="169" t="s">
        <v>1972</v>
      </c>
      <c r="H1841" s="169">
        <v>8</v>
      </c>
      <c r="I1841" s="136" t="str">
        <f t="shared" si="85"/>
        <v>DECIMAL(15, 6)</v>
      </c>
      <c r="J1841" s="169" t="s">
        <v>0</v>
      </c>
      <c r="K1841" s="169" t="s">
        <v>1</v>
      </c>
      <c r="L1841" s="169">
        <v>30</v>
      </c>
      <c r="M1841" s="168"/>
      <c r="N1841" s="168"/>
      <c r="O1841" s="168"/>
      <c r="P1841" s="168"/>
      <c r="Q1841" s="168" t="s">
        <v>0</v>
      </c>
      <c r="R1841" s="168" t="s">
        <v>1</v>
      </c>
      <c r="S1841" s="178" t="str">
        <f t="shared" si="86"/>
        <v>D_SA_SESSIONSMIN_ALLOCATION_PERCENTILE</v>
      </c>
    </row>
    <row r="1842" spans="1:19" ht="14.4" x14ac:dyDescent="0.3">
      <c r="A1842" s="169" t="s">
        <v>1838</v>
      </c>
      <c r="B1842" s="171" t="str">
        <f t="shared" si="84"/>
        <v>D_SA_SESSIONS</v>
      </c>
      <c r="C1842" s="169" t="s">
        <v>1973</v>
      </c>
      <c r="D1842" s="169">
        <v>992</v>
      </c>
      <c r="E1842" s="169">
        <v>24</v>
      </c>
      <c r="F1842" s="169" t="s">
        <v>1973</v>
      </c>
      <c r="G1842" s="169" t="s">
        <v>1973</v>
      </c>
      <c r="H1842" s="169">
        <v>9</v>
      </c>
      <c r="I1842" s="136" t="str">
        <f t="shared" si="85"/>
        <v xml:space="preserve">CHAR(32) </v>
      </c>
      <c r="J1842" s="169" t="s">
        <v>0</v>
      </c>
      <c r="K1842" s="169" t="s">
        <v>1</v>
      </c>
      <c r="L1842" s="169">
        <v>30</v>
      </c>
      <c r="M1842" s="168"/>
      <c r="N1842" s="168"/>
      <c r="O1842" s="168"/>
      <c r="P1842" s="168"/>
      <c r="Q1842" s="168" t="s">
        <v>0</v>
      </c>
      <c r="R1842" s="168" t="s">
        <v>1</v>
      </c>
      <c r="S1842" s="178" t="str">
        <f t="shared" si="86"/>
        <v>D_SA_SESSIONSPRIMARY_SIGNIF_LEVEL</v>
      </c>
    </row>
    <row r="1843" spans="1:19" ht="14.4" x14ac:dyDescent="0.3">
      <c r="A1843" s="169" t="s">
        <v>1838</v>
      </c>
      <c r="B1843" s="171" t="str">
        <f t="shared" si="84"/>
        <v>D_SA_SESSIONS</v>
      </c>
      <c r="C1843" s="169" t="s">
        <v>1958</v>
      </c>
      <c r="D1843" s="169">
        <v>993</v>
      </c>
      <c r="E1843" s="169">
        <v>25</v>
      </c>
      <c r="F1843" s="169" t="s">
        <v>1958</v>
      </c>
      <c r="G1843" s="169" t="s">
        <v>1958</v>
      </c>
      <c r="H1843" s="169">
        <v>6</v>
      </c>
      <c r="I1843" s="136" t="str">
        <f t="shared" si="85"/>
        <v>SMALLINT</v>
      </c>
      <c r="J1843" s="169" t="s">
        <v>0</v>
      </c>
      <c r="K1843" s="169" t="s">
        <v>1</v>
      </c>
      <c r="L1843" s="169">
        <v>30</v>
      </c>
      <c r="M1843" s="168"/>
      <c r="N1843" s="168"/>
      <c r="O1843" s="168"/>
      <c r="P1843" s="168"/>
      <c r="Q1843" s="168" t="s">
        <v>0</v>
      </c>
      <c r="R1843" s="168" t="s">
        <v>1</v>
      </c>
      <c r="S1843" s="178" t="str">
        <f t="shared" si="86"/>
        <v>D_SA_SESSIONSREG_PRIORITY</v>
      </c>
    </row>
    <row r="1844" spans="1:19" ht="14.4" x14ac:dyDescent="0.3">
      <c r="A1844" s="169" t="s">
        <v>1838</v>
      </c>
      <c r="B1844" s="171" t="str">
        <f t="shared" si="84"/>
        <v>D_SA_SESSIONS</v>
      </c>
      <c r="C1844" s="169" t="s">
        <v>1974</v>
      </c>
      <c r="D1844" s="169">
        <v>994</v>
      </c>
      <c r="E1844" s="169">
        <v>26</v>
      </c>
      <c r="F1844" s="169" t="s">
        <v>1974</v>
      </c>
      <c r="G1844" s="169" t="s">
        <v>1974</v>
      </c>
      <c r="H1844" s="169">
        <v>38</v>
      </c>
      <c r="I1844" s="136" t="str">
        <f t="shared" si="85"/>
        <v xml:space="preserve">CHAR(50) </v>
      </c>
      <c r="J1844" s="169" t="s">
        <v>0</v>
      </c>
      <c r="K1844" s="169" t="s">
        <v>1</v>
      </c>
      <c r="L1844" s="169">
        <v>30</v>
      </c>
      <c r="M1844" s="168"/>
      <c r="N1844" s="168"/>
      <c r="O1844" s="168"/>
      <c r="P1844" s="168"/>
      <c r="Q1844" s="168" t="s">
        <v>0</v>
      </c>
      <c r="R1844" s="168" t="s">
        <v>1</v>
      </c>
      <c r="S1844" s="178" t="str">
        <f t="shared" si="86"/>
        <v>D_SA_SESSIONSSA_PARAMETER</v>
      </c>
    </row>
    <row r="1845" spans="1:19" ht="14.4" x14ac:dyDescent="0.3">
      <c r="A1845" s="169" t="s">
        <v>1838</v>
      </c>
      <c r="B1845" s="171" t="str">
        <f t="shared" si="84"/>
        <v>D_SA_SESSIONS</v>
      </c>
      <c r="C1845" s="169" t="s">
        <v>520</v>
      </c>
      <c r="D1845" s="169">
        <v>995</v>
      </c>
      <c r="E1845" s="169">
        <v>27</v>
      </c>
      <c r="F1845" s="169" t="s">
        <v>520</v>
      </c>
      <c r="G1845" s="169" t="s">
        <v>520</v>
      </c>
      <c r="H1845" s="169">
        <v>27</v>
      </c>
      <c r="I1845" s="136" t="str">
        <f t="shared" si="85"/>
        <v>INTEGER</v>
      </c>
      <c r="J1845" s="169" t="s">
        <v>0</v>
      </c>
      <c r="K1845" s="169" t="s">
        <v>0</v>
      </c>
      <c r="L1845" s="169">
        <v>30</v>
      </c>
      <c r="M1845" s="168"/>
      <c r="N1845" s="168"/>
      <c r="O1845" s="168"/>
      <c r="P1845" s="168"/>
      <c r="Q1845" s="168" t="s">
        <v>0</v>
      </c>
      <c r="R1845" s="168" t="s">
        <v>1</v>
      </c>
      <c r="S1845" s="178" t="str">
        <f t="shared" si="86"/>
        <v>D_SA_SESSIONSSESSION_ID</v>
      </c>
    </row>
    <row r="1846" spans="1:19" ht="14.4" x14ac:dyDescent="0.3">
      <c r="A1846" s="169" t="s">
        <v>1838</v>
      </c>
      <c r="B1846" s="171" t="str">
        <f t="shared" si="84"/>
        <v>D_SA_SESSIONS</v>
      </c>
      <c r="C1846" s="169" t="s">
        <v>522</v>
      </c>
      <c r="D1846" s="169">
        <v>996</v>
      </c>
      <c r="E1846" s="169">
        <v>28</v>
      </c>
      <c r="F1846" s="169" t="s">
        <v>522</v>
      </c>
      <c r="G1846" s="169" t="s">
        <v>522</v>
      </c>
      <c r="H1846" s="169">
        <v>9</v>
      </c>
      <c r="I1846" s="136" t="str">
        <f t="shared" si="85"/>
        <v xml:space="preserve">CHAR(32) </v>
      </c>
      <c r="J1846" s="169" t="s">
        <v>0</v>
      </c>
      <c r="K1846" s="169" t="s">
        <v>1</v>
      </c>
      <c r="L1846" s="169">
        <v>30</v>
      </c>
      <c r="M1846" s="168"/>
      <c r="N1846" s="168"/>
      <c r="O1846" s="168"/>
      <c r="P1846" s="168"/>
      <c r="Q1846" s="168" t="s">
        <v>0</v>
      </c>
      <c r="R1846" s="168" t="s">
        <v>1</v>
      </c>
      <c r="S1846" s="178" t="str">
        <f t="shared" si="86"/>
        <v>D_SA_SESSIONSSESSION_NAME</v>
      </c>
    </row>
    <row r="1847" spans="1:19" ht="14.4" x14ac:dyDescent="0.3">
      <c r="A1847" s="169" t="s">
        <v>1838</v>
      </c>
      <c r="B1847" s="171" t="str">
        <f t="shared" si="84"/>
        <v>D_SA_SESSIONS</v>
      </c>
      <c r="C1847" s="169" t="s">
        <v>1975</v>
      </c>
      <c r="D1847" s="169">
        <v>997</v>
      </c>
      <c r="E1847" s="169">
        <v>29</v>
      </c>
      <c r="F1847" s="169" t="s">
        <v>1975</v>
      </c>
      <c r="G1847" s="169" t="s">
        <v>1975</v>
      </c>
      <c r="H1847" s="169">
        <v>16</v>
      </c>
      <c r="I1847" s="136" t="str">
        <f t="shared" si="85"/>
        <v>DECIMAL(26, 6)</v>
      </c>
      <c r="J1847" s="169" t="s">
        <v>0</v>
      </c>
      <c r="K1847" s="169" t="s">
        <v>1</v>
      </c>
      <c r="L1847" s="169">
        <v>30</v>
      </c>
      <c r="M1847" s="168"/>
      <c r="N1847" s="168"/>
      <c r="O1847" s="168"/>
      <c r="P1847" s="168"/>
      <c r="Q1847" s="168" t="s">
        <v>0</v>
      </c>
      <c r="R1847" s="168" t="s">
        <v>1</v>
      </c>
      <c r="S1847" s="178" t="str">
        <f t="shared" si="86"/>
        <v>D_SA_SESSIONSSTD_DEV_ECAP_SENSITIVITY</v>
      </c>
    </row>
    <row r="1848" spans="1:19" ht="14.4" x14ac:dyDescent="0.3">
      <c r="A1848" s="169" t="s">
        <v>1838</v>
      </c>
      <c r="B1848" s="171" t="str">
        <f t="shared" si="84"/>
        <v>D_SA_SESSIONS</v>
      </c>
      <c r="C1848" s="169" t="s">
        <v>1976</v>
      </c>
      <c r="D1848" s="169">
        <v>998</v>
      </c>
      <c r="E1848" s="169">
        <v>30</v>
      </c>
      <c r="F1848" s="169" t="s">
        <v>1976</v>
      </c>
      <c r="G1848" s="169" t="s">
        <v>1976</v>
      </c>
      <c r="H1848" s="169">
        <v>9</v>
      </c>
      <c r="I1848" s="136" t="str">
        <f t="shared" si="85"/>
        <v xml:space="preserve">CHAR(32) </v>
      </c>
      <c r="J1848" s="169" t="s">
        <v>0</v>
      </c>
      <c r="K1848" s="169" t="s">
        <v>1</v>
      </c>
      <c r="L1848" s="169">
        <v>30</v>
      </c>
      <c r="M1848" s="168"/>
      <c r="N1848" s="168"/>
      <c r="O1848" s="168"/>
      <c r="P1848" s="168"/>
      <c r="Q1848" s="168" t="s">
        <v>0</v>
      </c>
      <c r="R1848" s="168" t="s">
        <v>1</v>
      </c>
      <c r="S1848" s="178" t="str">
        <f t="shared" si="86"/>
        <v>D_SA_SESSIONSUSERNAME</v>
      </c>
    </row>
    <row r="1849" spans="1:19" ht="14.4" x14ac:dyDescent="0.3">
      <c r="A1849" s="169" t="s">
        <v>1838</v>
      </c>
      <c r="B1849" s="171" t="str">
        <f t="shared" si="84"/>
        <v>D_SA_SESSIONS</v>
      </c>
      <c r="C1849" s="169" t="s">
        <v>1887</v>
      </c>
      <c r="D1849" s="169">
        <v>999</v>
      </c>
      <c r="E1849" s="169">
        <v>31</v>
      </c>
      <c r="F1849" s="169" t="s">
        <v>1887</v>
      </c>
      <c r="G1849" s="169" t="s">
        <v>1887</v>
      </c>
      <c r="H1849" s="169">
        <v>34</v>
      </c>
      <c r="I1849" s="136" t="str">
        <f t="shared" si="85"/>
        <v>DATE</v>
      </c>
      <c r="J1849" s="169" t="s">
        <v>0</v>
      </c>
      <c r="K1849" s="169" t="s">
        <v>1</v>
      </c>
      <c r="L1849" s="169">
        <v>30</v>
      </c>
      <c r="M1849" s="168"/>
      <c r="N1849" s="168"/>
      <c r="O1849" s="168"/>
      <c r="P1849" s="168"/>
      <c r="Q1849" s="168" t="s">
        <v>0</v>
      </c>
      <c r="R1849" s="168" t="s">
        <v>1</v>
      </c>
      <c r="S1849" s="178" t="str">
        <f t="shared" si="86"/>
        <v>D_SA_SESSIONSVALIDITY_DATE</v>
      </c>
    </row>
    <row r="1850" spans="1:19" ht="14.4" x14ac:dyDescent="0.3">
      <c r="A1850" s="169" t="s">
        <v>2032</v>
      </c>
      <c r="B1850" s="171" t="str">
        <f t="shared" si="84"/>
        <v>D_SECURITIZATION_POOL_MART</v>
      </c>
      <c r="C1850" s="169" t="s">
        <v>2159</v>
      </c>
      <c r="D1850" s="169">
        <v>1000</v>
      </c>
      <c r="E1850" s="169">
        <v>1</v>
      </c>
      <c r="F1850" s="169" t="s">
        <v>2159</v>
      </c>
      <c r="G1850" s="169" t="s">
        <v>2159</v>
      </c>
      <c r="H1850" s="169">
        <v>40</v>
      </c>
      <c r="I1850" s="136" t="str">
        <f t="shared" si="85"/>
        <v>DECIMAL(26, 4)</v>
      </c>
      <c r="J1850" s="169" t="s">
        <v>0</v>
      </c>
      <c r="K1850" s="169" t="s">
        <v>1</v>
      </c>
      <c r="L1850" s="169">
        <v>30</v>
      </c>
      <c r="M1850" s="168"/>
      <c r="N1850" s="168"/>
      <c r="O1850" s="168"/>
      <c r="P1850" s="168"/>
      <c r="Q1850" s="168" t="s">
        <v>0</v>
      </c>
      <c r="R1850" s="168" t="s">
        <v>1</v>
      </c>
      <c r="S1850" s="178" t="str">
        <f t="shared" si="86"/>
        <v>D_SECURITIZATION_POOL_MARTEFFECTIVE_NUMBER_OF_EXPOSURES</v>
      </c>
    </row>
    <row r="1851" spans="1:19" ht="14.4" x14ac:dyDescent="0.3">
      <c r="A1851" s="169" t="s">
        <v>2032</v>
      </c>
      <c r="B1851" s="171" t="str">
        <f t="shared" si="84"/>
        <v>D_SECURITIZATION_POOL_MART</v>
      </c>
      <c r="C1851" s="169" t="s">
        <v>1875</v>
      </c>
      <c r="D1851" s="169">
        <v>1001</v>
      </c>
      <c r="E1851" s="169">
        <v>2</v>
      </c>
      <c r="F1851" s="169" t="s">
        <v>1875</v>
      </c>
      <c r="G1851" s="169" t="s">
        <v>1875</v>
      </c>
      <c r="H1851" s="169">
        <v>22</v>
      </c>
      <c r="I1851" s="136" t="str">
        <f t="shared" si="85"/>
        <v>TIMESTAMP(6)</v>
      </c>
      <c r="J1851" s="169" t="s">
        <v>1</v>
      </c>
      <c r="K1851" s="169" t="s">
        <v>1</v>
      </c>
      <c r="L1851" s="169">
        <v>30</v>
      </c>
      <c r="M1851" s="168"/>
      <c r="N1851" s="168"/>
      <c r="O1851" s="168"/>
      <c r="P1851" s="168"/>
      <c r="Q1851" s="168" t="s">
        <v>0</v>
      </c>
      <c r="R1851" s="168" t="s">
        <v>1</v>
      </c>
      <c r="S1851" s="178" t="str">
        <f t="shared" si="86"/>
        <v>D_SECURITIZATION_POOL_MARTEXTRACTION_TS</v>
      </c>
    </row>
    <row r="1852" spans="1:19" ht="14.4" x14ac:dyDescent="0.3">
      <c r="A1852" s="169" t="s">
        <v>2032</v>
      </c>
      <c r="B1852" s="171" t="str">
        <f t="shared" si="84"/>
        <v>D_SECURITIZATION_POOL_MART</v>
      </c>
      <c r="C1852" s="169" t="s">
        <v>2160</v>
      </c>
      <c r="D1852" s="169">
        <v>1002</v>
      </c>
      <c r="E1852" s="169">
        <v>3</v>
      </c>
      <c r="F1852" s="169" t="s">
        <v>2160</v>
      </c>
      <c r="G1852" s="169" t="s">
        <v>2160</v>
      </c>
      <c r="H1852" s="169">
        <v>40</v>
      </c>
      <c r="I1852" s="136" t="str">
        <f t="shared" si="85"/>
        <v>DECIMAL(26, 4)</v>
      </c>
      <c r="J1852" s="169" t="s">
        <v>0</v>
      </c>
      <c r="K1852" s="169" t="s">
        <v>1</v>
      </c>
      <c r="L1852" s="169">
        <v>30</v>
      </c>
      <c r="M1852" s="168"/>
      <c r="N1852" s="168"/>
      <c r="O1852" s="168"/>
      <c r="P1852" s="168"/>
      <c r="Q1852" s="168" t="s">
        <v>0</v>
      </c>
      <c r="R1852" s="168" t="s">
        <v>1</v>
      </c>
      <c r="S1852" s="178" t="str">
        <f t="shared" si="86"/>
        <v>D_SECURITIZATION_POOL_MARTK_IRB</v>
      </c>
    </row>
    <row r="1853" spans="1:19" ht="14.4" x14ac:dyDescent="0.3">
      <c r="A1853" s="169" t="s">
        <v>2032</v>
      </c>
      <c r="B1853" s="171" t="str">
        <f t="shared" si="84"/>
        <v>D_SECURITIZATION_POOL_MART</v>
      </c>
      <c r="C1853" s="169" t="s">
        <v>2161</v>
      </c>
      <c r="D1853" s="169">
        <v>1003</v>
      </c>
      <c r="E1853" s="169">
        <v>4</v>
      </c>
      <c r="F1853" s="169" t="s">
        <v>2161</v>
      </c>
      <c r="G1853" s="169" t="s">
        <v>2161</v>
      </c>
      <c r="H1853" s="169">
        <v>14</v>
      </c>
      <c r="I1853" s="136" t="str">
        <f t="shared" si="85"/>
        <v xml:space="preserve">CHAR(3) </v>
      </c>
      <c r="J1853" s="169" t="s">
        <v>0</v>
      </c>
      <c r="K1853" s="169" t="s">
        <v>1</v>
      </c>
      <c r="L1853" s="169">
        <v>30</v>
      </c>
      <c r="M1853" s="168"/>
      <c r="N1853" s="168"/>
      <c r="O1853" s="168"/>
      <c r="P1853" s="168"/>
      <c r="Q1853" s="168" t="s">
        <v>0</v>
      </c>
      <c r="R1853" s="168" t="s">
        <v>1</v>
      </c>
      <c r="S1853" s="178" t="str">
        <f t="shared" si="86"/>
        <v>D_SECURITIZATION_POOL_MARTPRIMARY_BANK_ROLE_CD</v>
      </c>
    </row>
    <row r="1854" spans="1:19" ht="14.4" x14ac:dyDescent="0.3">
      <c r="A1854" s="169" t="s">
        <v>2032</v>
      </c>
      <c r="B1854" s="171" t="str">
        <f t="shared" si="84"/>
        <v>D_SECURITIZATION_POOL_MART</v>
      </c>
      <c r="C1854" s="169" t="s">
        <v>440</v>
      </c>
      <c r="D1854" s="169">
        <v>1004</v>
      </c>
      <c r="E1854" s="169">
        <v>5</v>
      </c>
      <c r="F1854" s="169" t="s">
        <v>440</v>
      </c>
      <c r="G1854" s="169" t="s">
        <v>440</v>
      </c>
      <c r="H1854" s="169">
        <v>22</v>
      </c>
      <c r="I1854" s="136" t="str">
        <f t="shared" si="85"/>
        <v>TIMESTAMP(6)</v>
      </c>
      <c r="J1854" s="169" t="s">
        <v>1</v>
      </c>
      <c r="K1854" s="169" t="s">
        <v>1</v>
      </c>
      <c r="L1854" s="169">
        <v>30</v>
      </c>
      <c r="M1854" s="168"/>
      <c r="N1854" s="168"/>
      <c r="O1854" s="168"/>
      <c r="P1854" s="168"/>
      <c r="Q1854" s="168" t="s">
        <v>0</v>
      </c>
      <c r="R1854" s="168" t="s">
        <v>1</v>
      </c>
      <c r="S1854" s="178" t="str">
        <f t="shared" si="86"/>
        <v>D_SECURITIZATION_POOL_MARTRECORD_CREATE_TS</v>
      </c>
    </row>
    <row r="1855" spans="1:19" ht="14.4" x14ac:dyDescent="0.3">
      <c r="A1855" s="169" t="s">
        <v>2032</v>
      </c>
      <c r="B1855" s="171" t="str">
        <f t="shared" si="84"/>
        <v>D_SECURITIZATION_POOL_MART</v>
      </c>
      <c r="C1855" s="169" t="s">
        <v>429</v>
      </c>
      <c r="D1855" s="169">
        <v>1005</v>
      </c>
      <c r="E1855" s="169">
        <v>6</v>
      </c>
      <c r="F1855" s="169" t="s">
        <v>429</v>
      </c>
      <c r="G1855" s="169" t="s">
        <v>429</v>
      </c>
      <c r="H1855" s="169">
        <v>22</v>
      </c>
      <c r="I1855" s="136" t="str">
        <f t="shared" si="85"/>
        <v>TIMESTAMP(6)</v>
      </c>
      <c r="J1855" s="169" t="s">
        <v>1</v>
      </c>
      <c r="K1855" s="169" t="s">
        <v>1</v>
      </c>
      <c r="L1855" s="169">
        <v>30</v>
      </c>
      <c r="M1855" s="168"/>
      <c r="N1855" s="168"/>
      <c r="O1855" s="168"/>
      <c r="P1855" s="168"/>
      <c r="Q1855" s="168" t="s">
        <v>0</v>
      </c>
      <c r="R1855" s="168" t="s">
        <v>1</v>
      </c>
      <c r="S1855" s="178" t="str">
        <f t="shared" si="86"/>
        <v>D_SECURITIZATION_POOL_MARTRECORD_UPDATE_TS</v>
      </c>
    </row>
    <row r="1856" spans="1:19" ht="14.4" x14ac:dyDescent="0.3">
      <c r="A1856" s="169" t="s">
        <v>2032</v>
      </c>
      <c r="B1856" s="171" t="str">
        <f t="shared" si="84"/>
        <v>D_SECURITIZATION_POOL_MART</v>
      </c>
      <c r="C1856" s="169" t="s">
        <v>498</v>
      </c>
      <c r="D1856" s="169">
        <v>1006</v>
      </c>
      <c r="E1856" s="169">
        <v>7</v>
      </c>
      <c r="F1856" s="169" t="s">
        <v>498</v>
      </c>
      <c r="G1856" s="169" t="s">
        <v>498</v>
      </c>
      <c r="H1856" s="169">
        <v>7</v>
      </c>
      <c r="I1856" s="136" t="str">
        <f t="shared" si="85"/>
        <v>BIGINT</v>
      </c>
      <c r="J1856" s="169" t="s">
        <v>1</v>
      </c>
      <c r="K1856" s="169" t="s">
        <v>0</v>
      </c>
      <c r="L1856" s="169">
        <v>30</v>
      </c>
      <c r="M1856" s="168"/>
      <c r="N1856" s="168"/>
      <c r="O1856" s="168"/>
      <c r="P1856" s="168"/>
      <c r="Q1856" s="168" t="s">
        <v>0</v>
      </c>
      <c r="R1856" s="168" t="s">
        <v>1</v>
      </c>
      <c r="S1856" s="178" t="str">
        <f t="shared" si="86"/>
        <v>D_SECURITIZATION_POOL_MARTRUN_ID</v>
      </c>
    </row>
    <row r="1857" spans="1:19" ht="14.4" x14ac:dyDescent="0.3">
      <c r="A1857" s="169" t="s">
        <v>2032</v>
      </c>
      <c r="B1857" s="171" t="str">
        <f t="shared" si="84"/>
        <v>D_SECURITIZATION_POOL_MART</v>
      </c>
      <c r="C1857" s="169" t="s">
        <v>1927</v>
      </c>
      <c r="D1857" s="169">
        <v>1007</v>
      </c>
      <c r="E1857" s="169">
        <v>8</v>
      </c>
      <c r="F1857" s="169" t="s">
        <v>1927</v>
      </c>
      <c r="G1857" s="169" t="s">
        <v>1927</v>
      </c>
      <c r="H1857" s="169">
        <v>45</v>
      </c>
      <c r="I1857" s="136" t="str">
        <f t="shared" si="85"/>
        <v>DECIMAL(15, 0)</v>
      </c>
      <c r="J1857" s="169" t="s">
        <v>0</v>
      </c>
      <c r="K1857" s="169" t="s">
        <v>1</v>
      </c>
      <c r="L1857" s="169">
        <v>30</v>
      </c>
      <c r="M1857" s="168"/>
      <c r="N1857" s="168"/>
      <c r="O1857" s="168"/>
      <c r="P1857" s="168"/>
      <c r="Q1857" s="168" t="s">
        <v>0</v>
      </c>
      <c r="R1857" s="168" t="s">
        <v>1</v>
      </c>
      <c r="S1857" s="178" t="str">
        <f t="shared" si="86"/>
        <v>D_SECURITIZATION_POOL_MARTSECURITIZATION_POOL_RK</v>
      </c>
    </row>
    <row r="1858" spans="1:19" ht="14.4" x14ac:dyDescent="0.3">
      <c r="A1858" s="169" t="s">
        <v>2032</v>
      </c>
      <c r="B1858" s="171" t="str">
        <f t="shared" ref="B1858:B1921" si="87">IF(NOT(ISBLANK(A1858)),VLOOKUP(A1858,ERM_TABLE_NM,2,FALSE), "")</f>
        <v>D_SECURITIZATION_POOL_MART</v>
      </c>
      <c r="C1858" s="169" t="s">
        <v>1887</v>
      </c>
      <c r="D1858" s="169">
        <v>1008</v>
      </c>
      <c r="E1858" s="169">
        <v>9</v>
      </c>
      <c r="F1858" s="169" t="s">
        <v>1887</v>
      </c>
      <c r="G1858" s="169" t="s">
        <v>1887</v>
      </c>
      <c r="H1858" s="169">
        <v>34</v>
      </c>
      <c r="I1858" s="136" t="str">
        <f t="shared" ref="I1858:I1921" si="88">IF(NOT(ISBLANK(H1858)),VLOOKUP(H1858,ERM_DOMAIN_NM,2,FALSE), "")</f>
        <v>DATE</v>
      </c>
      <c r="J1858" s="169" t="s">
        <v>0</v>
      </c>
      <c r="K1858" s="169" t="s">
        <v>1</v>
      </c>
      <c r="L1858" s="169">
        <v>30</v>
      </c>
      <c r="M1858" s="168"/>
      <c r="N1858" s="168"/>
      <c r="O1858" s="168"/>
      <c r="P1858" s="168"/>
      <c r="Q1858" s="168" t="s">
        <v>0</v>
      </c>
      <c r="R1858" s="168" t="s">
        <v>1</v>
      </c>
      <c r="S1858" s="178" t="str">
        <f t="shared" si="86"/>
        <v>D_SECURITIZATION_POOL_MARTVALIDITY_DATE</v>
      </c>
    </row>
    <row r="1859" spans="1:19" ht="14.4" x14ac:dyDescent="0.3">
      <c r="A1859" s="169" t="s">
        <v>2032</v>
      </c>
      <c r="B1859" s="171" t="str">
        <f t="shared" si="87"/>
        <v>D_SECURITIZATION_POOL_MART</v>
      </c>
      <c r="C1859" s="169" t="s">
        <v>2162</v>
      </c>
      <c r="D1859" s="169">
        <v>1009</v>
      </c>
      <c r="E1859" s="169">
        <v>10</v>
      </c>
      <c r="F1859" s="169" t="s">
        <v>2162</v>
      </c>
      <c r="G1859" s="169" t="s">
        <v>2162</v>
      </c>
      <c r="H1859" s="169">
        <v>46</v>
      </c>
      <c r="I1859" s="136" t="str">
        <f t="shared" si="88"/>
        <v>DECIMAL(7, 4)</v>
      </c>
      <c r="J1859" s="169" t="s">
        <v>0</v>
      </c>
      <c r="K1859" s="169" t="s">
        <v>1</v>
      </c>
      <c r="L1859" s="169">
        <v>30</v>
      </c>
      <c r="M1859" s="168"/>
      <c r="N1859" s="168"/>
      <c r="O1859" s="168"/>
      <c r="P1859" s="168"/>
      <c r="Q1859" s="168" t="s">
        <v>0</v>
      </c>
      <c r="R1859" s="168" t="s">
        <v>1</v>
      </c>
      <c r="S1859" s="178" t="str">
        <f t="shared" ref="S1859:S1922" si="89">CONCATENATE(A1859,C1859)</f>
        <v>D_SECURITIZATION_POOL_MARTWEIGHTED_AVG_LGD_PCT</v>
      </c>
    </row>
    <row r="1860" spans="1:19" ht="14.4" x14ac:dyDescent="0.3">
      <c r="A1860" s="169" t="s">
        <v>1360</v>
      </c>
      <c r="B1860" s="171" t="str">
        <f t="shared" si="87"/>
        <v>D_SEQUENCE</v>
      </c>
      <c r="C1860" s="169" t="s">
        <v>1530</v>
      </c>
      <c r="D1860" s="169">
        <v>1010</v>
      </c>
      <c r="E1860" s="169">
        <v>1</v>
      </c>
      <c r="F1860" s="169" t="s">
        <v>1530</v>
      </c>
      <c r="G1860" s="169" t="s">
        <v>1530</v>
      </c>
      <c r="H1860" s="169">
        <v>13</v>
      </c>
      <c r="I1860" s="136" t="str">
        <f t="shared" si="88"/>
        <v xml:space="preserve">VARCHAR(300) </v>
      </c>
      <c r="J1860" s="169" t="s">
        <v>1</v>
      </c>
      <c r="K1860" s="169" t="s">
        <v>1</v>
      </c>
      <c r="L1860" s="169">
        <v>30</v>
      </c>
      <c r="M1860" s="168"/>
      <c r="N1860" s="168"/>
      <c r="O1860" s="168"/>
      <c r="P1860" s="168"/>
      <c r="Q1860" s="168" t="s">
        <v>0</v>
      </c>
      <c r="R1860" s="168" t="s">
        <v>1</v>
      </c>
      <c r="S1860" s="178" t="str">
        <f t="shared" si="89"/>
        <v>D_SEQUENCESEQUENCE_NM</v>
      </c>
    </row>
    <row r="1861" spans="1:19" ht="14.4" x14ac:dyDescent="0.3">
      <c r="A1861" s="169" t="s">
        <v>1360</v>
      </c>
      <c r="B1861" s="171" t="str">
        <f t="shared" si="87"/>
        <v>D_SEQUENCE</v>
      </c>
      <c r="C1861" s="169" t="s">
        <v>1394</v>
      </c>
      <c r="D1861" s="169">
        <v>1011</v>
      </c>
      <c r="E1861" s="169">
        <v>2</v>
      </c>
      <c r="F1861" s="169" t="s">
        <v>1394</v>
      </c>
      <c r="G1861" s="169" t="s">
        <v>1394</v>
      </c>
      <c r="H1861" s="169">
        <v>7</v>
      </c>
      <c r="I1861" s="136" t="str">
        <f t="shared" si="88"/>
        <v>BIGINT</v>
      </c>
      <c r="J1861" s="169" t="s">
        <v>1</v>
      </c>
      <c r="K1861" s="169" t="s">
        <v>1</v>
      </c>
      <c r="L1861" s="169">
        <v>30</v>
      </c>
      <c r="M1861" s="168"/>
      <c r="N1861" s="168"/>
      <c r="O1861" s="168"/>
      <c r="P1861" s="168"/>
      <c r="Q1861" s="168" t="s">
        <v>0</v>
      </c>
      <c r="R1861" s="168" t="s">
        <v>1</v>
      </c>
      <c r="S1861" s="178" t="str">
        <f t="shared" si="89"/>
        <v>D_SEQUENCESEQUENCE_VAL</v>
      </c>
    </row>
    <row r="1862" spans="1:19" ht="14.4" x14ac:dyDescent="0.3">
      <c r="A1862" s="169" t="s">
        <v>1360</v>
      </c>
      <c r="B1862" s="171" t="str">
        <f t="shared" si="87"/>
        <v>D_SEQUENCE</v>
      </c>
      <c r="C1862" s="169" t="s">
        <v>1520</v>
      </c>
      <c r="D1862" s="169">
        <v>1012</v>
      </c>
      <c r="E1862" s="169">
        <v>3</v>
      </c>
      <c r="F1862" s="169" t="s">
        <v>1520</v>
      </c>
      <c r="G1862" s="169" t="s">
        <v>1520</v>
      </c>
      <c r="H1862" s="169">
        <v>27</v>
      </c>
      <c r="I1862" s="136" t="str">
        <f t="shared" si="88"/>
        <v>INTEGER</v>
      </c>
      <c r="J1862" s="169" t="s">
        <v>1</v>
      </c>
      <c r="K1862" s="169" t="s">
        <v>0</v>
      </c>
      <c r="L1862" s="169">
        <v>30</v>
      </c>
      <c r="M1862" s="168"/>
      <c r="N1862" s="168"/>
      <c r="O1862" s="168"/>
      <c r="P1862" s="168"/>
      <c r="Q1862" s="168" t="s">
        <v>0</v>
      </c>
      <c r="R1862" s="168" t="s">
        <v>1</v>
      </c>
      <c r="S1862" s="178" t="str">
        <f t="shared" si="89"/>
        <v>D_SEQUENCETECH</v>
      </c>
    </row>
    <row r="1863" spans="1:19" ht="14.4" x14ac:dyDescent="0.3">
      <c r="A1863" s="169" t="s">
        <v>1848</v>
      </c>
      <c r="B1863" s="171" t="str">
        <f t="shared" si="87"/>
        <v>D_STG_LOAD_INFO_SYSTEM</v>
      </c>
      <c r="C1863" s="169" t="s">
        <v>1458</v>
      </c>
      <c r="D1863" s="169">
        <v>1013</v>
      </c>
      <c r="E1863" s="169">
        <v>1</v>
      </c>
      <c r="F1863" s="169" t="s">
        <v>1458</v>
      </c>
      <c r="G1863" s="169" t="s">
        <v>1458</v>
      </c>
      <c r="H1863" s="169">
        <v>7</v>
      </c>
      <c r="I1863" s="136" t="str">
        <f t="shared" si="88"/>
        <v>BIGINT</v>
      </c>
      <c r="J1863" s="169" t="s">
        <v>0</v>
      </c>
      <c r="K1863" s="169" t="s">
        <v>0</v>
      </c>
      <c r="L1863" s="169">
        <v>30</v>
      </c>
      <c r="M1863" s="168"/>
      <c r="N1863" s="168"/>
      <c r="O1863" s="168"/>
      <c r="P1863" s="168"/>
      <c r="Q1863" s="168" t="s">
        <v>0</v>
      </c>
      <c r="R1863" s="168" t="s">
        <v>1</v>
      </c>
      <c r="S1863" s="178" t="str">
        <f t="shared" si="89"/>
        <v>D_STG_LOAD_INFO_SYSTEMINFO_SYSTEM_ID</v>
      </c>
    </row>
    <row r="1864" spans="1:19" ht="14.4" x14ac:dyDescent="0.3">
      <c r="A1864" s="169" t="s">
        <v>1848</v>
      </c>
      <c r="B1864" s="171" t="str">
        <f t="shared" si="87"/>
        <v>D_STG_LOAD_INFO_SYSTEM</v>
      </c>
      <c r="C1864" s="169" t="s">
        <v>498</v>
      </c>
      <c r="D1864" s="169">
        <v>1014</v>
      </c>
      <c r="E1864" s="169">
        <v>2</v>
      </c>
      <c r="F1864" s="169" t="s">
        <v>498</v>
      </c>
      <c r="G1864" s="169" t="s">
        <v>498</v>
      </c>
      <c r="H1864" s="169">
        <v>7</v>
      </c>
      <c r="I1864" s="136" t="str">
        <f t="shared" si="88"/>
        <v>BIGINT</v>
      </c>
      <c r="J1864" s="169" t="s">
        <v>0</v>
      </c>
      <c r="K1864" s="169" t="s">
        <v>0</v>
      </c>
      <c r="L1864" s="169">
        <v>30</v>
      </c>
      <c r="M1864" s="168"/>
      <c r="N1864" s="168"/>
      <c r="O1864" s="168"/>
      <c r="P1864" s="168"/>
      <c r="Q1864" s="168" t="s">
        <v>0</v>
      </c>
      <c r="R1864" s="168" t="s">
        <v>1</v>
      </c>
      <c r="S1864" s="178" t="str">
        <f t="shared" si="89"/>
        <v>D_STG_LOAD_INFO_SYSTEMRUN_ID</v>
      </c>
    </row>
    <row r="1865" spans="1:19" ht="14.4" x14ac:dyDescent="0.3">
      <c r="A1865" s="169" t="s">
        <v>1848</v>
      </c>
      <c r="B1865" s="171" t="str">
        <f t="shared" si="87"/>
        <v>D_STG_LOAD_INFO_SYSTEM</v>
      </c>
      <c r="C1865" s="169" t="s">
        <v>527</v>
      </c>
      <c r="D1865" s="169">
        <v>1015</v>
      </c>
      <c r="E1865" s="169">
        <v>3</v>
      </c>
      <c r="F1865" s="169" t="s">
        <v>527</v>
      </c>
      <c r="G1865" s="169" t="s">
        <v>527</v>
      </c>
      <c r="H1865" s="169">
        <v>7</v>
      </c>
      <c r="I1865" s="136" t="str">
        <f t="shared" si="88"/>
        <v>BIGINT</v>
      </c>
      <c r="J1865" s="169" t="s">
        <v>0</v>
      </c>
      <c r="K1865" s="169" t="s">
        <v>0</v>
      </c>
      <c r="L1865" s="169">
        <v>30</v>
      </c>
      <c r="M1865" s="168"/>
      <c r="N1865" s="168"/>
      <c r="O1865" s="168"/>
      <c r="P1865" s="168"/>
      <c r="Q1865" s="168" t="s">
        <v>0</v>
      </c>
      <c r="R1865" s="168" t="s">
        <v>1</v>
      </c>
      <c r="S1865" s="178" t="str">
        <f t="shared" si="89"/>
        <v>D_STG_LOAD_INFO_SYSTEMSRC_SYS_ID</v>
      </c>
    </row>
    <row r="1866" spans="1:19" ht="14.4" x14ac:dyDescent="0.3">
      <c r="A1866" s="169" t="s">
        <v>2053</v>
      </c>
      <c r="B1866" s="171" t="str">
        <f t="shared" si="87"/>
        <v>D_ST_CP_RESULTS</v>
      </c>
      <c r="C1866" s="169" t="s">
        <v>1870</v>
      </c>
      <c r="D1866" s="169">
        <v>1962</v>
      </c>
      <c r="E1866" s="169">
        <v>1</v>
      </c>
      <c r="F1866" s="169" t="s">
        <v>1870</v>
      </c>
      <c r="G1866" s="169" t="s">
        <v>1870</v>
      </c>
      <c r="H1866" s="169">
        <v>45</v>
      </c>
      <c r="I1866" s="136" t="str">
        <f t="shared" si="88"/>
        <v>DECIMAL(15, 0)</v>
      </c>
      <c r="J1866" s="169" t="s">
        <v>0</v>
      </c>
      <c r="K1866" s="169" t="s">
        <v>1</v>
      </c>
      <c r="L1866" s="169">
        <v>30</v>
      </c>
      <c r="M1866" s="168"/>
      <c r="N1866" s="168"/>
      <c r="O1866" s="168"/>
      <c r="P1866" s="168"/>
      <c r="Q1866" s="168" t="s">
        <v>0</v>
      </c>
      <c r="R1866" s="168" t="s">
        <v>1</v>
      </c>
      <c r="S1866" s="178" t="str">
        <f t="shared" si="89"/>
        <v>D_ST_CP_RESULTSCOUNTERPARTY_RK</v>
      </c>
    </row>
    <row r="1867" spans="1:19" ht="14.4" x14ac:dyDescent="0.3">
      <c r="A1867" s="169" t="s">
        <v>2053</v>
      </c>
      <c r="B1867" s="171" t="str">
        <f t="shared" si="87"/>
        <v>D_ST_CP_RESULTS</v>
      </c>
      <c r="C1867" s="169" t="s">
        <v>2103</v>
      </c>
      <c r="D1867" s="169">
        <v>1963</v>
      </c>
      <c r="E1867" s="169">
        <v>2</v>
      </c>
      <c r="F1867" s="169" t="s">
        <v>2103</v>
      </c>
      <c r="G1867" s="169" t="s">
        <v>2103</v>
      </c>
      <c r="H1867" s="169">
        <v>16</v>
      </c>
      <c r="I1867" s="136" t="str">
        <f t="shared" si="88"/>
        <v>DECIMAL(26, 6)</v>
      </c>
      <c r="J1867" s="169" t="s">
        <v>0</v>
      </c>
      <c r="K1867" s="169" t="s">
        <v>1</v>
      </c>
      <c r="L1867" s="169">
        <v>30</v>
      </c>
      <c r="M1867" s="168"/>
      <c r="N1867" s="168"/>
      <c r="O1867" s="168"/>
      <c r="P1867" s="168"/>
      <c r="Q1867" s="168" t="s">
        <v>0</v>
      </c>
      <c r="R1867" s="168" t="s">
        <v>1</v>
      </c>
      <c r="S1867" s="178" t="str">
        <f t="shared" si="89"/>
        <v>D_ST_CP_RESULTSCP_CORR_CALC</v>
      </c>
    </row>
    <row r="1868" spans="1:19" ht="14.4" x14ac:dyDescent="0.3">
      <c r="A1868" s="169" t="s">
        <v>2053</v>
      </c>
      <c r="B1868" s="171" t="str">
        <f t="shared" si="87"/>
        <v>D_ST_CP_RESULTS</v>
      </c>
      <c r="C1868" s="169" t="s">
        <v>2163</v>
      </c>
      <c r="D1868" s="169">
        <v>1964</v>
      </c>
      <c r="E1868" s="169">
        <v>3</v>
      </c>
      <c r="F1868" s="169" t="s">
        <v>2163</v>
      </c>
      <c r="G1868" s="169" t="s">
        <v>2163</v>
      </c>
      <c r="H1868" s="169">
        <v>16</v>
      </c>
      <c r="I1868" s="136" t="str">
        <f t="shared" si="88"/>
        <v>DECIMAL(26, 6)</v>
      </c>
      <c r="J1868" s="169" t="s">
        <v>0</v>
      </c>
      <c r="K1868" s="169" t="s">
        <v>1</v>
      </c>
      <c r="L1868" s="169">
        <v>30</v>
      </c>
      <c r="M1868" s="168"/>
      <c r="N1868" s="168"/>
      <c r="O1868" s="168"/>
      <c r="P1868" s="168"/>
      <c r="Q1868" s="168" t="s">
        <v>0</v>
      </c>
      <c r="R1868" s="168" t="s">
        <v>1</v>
      </c>
      <c r="S1868" s="178" t="str">
        <f t="shared" si="89"/>
        <v>D_ST_CP_RESULTSPD_PIT_STRESS</v>
      </c>
    </row>
    <row r="1869" spans="1:19" ht="14.4" x14ac:dyDescent="0.3">
      <c r="A1869" s="169" t="s">
        <v>2053</v>
      </c>
      <c r="B1869" s="171" t="str">
        <f t="shared" si="87"/>
        <v>D_ST_CP_RESULTS</v>
      </c>
      <c r="C1869" s="169" t="s">
        <v>2073</v>
      </c>
      <c r="D1869" s="169">
        <v>1965</v>
      </c>
      <c r="E1869" s="169">
        <v>4</v>
      </c>
      <c r="F1869" s="169" t="s">
        <v>2073</v>
      </c>
      <c r="G1869" s="169" t="s">
        <v>2073</v>
      </c>
      <c r="H1869" s="169">
        <v>27</v>
      </c>
      <c r="I1869" s="136" t="str">
        <f t="shared" si="88"/>
        <v>INTEGER</v>
      </c>
      <c r="J1869" s="169" t="s">
        <v>0</v>
      </c>
      <c r="K1869" s="169" t="s">
        <v>1</v>
      </c>
      <c r="L1869" s="169">
        <v>30</v>
      </c>
      <c r="M1869" s="168"/>
      <c r="N1869" s="168"/>
      <c r="O1869" s="168"/>
      <c r="P1869" s="168"/>
      <c r="Q1869" s="168" t="s">
        <v>0</v>
      </c>
      <c r="R1869" s="168" t="s">
        <v>1</v>
      </c>
      <c r="S1869" s="178" t="str">
        <f t="shared" si="89"/>
        <v>D_ST_CP_RESULTSPERIOD_ID</v>
      </c>
    </row>
    <row r="1870" spans="1:19" ht="14.4" x14ac:dyDescent="0.3">
      <c r="A1870" s="169" t="s">
        <v>2053</v>
      </c>
      <c r="B1870" s="171" t="str">
        <f t="shared" si="87"/>
        <v>D_ST_CP_RESULTS</v>
      </c>
      <c r="C1870" s="169" t="s">
        <v>2074</v>
      </c>
      <c r="D1870" s="169">
        <v>1966</v>
      </c>
      <c r="E1870" s="169">
        <v>5</v>
      </c>
      <c r="F1870" s="169" t="s">
        <v>2074</v>
      </c>
      <c r="G1870" s="169" t="s">
        <v>2074</v>
      </c>
      <c r="H1870" s="169">
        <v>9</v>
      </c>
      <c r="I1870" s="136" t="str">
        <f t="shared" si="88"/>
        <v xml:space="preserve">CHAR(32) </v>
      </c>
      <c r="J1870" s="169" t="s">
        <v>0</v>
      </c>
      <c r="K1870" s="169" t="s">
        <v>0</v>
      </c>
      <c r="L1870" s="169">
        <v>30</v>
      </c>
      <c r="M1870" s="168"/>
      <c r="N1870" s="168"/>
      <c r="O1870" s="168"/>
      <c r="P1870" s="168"/>
      <c r="Q1870" s="168" t="s">
        <v>0</v>
      </c>
      <c r="R1870" s="168" t="s">
        <v>1</v>
      </c>
      <c r="S1870" s="178" t="str">
        <f t="shared" si="89"/>
        <v>D_ST_CP_RESULTSSCENARIO_ID</v>
      </c>
    </row>
    <row r="1871" spans="1:19" ht="14.4" x14ac:dyDescent="0.3">
      <c r="A1871" s="169" t="s">
        <v>2053</v>
      </c>
      <c r="B1871" s="171" t="str">
        <f t="shared" si="87"/>
        <v>D_ST_CP_RESULTS</v>
      </c>
      <c r="C1871" s="169" t="s">
        <v>2066</v>
      </c>
      <c r="D1871" s="169">
        <v>1967</v>
      </c>
      <c r="E1871" s="169">
        <v>6</v>
      </c>
      <c r="F1871" s="169" t="s">
        <v>2066</v>
      </c>
      <c r="G1871" s="169" t="s">
        <v>2066</v>
      </c>
      <c r="H1871" s="169">
        <v>27</v>
      </c>
      <c r="I1871" s="136" t="str">
        <f t="shared" si="88"/>
        <v>INTEGER</v>
      </c>
      <c r="J1871" s="169" t="s">
        <v>0</v>
      </c>
      <c r="K1871" s="169" t="s">
        <v>1</v>
      </c>
      <c r="L1871" s="169">
        <v>30</v>
      </c>
      <c r="M1871" s="168"/>
      <c r="N1871" s="168"/>
      <c r="O1871" s="168"/>
      <c r="P1871" s="168"/>
      <c r="Q1871" s="168" t="s">
        <v>0</v>
      </c>
      <c r="R1871" s="168" t="s">
        <v>1</v>
      </c>
      <c r="S1871" s="178" t="str">
        <f t="shared" si="89"/>
        <v>D_ST_CP_RESULTSST_SESSION_ID</v>
      </c>
    </row>
    <row r="1872" spans="1:19" ht="14.4" x14ac:dyDescent="0.3">
      <c r="A1872" s="169" t="s">
        <v>2049</v>
      </c>
      <c r="B1872" s="171" t="str">
        <f t="shared" si="87"/>
        <v>D_ST_ECAP_CALC_STATUS</v>
      </c>
      <c r="C1872" s="169" t="s">
        <v>2164</v>
      </c>
      <c r="D1872" s="169">
        <v>1016</v>
      </c>
      <c r="E1872" s="169">
        <v>1</v>
      </c>
      <c r="F1872" s="169" t="s">
        <v>2164</v>
      </c>
      <c r="G1872" s="169" t="s">
        <v>2164</v>
      </c>
      <c r="H1872" s="169">
        <v>27</v>
      </c>
      <c r="I1872" s="136" t="str">
        <f t="shared" si="88"/>
        <v>INTEGER</v>
      </c>
      <c r="J1872" s="169" t="s">
        <v>0</v>
      </c>
      <c r="K1872" s="169" t="s">
        <v>0</v>
      </c>
      <c r="L1872" s="169">
        <v>30</v>
      </c>
      <c r="M1872" s="168"/>
      <c r="N1872" s="168"/>
      <c r="O1872" s="168"/>
      <c r="P1872" s="168"/>
      <c r="Q1872" s="168" t="s">
        <v>0</v>
      </c>
      <c r="R1872" s="168" t="s">
        <v>1</v>
      </c>
      <c r="S1872" s="178" t="str">
        <f t="shared" si="89"/>
        <v>D_ST_ECAP_CALC_STATUSECAP_SESSION_ID</v>
      </c>
    </row>
    <row r="1873" spans="1:19" ht="14.4" x14ac:dyDescent="0.3">
      <c r="A1873" s="169" t="s">
        <v>2049</v>
      </c>
      <c r="B1873" s="171" t="str">
        <f t="shared" si="87"/>
        <v>D_ST_ECAP_CALC_STATUS</v>
      </c>
      <c r="C1873" s="169" t="s">
        <v>2073</v>
      </c>
      <c r="D1873" s="169">
        <v>1017</v>
      </c>
      <c r="E1873" s="169">
        <v>2</v>
      </c>
      <c r="F1873" s="169" t="s">
        <v>2073</v>
      </c>
      <c r="G1873" s="169" t="s">
        <v>2073</v>
      </c>
      <c r="H1873" s="169">
        <v>27</v>
      </c>
      <c r="I1873" s="136" t="str">
        <f t="shared" si="88"/>
        <v>INTEGER</v>
      </c>
      <c r="J1873" s="169" t="s">
        <v>0</v>
      </c>
      <c r="K1873" s="169" t="s">
        <v>1</v>
      </c>
      <c r="L1873" s="169">
        <v>30</v>
      </c>
      <c r="M1873" s="168"/>
      <c r="N1873" s="168"/>
      <c r="O1873" s="168"/>
      <c r="P1873" s="168"/>
      <c r="Q1873" s="168" t="s">
        <v>0</v>
      </c>
      <c r="R1873" s="168" t="s">
        <v>1</v>
      </c>
      <c r="S1873" s="178" t="str">
        <f t="shared" si="89"/>
        <v>D_ST_ECAP_CALC_STATUSPERIOD_ID</v>
      </c>
    </row>
    <row r="1874" spans="1:19" ht="14.4" x14ac:dyDescent="0.3">
      <c r="A1874" s="169" t="s">
        <v>2049</v>
      </c>
      <c r="B1874" s="171" t="str">
        <f t="shared" si="87"/>
        <v>D_ST_ECAP_CALC_STATUS</v>
      </c>
      <c r="C1874" s="169" t="s">
        <v>2074</v>
      </c>
      <c r="D1874" s="169">
        <v>1018</v>
      </c>
      <c r="E1874" s="169">
        <v>3</v>
      </c>
      <c r="F1874" s="169" t="s">
        <v>2074</v>
      </c>
      <c r="G1874" s="169" t="s">
        <v>2074</v>
      </c>
      <c r="H1874" s="169">
        <v>9</v>
      </c>
      <c r="I1874" s="136" t="str">
        <f t="shared" si="88"/>
        <v xml:space="preserve">CHAR(32) </v>
      </c>
      <c r="J1874" s="169" t="s">
        <v>0</v>
      </c>
      <c r="K1874" s="169" t="s">
        <v>1</v>
      </c>
      <c r="L1874" s="169">
        <v>30</v>
      </c>
      <c r="M1874" s="168"/>
      <c r="N1874" s="168"/>
      <c r="O1874" s="168"/>
      <c r="P1874" s="168"/>
      <c r="Q1874" s="168" t="s">
        <v>0</v>
      </c>
      <c r="R1874" s="168" t="s">
        <v>1</v>
      </c>
      <c r="S1874" s="178" t="str">
        <f t="shared" si="89"/>
        <v>D_ST_ECAP_CALC_STATUSSCENARIO_ID</v>
      </c>
    </row>
    <row r="1875" spans="1:19" ht="14.4" x14ac:dyDescent="0.3">
      <c r="A1875" s="169" t="s">
        <v>2049</v>
      </c>
      <c r="B1875" s="171" t="str">
        <f t="shared" si="87"/>
        <v>D_ST_ECAP_CALC_STATUS</v>
      </c>
      <c r="C1875" s="169" t="s">
        <v>2165</v>
      </c>
      <c r="D1875" s="169">
        <v>1019</v>
      </c>
      <c r="E1875" s="169">
        <v>4</v>
      </c>
      <c r="F1875" s="169" t="s">
        <v>2165</v>
      </c>
      <c r="G1875" s="169" t="s">
        <v>2165</v>
      </c>
      <c r="H1875" s="169">
        <v>9</v>
      </c>
      <c r="I1875" s="136" t="str">
        <f t="shared" si="88"/>
        <v xml:space="preserve">CHAR(32) </v>
      </c>
      <c r="J1875" s="169" t="s">
        <v>0</v>
      </c>
      <c r="K1875" s="169" t="s">
        <v>1</v>
      </c>
      <c r="L1875" s="169">
        <v>30</v>
      </c>
      <c r="M1875" s="168"/>
      <c r="N1875" s="168"/>
      <c r="O1875" s="168"/>
      <c r="P1875" s="168"/>
      <c r="Q1875" s="168" t="s">
        <v>0</v>
      </c>
      <c r="R1875" s="168" t="s">
        <v>1</v>
      </c>
      <c r="S1875" s="178" t="str">
        <f t="shared" si="89"/>
        <v>D_ST_ECAP_CALC_STATUSSTATUS</v>
      </c>
    </row>
    <row r="1876" spans="1:19" ht="14.4" x14ac:dyDescent="0.3">
      <c r="A1876" s="169" t="s">
        <v>2049</v>
      </c>
      <c r="B1876" s="171" t="str">
        <f t="shared" si="87"/>
        <v>D_ST_ECAP_CALC_STATUS</v>
      </c>
      <c r="C1876" s="169" t="s">
        <v>2166</v>
      </c>
      <c r="D1876" s="169">
        <v>1020</v>
      </c>
      <c r="E1876" s="169">
        <v>5</v>
      </c>
      <c r="F1876" s="169" t="s">
        <v>2166</v>
      </c>
      <c r="G1876" s="169" t="s">
        <v>2166</v>
      </c>
      <c r="H1876" s="169">
        <v>9</v>
      </c>
      <c r="I1876" s="136" t="str">
        <f t="shared" si="88"/>
        <v xml:space="preserve">CHAR(32) </v>
      </c>
      <c r="J1876" s="169" t="s">
        <v>0</v>
      </c>
      <c r="K1876" s="169" t="s">
        <v>1</v>
      </c>
      <c r="L1876" s="169">
        <v>30</v>
      </c>
      <c r="M1876" s="168"/>
      <c r="N1876" s="168"/>
      <c r="O1876" s="168"/>
      <c r="P1876" s="168"/>
      <c r="Q1876" s="168" t="s">
        <v>0</v>
      </c>
      <c r="R1876" s="168" t="s">
        <v>1</v>
      </c>
      <c r="S1876" s="178" t="str">
        <f t="shared" si="89"/>
        <v>D_ST_ECAP_CALC_STATUSSTATUS_DISP</v>
      </c>
    </row>
    <row r="1877" spans="1:19" ht="14.4" x14ac:dyDescent="0.3">
      <c r="A1877" s="169" t="s">
        <v>2049</v>
      </c>
      <c r="B1877" s="171" t="str">
        <f t="shared" si="87"/>
        <v>D_ST_ECAP_CALC_STATUS</v>
      </c>
      <c r="C1877" s="169" t="s">
        <v>2066</v>
      </c>
      <c r="D1877" s="169">
        <v>1021</v>
      </c>
      <c r="E1877" s="169">
        <v>6</v>
      </c>
      <c r="F1877" s="169" t="s">
        <v>2066</v>
      </c>
      <c r="G1877" s="169" t="s">
        <v>2066</v>
      </c>
      <c r="H1877" s="169">
        <v>27</v>
      </c>
      <c r="I1877" s="136" t="str">
        <f t="shared" si="88"/>
        <v>INTEGER</v>
      </c>
      <c r="J1877" s="169" t="s">
        <v>0</v>
      </c>
      <c r="K1877" s="169" t="s">
        <v>1</v>
      </c>
      <c r="L1877" s="169">
        <v>30</v>
      </c>
      <c r="M1877" s="168"/>
      <c r="N1877" s="168"/>
      <c r="O1877" s="168"/>
      <c r="P1877" s="168"/>
      <c r="Q1877" s="168" t="s">
        <v>0</v>
      </c>
      <c r="R1877" s="168" t="s">
        <v>1</v>
      </c>
      <c r="S1877" s="178" t="str">
        <f t="shared" si="89"/>
        <v>D_ST_ECAP_CALC_STATUSST_SESSION_ID</v>
      </c>
    </row>
    <row r="1878" spans="1:19" ht="14.4" x14ac:dyDescent="0.3">
      <c r="A1878" s="169" t="s">
        <v>2038</v>
      </c>
      <c r="B1878" s="171" t="str">
        <f t="shared" si="87"/>
        <v>D_ST_IND_SEGM_FACTORS</v>
      </c>
      <c r="C1878" s="169" t="s">
        <v>2080</v>
      </c>
      <c r="D1878" s="169">
        <v>1022</v>
      </c>
      <c r="E1878" s="169">
        <v>1</v>
      </c>
      <c r="F1878" s="169" t="s">
        <v>2080</v>
      </c>
      <c r="G1878" s="169" t="s">
        <v>2080</v>
      </c>
      <c r="H1878" s="169">
        <v>27</v>
      </c>
      <c r="I1878" s="136" t="str">
        <f t="shared" si="88"/>
        <v>INTEGER</v>
      </c>
      <c r="J1878" s="169" t="s">
        <v>1</v>
      </c>
      <c r="K1878" s="169" t="s">
        <v>0</v>
      </c>
      <c r="L1878" s="169">
        <v>30</v>
      </c>
      <c r="M1878" s="168"/>
      <c r="N1878" s="168"/>
      <c r="O1878" s="168"/>
      <c r="P1878" s="168"/>
      <c r="Q1878" s="168" t="s">
        <v>0</v>
      </c>
      <c r="R1878" s="168" t="s">
        <v>1</v>
      </c>
      <c r="S1878" s="178" t="str">
        <f t="shared" si="89"/>
        <v>D_ST_IND_SEGM_FACTORSCALC_SESSION_ID</v>
      </c>
    </row>
    <row r="1879" spans="1:19" ht="14.4" x14ac:dyDescent="0.3">
      <c r="A1879" s="169" t="s">
        <v>2038</v>
      </c>
      <c r="B1879" s="171" t="str">
        <f t="shared" si="87"/>
        <v>D_ST_IND_SEGM_FACTORS</v>
      </c>
      <c r="C1879" s="169" t="s">
        <v>2167</v>
      </c>
      <c r="D1879" s="169">
        <v>1023</v>
      </c>
      <c r="E1879" s="169">
        <v>2</v>
      </c>
      <c r="F1879" s="169" t="s">
        <v>2167</v>
      </c>
      <c r="G1879" s="169" t="s">
        <v>2167</v>
      </c>
      <c r="H1879" s="169">
        <v>16</v>
      </c>
      <c r="I1879" s="136" t="str">
        <f t="shared" si="88"/>
        <v>DECIMAL(26, 6)</v>
      </c>
      <c r="J1879" s="169" t="s">
        <v>0</v>
      </c>
      <c r="K1879" s="169" t="s">
        <v>1</v>
      </c>
      <c r="L1879" s="169">
        <v>30</v>
      </c>
      <c r="M1879" s="168"/>
      <c r="N1879" s="168"/>
      <c r="O1879" s="168"/>
      <c r="P1879" s="168"/>
      <c r="Q1879" s="168" t="s">
        <v>0</v>
      </c>
      <c r="R1879" s="168" t="s">
        <v>1</v>
      </c>
      <c r="S1879" s="178" t="str">
        <f t="shared" si="89"/>
        <v>D_ST_IND_SEGM_FACTORSGROWTH_RATE</v>
      </c>
    </row>
    <row r="1880" spans="1:19" ht="14.4" x14ac:dyDescent="0.3">
      <c r="A1880" s="169" t="s">
        <v>2038</v>
      </c>
      <c r="B1880" s="171" t="str">
        <f t="shared" si="87"/>
        <v>D_ST_IND_SEGM_FACTORS</v>
      </c>
      <c r="C1880" s="169" t="s">
        <v>1876</v>
      </c>
      <c r="D1880" s="169">
        <v>1024</v>
      </c>
      <c r="E1880" s="169">
        <v>3</v>
      </c>
      <c r="F1880" s="169" t="s">
        <v>1876</v>
      </c>
      <c r="G1880" s="169" t="s">
        <v>1876</v>
      </c>
      <c r="H1880" s="169">
        <v>42</v>
      </c>
      <c r="I1880" s="136" t="str">
        <f t="shared" si="88"/>
        <v xml:space="preserve">CHAR(10) </v>
      </c>
      <c r="J1880" s="169" t="s">
        <v>0</v>
      </c>
      <c r="K1880" s="169" t="s">
        <v>1</v>
      </c>
      <c r="L1880" s="169">
        <v>30</v>
      </c>
      <c r="M1880" s="168"/>
      <c r="N1880" s="168"/>
      <c r="O1880" s="168"/>
      <c r="P1880" s="168"/>
      <c r="Q1880" s="168" t="s">
        <v>0</v>
      </c>
      <c r="R1880" s="168" t="s">
        <v>1</v>
      </c>
      <c r="S1880" s="178" t="str">
        <f t="shared" si="89"/>
        <v>D_ST_IND_SEGM_FACTORSINDUSTRY</v>
      </c>
    </row>
    <row r="1881" spans="1:19" ht="14.4" x14ac:dyDescent="0.3">
      <c r="A1881" s="169" t="s">
        <v>2038</v>
      </c>
      <c r="B1881" s="171" t="str">
        <f t="shared" si="87"/>
        <v>D_ST_IND_SEGM_FACTORS</v>
      </c>
      <c r="C1881" s="169" t="s">
        <v>2073</v>
      </c>
      <c r="D1881" s="169">
        <v>1025</v>
      </c>
      <c r="E1881" s="169">
        <v>4</v>
      </c>
      <c r="F1881" s="169" t="s">
        <v>2073</v>
      </c>
      <c r="G1881" s="169" t="s">
        <v>2073</v>
      </c>
      <c r="H1881" s="169">
        <v>27</v>
      </c>
      <c r="I1881" s="136" t="str">
        <f t="shared" si="88"/>
        <v>INTEGER</v>
      </c>
      <c r="J1881" s="169" t="s">
        <v>0</v>
      </c>
      <c r="K1881" s="169" t="s">
        <v>1</v>
      </c>
      <c r="L1881" s="169">
        <v>30</v>
      </c>
      <c r="M1881" s="168"/>
      <c r="N1881" s="168"/>
      <c r="O1881" s="168"/>
      <c r="P1881" s="168"/>
      <c r="Q1881" s="168" t="s">
        <v>0</v>
      </c>
      <c r="R1881" s="168" t="s">
        <v>1</v>
      </c>
      <c r="S1881" s="178" t="str">
        <f t="shared" si="89"/>
        <v>D_ST_IND_SEGM_FACTORSPERIOD_ID</v>
      </c>
    </row>
    <row r="1882" spans="1:19" ht="14.4" x14ac:dyDescent="0.3">
      <c r="A1882" s="169" t="s">
        <v>2038</v>
      </c>
      <c r="B1882" s="171" t="str">
        <f t="shared" si="87"/>
        <v>D_ST_IND_SEGM_FACTORS</v>
      </c>
      <c r="C1882" s="169" t="s">
        <v>2074</v>
      </c>
      <c r="D1882" s="169">
        <v>1026</v>
      </c>
      <c r="E1882" s="169">
        <v>5</v>
      </c>
      <c r="F1882" s="169" t="s">
        <v>2074</v>
      </c>
      <c r="G1882" s="169" t="s">
        <v>2074</v>
      </c>
      <c r="H1882" s="169">
        <v>27</v>
      </c>
      <c r="I1882" s="136" t="str">
        <f t="shared" si="88"/>
        <v>INTEGER</v>
      </c>
      <c r="J1882" s="169" t="s">
        <v>0</v>
      </c>
      <c r="K1882" s="169" t="s">
        <v>1</v>
      </c>
      <c r="L1882" s="169">
        <v>30</v>
      </c>
      <c r="M1882" s="168"/>
      <c r="N1882" s="168"/>
      <c r="O1882" s="168"/>
      <c r="P1882" s="168"/>
      <c r="Q1882" s="168" t="s">
        <v>0</v>
      </c>
      <c r="R1882" s="168" t="s">
        <v>1</v>
      </c>
      <c r="S1882" s="178" t="str">
        <f t="shared" si="89"/>
        <v>D_ST_IND_SEGM_FACTORSSCENARIO_ID</v>
      </c>
    </row>
    <row r="1883" spans="1:19" ht="14.4" x14ac:dyDescent="0.3">
      <c r="A1883" s="169" t="s">
        <v>2038</v>
      </c>
      <c r="B1883" s="171" t="str">
        <f t="shared" si="87"/>
        <v>D_ST_IND_SEGM_FACTORS</v>
      </c>
      <c r="C1883" s="169" t="s">
        <v>2168</v>
      </c>
      <c r="D1883" s="169">
        <v>1027</v>
      </c>
      <c r="E1883" s="169">
        <v>6</v>
      </c>
      <c r="F1883" s="169" t="s">
        <v>2168</v>
      </c>
      <c r="G1883" s="169" t="s">
        <v>2168</v>
      </c>
      <c r="H1883" s="169">
        <v>12</v>
      </c>
      <c r="I1883" s="136" t="str">
        <f t="shared" si="88"/>
        <v xml:space="preserve">CHAR(5) </v>
      </c>
      <c r="J1883" s="169" t="s">
        <v>0</v>
      </c>
      <c r="K1883" s="169" t="s">
        <v>1</v>
      </c>
      <c r="L1883" s="169">
        <v>30</v>
      </c>
      <c r="M1883" s="168"/>
      <c r="N1883" s="168"/>
      <c r="O1883" s="168"/>
      <c r="P1883" s="168"/>
      <c r="Q1883" s="168" t="s">
        <v>0</v>
      </c>
      <c r="R1883" s="168" t="s">
        <v>1</v>
      </c>
      <c r="S1883" s="178" t="str">
        <f t="shared" si="89"/>
        <v>D_ST_IND_SEGM_FACTORSSEGMENT</v>
      </c>
    </row>
    <row r="1884" spans="1:19" ht="14.4" x14ac:dyDescent="0.3">
      <c r="A1884" s="169" t="s">
        <v>2043</v>
      </c>
      <c r="B1884" s="171" t="str">
        <f t="shared" si="87"/>
        <v>D_ST_PER_EXPOSURE_RESULTS</v>
      </c>
      <c r="C1884" s="169" t="s">
        <v>2169</v>
      </c>
      <c r="D1884" s="169">
        <v>1968</v>
      </c>
      <c r="E1884" s="169">
        <v>1</v>
      </c>
      <c r="F1884" s="169" t="s">
        <v>2169</v>
      </c>
      <c r="G1884" s="169" t="s">
        <v>2169</v>
      </c>
      <c r="H1884" s="169">
        <v>16</v>
      </c>
      <c r="I1884" s="136" t="str">
        <f t="shared" si="88"/>
        <v>DECIMAL(26, 6)</v>
      </c>
      <c r="J1884" s="169" t="s">
        <v>0</v>
      </c>
      <c r="K1884" s="169" t="s">
        <v>1</v>
      </c>
      <c r="L1884" s="169">
        <v>30</v>
      </c>
      <c r="M1884" s="168"/>
      <c r="N1884" s="168"/>
      <c r="O1884" s="168"/>
      <c r="P1884" s="168"/>
      <c r="Q1884" s="168" t="s">
        <v>0</v>
      </c>
      <c r="R1884" s="168" t="s">
        <v>1</v>
      </c>
      <c r="S1884" s="178" t="str">
        <f t="shared" si="89"/>
        <v>D_ST_PER_EXPOSURE_RESULTSEAD_DEF_T0</v>
      </c>
    </row>
    <row r="1885" spans="1:19" ht="14.4" x14ac:dyDescent="0.3">
      <c r="A1885" s="169" t="s">
        <v>2043</v>
      </c>
      <c r="B1885" s="171" t="str">
        <f t="shared" si="87"/>
        <v>D_ST_PER_EXPOSURE_RESULTS</v>
      </c>
      <c r="C1885" s="169" t="s">
        <v>2170</v>
      </c>
      <c r="D1885" s="169">
        <v>1969</v>
      </c>
      <c r="E1885" s="169">
        <v>2</v>
      </c>
      <c r="F1885" s="169" t="s">
        <v>2170</v>
      </c>
      <c r="G1885" s="169" t="s">
        <v>2170</v>
      </c>
      <c r="H1885" s="169">
        <v>16</v>
      </c>
      <c r="I1885" s="136" t="str">
        <f t="shared" si="88"/>
        <v>DECIMAL(26, 6)</v>
      </c>
      <c r="J1885" s="169" t="s">
        <v>0</v>
      </c>
      <c r="K1885" s="169" t="s">
        <v>1</v>
      </c>
      <c r="L1885" s="169">
        <v>30</v>
      </c>
      <c r="M1885" s="168"/>
      <c r="N1885" s="168"/>
      <c r="O1885" s="168"/>
      <c r="P1885" s="168"/>
      <c r="Q1885" s="168" t="s">
        <v>0</v>
      </c>
      <c r="R1885" s="168" t="s">
        <v>1</v>
      </c>
      <c r="S1885" s="178" t="str">
        <f t="shared" si="89"/>
        <v>D_ST_PER_EXPOSURE_RESULTSEAD_DEF_T1</v>
      </c>
    </row>
    <row r="1886" spans="1:19" ht="14.4" x14ac:dyDescent="0.3">
      <c r="A1886" s="169" t="s">
        <v>2043</v>
      </c>
      <c r="B1886" s="171" t="str">
        <f t="shared" si="87"/>
        <v>D_ST_PER_EXPOSURE_RESULTS</v>
      </c>
      <c r="C1886" s="169" t="s">
        <v>2171</v>
      </c>
      <c r="D1886" s="169">
        <v>1970</v>
      </c>
      <c r="E1886" s="169">
        <v>3</v>
      </c>
      <c r="F1886" s="169" t="s">
        <v>2171</v>
      </c>
      <c r="G1886" s="169" t="s">
        <v>2171</v>
      </c>
      <c r="H1886" s="169">
        <v>16</v>
      </c>
      <c r="I1886" s="136" t="str">
        <f t="shared" si="88"/>
        <v>DECIMAL(26, 6)</v>
      </c>
      <c r="J1886" s="169" t="s">
        <v>0</v>
      </c>
      <c r="K1886" s="169" t="s">
        <v>1</v>
      </c>
      <c r="L1886" s="169">
        <v>30</v>
      </c>
      <c r="M1886" s="168"/>
      <c r="N1886" s="168"/>
      <c r="O1886" s="168"/>
      <c r="P1886" s="168"/>
      <c r="Q1886" s="168" t="s">
        <v>0</v>
      </c>
      <c r="R1886" s="168" t="s">
        <v>1</v>
      </c>
      <c r="S1886" s="178" t="str">
        <f t="shared" si="89"/>
        <v>D_ST_PER_EXPOSURE_RESULTSEAD_HID_DEFAULT</v>
      </c>
    </row>
    <row r="1887" spans="1:19" ht="14.4" x14ac:dyDescent="0.3">
      <c r="A1887" s="169" t="s">
        <v>2043</v>
      </c>
      <c r="B1887" s="171" t="str">
        <f t="shared" si="87"/>
        <v>D_ST_PER_EXPOSURE_RESULTS</v>
      </c>
      <c r="C1887" s="169" t="s">
        <v>2172</v>
      </c>
      <c r="D1887" s="169">
        <v>1971</v>
      </c>
      <c r="E1887" s="169">
        <v>4</v>
      </c>
      <c r="F1887" s="169" t="s">
        <v>2172</v>
      </c>
      <c r="G1887" s="169" t="s">
        <v>2172</v>
      </c>
      <c r="H1887" s="169">
        <v>16</v>
      </c>
      <c r="I1887" s="136" t="str">
        <f t="shared" si="88"/>
        <v>DECIMAL(26, 6)</v>
      </c>
      <c r="J1887" s="169" t="s">
        <v>0</v>
      </c>
      <c r="K1887" s="169" t="s">
        <v>1</v>
      </c>
      <c r="L1887" s="169">
        <v>30</v>
      </c>
      <c r="M1887" s="168"/>
      <c r="N1887" s="168"/>
      <c r="O1887" s="168"/>
      <c r="P1887" s="168"/>
      <c r="Q1887" s="168" t="s">
        <v>0</v>
      </c>
      <c r="R1887" s="168" t="s">
        <v>1</v>
      </c>
      <c r="S1887" s="178" t="str">
        <f t="shared" si="89"/>
        <v>D_ST_PER_EXPOSURE_RESULTSEAD_NONDEF_FRCST</v>
      </c>
    </row>
    <row r="1888" spans="1:19" ht="14.4" x14ac:dyDescent="0.3">
      <c r="A1888" s="169" t="s">
        <v>2043</v>
      </c>
      <c r="B1888" s="171" t="str">
        <f t="shared" si="87"/>
        <v>D_ST_PER_EXPOSURE_RESULTS</v>
      </c>
      <c r="C1888" s="169" t="s">
        <v>2173</v>
      </c>
      <c r="D1888" s="169">
        <v>1972</v>
      </c>
      <c r="E1888" s="169">
        <v>5</v>
      </c>
      <c r="F1888" s="169" t="s">
        <v>2173</v>
      </c>
      <c r="G1888" s="169" t="s">
        <v>2173</v>
      </c>
      <c r="H1888" s="169">
        <v>16</v>
      </c>
      <c r="I1888" s="136" t="str">
        <f t="shared" si="88"/>
        <v>DECIMAL(26, 6)</v>
      </c>
      <c r="J1888" s="169" t="s">
        <v>0</v>
      </c>
      <c r="K1888" s="169" t="s">
        <v>1</v>
      </c>
      <c r="L1888" s="169">
        <v>30</v>
      </c>
      <c r="M1888" s="168"/>
      <c r="N1888" s="168"/>
      <c r="O1888" s="168"/>
      <c r="P1888" s="168"/>
      <c r="Q1888" s="168" t="s">
        <v>0</v>
      </c>
      <c r="R1888" s="168" t="s">
        <v>1</v>
      </c>
      <c r="S1888" s="178" t="str">
        <f t="shared" si="89"/>
        <v>D_ST_PER_EXPOSURE_RESULTSEAD_NONDEF_T0</v>
      </c>
    </row>
    <row r="1889" spans="1:19" ht="14.4" x14ac:dyDescent="0.3">
      <c r="A1889" s="169" t="s">
        <v>2043</v>
      </c>
      <c r="B1889" s="171" t="str">
        <f t="shared" si="87"/>
        <v>D_ST_PER_EXPOSURE_RESULTS</v>
      </c>
      <c r="C1889" s="169" t="s">
        <v>2174</v>
      </c>
      <c r="D1889" s="169">
        <v>1973</v>
      </c>
      <c r="E1889" s="169">
        <v>6</v>
      </c>
      <c r="F1889" s="169" t="s">
        <v>2174</v>
      </c>
      <c r="G1889" s="169" t="s">
        <v>2174</v>
      </c>
      <c r="H1889" s="169">
        <v>16</v>
      </c>
      <c r="I1889" s="136" t="str">
        <f t="shared" si="88"/>
        <v>DECIMAL(26, 6)</v>
      </c>
      <c r="J1889" s="169" t="s">
        <v>0</v>
      </c>
      <c r="K1889" s="169" t="s">
        <v>1</v>
      </c>
      <c r="L1889" s="169">
        <v>30</v>
      </c>
      <c r="M1889" s="168"/>
      <c r="N1889" s="168"/>
      <c r="O1889" s="168"/>
      <c r="P1889" s="168"/>
      <c r="Q1889" s="168" t="s">
        <v>0</v>
      </c>
      <c r="R1889" s="168" t="s">
        <v>1</v>
      </c>
      <c r="S1889" s="178" t="str">
        <f t="shared" si="89"/>
        <v>D_ST_PER_EXPOSURE_RESULTSEAD_NONDEF_T1</v>
      </c>
    </row>
    <row r="1890" spans="1:19" ht="14.4" x14ac:dyDescent="0.3">
      <c r="A1890" s="169" t="s">
        <v>2043</v>
      </c>
      <c r="B1890" s="171" t="str">
        <f t="shared" si="87"/>
        <v>D_ST_PER_EXPOSURE_RESULTS</v>
      </c>
      <c r="C1890" s="169" t="s">
        <v>2175</v>
      </c>
      <c r="D1890" s="169">
        <v>1974</v>
      </c>
      <c r="E1890" s="169">
        <v>7</v>
      </c>
      <c r="F1890" s="169" t="s">
        <v>2175</v>
      </c>
      <c r="G1890" s="169" t="s">
        <v>2175</v>
      </c>
      <c r="H1890" s="169">
        <v>16</v>
      </c>
      <c r="I1890" s="136" t="str">
        <f t="shared" si="88"/>
        <v>DECIMAL(26, 6)</v>
      </c>
      <c r="J1890" s="169" t="s">
        <v>0</v>
      </c>
      <c r="K1890" s="169" t="s">
        <v>1</v>
      </c>
      <c r="L1890" s="169">
        <v>30</v>
      </c>
      <c r="M1890" s="168"/>
      <c r="N1890" s="168"/>
      <c r="O1890" s="168"/>
      <c r="P1890" s="168"/>
      <c r="Q1890" s="168" t="s">
        <v>0</v>
      </c>
      <c r="R1890" s="168" t="s">
        <v>1</v>
      </c>
      <c r="S1890" s="178" t="str">
        <f t="shared" si="89"/>
        <v>D_ST_PER_EXPOSURE_RESULTSEL_BASE</v>
      </c>
    </row>
    <row r="1891" spans="1:19" ht="14.4" x14ac:dyDescent="0.3">
      <c r="A1891" s="169" t="s">
        <v>2043</v>
      </c>
      <c r="B1891" s="171" t="str">
        <f t="shared" si="87"/>
        <v>D_ST_PER_EXPOSURE_RESULTS</v>
      </c>
      <c r="C1891" s="169" t="s">
        <v>2176</v>
      </c>
      <c r="D1891" s="169">
        <v>1975</v>
      </c>
      <c r="E1891" s="169">
        <v>8</v>
      </c>
      <c r="F1891" s="169" t="s">
        <v>2176</v>
      </c>
      <c r="G1891" s="169" t="s">
        <v>2176</v>
      </c>
      <c r="H1891" s="169">
        <v>16</v>
      </c>
      <c r="I1891" s="136" t="str">
        <f t="shared" si="88"/>
        <v>DECIMAL(26, 6)</v>
      </c>
      <c r="J1891" s="169" t="s">
        <v>0</v>
      </c>
      <c r="K1891" s="169" t="s">
        <v>1</v>
      </c>
      <c r="L1891" s="169">
        <v>30</v>
      </c>
      <c r="M1891" s="168"/>
      <c r="N1891" s="168"/>
      <c r="O1891" s="168"/>
      <c r="P1891" s="168"/>
      <c r="Q1891" s="168" t="s">
        <v>0</v>
      </c>
      <c r="R1891" s="168" t="s">
        <v>1</v>
      </c>
      <c r="S1891" s="178" t="str">
        <f t="shared" si="89"/>
        <v>D_ST_PER_EXPOSURE_RESULTSEL_STRESS</v>
      </c>
    </row>
    <row r="1892" spans="1:19" ht="14.4" x14ac:dyDescent="0.3">
      <c r="A1892" s="169" t="s">
        <v>2043</v>
      </c>
      <c r="B1892" s="171" t="str">
        <f t="shared" si="87"/>
        <v>D_ST_PER_EXPOSURE_RESULTS</v>
      </c>
      <c r="C1892" s="169" t="s">
        <v>2081</v>
      </c>
      <c r="D1892" s="169">
        <v>1976</v>
      </c>
      <c r="E1892" s="169">
        <v>9</v>
      </c>
      <c r="F1892" s="169" t="s">
        <v>2081</v>
      </c>
      <c r="G1892" s="169" t="s">
        <v>2081</v>
      </c>
      <c r="H1892" s="169">
        <v>16</v>
      </c>
      <c r="I1892" s="136" t="str">
        <f t="shared" si="88"/>
        <v>DECIMAL(26, 6)</v>
      </c>
      <c r="J1892" s="169" t="s">
        <v>0</v>
      </c>
      <c r="K1892" s="169" t="s">
        <v>1</v>
      </c>
      <c r="L1892" s="169">
        <v>30</v>
      </c>
      <c r="M1892" s="168"/>
      <c r="N1892" s="168"/>
      <c r="O1892" s="168"/>
      <c r="P1892" s="168"/>
      <c r="Q1892" s="168" t="s">
        <v>0</v>
      </c>
      <c r="R1892" s="168" t="s">
        <v>1</v>
      </c>
      <c r="S1892" s="178" t="str">
        <f t="shared" si="89"/>
        <v>D_ST_PER_EXPOSURE_RESULTSEL_T0</v>
      </c>
    </row>
    <row r="1893" spans="1:19" ht="14.4" x14ac:dyDescent="0.3">
      <c r="A1893" s="169" t="s">
        <v>2043</v>
      </c>
      <c r="B1893" s="171" t="str">
        <f t="shared" si="87"/>
        <v>D_ST_PER_EXPOSURE_RESULTS</v>
      </c>
      <c r="C1893" s="169" t="s">
        <v>2177</v>
      </c>
      <c r="D1893" s="169">
        <v>1977</v>
      </c>
      <c r="E1893" s="169">
        <v>10</v>
      </c>
      <c r="F1893" s="169" t="s">
        <v>2177</v>
      </c>
      <c r="G1893" s="169" t="s">
        <v>2177</v>
      </c>
      <c r="H1893" s="169">
        <v>9</v>
      </c>
      <c r="I1893" s="136" t="str">
        <f t="shared" si="88"/>
        <v xml:space="preserve">CHAR(32) </v>
      </c>
      <c r="J1893" s="169" t="s">
        <v>0</v>
      </c>
      <c r="K1893" s="169" t="s">
        <v>1</v>
      </c>
      <c r="L1893" s="169">
        <v>30</v>
      </c>
      <c r="M1893" s="168"/>
      <c r="N1893" s="168"/>
      <c r="O1893" s="168"/>
      <c r="P1893" s="168"/>
      <c r="Q1893" s="168" t="s">
        <v>0</v>
      </c>
      <c r="R1893" s="168" t="s">
        <v>1</v>
      </c>
      <c r="S1893" s="178" t="str">
        <f t="shared" si="89"/>
        <v>D_ST_PER_EXPOSURE_RESULTSINST_ID</v>
      </c>
    </row>
    <row r="1894" spans="1:19" ht="14.4" x14ac:dyDescent="0.3">
      <c r="A1894" s="169" t="s">
        <v>2043</v>
      </c>
      <c r="B1894" s="171" t="str">
        <f t="shared" si="87"/>
        <v>D_ST_PER_EXPOSURE_RESULTS</v>
      </c>
      <c r="C1894" s="169" t="s">
        <v>2178</v>
      </c>
      <c r="D1894" s="169">
        <v>1978</v>
      </c>
      <c r="E1894" s="169">
        <v>11</v>
      </c>
      <c r="F1894" s="169" t="s">
        <v>2178</v>
      </c>
      <c r="G1894" s="169" t="s">
        <v>2178</v>
      </c>
      <c r="H1894" s="169">
        <v>16</v>
      </c>
      <c r="I1894" s="136" t="str">
        <f t="shared" si="88"/>
        <v>DECIMAL(26, 6)</v>
      </c>
      <c r="J1894" s="169" t="s">
        <v>0</v>
      </c>
      <c r="K1894" s="169" t="s">
        <v>1</v>
      </c>
      <c r="L1894" s="169">
        <v>30</v>
      </c>
      <c r="M1894" s="168"/>
      <c r="N1894" s="168"/>
      <c r="O1894" s="168"/>
      <c r="P1894" s="168"/>
      <c r="Q1894" s="168" t="s">
        <v>0</v>
      </c>
      <c r="R1894" s="168" t="s">
        <v>1</v>
      </c>
      <c r="S1894" s="178" t="str">
        <f t="shared" si="89"/>
        <v>D_ST_PER_EXPOSURE_RESULTSLGD_INDEF_STRESS</v>
      </c>
    </row>
    <row r="1895" spans="1:19" ht="14.4" x14ac:dyDescent="0.3">
      <c r="A1895" s="169" t="s">
        <v>2043</v>
      </c>
      <c r="B1895" s="171" t="str">
        <f t="shared" si="87"/>
        <v>D_ST_PER_EXPOSURE_RESULTS</v>
      </c>
      <c r="C1895" s="169" t="s">
        <v>2179</v>
      </c>
      <c r="D1895" s="169">
        <v>1979</v>
      </c>
      <c r="E1895" s="169">
        <v>12</v>
      </c>
      <c r="F1895" s="169" t="s">
        <v>2179</v>
      </c>
      <c r="G1895" s="169" t="s">
        <v>2179</v>
      </c>
      <c r="H1895" s="169">
        <v>16</v>
      </c>
      <c r="I1895" s="136" t="str">
        <f t="shared" si="88"/>
        <v>DECIMAL(26, 6)</v>
      </c>
      <c r="J1895" s="169" t="s">
        <v>0</v>
      </c>
      <c r="K1895" s="169" t="s">
        <v>1</v>
      </c>
      <c r="L1895" s="169">
        <v>30</v>
      </c>
      <c r="M1895" s="168"/>
      <c r="N1895" s="168"/>
      <c r="O1895" s="168"/>
      <c r="P1895" s="168"/>
      <c r="Q1895" s="168" t="s">
        <v>0</v>
      </c>
      <c r="R1895" s="168" t="s">
        <v>1</v>
      </c>
      <c r="S1895" s="178" t="str">
        <f t="shared" si="89"/>
        <v>D_ST_PER_EXPOSURE_RESULTSLGD_LR_STRESS</v>
      </c>
    </row>
    <row r="1896" spans="1:19" ht="14.4" x14ac:dyDescent="0.3">
      <c r="A1896" s="169" t="s">
        <v>2043</v>
      </c>
      <c r="B1896" s="171" t="str">
        <f t="shared" si="87"/>
        <v>D_ST_PER_EXPOSURE_RESULTS</v>
      </c>
      <c r="C1896" s="169" t="s">
        <v>2163</v>
      </c>
      <c r="D1896" s="169">
        <v>1980</v>
      </c>
      <c r="E1896" s="169">
        <v>13</v>
      </c>
      <c r="F1896" s="169" t="s">
        <v>2163</v>
      </c>
      <c r="G1896" s="169" t="s">
        <v>2163</v>
      </c>
      <c r="H1896" s="169">
        <v>16</v>
      </c>
      <c r="I1896" s="136" t="str">
        <f t="shared" si="88"/>
        <v>DECIMAL(26, 6)</v>
      </c>
      <c r="J1896" s="169" t="s">
        <v>0</v>
      </c>
      <c r="K1896" s="169" t="s">
        <v>1</v>
      </c>
      <c r="L1896" s="169">
        <v>30</v>
      </c>
      <c r="M1896" s="168"/>
      <c r="N1896" s="168"/>
      <c r="O1896" s="168"/>
      <c r="P1896" s="168"/>
      <c r="Q1896" s="168" t="s">
        <v>0</v>
      </c>
      <c r="R1896" s="168" t="s">
        <v>1</v>
      </c>
      <c r="S1896" s="178" t="str">
        <f t="shared" si="89"/>
        <v>D_ST_PER_EXPOSURE_RESULTSPD_PIT_STRESS</v>
      </c>
    </row>
    <row r="1897" spans="1:19" ht="14.4" x14ac:dyDescent="0.3">
      <c r="A1897" s="169" t="s">
        <v>2043</v>
      </c>
      <c r="B1897" s="171" t="str">
        <f t="shared" si="87"/>
        <v>D_ST_PER_EXPOSURE_RESULTS</v>
      </c>
      <c r="C1897" s="169" t="s">
        <v>2180</v>
      </c>
      <c r="D1897" s="169">
        <v>1981</v>
      </c>
      <c r="E1897" s="169">
        <v>14</v>
      </c>
      <c r="F1897" s="169" t="s">
        <v>2180</v>
      </c>
      <c r="G1897" s="169" t="s">
        <v>2180</v>
      </c>
      <c r="H1897" s="169">
        <v>16</v>
      </c>
      <c r="I1897" s="136" t="str">
        <f t="shared" si="88"/>
        <v>DECIMAL(26, 6)</v>
      </c>
      <c r="J1897" s="169" t="s">
        <v>0</v>
      </c>
      <c r="K1897" s="169" t="s">
        <v>1</v>
      </c>
      <c r="L1897" s="169">
        <v>30</v>
      </c>
      <c r="M1897" s="168"/>
      <c r="N1897" s="168"/>
      <c r="O1897" s="168"/>
      <c r="P1897" s="168"/>
      <c r="Q1897" s="168" t="s">
        <v>0</v>
      </c>
      <c r="R1897" s="168" t="s">
        <v>1</v>
      </c>
      <c r="S1897" s="178" t="str">
        <f t="shared" si="89"/>
        <v>D_ST_PER_EXPOSURE_RESULTSPERIOD_EL_BASE</v>
      </c>
    </row>
    <row r="1898" spans="1:19" ht="14.4" x14ac:dyDescent="0.3">
      <c r="A1898" s="169" t="s">
        <v>2043</v>
      </c>
      <c r="B1898" s="171" t="str">
        <f t="shared" si="87"/>
        <v>D_ST_PER_EXPOSURE_RESULTS</v>
      </c>
      <c r="C1898" s="169" t="s">
        <v>2181</v>
      </c>
      <c r="D1898" s="169">
        <v>1982</v>
      </c>
      <c r="E1898" s="169">
        <v>15</v>
      </c>
      <c r="F1898" s="169" t="s">
        <v>2181</v>
      </c>
      <c r="G1898" s="169" t="s">
        <v>2181</v>
      </c>
      <c r="H1898" s="169">
        <v>16</v>
      </c>
      <c r="I1898" s="136" t="str">
        <f t="shared" si="88"/>
        <v>DECIMAL(26, 6)</v>
      </c>
      <c r="J1898" s="169" t="s">
        <v>0</v>
      </c>
      <c r="K1898" s="169" t="s">
        <v>1</v>
      </c>
      <c r="L1898" s="169">
        <v>30</v>
      </c>
      <c r="M1898" s="168"/>
      <c r="N1898" s="168"/>
      <c r="O1898" s="168"/>
      <c r="P1898" s="168"/>
      <c r="Q1898" s="168" t="s">
        <v>0</v>
      </c>
      <c r="R1898" s="168" t="s">
        <v>1</v>
      </c>
      <c r="S1898" s="178" t="str">
        <f t="shared" si="89"/>
        <v>D_ST_PER_EXPOSURE_RESULTSPERIOD_EL_STRESS</v>
      </c>
    </row>
    <row r="1899" spans="1:19" ht="14.4" x14ac:dyDescent="0.3">
      <c r="A1899" s="169" t="s">
        <v>2043</v>
      </c>
      <c r="B1899" s="171" t="str">
        <f t="shared" si="87"/>
        <v>D_ST_PER_EXPOSURE_RESULTS</v>
      </c>
      <c r="C1899" s="169" t="s">
        <v>2182</v>
      </c>
      <c r="D1899" s="169">
        <v>1983</v>
      </c>
      <c r="E1899" s="169">
        <v>16</v>
      </c>
      <c r="F1899" s="169" t="s">
        <v>2182</v>
      </c>
      <c r="G1899" s="169" t="s">
        <v>2182</v>
      </c>
      <c r="H1899" s="169">
        <v>16</v>
      </c>
      <c r="I1899" s="136" t="str">
        <f t="shared" si="88"/>
        <v>DECIMAL(26, 6)</v>
      </c>
      <c r="J1899" s="169" t="s">
        <v>0</v>
      </c>
      <c r="K1899" s="169" t="s">
        <v>1</v>
      </c>
      <c r="L1899" s="169">
        <v>30</v>
      </c>
      <c r="M1899" s="168"/>
      <c r="N1899" s="168"/>
      <c r="O1899" s="168"/>
      <c r="P1899" s="168"/>
      <c r="Q1899" s="168" t="s">
        <v>0</v>
      </c>
      <c r="R1899" s="168" t="s">
        <v>1</v>
      </c>
      <c r="S1899" s="178" t="str">
        <f t="shared" si="89"/>
        <v>D_ST_PER_EXPOSURE_RESULTSPERIOD_EL_T0</v>
      </c>
    </row>
    <row r="1900" spans="1:19" ht="14.4" x14ac:dyDescent="0.3">
      <c r="A1900" s="169" t="s">
        <v>2043</v>
      </c>
      <c r="B1900" s="171" t="str">
        <f t="shared" si="87"/>
        <v>D_ST_PER_EXPOSURE_RESULTS</v>
      </c>
      <c r="C1900" s="169" t="s">
        <v>2073</v>
      </c>
      <c r="D1900" s="169">
        <v>1984</v>
      </c>
      <c r="E1900" s="169">
        <v>17</v>
      </c>
      <c r="F1900" s="169" t="s">
        <v>2073</v>
      </c>
      <c r="G1900" s="169" t="s">
        <v>2073</v>
      </c>
      <c r="H1900" s="169">
        <v>27</v>
      </c>
      <c r="I1900" s="136" t="str">
        <f t="shared" si="88"/>
        <v>INTEGER</v>
      </c>
      <c r="J1900" s="169" t="s">
        <v>0</v>
      </c>
      <c r="K1900" s="169" t="s">
        <v>1</v>
      </c>
      <c r="L1900" s="169">
        <v>30</v>
      </c>
      <c r="M1900" s="168"/>
      <c r="N1900" s="168"/>
      <c r="O1900" s="168"/>
      <c r="P1900" s="168"/>
      <c r="Q1900" s="168" t="s">
        <v>0</v>
      </c>
      <c r="R1900" s="168" t="s">
        <v>1</v>
      </c>
      <c r="S1900" s="178" t="str">
        <f t="shared" si="89"/>
        <v>D_ST_PER_EXPOSURE_RESULTSPERIOD_ID</v>
      </c>
    </row>
    <row r="1901" spans="1:19" ht="14.4" x14ac:dyDescent="0.3">
      <c r="A1901" s="169" t="s">
        <v>2043</v>
      </c>
      <c r="B1901" s="171" t="str">
        <f t="shared" si="87"/>
        <v>D_ST_PER_EXPOSURE_RESULTS</v>
      </c>
      <c r="C1901" s="169" t="s">
        <v>2183</v>
      </c>
      <c r="D1901" s="169">
        <v>1985</v>
      </c>
      <c r="E1901" s="169">
        <v>18</v>
      </c>
      <c r="F1901" s="169" t="s">
        <v>2183</v>
      </c>
      <c r="G1901" s="169" t="s">
        <v>2183</v>
      </c>
      <c r="H1901" s="169">
        <v>16</v>
      </c>
      <c r="I1901" s="136" t="str">
        <f t="shared" si="88"/>
        <v>DECIMAL(26, 6)</v>
      </c>
      <c r="J1901" s="169" t="s">
        <v>0</v>
      </c>
      <c r="K1901" s="169" t="s">
        <v>1</v>
      </c>
      <c r="L1901" s="169">
        <v>30</v>
      </c>
      <c r="M1901" s="168"/>
      <c r="N1901" s="168"/>
      <c r="O1901" s="168"/>
      <c r="P1901" s="168"/>
      <c r="Q1901" s="168" t="s">
        <v>0</v>
      </c>
      <c r="R1901" s="168" t="s">
        <v>1</v>
      </c>
      <c r="S1901" s="178" t="str">
        <f t="shared" si="89"/>
        <v>D_ST_PER_EXPOSURE_RESULTSPROVISIONS_BASE</v>
      </c>
    </row>
    <row r="1902" spans="1:19" ht="14.4" x14ac:dyDescent="0.3">
      <c r="A1902" s="169" t="s">
        <v>2043</v>
      </c>
      <c r="B1902" s="171" t="str">
        <f t="shared" si="87"/>
        <v>D_ST_PER_EXPOSURE_RESULTS</v>
      </c>
      <c r="C1902" s="169" t="s">
        <v>2184</v>
      </c>
      <c r="D1902" s="169">
        <v>1986</v>
      </c>
      <c r="E1902" s="169">
        <v>19</v>
      </c>
      <c r="F1902" s="169" t="s">
        <v>2184</v>
      </c>
      <c r="G1902" s="169" t="s">
        <v>2184</v>
      </c>
      <c r="H1902" s="169">
        <v>16</v>
      </c>
      <c r="I1902" s="136" t="str">
        <f t="shared" si="88"/>
        <v>DECIMAL(26, 6)</v>
      </c>
      <c r="J1902" s="169" t="s">
        <v>0</v>
      </c>
      <c r="K1902" s="169" t="s">
        <v>1</v>
      </c>
      <c r="L1902" s="169">
        <v>30</v>
      </c>
      <c r="M1902" s="168"/>
      <c r="N1902" s="168"/>
      <c r="O1902" s="168"/>
      <c r="P1902" s="168"/>
      <c r="Q1902" s="168" t="s">
        <v>0</v>
      </c>
      <c r="R1902" s="168" t="s">
        <v>1</v>
      </c>
      <c r="S1902" s="178" t="str">
        <f t="shared" si="89"/>
        <v>D_ST_PER_EXPOSURE_RESULTSPROVISIONS_STRESS</v>
      </c>
    </row>
    <row r="1903" spans="1:19" ht="14.4" x14ac:dyDescent="0.3">
      <c r="A1903" s="169" t="s">
        <v>2043</v>
      </c>
      <c r="B1903" s="171" t="str">
        <f t="shared" si="87"/>
        <v>D_ST_PER_EXPOSURE_RESULTS</v>
      </c>
      <c r="C1903" s="169" t="s">
        <v>2185</v>
      </c>
      <c r="D1903" s="169">
        <v>1987</v>
      </c>
      <c r="E1903" s="169">
        <v>20</v>
      </c>
      <c r="F1903" s="169" t="s">
        <v>2185</v>
      </c>
      <c r="G1903" s="169" t="s">
        <v>2185</v>
      </c>
      <c r="H1903" s="169">
        <v>16</v>
      </c>
      <c r="I1903" s="136" t="str">
        <f t="shared" si="88"/>
        <v>DECIMAL(26, 6)</v>
      </c>
      <c r="J1903" s="169" t="s">
        <v>0</v>
      </c>
      <c r="K1903" s="169" t="s">
        <v>1</v>
      </c>
      <c r="L1903" s="169">
        <v>30</v>
      </c>
      <c r="M1903" s="168"/>
      <c r="N1903" s="168"/>
      <c r="O1903" s="168"/>
      <c r="P1903" s="168"/>
      <c r="Q1903" s="168" t="s">
        <v>0</v>
      </c>
      <c r="R1903" s="168" t="s">
        <v>1</v>
      </c>
      <c r="S1903" s="178" t="str">
        <f t="shared" si="89"/>
        <v>D_ST_PER_EXPOSURE_RESULTSPROVISIONS_STRESS_DEF</v>
      </c>
    </row>
    <row r="1904" spans="1:19" ht="14.4" x14ac:dyDescent="0.3">
      <c r="A1904" s="169" t="s">
        <v>2043</v>
      </c>
      <c r="B1904" s="171" t="str">
        <f t="shared" si="87"/>
        <v>D_ST_PER_EXPOSURE_RESULTS</v>
      </c>
      <c r="C1904" s="169" t="s">
        <v>2186</v>
      </c>
      <c r="D1904" s="169">
        <v>1988</v>
      </c>
      <c r="E1904" s="169">
        <v>21</v>
      </c>
      <c r="F1904" s="169" t="s">
        <v>2186</v>
      </c>
      <c r="G1904" s="169" t="s">
        <v>2186</v>
      </c>
      <c r="H1904" s="169">
        <v>16</v>
      </c>
      <c r="I1904" s="136" t="str">
        <f t="shared" si="88"/>
        <v>DECIMAL(26, 6)</v>
      </c>
      <c r="J1904" s="169" t="s">
        <v>0</v>
      </c>
      <c r="K1904" s="169" t="s">
        <v>1</v>
      </c>
      <c r="L1904" s="169">
        <v>30</v>
      </c>
      <c r="M1904" s="168"/>
      <c r="N1904" s="168"/>
      <c r="O1904" s="168"/>
      <c r="P1904" s="168"/>
      <c r="Q1904" s="168" t="s">
        <v>0</v>
      </c>
      <c r="R1904" s="168" t="s">
        <v>1</v>
      </c>
      <c r="S1904" s="178" t="str">
        <f t="shared" si="89"/>
        <v>D_ST_PER_EXPOSURE_RESULTSPROVISIONS_STRESS_NDEF</v>
      </c>
    </row>
    <row r="1905" spans="1:19" ht="14.4" x14ac:dyDescent="0.3">
      <c r="A1905" s="169" t="s">
        <v>2043</v>
      </c>
      <c r="B1905" s="171" t="str">
        <f t="shared" si="87"/>
        <v>D_ST_PER_EXPOSURE_RESULTS</v>
      </c>
      <c r="C1905" s="169" t="s">
        <v>2187</v>
      </c>
      <c r="D1905" s="169">
        <v>1989</v>
      </c>
      <c r="E1905" s="169">
        <v>22</v>
      </c>
      <c r="F1905" s="169" t="s">
        <v>2187</v>
      </c>
      <c r="G1905" s="169" t="s">
        <v>2187</v>
      </c>
      <c r="H1905" s="169">
        <v>16</v>
      </c>
      <c r="I1905" s="136" t="str">
        <f t="shared" si="88"/>
        <v>DECIMAL(26, 6)</v>
      </c>
      <c r="J1905" s="169" t="s">
        <v>0</v>
      </c>
      <c r="K1905" s="169" t="s">
        <v>1</v>
      </c>
      <c r="L1905" s="169">
        <v>30</v>
      </c>
      <c r="M1905" s="168"/>
      <c r="N1905" s="168"/>
      <c r="O1905" s="168"/>
      <c r="P1905" s="168"/>
      <c r="Q1905" s="168" t="s">
        <v>0</v>
      </c>
      <c r="R1905" s="168" t="s">
        <v>1</v>
      </c>
      <c r="S1905" s="178" t="str">
        <f t="shared" si="89"/>
        <v>D_ST_PER_EXPOSURE_RESULTSPROVISIONS_T0</v>
      </c>
    </row>
    <row r="1906" spans="1:19" ht="14.4" x14ac:dyDescent="0.3">
      <c r="A1906" s="169" t="s">
        <v>2043</v>
      </c>
      <c r="B1906" s="171" t="str">
        <f t="shared" si="87"/>
        <v>D_ST_PER_EXPOSURE_RESULTS</v>
      </c>
      <c r="C1906" s="169" t="s">
        <v>2074</v>
      </c>
      <c r="D1906" s="169">
        <v>1990</v>
      </c>
      <c r="E1906" s="169">
        <v>23</v>
      </c>
      <c r="F1906" s="169" t="s">
        <v>2074</v>
      </c>
      <c r="G1906" s="169" t="s">
        <v>2074</v>
      </c>
      <c r="H1906" s="169">
        <v>9</v>
      </c>
      <c r="I1906" s="136" t="str">
        <f t="shared" si="88"/>
        <v xml:space="preserve">CHAR(32) </v>
      </c>
      <c r="J1906" s="169" t="s">
        <v>0</v>
      </c>
      <c r="K1906" s="169" t="s">
        <v>1</v>
      </c>
      <c r="L1906" s="169">
        <v>30</v>
      </c>
      <c r="M1906" s="168"/>
      <c r="N1906" s="168"/>
      <c r="O1906" s="168"/>
      <c r="P1906" s="168"/>
      <c r="Q1906" s="168" t="s">
        <v>0</v>
      </c>
      <c r="R1906" s="168" t="s">
        <v>1</v>
      </c>
      <c r="S1906" s="178" t="str">
        <f t="shared" si="89"/>
        <v>D_ST_PER_EXPOSURE_RESULTSSCENARIO_ID</v>
      </c>
    </row>
    <row r="1907" spans="1:19" ht="14.4" x14ac:dyDescent="0.3">
      <c r="A1907" s="169" t="s">
        <v>2043</v>
      </c>
      <c r="B1907" s="171" t="str">
        <f t="shared" si="87"/>
        <v>D_ST_PER_EXPOSURE_RESULTS</v>
      </c>
      <c r="C1907" s="169" t="s">
        <v>2066</v>
      </c>
      <c r="D1907" s="169">
        <v>1991</v>
      </c>
      <c r="E1907" s="169">
        <v>24</v>
      </c>
      <c r="F1907" s="169" t="s">
        <v>2066</v>
      </c>
      <c r="G1907" s="169" t="s">
        <v>2066</v>
      </c>
      <c r="H1907" s="169">
        <v>27</v>
      </c>
      <c r="I1907" s="136" t="str">
        <f t="shared" si="88"/>
        <v>INTEGER</v>
      </c>
      <c r="J1907" s="169" t="s">
        <v>0</v>
      </c>
      <c r="K1907" s="169" t="s">
        <v>0</v>
      </c>
      <c r="L1907" s="169">
        <v>30</v>
      </c>
      <c r="M1907" s="168"/>
      <c r="N1907" s="168"/>
      <c r="O1907" s="168"/>
      <c r="P1907" s="168"/>
      <c r="Q1907" s="168" t="s">
        <v>0</v>
      </c>
      <c r="R1907" s="168" t="s">
        <v>1</v>
      </c>
      <c r="S1907" s="178" t="str">
        <f t="shared" si="89"/>
        <v>D_ST_PER_EXPOSURE_RESULTSST_SESSION_ID</v>
      </c>
    </row>
    <row r="1908" spans="1:19" ht="14.4" x14ac:dyDescent="0.3">
      <c r="A1908" s="169" t="s">
        <v>2042</v>
      </c>
      <c r="B1908" s="171" t="str">
        <f t="shared" si="87"/>
        <v>D_ST_RWA_CALC_STATUS</v>
      </c>
      <c r="C1908" s="169" t="s">
        <v>2073</v>
      </c>
      <c r="D1908" s="169">
        <v>1028</v>
      </c>
      <c r="E1908" s="169">
        <v>1</v>
      </c>
      <c r="F1908" s="169" t="s">
        <v>2073</v>
      </c>
      <c r="G1908" s="169" t="s">
        <v>2073</v>
      </c>
      <c r="H1908" s="169">
        <v>27</v>
      </c>
      <c r="I1908" s="136" t="str">
        <f t="shared" si="88"/>
        <v>INTEGER</v>
      </c>
      <c r="J1908" s="169" t="s">
        <v>0</v>
      </c>
      <c r="K1908" s="169" t="s">
        <v>1</v>
      </c>
      <c r="L1908" s="169">
        <v>30</v>
      </c>
      <c r="M1908" s="168"/>
      <c r="N1908" s="168"/>
      <c r="O1908" s="168"/>
      <c r="P1908" s="168"/>
      <c r="Q1908" s="168" t="s">
        <v>0</v>
      </c>
      <c r="R1908" s="168" t="s">
        <v>1</v>
      </c>
      <c r="S1908" s="178" t="str">
        <f t="shared" si="89"/>
        <v>D_ST_RWA_CALC_STATUSPERIOD_ID</v>
      </c>
    </row>
    <row r="1909" spans="1:19" ht="14.4" x14ac:dyDescent="0.3">
      <c r="A1909" s="169" t="s">
        <v>2042</v>
      </c>
      <c r="B1909" s="171" t="str">
        <f t="shared" si="87"/>
        <v>D_ST_RWA_CALC_STATUS</v>
      </c>
      <c r="C1909" s="169" t="s">
        <v>2188</v>
      </c>
      <c r="D1909" s="169">
        <v>1029</v>
      </c>
      <c r="E1909" s="169">
        <v>2</v>
      </c>
      <c r="F1909" s="169" t="s">
        <v>2188</v>
      </c>
      <c r="G1909" s="169" t="s">
        <v>2188</v>
      </c>
      <c r="H1909" s="169">
        <v>27</v>
      </c>
      <c r="I1909" s="136" t="str">
        <f t="shared" si="88"/>
        <v>INTEGER</v>
      </c>
      <c r="J1909" s="169" t="s">
        <v>0</v>
      </c>
      <c r="K1909" s="169" t="s">
        <v>1</v>
      </c>
      <c r="L1909" s="169">
        <v>30</v>
      </c>
      <c r="M1909" s="168"/>
      <c r="N1909" s="168"/>
      <c r="O1909" s="168"/>
      <c r="P1909" s="168"/>
      <c r="Q1909" s="168" t="s">
        <v>0</v>
      </c>
      <c r="R1909" s="168" t="s">
        <v>1</v>
      </c>
      <c r="S1909" s="178" t="str">
        <f t="shared" si="89"/>
        <v>D_ST_RWA_CALC_STATUSRWA_SESSION_ID</v>
      </c>
    </row>
    <row r="1910" spans="1:19" ht="14.4" x14ac:dyDescent="0.3">
      <c r="A1910" s="169" t="s">
        <v>2042</v>
      </c>
      <c r="B1910" s="171" t="str">
        <f t="shared" si="87"/>
        <v>D_ST_RWA_CALC_STATUS</v>
      </c>
      <c r="C1910" s="169" t="s">
        <v>2074</v>
      </c>
      <c r="D1910" s="169">
        <v>1030</v>
      </c>
      <c r="E1910" s="169">
        <v>3</v>
      </c>
      <c r="F1910" s="169" t="s">
        <v>2074</v>
      </c>
      <c r="G1910" s="169" t="s">
        <v>2074</v>
      </c>
      <c r="H1910" s="169">
        <v>9</v>
      </c>
      <c r="I1910" s="136" t="str">
        <f t="shared" si="88"/>
        <v xml:space="preserve">CHAR(32) </v>
      </c>
      <c r="J1910" s="169" t="s">
        <v>0</v>
      </c>
      <c r="K1910" s="169" t="s">
        <v>0</v>
      </c>
      <c r="L1910" s="169">
        <v>30</v>
      </c>
      <c r="M1910" s="168"/>
      <c r="N1910" s="168"/>
      <c r="O1910" s="168"/>
      <c r="P1910" s="168"/>
      <c r="Q1910" s="168" t="s">
        <v>0</v>
      </c>
      <c r="R1910" s="168" t="s">
        <v>1</v>
      </c>
      <c r="S1910" s="178" t="str">
        <f t="shared" si="89"/>
        <v>D_ST_RWA_CALC_STATUSSCENARIO_ID</v>
      </c>
    </row>
    <row r="1911" spans="1:19" ht="14.4" x14ac:dyDescent="0.3">
      <c r="A1911" s="169" t="s">
        <v>2042</v>
      </c>
      <c r="B1911" s="171" t="str">
        <f t="shared" si="87"/>
        <v>D_ST_RWA_CALC_STATUS</v>
      </c>
      <c r="C1911" s="169" t="s">
        <v>2165</v>
      </c>
      <c r="D1911" s="169">
        <v>1031</v>
      </c>
      <c r="E1911" s="169">
        <v>4</v>
      </c>
      <c r="F1911" s="169" t="s">
        <v>2165</v>
      </c>
      <c r="G1911" s="169" t="s">
        <v>2165</v>
      </c>
      <c r="H1911" s="169">
        <v>9</v>
      </c>
      <c r="I1911" s="136" t="str">
        <f t="shared" si="88"/>
        <v xml:space="preserve">CHAR(32) </v>
      </c>
      <c r="J1911" s="169" t="s">
        <v>0</v>
      </c>
      <c r="K1911" s="169" t="s">
        <v>1</v>
      </c>
      <c r="L1911" s="169">
        <v>30</v>
      </c>
      <c r="M1911" s="168"/>
      <c r="N1911" s="168"/>
      <c r="O1911" s="168"/>
      <c r="P1911" s="168"/>
      <c r="Q1911" s="168" t="s">
        <v>0</v>
      </c>
      <c r="R1911" s="168" t="s">
        <v>1</v>
      </c>
      <c r="S1911" s="178" t="str">
        <f t="shared" si="89"/>
        <v>D_ST_RWA_CALC_STATUSSTATUS</v>
      </c>
    </row>
    <row r="1912" spans="1:19" ht="14.4" x14ac:dyDescent="0.3">
      <c r="A1912" s="169" t="s">
        <v>2042</v>
      </c>
      <c r="B1912" s="171" t="str">
        <f t="shared" si="87"/>
        <v>D_ST_RWA_CALC_STATUS</v>
      </c>
      <c r="C1912" s="169" t="s">
        <v>2166</v>
      </c>
      <c r="D1912" s="169">
        <v>1032</v>
      </c>
      <c r="E1912" s="169">
        <v>5</v>
      </c>
      <c r="F1912" s="169" t="s">
        <v>2166</v>
      </c>
      <c r="G1912" s="169" t="s">
        <v>2166</v>
      </c>
      <c r="H1912" s="169">
        <v>9</v>
      </c>
      <c r="I1912" s="136" t="str">
        <f t="shared" si="88"/>
        <v xml:space="preserve">CHAR(32) </v>
      </c>
      <c r="J1912" s="169" t="s">
        <v>0</v>
      </c>
      <c r="K1912" s="169" t="s">
        <v>1</v>
      </c>
      <c r="L1912" s="169">
        <v>30</v>
      </c>
      <c r="M1912" s="168"/>
      <c r="N1912" s="168"/>
      <c r="O1912" s="168"/>
      <c r="P1912" s="168"/>
      <c r="Q1912" s="168" t="s">
        <v>0</v>
      </c>
      <c r="R1912" s="168" t="s">
        <v>1</v>
      </c>
      <c r="S1912" s="178" t="str">
        <f t="shared" si="89"/>
        <v>D_ST_RWA_CALC_STATUSSTATUS_DISP</v>
      </c>
    </row>
    <row r="1913" spans="1:19" ht="14.4" x14ac:dyDescent="0.3">
      <c r="A1913" s="169" t="s">
        <v>2042</v>
      </c>
      <c r="B1913" s="171" t="str">
        <f t="shared" si="87"/>
        <v>D_ST_RWA_CALC_STATUS</v>
      </c>
      <c r="C1913" s="169" t="s">
        <v>2066</v>
      </c>
      <c r="D1913" s="169">
        <v>1033</v>
      </c>
      <c r="E1913" s="169">
        <v>6</v>
      </c>
      <c r="F1913" s="169" t="s">
        <v>2066</v>
      </c>
      <c r="G1913" s="169" t="s">
        <v>2066</v>
      </c>
      <c r="H1913" s="169">
        <v>27</v>
      </c>
      <c r="I1913" s="136" t="str">
        <f t="shared" si="88"/>
        <v>INTEGER</v>
      </c>
      <c r="J1913" s="169" t="s">
        <v>0</v>
      </c>
      <c r="K1913" s="169" t="s">
        <v>1</v>
      </c>
      <c r="L1913" s="169">
        <v>30</v>
      </c>
      <c r="M1913" s="168"/>
      <c r="N1913" s="168"/>
      <c r="O1913" s="168"/>
      <c r="P1913" s="168"/>
      <c r="Q1913" s="168" t="s">
        <v>0</v>
      </c>
      <c r="R1913" s="168" t="s">
        <v>1</v>
      </c>
      <c r="S1913" s="178" t="str">
        <f t="shared" si="89"/>
        <v>D_ST_RWA_CALC_STATUSST_SESSION_ID</v>
      </c>
    </row>
    <row r="1914" spans="1:19" ht="14.4" x14ac:dyDescent="0.3">
      <c r="A1914" s="169" t="s">
        <v>2028</v>
      </c>
      <c r="B1914" s="171" t="str">
        <f t="shared" si="87"/>
        <v>D_ST_SESSIONS</v>
      </c>
      <c r="C1914" s="169" t="s">
        <v>2089</v>
      </c>
      <c r="D1914" s="169">
        <v>1992</v>
      </c>
      <c r="E1914" s="169">
        <v>1</v>
      </c>
      <c r="F1914" s="169" t="s">
        <v>2089</v>
      </c>
      <c r="G1914" s="169" t="s">
        <v>2089</v>
      </c>
      <c r="H1914" s="169">
        <v>44</v>
      </c>
      <c r="I1914" s="136" t="str">
        <f t="shared" si="88"/>
        <v xml:space="preserve">CHAR(4) </v>
      </c>
      <c r="J1914" s="169" t="s">
        <v>0</v>
      </c>
      <c r="K1914" s="169" t="s">
        <v>1</v>
      </c>
      <c r="L1914" s="169">
        <v>30</v>
      </c>
      <c r="M1914" s="168"/>
      <c r="N1914" s="168"/>
      <c r="O1914" s="168"/>
      <c r="P1914" s="168"/>
      <c r="Q1914" s="168" t="s">
        <v>0</v>
      </c>
      <c r="R1914" s="168" t="s">
        <v>1</v>
      </c>
      <c r="S1914" s="178" t="str">
        <f t="shared" si="89"/>
        <v>D_ST_SESSIONSALLOC_SIMULATIONS</v>
      </c>
    </row>
    <row r="1915" spans="1:19" ht="14.4" x14ac:dyDescent="0.3">
      <c r="A1915" s="169" t="s">
        <v>2028</v>
      </c>
      <c r="B1915" s="171" t="str">
        <f t="shared" si="87"/>
        <v>D_ST_SESSIONS</v>
      </c>
      <c r="C1915" s="169" t="s">
        <v>2090</v>
      </c>
      <c r="D1915" s="169">
        <v>1993</v>
      </c>
      <c r="E1915" s="169">
        <v>2</v>
      </c>
      <c r="F1915" s="169" t="s">
        <v>2090</v>
      </c>
      <c r="G1915" s="169" t="s">
        <v>2090</v>
      </c>
      <c r="H1915" s="169">
        <v>32</v>
      </c>
      <c r="I1915" s="136" t="str">
        <f t="shared" si="88"/>
        <v>BYTEINT</v>
      </c>
      <c r="J1915" s="169" t="s">
        <v>0</v>
      </c>
      <c r="K1915" s="169" t="s">
        <v>1</v>
      </c>
      <c r="L1915" s="169">
        <v>30</v>
      </c>
      <c r="M1915" s="168"/>
      <c r="N1915" s="168"/>
      <c r="O1915" s="168"/>
      <c r="P1915" s="168"/>
      <c r="Q1915" s="168" t="s">
        <v>0</v>
      </c>
      <c r="R1915" s="168" t="s">
        <v>1</v>
      </c>
      <c r="S1915" s="178" t="str">
        <f t="shared" si="89"/>
        <v>D_ST_SESSIONSALLOC_USE_EXP_LOSS</v>
      </c>
    </row>
    <row r="1916" spans="1:19" ht="14.4" x14ac:dyDescent="0.3">
      <c r="A1916" s="169" t="s">
        <v>2028</v>
      </c>
      <c r="B1916" s="171" t="str">
        <f t="shared" si="87"/>
        <v>D_ST_SESSIONS</v>
      </c>
      <c r="C1916" s="169" t="s">
        <v>1963</v>
      </c>
      <c r="D1916" s="169">
        <v>1994</v>
      </c>
      <c r="E1916" s="169">
        <v>3</v>
      </c>
      <c r="F1916" s="169" t="s">
        <v>1963</v>
      </c>
      <c r="G1916" s="169" t="s">
        <v>1963</v>
      </c>
      <c r="H1916" s="169">
        <v>27</v>
      </c>
      <c r="I1916" s="136" t="str">
        <f t="shared" si="88"/>
        <v>INTEGER</v>
      </c>
      <c r="J1916" s="169" t="s">
        <v>0</v>
      </c>
      <c r="K1916" s="169" t="s">
        <v>1</v>
      </c>
      <c r="L1916" s="169">
        <v>30</v>
      </c>
      <c r="M1916" s="168"/>
      <c r="N1916" s="168"/>
      <c r="O1916" s="168"/>
      <c r="P1916" s="168"/>
      <c r="Q1916" s="168" t="s">
        <v>0</v>
      </c>
      <c r="R1916" s="168" t="s">
        <v>1</v>
      </c>
      <c r="S1916" s="178" t="str">
        <f t="shared" si="89"/>
        <v>D_ST_SESSIONSBASE_SCENARIOS</v>
      </c>
    </row>
    <row r="1917" spans="1:19" ht="14.4" x14ac:dyDescent="0.3">
      <c r="A1917" s="169" t="s">
        <v>2028</v>
      </c>
      <c r="B1917" s="171" t="str">
        <f t="shared" si="87"/>
        <v>D_ST_SESSIONS</v>
      </c>
      <c r="C1917" s="169" t="s">
        <v>1964</v>
      </c>
      <c r="D1917" s="169">
        <v>1995</v>
      </c>
      <c r="E1917" s="169">
        <v>4</v>
      </c>
      <c r="F1917" s="169" t="s">
        <v>1964</v>
      </c>
      <c r="G1917" s="169" t="s">
        <v>1964</v>
      </c>
      <c r="H1917" s="169">
        <v>22</v>
      </c>
      <c r="I1917" s="136" t="str">
        <f t="shared" si="88"/>
        <v>TIMESTAMP(6)</v>
      </c>
      <c r="J1917" s="169" t="s">
        <v>0</v>
      </c>
      <c r="K1917" s="169" t="s">
        <v>1</v>
      </c>
      <c r="L1917" s="169">
        <v>30</v>
      </c>
      <c r="M1917" s="168"/>
      <c r="N1917" s="168"/>
      <c r="O1917" s="168"/>
      <c r="P1917" s="168"/>
      <c r="Q1917" s="168" t="s">
        <v>0</v>
      </c>
      <c r="R1917" s="168" t="s">
        <v>1</v>
      </c>
      <c r="S1917" s="178" t="str">
        <f t="shared" si="89"/>
        <v>D_ST_SESSIONSCALCULATION_END</v>
      </c>
    </row>
    <row r="1918" spans="1:19" ht="14.4" x14ac:dyDescent="0.3">
      <c r="A1918" s="169" t="s">
        <v>2028</v>
      </c>
      <c r="B1918" s="171" t="str">
        <f t="shared" si="87"/>
        <v>D_ST_SESSIONS</v>
      </c>
      <c r="C1918" s="169" t="s">
        <v>1965</v>
      </c>
      <c r="D1918" s="169">
        <v>1996</v>
      </c>
      <c r="E1918" s="169">
        <v>5</v>
      </c>
      <c r="F1918" s="169" t="s">
        <v>1965</v>
      </c>
      <c r="G1918" s="169" t="s">
        <v>1965</v>
      </c>
      <c r="H1918" s="169">
        <v>22</v>
      </c>
      <c r="I1918" s="136" t="str">
        <f t="shared" si="88"/>
        <v>TIMESTAMP(6)</v>
      </c>
      <c r="J1918" s="169" t="s">
        <v>0</v>
      </c>
      <c r="K1918" s="169" t="s">
        <v>1</v>
      </c>
      <c r="L1918" s="169">
        <v>30</v>
      </c>
      <c r="M1918" s="168"/>
      <c r="N1918" s="168"/>
      <c r="O1918" s="168"/>
      <c r="P1918" s="168"/>
      <c r="Q1918" s="168" t="s">
        <v>0</v>
      </c>
      <c r="R1918" s="168" t="s">
        <v>1</v>
      </c>
      <c r="S1918" s="178" t="str">
        <f t="shared" si="89"/>
        <v>D_ST_SESSIONSCALCULATION_START</v>
      </c>
    </row>
    <row r="1919" spans="1:19" ht="14.4" x14ac:dyDescent="0.3">
      <c r="A1919" s="169" t="s">
        <v>2028</v>
      </c>
      <c r="B1919" s="171" t="str">
        <f t="shared" si="87"/>
        <v>D_ST_SESSIONS</v>
      </c>
      <c r="C1919" s="169" t="s">
        <v>2016</v>
      </c>
      <c r="D1919" s="169">
        <v>1997</v>
      </c>
      <c r="E1919" s="169">
        <v>6</v>
      </c>
      <c r="F1919" s="169" t="s">
        <v>1949</v>
      </c>
      <c r="G1919" s="169" t="s">
        <v>1949</v>
      </c>
      <c r="H1919" s="169">
        <v>25</v>
      </c>
      <c r="I1919" s="136" t="str">
        <f t="shared" si="88"/>
        <v xml:space="preserve">CHAR(100) </v>
      </c>
      <c r="J1919" s="169" t="s">
        <v>0</v>
      </c>
      <c r="K1919" s="169" t="s">
        <v>1</v>
      </c>
      <c r="L1919" s="169">
        <v>30</v>
      </c>
      <c r="M1919" s="168"/>
      <c r="N1919" s="168"/>
      <c r="O1919" s="168"/>
      <c r="P1919" s="168"/>
      <c r="Q1919" s="168" t="s">
        <v>0</v>
      </c>
      <c r="R1919" s="168" t="s">
        <v>1</v>
      </c>
      <c r="S1919" s="178" t="str">
        <f t="shared" si="89"/>
        <v>D_ST_SESSIONS"COMMENT"</v>
      </c>
    </row>
    <row r="1920" spans="1:19" ht="14.4" x14ac:dyDescent="0.3">
      <c r="A1920" s="169" t="s">
        <v>2028</v>
      </c>
      <c r="B1920" s="171" t="str">
        <f t="shared" si="87"/>
        <v>D_ST_SESSIONS</v>
      </c>
      <c r="C1920" s="169" t="s">
        <v>1950</v>
      </c>
      <c r="D1920" s="169">
        <v>1998</v>
      </c>
      <c r="E1920" s="169">
        <v>7</v>
      </c>
      <c r="F1920" s="169" t="s">
        <v>1950</v>
      </c>
      <c r="G1920" s="169" t="s">
        <v>1950</v>
      </c>
      <c r="H1920" s="169">
        <v>27</v>
      </c>
      <c r="I1920" s="136" t="str">
        <f t="shared" si="88"/>
        <v>INTEGER</v>
      </c>
      <c r="J1920" s="169" t="s">
        <v>0</v>
      </c>
      <c r="K1920" s="169" t="s">
        <v>1</v>
      </c>
      <c r="L1920" s="169">
        <v>30</v>
      </c>
      <c r="M1920" s="168"/>
      <c r="N1920" s="168"/>
      <c r="O1920" s="168"/>
      <c r="P1920" s="168"/>
      <c r="Q1920" s="168" t="s">
        <v>0</v>
      </c>
      <c r="R1920" s="168" t="s">
        <v>1</v>
      </c>
      <c r="S1920" s="178" t="str">
        <f t="shared" si="89"/>
        <v>D_ST_SESSIONSCONFIDENCE_INTERVAL</v>
      </c>
    </row>
    <row r="1921" spans="1:19" ht="14.4" x14ac:dyDescent="0.3">
      <c r="A1921" s="169" t="s">
        <v>2028</v>
      </c>
      <c r="B1921" s="171" t="str">
        <f t="shared" si="87"/>
        <v>D_ST_SESSIONS</v>
      </c>
      <c r="C1921" s="169" t="s">
        <v>2189</v>
      </c>
      <c r="D1921" s="169">
        <v>1999</v>
      </c>
      <c r="E1921" s="169">
        <v>8</v>
      </c>
      <c r="F1921" s="169" t="s">
        <v>2189</v>
      </c>
      <c r="G1921" s="169" t="s">
        <v>2189</v>
      </c>
      <c r="H1921" s="169">
        <v>6</v>
      </c>
      <c r="I1921" s="136" t="str">
        <f t="shared" si="88"/>
        <v>SMALLINT</v>
      </c>
      <c r="J1921" s="169" t="s">
        <v>0</v>
      </c>
      <c r="K1921" s="169" t="s">
        <v>1</v>
      </c>
      <c r="L1921" s="169">
        <v>30</v>
      </c>
      <c r="M1921" s="168"/>
      <c r="N1921" s="168"/>
      <c r="O1921" s="168"/>
      <c r="P1921" s="168"/>
      <c r="Q1921" s="168" t="s">
        <v>0</v>
      </c>
      <c r="R1921" s="168" t="s">
        <v>1</v>
      </c>
      <c r="S1921" s="178" t="str">
        <f t="shared" si="89"/>
        <v>D_ST_SESSIONSECAP_RECALC</v>
      </c>
    </row>
    <row r="1922" spans="1:19" ht="14.4" x14ac:dyDescent="0.3">
      <c r="A1922" s="169" t="s">
        <v>2028</v>
      </c>
      <c r="B1922" s="171" t="str">
        <f t="shared" ref="B1922:B1985" si="90">IF(NOT(ISBLANK(A1922)),VLOOKUP(A1922,ERM_TABLE_NM,2,FALSE), "")</f>
        <v>D_ST_SESSIONS</v>
      </c>
      <c r="C1922" s="169" t="s">
        <v>2091</v>
      </c>
      <c r="D1922" s="169">
        <v>2000</v>
      </c>
      <c r="E1922" s="169">
        <v>9</v>
      </c>
      <c r="F1922" s="169" t="s">
        <v>2091</v>
      </c>
      <c r="G1922" s="169" t="s">
        <v>2091</v>
      </c>
      <c r="H1922" s="169">
        <v>44</v>
      </c>
      <c r="I1922" s="136" t="str">
        <f t="shared" ref="I1922:I1985" si="91">IF(NOT(ISBLANK(H1922)),VLOOKUP(H1922,ERM_DOMAIN_NM,2,FALSE), "")</f>
        <v xml:space="preserve">CHAR(4) </v>
      </c>
      <c r="J1922" s="169" t="s">
        <v>0</v>
      </c>
      <c r="K1922" s="169" t="s">
        <v>1</v>
      </c>
      <c r="L1922" s="169">
        <v>30</v>
      </c>
      <c r="M1922" s="168"/>
      <c r="N1922" s="168"/>
      <c r="O1922" s="168"/>
      <c r="P1922" s="168"/>
      <c r="Q1922" s="168" t="s">
        <v>0</v>
      </c>
      <c r="R1922" s="168" t="s">
        <v>1</v>
      </c>
      <c r="S1922" s="178" t="str">
        <f t="shared" si="89"/>
        <v>D_ST_SESSIONSECAP_SIMULATIONS</v>
      </c>
    </row>
    <row r="1923" spans="1:19" ht="14.4" x14ac:dyDescent="0.3">
      <c r="A1923" s="169" t="s">
        <v>2028</v>
      </c>
      <c r="B1923" s="171" t="str">
        <f t="shared" si="90"/>
        <v>D_ST_SESSIONS</v>
      </c>
      <c r="C1923" s="169" t="s">
        <v>1931</v>
      </c>
      <c r="D1923" s="169">
        <v>2001</v>
      </c>
      <c r="E1923" s="169">
        <v>10</v>
      </c>
      <c r="F1923" s="169" t="s">
        <v>1931</v>
      </c>
      <c r="G1923" s="169" t="s">
        <v>1931</v>
      </c>
      <c r="H1923" s="169">
        <v>9</v>
      </c>
      <c r="I1923" s="136" t="str">
        <f t="shared" si="91"/>
        <v xml:space="preserve">CHAR(32) </v>
      </c>
      <c r="J1923" s="169" t="s">
        <v>0</v>
      </c>
      <c r="K1923" s="169" t="s">
        <v>1</v>
      </c>
      <c r="L1923" s="169">
        <v>30</v>
      </c>
      <c r="M1923" s="168"/>
      <c r="N1923" s="168"/>
      <c r="O1923" s="168"/>
      <c r="P1923" s="168"/>
      <c r="Q1923" s="168" t="s">
        <v>0</v>
      </c>
      <c r="R1923" s="168" t="s">
        <v>1</v>
      </c>
      <c r="S1923" s="178" t="str">
        <f t="shared" ref="S1923:S1986" si="92">CONCATENATE(A1923,C1923)</f>
        <v>D_ST_SESSIONSENTITY_SYSTEM_ID</v>
      </c>
    </row>
    <row r="1924" spans="1:19" ht="14.4" x14ac:dyDescent="0.3">
      <c r="A1924" s="169" t="s">
        <v>2028</v>
      </c>
      <c r="B1924" s="171" t="str">
        <f t="shared" si="90"/>
        <v>D_ST_SESSIONS</v>
      </c>
      <c r="C1924" s="169" t="s">
        <v>1952</v>
      </c>
      <c r="D1924" s="169">
        <v>2002</v>
      </c>
      <c r="E1924" s="169">
        <v>11</v>
      </c>
      <c r="F1924" s="169" t="s">
        <v>1952</v>
      </c>
      <c r="G1924" s="169" t="s">
        <v>1952</v>
      </c>
      <c r="H1924" s="169">
        <v>16</v>
      </c>
      <c r="I1924" s="136" t="str">
        <f t="shared" si="91"/>
        <v>DECIMAL(26, 6)</v>
      </c>
      <c r="J1924" s="169" t="s">
        <v>0</v>
      </c>
      <c r="K1924" s="169" t="s">
        <v>1</v>
      </c>
      <c r="L1924" s="169">
        <v>30</v>
      </c>
      <c r="M1924" s="168"/>
      <c r="N1924" s="168"/>
      <c r="O1924" s="168"/>
      <c r="P1924" s="168"/>
      <c r="Q1924" s="168" t="s">
        <v>0</v>
      </c>
      <c r="R1924" s="168" t="s">
        <v>1</v>
      </c>
      <c r="S1924" s="178" t="str">
        <f t="shared" si="92"/>
        <v>D_ST_SESSIONSEUR_FX_RATE</v>
      </c>
    </row>
    <row r="1925" spans="1:19" ht="14.4" x14ac:dyDescent="0.3">
      <c r="A1925" s="169" t="s">
        <v>2028</v>
      </c>
      <c r="B1925" s="171" t="str">
        <f t="shared" si="90"/>
        <v>D_ST_SESSIONS</v>
      </c>
      <c r="C1925" s="169" t="s">
        <v>1953</v>
      </c>
      <c r="D1925" s="169">
        <v>2003</v>
      </c>
      <c r="E1925" s="169">
        <v>12</v>
      </c>
      <c r="F1925" s="169" t="s">
        <v>1953</v>
      </c>
      <c r="G1925" s="169" t="s">
        <v>1953</v>
      </c>
      <c r="H1925" s="169">
        <v>22</v>
      </c>
      <c r="I1925" s="136" t="str">
        <f t="shared" si="91"/>
        <v>TIMESTAMP(6)</v>
      </c>
      <c r="J1925" s="169" t="s">
        <v>0</v>
      </c>
      <c r="K1925" s="169" t="s">
        <v>1</v>
      </c>
      <c r="L1925" s="169">
        <v>30</v>
      </c>
      <c r="M1925" s="168"/>
      <c r="N1925" s="168"/>
      <c r="O1925" s="168"/>
      <c r="P1925" s="168"/>
      <c r="Q1925" s="168" t="s">
        <v>0</v>
      </c>
      <c r="R1925" s="168" t="s">
        <v>1</v>
      </c>
      <c r="S1925" s="178" t="str">
        <f t="shared" si="92"/>
        <v>D_ST_SESSIONSEXTRACTION_DATETIME</v>
      </c>
    </row>
    <row r="1926" spans="1:19" ht="14.4" x14ac:dyDescent="0.3">
      <c r="A1926" s="169" t="s">
        <v>2028</v>
      </c>
      <c r="B1926" s="171" t="str">
        <f t="shared" si="90"/>
        <v>D_ST_SESSIONS</v>
      </c>
      <c r="C1926" s="169" t="s">
        <v>1971</v>
      </c>
      <c r="D1926" s="169">
        <v>2004</v>
      </c>
      <c r="E1926" s="169">
        <v>13</v>
      </c>
      <c r="F1926" s="169" t="s">
        <v>1971</v>
      </c>
      <c r="G1926" s="169" t="s">
        <v>1971</v>
      </c>
      <c r="H1926" s="169">
        <v>27</v>
      </c>
      <c r="I1926" s="136" t="str">
        <f t="shared" si="91"/>
        <v>INTEGER</v>
      </c>
      <c r="J1926" s="169" t="s">
        <v>0</v>
      </c>
      <c r="K1926" s="169" t="s">
        <v>1</v>
      </c>
      <c r="L1926" s="169">
        <v>30</v>
      </c>
      <c r="M1926" s="168"/>
      <c r="N1926" s="168"/>
      <c r="O1926" s="168"/>
      <c r="P1926" s="168"/>
      <c r="Q1926" s="168" t="s">
        <v>0</v>
      </c>
      <c r="R1926" s="168" t="s">
        <v>1</v>
      </c>
      <c r="S1926" s="178" t="str">
        <f t="shared" si="92"/>
        <v>D_ST_SESSIONSIMPS_SCENARIOS</v>
      </c>
    </row>
    <row r="1927" spans="1:19" ht="14.4" x14ac:dyDescent="0.3">
      <c r="A1927" s="169" t="s">
        <v>2028</v>
      </c>
      <c r="B1927" s="171" t="str">
        <f t="shared" si="90"/>
        <v>D_ST_SESSIONS</v>
      </c>
      <c r="C1927" s="169" t="s">
        <v>1954</v>
      </c>
      <c r="D1927" s="169">
        <v>2005</v>
      </c>
      <c r="E1927" s="169">
        <v>14</v>
      </c>
      <c r="F1927" s="169" t="s">
        <v>1954</v>
      </c>
      <c r="G1927" s="169" t="s">
        <v>1954</v>
      </c>
      <c r="H1927" s="169">
        <v>9</v>
      </c>
      <c r="I1927" s="136" t="str">
        <f t="shared" si="91"/>
        <v xml:space="preserve">CHAR(32) </v>
      </c>
      <c r="J1927" s="169" t="s">
        <v>0</v>
      </c>
      <c r="K1927" s="169" t="s">
        <v>1</v>
      </c>
      <c r="L1927" s="169">
        <v>30</v>
      </c>
      <c r="M1927" s="168"/>
      <c r="N1927" s="168"/>
      <c r="O1927" s="168"/>
      <c r="P1927" s="168"/>
      <c r="Q1927" s="168" t="s">
        <v>0</v>
      </c>
      <c r="R1927" s="168" t="s">
        <v>1</v>
      </c>
      <c r="S1927" s="178" t="str">
        <f t="shared" si="92"/>
        <v>D_ST_SESSIONSLGD_TYPE</v>
      </c>
    </row>
    <row r="1928" spans="1:19" ht="14.4" x14ac:dyDescent="0.3">
      <c r="A1928" s="169" t="s">
        <v>2028</v>
      </c>
      <c r="B1928" s="171" t="str">
        <f t="shared" si="90"/>
        <v>D_ST_SESSIONS</v>
      </c>
      <c r="C1928" s="169" t="s">
        <v>1955</v>
      </c>
      <c r="D1928" s="169">
        <v>2006</v>
      </c>
      <c r="E1928" s="169">
        <v>15</v>
      </c>
      <c r="F1928" s="169" t="s">
        <v>1955</v>
      </c>
      <c r="G1928" s="169" t="s">
        <v>1955</v>
      </c>
      <c r="H1928" s="169">
        <v>6</v>
      </c>
      <c r="I1928" s="136" t="str">
        <f t="shared" si="91"/>
        <v>SMALLINT</v>
      </c>
      <c r="J1928" s="169" t="s">
        <v>0</v>
      </c>
      <c r="K1928" s="169" t="s">
        <v>1</v>
      </c>
      <c r="L1928" s="169">
        <v>30</v>
      </c>
      <c r="M1928" s="168"/>
      <c r="N1928" s="168"/>
      <c r="O1928" s="168"/>
      <c r="P1928" s="168"/>
      <c r="Q1928" s="168" t="s">
        <v>0</v>
      </c>
      <c r="R1928" s="168" t="s">
        <v>1</v>
      </c>
      <c r="S1928" s="178" t="str">
        <f t="shared" si="92"/>
        <v>D_ST_SESSIONSMASTER_CALCULATION</v>
      </c>
    </row>
    <row r="1929" spans="1:19" ht="14.4" x14ac:dyDescent="0.3">
      <c r="A1929" s="169" t="s">
        <v>2028</v>
      </c>
      <c r="B1929" s="171" t="str">
        <f t="shared" si="90"/>
        <v>D_ST_SESSIONS</v>
      </c>
      <c r="C1929" s="169" t="s">
        <v>1972</v>
      </c>
      <c r="D1929" s="169">
        <v>2007</v>
      </c>
      <c r="E1929" s="169">
        <v>16</v>
      </c>
      <c r="F1929" s="169" t="s">
        <v>1972</v>
      </c>
      <c r="G1929" s="169" t="s">
        <v>1972</v>
      </c>
      <c r="H1929" s="169">
        <v>8</v>
      </c>
      <c r="I1929" s="136" t="str">
        <f t="shared" si="91"/>
        <v>DECIMAL(15, 6)</v>
      </c>
      <c r="J1929" s="169" t="s">
        <v>0</v>
      </c>
      <c r="K1929" s="169" t="s">
        <v>1</v>
      </c>
      <c r="L1929" s="169">
        <v>30</v>
      </c>
      <c r="M1929" s="168"/>
      <c r="N1929" s="168"/>
      <c r="O1929" s="168"/>
      <c r="P1929" s="168"/>
      <c r="Q1929" s="168" t="s">
        <v>0</v>
      </c>
      <c r="R1929" s="168" t="s">
        <v>1</v>
      </c>
      <c r="S1929" s="178" t="str">
        <f t="shared" si="92"/>
        <v>D_ST_SESSIONSMIN_ALLOCATION_PERCENTILE</v>
      </c>
    </row>
    <row r="1930" spans="1:19" ht="14.4" x14ac:dyDescent="0.3">
      <c r="A1930" s="169" t="s">
        <v>2028</v>
      </c>
      <c r="B1930" s="171" t="str">
        <f t="shared" si="90"/>
        <v>D_ST_SESSIONS</v>
      </c>
      <c r="C1930" s="169" t="s">
        <v>2092</v>
      </c>
      <c r="D1930" s="169">
        <v>2008</v>
      </c>
      <c r="E1930" s="169">
        <v>17</v>
      </c>
      <c r="F1930" s="169" t="s">
        <v>2092</v>
      </c>
      <c r="G1930" s="169" t="s">
        <v>2092</v>
      </c>
      <c r="H1930" s="169">
        <v>32</v>
      </c>
      <c r="I1930" s="136" t="str">
        <f t="shared" si="91"/>
        <v>BYTEINT</v>
      </c>
      <c r="J1930" s="169" t="s">
        <v>0</v>
      </c>
      <c r="K1930" s="169" t="s">
        <v>1</v>
      </c>
      <c r="L1930" s="169">
        <v>30</v>
      </c>
      <c r="M1930" s="168"/>
      <c r="N1930" s="168"/>
      <c r="O1930" s="168"/>
      <c r="P1930" s="168"/>
      <c r="Q1930" s="168" t="s">
        <v>0</v>
      </c>
      <c r="R1930" s="168" t="s">
        <v>1</v>
      </c>
      <c r="S1930" s="178" t="str">
        <f t="shared" si="92"/>
        <v>D_ST_SESSIONSOLAP_INCLUDE</v>
      </c>
    </row>
    <row r="1931" spans="1:19" ht="14.4" x14ac:dyDescent="0.3">
      <c r="A1931" s="169" t="s">
        <v>2028</v>
      </c>
      <c r="B1931" s="171" t="str">
        <f t="shared" si="90"/>
        <v>D_ST_SESSIONS</v>
      </c>
      <c r="C1931" s="169" t="s">
        <v>2190</v>
      </c>
      <c r="D1931" s="169">
        <v>2009</v>
      </c>
      <c r="E1931" s="169">
        <v>18</v>
      </c>
      <c r="F1931" s="169" t="s">
        <v>2190</v>
      </c>
      <c r="G1931" s="169" t="s">
        <v>2190</v>
      </c>
      <c r="H1931" s="169">
        <v>16</v>
      </c>
      <c r="I1931" s="136" t="str">
        <f t="shared" si="91"/>
        <v>DECIMAL(26, 6)</v>
      </c>
      <c r="J1931" s="169" t="s">
        <v>0</v>
      </c>
      <c r="K1931" s="169" t="s">
        <v>1</v>
      </c>
      <c r="L1931" s="169">
        <v>30</v>
      </c>
      <c r="M1931" s="168"/>
      <c r="N1931" s="168"/>
      <c r="O1931" s="168"/>
      <c r="P1931" s="168"/>
      <c r="Q1931" s="168" t="s">
        <v>0</v>
      </c>
      <c r="R1931" s="168" t="s">
        <v>1</v>
      </c>
      <c r="S1931" s="178" t="str">
        <f t="shared" si="92"/>
        <v>D_ST_SESSIONSPD_THRESHOLD</v>
      </c>
    </row>
    <row r="1932" spans="1:19" ht="14.4" x14ac:dyDescent="0.3">
      <c r="A1932" s="169" t="s">
        <v>2028</v>
      </c>
      <c r="B1932" s="171" t="str">
        <f t="shared" si="90"/>
        <v>D_ST_SESSIONS</v>
      </c>
      <c r="C1932" s="169" t="s">
        <v>1956</v>
      </c>
      <c r="D1932" s="169">
        <v>2010</v>
      </c>
      <c r="E1932" s="169">
        <v>19</v>
      </c>
      <c r="F1932" s="169" t="s">
        <v>1956</v>
      </c>
      <c r="G1932" s="169" t="s">
        <v>1956</v>
      </c>
      <c r="H1932" s="169">
        <v>9</v>
      </c>
      <c r="I1932" s="136" t="str">
        <f t="shared" si="91"/>
        <v xml:space="preserve">CHAR(32) </v>
      </c>
      <c r="J1932" s="169" t="s">
        <v>0</v>
      </c>
      <c r="K1932" s="169" t="s">
        <v>1</v>
      </c>
      <c r="L1932" s="169">
        <v>30</v>
      </c>
      <c r="M1932" s="168"/>
      <c r="N1932" s="168"/>
      <c r="O1932" s="168"/>
      <c r="P1932" s="168"/>
      <c r="Q1932" s="168" t="s">
        <v>0</v>
      </c>
      <c r="R1932" s="168" t="s">
        <v>1</v>
      </c>
      <c r="S1932" s="178" t="str">
        <f t="shared" si="92"/>
        <v>D_ST_SESSIONSPD_TYPE</v>
      </c>
    </row>
    <row r="1933" spans="1:19" ht="14.4" x14ac:dyDescent="0.3">
      <c r="A1933" s="169" t="s">
        <v>2028</v>
      </c>
      <c r="B1933" s="171" t="str">
        <f t="shared" si="90"/>
        <v>D_ST_SESSIONS</v>
      </c>
      <c r="C1933" s="169" t="s">
        <v>1973</v>
      </c>
      <c r="D1933" s="169">
        <v>2011</v>
      </c>
      <c r="E1933" s="169">
        <v>20</v>
      </c>
      <c r="F1933" s="169" t="s">
        <v>1973</v>
      </c>
      <c r="G1933" s="169" t="s">
        <v>1973</v>
      </c>
      <c r="H1933" s="169">
        <v>9</v>
      </c>
      <c r="I1933" s="136" t="str">
        <f t="shared" si="91"/>
        <v xml:space="preserve">CHAR(32) </v>
      </c>
      <c r="J1933" s="169" t="s">
        <v>0</v>
      </c>
      <c r="K1933" s="169" t="s">
        <v>1</v>
      </c>
      <c r="L1933" s="169">
        <v>30</v>
      </c>
      <c r="M1933" s="168"/>
      <c r="N1933" s="168"/>
      <c r="O1933" s="168"/>
      <c r="P1933" s="168"/>
      <c r="Q1933" s="168" t="s">
        <v>0</v>
      </c>
      <c r="R1933" s="168" t="s">
        <v>1</v>
      </c>
      <c r="S1933" s="178" t="str">
        <f t="shared" si="92"/>
        <v>D_ST_SESSIONSPRIMARY_SIGNIF_LEVEL</v>
      </c>
    </row>
    <row r="1934" spans="1:19" ht="14.4" x14ac:dyDescent="0.3">
      <c r="A1934" s="169" t="s">
        <v>2028</v>
      </c>
      <c r="B1934" s="171" t="str">
        <f t="shared" si="90"/>
        <v>D_ST_SESSIONS</v>
      </c>
      <c r="C1934" s="169" t="s">
        <v>1958</v>
      </c>
      <c r="D1934" s="169">
        <v>2012</v>
      </c>
      <c r="E1934" s="169">
        <v>21</v>
      </c>
      <c r="F1934" s="169" t="s">
        <v>1958</v>
      </c>
      <c r="G1934" s="169" t="s">
        <v>1958</v>
      </c>
      <c r="H1934" s="169">
        <v>6</v>
      </c>
      <c r="I1934" s="136" t="str">
        <f t="shared" si="91"/>
        <v>SMALLINT</v>
      </c>
      <c r="J1934" s="169" t="s">
        <v>0</v>
      </c>
      <c r="K1934" s="169" t="s">
        <v>1</v>
      </c>
      <c r="L1934" s="169">
        <v>30</v>
      </c>
      <c r="M1934" s="168"/>
      <c r="N1934" s="168"/>
      <c r="O1934" s="168"/>
      <c r="P1934" s="168"/>
      <c r="Q1934" s="168" t="s">
        <v>0</v>
      </c>
      <c r="R1934" s="168" t="s">
        <v>1</v>
      </c>
      <c r="S1934" s="178" t="str">
        <f t="shared" si="92"/>
        <v>D_ST_SESSIONSREG_PRIORITY</v>
      </c>
    </row>
    <row r="1935" spans="1:19" ht="14.4" x14ac:dyDescent="0.3">
      <c r="A1935" s="169" t="s">
        <v>2028</v>
      </c>
      <c r="B1935" s="171" t="str">
        <f t="shared" si="90"/>
        <v>D_ST_SESSIONS</v>
      </c>
      <c r="C1935" s="169" t="s">
        <v>2191</v>
      </c>
      <c r="D1935" s="169">
        <v>2013</v>
      </c>
      <c r="E1935" s="169">
        <v>22</v>
      </c>
      <c r="F1935" s="169" t="s">
        <v>2191</v>
      </c>
      <c r="G1935" s="169" t="s">
        <v>2191</v>
      </c>
      <c r="H1935" s="169">
        <v>6</v>
      </c>
      <c r="I1935" s="136" t="str">
        <f t="shared" si="91"/>
        <v>SMALLINT</v>
      </c>
      <c r="J1935" s="169" t="s">
        <v>0</v>
      </c>
      <c r="K1935" s="169" t="s">
        <v>1</v>
      </c>
      <c r="L1935" s="169">
        <v>30</v>
      </c>
      <c r="M1935" s="168"/>
      <c r="N1935" s="168"/>
      <c r="O1935" s="168"/>
      <c r="P1935" s="168"/>
      <c r="Q1935" s="168" t="s">
        <v>0</v>
      </c>
      <c r="R1935" s="168" t="s">
        <v>1</v>
      </c>
      <c r="S1935" s="178" t="str">
        <f t="shared" si="92"/>
        <v>D_ST_SESSIONSRWA_RECALC</v>
      </c>
    </row>
    <row r="1936" spans="1:19" ht="14.4" x14ac:dyDescent="0.3">
      <c r="A1936" s="169" t="s">
        <v>2028</v>
      </c>
      <c r="B1936" s="171" t="str">
        <f t="shared" si="90"/>
        <v>D_ST_SESSIONS</v>
      </c>
      <c r="C1936" s="169" t="s">
        <v>520</v>
      </c>
      <c r="D1936" s="169">
        <v>2014</v>
      </c>
      <c r="E1936" s="169">
        <v>23</v>
      </c>
      <c r="F1936" s="169" t="s">
        <v>520</v>
      </c>
      <c r="G1936" s="169" t="s">
        <v>520</v>
      </c>
      <c r="H1936" s="169">
        <v>27</v>
      </c>
      <c r="I1936" s="136" t="str">
        <f t="shared" si="91"/>
        <v>INTEGER</v>
      </c>
      <c r="J1936" s="169" t="s">
        <v>0</v>
      </c>
      <c r="K1936" s="169" t="s">
        <v>0</v>
      </c>
      <c r="L1936" s="169">
        <v>30</v>
      </c>
      <c r="M1936" s="168"/>
      <c r="N1936" s="168"/>
      <c r="O1936" s="168"/>
      <c r="P1936" s="168"/>
      <c r="Q1936" s="168" t="s">
        <v>0</v>
      </c>
      <c r="R1936" s="168" t="s">
        <v>1</v>
      </c>
      <c r="S1936" s="178" t="str">
        <f t="shared" si="92"/>
        <v>D_ST_SESSIONSSESSION_ID</v>
      </c>
    </row>
    <row r="1937" spans="1:19" ht="14.4" x14ac:dyDescent="0.3">
      <c r="A1937" s="169" t="s">
        <v>2028</v>
      </c>
      <c r="B1937" s="171" t="str">
        <f t="shared" si="90"/>
        <v>D_ST_SESSIONS</v>
      </c>
      <c r="C1937" s="169" t="s">
        <v>522</v>
      </c>
      <c r="D1937" s="169">
        <v>2015</v>
      </c>
      <c r="E1937" s="169">
        <v>24</v>
      </c>
      <c r="F1937" s="169" t="s">
        <v>522</v>
      </c>
      <c r="G1937" s="169" t="s">
        <v>522</v>
      </c>
      <c r="H1937" s="169">
        <v>9</v>
      </c>
      <c r="I1937" s="136" t="str">
        <f t="shared" si="91"/>
        <v xml:space="preserve">CHAR(32) </v>
      </c>
      <c r="J1937" s="169" t="s">
        <v>0</v>
      </c>
      <c r="K1937" s="169" t="s">
        <v>1</v>
      </c>
      <c r="L1937" s="169">
        <v>30</v>
      </c>
      <c r="M1937" s="168"/>
      <c r="N1937" s="168"/>
      <c r="O1937" s="168"/>
      <c r="P1937" s="168"/>
      <c r="Q1937" s="168" t="s">
        <v>0</v>
      </c>
      <c r="R1937" s="168" t="s">
        <v>1</v>
      </c>
      <c r="S1937" s="178" t="str">
        <f t="shared" si="92"/>
        <v>D_ST_SESSIONSSESSION_NAME</v>
      </c>
    </row>
    <row r="1938" spans="1:19" ht="14.4" x14ac:dyDescent="0.3">
      <c r="A1938" s="169" t="s">
        <v>2028</v>
      </c>
      <c r="B1938" s="171" t="str">
        <f t="shared" si="90"/>
        <v>D_ST_SESSIONS</v>
      </c>
      <c r="C1938" s="169" t="s">
        <v>1959</v>
      </c>
      <c r="D1938" s="169">
        <v>2016</v>
      </c>
      <c r="E1938" s="169">
        <v>25</v>
      </c>
      <c r="F1938" s="169" t="s">
        <v>1959</v>
      </c>
      <c r="G1938" s="169" t="s">
        <v>1959</v>
      </c>
      <c r="H1938" s="169">
        <v>9</v>
      </c>
      <c r="I1938" s="136" t="str">
        <f t="shared" si="91"/>
        <v xml:space="preserve">CHAR(32) </v>
      </c>
      <c r="J1938" s="169" t="s">
        <v>0</v>
      </c>
      <c r="K1938" s="169" t="s">
        <v>1</v>
      </c>
      <c r="L1938" s="169">
        <v>30</v>
      </c>
      <c r="M1938" s="168"/>
      <c r="N1938" s="168"/>
      <c r="O1938" s="168"/>
      <c r="P1938" s="168"/>
      <c r="Q1938" s="168" t="s">
        <v>0</v>
      </c>
      <c r="R1938" s="168" t="s">
        <v>1</v>
      </c>
      <c r="S1938" s="178" t="str">
        <f t="shared" si="92"/>
        <v>D_ST_SESSIONSSL_CALC_TYPE</v>
      </c>
    </row>
    <row r="1939" spans="1:19" ht="14.4" x14ac:dyDescent="0.3">
      <c r="A1939" s="169" t="s">
        <v>2028</v>
      </c>
      <c r="B1939" s="171" t="str">
        <f t="shared" si="90"/>
        <v>D_ST_SESSIONS</v>
      </c>
      <c r="C1939" s="169" t="s">
        <v>1976</v>
      </c>
      <c r="D1939" s="169">
        <v>2017</v>
      </c>
      <c r="E1939" s="169">
        <v>26</v>
      </c>
      <c r="F1939" s="169" t="s">
        <v>1976</v>
      </c>
      <c r="G1939" s="169" t="s">
        <v>1976</v>
      </c>
      <c r="H1939" s="169">
        <v>9</v>
      </c>
      <c r="I1939" s="136" t="str">
        <f t="shared" si="91"/>
        <v xml:space="preserve">CHAR(32) </v>
      </c>
      <c r="J1939" s="169" t="s">
        <v>0</v>
      </c>
      <c r="K1939" s="169" t="s">
        <v>1</v>
      </c>
      <c r="L1939" s="169">
        <v>30</v>
      </c>
      <c r="M1939" s="168"/>
      <c r="N1939" s="168"/>
      <c r="O1939" s="168"/>
      <c r="P1939" s="168"/>
      <c r="Q1939" s="168" t="s">
        <v>0</v>
      </c>
      <c r="R1939" s="168" t="s">
        <v>1</v>
      </c>
      <c r="S1939" s="178" t="str">
        <f t="shared" si="92"/>
        <v>D_ST_SESSIONSUSERNAME</v>
      </c>
    </row>
    <row r="1940" spans="1:19" ht="14.4" x14ac:dyDescent="0.3">
      <c r="A1940" s="169" t="s">
        <v>2028</v>
      </c>
      <c r="B1940" s="171" t="str">
        <f t="shared" si="90"/>
        <v>D_ST_SESSIONS</v>
      </c>
      <c r="C1940" s="169" t="s">
        <v>2096</v>
      </c>
      <c r="D1940" s="169">
        <v>2018</v>
      </c>
      <c r="E1940" s="169">
        <v>27</v>
      </c>
      <c r="F1940" s="169" t="s">
        <v>2096</v>
      </c>
      <c r="G1940" s="169" t="s">
        <v>2096</v>
      </c>
      <c r="H1940" s="169">
        <v>32</v>
      </c>
      <c r="I1940" s="136" t="str">
        <f t="shared" si="91"/>
        <v>BYTEINT</v>
      </c>
      <c r="J1940" s="169" t="s">
        <v>0</v>
      </c>
      <c r="K1940" s="169" t="s">
        <v>1</v>
      </c>
      <c r="L1940" s="169">
        <v>30</v>
      </c>
      <c r="M1940" s="168"/>
      <c r="N1940" s="168"/>
      <c r="O1940" s="168"/>
      <c r="P1940" s="168"/>
      <c r="Q1940" s="168" t="s">
        <v>0</v>
      </c>
      <c r="R1940" s="168" t="s">
        <v>1</v>
      </c>
      <c r="S1940" s="178" t="str">
        <f t="shared" si="92"/>
        <v>D_ST_SESSIONSUSE_IN_REP_FLG</v>
      </c>
    </row>
    <row r="1941" spans="1:19" ht="14.4" x14ac:dyDescent="0.3">
      <c r="A1941" s="169" t="s">
        <v>2028</v>
      </c>
      <c r="B1941" s="171" t="str">
        <f t="shared" si="90"/>
        <v>D_ST_SESSIONS</v>
      </c>
      <c r="C1941" s="169" t="s">
        <v>1887</v>
      </c>
      <c r="D1941" s="169">
        <v>2019</v>
      </c>
      <c r="E1941" s="169">
        <v>28</v>
      </c>
      <c r="F1941" s="169" t="s">
        <v>1887</v>
      </c>
      <c r="G1941" s="169" t="s">
        <v>1887</v>
      </c>
      <c r="H1941" s="169">
        <v>34</v>
      </c>
      <c r="I1941" s="136" t="str">
        <f t="shared" si="91"/>
        <v>DATE</v>
      </c>
      <c r="J1941" s="169" t="s">
        <v>0</v>
      </c>
      <c r="K1941" s="169" t="s">
        <v>1</v>
      </c>
      <c r="L1941" s="169">
        <v>30</v>
      </c>
      <c r="M1941" s="168"/>
      <c r="N1941" s="168"/>
      <c r="O1941" s="168"/>
      <c r="P1941" s="168"/>
      <c r="Q1941" s="168" t="s">
        <v>0</v>
      </c>
      <c r="R1941" s="168" t="s">
        <v>1</v>
      </c>
      <c r="S1941" s="178" t="str">
        <f t="shared" si="92"/>
        <v>D_ST_SESSIONSVALIDITY_DATE</v>
      </c>
    </row>
    <row r="1942" spans="1:19" ht="14.4" x14ac:dyDescent="0.3">
      <c r="A1942" s="169" t="s">
        <v>1332</v>
      </c>
      <c r="B1942" s="171" t="str">
        <f t="shared" si="90"/>
        <v>D_TEST_LOG</v>
      </c>
      <c r="C1942" s="169" t="s">
        <v>1441</v>
      </c>
      <c r="D1942" s="169">
        <v>2020</v>
      </c>
      <c r="E1942" s="169">
        <v>1</v>
      </c>
      <c r="F1942" s="169" t="s">
        <v>1441</v>
      </c>
      <c r="G1942" s="169" t="s">
        <v>1441</v>
      </c>
      <c r="H1942" s="169">
        <v>13</v>
      </c>
      <c r="I1942" s="136" t="str">
        <f t="shared" si="91"/>
        <v xml:space="preserve">VARCHAR(300) </v>
      </c>
      <c r="J1942" s="169" t="s">
        <v>1</v>
      </c>
      <c r="K1942" s="169" t="s">
        <v>1</v>
      </c>
      <c r="L1942" s="169">
        <v>30</v>
      </c>
      <c r="M1942" s="168"/>
      <c r="N1942" s="168"/>
      <c r="O1942" s="168"/>
      <c r="P1942" s="168"/>
      <c r="Q1942" s="168" t="s">
        <v>0</v>
      </c>
      <c r="R1942" s="168" t="s">
        <v>1</v>
      </c>
      <c r="S1942" s="178" t="str">
        <f t="shared" si="92"/>
        <v>D_TEST_LOGEVENT_CD</v>
      </c>
    </row>
    <row r="1943" spans="1:19" ht="14.4" x14ac:dyDescent="0.3">
      <c r="A1943" s="169" t="s">
        <v>1332</v>
      </c>
      <c r="B1943" s="171" t="str">
        <f t="shared" si="90"/>
        <v>D_TEST_LOG</v>
      </c>
      <c r="C1943" s="169" t="s">
        <v>1557</v>
      </c>
      <c r="D1943" s="169">
        <v>2021</v>
      </c>
      <c r="E1943" s="169">
        <v>2</v>
      </c>
      <c r="F1943" s="169" t="s">
        <v>1557</v>
      </c>
      <c r="G1943" s="169" t="s">
        <v>1557</v>
      </c>
      <c r="H1943" s="169">
        <v>19</v>
      </c>
      <c r="I1943" s="136" t="str">
        <f t="shared" si="91"/>
        <v xml:space="preserve">VARCHAR(1000) </v>
      </c>
      <c r="J1943" s="169" t="s">
        <v>0</v>
      </c>
      <c r="K1943" s="169" t="s">
        <v>1</v>
      </c>
      <c r="L1943" s="169">
        <v>30</v>
      </c>
      <c r="M1943" s="168"/>
      <c r="N1943" s="168"/>
      <c r="O1943" s="168"/>
      <c r="P1943" s="168"/>
      <c r="Q1943" s="168" t="s">
        <v>0</v>
      </c>
      <c r="R1943" s="168" t="s">
        <v>1</v>
      </c>
      <c r="S1943" s="178" t="str">
        <f t="shared" si="92"/>
        <v>D_TEST_LOGMSG</v>
      </c>
    </row>
    <row r="1944" spans="1:19" ht="14.4" x14ac:dyDescent="0.3">
      <c r="A1944" s="169" t="s">
        <v>1332</v>
      </c>
      <c r="B1944" s="171" t="str">
        <f t="shared" si="90"/>
        <v>D_TEST_LOG</v>
      </c>
      <c r="C1944" s="169" t="s">
        <v>440</v>
      </c>
      <c r="D1944" s="169">
        <v>2022</v>
      </c>
      <c r="E1944" s="169">
        <v>3</v>
      </c>
      <c r="F1944" s="169" t="s">
        <v>440</v>
      </c>
      <c r="G1944" s="169" t="s">
        <v>440</v>
      </c>
      <c r="H1944" s="169">
        <v>22</v>
      </c>
      <c r="I1944" s="136" t="str">
        <f t="shared" si="91"/>
        <v>TIMESTAMP(6)</v>
      </c>
      <c r="J1944" s="169" t="s">
        <v>1</v>
      </c>
      <c r="K1944" s="169" t="s">
        <v>1</v>
      </c>
      <c r="L1944" s="169">
        <v>30</v>
      </c>
      <c r="M1944" s="168"/>
      <c r="N1944" s="168"/>
      <c r="O1944" s="168"/>
      <c r="P1944" s="168"/>
      <c r="Q1944" s="168" t="s">
        <v>0</v>
      </c>
      <c r="R1944" s="168" t="s">
        <v>1</v>
      </c>
      <c r="S1944" s="178" t="str">
        <f t="shared" si="92"/>
        <v>D_TEST_LOGRECORD_CREATE_TS</v>
      </c>
    </row>
    <row r="1945" spans="1:19" ht="14.4" x14ac:dyDescent="0.3">
      <c r="A1945" s="169" t="s">
        <v>1332</v>
      </c>
      <c r="B1945" s="171" t="str">
        <f t="shared" si="90"/>
        <v>D_TEST_LOG</v>
      </c>
      <c r="C1945" s="169" t="s">
        <v>1548</v>
      </c>
      <c r="D1945" s="169">
        <v>2023</v>
      </c>
      <c r="E1945" s="169">
        <v>4</v>
      </c>
      <c r="F1945" s="169" t="s">
        <v>1548</v>
      </c>
      <c r="G1945" s="169" t="s">
        <v>1548</v>
      </c>
      <c r="H1945" s="169">
        <v>13</v>
      </c>
      <c r="I1945" s="136" t="str">
        <f t="shared" si="91"/>
        <v xml:space="preserve">VARCHAR(300) </v>
      </c>
      <c r="J1945" s="169" t="s">
        <v>0</v>
      </c>
      <c r="K1945" s="169" t="s">
        <v>1</v>
      </c>
      <c r="L1945" s="169">
        <v>30</v>
      </c>
      <c r="M1945" s="168"/>
      <c r="N1945" s="168"/>
      <c r="O1945" s="168"/>
      <c r="P1945" s="168"/>
      <c r="Q1945" s="168" t="s">
        <v>0</v>
      </c>
      <c r="R1945" s="168" t="s">
        <v>1</v>
      </c>
      <c r="S1945" s="178" t="str">
        <f t="shared" si="92"/>
        <v>D_TEST_LOGTEST_CD</v>
      </c>
    </row>
    <row r="1946" spans="1:19" ht="14.4" x14ac:dyDescent="0.3">
      <c r="A1946" s="169" t="s">
        <v>1332</v>
      </c>
      <c r="B1946" s="171" t="str">
        <f t="shared" si="90"/>
        <v>D_TEST_LOG</v>
      </c>
      <c r="C1946" s="169" t="s">
        <v>1416</v>
      </c>
      <c r="D1946" s="169">
        <v>2024</v>
      </c>
      <c r="E1946" s="169">
        <v>5</v>
      </c>
      <c r="F1946" s="169" t="s">
        <v>1416</v>
      </c>
      <c r="G1946" s="169" t="s">
        <v>1416</v>
      </c>
      <c r="H1946" s="169">
        <v>7</v>
      </c>
      <c r="I1946" s="136" t="str">
        <f t="shared" si="91"/>
        <v>BIGINT</v>
      </c>
      <c r="J1946" s="169" t="s">
        <v>1</v>
      </c>
      <c r="K1946" s="169" t="s">
        <v>0</v>
      </c>
      <c r="L1946" s="169">
        <v>30</v>
      </c>
      <c r="M1946" s="168"/>
      <c r="N1946" s="168"/>
      <c r="O1946" s="168"/>
      <c r="P1946" s="168"/>
      <c r="Q1946" s="168" t="s">
        <v>0</v>
      </c>
      <c r="R1946" s="168" t="s">
        <v>1</v>
      </c>
      <c r="S1946" s="178" t="str">
        <f t="shared" si="92"/>
        <v>D_TEST_LOGTEST_LOG_ID</v>
      </c>
    </row>
    <row r="1947" spans="1:19" ht="14.4" x14ac:dyDescent="0.3">
      <c r="A1947" s="169" t="s">
        <v>1332</v>
      </c>
      <c r="B1947" s="171" t="str">
        <f t="shared" si="90"/>
        <v>D_TEST_LOG</v>
      </c>
      <c r="C1947" s="169" t="s">
        <v>1535</v>
      </c>
      <c r="D1947" s="169">
        <v>2025</v>
      </c>
      <c r="E1947" s="169">
        <v>6</v>
      </c>
      <c r="F1947" s="169" t="s">
        <v>1535</v>
      </c>
      <c r="G1947" s="169" t="s">
        <v>1535</v>
      </c>
      <c r="H1947" s="169">
        <v>13</v>
      </c>
      <c r="I1947" s="136" t="str">
        <f t="shared" si="91"/>
        <v xml:space="preserve">VARCHAR(300) </v>
      </c>
      <c r="J1947" s="169" t="s">
        <v>0</v>
      </c>
      <c r="K1947" s="169" t="s">
        <v>1</v>
      </c>
      <c r="L1947" s="169">
        <v>30</v>
      </c>
      <c r="M1947" s="168"/>
      <c r="N1947" s="168"/>
      <c r="O1947" s="168"/>
      <c r="P1947" s="168"/>
      <c r="Q1947" s="168" t="s">
        <v>0</v>
      </c>
      <c r="R1947" s="168" t="s">
        <v>1</v>
      </c>
      <c r="S1947" s="178" t="str">
        <f t="shared" si="92"/>
        <v>D_TEST_LOGTEST_NM</v>
      </c>
    </row>
    <row r="1948" spans="1:19" ht="14.4" x14ac:dyDescent="0.3">
      <c r="A1948" s="169" t="s">
        <v>1332</v>
      </c>
      <c r="B1948" s="171" t="str">
        <f t="shared" si="90"/>
        <v>D_TEST_LOG</v>
      </c>
      <c r="C1948" s="169" t="s">
        <v>1402</v>
      </c>
      <c r="D1948" s="169">
        <v>2026</v>
      </c>
      <c r="E1948" s="169">
        <v>7</v>
      </c>
      <c r="F1948" s="169" t="s">
        <v>1402</v>
      </c>
      <c r="G1948" s="169" t="s">
        <v>1402</v>
      </c>
      <c r="H1948" s="169">
        <v>7</v>
      </c>
      <c r="I1948" s="136" t="str">
        <f t="shared" si="91"/>
        <v>BIGINT</v>
      </c>
      <c r="J1948" s="169" t="s">
        <v>1</v>
      </c>
      <c r="K1948" s="169" t="s">
        <v>1</v>
      </c>
      <c r="L1948" s="169">
        <v>30</v>
      </c>
      <c r="M1948" s="168"/>
      <c r="N1948" s="168"/>
      <c r="O1948" s="168"/>
      <c r="P1948" s="168"/>
      <c r="Q1948" s="168" t="s">
        <v>0</v>
      </c>
      <c r="R1948" s="168" t="s">
        <v>1</v>
      </c>
      <c r="S1948" s="178" t="str">
        <f t="shared" si="92"/>
        <v>D_TEST_LOGTEST_RUN_ID</v>
      </c>
    </row>
    <row r="1949" spans="1:19" ht="14.4" x14ac:dyDescent="0.3">
      <c r="A1949" s="169" t="s">
        <v>1361</v>
      </c>
      <c r="B1949" s="171" t="str">
        <f t="shared" si="90"/>
        <v>S071ABCDEF0001_DOCS_HEADER</v>
      </c>
      <c r="C1949" s="169" t="s">
        <v>1378</v>
      </c>
      <c r="D1949" s="169">
        <v>1034</v>
      </c>
      <c r="E1949" s="169">
        <v>1</v>
      </c>
      <c r="F1949" s="169" t="s">
        <v>1378</v>
      </c>
      <c r="G1949" s="169" t="s">
        <v>1378</v>
      </c>
      <c r="H1949" s="169">
        <v>22</v>
      </c>
      <c r="I1949" s="136" t="str">
        <f t="shared" si="91"/>
        <v>TIMESTAMP(6)</v>
      </c>
      <c r="J1949" s="169" t="s">
        <v>0</v>
      </c>
      <c r="K1949" s="169" t="s">
        <v>1</v>
      </c>
      <c r="L1949" s="169">
        <v>30</v>
      </c>
      <c r="M1949" s="168"/>
      <c r="N1949" s="168"/>
      <c r="O1949" s="168"/>
      <c r="P1949" s="168"/>
      <c r="Q1949" s="168" t="s">
        <v>0</v>
      </c>
      <c r="R1949" s="168" t="s">
        <v>1</v>
      </c>
      <c r="S1949" s="178" t="str">
        <f t="shared" si="92"/>
        <v>S071ABCDEF0001_DOCS_HEADERCREATE_DATE</v>
      </c>
    </row>
    <row r="1950" spans="1:19" ht="14.4" x14ac:dyDescent="0.3">
      <c r="A1950" s="169" t="s">
        <v>1361</v>
      </c>
      <c r="B1950" s="171" t="str">
        <f t="shared" si="90"/>
        <v>S071ABCDEF0001_DOCS_HEADER</v>
      </c>
      <c r="C1950" s="169" t="s">
        <v>1512</v>
      </c>
      <c r="D1950" s="169">
        <v>1035</v>
      </c>
      <c r="E1950" s="169">
        <v>2</v>
      </c>
      <c r="F1950" s="169" t="s">
        <v>1512</v>
      </c>
      <c r="G1950" s="169" t="s">
        <v>1512</v>
      </c>
      <c r="H1950" s="169">
        <v>24</v>
      </c>
      <c r="I1950" s="136" t="str">
        <f t="shared" si="91"/>
        <v xml:space="preserve">VARCHAR(40) </v>
      </c>
      <c r="J1950" s="169" t="s">
        <v>0</v>
      </c>
      <c r="K1950" s="169" t="s">
        <v>1</v>
      </c>
      <c r="L1950" s="169">
        <v>30</v>
      </c>
      <c r="M1950" s="168"/>
      <c r="N1950" s="168"/>
      <c r="O1950" s="168"/>
      <c r="P1950" s="168"/>
      <c r="Q1950" s="168" t="s">
        <v>0</v>
      </c>
      <c r="R1950" s="168" t="s">
        <v>1</v>
      </c>
      <c r="S1950" s="178" t="str">
        <f t="shared" si="92"/>
        <v>S071ABCDEF0001_DOCS_HEADERDEALID</v>
      </c>
    </row>
    <row r="1951" spans="1:19" ht="14.4" x14ac:dyDescent="0.3">
      <c r="A1951" s="169" t="s">
        <v>1361</v>
      </c>
      <c r="B1951" s="171" t="str">
        <f t="shared" si="90"/>
        <v>S071ABCDEF0001_DOCS_HEADER</v>
      </c>
      <c r="C1951" s="169" t="s">
        <v>1604</v>
      </c>
      <c r="D1951" s="169">
        <v>1036</v>
      </c>
      <c r="E1951" s="169">
        <v>3</v>
      </c>
      <c r="F1951" s="169" t="s">
        <v>1604</v>
      </c>
      <c r="G1951" s="169" t="s">
        <v>1604</v>
      </c>
      <c r="H1951" s="169">
        <v>24</v>
      </c>
      <c r="I1951" s="136" t="str">
        <f t="shared" si="91"/>
        <v xml:space="preserve">VARCHAR(40) </v>
      </c>
      <c r="J1951" s="169" t="s">
        <v>0</v>
      </c>
      <c r="K1951" s="169" t="s">
        <v>1</v>
      </c>
      <c r="L1951" s="169">
        <v>30</v>
      </c>
      <c r="M1951" s="168"/>
      <c r="N1951" s="168"/>
      <c r="O1951" s="168"/>
      <c r="P1951" s="168"/>
      <c r="Q1951" s="168" t="s">
        <v>0</v>
      </c>
      <c r="R1951" s="168" t="s">
        <v>1</v>
      </c>
      <c r="S1951" s="178" t="str">
        <f t="shared" si="92"/>
        <v>S071ABCDEF0001_DOCS_HEADERDIVID</v>
      </c>
    </row>
    <row r="1952" spans="1:19" ht="14.4" x14ac:dyDescent="0.3">
      <c r="A1952" s="169" t="s">
        <v>1361</v>
      </c>
      <c r="B1952" s="171" t="str">
        <f t="shared" si="90"/>
        <v>S071ABCDEF0001_DOCS_HEADER</v>
      </c>
      <c r="C1952" s="169" t="s">
        <v>1500</v>
      </c>
      <c r="D1952" s="169">
        <v>1037</v>
      </c>
      <c r="E1952" s="169">
        <v>4</v>
      </c>
      <c r="F1952" s="169" t="s">
        <v>1500</v>
      </c>
      <c r="G1952" s="169" t="s">
        <v>1500</v>
      </c>
      <c r="H1952" s="169">
        <v>6</v>
      </c>
      <c r="I1952" s="136" t="str">
        <f t="shared" si="91"/>
        <v>SMALLINT</v>
      </c>
      <c r="J1952" s="169" t="s">
        <v>0</v>
      </c>
      <c r="K1952" s="169" t="s">
        <v>1</v>
      </c>
      <c r="L1952" s="169">
        <v>30</v>
      </c>
      <c r="M1952" s="168"/>
      <c r="N1952" s="168"/>
      <c r="O1952" s="168"/>
      <c r="P1952" s="168"/>
      <c r="Q1952" s="168" t="s">
        <v>0</v>
      </c>
      <c r="R1952" s="168" t="s">
        <v>1</v>
      </c>
      <c r="S1952" s="178" t="str">
        <f t="shared" si="92"/>
        <v>S071ABCDEF0001_DOCS_HEADERDOCS_PERIOD</v>
      </c>
    </row>
    <row r="1953" spans="1:19" ht="14.4" x14ac:dyDescent="0.3">
      <c r="A1953" s="169" t="s">
        <v>1361</v>
      </c>
      <c r="B1953" s="171" t="str">
        <f t="shared" si="90"/>
        <v>S071ABCDEF0001_DOCS_HEADER</v>
      </c>
      <c r="C1953" s="169" t="s">
        <v>1591</v>
      </c>
      <c r="D1953" s="169">
        <v>1045</v>
      </c>
      <c r="E1953" s="169">
        <v>5</v>
      </c>
      <c r="F1953" s="169" t="s">
        <v>1591</v>
      </c>
      <c r="G1953" s="169" t="s">
        <v>1591</v>
      </c>
      <c r="H1953" s="169">
        <v>18</v>
      </c>
      <c r="I1953" s="136" t="str">
        <f t="shared" si="91"/>
        <v>DECIMAL(38, 0)</v>
      </c>
      <c r="J1953" s="169" t="s">
        <v>0</v>
      </c>
      <c r="K1953" s="169" t="s">
        <v>1</v>
      </c>
      <c r="L1953" s="169">
        <v>30</v>
      </c>
      <c r="M1953" s="168"/>
      <c r="N1953" s="168"/>
      <c r="O1953" s="168"/>
      <c r="P1953" s="168"/>
      <c r="Q1953" s="168" t="s">
        <v>0</v>
      </c>
      <c r="R1953" s="168" t="s">
        <v>1</v>
      </c>
      <c r="S1953" s="178" t="str">
        <f t="shared" si="92"/>
        <v>S071ABCDEF0001_DOCS_HEADERDOCS_STATUS</v>
      </c>
    </row>
    <row r="1954" spans="1:19" ht="14.4" x14ac:dyDescent="0.3">
      <c r="A1954" s="169" t="s">
        <v>1361</v>
      </c>
      <c r="B1954" s="171" t="str">
        <f t="shared" si="90"/>
        <v>S071ABCDEF0001_DOCS_HEADER</v>
      </c>
      <c r="C1954" s="169" t="s">
        <v>1485</v>
      </c>
      <c r="D1954" s="169">
        <v>1046</v>
      </c>
      <c r="E1954" s="169">
        <v>6</v>
      </c>
      <c r="F1954" s="169" t="s">
        <v>1485</v>
      </c>
      <c r="G1954" s="169" t="s">
        <v>1485</v>
      </c>
      <c r="H1954" s="169">
        <v>19</v>
      </c>
      <c r="I1954" s="136" t="str">
        <f t="shared" si="91"/>
        <v xml:space="preserve">VARCHAR(1000) </v>
      </c>
      <c r="J1954" s="169" t="s">
        <v>0</v>
      </c>
      <c r="K1954" s="169" t="s">
        <v>1</v>
      </c>
      <c r="L1954" s="169">
        <v>30</v>
      </c>
      <c r="M1954" s="168"/>
      <c r="N1954" s="168"/>
      <c r="O1954" s="168"/>
      <c r="P1954" s="168"/>
      <c r="Q1954" s="168" t="s">
        <v>0</v>
      </c>
      <c r="R1954" s="168" t="s">
        <v>1</v>
      </c>
      <c r="S1954" s="178" t="str">
        <f t="shared" si="92"/>
        <v>S071ABCDEF0001_DOCS_HEADERDOCS_TITLE</v>
      </c>
    </row>
    <row r="1955" spans="1:19" ht="14.4" x14ac:dyDescent="0.3">
      <c r="A1955" s="169" t="s">
        <v>1361</v>
      </c>
      <c r="B1955" s="171" t="str">
        <f t="shared" si="90"/>
        <v>S071ABCDEF0001_DOCS_HEADER</v>
      </c>
      <c r="C1955" s="169" t="s">
        <v>1580</v>
      </c>
      <c r="D1955" s="169">
        <v>1047</v>
      </c>
      <c r="E1955" s="169">
        <v>7</v>
      </c>
      <c r="F1955" s="169" t="s">
        <v>1580</v>
      </c>
      <c r="G1955" s="169" t="s">
        <v>1580</v>
      </c>
      <c r="H1955" s="169">
        <v>6</v>
      </c>
      <c r="I1955" s="136" t="str">
        <f t="shared" si="91"/>
        <v>SMALLINT</v>
      </c>
      <c r="J1955" s="169" t="s">
        <v>0</v>
      </c>
      <c r="K1955" s="169" t="s">
        <v>1</v>
      </c>
      <c r="L1955" s="169">
        <v>30</v>
      </c>
      <c r="M1955" s="168"/>
      <c r="N1955" s="168"/>
      <c r="O1955" s="168"/>
      <c r="P1955" s="168"/>
      <c r="Q1955" s="168" t="s">
        <v>0</v>
      </c>
      <c r="R1955" s="168" t="s">
        <v>1</v>
      </c>
      <c r="S1955" s="178" t="str">
        <f t="shared" si="92"/>
        <v>S071ABCDEF0001_DOCS_HEADERDOCS_YEAR</v>
      </c>
    </row>
    <row r="1956" spans="1:19" ht="14.4" x14ac:dyDescent="0.3">
      <c r="A1956" s="169" t="s">
        <v>1361</v>
      </c>
      <c r="B1956" s="171" t="str">
        <f t="shared" si="90"/>
        <v>S071ABCDEF0001_DOCS_HEADER</v>
      </c>
      <c r="C1956" s="169" t="s">
        <v>1472</v>
      </c>
      <c r="D1956" s="169">
        <v>1048</v>
      </c>
      <c r="E1956" s="169">
        <v>8</v>
      </c>
      <c r="F1956" s="169" t="s">
        <v>1472</v>
      </c>
      <c r="G1956" s="169" t="s">
        <v>1472</v>
      </c>
      <c r="H1956" s="169">
        <v>29</v>
      </c>
      <c r="I1956" s="136" t="str">
        <f t="shared" si="91"/>
        <v xml:space="preserve">VARCHAR(6) </v>
      </c>
      <c r="J1956" s="169" t="s">
        <v>0</v>
      </c>
      <c r="K1956" s="169" t="s">
        <v>1</v>
      </c>
      <c r="L1956" s="169">
        <v>30</v>
      </c>
      <c r="M1956" s="168"/>
      <c r="N1956" s="168"/>
      <c r="O1956" s="168"/>
      <c r="P1956" s="168"/>
      <c r="Q1956" s="168" t="s">
        <v>0</v>
      </c>
      <c r="R1956" s="168" t="s">
        <v>1</v>
      </c>
      <c r="S1956" s="178" t="str">
        <f t="shared" si="92"/>
        <v>S071ABCDEF0001_DOCS_HEADERFORMID</v>
      </c>
    </row>
    <row r="1957" spans="1:19" ht="14.4" x14ac:dyDescent="0.3">
      <c r="A1957" s="169" t="s">
        <v>1361</v>
      </c>
      <c r="B1957" s="171" t="str">
        <f t="shared" si="90"/>
        <v>S071ABCDEF0001_DOCS_HEADER</v>
      </c>
      <c r="C1957" s="169" t="s">
        <v>433</v>
      </c>
      <c r="D1957" s="169">
        <v>1049</v>
      </c>
      <c r="E1957" s="169">
        <v>9</v>
      </c>
      <c r="F1957" s="169" t="s">
        <v>433</v>
      </c>
      <c r="G1957" s="169" t="s">
        <v>433</v>
      </c>
      <c r="H1957" s="169">
        <v>18</v>
      </c>
      <c r="I1957" s="136" t="str">
        <f t="shared" si="91"/>
        <v>DECIMAL(38, 0)</v>
      </c>
      <c r="J1957" s="169" t="s">
        <v>0</v>
      </c>
      <c r="K1957" s="169" t="s">
        <v>0</v>
      </c>
      <c r="L1957" s="169">
        <v>30</v>
      </c>
      <c r="M1957" s="168"/>
      <c r="N1957" s="168"/>
      <c r="O1957" s="168"/>
      <c r="P1957" s="168"/>
      <c r="Q1957" s="168" t="s">
        <v>0</v>
      </c>
      <c r="R1957" s="168" t="s">
        <v>1</v>
      </c>
      <c r="S1957" s="178" t="str">
        <f t="shared" si="92"/>
        <v>S071ABCDEF0001_DOCS_HEADERID</v>
      </c>
    </row>
    <row r="1958" spans="1:19" ht="14.4" x14ac:dyDescent="0.3">
      <c r="A1958" s="169" t="s">
        <v>1361</v>
      </c>
      <c r="B1958" s="171" t="str">
        <f t="shared" si="90"/>
        <v>S071ABCDEF0001_DOCS_HEADER</v>
      </c>
      <c r="C1958" s="169" t="s">
        <v>1458</v>
      </c>
      <c r="D1958" s="169">
        <v>1050</v>
      </c>
      <c r="E1958" s="169">
        <v>10</v>
      </c>
      <c r="F1958" s="169" t="s">
        <v>1458</v>
      </c>
      <c r="G1958" s="169" t="s">
        <v>1458</v>
      </c>
      <c r="H1958" s="169">
        <v>6</v>
      </c>
      <c r="I1958" s="136" t="str">
        <f t="shared" si="91"/>
        <v>SMALLINT</v>
      </c>
      <c r="J1958" s="169" t="s">
        <v>0</v>
      </c>
      <c r="K1958" s="169" t="s">
        <v>1</v>
      </c>
      <c r="L1958" s="169">
        <v>30</v>
      </c>
      <c r="M1958" s="168"/>
      <c r="N1958" s="168"/>
      <c r="O1958" s="168"/>
      <c r="P1958" s="168"/>
      <c r="Q1958" s="168" t="s">
        <v>0</v>
      </c>
      <c r="R1958" s="168" t="s">
        <v>1</v>
      </c>
      <c r="S1958" s="178" t="str">
        <f t="shared" si="92"/>
        <v>S071ABCDEF0001_DOCS_HEADERINFO_SYSTEM_ID</v>
      </c>
    </row>
    <row r="1959" spans="1:19" ht="14.4" x14ac:dyDescent="0.3">
      <c r="A1959" s="169" t="s">
        <v>1361</v>
      </c>
      <c r="B1959" s="171" t="str">
        <f t="shared" si="90"/>
        <v>S071ABCDEF0001_DOCS_HEADER</v>
      </c>
      <c r="C1959" s="169" t="s">
        <v>1565</v>
      </c>
      <c r="D1959" s="169">
        <v>1051</v>
      </c>
      <c r="E1959" s="169">
        <v>11</v>
      </c>
      <c r="F1959" s="169" t="s">
        <v>1565</v>
      </c>
      <c r="G1959" s="169" t="s">
        <v>1565</v>
      </c>
      <c r="H1959" s="169">
        <v>30</v>
      </c>
      <c r="I1959" s="136" t="str">
        <f t="shared" si="91"/>
        <v xml:space="preserve">CHAR(6) </v>
      </c>
      <c r="J1959" s="169" t="s">
        <v>0</v>
      </c>
      <c r="K1959" s="169" t="s">
        <v>1</v>
      </c>
      <c r="L1959" s="169">
        <v>30</v>
      </c>
      <c r="M1959" s="168"/>
      <c r="N1959" s="168"/>
      <c r="O1959" s="168"/>
      <c r="P1959" s="168"/>
      <c r="Q1959" s="168" t="s">
        <v>0</v>
      </c>
      <c r="R1959" s="168" t="s">
        <v>1</v>
      </c>
      <c r="S1959" s="178" t="str">
        <f t="shared" si="92"/>
        <v>S071ABCDEF0001_DOCS_HEADERINFO_SYSTEM_INST_CD</v>
      </c>
    </row>
    <row r="1960" spans="1:19" ht="14.4" x14ac:dyDescent="0.3">
      <c r="A1960" s="169" t="s">
        <v>1361</v>
      </c>
      <c r="B1960" s="171" t="str">
        <f t="shared" si="90"/>
        <v>S071ABCDEF0001_DOCS_HEADER</v>
      </c>
      <c r="C1960" s="169" t="s">
        <v>1446</v>
      </c>
      <c r="D1960" s="169">
        <v>1052</v>
      </c>
      <c r="E1960" s="169">
        <v>12</v>
      </c>
      <c r="F1960" s="169" t="s">
        <v>1446</v>
      </c>
      <c r="G1960" s="169" t="s">
        <v>1446</v>
      </c>
      <c r="H1960" s="169">
        <v>14</v>
      </c>
      <c r="I1960" s="136" t="str">
        <f t="shared" si="91"/>
        <v xml:space="preserve">CHAR(3) </v>
      </c>
      <c r="J1960" s="169" t="s">
        <v>0</v>
      </c>
      <c r="K1960" s="169" t="s">
        <v>1</v>
      </c>
      <c r="L1960" s="169">
        <v>30</v>
      </c>
      <c r="M1960" s="168"/>
      <c r="N1960" s="168"/>
      <c r="O1960" s="168"/>
      <c r="P1960" s="168"/>
      <c r="Q1960" s="168" t="s">
        <v>0</v>
      </c>
      <c r="R1960" s="168" t="s">
        <v>1</v>
      </c>
      <c r="S1960" s="178" t="str">
        <f t="shared" si="92"/>
        <v>S071ABCDEF0001_DOCS_HEADERINFO_SYSTEM_TYPE_CD</v>
      </c>
    </row>
    <row r="1961" spans="1:19" ht="14.4" x14ac:dyDescent="0.3">
      <c r="A1961" s="169" t="s">
        <v>1361</v>
      </c>
      <c r="B1961" s="171" t="str">
        <f t="shared" si="90"/>
        <v>S071ABCDEF0001_DOCS_HEADER</v>
      </c>
      <c r="C1961" s="169" t="s">
        <v>1559</v>
      </c>
      <c r="D1961" s="169">
        <v>1053</v>
      </c>
      <c r="E1961" s="169">
        <v>13</v>
      </c>
      <c r="F1961" s="169" t="s">
        <v>1559</v>
      </c>
      <c r="G1961" s="169" t="s">
        <v>1559</v>
      </c>
      <c r="H1961" s="169">
        <v>7</v>
      </c>
      <c r="I1961" s="136" t="str">
        <f t="shared" si="91"/>
        <v>BIGINT</v>
      </c>
      <c r="J1961" s="169" t="s">
        <v>0</v>
      </c>
      <c r="K1961" s="169" t="s">
        <v>1</v>
      </c>
      <c r="L1961" s="169">
        <v>30</v>
      </c>
      <c r="M1961" s="168"/>
      <c r="N1961" s="168"/>
      <c r="O1961" s="168"/>
      <c r="P1961" s="168"/>
      <c r="Q1961" s="168" t="s">
        <v>0</v>
      </c>
      <c r="R1961" s="168" t="s">
        <v>1</v>
      </c>
      <c r="S1961" s="178" t="str">
        <f t="shared" si="92"/>
        <v>S071ABCDEF0001_DOCS_HEADERINPUT_FILE_ID</v>
      </c>
    </row>
    <row r="1962" spans="1:19" ht="14.4" x14ac:dyDescent="0.3">
      <c r="A1962" s="169" t="s">
        <v>1361</v>
      </c>
      <c r="B1962" s="171" t="str">
        <f t="shared" si="90"/>
        <v>S071ABCDEF0001_DOCS_HEADER</v>
      </c>
      <c r="C1962" s="169" t="s">
        <v>1434</v>
      </c>
      <c r="D1962" s="169">
        <v>1054</v>
      </c>
      <c r="E1962" s="169">
        <v>14</v>
      </c>
      <c r="F1962" s="169" t="s">
        <v>1434</v>
      </c>
      <c r="G1962" s="169" t="s">
        <v>1434</v>
      </c>
      <c r="H1962" s="169">
        <v>31</v>
      </c>
      <c r="I1962" s="136" t="str">
        <f t="shared" si="91"/>
        <v xml:space="preserve">VARCHAR(255) </v>
      </c>
      <c r="J1962" s="169" t="s">
        <v>0</v>
      </c>
      <c r="K1962" s="169" t="s">
        <v>1</v>
      </c>
      <c r="L1962" s="169">
        <v>30</v>
      </c>
      <c r="M1962" s="168"/>
      <c r="N1962" s="168"/>
      <c r="O1962" s="168"/>
      <c r="P1962" s="168"/>
      <c r="Q1962" s="168" t="s">
        <v>0</v>
      </c>
      <c r="R1962" s="168" t="s">
        <v>1</v>
      </c>
      <c r="S1962" s="178" t="str">
        <f t="shared" si="92"/>
        <v>S071ABCDEF0001_DOCS_HEADERINPUT_FILE_NAME</v>
      </c>
    </row>
    <row r="1963" spans="1:19" ht="14.4" x14ac:dyDescent="0.3">
      <c r="A1963" s="169" t="s">
        <v>1361</v>
      </c>
      <c r="B1963" s="171" t="str">
        <f t="shared" si="90"/>
        <v>S071ABCDEF0001_DOCS_HEADER</v>
      </c>
      <c r="C1963" s="169" t="s">
        <v>1551</v>
      </c>
      <c r="D1963" s="169">
        <v>1055</v>
      </c>
      <c r="E1963" s="169">
        <v>15</v>
      </c>
      <c r="F1963" s="169" t="s">
        <v>1551</v>
      </c>
      <c r="G1963" s="169" t="s">
        <v>1551</v>
      </c>
      <c r="H1963" s="169">
        <v>7</v>
      </c>
      <c r="I1963" s="136" t="str">
        <f t="shared" si="91"/>
        <v>BIGINT</v>
      </c>
      <c r="J1963" s="169" t="s">
        <v>0</v>
      </c>
      <c r="K1963" s="169" t="s">
        <v>1</v>
      </c>
      <c r="L1963" s="169">
        <v>30</v>
      </c>
      <c r="M1963" s="168"/>
      <c r="N1963" s="168"/>
      <c r="O1963" s="168"/>
      <c r="P1963" s="168"/>
      <c r="Q1963" s="168" t="s">
        <v>0</v>
      </c>
      <c r="R1963" s="168" t="s">
        <v>1</v>
      </c>
      <c r="S1963" s="178" t="str">
        <f t="shared" si="92"/>
        <v>S071ABCDEF0001_DOCS_HEADERINPUT_PACKAGE_ID</v>
      </c>
    </row>
    <row r="1964" spans="1:19" ht="14.4" x14ac:dyDescent="0.3">
      <c r="A1964" s="169" t="s">
        <v>1361</v>
      </c>
      <c r="B1964" s="171" t="str">
        <f t="shared" si="90"/>
        <v>S071ABCDEF0001_DOCS_HEADER</v>
      </c>
      <c r="C1964" s="169" t="s">
        <v>1418</v>
      </c>
      <c r="D1964" s="169">
        <v>1056</v>
      </c>
      <c r="E1964" s="169">
        <v>16</v>
      </c>
      <c r="F1964" s="169" t="s">
        <v>1418</v>
      </c>
      <c r="G1964" s="169" t="s">
        <v>1418</v>
      </c>
      <c r="H1964" s="169">
        <v>22</v>
      </c>
      <c r="I1964" s="136" t="str">
        <f t="shared" si="91"/>
        <v>TIMESTAMP(6)</v>
      </c>
      <c r="J1964" s="169" t="s">
        <v>0</v>
      </c>
      <c r="K1964" s="169" t="s">
        <v>1</v>
      </c>
      <c r="L1964" s="169">
        <v>30</v>
      </c>
      <c r="M1964" s="168"/>
      <c r="N1964" s="168"/>
      <c r="O1964" s="168"/>
      <c r="P1964" s="168"/>
      <c r="Q1964" s="168" t="s">
        <v>0</v>
      </c>
      <c r="R1964" s="168" t="s">
        <v>1</v>
      </c>
      <c r="S1964" s="178" t="str">
        <f t="shared" si="92"/>
        <v>S071ABCDEF0001_DOCS_HEADERMODIFY_DATE</v>
      </c>
    </row>
    <row r="1965" spans="1:19" ht="14.4" x14ac:dyDescent="0.3">
      <c r="A1965" s="169" t="s">
        <v>1361</v>
      </c>
      <c r="B1965" s="171" t="str">
        <f t="shared" si="90"/>
        <v>S071ABCDEF0001_DOCS_HEADER</v>
      </c>
      <c r="C1965" s="169" t="s">
        <v>1412</v>
      </c>
      <c r="D1965" s="169">
        <v>1057</v>
      </c>
      <c r="E1965" s="169">
        <v>17</v>
      </c>
      <c r="F1965" s="169" t="s">
        <v>1412</v>
      </c>
      <c r="G1965" s="169" t="s">
        <v>1412</v>
      </c>
      <c r="H1965" s="169">
        <v>15</v>
      </c>
      <c r="I1965" s="136" t="str">
        <f t="shared" si="91"/>
        <v xml:space="preserve">CHAR(1) </v>
      </c>
      <c r="J1965" s="169" t="s">
        <v>0</v>
      </c>
      <c r="K1965" s="169" t="s">
        <v>1</v>
      </c>
      <c r="L1965" s="169">
        <v>30</v>
      </c>
      <c r="M1965" s="168"/>
      <c r="N1965" s="168"/>
      <c r="O1965" s="168"/>
      <c r="P1965" s="168"/>
      <c r="Q1965" s="168" t="s">
        <v>0</v>
      </c>
      <c r="R1965" s="168" t="s">
        <v>1</v>
      </c>
      <c r="S1965" s="178" t="str">
        <f t="shared" si="92"/>
        <v>S071ABCDEF0001_DOCS_HEADERODS$OPC</v>
      </c>
    </row>
    <row r="1966" spans="1:19" ht="14.4" x14ac:dyDescent="0.3">
      <c r="A1966" s="169" t="s">
        <v>1361</v>
      </c>
      <c r="B1966" s="171" t="str">
        <f t="shared" si="90"/>
        <v>S071ABCDEF0001_DOCS_HEADER</v>
      </c>
      <c r="C1966" s="169" t="s">
        <v>1406</v>
      </c>
      <c r="D1966" s="169">
        <v>1058</v>
      </c>
      <c r="E1966" s="169">
        <v>18</v>
      </c>
      <c r="F1966" s="169" t="s">
        <v>1406</v>
      </c>
      <c r="G1966" s="169" t="s">
        <v>1406</v>
      </c>
      <c r="H1966" s="169">
        <v>22</v>
      </c>
      <c r="I1966" s="136" t="str">
        <f t="shared" si="91"/>
        <v>TIMESTAMP(6)</v>
      </c>
      <c r="J1966" s="169" t="s">
        <v>0</v>
      </c>
      <c r="K1966" s="169" t="s">
        <v>1</v>
      </c>
      <c r="L1966" s="169">
        <v>30</v>
      </c>
      <c r="M1966" s="168"/>
      <c r="N1966" s="168"/>
      <c r="O1966" s="168"/>
      <c r="P1966" s="168"/>
      <c r="Q1966" s="168" t="s">
        <v>0</v>
      </c>
      <c r="R1966" s="168" t="s">
        <v>1</v>
      </c>
      <c r="S1966" s="178" t="str">
        <f t="shared" si="92"/>
        <v>S071ABCDEF0001_DOCS_HEADERODS$VALIDFROM</v>
      </c>
    </row>
    <row r="1967" spans="1:19" ht="14.4" x14ac:dyDescent="0.3">
      <c r="A1967" s="169" t="s">
        <v>1361</v>
      </c>
      <c r="B1967" s="171" t="str">
        <f t="shared" si="90"/>
        <v>S071ABCDEF0001_DOCS_HEADER</v>
      </c>
      <c r="C1967" s="169" t="s">
        <v>1399</v>
      </c>
      <c r="D1967" s="169">
        <v>1059</v>
      </c>
      <c r="E1967" s="169">
        <v>19</v>
      </c>
      <c r="F1967" s="169" t="s">
        <v>1399</v>
      </c>
      <c r="G1967" s="169" t="s">
        <v>1399</v>
      </c>
      <c r="H1967" s="169">
        <v>7</v>
      </c>
      <c r="I1967" s="136" t="str">
        <f t="shared" si="91"/>
        <v>BIGINT</v>
      </c>
      <c r="J1967" s="169" t="s">
        <v>0</v>
      </c>
      <c r="K1967" s="169" t="s">
        <v>1</v>
      </c>
      <c r="L1967" s="169">
        <v>30</v>
      </c>
      <c r="M1967" s="168"/>
      <c r="N1967" s="168"/>
      <c r="O1967" s="168"/>
      <c r="P1967" s="168"/>
      <c r="Q1967" s="168" t="s">
        <v>0</v>
      </c>
      <c r="R1967" s="168" t="s">
        <v>1</v>
      </c>
      <c r="S1967" s="178" t="str">
        <f t="shared" si="92"/>
        <v>S071ABCDEF0001_DOCS_HEADERROW_NBR</v>
      </c>
    </row>
    <row r="1968" spans="1:19" ht="14.4" x14ac:dyDescent="0.3">
      <c r="A1968" s="169" t="s">
        <v>1361</v>
      </c>
      <c r="B1968" s="171" t="str">
        <f t="shared" si="90"/>
        <v>S071ABCDEF0001_DOCS_HEADER</v>
      </c>
      <c r="C1968" s="169" t="s">
        <v>1390</v>
      </c>
      <c r="D1968" s="169">
        <v>1060</v>
      </c>
      <c r="E1968" s="169">
        <v>20</v>
      </c>
      <c r="F1968" s="169" t="s">
        <v>1390</v>
      </c>
      <c r="G1968" s="169" t="s">
        <v>1390</v>
      </c>
      <c r="H1968" s="169">
        <v>5</v>
      </c>
      <c r="I1968" s="136" t="str">
        <f t="shared" si="91"/>
        <v xml:space="preserve">VARCHAR(100) </v>
      </c>
      <c r="J1968" s="169" t="s">
        <v>0</v>
      </c>
      <c r="K1968" s="169" t="s">
        <v>1</v>
      </c>
      <c r="L1968" s="169">
        <v>30</v>
      </c>
      <c r="M1968" s="168"/>
      <c r="N1968" s="168"/>
      <c r="O1968" s="168"/>
      <c r="P1968" s="168"/>
      <c r="Q1968" s="168" t="s">
        <v>0</v>
      </c>
      <c r="R1968" s="168" t="s">
        <v>1</v>
      </c>
      <c r="S1968" s="178" t="str">
        <f t="shared" si="92"/>
        <v>S071ABCDEF0001_DOCS_HEADERUSER_NAME</v>
      </c>
    </row>
    <row r="1969" spans="1:19" ht="14.4" x14ac:dyDescent="0.3">
      <c r="A1969" s="169" t="s">
        <v>1361</v>
      </c>
      <c r="B1969" s="171" t="str">
        <f t="shared" si="90"/>
        <v>S071ABCDEF0001_DOCS_HEADER</v>
      </c>
      <c r="C1969" s="169" t="s">
        <v>924</v>
      </c>
      <c r="D1969" s="169">
        <v>1061</v>
      </c>
      <c r="E1969" s="169">
        <v>21</v>
      </c>
      <c r="F1969" s="169" t="s">
        <v>924</v>
      </c>
      <c r="G1969" s="169" t="s">
        <v>924</v>
      </c>
      <c r="H1969" s="169">
        <v>18</v>
      </c>
      <c r="I1969" s="136" t="str">
        <f t="shared" si="91"/>
        <v>DECIMAL(38, 0)</v>
      </c>
      <c r="J1969" s="169" t="s">
        <v>0</v>
      </c>
      <c r="K1969" s="169" t="s">
        <v>1</v>
      </c>
      <c r="L1969" s="169">
        <v>30</v>
      </c>
      <c r="M1969" s="168"/>
      <c r="N1969" s="168"/>
      <c r="O1969" s="168"/>
      <c r="P1969" s="168"/>
      <c r="Q1969" s="168" t="s">
        <v>0</v>
      </c>
      <c r="R1969" s="168" t="s">
        <v>1</v>
      </c>
      <c r="S1969" s="178" t="str">
        <f t="shared" si="92"/>
        <v>S071ABCDEF0001_DOCS_HEADERVERSION</v>
      </c>
    </row>
    <row r="1970" spans="1:19" ht="14.4" x14ac:dyDescent="0.3">
      <c r="A1970" s="169" t="s">
        <v>1346</v>
      </c>
      <c r="B1970" s="171" t="str">
        <f t="shared" si="90"/>
        <v>S071ABCDEF0002_DOCS_DATA</v>
      </c>
      <c r="C1970" s="169" t="s">
        <v>1613</v>
      </c>
      <c r="D1970" s="169">
        <v>1062</v>
      </c>
      <c r="E1970" s="169">
        <v>1</v>
      </c>
      <c r="F1970" s="169" t="s">
        <v>1613</v>
      </c>
      <c r="G1970" s="169" t="s">
        <v>1613</v>
      </c>
      <c r="H1970" s="169">
        <v>26</v>
      </c>
      <c r="I1970" s="136" t="str">
        <f t="shared" si="91"/>
        <v xml:space="preserve">VARCHAR(4000) </v>
      </c>
      <c r="J1970" s="169" t="s">
        <v>0</v>
      </c>
      <c r="K1970" s="169" t="s">
        <v>1</v>
      </c>
      <c r="L1970" s="169">
        <v>30</v>
      </c>
      <c r="M1970" s="168"/>
      <c r="N1970" s="168"/>
      <c r="O1970" s="168"/>
      <c r="P1970" s="168"/>
      <c r="Q1970" s="168" t="s">
        <v>0</v>
      </c>
      <c r="R1970" s="168" t="s">
        <v>1</v>
      </c>
      <c r="S1970" s="178" t="str">
        <f t="shared" si="92"/>
        <v>S071ABCDEF0002_DOCS_DATACH</v>
      </c>
    </row>
    <row r="1971" spans="1:19" ht="14.4" x14ac:dyDescent="0.3">
      <c r="A1971" s="169" t="s">
        <v>1346</v>
      </c>
      <c r="B1971" s="171" t="str">
        <f t="shared" si="90"/>
        <v>S071ABCDEF0002_DOCS_DATA</v>
      </c>
      <c r="C1971" s="169" t="s">
        <v>1508</v>
      </c>
      <c r="D1971" s="169">
        <v>1063</v>
      </c>
      <c r="E1971" s="169">
        <v>2</v>
      </c>
      <c r="F1971" s="169" t="s">
        <v>1508</v>
      </c>
      <c r="G1971" s="169" t="s">
        <v>1508</v>
      </c>
      <c r="H1971" s="169">
        <v>18</v>
      </c>
      <c r="I1971" s="136" t="str">
        <f t="shared" si="91"/>
        <v>DECIMAL(38, 0)</v>
      </c>
      <c r="J1971" s="169" t="s">
        <v>0</v>
      </c>
      <c r="K1971" s="169" t="s">
        <v>1</v>
      </c>
      <c r="L1971" s="169">
        <v>30</v>
      </c>
      <c r="M1971" s="168"/>
      <c r="N1971" s="168"/>
      <c r="O1971" s="168"/>
      <c r="P1971" s="168"/>
      <c r="Q1971" s="168" t="s">
        <v>0</v>
      </c>
      <c r="R1971" s="168" t="s">
        <v>1</v>
      </c>
      <c r="S1971" s="178" t="str">
        <f t="shared" si="92"/>
        <v>S071ABCDEF0002_DOCS_DATACOPY_NUM</v>
      </c>
    </row>
    <row r="1972" spans="1:19" ht="14.4" x14ac:dyDescent="0.3">
      <c r="A1972" s="169" t="s">
        <v>1346</v>
      </c>
      <c r="B1972" s="171" t="str">
        <f t="shared" si="90"/>
        <v>S071ABCDEF0002_DOCS_DATA</v>
      </c>
      <c r="C1972" s="169" t="s">
        <v>1601</v>
      </c>
      <c r="D1972" s="169">
        <v>2044</v>
      </c>
      <c r="E1972" s="169">
        <v>3</v>
      </c>
      <c r="F1972" s="169" t="s">
        <v>1601</v>
      </c>
      <c r="G1972" s="169" t="s">
        <v>1601</v>
      </c>
      <c r="H1972" s="169">
        <v>18</v>
      </c>
      <c r="I1972" s="136" t="str">
        <f t="shared" si="91"/>
        <v>DECIMAL(38, 0)</v>
      </c>
      <c r="J1972" s="169" t="s">
        <v>0</v>
      </c>
      <c r="K1972" s="169" t="s">
        <v>0</v>
      </c>
      <c r="L1972" s="169">
        <v>30</v>
      </c>
      <c r="M1972" s="168"/>
      <c r="N1972" s="168"/>
      <c r="O1972" s="168"/>
      <c r="P1972" s="168"/>
      <c r="Q1972" s="168" t="s">
        <v>0</v>
      </c>
      <c r="R1972" s="168" t="s">
        <v>1</v>
      </c>
      <c r="S1972" s="178" t="str">
        <f t="shared" si="92"/>
        <v>S071ABCDEF0002_DOCS_DATADOCS_HEADER_ID</v>
      </c>
    </row>
    <row r="1973" spans="1:19" ht="14.4" x14ac:dyDescent="0.3">
      <c r="A1973" s="169" t="s">
        <v>1346</v>
      </c>
      <c r="B1973" s="171" t="str">
        <f t="shared" si="90"/>
        <v>S071ABCDEF0002_DOCS_DATA</v>
      </c>
      <c r="C1973" s="169" t="s">
        <v>1496</v>
      </c>
      <c r="D1973" s="169">
        <v>1064</v>
      </c>
      <c r="E1973" s="169">
        <v>4</v>
      </c>
      <c r="F1973" s="169" t="s">
        <v>1496</v>
      </c>
      <c r="G1973" s="169" t="s">
        <v>1496</v>
      </c>
      <c r="H1973" s="169">
        <v>22</v>
      </c>
      <c r="I1973" s="136" t="str">
        <f t="shared" si="91"/>
        <v>TIMESTAMP(6)</v>
      </c>
      <c r="J1973" s="169" t="s">
        <v>0</v>
      </c>
      <c r="K1973" s="169" t="s">
        <v>1</v>
      </c>
      <c r="L1973" s="169">
        <v>30</v>
      </c>
      <c r="M1973" s="168"/>
      <c r="N1973" s="168"/>
      <c r="O1973" s="168"/>
      <c r="P1973" s="168"/>
      <c r="Q1973" s="168" t="s">
        <v>0</v>
      </c>
      <c r="R1973" s="168" t="s">
        <v>1</v>
      </c>
      <c r="S1973" s="178" t="str">
        <f t="shared" si="92"/>
        <v>S071ABCDEF0002_DOCS_DATADT</v>
      </c>
    </row>
    <row r="1974" spans="1:19" ht="14.4" x14ac:dyDescent="0.3">
      <c r="A1974" s="169" t="s">
        <v>1346</v>
      </c>
      <c r="B1974" s="171" t="str">
        <f t="shared" si="90"/>
        <v>S071ABCDEF0002_DOCS_DATA</v>
      </c>
      <c r="C1974" s="169" t="s">
        <v>1587</v>
      </c>
      <c r="D1974" s="169">
        <v>1065</v>
      </c>
      <c r="E1974" s="169">
        <v>5</v>
      </c>
      <c r="F1974" s="169" t="s">
        <v>1587</v>
      </c>
      <c r="G1974" s="169" t="s">
        <v>1587</v>
      </c>
      <c r="H1974" s="169">
        <v>5</v>
      </c>
      <c r="I1974" s="136" t="str">
        <f t="shared" si="91"/>
        <v xml:space="preserve">VARCHAR(100) </v>
      </c>
      <c r="J1974" s="169" t="s">
        <v>0</v>
      </c>
      <c r="K1974" s="169" t="s">
        <v>1</v>
      </c>
      <c r="L1974" s="169">
        <v>30</v>
      </c>
      <c r="M1974" s="168"/>
      <c r="N1974" s="168"/>
      <c r="O1974" s="168"/>
      <c r="P1974" s="168"/>
      <c r="Q1974" s="168" t="s">
        <v>0</v>
      </c>
      <c r="R1974" s="168" t="s">
        <v>1</v>
      </c>
      <c r="S1974" s="178" t="str">
        <f t="shared" si="92"/>
        <v>S071ABCDEF0002_DOCS_DATAFIELD_NAME</v>
      </c>
    </row>
    <row r="1975" spans="1:19" ht="14.4" x14ac:dyDescent="0.3">
      <c r="A1975" s="169" t="s">
        <v>1346</v>
      </c>
      <c r="B1975" s="171" t="str">
        <f t="shared" si="90"/>
        <v>S071ABCDEF0002_DOCS_DATA</v>
      </c>
      <c r="C1975" s="169" t="s">
        <v>1458</v>
      </c>
      <c r="D1975" s="169">
        <v>1066</v>
      </c>
      <c r="E1975" s="169">
        <v>6</v>
      </c>
      <c r="F1975" s="169" t="s">
        <v>1458</v>
      </c>
      <c r="G1975" s="169" t="s">
        <v>1458</v>
      </c>
      <c r="H1975" s="169">
        <v>6</v>
      </c>
      <c r="I1975" s="136" t="str">
        <f t="shared" si="91"/>
        <v>SMALLINT</v>
      </c>
      <c r="J1975" s="169" t="s">
        <v>0</v>
      </c>
      <c r="K1975" s="169" t="s">
        <v>1</v>
      </c>
      <c r="L1975" s="169">
        <v>30</v>
      </c>
      <c r="M1975" s="168"/>
      <c r="N1975" s="168"/>
      <c r="O1975" s="168"/>
      <c r="P1975" s="168"/>
      <c r="Q1975" s="168" t="s">
        <v>0</v>
      </c>
      <c r="R1975" s="168" t="s">
        <v>1</v>
      </c>
      <c r="S1975" s="178" t="str">
        <f t="shared" si="92"/>
        <v>S071ABCDEF0002_DOCS_DATAINFO_SYSTEM_ID</v>
      </c>
    </row>
    <row r="1976" spans="1:19" ht="14.4" x14ac:dyDescent="0.3">
      <c r="A1976" s="169" t="s">
        <v>1346</v>
      </c>
      <c r="B1976" s="171" t="str">
        <f t="shared" si="90"/>
        <v>S071ABCDEF0002_DOCS_DATA</v>
      </c>
      <c r="C1976" s="169" t="s">
        <v>1565</v>
      </c>
      <c r="D1976" s="169">
        <v>1074</v>
      </c>
      <c r="E1976" s="169">
        <v>7</v>
      </c>
      <c r="F1976" s="169" t="s">
        <v>1565</v>
      </c>
      <c r="G1976" s="169" t="s">
        <v>1565</v>
      </c>
      <c r="H1976" s="169">
        <v>30</v>
      </c>
      <c r="I1976" s="136" t="str">
        <f t="shared" si="91"/>
        <v xml:space="preserve">CHAR(6) </v>
      </c>
      <c r="J1976" s="169" t="s">
        <v>0</v>
      </c>
      <c r="K1976" s="169" t="s">
        <v>1</v>
      </c>
      <c r="L1976" s="169">
        <v>30</v>
      </c>
      <c r="M1976" s="168"/>
      <c r="N1976" s="168"/>
      <c r="O1976" s="168"/>
      <c r="P1976" s="168"/>
      <c r="Q1976" s="168" t="s">
        <v>0</v>
      </c>
      <c r="R1976" s="168" t="s">
        <v>1</v>
      </c>
      <c r="S1976" s="178" t="str">
        <f t="shared" si="92"/>
        <v>S071ABCDEF0002_DOCS_DATAINFO_SYSTEM_INST_CD</v>
      </c>
    </row>
    <row r="1977" spans="1:19" ht="14.4" x14ac:dyDescent="0.3">
      <c r="A1977" s="169" t="s">
        <v>1346</v>
      </c>
      <c r="B1977" s="171" t="str">
        <f t="shared" si="90"/>
        <v>S071ABCDEF0002_DOCS_DATA</v>
      </c>
      <c r="C1977" s="169" t="s">
        <v>1446</v>
      </c>
      <c r="D1977" s="169">
        <v>1075</v>
      </c>
      <c r="E1977" s="169">
        <v>8</v>
      </c>
      <c r="F1977" s="169" t="s">
        <v>1446</v>
      </c>
      <c r="G1977" s="169" t="s">
        <v>1446</v>
      </c>
      <c r="H1977" s="169">
        <v>14</v>
      </c>
      <c r="I1977" s="136" t="str">
        <f t="shared" si="91"/>
        <v xml:space="preserve">CHAR(3) </v>
      </c>
      <c r="J1977" s="169" t="s">
        <v>0</v>
      </c>
      <c r="K1977" s="169" t="s">
        <v>1</v>
      </c>
      <c r="L1977" s="169">
        <v>30</v>
      </c>
      <c r="M1977" s="168"/>
      <c r="N1977" s="168"/>
      <c r="O1977" s="168"/>
      <c r="P1977" s="168"/>
      <c r="Q1977" s="168" t="s">
        <v>0</v>
      </c>
      <c r="R1977" s="168" t="s">
        <v>1</v>
      </c>
      <c r="S1977" s="178" t="str">
        <f t="shared" si="92"/>
        <v>S071ABCDEF0002_DOCS_DATAINFO_SYSTEM_TYPE_CD</v>
      </c>
    </row>
    <row r="1978" spans="1:19" ht="14.4" x14ac:dyDescent="0.3">
      <c r="A1978" s="169" t="s">
        <v>1346</v>
      </c>
      <c r="B1978" s="171" t="str">
        <f t="shared" si="90"/>
        <v>S071ABCDEF0002_DOCS_DATA</v>
      </c>
      <c r="C1978" s="169" t="s">
        <v>1559</v>
      </c>
      <c r="D1978" s="169">
        <v>1076</v>
      </c>
      <c r="E1978" s="169">
        <v>9</v>
      </c>
      <c r="F1978" s="169" t="s">
        <v>1559</v>
      </c>
      <c r="G1978" s="169" t="s">
        <v>1559</v>
      </c>
      <c r="H1978" s="169">
        <v>7</v>
      </c>
      <c r="I1978" s="136" t="str">
        <f t="shared" si="91"/>
        <v>BIGINT</v>
      </c>
      <c r="J1978" s="169" t="s">
        <v>0</v>
      </c>
      <c r="K1978" s="169" t="s">
        <v>1</v>
      </c>
      <c r="L1978" s="169">
        <v>30</v>
      </c>
      <c r="M1978" s="168"/>
      <c r="N1978" s="168"/>
      <c r="O1978" s="168"/>
      <c r="P1978" s="168"/>
      <c r="Q1978" s="168" t="s">
        <v>0</v>
      </c>
      <c r="R1978" s="168" t="s">
        <v>1</v>
      </c>
      <c r="S1978" s="178" t="str">
        <f t="shared" si="92"/>
        <v>S071ABCDEF0002_DOCS_DATAINPUT_FILE_ID</v>
      </c>
    </row>
    <row r="1979" spans="1:19" ht="14.4" x14ac:dyDescent="0.3">
      <c r="A1979" s="169" t="s">
        <v>1346</v>
      </c>
      <c r="B1979" s="171" t="str">
        <f t="shared" si="90"/>
        <v>S071ABCDEF0002_DOCS_DATA</v>
      </c>
      <c r="C1979" s="169" t="s">
        <v>1434</v>
      </c>
      <c r="D1979" s="169">
        <v>1077</v>
      </c>
      <c r="E1979" s="169">
        <v>10</v>
      </c>
      <c r="F1979" s="169" t="s">
        <v>1434</v>
      </c>
      <c r="G1979" s="169" t="s">
        <v>1434</v>
      </c>
      <c r="H1979" s="169">
        <v>31</v>
      </c>
      <c r="I1979" s="136" t="str">
        <f t="shared" si="91"/>
        <v xml:space="preserve">VARCHAR(255) </v>
      </c>
      <c r="J1979" s="169" t="s">
        <v>0</v>
      </c>
      <c r="K1979" s="169" t="s">
        <v>1</v>
      </c>
      <c r="L1979" s="169">
        <v>30</v>
      </c>
      <c r="M1979" s="168"/>
      <c r="N1979" s="168"/>
      <c r="O1979" s="168"/>
      <c r="P1979" s="168"/>
      <c r="Q1979" s="168" t="s">
        <v>0</v>
      </c>
      <c r="R1979" s="168" t="s">
        <v>1</v>
      </c>
      <c r="S1979" s="178" t="str">
        <f t="shared" si="92"/>
        <v>S071ABCDEF0002_DOCS_DATAINPUT_FILE_NAME</v>
      </c>
    </row>
    <row r="1980" spans="1:19" ht="14.4" x14ac:dyDescent="0.3">
      <c r="A1980" s="169" t="s">
        <v>1346</v>
      </c>
      <c r="B1980" s="171" t="str">
        <f t="shared" si="90"/>
        <v>S071ABCDEF0002_DOCS_DATA</v>
      </c>
      <c r="C1980" s="169" t="s">
        <v>1551</v>
      </c>
      <c r="D1980" s="169">
        <v>1078</v>
      </c>
      <c r="E1980" s="169">
        <v>11</v>
      </c>
      <c r="F1980" s="169" t="s">
        <v>1551</v>
      </c>
      <c r="G1980" s="169" t="s">
        <v>1551</v>
      </c>
      <c r="H1980" s="169">
        <v>7</v>
      </c>
      <c r="I1980" s="136" t="str">
        <f t="shared" si="91"/>
        <v>BIGINT</v>
      </c>
      <c r="J1980" s="169" t="s">
        <v>0</v>
      </c>
      <c r="K1980" s="169" t="s">
        <v>1</v>
      </c>
      <c r="L1980" s="169">
        <v>30</v>
      </c>
      <c r="M1980" s="168"/>
      <c r="N1980" s="168"/>
      <c r="O1980" s="168"/>
      <c r="P1980" s="168"/>
      <c r="Q1980" s="168" t="s">
        <v>0</v>
      </c>
      <c r="R1980" s="168" t="s">
        <v>1</v>
      </c>
      <c r="S1980" s="178" t="str">
        <f t="shared" si="92"/>
        <v>S071ABCDEF0002_DOCS_DATAINPUT_PACKAGE_ID</v>
      </c>
    </row>
    <row r="1981" spans="1:19" ht="14.4" x14ac:dyDescent="0.3">
      <c r="A1981" s="169" t="s">
        <v>1346</v>
      </c>
      <c r="B1981" s="171" t="str">
        <f t="shared" si="90"/>
        <v>S071ABCDEF0002_DOCS_DATA</v>
      </c>
      <c r="C1981" s="169" t="s">
        <v>50</v>
      </c>
      <c r="D1981" s="169">
        <v>1079</v>
      </c>
      <c r="E1981" s="169">
        <v>12</v>
      </c>
      <c r="F1981" s="169" t="s">
        <v>50</v>
      </c>
      <c r="G1981" s="169" t="s">
        <v>50</v>
      </c>
      <c r="H1981" s="169">
        <v>37</v>
      </c>
      <c r="I1981" s="136" t="str">
        <f t="shared" si="91"/>
        <v>DECIMAL(38, 8)</v>
      </c>
      <c r="J1981" s="169" t="s">
        <v>0</v>
      </c>
      <c r="K1981" s="169" t="s">
        <v>1</v>
      </c>
      <c r="L1981" s="169">
        <v>30</v>
      </c>
      <c r="M1981" s="168"/>
      <c r="N1981" s="168"/>
      <c r="O1981" s="168"/>
      <c r="P1981" s="168"/>
      <c r="Q1981" s="168" t="s">
        <v>0</v>
      </c>
      <c r="R1981" s="168" t="s">
        <v>1</v>
      </c>
      <c r="S1981" s="178" t="str">
        <f t="shared" si="92"/>
        <v>S071ABCDEF0002_DOCS_DATANM</v>
      </c>
    </row>
    <row r="1982" spans="1:19" ht="14.4" x14ac:dyDescent="0.3">
      <c r="A1982" s="169" t="s">
        <v>1346</v>
      </c>
      <c r="B1982" s="171" t="str">
        <f t="shared" si="90"/>
        <v>S071ABCDEF0002_DOCS_DATA</v>
      </c>
      <c r="C1982" s="169" t="s">
        <v>1412</v>
      </c>
      <c r="D1982" s="169">
        <v>1080</v>
      </c>
      <c r="E1982" s="169">
        <v>13</v>
      </c>
      <c r="F1982" s="169" t="s">
        <v>1412</v>
      </c>
      <c r="G1982" s="169" t="s">
        <v>1412</v>
      </c>
      <c r="H1982" s="169">
        <v>15</v>
      </c>
      <c r="I1982" s="136" t="str">
        <f t="shared" si="91"/>
        <v xml:space="preserve">CHAR(1) </v>
      </c>
      <c r="J1982" s="169" t="s">
        <v>0</v>
      </c>
      <c r="K1982" s="169" t="s">
        <v>1</v>
      </c>
      <c r="L1982" s="169">
        <v>30</v>
      </c>
      <c r="M1982" s="168"/>
      <c r="N1982" s="168"/>
      <c r="O1982" s="168"/>
      <c r="P1982" s="168"/>
      <c r="Q1982" s="168" t="s">
        <v>0</v>
      </c>
      <c r="R1982" s="168" t="s">
        <v>1</v>
      </c>
      <c r="S1982" s="178" t="str">
        <f t="shared" si="92"/>
        <v>S071ABCDEF0002_DOCS_DATAODS$OPC</v>
      </c>
    </row>
    <row r="1983" spans="1:19" ht="14.4" x14ac:dyDescent="0.3">
      <c r="A1983" s="169" t="s">
        <v>1346</v>
      </c>
      <c r="B1983" s="171" t="str">
        <f t="shared" si="90"/>
        <v>S071ABCDEF0002_DOCS_DATA</v>
      </c>
      <c r="C1983" s="169" t="s">
        <v>1406</v>
      </c>
      <c r="D1983" s="169">
        <v>1081</v>
      </c>
      <c r="E1983" s="169">
        <v>14</v>
      </c>
      <c r="F1983" s="169" t="s">
        <v>1406</v>
      </c>
      <c r="G1983" s="169" t="s">
        <v>1406</v>
      </c>
      <c r="H1983" s="169">
        <v>22</v>
      </c>
      <c r="I1983" s="136" t="str">
        <f t="shared" si="91"/>
        <v>TIMESTAMP(6)</v>
      </c>
      <c r="J1983" s="169" t="s">
        <v>0</v>
      </c>
      <c r="K1983" s="169" t="s">
        <v>1</v>
      </c>
      <c r="L1983" s="169">
        <v>30</v>
      </c>
      <c r="M1983" s="168"/>
      <c r="N1983" s="168"/>
      <c r="O1983" s="168"/>
      <c r="P1983" s="168"/>
      <c r="Q1983" s="168" t="s">
        <v>0</v>
      </c>
      <c r="R1983" s="168" t="s">
        <v>1</v>
      </c>
      <c r="S1983" s="178" t="str">
        <f t="shared" si="92"/>
        <v>S071ABCDEF0002_DOCS_DATAODS$VALIDFROM</v>
      </c>
    </row>
    <row r="1984" spans="1:19" ht="14.4" x14ac:dyDescent="0.3">
      <c r="A1984" s="169" t="s">
        <v>1346</v>
      </c>
      <c r="B1984" s="171" t="str">
        <f t="shared" si="90"/>
        <v>S071ABCDEF0002_DOCS_DATA</v>
      </c>
      <c r="C1984" s="169" t="s">
        <v>1399</v>
      </c>
      <c r="D1984" s="169">
        <v>1082</v>
      </c>
      <c r="E1984" s="169">
        <v>15</v>
      </c>
      <c r="F1984" s="169" t="s">
        <v>1399</v>
      </c>
      <c r="G1984" s="169" t="s">
        <v>1399</v>
      </c>
      <c r="H1984" s="169">
        <v>7</v>
      </c>
      <c r="I1984" s="136" t="str">
        <f t="shared" si="91"/>
        <v>BIGINT</v>
      </c>
      <c r="J1984" s="169" t="s">
        <v>0</v>
      </c>
      <c r="K1984" s="169" t="s">
        <v>1</v>
      </c>
      <c r="L1984" s="169">
        <v>30</v>
      </c>
      <c r="M1984" s="168"/>
      <c r="N1984" s="168"/>
      <c r="O1984" s="168"/>
      <c r="P1984" s="168"/>
      <c r="Q1984" s="168" t="s">
        <v>0</v>
      </c>
      <c r="R1984" s="168" t="s">
        <v>1</v>
      </c>
      <c r="S1984" s="178" t="str">
        <f t="shared" si="92"/>
        <v>S071ABCDEF0002_DOCS_DATAROW_NBR</v>
      </c>
    </row>
    <row r="1985" spans="1:19" ht="14.4" x14ac:dyDescent="0.3">
      <c r="A1985" s="169" t="s">
        <v>1333</v>
      </c>
      <c r="B1985" s="171" t="str">
        <f t="shared" si="90"/>
        <v>S071ABCDEF0003_DICT_CURRENCY</v>
      </c>
      <c r="C1985" s="169" t="s">
        <v>1479</v>
      </c>
      <c r="D1985" s="169">
        <v>2027</v>
      </c>
      <c r="E1985" s="169">
        <v>1</v>
      </c>
      <c r="F1985" s="169" t="s">
        <v>1479</v>
      </c>
      <c r="G1985" s="169" t="s">
        <v>1479</v>
      </c>
      <c r="H1985" s="169">
        <v>33</v>
      </c>
      <c r="I1985" s="136" t="str">
        <f t="shared" si="91"/>
        <v xml:space="preserve">VARCHAR(3) </v>
      </c>
      <c r="J1985" s="169" t="s">
        <v>0</v>
      </c>
      <c r="K1985" s="169" t="s">
        <v>0</v>
      </c>
      <c r="L1985" s="169">
        <v>30</v>
      </c>
      <c r="M1985" s="168"/>
      <c r="N1985" s="168"/>
      <c r="O1985" s="168"/>
      <c r="P1985" s="168"/>
      <c r="Q1985" s="168" t="s">
        <v>0</v>
      </c>
      <c r="R1985" s="168" t="s">
        <v>1</v>
      </c>
      <c r="S1985" s="178" t="str">
        <f t="shared" si="92"/>
        <v>S071ABCDEF0003_DICT_CURRENCYCHARCODE</v>
      </c>
    </row>
    <row r="1986" spans="1:19" ht="14.4" x14ac:dyDescent="0.3">
      <c r="A1986" s="169" t="s">
        <v>1333</v>
      </c>
      <c r="B1986" s="171" t="str">
        <f t="shared" ref="B1986:B2005" si="93">IF(NOT(ISBLANK(A1986)),VLOOKUP(A1986,ERM_TABLE_NM,2,FALSE), "")</f>
        <v>S071ABCDEF0003_DICT_CURRENCY</v>
      </c>
      <c r="C1986" s="169" t="s">
        <v>1575</v>
      </c>
      <c r="D1986" s="169">
        <v>2028</v>
      </c>
      <c r="E1986" s="169">
        <v>2</v>
      </c>
      <c r="F1986" s="169" t="s">
        <v>1575</v>
      </c>
      <c r="G1986" s="169" t="s">
        <v>1575</v>
      </c>
      <c r="H1986" s="169">
        <v>35</v>
      </c>
      <c r="I1986" s="136" t="str">
        <f t="shared" ref="I1986:I2005" si="94">IF(NOT(ISBLANK(H1986)),VLOOKUP(H1986,ERM_DOMAIN_NM,2,FALSE), "")</f>
        <v xml:space="preserve">VARCHAR(500) </v>
      </c>
      <c r="J1986" s="169" t="s">
        <v>0</v>
      </c>
      <c r="K1986" s="169" t="s">
        <v>1</v>
      </c>
      <c r="L1986" s="169">
        <v>30</v>
      </c>
      <c r="M1986" s="168"/>
      <c r="N1986" s="168"/>
      <c r="O1986" s="168"/>
      <c r="P1986" s="168"/>
      <c r="Q1986" s="168" t="s">
        <v>0</v>
      </c>
      <c r="R1986" s="168" t="s">
        <v>1</v>
      </c>
      <c r="S1986" s="178" t="str">
        <f t="shared" si="92"/>
        <v>S071ABCDEF0003_DICT_CURRENCYCOUNTRIES</v>
      </c>
    </row>
    <row r="1987" spans="1:19" ht="14.4" x14ac:dyDescent="0.3">
      <c r="A1987" s="169" t="s">
        <v>1333</v>
      </c>
      <c r="B1987" s="171" t="str">
        <f t="shared" si="93"/>
        <v>S071ABCDEF0003_DICT_CURRENCY</v>
      </c>
      <c r="C1987" s="169" t="s">
        <v>1458</v>
      </c>
      <c r="D1987" s="169">
        <v>2029</v>
      </c>
      <c r="E1987" s="169">
        <v>3</v>
      </c>
      <c r="F1987" s="169" t="s">
        <v>1458</v>
      </c>
      <c r="G1987" s="169" t="s">
        <v>1458</v>
      </c>
      <c r="H1987" s="169">
        <v>6</v>
      </c>
      <c r="I1987" s="136" t="str">
        <f t="shared" si="94"/>
        <v>SMALLINT</v>
      </c>
      <c r="J1987" s="169" t="s">
        <v>0</v>
      </c>
      <c r="K1987" s="169" t="s">
        <v>1</v>
      </c>
      <c r="L1987" s="169">
        <v>30</v>
      </c>
      <c r="M1987" s="168"/>
      <c r="N1987" s="168"/>
      <c r="O1987" s="168"/>
      <c r="P1987" s="168"/>
      <c r="Q1987" s="168" t="s">
        <v>0</v>
      </c>
      <c r="R1987" s="168" t="s">
        <v>1</v>
      </c>
      <c r="S1987" s="178" t="str">
        <f t="shared" ref="S1987:S2001" si="95">CONCATENATE(A1987,C1987)</f>
        <v>S071ABCDEF0003_DICT_CURRENCYINFO_SYSTEM_ID</v>
      </c>
    </row>
    <row r="1988" spans="1:19" ht="14.4" x14ac:dyDescent="0.3">
      <c r="A1988" s="169" t="s">
        <v>1333</v>
      </c>
      <c r="B1988" s="171" t="str">
        <f t="shared" si="93"/>
        <v>S071ABCDEF0003_DICT_CURRENCY</v>
      </c>
      <c r="C1988" s="169" t="s">
        <v>1565</v>
      </c>
      <c r="D1988" s="169">
        <v>2030</v>
      </c>
      <c r="E1988" s="169">
        <v>4</v>
      </c>
      <c r="F1988" s="169" t="s">
        <v>1565</v>
      </c>
      <c r="G1988" s="169" t="s">
        <v>1565</v>
      </c>
      <c r="H1988" s="169">
        <v>30</v>
      </c>
      <c r="I1988" s="136" t="str">
        <f t="shared" si="94"/>
        <v xml:space="preserve">CHAR(6) </v>
      </c>
      <c r="J1988" s="169" t="s">
        <v>0</v>
      </c>
      <c r="K1988" s="169" t="s">
        <v>1</v>
      </c>
      <c r="L1988" s="169">
        <v>30</v>
      </c>
      <c r="M1988" s="168"/>
      <c r="N1988" s="168"/>
      <c r="O1988" s="168"/>
      <c r="P1988" s="168"/>
      <c r="Q1988" s="168" t="s">
        <v>0</v>
      </c>
      <c r="R1988" s="168" t="s">
        <v>1</v>
      </c>
      <c r="S1988" s="178" t="str">
        <f t="shared" si="95"/>
        <v>S071ABCDEF0003_DICT_CURRENCYINFO_SYSTEM_INST_CD</v>
      </c>
    </row>
    <row r="1989" spans="1:19" ht="14.4" x14ac:dyDescent="0.3">
      <c r="A1989" s="169" t="s">
        <v>1333</v>
      </c>
      <c r="B1989" s="171" t="str">
        <f t="shared" si="93"/>
        <v>S071ABCDEF0003_DICT_CURRENCY</v>
      </c>
      <c r="C1989" s="169" t="s">
        <v>1446</v>
      </c>
      <c r="D1989" s="169">
        <v>2031</v>
      </c>
      <c r="E1989" s="169">
        <v>5</v>
      </c>
      <c r="F1989" s="169" t="s">
        <v>1446</v>
      </c>
      <c r="G1989" s="169" t="s">
        <v>1446</v>
      </c>
      <c r="H1989" s="169">
        <v>14</v>
      </c>
      <c r="I1989" s="136" t="str">
        <f t="shared" si="94"/>
        <v xml:space="preserve">CHAR(3) </v>
      </c>
      <c r="J1989" s="169" t="s">
        <v>0</v>
      </c>
      <c r="K1989" s="169" t="s">
        <v>1</v>
      </c>
      <c r="L1989" s="169">
        <v>30</v>
      </c>
      <c r="M1989" s="168"/>
      <c r="N1989" s="168"/>
      <c r="O1989" s="168"/>
      <c r="P1989" s="168"/>
      <c r="Q1989" s="168" t="s">
        <v>0</v>
      </c>
      <c r="R1989" s="168" t="s">
        <v>1</v>
      </c>
      <c r="S1989" s="178" t="str">
        <f t="shared" si="95"/>
        <v>S071ABCDEF0003_DICT_CURRENCYINFO_SYSTEM_TYPE_CD</v>
      </c>
    </row>
    <row r="1990" spans="1:19" ht="14.4" x14ac:dyDescent="0.3">
      <c r="A1990" s="169" t="s">
        <v>1333</v>
      </c>
      <c r="B1990" s="171" t="str">
        <f t="shared" si="93"/>
        <v>S071ABCDEF0003_DICT_CURRENCY</v>
      </c>
      <c r="C1990" s="169" t="s">
        <v>1559</v>
      </c>
      <c r="D1990" s="169">
        <v>2032</v>
      </c>
      <c r="E1990" s="169">
        <v>6</v>
      </c>
      <c r="F1990" s="169" t="s">
        <v>1559</v>
      </c>
      <c r="G1990" s="169" t="s">
        <v>1559</v>
      </c>
      <c r="H1990" s="169">
        <v>7</v>
      </c>
      <c r="I1990" s="136" t="str">
        <f t="shared" si="94"/>
        <v>BIGINT</v>
      </c>
      <c r="J1990" s="169" t="s">
        <v>0</v>
      </c>
      <c r="K1990" s="169" t="s">
        <v>1</v>
      </c>
      <c r="L1990" s="169">
        <v>30</v>
      </c>
      <c r="M1990" s="168"/>
      <c r="N1990" s="168"/>
      <c r="O1990" s="168"/>
      <c r="P1990" s="168"/>
      <c r="Q1990" s="168" t="s">
        <v>0</v>
      </c>
      <c r="R1990" s="168" t="s">
        <v>1</v>
      </c>
      <c r="S1990" s="178" t="str">
        <f t="shared" si="95"/>
        <v>S071ABCDEF0003_DICT_CURRENCYINPUT_FILE_ID</v>
      </c>
    </row>
    <row r="1991" spans="1:19" ht="14.4" x14ac:dyDescent="0.3">
      <c r="A1991" s="169" t="s">
        <v>1333</v>
      </c>
      <c r="B1991" s="171" t="str">
        <f t="shared" si="93"/>
        <v>S071ABCDEF0003_DICT_CURRENCY</v>
      </c>
      <c r="C1991" s="169" t="s">
        <v>1434</v>
      </c>
      <c r="D1991" s="169">
        <v>2033</v>
      </c>
      <c r="E1991" s="169">
        <v>7</v>
      </c>
      <c r="F1991" s="169" t="s">
        <v>1434</v>
      </c>
      <c r="G1991" s="169" t="s">
        <v>1434</v>
      </c>
      <c r="H1991" s="169">
        <v>31</v>
      </c>
      <c r="I1991" s="136" t="str">
        <f t="shared" si="94"/>
        <v xml:space="preserve">VARCHAR(255) </v>
      </c>
      <c r="J1991" s="169" t="s">
        <v>0</v>
      </c>
      <c r="K1991" s="169" t="s">
        <v>1</v>
      </c>
      <c r="L1991" s="169">
        <v>30</v>
      </c>
      <c r="M1991" s="168"/>
      <c r="N1991" s="168"/>
      <c r="O1991" s="168"/>
      <c r="P1991" s="168"/>
      <c r="Q1991" s="168" t="s">
        <v>0</v>
      </c>
      <c r="R1991" s="168" t="s">
        <v>1</v>
      </c>
      <c r="S1991" s="178" t="str">
        <f t="shared" si="95"/>
        <v>S071ABCDEF0003_DICT_CURRENCYINPUT_FILE_NAME</v>
      </c>
    </row>
    <row r="1992" spans="1:19" ht="14.4" x14ac:dyDescent="0.3">
      <c r="A1992" s="169" t="s">
        <v>1333</v>
      </c>
      <c r="B1992" s="171" t="str">
        <f t="shared" si="93"/>
        <v>S071ABCDEF0003_DICT_CURRENCY</v>
      </c>
      <c r="C1992" s="169" t="s">
        <v>1551</v>
      </c>
      <c r="D1992" s="169">
        <v>2034</v>
      </c>
      <c r="E1992" s="169">
        <v>8</v>
      </c>
      <c r="F1992" s="169" t="s">
        <v>1551</v>
      </c>
      <c r="G1992" s="169" t="s">
        <v>1551</v>
      </c>
      <c r="H1992" s="169">
        <v>7</v>
      </c>
      <c r="I1992" s="136" t="str">
        <f t="shared" si="94"/>
        <v>BIGINT</v>
      </c>
      <c r="J1992" s="169" t="s">
        <v>0</v>
      </c>
      <c r="K1992" s="169" t="s">
        <v>1</v>
      </c>
      <c r="L1992" s="169">
        <v>30</v>
      </c>
      <c r="M1992" s="168"/>
      <c r="N1992" s="168"/>
      <c r="O1992" s="168"/>
      <c r="P1992" s="168"/>
      <c r="Q1992" s="168" t="s">
        <v>0</v>
      </c>
      <c r="R1992" s="168" t="s">
        <v>1</v>
      </c>
      <c r="S1992" s="178" t="str">
        <f t="shared" si="95"/>
        <v>S071ABCDEF0003_DICT_CURRENCYINPUT_PACKAGE_ID</v>
      </c>
    </row>
    <row r="1993" spans="1:19" ht="14.4" x14ac:dyDescent="0.3">
      <c r="A1993" s="169" t="s">
        <v>1333</v>
      </c>
      <c r="B1993" s="171" t="str">
        <f t="shared" si="93"/>
        <v>S071ABCDEF0003_DICT_CURRENCY</v>
      </c>
      <c r="C1993" s="169" t="s">
        <v>1426</v>
      </c>
      <c r="D1993" s="169">
        <v>2035</v>
      </c>
      <c r="E1993" s="169">
        <v>9</v>
      </c>
      <c r="F1993" s="169" t="s">
        <v>1426</v>
      </c>
      <c r="G1993" s="169" t="s">
        <v>1426</v>
      </c>
      <c r="H1993" s="169">
        <v>5</v>
      </c>
      <c r="I1993" s="136" t="str">
        <f t="shared" si="94"/>
        <v xml:space="preserve">VARCHAR(100) </v>
      </c>
      <c r="J1993" s="169" t="s">
        <v>0</v>
      </c>
      <c r="K1993" s="169" t="s">
        <v>1</v>
      </c>
      <c r="L1993" s="169">
        <v>30</v>
      </c>
      <c r="M1993" s="168"/>
      <c r="N1993" s="168"/>
      <c r="O1993" s="168"/>
      <c r="P1993" s="168"/>
      <c r="Q1993" s="168" t="s">
        <v>0</v>
      </c>
      <c r="R1993" s="168" t="s">
        <v>1</v>
      </c>
      <c r="S1993" s="178" t="str">
        <f t="shared" si="95"/>
        <v>S071ABCDEF0003_DICT_CURRENCYNAME</v>
      </c>
    </row>
    <row r="1994" spans="1:19" ht="14.4" x14ac:dyDescent="0.3">
      <c r="A1994" s="169" t="s">
        <v>1333</v>
      </c>
      <c r="B1994" s="171" t="str">
        <f t="shared" si="93"/>
        <v>S071ABCDEF0003_DICT_CURRENCY</v>
      </c>
      <c r="C1994" s="169" t="s">
        <v>1542</v>
      </c>
      <c r="D1994" s="169">
        <v>2036</v>
      </c>
      <c r="E1994" s="169">
        <v>10</v>
      </c>
      <c r="F1994" s="169" t="s">
        <v>1542</v>
      </c>
      <c r="G1994" s="169" t="s">
        <v>1542</v>
      </c>
      <c r="H1994" s="169">
        <v>6</v>
      </c>
      <c r="I1994" s="136" t="str">
        <f t="shared" si="94"/>
        <v>SMALLINT</v>
      </c>
      <c r="J1994" s="169" t="s">
        <v>0</v>
      </c>
      <c r="K1994" s="169" t="s">
        <v>1</v>
      </c>
      <c r="L1994" s="169">
        <v>30</v>
      </c>
      <c r="M1994" s="168"/>
      <c r="N1994" s="168"/>
      <c r="O1994" s="168"/>
      <c r="P1994" s="168"/>
      <c r="Q1994" s="168" t="s">
        <v>0</v>
      </c>
      <c r="R1994" s="168" t="s">
        <v>1</v>
      </c>
      <c r="S1994" s="178" t="str">
        <f t="shared" si="95"/>
        <v>S071ABCDEF0003_DICT_CURRENCYNUMCODE</v>
      </c>
    </row>
    <row r="1995" spans="1:19" ht="14.4" x14ac:dyDescent="0.3">
      <c r="A1995" s="169" t="s">
        <v>1333</v>
      </c>
      <c r="B1995" s="171" t="str">
        <f t="shared" si="93"/>
        <v>S071ABCDEF0003_DICT_CURRENCY</v>
      </c>
      <c r="C1995" s="169" t="s">
        <v>1412</v>
      </c>
      <c r="D1995" s="169">
        <v>2037</v>
      </c>
      <c r="E1995" s="169">
        <v>11</v>
      </c>
      <c r="F1995" s="169" t="s">
        <v>1412</v>
      </c>
      <c r="G1995" s="169" t="s">
        <v>1412</v>
      </c>
      <c r="H1995" s="169">
        <v>15</v>
      </c>
      <c r="I1995" s="136" t="str">
        <f t="shared" si="94"/>
        <v xml:space="preserve">CHAR(1) </v>
      </c>
      <c r="J1995" s="169" t="s">
        <v>0</v>
      </c>
      <c r="K1995" s="169" t="s">
        <v>1</v>
      </c>
      <c r="L1995" s="169">
        <v>30</v>
      </c>
      <c r="M1995" s="168"/>
      <c r="N1995" s="168"/>
      <c r="O1995" s="168"/>
      <c r="P1995" s="168"/>
      <c r="Q1995" s="168" t="s">
        <v>0</v>
      </c>
      <c r="R1995" s="168" t="s">
        <v>1</v>
      </c>
      <c r="S1995" s="178" t="str">
        <f t="shared" si="95"/>
        <v>S071ABCDEF0003_DICT_CURRENCYODS$OPC</v>
      </c>
    </row>
    <row r="1996" spans="1:19" ht="14.4" x14ac:dyDescent="0.3">
      <c r="A1996" s="169" t="s">
        <v>1333</v>
      </c>
      <c r="B1996" s="171" t="str">
        <f t="shared" si="93"/>
        <v>S071ABCDEF0003_DICT_CURRENCY</v>
      </c>
      <c r="C1996" s="169" t="s">
        <v>1406</v>
      </c>
      <c r="D1996" s="169">
        <v>2038</v>
      </c>
      <c r="E1996" s="169">
        <v>12</v>
      </c>
      <c r="F1996" s="169" t="s">
        <v>1406</v>
      </c>
      <c r="G1996" s="169" t="s">
        <v>1406</v>
      </c>
      <c r="H1996" s="169">
        <v>22</v>
      </c>
      <c r="I1996" s="136" t="str">
        <f t="shared" si="94"/>
        <v>TIMESTAMP(6)</v>
      </c>
      <c r="J1996" s="169" t="s">
        <v>0</v>
      </c>
      <c r="K1996" s="169" t="s">
        <v>1</v>
      </c>
      <c r="L1996" s="169">
        <v>30</v>
      </c>
      <c r="M1996" s="168"/>
      <c r="N1996" s="168"/>
      <c r="O1996" s="168"/>
      <c r="P1996" s="168"/>
      <c r="Q1996" s="168" t="s">
        <v>0</v>
      </c>
      <c r="R1996" s="168" t="s">
        <v>1</v>
      </c>
      <c r="S1996" s="178" t="str">
        <f t="shared" si="95"/>
        <v>S071ABCDEF0003_DICT_CURRENCYODS$VALIDFROM</v>
      </c>
    </row>
    <row r="1997" spans="1:19" ht="14.4" x14ac:dyDescent="0.3">
      <c r="A1997" s="169" t="s">
        <v>1333</v>
      </c>
      <c r="B1997" s="171" t="str">
        <f t="shared" si="93"/>
        <v>S071ABCDEF0003_DICT_CURRENCY</v>
      </c>
      <c r="C1997" s="169" t="s">
        <v>1399</v>
      </c>
      <c r="D1997" s="169">
        <v>2039</v>
      </c>
      <c r="E1997" s="169">
        <v>13</v>
      </c>
      <c r="F1997" s="169" t="s">
        <v>1399</v>
      </c>
      <c r="G1997" s="169" t="s">
        <v>1399</v>
      </c>
      <c r="H1997" s="169">
        <v>7</v>
      </c>
      <c r="I1997" s="136" t="str">
        <f t="shared" si="94"/>
        <v>BIGINT</v>
      </c>
      <c r="J1997" s="169" t="s">
        <v>0</v>
      </c>
      <c r="K1997" s="169" t="s">
        <v>1</v>
      </c>
      <c r="L1997" s="169">
        <v>30</v>
      </c>
      <c r="M1997" s="168"/>
      <c r="N1997" s="168"/>
      <c r="O1997" s="168"/>
      <c r="P1997" s="168"/>
      <c r="Q1997" s="168" t="s">
        <v>0</v>
      </c>
      <c r="R1997" s="168" t="s">
        <v>1</v>
      </c>
      <c r="S1997" s="178" t="str">
        <f t="shared" si="95"/>
        <v>S071ABCDEF0003_DICT_CURRENCYROW_NBR</v>
      </c>
    </row>
    <row r="1998" spans="1:19" ht="14.4" x14ac:dyDescent="0.3">
      <c r="A1998" s="169" t="s">
        <v>1782</v>
      </c>
      <c r="B1998" s="171" t="str">
        <f t="shared" si="93"/>
        <v>SGPD_BACKWARD</v>
      </c>
      <c r="C1998" s="169" t="s">
        <v>581</v>
      </c>
      <c r="D1998" s="169">
        <v>1083</v>
      </c>
      <c r="E1998" s="169">
        <v>1</v>
      </c>
      <c r="F1998" s="169" t="s">
        <v>581</v>
      </c>
      <c r="G1998" s="169" t="s">
        <v>581</v>
      </c>
      <c r="H1998" s="169">
        <v>7</v>
      </c>
      <c r="I1998" s="136" t="str">
        <f t="shared" si="94"/>
        <v>BIGINT</v>
      </c>
      <c r="J1998" s="169" t="s">
        <v>1</v>
      </c>
      <c r="K1998" s="169" t="s">
        <v>1</v>
      </c>
      <c r="L1998" s="169">
        <v>30</v>
      </c>
      <c r="M1998" s="168"/>
      <c r="N1998" s="168"/>
      <c r="O1998" s="168"/>
      <c r="P1998" s="168"/>
      <c r="Q1998" s="168" t="s">
        <v>0</v>
      </c>
      <c r="R1998" s="168" t="s">
        <v>1</v>
      </c>
      <c r="S1998" s="178" t="str">
        <f t="shared" si="95"/>
        <v>SGPD_BACKWARDCP_ORIG_ID</v>
      </c>
    </row>
    <row r="1999" spans="1:19" ht="14.4" x14ac:dyDescent="0.3">
      <c r="A1999" s="169" t="s">
        <v>1782</v>
      </c>
      <c r="B1999" s="171" t="str">
        <f t="shared" si="93"/>
        <v>SGPD_BACKWARD</v>
      </c>
      <c r="C1999" s="169" t="s">
        <v>1408</v>
      </c>
      <c r="D1999" s="169">
        <v>1084</v>
      </c>
      <c r="E1999" s="169">
        <v>2</v>
      </c>
      <c r="F1999" s="169" t="s">
        <v>1408</v>
      </c>
      <c r="G1999" s="169" t="s">
        <v>1408</v>
      </c>
      <c r="H1999" s="169">
        <v>7</v>
      </c>
      <c r="I1999" s="136" t="str">
        <f t="shared" si="94"/>
        <v>BIGINT</v>
      </c>
      <c r="J1999" s="169" t="s">
        <v>1</v>
      </c>
      <c r="K1999" s="169" t="s">
        <v>0</v>
      </c>
      <c r="L1999" s="169">
        <v>30</v>
      </c>
      <c r="M1999" s="168"/>
      <c r="N1999" s="168"/>
      <c r="O1999" s="168"/>
      <c r="P1999" s="168"/>
      <c r="Q1999" s="168" t="s">
        <v>0</v>
      </c>
      <c r="R1999" s="168" t="s">
        <v>1</v>
      </c>
      <c r="S1999" s="178" t="str">
        <f t="shared" si="95"/>
        <v>SGPD_BACKWARDDDPL_SUPERGROUP_ID</v>
      </c>
    </row>
    <row r="2000" spans="1:19" ht="14.4" x14ac:dyDescent="0.3">
      <c r="A2000" s="169" t="s">
        <v>1782</v>
      </c>
      <c r="B2000" s="171" t="str">
        <f t="shared" si="93"/>
        <v>SGPD_BACKWARD</v>
      </c>
      <c r="C2000" s="169" t="s">
        <v>498</v>
      </c>
      <c r="D2000" s="169">
        <v>1085</v>
      </c>
      <c r="E2000" s="169">
        <v>3</v>
      </c>
      <c r="F2000" s="169" t="s">
        <v>498</v>
      </c>
      <c r="G2000" s="169" t="s">
        <v>498</v>
      </c>
      <c r="H2000" s="169">
        <v>7</v>
      </c>
      <c r="I2000" s="136" t="str">
        <f t="shared" si="94"/>
        <v>BIGINT</v>
      </c>
      <c r="J2000" s="169" t="s">
        <v>1</v>
      </c>
      <c r="K2000" s="169" t="s">
        <v>1</v>
      </c>
      <c r="L2000" s="169">
        <v>30</v>
      </c>
      <c r="M2000" s="168"/>
      <c r="N2000" s="168"/>
      <c r="O2000" s="168"/>
      <c r="P2000" s="168"/>
      <c r="Q2000" s="168" t="s">
        <v>0</v>
      </c>
      <c r="R2000" s="168" t="s">
        <v>1</v>
      </c>
      <c r="S2000" s="178" t="str">
        <f t="shared" si="95"/>
        <v>SGPD_BACKWARDRUN_ID</v>
      </c>
    </row>
    <row r="2001" spans="1:19" ht="14.4" x14ac:dyDescent="0.3">
      <c r="A2001" s="169" t="s">
        <v>1782</v>
      </c>
      <c r="B2001" s="171" t="str">
        <f t="shared" si="93"/>
        <v>SGPD_BACKWARD</v>
      </c>
      <c r="C2001" s="169" t="s">
        <v>492</v>
      </c>
      <c r="D2001" s="169">
        <v>1086</v>
      </c>
      <c r="E2001" s="169">
        <v>4</v>
      </c>
      <c r="F2001" s="169" t="s">
        <v>492</v>
      </c>
      <c r="G2001" s="169" t="s">
        <v>492</v>
      </c>
      <c r="H2001" s="169">
        <v>34</v>
      </c>
      <c r="I2001" s="136" t="str">
        <f t="shared" si="94"/>
        <v>DATE</v>
      </c>
      <c r="J2001" s="169" t="s">
        <v>1</v>
      </c>
      <c r="K2001" s="169" t="s">
        <v>1</v>
      </c>
      <c r="L2001" s="169">
        <v>30</v>
      </c>
      <c r="M2001" s="168"/>
      <c r="N2001" s="168"/>
      <c r="O2001" s="168"/>
      <c r="P2001" s="168"/>
      <c r="Q2001" s="168" t="s">
        <v>0</v>
      </c>
      <c r="R2001" s="168" t="s">
        <v>1</v>
      </c>
      <c r="S2001" s="178" t="str">
        <f t="shared" si="95"/>
        <v>SGPD_BACKWARDVALIDITY_DT</v>
      </c>
    </row>
    <row r="2002" spans="1:19" ht="14.4" x14ac:dyDescent="0.3">
      <c r="A2002" s="169" t="s">
        <v>1778</v>
      </c>
      <c r="B2002" s="171" t="str">
        <f t="shared" si="93"/>
        <v>SGPD_FORWARD</v>
      </c>
      <c r="C2002" s="169" t="s">
        <v>581</v>
      </c>
      <c r="D2002" s="169">
        <v>2040</v>
      </c>
      <c r="E2002" s="169">
        <v>1</v>
      </c>
      <c r="F2002" s="169" t="s">
        <v>581</v>
      </c>
      <c r="G2002" s="169" t="s">
        <v>581</v>
      </c>
      <c r="H2002" s="169">
        <v>7</v>
      </c>
      <c r="I2002" s="136" t="str">
        <f t="shared" si="94"/>
        <v>BIGINT</v>
      </c>
      <c r="J2002" s="169" t="s">
        <v>1</v>
      </c>
      <c r="K2002" s="169" t="s">
        <v>1</v>
      </c>
      <c r="L2002" s="169">
        <v>30</v>
      </c>
      <c r="M2002" s="168"/>
      <c r="N2002" s="168"/>
      <c r="O2002" s="168"/>
      <c r="P2002" s="168"/>
      <c r="Q2002" s="168" t="s">
        <v>0</v>
      </c>
      <c r="R2002" s="168" t="s">
        <v>1</v>
      </c>
    </row>
    <row r="2003" spans="1:19" ht="14.4" x14ac:dyDescent="0.3">
      <c r="A2003" s="169" t="s">
        <v>1778</v>
      </c>
      <c r="B2003" s="171" t="str">
        <f t="shared" si="93"/>
        <v>SGPD_FORWARD</v>
      </c>
      <c r="C2003" s="169" t="s">
        <v>1408</v>
      </c>
      <c r="D2003" s="169">
        <v>2041</v>
      </c>
      <c r="E2003" s="169">
        <v>2</v>
      </c>
      <c r="F2003" s="169" t="s">
        <v>1408</v>
      </c>
      <c r="G2003" s="169" t="s">
        <v>1408</v>
      </c>
      <c r="H2003" s="169">
        <v>7</v>
      </c>
      <c r="I2003" s="136" t="str">
        <f t="shared" si="94"/>
        <v>BIGINT</v>
      </c>
      <c r="J2003" s="169" t="s">
        <v>1</v>
      </c>
      <c r="K2003" s="169" t="s">
        <v>0</v>
      </c>
      <c r="L2003" s="169">
        <v>30</v>
      </c>
      <c r="M2003" s="168"/>
      <c r="N2003" s="168"/>
      <c r="O2003" s="168"/>
      <c r="P2003" s="168"/>
      <c r="Q2003" s="168" t="s">
        <v>0</v>
      </c>
      <c r="R2003" s="168" t="s">
        <v>1</v>
      </c>
    </row>
    <row r="2004" spans="1:19" ht="14.4" x14ac:dyDescent="0.3">
      <c r="A2004" s="169" t="s">
        <v>1778</v>
      </c>
      <c r="B2004" s="171" t="str">
        <f t="shared" si="93"/>
        <v>SGPD_FORWARD</v>
      </c>
      <c r="C2004" s="169" t="s">
        <v>498</v>
      </c>
      <c r="D2004" s="169">
        <v>2042</v>
      </c>
      <c r="E2004" s="169">
        <v>3</v>
      </c>
      <c r="F2004" s="169" t="s">
        <v>498</v>
      </c>
      <c r="G2004" s="169" t="s">
        <v>498</v>
      </c>
      <c r="H2004" s="169">
        <v>7</v>
      </c>
      <c r="I2004" s="136" t="str">
        <f t="shared" si="94"/>
        <v>BIGINT</v>
      </c>
      <c r="J2004" s="169" t="s">
        <v>1</v>
      </c>
      <c r="K2004" s="169" t="s">
        <v>1</v>
      </c>
      <c r="L2004" s="169">
        <v>30</v>
      </c>
      <c r="M2004" s="168"/>
      <c r="N2004" s="168"/>
      <c r="O2004" s="168"/>
      <c r="P2004" s="168"/>
      <c r="Q2004" s="168" t="s">
        <v>0</v>
      </c>
      <c r="R2004" s="168" t="s">
        <v>1</v>
      </c>
    </row>
    <row r="2005" spans="1:19" ht="14.4" x14ac:dyDescent="0.3">
      <c r="A2005" s="169" t="s">
        <v>1778</v>
      </c>
      <c r="B2005" s="171" t="str">
        <f t="shared" si="93"/>
        <v>SGPD_FORWARD</v>
      </c>
      <c r="C2005" s="169" t="s">
        <v>492</v>
      </c>
      <c r="D2005" s="169">
        <v>2043</v>
      </c>
      <c r="E2005" s="169">
        <v>4</v>
      </c>
      <c r="F2005" s="169" t="s">
        <v>492</v>
      </c>
      <c r="G2005" s="169" t="s">
        <v>492</v>
      </c>
      <c r="H2005" s="169">
        <v>34</v>
      </c>
      <c r="I2005" s="136" t="str">
        <f t="shared" si="94"/>
        <v>DATE</v>
      </c>
      <c r="J2005" s="169" t="s">
        <v>1</v>
      </c>
      <c r="K2005" s="169" t="s">
        <v>1</v>
      </c>
      <c r="L2005" s="169">
        <v>30</v>
      </c>
      <c r="M2005" s="168"/>
      <c r="N2005" s="168"/>
      <c r="O2005" s="168"/>
      <c r="P2005" s="168"/>
      <c r="Q2005" s="168" t="s">
        <v>0</v>
      </c>
      <c r="R2005" s="168" t="s">
        <v>1</v>
      </c>
    </row>
  </sheetData>
  <sheetProtection insertRows="0" deleteRows="0" autoFilter="0"/>
  <autoFilter ref="A1:S2005"/>
  <dataConsolidate/>
  <dataValidations count="1">
    <dataValidation type="list" allowBlank="1" showInputMessage="1" showErrorMessage="1" sqref="J1 J2:K1048576">
      <formula1>YN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theme="9" tint="-0.249977111117893"/>
  </sheetPr>
  <dimension ref="A1:I56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8" sqref="B18"/>
    </sheetView>
  </sheetViews>
  <sheetFormatPr defaultColWidth="9.109375" defaultRowHeight="13.8" x14ac:dyDescent="0.3"/>
  <cols>
    <col min="1" max="1" width="13.88671875" style="38" customWidth="1"/>
    <col min="2" max="2" width="30.109375" style="38" customWidth="1"/>
    <col min="3" max="3" width="19.109375" style="38" customWidth="1"/>
    <col min="4" max="4" width="15.109375" style="38" customWidth="1"/>
    <col min="5" max="5" width="16" style="38" customWidth="1"/>
    <col min="6" max="9" width="16.88671875" style="38" customWidth="1"/>
    <col min="10" max="16384" width="9.109375" style="38"/>
  </cols>
  <sheetData>
    <row r="1" spans="1:9" ht="41.4" x14ac:dyDescent="0.3">
      <c r="A1" s="3" t="s">
        <v>30</v>
      </c>
      <c r="B1" s="3" t="s">
        <v>31</v>
      </c>
      <c r="C1" s="3" t="s">
        <v>32</v>
      </c>
      <c r="D1" s="3" t="s">
        <v>33</v>
      </c>
      <c r="E1" s="3" t="s">
        <v>34</v>
      </c>
      <c r="F1" s="3" t="s">
        <v>35</v>
      </c>
      <c r="G1" s="3" t="s">
        <v>36</v>
      </c>
      <c r="H1" s="3" t="s">
        <v>37</v>
      </c>
      <c r="I1" s="3" t="s">
        <v>38</v>
      </c>
    </row>
    <row r="2" spans="1:9" s="88" customFormat="1" x14ac:dyDescent="0.3">
      <c r="A2" s="92">
        <v>1</v>
      </c>
      <c r="B2" s="92" t="s">
        <v>1977</v>
      </c>
      <c r="C2" s="92" t="s">
        <v>40</v>
      </c>
      <c r="D2" s="92">
        <v>0</v>
      </c>
      <c r="E2" s="92">
        <v>16</v>
      </c>
      <c r="F2" s="93"/>
      <c r="G2" s="93"/>
      <c r="H2" s="93"/>
      <c r="I2" s="93"/>
    </row>
    <row r="3" spans="1:9" s="88" customFormat="1" x14ac:dyDescent="0.3">
      <c r="A3" s="92">
        <v>2</v>
      </c>
      <c r="B3" s="92" t="s">
        <v>1978</v>
      </c>
      <c r="C3" s="92" t="s">
        <v>256</v>
      </c>
      <c r="D3" s="92"/>
      <c r="E3" s="92">
        <v>21</v>
      </c>
      <c r="F3" s="93"/>
      <c r="G3" s="93"/>
      <c r="H3" s="93"/>
      <c r="I3" s="93"/>
    </row>
    <row r="4" spans="1:9" s="88" customFormat="1" x14ac:dyDescent="0.3">
      <c r="A4" s="92">
        <v>3</v>
      </c>
      <c r="B4" s="92" t="s">
        <v>965</v>
      </c>
      <c r="C4" s="92" t="s">
        <v>40</v>
      </c>
      <c r="D4" s="92">
        <v>6</v>
      </c>
      <c r="E4" s="92">
        <v>20</v>
      </c>
      <c r="F4" s="93"/>
      <c r="G4" s="93"/>
      <c r="H4" s="93"/>
      <c r="I4" s="93"/>
    </row>
    <row r="5" spans="1:9" s="88" customFormat="1" x14ac:dyDescent="0.3">
      <c r="A5" s="92">
        <v>4</v>
      </c>
      <c r="B5" s="92" t="s">
        <v>1809</v>
      </c>
      <c r="C5" s="92" t="s">
        <v>256</v>
      </c>
      <c r="D5" s="92"/>
      <c r="E5" s="92">
        <v>39</v>
      </c>
      <c r="F5" s="93"/>
      <c r="G5" s="93"/>
      <c r="H5" s="93"/>
      <c r="I5" s="93"/>
    </row>
    <row r="6" spans="1:9" s="88" customFormat="1" x14ac:dyDescent="0.3">
      <c r="A6" s="92">
        <v>5</v>
      </c>
      <c r="B6" s="92" t="s">
        <v>1672</v>
      </c>
      <c r="C6" s="92" t="s">
        <v>16</v>
      </c>
      <c r="D6" s="92"/>
      <c r="E6" s="92">
        <v>100</v>
      </c>
      <c r="F6" s="93"/>
      <c r="G6" s="93"/>
      <c r="H6" s="93"/>
      <c r="I6" s="93"/>
    </row>
    <row r="7" spans="1:9" s="88" customFormat="1" x14ac:dyDescent="0.3">
      <c r="A7" s="92">
        <v>6</v>
      </c>
      <c r="B7" s="92" t="s">
        <v>39</v>
      </c>
      <c r="C7" s="92" t="s">
        <v>39</v>
      </c>
      <c r="D7" s="92"/>
      <c r="E7" s="92"/>
      <c r="F7" s="93"/>
      <c r="G7" s="93"/>
      <c r="H7" s="93"/>
      <c r="I7" s="93"/>
    </row>
    <row r="8" spans="1:9" s="88" customFormat="1" x14ac:dyDescent="0.3">
      <c r="A8" s="92">
        <v>7</v>
      </c>
      <c r="B8" s="134" t="s">
        <v>13</v>
      </c>
      <c r="C8" s="92" t="s">
        <v>13</v>
      </c>
      <c r="D8" s="92"/>
      <c r="E8" s="92"/>
      <c r="F8" s="93"/>
      <c r="G8" s="93"/>
      <c r="H8" s="93"/>
      <c r="I8" s="93"/>
    </row>
    <row r="9" spans="1:9" s="88" customFormat="1" x14ac:dyDescent="0.3">
      <c r="A9" s="92">
        <v>8</v>
      </c>
      <c r="B9" s="92" t="s">
        <v>1979</v>
      </c>
      <c r="C9" s="92" t="s">
        <v>40</v>
      </c>
      <c r="D9" s="92">
        <v>6</v>
      </c>
      <c r="E9" s="92">
        <v>15</v>
      </c>
      <c r="F9" s="93"/>
      <c r="G9" s="93"/>
      <c r="H9" s="93"/>
      <c r="I9" s="93"/>
    </row>
    <row r="10" spans="1:9" s="88" customFormat="1" x14ac:dyDescent="0.3">
      <c r="A10" s="92">
        <v>9</v>
      </c>
      <c r="B10" s="134" t="s">
        <v>1980</v>
      </c>
      <c r="C10" s="134" t="s">
        <v>256</v>
      </c>
      <c r="D10" s="92"/>
      <c r="E10" s="92">
        <v>32</v>
      </c>
      <c r="F10" s="93"/>
      <c r="G10" s="93"/>
      <c r="H10" s="93"/>
      <c r="I10" s="93"/>
    </row>
    <row r="11" spans="1:9" s="88" customFormat="1" x14ac:dyDescent="0.3">
      <c r="A11" s="92">
        <v>10</v>
      </c>
      <c r="B11" s="92" t="s">
        <v>1981</v>
      </c>
      <c r="C11" s="92" t="s">
        <v>256</v>
      </c>
      <c r="D11" s="92"/>
      <c r="E11" s="92">
        <v>12</v>
      </c>
      <c r="F11" s="93"/>
      <c r="G11" s="93"/>
      <c r="H11" s="93"/>
      <c r="I11" s="93"/>
    </row>
    <row r="12" spans="1:9" s="88" customFormat="1" x14ac:dyDescent="0.3">
      <c r="A12" s="92">
        <v>11</v>
      </c>
      <c r="B12" s="92" t="s">
        <v>1982</v>
      </c>
      <c r="C12" s="92" t="s">
        <v>975</v>
      </c>
      <c r="D12" s="92"/>
      <c r="E12" s="92"/>
      <c r="F12" s="93"/>
      <c r="G12" s="93"/>
      <c r="H12" s="93"/>
      <c r="I12" s="93"/>
    </row>
    <row r="13" spans="1:9" s="88" customFormat="1" x14ac:dyDescent="0.3">
      <c r="A13" s="92">
        <v>12</v>
      </c>
      <c r="B13" s="92" t="s">
        <v>1812</v>
      </c>
      <c r="C13" s="92" t="s">
        <v>256</v>
      </c>
      <c r="D13" s="92"/>
      <c r="E13" s="92">
        <v>5</v>
      </c>
      <c r="F13" s="93"/>
      <c r="G13" s="93"/>
      <c r="H13" s="93"/>
      <c r="I13" s="93"/>
    </row>
    <row r="14" spans="1:9" s="88" customFormat="1" x14ac:dyDescent="0.3">
      <c r="A14" s="92">
        <v>13</v>
      </c>
      <c r="B14" s="92" t="s">
        <v>968</v>
      </c>
      <c r="C14" s="92" t="s">
        <v>16</v>
      </c>
      <c r="D14" s="92"/>
      <c r="E14" s="92">
        <v>300</v>
      </c>
      <c r="F14" s="93"/>
      <c r="G14" s="93"/>
      <c r="H14" s="93"/>
      <c r="I14" s="93"/>
    </row>
    <row r="15" spans="1:9" s="88" customFormat="1" x14ac:dyDescent="0.3">
      <c r="A15" s="92">
        <v>14</v>
      </c>
      <c r="B15" s="92" t="s">
        <v>961</v>
      </c>
      <c r="C15" s="92" t="s">
        <v>256</v>
      </c>
      <c r="D15" s="92"/>
      <c r="E15" s="92">
        <v>3</v>
      </c>
      <c r="F15" s="93"/>
      <c r="G15" s="93"/>
      <c r="H15" s="93"/>
      <c r="I15" s="93"/>
    </row>
    <row r="16" spans="1:9" s="88" customFormat="1" x14ac:dyDescent="0.3">
      <c r="A16" s="92">
        <v>15</v>
      </c>
      <c r="B16" s="92" t="s">
        <v>969</v>
      </c>
      <c r="C16" s="92" t="s">
        <v>256</v>
      </c>
      <c r="D16" s="92"/>
      <c r="E16" s="92">
        <v>1</v>
      </c>
      <c r="F16" s="93"/>
      <c r="G16" s="93"/>
      <c r="H16" s="93"/>
      <c r="I16" s="93"/>
    </row>
    <row r="17" spans="1:9" s="88" customFormat="1" x14ac:dyDescent="0.3">
      <c r="A17" s="92">
        <v>16</v>
      </c>
      <c r="B17" s="134" t="s">
        <v>1983</v>
      </c>
      <c r="C17" s="134" t="s">
        <v>40</v>
      </c>
      <c r="D17" s="92">
        <v>6</v>
      </c>
      <c r="E17" s="92">
        <v>26</v>
      </c>
      <c r="F17" s="93"/>
      <c r="G17" s="93"/>
      <c r="H17" s="93"/>
      <c r="I17" s="93"/>
    </row>
    <row r="18" spans="1:9" s="88" customFormat="1" x14ac:dyDescent="0.3">
      <c r="A18" s="92">
        <v>17</v>
      </c>
      <c r="B18" s="92" t="s">
        <v>1822</v>
      </c>
      <c r="C18" s="92" t="s">
        <v>16</v>
      </c>
      <c r="D18" s="92"/>
      <c r="E18" s="92">
        <v>27000</v>
      </c>
      <c r="F18" s="93"/>
      <c r="G18" s="93"/>
      <c r="H18" s="93"/>
      <c r="I18" s="93"/>
    </row>
    <row r="19" spans="1:9" s="88" customFormat="1" x14ac:dyDescent="0.3">
      <c r="A19" s="92">
        <v>18</v>
      </c>
      <c r="B19" s="134" t="s">
        <v>1666</v>
      </c>
      <c r="C19" s="134" t="s">
        <v>40</v>
      </c>
      <c r="D19" s="92">
        <v>0</v>
      </c>
      <c r="E19" s="92">
        <v>38</v>
      </c>
      <c r="F19" s="93"/>
      <c r="G19" s="93"/>
      <c r="H19" s="93"/>
      <c r="I19" s="93"/>
    </row>
    <row r="20" spans="1:9" s="88" customFormat="1" x14ac:dyDescent="0.3">
      <c r="A20" s="92">
        <v>19</v>
      </c>
      <c r="B20" s="134" t="s">
        <v>966</v>
      </c>
      <c r="C20" s="134" t="s">
        <v>16</v>
      </c>
      <c r="D20" s="92"/>
      <c r="E20" s="92">
        <v>1000</v>
      </c>
      <c r="F20" s="93"/>
      <c r="G20" s="93"/>
      <c r="H20" s="93"/>
      <c r="I20" s="93"/>
    </row>
    <row r="21" spans="1:9" s="88" customFormat="1" x14ac:dyDescent="0.3">
      <c r="A21" s="92">
        <v>20</v>
      </c>
      <c r="B21" s="134" t="s">
        <v>1810</v>
      </c>
      <c r="C21" s="134" t="s">
        <v>16</v>
      </c>
      <c r="D21" s="92"/>
      <c r="E21" s="92">
        <v>32</v>
      </c>
      <c r="F21" s="93"/>
      <c r="G21" s="93"/>
      <c r="H21" s="93"/>
      <c r="I21" s="93"/>
    </row>
    <row r="22" spans="1:9" x14ac:dyDescent="0.3">
      <c r="A22" s="92">
        <v>21</v>
      </c>
      <c r="B22" s="167" t="s">
        <v>962</v>
      </c>
      <c r="C22" s="167" t="s">
        <v>40</v>
      </c>
      <c r="D22" s="167">
        <v>2</v>
      </c>
      <c r="E22" s="167">
        <v>19</v>
      </c>
      <c r="F22" s="167"/>
      <c r="G22" s="167"/>
      <c r="H22" s="167"/>
      <c r="I22" s="167"/>
    </row>
    <row r="23" spans="1:9" x14ac:dyDescent="0.3">
      <c r="A23" s="167">
        <v>22</v>
      </c>
      <c r="B23" s="167" t="s">
        <v>967</v>
      </c>
      <c r="C23" s="167" t="s">
        <v>14</v>
      </c>
      <c r="D23" s="167"/>
      <c r="E23" s="167"/>
      <c r="F23" s="167"/>
      <c r="G23" s="167"/>
      <c r="H23" s="167"/>
      <c r="I23" s="167"/>
    </row>
    <row r="24" spans="1:9" x14ac:dyDescent="0.3">
      <c r="A24" s="167">
        <v>23</v>
      </c>
      <c r="B24" s="167" t="s">
        <v>1984</v>
      </c>
      <c r="C24" s="167" t="s">
        <v>16</v>
      </c>
      <c r="D24" s="167"/>
      <c r="E24" s="167">
        <v>1</v>
      </c>
      <c r="F24" s="167"/>
      <c r="G24" s="167"/>
      <c r="H24" s="167"/>
      <c r="I24" s="167"/>
    </row>
    <row r="25" spans="1:9" x14ac:dyDescent="0.3">
      <c r="A25" s="167">
        <v>24</v>
      </c>
      <c r="B25" s="167" t="s">
        <v>964</v>
      </c>
      <c r="C25" s="167" t="s">
        <v>16</v>
      </c>
      <c r="D25" s="167"/>
      <c r="E25" s="167">
        <v>40</v>
      </c>
      <c r="F25" s="167"/>
      <c r="G25" s="167"/>
      <c r="H25" s="167"/>
      <c r="I25" s="167"/>
    </row>
    <row r="26" spans="1:9" x14ac:dyDescent="0.3">
      <c r="A26" s="167">
        <v>25</v>
      </c>
      <c r="B26" s="167" t="s">
        <v>1985</v>
      </c>
      <c r="C26" s="167" t="s">
        <v>256</v>
      </c>
      <c r="D26" s="167"/>
      <c r="E26" s="167">
        <v>100</v>
      </c>
      <c r="F26" s="167"/>
      <c r="G26" s="167"/>
      <c r="H26" s="167"/>
      <c r="I26" s="167"/>
    </row>
    <row r="27" spans="1:9" x14ac:dyDescent="0.3">
      <c r="A27" s="167">
        <v>26</v>
      </c>
      <c r="B27" s="167" t="s">
        <v>963</v>
      </c>
      <c r="C27" s="167" t="s">
        <v>16</v>
      </c>
      <c r="D27" s="167"/>
      <c r="E27" s="167">
        <v>4000</v>
      </c>
      <c r="F27" s="167"/>
      <c r="G27" s="167"/>
      <c r="H27" s="167"/>
      <c r="I27" s="167"/>
    </row>
    <row r="28" spans="1:9" x14ac:dyDescent="0.3">
      <c r="A28" s="167">
        <v>27</v>
      </c>
      <c r="B28" s="167" t="s">
        <v>12</v>
      </c>
      <c r="C28" s="167" t="s">
        <v>12</v>
      </c>
      <c r="D28" s="167"/>
      <c r="E28" s="167"/>
      <c r="F28" s="167"/>
      <c r="G28" s="167"/>
      <c r="H28" s="167"/>
      <c r="I28" s="167"/>
    </row>
    <row r="29" spans="1:9" x14ac:dyDescent="0.3">
      <c r="A29" s="167">
        <v>28</v>
      </c>
      <c r="B29" s="167" t="s">
        <v>1811</v>
      </c>
      <c r="C29" s="167" t="s">
        <v>16</v>
      </c>
      <c r="D29" s="167"/>
      <c r="E29" s="167">
        <v>8</v>
      </c>
      <c r="F29" s="167"/>
      <c r="G29" s="167"/>
      <c r="H29" s="167"/>
      <c r="I29" s="167"/>
    </row>
    <row r="30" spans="1:9" x14ac:dyDescent="0.3">
      <c r="A30" s="167">
        <v>29</v>
      </c>
      <c r="B30" s="167" t="s">
        <v>1667</v>
      </c>
      <c r="C30" s="167" t="s">
        <v>16</v>
      </c>
      <c r="D30" s="167"/>
      <c r="E30" s="167">
        <v>6</v>
      </c>
      <c r="F30" s="167"/>
      <c r="G30" s="167"/>
      <c r="H30" s="167"/>
      <c r="I30" s="167"/>
    </row>
    <row r="31" spans="1:9" x14ac:dyDescent="0.3">
      <c r="A31" s="167">
        <v>30</v>
      </c>
      <c r="B31" s="167" t="s">
        <v>1665</v>
      </c>
      <c r="C31" s="167" t="s">
        <v>256</v>
      </c>
      <c r="D31" s="167"/>
      <c r="E31" s="167">
        <v>6</v>
      </c>
      <c r="F31" s="167"/>
      <c r="G31" s="167"/>
      <c r="H31" s="167"/>
      <c r="I31" s="167"/>
    </row>
    <row r="32" spans="1:9" x14ac:dyDescent="0.3">
      <c r="A32" s="167">
        <v>31</v>
      </c>
      <c r="B32" s="167" t="s">
        <v>1671</v>
      </c>
      <c r="C32" s="167" t="s">
        <v>16</v>
      </c>
      <c r="D32" s="167"/>
      <c r="E32" s="167">
        <v>255</v>
      </c>
      <c r="F32" s="167"/>
      <c r="G32" s="167"/>
      <c r="H32" s="167"/>
      <c r="I32" s="167"/>
    </row>
    <row r="33" spans="1:9" x14ac:dyDescent="0.3">
      <c r="A33" s="167">
        <v>32</v>
      </c>
      <c r="B33" s="167" t="s">
        <v>255</v>
      </c>
      <c r="C33" s="167" t="s">
        <v>255</v>
      </c>
      <c r="D33" s="167"/>
      <c r="E33" s="167"/>
      <c r="F33" s="167"/>
      <c r="G33" s="167"/>
      <c r="H33" s="167"/>
      <c r="I33" s="167"/>
    </row>
    <row r="34" spans="1:9" x14ac:dyDescent="0.3">
      <c r="A34" s="167">
        <v>33</v>
      </c>
      <c r="B34" s="167" t="s">
        <v>1670</v>
      </c>
      <c r="C34" s="167" t="s">
        <v>16</v>
      </c>
      <c r="D34" s="167"/>
      <c r="E34" s="167">
        <v>3</v>
      </c>
      <c r="F34" s="167"/>
      <c r="G34" s="167"/>
      <c r="H34" s="167"/>
      <c r="I34" s="167"/>
    </row>
    <row r="35" spans="1:9" x14ac:dyDescent="0.3">
      <c r="A35" s="167">
        <v>34</v>
      </c>
      <c r="B35" s="167" t="s">
        <v>15</v>
      </c>
      <c r="C35" s="167" t="s">
        <v>15</v>
      </c>
      <c r="D35" s="167"/>
      <c r="E35" s="167"/>
      <c r="F35" s="167"/>
      <c r="G35" s="167"/>
      <c r="H35" s="167"/>
      <c r="I35" s="167"/>
    </row>
    <row r="36" spans="1:9" x14ac:dyDescent="0.3">
      <c r="A36" s="167">
        <v>35</v>
      </c>
      <c r="B36" s="167" t="s">
        <v>1669</v>
      </c>
      <c r="C36" s="167" t="s">
        <v>16</v>
      </c>
      <c r="D36" s="167"/>
      <c r="E36" s="167">
        <v>500</v>
      </c>
      <c r="F36" s="167"/>
      <c r="G36" s="167"/>
      <c r="H36" s="167"/>
      <c r="I36" s="167"/>
    </row>
    <row r="37" spans="1:9" x14ac:dyDescent="0.3">
      <c r="A37" s="167">
        <v>36</v>
      </c>
      <c r="B37" s="167" t="s">
        <v>1986</v>
      </c>
      <c r="C37" s="167" t="s">
        <v>256</v>
      </c>
      <c r="D37" s="167"/>
      <c r="E37" s="167">
        <v>17</v>
      </c>
      <c r="F37" s="167"/>
      <c r="G37" s="167"/>
      <c r="H37" s="167"/>
      <c r="I37" s="167"/>
    </row>
    <row r="38" spans="1:9" x14ac:dyDescent="0.3">
      <c r="A38" s="167">
        <v>37</v>
      </c>
      <c r="B38" s="167" t="s">
        <v>1668</v>
      </c>
      <c r="C38" s="167" t="s">
        <v>40</v>
      </c>
      <c r="D38" s="167">
        <v>8</v>
      </c>
      <c r="E38" s="167">
        <v>38</v>
      </c>
      <c r="F38" s="167"/>
      <c r="G38" s="167"/>
      <c r="H38" s="167"/>
      <c r="I38" s="167"/>
    </row>
    <row r="39" spans="1:9" x14ac:dyDescent="0.3">
      <c r="A39" s="167">
        <v>38</v>
      </c>
      <c r="B39" s="167" t="s">
        <v>1987</v>
      </c>
      <c r="C39" s="167" t="s">
        <v>256</v>
      </c>
      <c r="D39" s="167"/>
      <c r="E39" s="167">
        <v>50</v>
      </c>
      <c r="F39" s="167"/>
      <c r="G39" s="167"/>
      <c r="H39" s="167"/>
      <c r="I39" s="167"/>
    </row>
    <row r="40" spans="1:9" x14ac:dyDescent="0.3">
      <c r="A40" s="167">
        <v>39</v>
      </c>
      <c r="B40" s="167" t="s">
        <v>2192</v>
      </c>
      <c r="C40" s="167" t="s">
        <v>16</v>
      </c>
      <c r="D40" s="167"/>
      <c r="E40" s="167">
        <v>512</v>
      </c>
      <c r="F40" s="167"/>
      <c r="G40" s="167"/>
      <c r="H40" s="167"/>
      <c r="I40" s="167"/>
    </row>
    <row r="41" spans="1:9" x14ac:dyDescent="0.3">
      <c r="A41" s="167">
        <v>40</v>
      </c>
      <c r="B41" s="167" t="s">
        <v>2193</v>
      </c>
      <c r="C41" s="167" t="s">
        <v>40</v>
      </c>
      <c r="D41" s="167">
        <v>4</v>
      </c>
      <c r="E41" s="167">
        <v>26</v>
      </c>
      <c r="F41" s="167"/>
      <c r="G41" s="167"/>
      <c r="H41" s="167"/>
      <c r="I41" s="167"/>
    </row>
    <row r="42" spans="1:9" x14ac:dyDescent="0.3">
      <c r="A42" s="167">
        <v>41</v>
      </c>
      <c r="B42" s="167" t="s">
        <v>2194</v>
      </c>
      <c r="C42" s="167" t="s">
        <v>40</v>
      </c>
      <c r="D42" s="167">
        <v>14</v>
      </c>
      <c r="E42" s="167">
        <v>26</v>
      </c>
      <c r="F42" s="167"/>
      <c r="G42" s="167"/>
      <c r="H42" s="167"/>
      <c r="I42" s="167"/>
    </row>
    <row r="43" spans="1:9" x14ac:dyDescent="0.3">
      <c r="A43" s="167">
        <v>42</v>
      </c>
      <c r="B43" s="167" t="s">
        <v>2195</v>
      </c>
      <c r="C43" s="167" t="s">
        <v>256</v>
      </c>
      <c r="D43" s="167"/>
      <c r="E43" s="167">
        <v>10</v>
      </c>
      <c r="F43" s="167"/>
      <c r="G43" s="167"/>
      <c r="H43" s="167"/>
      <c r="I43" s="167"/>
    </row>
    <row r="44" spans="1:9" x14ac:dyDescent="0.3">
      <c r="A44" s="167">
        <v>43</v>
      </c>
      <c r="B44" s="167" t="s">
        <v>2196</v>
      </c>
      <c r="C44" s="167" t="s">
        <v>16</v>
      </c>
      <c r="D44" s="167"/>
      <c r="E44" s="167">
        <v>128</v>
      </c>
      <c r="F44" s="167"/>
      <c r="G44" s="167"/>
      <c r="H44" s="167"/>
      <c r="I44" s="167"/>
    </row>
    <row r="45" spans="1:9" x14ac:dyDescent="0.3">
      <c r="A45" s="167">
        <v>44</v>
      </c>
      <c r="B45" s="167" t="s">
        <v>2197</v>
      </c>
      <c r="C45" s="167" t="s">
        <v>256</v>
      </c>
      <c r="D45" s="167"/>
      <c r="E45" s="167">
        <v>4</v>
      </c>
      <c r="F45" s="167"/>
      <c r="G45" s="167"/>
      <c r="H45" s="167"/>
      <c r="I45" s="167"/>
    </row>
    <row r="46" spans="1:9" x14ac:dyDescent="0.3">
      <c r="A46" s="167">
        <v>45</v>
      </c>
      <c r="B46" s="167" t="s">
        <v>2198</v>
      </c>
      <c r="C46" s="167" t="s">
        <v>40</v>
      </c>
      <c r="D46" s="167">
        <v>0</v>
      </c>
      <c r="E46" s="167">
        <v>15</v>
      </c>
      <c r="F46" s="167"/>
      <c r="G46" s="167"/>
      <c r="H46" s="167"/>
      <c r="I46" s="167"/>
    </row>
    <row r="47" spans="1:9" x14ac:dyDescent="0.3">
      <c r="A47" s="167">
        <v>46</v>
      </c>
      <c r="B47" s="167" t="s">
        <v>2199</v>
      </c>
      <c r="C47" s="167" t="s">
        <v>40</v>
      </c>
      <c r="D47" s="167">
        <v>4</v>
      </c>
      <c r="E47" s="167">
        <v>7</v>
      </c>
      <c r="F47" s="167"/>
      <c r="G47" s="167"/>
      <c r="H47" s="167"/>
      <c r="I47" s="167"/>
    </row>
    <row r="48" spans="1:9" x14ac:dyDescent="0.3">
      <c r="A48" s="167">
        <v>47</v>
      </c>
      <c r="B48" s="167" t="s">
        <v>2200</v>
      </c>
      <c r="C48" s="167" t="s">
        <v>256</v>
      </c>
      <c r="D48" s="167"/>
      <c r="E48" s="167">
        <v>500</v>
      </c>
      <c r="F48" s="167"/>
      <c r="G48" s="167"/>
      <c r="H48" s="167"/>
      <c r="I48" s="167"/>
    </row>
    <row r="49" spans="1:9" x14ac:dyDescent="0.3">
      <c r="A49" s="167">
        <v>48</v>
      </c>
      <c r="B49" s="167" t="s">
        <v>2201</v>
      </c>
      <c r="C49" s="167" t="s">
        <v>16</v>
      </c>
      <c r="D49" s="167"/>
      <c r="E49" s="167">
        <v>50</v>
      </c>
      <c r="F49" s="167"/>
      <c r="G49" s="167"/>
      <c r="H49" s="167"/>
      <c r="I49" s="167"/>
    </row>
    <row r="50" spans="1:9" x14ac:dyDescent="0.3">
      <c r="A50" s="167">
        <v>49</v>
      </c>
      <c r="B50" s="167" t="s">
        <v>2202</v>
      </c>
      <c r="C50" s="167" t="s">
        <v>40</v>
      </c>
      <c r="D50" s="167">
        <v>4</v>
      </c>
      <c r="E50" s="167">
        <v>20</v>
      </c>
      <c r="F50" s="167"/>
      <c r="G50" s="167"/>
      <c r="H50" s="167"/>
      <c r="I50" s="167"/>
    </row>
    <row r="51" spans="1:9" x14ac:dyDescent="0.3">
      <c r="A51" s="167">
        <v>50</v>
      </c>
      <c r="B51" s="167" t="s">
        <v>2203</v>
      </c>
      <c r="C51" s="167" t="s">
        <v>16</v>
      </c>
      <c r="D51" s="167"/>
      <c r="E51" s="167">
        <v>20</v>
      </c>
      <c r="F51" s="167"/>
      <c r="G51" s="167"/>
      <c r="H51" s="167"/>
      <c r="I51" s="167"/>
    </row>
    <row r="52" spans="1:9" x14ac:dyDescent="0.3">
      <c r="A52" s="167">
        <v>51</v>
      </c>
      <c r="B52" s="167" t="s">
        <v>2204</v>
      </c>
      <c r="C52" s="167" t="s">
        <v>40</v>
      </c>
      <c r="D52" s="167">
        <v>6</v>
      </c>
      <c r="E52" s="167">
        <v>9</v>
      </c>
      <c r="F52" s="167"/>
      <c r="G52" s="167"/>
      <c r="H52" s="167"/>
      <c r="I52" s="167"/>
    </row>
    <row r="53" spans="1:9" x14ac:dyDescent="0.3">
      <c r="A53" s="167">
        <v>52</v>
      </c>
      <c r="B53" s="167" t="s">
        <v>2205</v>
      </c>
      <c r="C53" s="167" t="s">
        <v>40</v>
      </c>
      <c r="D53" s="167">
        <v>6</v>
      </c>
      <c r="E53" s="167">
        <v>18</v>
      </c>
      <c r="F53" s="167"/>
      <c r="G53" s="167"/>
      <c r="H53" s="167"/>
      <c r="I53" s="167"/>
    </row>
    <row r="54" spans="1:9" x14ac:dyDescent="0.3">
      <c r="A54" s="167">
        <v>53</v>
      </c>
      <c r="B54" s="167" t="s">
        <v>2206</v>
      </c>
      <c r="C54" s="167" t="s">
        <v>16</v>
      </c>
      <c r="D54" s="167"/>
      <c r="E54" s="167">
        <v>250</v>
      </c>
      <c r="F54" s="167"/>
      <c r="G54" s="167"/>
      <c r="H54" s="167"/>
      <c r="I54" s="167"/>
    </row>
    <row r="55" spans="1:9" x14ac:dyDescent="0.3">
      <c r="A55" s="167">
        <v>54</v>
      </c>
      <c r="B55" s="167" t="s">
        <v>2207</v>
      </c>
      <c r="C55" s="167" t="s">
        <v>256</v>
      </c>
      <c r="D55" s="167"/>
      <c r="E55" s="167">
        <v>20</v>
      </c>
      <c r="F55" s="167"/>
      <c r="G55" s="167"/>
      <c r="H55" s="167"/>
      <c r="I55" s="167"/>
    </row>
    <row r="56" spans="1:9" x14ac:dyDescent="0.3">
      <c r="A56" s="167">
        <v>55</v>
      </c>
      <c r="B56" s="167" t="s">
        <v>2208</v>
      </c>
      <c r="C56" s="167" t="s">
        <v>256</v>
      </c>
      <c r="D56" s="167"/>
      <c r="E56" s="167">
        <v>16</v>
      </c>
      <c r="F56" s="167"/>
      <c r="G56" s="167"/>
      <c r="H56" s="167"/>
      <c r="I56" s="167"/>
    </row>
  </sheetData>
  <sheetProtection insertRows="0" deleteRows="0" autoFilter="0"/>
  <autoFilter ref="A1:I39"/>
  <sortState ref="A2:I22">
    <sortCondition ref="A2"/>
  </sortState>
  <dataValidations count="2">
    <dataValidation type="list" allowBlank="1" showInputMessage="1" showErrorMessage="1" sqref="C22:C1048576">
      <formula1>DATATYPES_DBMS</formula1>
    </dataValidation>
    <dataValidation operator="lessThanOrEqual" allowBlank="1" showErrorMessage="1" promptTitle="Формат поля: строка" prompt="Макс. длина поля = 50 символов" sqref="B22:B1048576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date" allowBlank="1" showInputMessage="1" showErrorMessage="1" promptTitle="Формат данных: DD.MM.YYYY" prompt="Значение &lt;= 31.12.9999_x000a_">
          <x14:formula1>
            <xm:f>LST!AO1048185</xm:f>
          </x14:formula1>
          <x14:formula2>
            <xm:f>LST!AK1048180</xm:f>
          </x14:formula2>
          <xm:sqref>H1048155:H1048542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LST!#REF!</xm:f>
          </x14:formula1>
          <x14:formula2>
            <xm:f>LST!AK1048568</xm:f>
          </x14:formula2>
          <xm:sqref>H1048547</xm:sqref>
        </x14:dataValidation>
        <x14:dataValidation type="date" allowBlank="1" showInputMessage="1" showErrorMessage="1" promptTitle="Формат данных: DD.MM.YYYY" prompt="Значение &gt;= 01.01.1900">
          <x14:formula1>
            <xm:f>LST!AK1048568</xm:f>
          </x14:formula1>
          <x14:formula2>
            <xm:f>LST!AL1048568</xm:f>
          </x14:formula2>
          <xm:sqref>I1048547</xm:sqref>
        </x14:dataValidation>
        <x14:dataValidation type="date" allowBlank="1" showInputMessage="1" showErrorMessage="1" promptTitle="Формат данных: DD.MM.YYYY" prompt="Значение &gt;= 01.01.1900">
          <x14:formula1>
            <xm:f>LST!AK1048180</xm:f>
          </x14:formula1>
          <x14:formula2>
            <xm:f>LST!AL1048180</xm:f>
          </x14:formula2>
          <xm:sqref>I1048155:I1048543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LST!AO1</xm:f>
          </x14:formula1>
          <x14:formula2>
            <xm:f>LST!AK1048568</xm:f>
          </x14:formula2>
          <xm:sqref>H1048543</xm:sqref>
        </x14:dataValidation>
        <x14:dataValidation type="date" allowBlank="1" showInputMessage="1" showErrorMessage="1" promptTitle="Формат данных: DD.MM.YYYY" prompt="Значение &gt;= 01.01.1900">
          <x14:formula1>
            <xm:f>LST!AP391</xm:f>
          </x14:formula1>
          <x14:formula2>
            <xm:f>LST!AQ391</xm:f>
          </x14:formula2>
          <xm:sqref>I22:I1048154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LST!AO391</xm:f>
          </x14:formula1>
          <x14:formula2>
            <xm:f>LST!AP391</xm:f>
          </x14:formula2>
          <xm:sqref>H22:H1048154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LST!AO1</xm:f>
          </x14:formula1>
          <x14:formula2>
            <xm:f>LST!#REF!</xm:f>
          </x14:formula2>
          <xm:sqref>H1048549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LST!AO1</xm:f>
          </x14:formula1>
          <x14:formula2>
            <xm:f>LST!#REF!</xm:f>
          </x14:formula2>
          <xm:sqref>H1048548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LST!AO1</xm:f>
          </x14:formula1>
          <x14:formula2>
            <xm:f>LST!#REF!</xm:f>
          </x14:formula2>
          <xm:sqref>H1048545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LST!AO1</xm:f>
          </x14:formula1>
          <x14:formula2>
            <xm:f>LST!#REF!</xm:f>
          </x14:formula2>
          <xm:sqref>H1048544</xm:sqref>
        </x14:dataValidation>
        <x14:dataValidation type="date" allowBlank="1" showInputMessage="1" showErrorMessage="1" promptTitle="Формат данных: DD.MM.YYYY" prompt="Значение &gt;= 01.01.1900">
          <x14:formula1>
            <xm:f>LST!AK1048576</xm:f>
          </x14:formula1>
          <x14:formula2>
            <xm:f>LST!AL1048576</xm:f>
          </x14:formula2>
          <xm:sqref>I1048574:I1048576</xm:sqref>
        </x14:dataValidation>
        <x14:dataValidation type="date" allowBlank="1" showInputMessage="1" showErrorMessage="1" promptTitle="Формат данных: DD.MM.YYYY" prompt="Значение &gt;= 01.01.1900">
          <x14:formula1>
            <xm:f>LST!AK1048555</xm:f>
          </x14:formula1>
          <x14:formula2>
            <xm:f>LST!AL1048555</xm:f>
          </x14:formula2>
          <xm:sqref>I1048551:I1048573</xm:sqref>
        </x14:dataValidation>
        <x14:dataValidation type="date" allowBlank="1" showInputMessage="1" showErrorMessage="1" promptTitle="Формат данных: DD.MM.YYYY" prompt="Значение &gt;= 01.01.1900">
          <x14:formula1>
            <xm:f>LST!AK1</xm:f>
          </x14:formula1>
          <x14:formula2>
            <xm:f>LST!AL1</xm:f>
          </x14:formula2>
          <xm:sqref>I1048550</xm:sqref>
        </x14:dataValidation>
        <x14:dataValidation type="date" allowBlank="1" showInputMessage="1" showErrorMessage="1" promptTitle="Формат данных: DD.MM.YYYY" prompt="Значение &gt;= 01.01.1900">
          <x14:formula1>
            <xm:f>LST!AK1</xm:f>
          </x14:formula1>
          <x14:formula2>
            <xm:f>LST!AL1</xm:f>
          </x14:formula2>
          <xm:sqref>I1048548:I1048549</xm:sqref>
        </x14:dataValidation>
        <x14:dataValidation type="date" allowBlank="1" showInputMessage="1" showErrorMessage="1" promptTitle="Формат данных: DD.MM.YYYY" prompt="Значение &gt;= 01.01.1900">
          <x14:formula1>
            <xm:f>LST!AK1</xm:f>
          </x14:formula1>
          <x14:formula2>
            <xm:f>LST!AL1</xm:f>
          </x14:formula2>
          <xm:sqref>I1048546</xm:sqref>
        </x14:dataValidation>
        <x14:dataValidation type="date" allowBlank="1" showInputMessage="1" showErrorMessage="1" promptTitle="Формат данных: DD.MM.YYYY" prompt="Значение &gt;= 01.01.1900">
          <x14:formula1>
            <xm:f>LST!AK1</xm:f>
          </x14:formula1>
          <x14:formula2>
            <xm:f>LST!AL1</xm:f>
          </x14:formula2>
          <xm:sqref>I1048544:I1048545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LST!AO1048576</xm:f>
          </x14:formula1>
          <x14:formula2>
            <xm:f>LST!AK1048576</xm:f>
          </x14:formula2>
          <xm:sqref>H1048574:H1048576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LST!AO1048555</xm:f>
          </x14:formula1>
          <x14:formula2>
            <xm:f>LST!AK1048555</xm:f>
          </x14:formula2>
          <xm:sqref>H1048551:H1048573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LST!AO1</xm:f>
          </x14:formula1>
          <x14:formula2>
            <xm:f>LST!#REF!</xm:f>
          </x14:formula2>
          <xm:sqref>H1048550</xm:sqref>
        </x14:dataValidation>
        <x14:dataValidation type="date" allowBlank="1" showInputMessage="1" showErrorMessage="1" promptTitle="Формат данных: DD.MM.YYYY" prompt="Значение &lt;= 31.12.9999_x000a_">
          <x14:formula1>
            <xm:f>LST!AO1</xm:f>
          </x14:formula1>
          <x14:formula2>
            <xm:f>LST!#REF!</xm:f>
          </x14:formula2>
          <xm:sqref>H1048546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F4"/>
  <sheetViews>
    <sheetView workbookViewId="0">
      <selection activeCell="C2" sqref="C2"/>
    </sheetView>
  </sheetViews>
  <sheetFormatPr defaultRowHeight="14.4" x14ac:dyDescent="0.3"/>
  <cols>
    <col min="1" max="1" width="16.33203125" customWidth="1"/>
    <col min="2" max="2" width="37.88671875" customWidth="1"/>
    <col min="3" max="3" width="23.6640625" customWidth="1"/>
    <col min="4" max="4" width="14.44140625" customWidth="1"/>
    <col min="5" max="5" width="15.44140625" customWidth="1"/>
    <col min="6" max="6" width="15.6640625" customWidth="1"/>
  </cols>
  <sheetData>
    <row r="1" spans="1:6" ht="55.2" x14ac:dyDescent="0.3">
      <c r="A1" s="40" t="s">
        <v>2395</v>
      </c>
      <c r="B1" s="40" t="s">
        <v>2396</v>
      </c>
      <c r="C1" s="3" t="s">
        <v>2397</v>
      </c>
      <c r="D1" s="138" t="s">
        <v>2398</v>
      </c>
      <c r="E1" s="138" t="s">
        <v>2399</v>
      </c>
      <c r="F1" s="138" t="s">
        <v>2400</v>
      </c>
    </row>
    <row r="2" spans="1:6" x14ac:dyDescent="0.3">
      <c r="A2" s="169">
        <v>1</v>
      </c>
      <c r="B2" s="169" t="s">
        <v>2401</v>
      </c>
      <c r="C2" s="169" t="s">
        <v>2402</v>
      </c>
      <c r="D2" s="169" t="s">
        <v>2403</v>
      </c>
      <c r="E2" s="169">
        <v>0</v>
      </c>
      <c r="F2" s="169">
        <v>0</v>
      </c>
    </row>
    <row r="3" spans="1:6" x14ac:dyDescent="0.3">
      <c r="A3" s="169">
        <v>2</v>
      </c>
      <c r="B3" s="169" t="s">
        <v>2404</v>
      </c>
      <c r="C3" s="169" t="s">
        <v>2402</v>
      </c>
      <c r="D3" s="169" t="s">
        <v>2405</v>
      </c>
      <c r="E3" s="169">
        <v>1</v>
      </c>
      <c r="F3" s="169">
        <v>1</v>
      </c>
    </row>
    <row r="4" spans="1:6" x14ac:dyDescent="0.3">
      <c r="A4" s="169">
        <v>3</v>
      </c>
      <c r="B4" s="169" t="s">
        <v>2406</v>
      </c>
      <c r="C4" s="169" t="s">
        <v>2402</v>
      </c>
      <c r="D4" s="169" t="s">
        <v>2407</v>
      </c>
      <c r="E4" s="169">
        <v>0</v>
      </c>
      <c r="F4" s="169">
        <v>0</v>
      </c>
    </row>
  </sheetData>
  <autoFilter ref="A1:F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B0F0"/>
  </sheetPr>
  <dimension ref="A1:E105"/>
  <sheetViews>
    <sheetView zoomScale="115" zoomScaleNormal="115" workbookViewId="0">
      <selection activeCell="B3" sqref="B3"/>
    </sheetView>
  </sheetViews>
  <sheetFormatPr defaultRowHeight="14.4" x14ac:dyDescent="0.3"/>
  <cols>
    <col min="1" max="1" width="20.109375" customWidth="1"/>
    <col min="2" max="2" width="20.109375" style="85" customWidth="1"/>
    <col min="3" max="3" width="18.44140625" customWidth="1"/>
    <col min="4" max="4" width="23.6640625" customWidth="1"/>
  </cols>
  <sheetData>
    <row r="1" spans="1:5" ht="39.75" customHeight="1" x14ac:dyDescent="0.3">
      <c r="A1" s="3" t="s">
        <v>344</v>
      </c>
      <c r="B1" s="3" t="s">
        <v>1037</v>
      </c>
      <c r="C1" s="3" t="s">
        <v>343</v>
      </c>
      <c r="D1" s="147" t="s">
        <v>1036</v>
      </c>
    </row>
    <row r="2" spans="1:5" x14ac:dyDescent="0.3">
      <c r="A2" s="169"/>
      <c r="B2" s="136" t="str">
        <f t="shared" ref="B2" si="0" xml:space="preserve"> IF(NOT(ISBLANK(A2)),VLOOKUP(A2,sec_grp,3,FALSE), "")</f>
        <v/>
      </c>
      <c r="C2" s="139"/>
      <c r="D2" s="136" t="str">
        <f t="shared" ref="D2" si="1" xml:space="preserve"> IF(NOT(ISBLANK(C2)),VLOOKUP(C2,ATTR_NAME,3,FALSE), "")</f>
        <v/>
      </c>
      <c r="E2" s="85"/>
    </row>
    <row r="3" spans="1:5" s="174" customFormat="1" x14ac:dyDescent="0.3">
      <c r="B3" s="175"/>
      <c r="C3" s="176"/>
      <c r="D3" s="175"/>
    </row>
    <row r="4" spans="1:5" s="174" customFormat="1" x14ac:dyDescent="0.3">
      <c r="B4" s="175"/>
      <c r="C4" s="176"/>
      <c r="D4" s="175"/>
    </row>
    <row r="5" spans="1:5" s="174" customFormat="1" x14ac:dyDescent="0.3">
      <c r="B5" s="175"/>
      <c r="C5" s="176"/>
      <c r="D5" s="175"/>
    </row>
    <row r="6" spans="1:5" s="174" customFormat="1" x14ac:dyDescent="0.3">
      <c r="B6" s="175"/>
      <c r="C6" s="176"/>
      <c r="D6" s="175"/>
    </row>
    <row r="7" spans="1:5" s="174" customFormat="1" x14ac:dyDescent="0.3">
      <c r="B7" s="175"/>
      <c r="C7" s="176"/>
      <c r="D7" s="175"/>
    </row>
    <row r="8" spans="1:5" s="174" customFormat="1" x14ac:dyDescent="0.3">
      <c r="B8" s="175"/>
      <c r="C8" s="176"/>
      <c r="D8" s="175"/>
    </row>
    <row r="9" spans="1:5" s="174" customFormat="1" x14ac:dyDescent="0.3">
      <c r="B9" s="175"/>
      <c r="C9" s="176"/>
      <c r="D9" s="175"/>
    </row>
    <row r="10" spans="1:5" s="174" customFormat="1" x14ac:dyDescent="0.3">
      <c r="B10" s="175"/>
      <c r="C10" s="176"/>
      <c r="D10" s="175"/>
    </row>
    <row r="11" spans="1:5" s="174" customFormat="1" x14ac:dyDescent="0.3">
      <c r="B11" s="175"/>
      <c r="C11" s="176"/>
      <c r="D11" s="175"/>
    </row>
    <row r="12" spans="1:5" s="174" customFormat="1" x14ac:dyDescent="0.3">
      <c r="B12" s="175"/>
      <c r="C12" s="176"/>
      <c r="D12" s="175"/>
    </row>
    <row r="13" spans="1:5" s="174" customFormat="1" x14ac:dyDescent="0.3">
      <c r="B13" s="175"/>
      <c r="C13" s="176"/>
      <c r="D13" s="175"/>
    </row>
    <row r="14" spans="1:5" s="174" customFormat="1" x14ac:dyDescent="0.3">
      <c r="B14" s="175"/>
      <c r="C14" s="176"/>
      <c r="D14" s="175"/>
    </row>
    <row r="15" spans="1:5" s="174" customFormat="1" x14ac:dyDescent="0.3">
      <c r="B15" s="175"/>
      <c r="C15" s="176"/>
      <c r="D15" s="175"/>
    </row>
    <row r="16" spans="1:5" s="174" customFormat="1" x14ac:dyDescent="0.3">
      <c r="B16" s="175"/>
      <c r="C16" s="176"/>
      <c r="D16" s="175"/>
    </row>
    <row r="17" spans="2:4" s="174" customFormat="1" x14ac:dyDescent="0.3">
      <c r="B17" s="175"/>
      <c r="C17" s="176"/>
      <c r="D17" s="175"/>
    </row>
    <row r="18" spans="2:4" s="174" customFormat="1" x14ac:dyDescent="0.3">
      <c r="B18" s="175"/>
      <c r="C18" s="176"/>
      <c r="D18" s="175"/>
    </row>
    <row r="19" spans="2:4" s="174" customFormat="1" x14ac:dyDescent="0.3">
      <c r="B19" s="175"/>
      <c r="C19" s="176"/>
      <c r="D19" s="175"/>
    </row>
    <row r="20" spans="2:4" s="174" customFormat="1" x14ac:dyDescent="0.3">
      <c r="B20" s="175"/>
      <c r="C20" s="176"/>
      <c r="D20" s="175"/>
    </row>
    <row r="21" spans="2:4" s="174" customFormat="1" x14ac:dyDescent="0.3">
      <c r="B21" s="175"/>
      <c r="C21" s="176"/>
      <c r="D21" s="175"/>
    </row>
    <row r="22" spans="2:4" s="174" customFormat="1" x14ac:dyDescent="0.3">
      <c r="B22" s="175"/>
      <c r="C22" s="176"/>
      <c r="D22" s="175"/>
    </row>
    <row r="23" spans="2:4" s="174" customFormat="1" x14ac:dyDescent="0.3">
      <c r="B23" s="175"/>
      <c r="C23" s="176"/>
      <c r="D23" s="175"/>
    </row>
    <row r="24" spans="2:4" s="174" customFormat="1" x14ac:dyDescent="0.3">
      <c r="B24" s="175"/>
      <c r="C24" s="176"/>
      <c r="D24" s="175"/>
    </row>
    <row r="25" spans="2:4" s="174" customFormat="1" x14ac:dyDescent="0.3">
      <c r="B25" s="175"/>
      <c r="C25" s="176"/>
      <c r="D25" s="175"/>
    </row>
    <row r="26" spans="2:4" s="174" customFormat="1" x14ac:dyDescent="0.3">
      <c r="B26" s="175"/>
      <c r="C26" s="176"/>
      <c r="D26" s="175"/>
    </row>
    <row r="27" spans="2:4" s="174" customFormat="1" x14ac:dyDescent="0.3">
      <c r="B27" s="175"/>
      <c r="C27" s="176"/>
      <c r="D27" s="175"/>
    </row>
    <row r="28" spans="2:4" s="174" customFormat="1" x14ac:dyDescent="0.3">
      <c r="B28" s="175"/>
      <c r="C28" s="176"/>
      <c r="D28" s="175"/>
    </row>
    <row r="29" spans="2:4" s="174" customFormat="1" x14ac:dyDescent="0.3">
      <c r="B29" s="175"/>
      <c r="C29" s="176"/>
      <c r="D29" s="175"/>
    </row>
    <row r="30" spans="2:4" s="174" customFormat="1" x14ac:dyDescent="0.3">
      <c r="B30" s="175"/>
      <c r="C30" s="176"/>
      <c r="D30" s="175"/>
    </row>
    <row r="31" spans="2:4" s="174" customFormat="1" x14ac:dyDescent="0.3">
      <c r="B31" s="175"/>
      <c r="C31" s="176"/>
      <c r="D31" s="175"/>
    </row>
    <row r="32" spans="2:4" s="174" customFormat="1" x14ac:dyDescent="0.3">
      <c r="B32" s="175"/>
      <c r="C32" s="176"/>
      <c r="D32" s="175"/>
    </row>
    <row r="33" spans="2:4" s="174" customFormat="1" x14ac:dyDescent="0.3">
      <c r="B33" s="175"/>
      <c r="C33" s="176"/>
      <c r="D33" s="175"/>
    </row>
    <row r="34" spans="2:4" s="174" customFormat="1" x14ac:dyDescent="0.3">
      <c r="B34" s="175"/>
      <c r="C34" s="176"/>
      <c r="D34" s="175"/>
    </row>
    <row r="35" spans="2:4" s="174" customFormat="1" x14ac:dyDescent="0.3">
      <c r="B35" s="175"/>
      <c r="C35" s="176"/>
      <c r="D35" s="175"/>
    </row>
    <row r="36" spans="2:4" s="174" customFormat="1" x14ac:dyDescent="0.3">
      <c r="B36" s="175"/>
      <c r="C36" s="176"/>
      <c r="D36" s="175"/>
    </row>
    <row r="37" spans="2:4" s="174" customFormat="1" x14ac:dyDescent="0.3">
      <c r="B37" s="175"/>
      <c r="C37" s="176"/>
      <c r="D37" s="175"/>
    </row>
    <row r="38" spans="2:4" s="174" customFormat="1" x14ac:dyDescent="0.3">
      <c r="B38" s="175"/>
      <c r="C38" s="176"/>
      <c r="D38" s="175"/>
    </row>
    <row r="39" spans="2:4" s="174" customFormat="1" x14ac:dyDescent="0.3">
      <c r="B39" s="175"/>
      <c r="C39" s="176"/>
      <c r="D39" s="175"/>
    </row>
    <row r="40" spans="2:4" s="174" customFormat="1" x14ac:dyDescent="0.3">
      <c r="B40" s="175"/>
      <c r="C40" s="176"/>
      <c r="D40" s="175"/>
    </row>
    <row r="41" spans="2:4" s="174" customFormat="1" x14ac:dyDescent="0.3">
      <c r="B41" s="175"/>
      <c r="C41" s="176"/>
      <c r="D41" s="175"/>
    </row>
    <row r="42" spans="2:4" s="174" customFormat="1" x14ac:dyDescent="0.3">
      <c r="B42" s="175"/>
      <c r="C42" s="176"/>
      <c r="D42" s="175"/>
    </row>
    <row r="43" spans="2:4" s="174" customFormat="1" x14ac:dyDescent="0.3">
      <c r="B43" s="175"/>
      <c r="C43" s="176"/>
      <c r="D43" s="175"/>
    </row>
    <row r="44" spans="2:4" s="174" customFormat="1" x14ac:dyDescent="0.3">
      <c r="B44" s="175"/>
      <c r="C44" s="176"/>
      <c r="D44" s="175"/>
    </row>
    <row r="45" spans="2:4" s="174" customFormat="1" x14ac:dyDescent="0.3">
      <c r="B45" s="175"/>
      <c r="C45" s="176"/>
      <c r="D45" s="175"/>
    </row>
    <row r="46" spans="2:4" s="174" customFormat="1" x14ac:dyDescent="0.3">
      <c r="B46" s="175"/>
      <c r="C46" s="176"/>
      <c r="D46" s="175"/>
    </row>
    <row r="47" spans="2:4" s="174" customFormat="1" x14ac:dyDescent="0.3">
      <c r="B47" s="175"/>
      <c r="C47" s="176"/>
      <c r="D47" s="175"/>
    </row>
    <row r="48" spans="2:4" s="174" customFormat="1" x14ac:dyDescent="0.3">
      <c r="B48" s="175"/>
      <c r="C48" s="176"/>
      <c r="D48" s="175"/>
    </row>
    <row r="49" spans="2:4" s="174" customFormat="1" x14ac:dyDescent="0.3">
      <c r="B49" s="175"/>
      <c r="C49" s="176"/>
      <c r="D49" s="175"/>
    </row>
    <row r="50" spans="2:4" s="174" customFormat="1" x14ac:dyDescent="0.3">
      <c r="B50" s="175"/>
      <c r="C50" s="176"/>
      <c r="D50" s="175"/>
    </row>
    <row r="51" spans="2:4" s="174" customFormat="1" x14ac:dyDescent="0.3">
      <c r="B51" s="175"/>
      <c r="C51" s="176"/>
      <c r="D51" s="175"/>
    </row>
    <row r="52" spans="2:4" s="174" customFormat="1" x14ac:dyDescent="0.3">
      <c r="B52" s="175"/>
      <c r="C52" s="176"/>
      <c r="D52" s="175"/>
    </row>
    <row r="53" spans="2:4" s="174" customFormat="1" x14ac:dyDescent="0.3">
      <c r="B53" s="175"/>
      <c r="C53" s="176"/>
      <c r="D53" s="175"/>
    </row>
    <row r="54" spans="2:4" s="174" customFormat="1" x14ac:dyDescent="0.3">
      <c r="B54" s="175"/>
      <c r="C54" s="176"/>
      <c r="D54" s="175"/>
    </row>
    <row r="55" spans="2:4" s="174" customFormat="1" x14ac:dyDescent="0.3">
      <c r="B55" s="175"/>
      <c r="C55" s="176"/>
      <c r="D55" s="175"/>
    </row>
    <row r="56" spans="2:4" s="174" customFormat="1" x14ac:dyDescent="0.3">
      <c r="B56" s="175"/>
      <c r="C56" s="176"/>
      <c r="D56" s="175"/>
    </row>
    <row r="57" spans="2:4" s="174" customFormat="1" x14ac:dyDescent="0.3">
      <c r="B57" s="175"/>
      <c r="C57" s="176"/>
      <c r="D57" s="175"/>
    </row>
    <row r="58" spans="2:4" s="174" customFormat="1" x14ac:dyDescent="0.3">
      <c r="B58" s="175"/>
      <c r="C58" s="176"/>
      <c r="D58" s="175"/>
    </row>
    <row r="59" spans="2:4" s="174" customFormat="1" x14ac:dyDescent="0.3">
      <c r="B59" s="175"/>
      <c r="C59" s="176"/>
      <c r="D59" s="175"/>
    </row>
    <row r="60" spans="2:4" s="174" customFormat="1" x14ac:dyDescent="0.3">
      <c r="B60" s="175"/>
      <c r="C60" s="176"/>
      <c r="D60" s="175"/>
    </row>
    <row r="61" spans="2:4" s="174" customFormat="1" x14ac:dyDescent="0.3">
      <c r="B61" s="175"/>
      <c r="C61" s="176"/>
      <c r="D61" s="175"/>
    </row>
    <row r="62" spans="2:4" s="174" customFormat="1" x14ac:dyDescent="0.3">
      <c r="B62" s="175"/>
      <c r="C62" s="176"/>
      <c r="D62" s="175"/>
    </row>
    <row r="63" spans="2:4" s="174" customFormat="1" x14ac:dyDescent="0.3">
      <c r="B63" s="175"/>
      <c r="C63" s="176"/>
      <c r="D63" s="175"/>
    </row>
    <row r="64" spans="2:4" s="174" customFormat="1" x14ac:dyDescent="0.3">
      <c r="B64" s="175"/>
      <c r="C64" s="176"/>
      <c r="D64" s="175"/>
    </row>
    <row r="65" spans="2:4" s="174" customFormat="1" x14ac:dyDescent="0.3">
      <c r="B65" s="175"/>
      <c r="C65" s="176"/>
      <c r="D65" s="175"/>
    </row>
    <row r="66" spans="2:4" s="174" customFormat="1" x14ac:dyDescent="0.3">
      <c r="B66" s="175"/>
      <c r="C66" s="176"/>
      <c r="D66" s="175"/>
    </row>
    <row r="67" spans="2:4" s="174" customFormat="1" x14ac:dyDescent="0.3">
      <c r="B67" s="175"/>
      <c r="C67" s="176"/>
      <c r="D67" s="175"/>
    </row>
    <row r="68" spans="2:4" s="174" customFormat="1" x14ac:dyDescent="0.3">
      <c r="B68" s="175"/>
      <c r="C68" s="176"/>
      <c r="D68" s="175"/>
    </row>
    <row r="69" spans="2:4" s="174" customFormat="1" x14ac:dyDescent="0.3">
      <c r="B69" s="175"/>
      <c r="C69" s="176"/>
      <c r="D69" s="175"/>
    </row>
    <row r="70" spans="2:4" s="174" customFormat="1" x14ac:dyDescent="0.3">
      <c r="B70" s="175"/>
      <c r="C70" s="176"/>
      <c r="D70" s="175"/>
    </row>
    <row r="71" spans="2:4" s="174" customFormat="1" x14ac:dyDescent="0.3">
      <c r="B71" s="175"/>
      <c r="C71" s="176"/>
      <c r="D71" s="175"/>
    </row>
    <row r="72" spans="2:4" s="174" customFormat="1" x14ac:dyDescent="0.3">
      <c r="B72" s="175"/>
      <c r="C72" s="176"/>
      <c r="D72" s="175"/>
    </row>
    <row r="73" spans="2:4" s="174" customFormat="1" x14ac:dyDescent="0.3">
      <c r="B73" s="175"/>
      <c r="C73" s="176"/>
      <c r="D73" s="175"/>
    </row>
    <row r="74" spans="2:4" s="174" customFormat="1" x14ac:dyDescent="0.3">
      <c r="B74" s="175"/>
      <c r="C74" s="176"/>
      <c r="D74" s="175"/>
    </row>
    <row r="75" spans="2:4" s="174" customFormat="1" x14ac:dyDescent="0.3">
      <c r="B75" s="175"/>
      <c r="C75" s="176"/>
      <c r="D75" s="175"/>
    </row>
    <row r="76" spans="2:4" s="174" customFormat="1" x14ac:dyDescent="0.3">
      <c r="B76" s="175"/>
      <c r="C76" s="176"/>
      <c r="D76" s="175"/>
    </row>
    <row r="77" spans="2:4" s="174" customFormat="1" x14ac:dyDescent="0.3">
      <c r="B77" s="175"/>
      <c r="C77" s="176"/>
      <c r="D77" s="175"/>
    </row>
    <row r="78" spans="2:4" s="174" customFormat="1" x14ac:dyDescent="0.3">
      <c r="B78" s="175"/>
      <c r="C78" s="176"/>
      <c r="D78" s="175"/>
    </row>
    <row r="79" spans="2:4" s="174" customFormat="1" x14ac:dyDescent="0.3">
      <c r="B79" s="175"/>
      <c r="C79" s="176"/>
      <c r="D79" s="175"/>
    </row>
    <row r="80" spans="2:4" s="174" customFormat="1" x14ac:dyDescent="0.3">
      <c r="B80" s="175"/>
      <c r="C80" s="176"/>
      <c r="D80" s="175"/>
    </row>
    <row r="81" spans="2:4" s="174" customFormat="1" x14ac:dyDescent="0.3">
      <c r="B81" s="175"/>
      <c r="C81" s="176"/>
      <c r="D81" s="175"/>
    </row>
    <row r="82" spans="2:4" s="174" customFormat="1" x14ac:dyDescent="0.3">
      <c r="B82" s="175"/>
      <c r="C82" s="176"/>
      <c r="D82" s="175"/>
    </row>
    <row r="83" spans="2:4" s="174" customFormat="1" x14ac:dyDescent="0.3">
      <c r="B83" s="175"/>
      <c r="C83" s="176"/>
      <c r="D83" s="175"/>
    </row>
    <row r="84" spans="2:4" s="174" customFormat="1" x14ac:dyDescent="0.3">
      <c r="B84" s="175"/>
      <c r="C84" s="176"/>
      <c r="D84" s="175"/>
    </row>
    <row r="85" spans="2:4" s="174" customFormat="1" x14ac:dyDescent="0.3">
      <c r="B85" s="175"/>
      <c r="C85" s="176"/>
      <c r="D85" s="175"/>
    </row>
    <row r="86" spans="2:4" s="174" customFormat="1" x14ac:dyDescent="0.3">
      <c r="B86" s="175"/>
      <c r="C86" s="176"/>
      <c r="D86" s="175"/>
    </row>
    <row r="87" spans="2:4" s="174" customFormat="1" x14ac:dyDescent="0.3">
      <c r="B87" s="175"/>
      <c r="C87" s="176"/>
      <c r="D87" s="175"/>
    </row>
    <row r="88" spans="2:4" s="174" customFormat="1" x14ac:dyDescent="0.3">
      <c r="B88" s="175"/>
      <c r="C88" s="176"/>
      <c r="D88" s="175"/>
    </row>
    <row r="89" spans="2:4" s="174" customFormat="1" x14ac:dyDescent="0.3">
      <c r="B89" s="175"/>
      <c r="C89" s="176"/>
      <c r="D89" s="175"/>
    </row>
    <row r="90" spans="2:4" s="174" customFormat="1" x14ac:dyDescent="0.3">
      <c r="B90" s="175"/>
      <c r="C90" s="176"/>
      <c r="D90" s="175"/>
    </row>
    <row r="91" spans="2:4" s="174" customFormat="1" x14ac:dyDescent="0.3">
      <c r="B91" s="175"/>
      <c r="C91" s="176"/>
      <c r="D91" s="175"/>
    </row>
    <row r="92" spans="2:4" s="174" customFormat="1" x14ac:dyDescent="0.3">
      <c r="B92" s="175"/>
      <c r="C92" s="176"/>
      <c r="D92" s="175"/>
    </row>
    <row r="93" spans="2:4" s="174" customFormat="1" x14ac:dyDescent="0.3">
      <c r="B93" s="175"/>
      <c r="C93" s="176"/>
      <c r="D93" s="175"/>
    </row>
    <row r="94" spans="2:4" s="174" customFormat="1" x14ac:dyDescent="0.3">
      <c r="B94" s="175"/>
      <c r="C94" s="176"/>
      <c r="D94" s="175"/>
    </row>
    <row r="95" spans="2:4" s="174" customFormat="1" x14ac:dyDescent="0.3">
      <c r="B95" s="175"/>
      <c r="C95" s="176"/>
      <c r="D95" s="175"/>
    </row>
    <row r="96" spans="2:4" s="174" customFormat="1" x14ac:dyDescent="0.3">
      <c r="B96" s="175"/>
      <c r="C96" s="176"/>
      <c r="D96" s="175"/>
    </row>
    <row r="97" spans="2:4" s="174" customFormat="1" x14ac:dyDescent="0.3">
      <c r="B97" s="175"/>
      <c r="C97" s="176"/>
      <c r="D97" s="175"/>
    </row>
    <row r="98" spans="2:4" s="174" customFormat="1" x14ac:dyDescent="0.3">
      <c r="B98" s="175"/>
      <c r="C98" s="176"/>
      <c r="D98" s="175"/>
    </row>
    <row r="99" spans="2:4" s="174" customFormat="1" x14ac:dyDescent="0.3">
      <c r="B99" s="175"/>
      <c r="C99" s="176"/>
      <c r="D99" s="175"/>
    </row>
    <row r="100" spans="2:4" s="174" customFormat="1" x14ac:dyDescent="0.3">
      <c r="B100" s="175"/>
      <c r="C100" s="176"/>
      <c r="D100" s="175"/>
    </row>
    <row r="101" spans="2:4" s="174" customFormat="1" x14ac:dyDescent="0.3">
      <c r="B101" s="175"/>
      <c r="C101" s="176"/>
      <c r="D101" s="175"/>
    </row>
    <row r="102" spans="2:4" s="174" customFormat="1" x14ac:dyDescent="0.3">
      <c r="B102" s="175"/>
      <c r="C102" s="176"/>
      <c r="D102" s="175"/>
    </row>
    <row r="103" spans="2:4" s="174" customFormat="1" x14ac:dyDescent="0.3">
      <c r="B103" s="175"/>
      <c r="C103" s="176"/>
      <c r="D103" s="175"/>
    </row>
    <row r="104" spans="2:4" s="174" customFormat="1" x14ac:dyDescent="0.3">
      <c r="B104" s="175"/>
      <c r="C104" s="176"/>
      <c r="D104" s="175"/>
    </row>
    <row r="105" spans="2:4" s="174" customFormat="1" x14ac:dyDescent="0.3">
      <c r="B105" s="175"/>
      <c r="C105" s="176"/>
      <c r="D105" s="175"/>
    </row>
  </sheetData>
  <autoFilter ref="A1:D10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B0F0"/>
  </sheetPr>
  <dimension ref="A1:F2"/>
  <sheetViews>
    <sheetView zoomScale="115" zoomScaleNormal="115" workbookViewId="0">
      <selection activeCell="D6" sqref="D6"/>
    </sheetView>
  </sheetViews>
  <sheetFormatPr defaultRowHeight="14.4" x14ac:dyDescent="0.3"/>
  <cols>
    <col min="1" max="1" width="14.33203125" customWidth="1"/>
    <col min="2" max="2" width="8.44140625" customWidth="1"/>
    <col min="3" max="3" width="16.109375" customWidth="1"/>
    <col min="4" max="4" width="40.6640625" bestFit="1" customWidth="1"/>
    <col min="5" max="5" width="12.88671875" customWidth="1"/>
    <col min="6" max="6" width="16.5546875" customWidth="1"/>
  </cols>
  <sheetData>
    <row r="1" spans="1:6" ht="55.2" x14ac:dyDescent="0.3">
      <c r="A1" s="3" t="s">
        <v>346</v>
      </c>
      <c r="B1" s="3" t="s">
        <v>347</v>
      </c>
      <c r="C1" s="3" t="s">
        <v>31</v>
      </c>
      <c r="D1" s="3" t="s">
        <v>24</v>
      </c>
      <c r="E1" s="3" t="s">
        <v>22</v>
      </c>
      <c r="F1" s="3" t="s">
        <v>348</v>
      </c>
    </row>
    <row r="2" spans="1:6" x14ac:dyDescent="0.3">
      <c r="A2" s="131">
        <v>1</v>
      </c>
      <c r="B2" s="131" t="s">
        <v>1246</v>
      </c>
      <c r="C2" s="131" t="s">
        <v>345</v>
      </c>
      <c r="D2" s="131" t="s">
        <v>1247</v>
      </c>
      <c r="E2" s="131" t="s">
        <v>329</v>
      </c>
      <c r="F2" s="131" t="s">
        <v>330</v>
      </c>
    </row>
  </sheetData>
  <autoFilter ref="A1:F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B0F0"/>
  </sheetPr>
  <dimension ref="A1:E183"/>
  <sheetViews>
    <sheetView zoomScale="115" zoomScaleNormal="115" workbookViewId="0">
      <selection activeCell="G2" sqref="G2"/>
    </sheetView>
  </sheetViews>
  <sheetFormatPr defaultRowHeight="14.4" x14ac:dyDescent="0.3"/>
  <cols>
    <col min="1" max="1" width="14.5546875" customWidth="1"/>
    <col min="2" max="2" width="14.5546875" style="85" customWidth="1"/>
    <col min="3" max="3" width="27.5546875" customWidth="1"/>
    <col min="4" max="4" width="25.6640625" style="85" customWidth="1"/>
    <col min="5" max="5" width="17.6640625" customWidth="1"/>
  </cols>
  <sheetData>
    <row r="1" spans="1:5" ht="55.2" x14ac:dyDescent="0.3">
      <c r="A1" s="3" t="s">
        <v>346</v>
      </c>
      <c r="B1" s="3" t="s">
        <v>1038</v>
      </c>
      <c r="C1" s="3" t="s">
        <v>349</v>
      </c>
      <c r="D1" s="3" t="s">
        <v>333</v>
      </c>
      <c r="E1" s="3" t="s">
        <v>350</v>
      </c>
    </row>
    <row r="2" spans="1:5" x14ac:dyDescent="0.3">
      <c r="A2" s="131">
        <v>1</v>
      </c>
      <c r="B2" s="136" t="str">
        <f t="shared" ref="B2:B65" si="0" xml:space="preserve"> IF(NOT(ISBLANK(A2)),VLOOKUP(A2,sec_grp,2,FALSE), "")</f>
        <v>ALL</v>
      </c>
      <c r="C2" s="163" t="s">
        <v>1825</v>
      </c>
      <c r="D2" s="136" t="str">
        <f t="shared" ref="D2:D9" si="1">IF(NOT(ISBLANK(C2)),VLOOKUP(C2,ERM_TABLE_NM,2,FALSE), "")</f>
        <v>D_RCAP_CALC_SESSIONS</v>
      </c>
      <c r="E2" s="131"/>
    </row>
    <row r="3" spans="1:5" x14ac:dyDescent="0.3">
      <c r="A3" s="131">
        <v>1</v>
      </c>
      <c r="B3" s="136" t="str">
        <f t="shared" si="0"/>
        <v>ALL</v>
      </c>
      <c r="C3" s="163" t="s">
        <v>1311</v>
      </c>
      <c r="D3" s="136" t="str">
        <f t="shared" si="1"/>
        <v>D_DIC_ERM_CP_SEGMENT</v>
      </c>
      <c r="E3" s="131"/>
    </row>
    <row r="4" spans="1:5" x14ac:dyDescent="0.3">
      <c r="A4" s="169">
        <v>1</v>
      </c>
      <c r="B4" s="136" t="str">
        <f t="shared" si="0"/>
        <v>ALL</v>
      </c>
      <c r="C4" s="163" t="s">
        <v>414</v>
      </c>
      <c r="D4" s="136" t="str">
        <f t="shared" si="1"/>
        <v>Классы развитости стран</v>
      </c>
      <c r="E4" s="131"/>
    </row>
    <row r="5" spans="1:5" x14ac:dyDescent="0.3">
      <c r="A5" s="169">
        <v>1</v>
      </c>
      <c r="B5" s="136" t="str">
        <f t="shared" si="0"/>
        <v>ALL</v>
      </c>
      <c r="C5" s="163" t="s">
        <v>1323</v>
      </c>
      <c r="D5" s="136" t="str">
        <f t="shared" si="1"/>
        <v>D_RDM_CURRENCY_BTH</v>
      </c>
      <c r="E5" s="131"/>
    </row>
    <row r="6" spans="1:5" ht="27.6" x14ac:dyDescent="0.3">
      <c r="A6" s="169">
        <v>1</v>
      </c>
      <c r="B6" s="136" t="str">
        <f t="shared" si="0"/>
        <v>ALL</v>
      </c>
      <c r="C6" s="163" t="s">
        <v>1352</v>
      </c>
      <c r="D6" s="136" t="str">
        <f t="shared" si="1"/>
        <v>D_RDM_COLLATERAL_TYPE_BTH</v>
      </c>
      <c r="E6" s="131"/>
    </row>
    <row r="7" spans="1:5" ht="27.6" x14ac:dyDescent="0.3">
      <c r="A7" s="169">
        <v>1</v>
      </c>
      <c r="B7" s="136" t="str">
        <f t="shared" si="0"/>
        <v>ALL</v>
      </c>
      <c r="C7" s="163" t="s">
        <v>1377</v>
      </c>
      <c r="D7" s="136" t="str">
        <f t="shared" si="1"/>
        <v>D_MAP_SAS2IANCM_IN_DEF_IND</v>
      </c>
      <c r="E7" s="131"/>
    </row>
    <row r="8" spans="1:5" x14ac:dyDescent="0.3">
      <c r="A8" s="169">
        <v>1</v>
      </c>
      <c r="B8" s="136" t="str">
        <f t="shared" si="0"/>
        <v>ALL</v>
      </c>
      <c r="C8" s="163" t="s">
        <v>1346</v>
      </c>
      <c r="D8" s="136" t="str">
        <f t="shared" si="1"/>
        <v>S071ABCDEF0002_DOCS_DATA</v>
      </c>
      <c r="E8" s="131"/>
    </row>
    <row r="9" spans="1:5" ht="27.6" x14ac:dyDescent="0.3">
      <c r="A9" s="169">
        <v>1</v>
      </c>
      <c r="B9" s="136" t="str">
        <f t="shared" si="0"/>
        <v>ALL</v>
      </c>
      <c r="C9" s="163" t="s">
        <v>1347</v>
      </c>
      <c r="D9" s="136" t="str">
        <f t="shared" si="1"/>
        <v>D_DIC_REGLTRY_PRODUCT_TYPE</v>
      </c>
      <c r="E9" s="131"/>
    </row>
    <row r="10" spans="1:5" x14ac:dyDescent="0.3">
      <c r="A10" s="169">
        <v>1</v>
      </c>
      <c r="B10" s="136" t="str">
        <f t="shared" si="0"/>
        <v>ALL</v>
      </c>
      <c r="C10" s="163" t="s">
        <v>1334</v>
      </c>
      <c r="D10" s="136" t="str">
        <f t="shared" ref="D10:D73" si="2">IF(NOT(ISBLANK(C10)),VLOOKUP(C10,ERM_TABLE_NM,2,FALSE), "")</f>
        <v>D_DDPL_SUPERGROUP</v>
      </c>
      <c r="E10" s="131"/>
    </row>
    <row r="11" spans="1:5" x14ac:dyDescent="0.3">
      <c r="A11" s="169">
        <v>1</v>
      </c>
      <c r="B11" s="136" t="str">
        <f t="shared" si="0"/>
        <v>ALL</v>
      </c>
      <c r="C11" s="163" t="s">
        <v>420</v>
      </c>
      <c r="D11" s="136" t="str">
        <f t="shared" si="2"/>
        <v>Логи</v>
      </c>
      <c r="E11" s="131"/>
    </row>
    <row r="12" spans="1:5" x14ac:dyDescent="0.3">
      <c r="A12" s="169">
        <v>1</v>
      </c>
      <c r="B12" s="136" t="str">
        <f t="shared" si="0"/>
        <v>ALL</v>
      </c>
      <c r="C12" s="163" t="s">
        <v>1320</v>
      </c>
      <c r="D12" s="136" t="str">
        <f t="shared" si="2"/>
        <v>D_DDPL_SUPERGROUP_FINAL</v>
      </c>
      <c r="E12" s="131"/>
    </row>
    <row r="13" spans="1:5" x14ac:dyDescent="0.3">
      <c r="A13" s="169">
        <v>1</v>
      </c>
      <c r="B13" s="136" t="str">
        <f t="shared" si="0"/>
        <v>ALL</v>
      </c>
      <c r="C13" s="163" t="s">
        <v>328</v>
      </c>
      <c r="D13" s="136" t="str">
        <f t="shared" si="2"/>
        <v>D_EXPOSURE_ACCOUNT</v>
      </c>
      <c r="E13" s="131"/>
    </row>
    <row r="14" spans="1:5" x14ac:dyDescent="0.3">
      <c r="A14" s="169">
        <v>1</v>
      </c>
      <c r="B14" s="136" t="str">
        <f t="shared" si="0"/>
        <v>ALL</v>
      </c>
      <c r="C14" s="163" t="s">
        <v>1775</v>
      </c>
      <c r="D14" s="136" t="str">
        <f t="shared" si="2"/>
        <v>D_DATA_LOAD_LOG</v>
      </c>
      <c r="E14" s="131"/>
    </row>
    <row r="15" spans="1:5" x14ac:dyDescent="0.3">
      <c r="A15" s="169">
        <v>1</v>
      </c>
      <c r="B15" s="136" t="str">
        <f t="shared" si="0"/>
        <v>ALL</v>
      </c>
      <c r="C15" s="163" t="s">
        <v>1324</v>
      </c>
      <c r="D15" s="136" t="str">
        <f t="shared" si="2"/>
        <v>D_DIC_IFRS_CLASS</v>
      </c>
      <c r="E15" s="131"/>
    </row>
    <row r="16" spans="1:5" x14ac:dyDescent="0.3">
      <c r="A16" s="169">
        <v>1</v>
      </c>
      <c r="B16" s="136" t="str">
        <f t="shared" si="0"/>
        <v>ALL</v>
      </c>
      <c r="C16" s="163" t="s">
        <v>1831</v>
      </c>
      <c r="D16" s="136" t="str">
        <f t="shared" si="2"/>
        <v>D_F_CLAIM_STD_X_ORIG_BH</v>
      </c>
      <c r="E16" s="131"/>
    </row>
    <row r="17" spans="1:5" x14ac:dyDescent="0.3">
      <c r="A17" s="169">
        <v>1</v>
      </c>
      <c r="B17" s="136" t="str">
        <f t="shared" si="0"/>
        <v>ALL</v>
      </c>
      <c r="C17" s="163" t="s">
        <v>1838</v>
      </c>
      <c r="D17" s="136" t="str">
        <f t="shared" si="2"/>
        <v>D_SA_SESSIONS</v>
      </c>
      <c r="E17" s="131"/>
    </row>
    <row r="18" spans="1:5" x14ac:dyDescent="0.3">
      <c r="A18" s="169">
        <v>1</v>
      </c>
      <c r="B18" s="136" t="str">
        <f t="shared" si="0"/>
        <v>ALL</v>
      </c>
      <c r="C18" s="163" t="s">
        <v>2036</v>
      </c>
      <c r="D18" s="136" t="str">
        <f t="shared" si="2"/>
        <v>D_ECAP_REP_PARAMS</v>
      </c>
      <c r="E18" s="131"/>
    </row>
    <row r="19" spans="1:5" x14ac:dyDescent="0.3">
      <c r="A19" s="169">
        <v>1</v>
      </c>
      <c r="B19" s="136" t="str">
        <f t="shared" si="0"/>
        <v>ALL</v>
      </c>
      <c r="C19" s="163" t="s">
        <v>415</v>
      </c>
      <c r="D19" s="136" t="str">
        <f t="shared" si="2"/>
        <v>Классификатор контрагента</v>
      </c>
      <c r="E19" s="131"/>
    </row>
    <row r="20" spans="1:5" ht="27.6" x14ac:dyDescent="0.3">
      <c r="A20" s="169">
        <v>1</v>
      </c>
      <c r="B20" s="136" t="str">
        <f t="shared" si="0"/>
        <v>ALL</v>
      </c>
      <c r="C20" s="163" t="s">
        <v>1327</v>
      </c>
      <c r="D20" s="136" t="str">
        <f t="shared" si="2"/>
        <v>D_MAP_CRM_SEGMENT2PRIORITY</v>
      </c>
      <c r="E20" s="131"/>
    </row>
    <row r="21" spans="1:5" x14ac:dyDescent="0.3">
      <c r="A21" s="169">
        <v>1</v>
      </c>
      <c r="B21" s="136" t="str">
        <f t="shared" si="0"/>
        <v>ALL</v>
      </c>
      <c r="C21" s="163" t="s">
        <v>1351</v>
      </c>
      <c r="D21" s="136" t="str">
        <f t="shared" si="2"/>
        <v>D_DDPL_RULE</v>
      </c>
      <c r="E21" s="131"/>
    </row>
    <row r="22" spans="1:5" ht="27.6" x14ac:dyDescent="0.3">
      <c r="A22" s="169">
        <v>1</v>
      </c>
      <c r="B22" s="136" t="str">
        <f t="shared" si="0"/>
        <v>ALL</v>
      </c>
      <c r="C22" s="163" t="s">
        <v>2026</v>
      </c>
      <c r="D22" s="136" t="str">
        <f t="shared" si="2"/>
        <v>D_RCAP_PER_EXPOSURE_RESULTS</v>
      </c>
      <c r="E22" s="131"/>
    </row>
    <row r="23" spans="1:5" x14ac:dyDescent="0.3">
      <c r="A23" s="169">
        <v>1</v>
      </c>
      <c r="B23" s="136" t="str">
        <f t="shared" si="0"/>
        <v>ALL</v>
      </c>
      <c r="C23" s="163" t="s">
        <v>1337</v>
      </c>
      <c r="D23" s="136" t="str">
        <f t="shared" si="2"/>
        <v>D_MAP_SETTINGS</v>
      </c>
      <c r="E23" s="131"/>
    </row>
    <row r="24" spans="1:5" x14ac:dyDescent="0.3">
      <c r="A24" s="169">
        <v>1</v>
      </c>
      <c r="B24" s="136" t="str">
        <f t="shared" si="0"/>
        <v>ALL</v>
      </c>
      <c r="C24" s="163" t="s">
        <v>2363</v>
      </c>
      <c r="D24" s="136" t="e">
        <f t="shared" si="2"/>
        <v>#N/A</v>
      </c>
      <c r="E24" s="131"/>
    </row>
    <row r="25" spans="1:5" x14ac:dyDescent="0.3">
      <c r="A25" s="169">
        <v>1</v>
      </c>
      <c r="B25" s="136" t="str">
        <f t="shared" si="0"/>
        <v>ALL</v>
      </c>
      <c r="C25" s="163" t="s">
        <v>392</v>
      </c>
      <c r="D25" s="136" t="str">
        <f t="shared" si="2"/>
        <v>Сделка</v>
      </c>
      <c r="E25" s="131"/>
    </row>
    <row r="26" spans="1:5" x14ac:dyDescent="0.3">
      <c r="A26" s="169">
        <v>1</v>
      </c>
      <c r="B26" s="136" t="str">
        <f t="shared" si="0"/>
        <v>ALL</v>
      </c>
      <c r="C26" s="163" t="s">
        <v>1362</v>
      </c>
      <c r="D26" s="136" t="str">
        <f t="shared" si="2"/>
        <v>D_DDPL_RULE_DETAIL</v>
      </c>
      <c r="E26" s="131"/>
    </row>
    <row r="27" spans="1:5" x14ac:dyDescent="0.3">
      <c r="A27" s="169">
        <v>1</v>
      </c>
      <c r="B27" s="136" t="str">
        <f t="shared" si="0"/>
        <v>ALL</v>
      </c>
      <c r="C27" s="163" t="s">
        <v>1368</v>
      </c>
      <c r="D27" s="136" t="str">
        <f t="shared" si="2"/>
        <v>D_DIC_CP_TYPE</v>
      </c>
      <c r="E27" s="131"/>
    </row>
    <row r="28" spans="1:5" x14ac:dyDescent="0.3">
      <c r="A28" s="169">
        <v>1</v>
      </c>
      <c r="B28" s="136" t="str">
        <f t="shared" si="0"/>
        <v>ALL</v>
      </c>
      <c r="C28" s="163" t="s">
        <v>1836</v>
      </c>
      <c r="D28" s="136" t="str">
        <f t="shared" si="2"/>
        <v>D_MAN_ECAP_PLAN</v>
      </c>
      <c r="E28" s="131"/>
    </row>
    <row r="29" spans="1:5" x14ac:dyDescent="0.3">
      <c r="A29" s="169">
        <v>1</v>
      </c>
      <c r="B29" s="136" t="str">
        <f t="shared" si="0"/>
        <v>ALL</v>
      </c>
      <c r="C29" s="163" t="s">
        <v>403</v>
      </c>
      <c r="D29" s="136" t="str">
        <f t="shared" si="2"/>
        <v>Справочник риск-факторов</v>
      </c>
      <c r="E29" s="131"/>
    </row>
    <row r="30" spans="1:5" x14ac:dyDescent="0.3">
      <c r="A30" s="169">
        <v>1</v>
      </c>
      <c r="B30" s="136" t="str">
        <f t="shared" si="0"/>
        <v>ALL</v>
      </c>
      <c r="C30" s="163" t="s">
        <v>2046</v>
      </c>
      <c r="D30" s="136" t="str">
        <f t="shared" si="2"/>
        <v>D_MAN_DST_SEGM_GROWTH</v>
      </c>
      <c r="E30" s="131"/>
    </row>
    <row r="31" spans="1:5" x14ac:dyDescent="0.3">
      <c r="A31" s="169">
        <v>1</v>
      </c>
      <c r="B31" s="136" t="str">
        <f t="shared" si="0"/>
        <v>ALL</v>
      </c>
      <c r="C31" s="163" t="s">
        <v>1375</v>
      </c>
      <c r="D31" s="136" t="str">
        <f t="shared" si="2"/>
        <v>D_RDM_FIN_POS_BTH</v>
      </c>
      <c r="E31" s="131"/>
    </row>
    <row r="32" spans="1:5" x14ac:dyDescent="0.3">
      <c r="A32" s="169">
        <v>1</v>
      </c>
      <c r="B32" s="136" t="str">
        <f t="shared" si="0"/>
        <v>ALL</v>
      </c>
      <c r="C32" s="163" t="s">
        <v>331</v>
      </c>
      <c r="D32" s="136" t="str">
        <f t="shared" si="2"/>
        <v>D_EXPOSURE_FACILITY</v>
      </c>
      <c r="E32" s="131"/>
    </row>
    <row r="33" spans="1:5" x14ac:dyDescent="0.3">
      <c r="A33" s="169">
        <v>1</v>
      </c>
      <c r="B33" s="136" t="str">
        <f t="shared" si="0"/>
        <v>ALL</v>
      </c>
      <c r="C33" s="163" t="s">
        <v>1834</v>
      </c>
      <c r="D33" s="136" t="str">
        <f t="shared" si="2"/>
        <v>D_ISSUE_FACILITY</v>
      </c>
      <c r="E33" s="131"/>
    </row>
    <row r="34" spans="1:5" x14ac:dyDescent="0.3">
      <c r="A34" s="169">
        <v>1</v>
      </c>
      <c r="B34" s="136" t="str">
        <f t="shared" si="0"/>
        <v>ALL</v>
      </c>
      <c r="C34" s="163" t="s">
        <v>1321</v>
      </c>
      <c r="D34" s="136" t="str">
        <f t="shared" si="2"/>
        <v>D_MAP_SOVER_BLACK_LIST</v>
      </c>
      <c r="E34" s="131"/>
    </row>
    <row r="35" spans="1:5" x14ac:dyDescent="0.3">
      <c r="A35" s="169">
        <v>1</v>
      </c>
      <c r="B35" s="136" t="str">
        <f t="shared" si="0"/>
        <v>ALL</v>
      </c>
      <c r="C35" s="163" t="s">
        <v>1827</v>
      </c>
      <c r="D35" s="136" t="str">
        <f t="shared" si="2"/>
        <v>D_MAN_CP_ORIG</v>
      </c>
      <c r="E35" s="131"/>
    </row>
    <row r="36" spans="1:5" x14ac:dyDescent="0.3">
      <c r="A36" s="169">
        <v>1</v>
      </c>
      <c r="B36" s="136" t="str">
        <f t="shared" si="0"/>
        <v>ALL</v>
      </c>
      <c r="C36" s="163" t="s">
        <v>2050</v>
      </c>
      <c r="D36" s="136" t="str">
        <f t="shared" si="2"/>
        <v>D_ECAP_CALC_SESSIONS</v>
      </c>
      <c r="E36" s="131"/>
    </row>
    <row r="37" spans="1:5" x14ac:dyDescent="0.3">
      <c r="A37" s="169">
        <v>1</v>
      </c>
      <c r="B37" s="136" t="str">
        <f t="shared" si="0"/>
        <v>ALL</v>
      </c>
      <c r="C37" s="163" t="s">
        <v>2048</v>
      </c>
      <c r="D37" s="136" t="str">
        <f t="shared" si="2"/>
        <v>D_ECAP_SIGN_LEV_RESULTS</v>
      </c>
      <c r="E37" s="131"/>
    </row>
    <row r="38" spans="1:5" ht="27.6" x14ac:dyDescent="0.3">
      <c r="A38" s="169">
        <v>1</v>
      </c>
      <c r="B38" s="136" t="str">
        <f t="shared" si="0"/>
        <v>ALL</v>
      </c>
      <c r="C38" s="163" t="s">
        <v>1779</v>
      </c>
      <c r="D38" s="136" t="str">
        <f t="shared" si="2"/>
        <v>D_ETL_INPUT_PACKAGE_LOAD_LOG</v>
      </c>
      <c r="E38" s="131"/>
    </row>
    <row r="39" spans="1:5" ht="82.8" x14ac:dyDescent="0.3">
      <c r="A39" s="169">
        <v>1</v>
      </c>
      <c r="B39" s="136" t="str">
        <f t="shared" si="0"/>
        <v>ALL</v>
      </c>
      <c r="C39" s="163" t="s">
        <v>423</v>
      </c>
      <c r="D39" s="136" t="str">
        <f t="shared" si="2"/>
        <v>Правила проставления регуляторного класса продукта для таблиц типа ISSUE по данным с финансовых рынков (новый вариант)</v>
      </c>
      <c r="E39" s="131"/>
    </row>
    <row r="40" spans="1:5" ht="27.6" x14ac:dyDescent="0.3">
      <c r="A40" s="169">
        <v>1</v>
      </c>
      <c r="B40" s="136" t="str">
        <f t="shared" si="0"/>
        <v>ALL</v>
      </c>
      <c r="C40" s="163" t="s">
        <v>396</v>
      </c>
      <c r="D40" s="136" t="str">
        <f t="shared" si="2"/>
        <v>Справочник типов бизнес-сегментов</v>
      </c>
      <c r="E40" s="131"/>
    </row>
    <row r="41" spans="1:5" x14ac:dyDescent="0.3">
      <c r="A41" s="169">
        <v>1</v>
      </c>
      <c r="B41" s="136" t="str">
        <f t="shared" si="0"/>
        <v>ALL</v>
      </c>
      <c r="C41" s="163" t="s">
        <v>1837</v>
      </c>
      <c r="D41" s="136" t="str">
        <f t="shared" si="2"/>
        <v>D_ISSUE_SECURITIZATION</v>
      </c>
      <c r="E41" s="131"/>
    </row>
    <row r="42" spans="1:5" ht="69" x14ac:dyDescent="0.3">
      <c r="A42" s="169">
        <v>1</v>
      </c>
      <c r="B42" s="136" t="str">
        <f t="shared" si="0"/>
        <v>ALL</v>
      </c>
      <c r="C42" s="163" t="s">
        <v>424</v>
      </c>
      <c r="D42" s="136" t="str">
        <f t="shared" si="2"/>
        <v>Правила проставления класса продукта для таблиц типа ISSUE по данным с финансовых рынков (новый вариант)</v>
      </c>
      <c r="E42" s="131"/>
    </row>
    <row r="43" spans="1:5" x14ac:dyDescent="0.3">
      <c r="A43" s="169">
        <v>1</v>
      </c>
      <c r="B43" s="136" t="str">
        <f t="shared" si="0"/>
        <v>ALL</v>
      </c>
      <c r="C43" s="163" t="s">
        <v>2053</v>
      </c>
      <c r="D43" s="136" t="str">
        <f t="shared" si="2"/>
        <v>D_ST_CP_RESULTS</v>
      </c>
      <c r="E43" s="131"/>
    </row>
    <row r="44" spans="1:5" x14ac:dyDescent="0.3">
      <c r="A44" s="169">
        <v>1</v>
      </c>
      <c r="B44" s="136" t="str">
        <f t="shared" si="0"/>
        <v>ALL</v>
      </c>
      <c r="C44" s="163" t="s">
        <v>1844</v>
      </c>
      <c r="D44" s="136" t="str">
        <f t="shared" si="2"/>
        <v>D_EXPOSURE_RECEIVABLE</v>
      </c>
      <c r="E44" s="131"/>
    </row>
    <row r="45" spans="1:5" x14ac:dyDescent="0.3">
      <c r="A45" s="169">
        <v>1</v>
      </c>
      <c r="B45" s="136" t="str">
        <f t="shared" si="0"/>
        <v>ALL</v>
      </c>
      <c r="C45" s="163" t="s">
        <v>2055</v>
      </c>
      <c r="D45" s="136" t="str">
        <f t="shared" si="2"/>
        <v>D_DIC_FM_DEAL_TYPE</v>
      </c>
      <c r="E45" s="131"/>
    </row>
    <row r="46" spans="1:5" x14ac:dyDescent="0.3">
      <c r="A46" s="169">
        <v>1</v>
      </c>
      <c r="B46" s="136" t="str">
        <f t="shared" si="0"/>
        <v>ALL</v>
      </c>
      <c r="C46" s="163" t="s">
        <v>1830</v>
      </c>
      <c r="D46" s="136" t="str">
        <f t="shared" si="2"/>
        <v>D_INTERNAL_ORG_MART</v>
      </c>
      <c r="E46" s="131"/>
    </row>
    <row r="47" spans="1:5" x14ac:dyDescent="0.3">
      <c r="A47" s="169">
        <v>1</v>
      </c>
      <c r="B47" s="136" t="str">
        <f t="shared" si="0"/>
        <v>ALL</v>
      </c>
      <c r="C47" s="163" t="s">
        <v>1307</v>
      </c>
      <c r="D47" s="136" t="str">
        <f t="shared" si="2"/>
        <v>D_DYN_SRC_SYS</v>
      </c>
      <c r="E47" s="131"/>
    </row>
    <row r="48" spans="1:5" x14ac:dyDescent="0.3">
      <c r="A48" s="169">
        <v>1</v>
      </c>
      <c r="B48" s="136" t="str">
        <f t="shared" si="0"/>
        <v>ALL</v>
      </c>
      <c r="C48" s="163" t="s">
        <v>418</v>
      </c>
      <c r="D48" s="136" t="str">
        <f t="shared" si="2"/>
        <v>Тип условных обязательств</v>
      </c>
      <c r="E48" s="131"/>
    </row>
    <row r="49" spans="1:5" ht="27.6" x14ac:dyDescent="0.3">
      <c r="A49" s="169">
        <v>1</v>
      </c>
      <c r="B49" s="136" t="str">
        <f t="shared" si="0"/>
        <v>ALL</v>
      </c>
      <c r="C49" s="163" t="s">
        <v>1366</v>
      </c>
      <c r="D49" s="136" t="str">
        <f t="shared" si="2"/>
        <v>Правила проставления флага ЦБ РФ для контрагента</v>
      </c>
      <c r="E49" s="131"/>
    </row>
    <row r="50" spans="1:5" x14ac:dyDescent="0.3">
      <c r="A50" s="169">
        <v>1</v>
      </c>
      <c r="B50" s="136" t="str">
        <f t="shared" si="0"/>
        <v>ALL</v>
      </c>
      <c r="C50" s="163" t="s">
        <v>1833</v>
      </c>
      <c r="D50" s="136" t="str">
        <f t="shared" si="2"/>
        <v>D_MATERIALIZATION_LOG</v>
      </c>
      <c r="E50" s="131"/>
    </row>
    <row r="51" spans="1:5" x14ac:dyDescent="0.3">
      <c r="A51" s="169">
        <v>1</v>
      </c>
      <c r="B51" s="136" t="str">
        <f t="shared" si="0"/>
        <v>ALL</v>
      </c>
      <c r="C51" s="163" t="s">
        <v>1781</v>
      </c>
      <c r="D51" s="136" t="str">
        <f t="shared" si="2"/>
        <v>D_MODULE_STATUS</v>
      </c>
      <c r="E51" s="131"/>
    </row>
    <row r="52" spans="1:5" ht="27.6" x14ac:dyDescent="0.3">
      <c r="A52" s="169">
        <v>1</v>
      </c>
      <c r="B52" s="136" t="str">
        <f t="shared" si="0"/>
        <v>ALL</v>
      </c>
      <c r="C52" s="163" t="s">
        <v>1846</v>
      </c>
      <c r="D52" s="136" t="str">
        <f t="shared" si="2"/>
        <v>D_MAN_REGLTRY_CAPITAL_MART</v>
      </c>
      <c r="E52" s="131"/>
    </row>
    <row r="53" spans="1:5" ht="41.4" x14ac:dyDescent="0.3">
      <c r="A53" s="169">
        <v>1</v>
      </c>
      <c r="B53" s="136" t="str">
        <f t="shared" si="0"/>
        <v>ALL</v>
      </c>
      <c r="C53" s="163" t="s">
        <v>421</v>
      </c>
      <c r="D53" s="136" t="str">
        <f t="shared" si="2"/>
        <v>Правила определения типа контрагента по выгрузке УМРОГР</v>
      </c>
      <c r="E53" s="131"/>
    </row>
    <row r="54" spans="1:5" x14ac:dyDescent="0.3">
      <c r="A54" s="169">
        <v>1</v>
      </c>
      <c r="B54" s="136" t="str">
        <f t="shared" si="0"/>
        <v>ALL</v>
      </c>
      <c r="C54" s="163" t="s">
        <v>1322</v>
      </c>
      <c r="D54" s="136" t="str">
        <f t="shared" si="2"/>
        <v>D_MAP_SRC_SYS_PRIORITY</v>
      </c>
      <c r="E54" s="131"/>
    </row>
    <row r="55" spans="1:5" x14ac:dyDescent="0.3">
      <c r="A55" s="169">
        <v>1</v>
      </c>
      <c r="B55" s="136" t="str">
        <f t="shared" si="0"/>
        <v>ALL</v>
      </c>
      <c r="C55" s="163" t="s">
        <v>1777</v>
      </c>
      <c r="D55" s="136" t="str">
        <f t="shared" si="2"/>
        <v>D_MAP_XCP2E_LGD</v>
      </c>
      <c r="E55" s="131"/>
    </row>
    <row r="56" spans="1:5" x14ac:dyDescent="0.3">
      <c r="A56" s="169">
        <v>1</v>
      </c>
      <c r="B56" s="136" t="str">
        <f t="shared" si="0"/>
        <v>ALL</v>
      </c>
      <c r="C56" s="163" t="s">
        <v>1835</v>
      </c>
      <c r="D56" s="136" t="str">
        <f t="shared" si="2"/>
        <v>D_MAP_CCF_STD_BY_DEFAULT</v>
      </c>
      <c r="E56" s="131"/>
    </row>
    <row r="57" spans="1:5" ht="27.6" x14ac:dyDescent="0.3">
      <c r="A57" s="169">
        <v>1</v>
      </c>
      <c r="B57" s="136" t="str">
        <f t="shared" si="0"/>
        <v>ALL</v>
      </c>
      <c r="C57" s="163" t="s">
        <v>1376</v>
      </c>
      <c r="D57" s="136" t="str">
        <f t="shared" si="2"/>
        <v>D_MAP_CRM_CARD_TYPE2PRIORITY</v>
      </c>
      <c r="E57" s="131"/>
    </row>
    <row r="58" spans="1:5" x14ac:dyDescent="0.3">
      <c r="A58" s="169">
        <v>1</v>
      </c>
      <c r="B58" s="136" t="str">
        <f t="shared" si="0"/>
        <v>ALL</v>
      </c>
      <c r="C58" s="163" t="s">
        <v>402</v>
      </c>
      <c r="D58" s="136" t="str">
        <f t="shared" si="2"/>
        <v>Таблица-хаб сделки</v>
      </c>
      <c r="E58" s="131"/>
    </row>
    <row r="59" spans="1:5" ht="27.6" x14ac:dyDescent="0.3">
      <c r="A59" s="169">
        <v>1</v>
      </c>
      <c r="B59" s="136" t="str">
        <f t="shared" si="0"/>
        <v>ALL</v>
      </c>
      <c r="C59" s="163" t="s">
        <v>2032</v>
      </c>
      <c r="D59" s="136" t="str">
        <f t="shared" si="2"/>
        <v>D_SECURITIZATION_POOL_MART</v>
      </c>
      <c r="E59" s="131"/>
    </row>
    <row r="60" spans="1:5" ht="55.2" x14ac:dyDescent="0.3">
      <c r="A60" s="169">
        <v>1</v>
      </c>
      <c r="B60" s="136" t="str">
        <f t="shared" si="0"/>
        <v>ALL</v>
      </c>
      <c r="C60" s="163" t="s">
        <v>1312</v>
      </c>
      <c r="D60" s="136" t="str">
        <f t="shared" si="2"/>
        <v>Правила определения REP_CLASS в зависимости от типа контрагента по умолчанию</v>
      </c>
      <c r="E60" s="131"/>
    </row>
    <row r="61" spans="1:5" x14ac:dyDescent="0.3">
      <c r="A61" s="169">
        <v>1</v>
      </c>
      <c r="B61" s="136" t="str">
        <f t="shared" si="0"/>
        <v>ALL</v>
      </c>
      <c r="C61" s="163" t="s">
        <v>1848</v>
      </c>
      <c r="D61" s="136" t="str">
        <f t="shared" si="2"/>
        <v>D_STG_LOAD_INFO_SYSTEM</v>
      </c>
      <c r="E61" s="131"/>
    </row>
    <row r="62" spans="1:5" x14ac:dyDescent="0.3">
      <c r="A62" s="169">
        <v>1</v>
      </c>
      <c r="B62" s="136" t="str">
        <f t="shared" si="0"/>
        <v>ALL</v>
      </c>
      <c r="C62" s="163" t="s">
        <v>1845</v>
      </c>
      <c r="D62" s="136" t="str">
        <f t="shared" si="2"/>
        <v>D_MAP_CL_LOAN_CAT_FILTER</v>
      </c>
      <c r="E62" s="131"/>
    </row>
    <row r="63" spans="1:5" x14ac:dyDescent="0.3">
      <c r="A63" s="169">
        <v>1</v>
      </c>
      <c r="B63" s="136" t="str">
        <f t="shared" si="0"/>
        <v>ALL</v>
      </c>
      <c r="C63" s="163" t="s">
        <v>1027</v>
      </c>
      <c r="D63" s="136" t="e">
        <f t="shared" si="2"/>
        <v>#N/A</v>
      </c>
      <c r="E63" s="131"/>
    </row>
    <row r="64" spans="1:5" ht="27.6" x14ac:dyDescent="0.3">
      <c r="A64" s="169">
        <v>1</v>
      </c>
      <c r="B64" s="136" t="str">
        <f t="shared" si="0"/>
        <v>ALL</v>
      </c>
      <c r="C64" s="163" t="s">
        <v>2044</v>
      </c>
      <c r="D64" s="136" t="str">
        <f t="shared" si="2"/>
        <v>D_ECAP_AGGREGATED_RESULTS</v>
      </c>
      <c r="E64" s="131"/>
    </row>
    <row r="65" spans="1:5" ht="27.6" x14ac:dyDescent="0.3">
      <c r="A65" s="169">
        <v>1</v>
      </c>
      <c r="B65" s="136" t="str">
        <f t="shared" si="0"/>
        <v>ALL</v>
      </c>
      <c r="C65" s="163" t="s">
        <v>405</v>
      </c>
      <c r="D65" s="136" t="str">
        <f t="shared" si="2"/>
        <v>Таблица отношений сделки и обеспечения</v>
      </c>
      <c r="E65" s="131"/>
    </row>
    <row r="66" spans="1:5" x14ac:dyDescent="0.3">
      <c r="A66" s="169">
        <v>1</v>
      </c>
      <c r="B66" s="136" t="str">
        <f t="shared" ref="B66:B121" si="3" xml:space="preserve"> IF(NOT(ISBLANK(A66)),VLOOKUP(A66,sec_grp,2,FALSE), "")</f>
        <v>ALL</v>
      </c>
      <c r="C66" s="163" t="s">
        <v>1326</v>
      </c>
      <c r="D66" s="136" t="str">
        <f t="shared" si="2"/>
        <v>D_DYN_CHECK_PARAM</v>
      </c>
      <c r="E66" s="131"/>
    </row>
    <row r="67" spans="1:5" x14ac:dyDescent="0.3">
      <c r="A67" s="169">
        <v>1</v>
      </c>
      <c r="B67" s="136" t="str">
        <f t="shared" si="3"/>
        <v>ALL</v>
      </c>
      <c r="C67" s="163" t="s">
        <v>1358</v>
      </c>
      <c r="D67" s="136" t="str">
        <f t="shared" si="2"/>
        <v>D_DYN_PD_MODEL</v>
      </c>
      <c r="E67" s="131"/>
    </row>
    <row r="68" spans="1:5" ht="55.2" x14ac:dyDescent="0.3">
      <c r="A68" s="169">
        <v>1</v>
      </c>
      <c r="B68" s="136" t="str">
        <f t="shared" si="3"/>
        <v>ALL</v>
      </c>
      <c r="C68" s="163" t="s">
        <v>425</v>
      </c>
      <c r="D68" s="136" t="str">
        <f t="shared" si="2"/>
        <v>Определение унифицированных контрагентов из оригинальных</v>
      </c>
      <c r="E68" s="131"/>
    </row>
    <row r="69" spans="1:5" ht="55.2" x14ac:dyDescent="0.3">
      <c r="A69" s="169">
        <v>1</v>
      </c>
      <c r="B69" s="136" t="str">
        <f t="shared" si="3"/>
        <v>ALL</v>
      </c>
      <c r="C69" s="163" t="s">
        <v>410</v>
      </c>
      <c r="D69" s="136" t="str">
        <f t="shared" si="2"/>
        <v>Список отраслей для построения отчетов по расчету экономического капитала</v>
      </c>
      <c r="E69" s="131"/>
    </row>
    <row r="70" spans="1:5" x14ac:dyDescent="0.3">
      <c r="A70" s="169">
        <v>1</v>
      </c>
      <c r="B70" s="136" t="str">
        <f t="shared" si="3"/>
        <v>ALL</v>
      </c>
      <c r="C70" s="163" t="s">
        <v>2045</v>
      </c>
      <c r="D70" s="136" t="str">
        <f t="shared" si="2"/>
        <v>D_MAN_DST_IND_GROWTH</v>
      </c>
      <c r="E70" s="131"/>
    </row>
    <row r="71" spans="1:5" x14ac:dyDescent="0.3">
      <c r="A71" s="169">
        <v>1</v>
      </c>
      <c r="B71" s="136" t="str">
        <f t="shared" si="3"/>
        <v>ALL</v>
      </c>
      <c r="C71" s="163" t="s">
        <v>1310</v>
      </c>
      <c r="D71" s="136" t="str">
        <f t="shared" si="2"/>
        <v>D_DDPL_HIGHER_PRIORITY</v>
      </c>
      <c r="E71" s="131"/>
    </row>
    <row r="72" spans="1:5" ht="27.6" x14ac:dyDescent="0.3">
      <c r="A72" s="169">
        <v>1</v>
      </c>
      <c r="B72" s="136" t="str">
        <f t="shared" si="3"/>
        <v>ALL</v>
      </c>
      <c r="C72" s="163" t="s">
        <v>1776</v>
      </c>
      <c r="D72" s="136" t="str">
        <f t="shared" si="2"/>
        <v>D_CLAIM_EXPOSURE_STL1_BTH</v>
      </c>
      <c r="E72" s="131"/>
    </row>
    <row r="73" spans="1:5" x14ac:dyDescent="0.3">
      <c r="A73" s="169">
        <v>1</v>
      </c>
      <c r="B73" s="136" t="str">
        <f t="shared" si="3"/>
        <v>ALL</v>
      </c>
      <c r="C73" s="163" t="s">
        <v>1330</v>
      </c>
      <c r="D73" s="136" t="str">
        <f t="shared" si="2"/>
        <v>D_MAP_FLOC_TB2I_INT_ORG</v>
      </c>
      <c r="E73" s="131"/>
    </row>
    <row r="74" spans="1:5" x14ac:dyDescent="0.3">
      <c r="A74" s="169">
        <v>1</v>
      </c>
      <c r="B74" s="136" t="str">
        <f t="shared" si="3"/>
        <v>ALL</v>
      </c>
      <c r="C74" s="163" t="s">
        <v>412</v>
      </c>
      <c r="D74" s="136" t="str">
        <f t="shared" ref="D74:D121" si="4">IF(NOT(ISBLANK(C74)),VLOOKUP(C74,ERM_TABLE_NM,2,FALSE), "")</f>
        <v>Таблица-хаб подразделений</v>
      </c>
      <c r="E74" s="131"/>
    </row>
    <row r="75" spans="1:5" ht="27.6" x14ac:dyDescent="0.3">
      <c r="A75" s="169">
        <v>1</v>
      </c>
      <c r="B75" s="136" t="str">
        <f t="shared" si="3"/>
        <v>ALL</v>
      </c>
      <c r="C75" s="163" t="s">
        <v>388</v>
      </c>
      <c r="D75" s="136" t="str">
        <f t="shared" si="4"/>
        <v>Контрагент унифицированный</v>
      </c>
      <c r="E75" s="131"/>
    </row>
    <row r="76" spans="1:5" ht="55.2" x14ac:dyDescent="0.3">
      <c r="A76" s="169">
        <v>1</v>
      </c>
      <c r="B76" s="136" t="str">
        <f t="shared" si="3"/>
        <v>ALL</v>
      </c>
      <c r="C76" s="163" t="s">
        <v>394</v>
      </c>
      <c r="D76" s="136" t="str">
        <f t="shared" si="4"/>
        <v>Правила определения типа внебалансового обязательства для сделок из выгрузки УМРОГР</v>
      </c>
      <c r="E76" s="131"/>
    </row>
    <row r="77" spans="1:5" ht="27.6" x14ac:dyDescent="0.3">
      <c r="A77" s="169">
        <v>1</v>
      </c>
      <c r="B77" s="136" t="str">
        <f t="shared" si="3"/>
        <v>ALL</v>
      </c>
      <c r="C77" s="163" t="s">
        <v>1315</v>
      </c>
      <c r="D77" s="136" t="str">
        <f t="shared" si="4"/>
        <v>D_MAP_N_PD_MDL2CM_ERM_SEG</v>
      </c>
      <c r="E77" s="131"/>
    </row>
    <row r="78" spans="1:5" ht="27.6" x14ac:dyDescent="0.3">
      <c r="A78" s="169">
        <v>1</v>
      </c>
      <c r="B78" s="136" t="str">
        <f t="shared" si="3"/>
        <v>ALL</v>
      </c>
      <c r="C78" s="163" t="s">
        <v>1317</v>
      </c>
      <c r="D78" s="136" t="str">
        <f t="shared" si="4"/>
        <v>D_RDM_UNDERW_PROCEDURE_BTH</v>
      </c>
      <c r="E78" s="131"/>
    </row>
    <row r="79" spans="1:5" x14ac:dyDescent="0.3">
      <c r="A79" s="169">
        <v>1</v>
      </c>
      <c r="B79" s="136" t="str">
        <f t="shared" si="3"/>
        <v>ALL</v>
      </c>
      <c r="C79" s="163" t="s">
        <v>2034</v>
      </c>
      <c r="D79" s="136" t="str">
        <f t="shared" si="4"/>
        <v>D_CS_MAP_INDUSTRY</v>
      </c>
      <c r="E79" s="131"/>
    </row>
    <row r="80" spans="1:5" x14ac:dyDescent="0.3">
      <c r="A80" s="169">
        <v>1</v>
      </c>
      <c r="B80" s="136" t="str">
        <f t="shared" si="3"/>
        <v>ALL</v>
      </c>
      <c r="C80" s="163" t="s">
        <v>407</v>
      </c>
      <c r="D80" s="136" t="str">
        <f t="shared" si="4"/>
        <v>Рисковые метрики по сделке</v>
      </c>
      <c r="E80" s="131"/>
    </row>
    <row r="81" spans="1:5" x14ac:dyDescent="0.3">
      <c r="A81" s="169">
        <v>1</v>
      </c>
      <c r="B81" s="136" t="str">
        <f t="shared" si="3"/>
        <v>ALL</v>
      </c>
      <c r="C81" s="163" t="s">
        <v>1341</v>
      </c>
      <c r="D81" s="136" t="str">
        <f t="shared" si="4"/>
        <v>D_RDM_COUNTRY_BTH</v>
      </c>
      <c r="E81" s="131"/>
    </row>
    <row r="82" spans="1:5" x14ac:dyDescent="0.3">
      <c r="A82" s="169">
        <v>1</v>
      </c>
      <c r="B82" s="136" t="str">
        <f t="shared" si="3"/>
        <v>ALL</v>
      </c>
      <c r="C82" s="163" t="s">
        <v>1829</v>
      </c>
      <c r="D82" s="136" t="str">
        <f t="shared" si="4"/>
        <v>D_EXPOSURE_INSTRUMENT</v>
      </c>
      <c r="E82" s="131"/>
    </row>
    <row r="83" spans="1:5" x14ac:dyDescent="0.3">
      <c r="A83" s="169">
        <v>1</v>
      </c>
      <c r="B83" s="136" t="str">
        <f t="shared" si="3"/>
        <v>ALL</v>
      </c>
      <c r="C83" s="163" t="s">
        <v>1319</v>
      </c>
      <c r="D83" s="136" t="str">
        <f t="shared" si="4"/>
        <v>D_RDM_PYMNT_CAT_BTH</v>
      </c>
      <c r="E83" s="131"/>
    </row>
    <row r="84" spans="1:5" x14ac:dyDescent="0.3">
      <c r="A84" s="169">
        <v>1</v>
      </c>
      <c r="B84" s="136" t="str">
        <f t="shared" si="3"/>
        <v>ALL</v>
      </c>
      <c r="C84" s="163" t="s">
        <v>1348</v>
      </c>
      <c r="D84" s="136" t="str">
        <f t="shared" si="4"/>
        <v>D_DIC_INT_ORG_HIER_SCEN</v>
      </c>
      <c r="E84" s="131"/>
    </row>
    <row r="85" spans="1:5" x14ac:dyDescent="0.3">
      <c r="A85" s="169">
        <v>1</v>
      </c>
      <c r="B85" s="136" t="str">
        <f t="shared" si="3"/>
        <v>ALL</v>
      </c>
      <c r="C85" s="163" t="s">
        <v>401</v>
      </c>
      <c r="D85" s="136" t="str">
        <f t="shared" si="4"/>
        <v>Таблица-хаб контрагента</v>
      </c>
      <c r="E85" s="131"/>
    </row>
    <row r="86" spans="1:5" x14ac:dyDescent="0.3">
      <c r="A86" s="169">
        <v>1</v>
      </c>
      <c r="B86" s="136" t="str">
        <f t="shared" si="3"/>
        <v>ALL</v>
      </c>
      <c r="C86" s="163" t="s">
        <v>1824</v>
      </c>
      <c r="D86" s="136" t="str">
        <f t="shared" si="4"/>
        <v>D_IMP_F_CLAIM_STD_BH</v>
      </c>
      <c r="E86" s="131"/>
    </row>
    <row r="87" spans="1:5" x14ac:dyDescent="0.3">
      <c r="A87" s="169">
        <v>1</v>
      </c>
      <c r="B87" s="136" t="str">
        <f t="shared" si="3"/>
        <v>ALL</v>
      </c>
      <c r="C87" s="163" t="s">
        <v>1332</v>
      </c>
      <c r="D87" s="136" t="str">
        <f t="shared" si="4"/>
        <v>D_TEST_LOG</v>
      </c>
      <c r="E87" s="131"/>
    </row>
    <row r="88" spans="1:5" x14ac:dyDescent="0.3">
      <c r="A88" s="169">
        <v>1</v>
      </c>
      <c r="B88" s="136" t="str">
        <f t="shared" si="3"/>
        <v>ALL</v>
      </c>
      <c r="C88" s="163" t="s">
        <v>2038</v>
      </c>
      <c r="D88" s="136" t="str">
        <f t="shared" si="4"/>
        <v>D_ST_IND_SEGM_FACTORS</v>
      </c>
      <c r="E88" s="131"/>
    </row>
    <row r="89" spans="1:5" x14ac:dyDescent="0.3">
      <c r="A89" s="169">
        <v>1</v>
      </c>
      <c r="B89" s="136" t="str">
        <f t="shared" si="3"/>
        <v>ALL</v>
      </c>
      <c r="C89" s="163" t="s">
        <v>2031</v>
      </c>
      <c r="D89" s="136" t="str">
        <f t="shared" si="4"/>
        <v>D_CS_ECAP_GEN_PARAMS</v>
      </c>
      <c r="E89" s="131"/>
    </row>
    <row r="90" spans="1:5" ht="27.6" x14ac:dyDescent="0.3">
      <c r="A90" s="169">
        <v>1</v>
      </c>
      <c r="B90" s="136" t="str">
        <f t="shared" si="3"/>
        <v>ALL</v>
      </c>
      <c r="C90" s="163" t="s">
        <v>1342</v>
      </c>
      <c r="D90" s="136" t="str">
        <f t="shared" si="4"/>
        <v>D_MAP_CND_XCM2ERM_CP_SEG</v>
      </c>
      <c r="E90" s="131"/>
    </row>
    <row r="91" spans="1:5" x14ac:dyDescent="0.3">
      <c r="A91" s="169">
        <v>1</v>
      </c>
      <c r="B91" s="136" t="str">
        <f t="shared" si="3"/>
        <v>ALL</v>
      </c>
      <c r="C91" s="163" t="s">
        <v>2029</v>
      </c>
      <c r="D91" s="136" t="str">
        <f t="shared" si="4"/>
        <v>D_CS_ST_PERIODS</v>
      </c>
      <c r="E91" s="131"/>
    </row>
    <row r="92" spans="1:5" x14ac:dyDescent="0.3">
      <c r="A92" s="169">
        <v>1</v>
      </c>
      <c r="B92" s="136" t="str">
        <f t="shared" si="3"/>
        <v>ALL</v>
      </c>
      <c r="C92" s="163" t="s">
        <v>2028</v>
      </c>
      <c r="D92" s="136" t="str">
        <f t="shared" si="4"/>
        <v>D_ST_SESSIONS</v>
      </c>
      <c r="E92" s="131"/>
    </row>
    <row r="93" spans="1:5" x14ac:dyDescent="0.3">
      <c r="A93" s="169">
        <v>1</v>
      </c>
      <c r="B93" s="136" t="str">
        <f t="shared" si="3"/>
        <v>ALL</v>
      </c>
      <c r="C93" s="163" t="s">
        <v>404</v>
      </c>
      <c r="D93" s="136" t="str">
        <f t="shared" si="4"/>
        <v>ГСЗ</v>
      </c>
      <c r="E93" s="131"/>
    </row>
    <row r="94" spans="1:5" x14ac:dyDescent="0.3">
      <c r="A94" s="169">
        <v>1</v>
      </c>
      <c r="B94" s="136" t="str">
        <f t="shared" si="3"/>
        <v>ALL</v>
      </c>
      <c r="C94" s="163" t="s">
        <v>1329</v>
      </c>
      <c r="D94" s="136" t="str">
        <f t="shared" si="4"/>
        <v>D_MAP_BASEL2_CLASS</v>
      </c>
      <c r="E94" s="131"/>
    </row>
    <row r="95" spans="1:5" ht="27.6" x14ac:dyDescent="0.3">
      <c r="A95" s="169">
        <v>1</v>
      </c>
      <c r="B95" s="136" t="str">
        <f t="shared" si="3"/>
        <v>ALL</v>
      </c>
      <c r="C95" s="163" t="s">
        <v>1372</v>
      </c>
      <c r="D95" s="136" t="str">
        <f t="shared" si="4"/>
        <v>D_RDM_F26_LOAN_PURPOSE_BTH</v>
      </c>
      <c r="E95" s="131"/>
    </row>
    <row r="96" spans="1:5" x14ac:dyDescent="0.3">
      <c r="A96" s="169">
        <v>1</v>
      </c>
      <c r="B96" s="136" t="str">
        <f t="shared" si="3"/>
        <v>ALL</v>
      </c>
      <c r="C96" s="163" t="s">
        <v>1842</v>
      </c>
      <c r="D96" s="136" t="str">
        <f t="shared" si="4"/>
        <v>D_ISSUE_RECEIVABLE</v>
      </c>
      <c r="E96" s="131"/>
    </row>
    <row r="97" spans="1:5" x14ac:dyDescent="0.3">
      <c r="A97" s="169">
        <v>1</v>
      </c>
      <c r="B97" s="136" t="str">
        <f t="shared" si="3"/>
        <v>ALL</v>
      </c>
      <c r="C97" s="163" t="s">
        <v>1335</v>
      </c>
      <c r="D97" s="136" t="str">
        <f t="shared" si="4"/>
        <v>D_RDM_F26_LOAN_TYPE_BTH</v>
      </c>
      <c r="E97" s="131"/>
    </row>
    <row r="98" spans="1:5" x14ac:dyDescent="0.3">
      <c r="A98" s="169">
        <v>1</v>
      </c>
      <c r="B98" s="136" t="str">
        <f t="shared" si="3"/>
        <v>ALL</v>
      </c>
      <c r="C98" s="163" t="s">
        <v>419</v>
      </c>
      <c r="D98" s="136" t="str">
        <f t="shared" si="4"/>
        <v>Таблица-саттелит сделки</v>
      </c>
      <c r="E98" s="131"/>
    </row>
    <row r="99" spans="1:5" x14ac:dyDescent="0.3">
      <c r="A99" s="169">
        <v>1</v>
      </c>
      <c r="B99" s="136" t="str">
        <f t="shared" si="3"/>
        <v>ALL</v>
      </c>
      <c r="C99" s="163" t="s">
        <v>1780</v>
      </c>
      <c r="D99" s="136" t="str">
        <f t="shared" si="4"/>
        <v>D_FIX_LOAD_MODULE</v>
      </c>
      <c r="E99" s="131"/>
    </row>
    <row r="100" spans="1:5" x14ac:dyDescent="0.3">
      <c r="A100" s="169">
        <v>1</v>
      </c>
      <c r="B100" s="136" t="str">
        <f t="shared" si="3"/>
        <v>ALL</v>
      </c>
      <c r="C100" s="163" t="s">
        <v>1843</v>
      </c>
      <c r="D100" s="136" t="str">
        <f t="shared" si="4"/>
        <v>D_MAN_CP_GROUP_ORIG</v>
      </c>
      <c r="E100" s="131"/>
    </row>
    <row r="101" spans="1:5" ht="27.6" x14ac:dyDescent="0.3">
      <c r="A101" s="169">
        <v>1</v>
      </c>
      <c r="B101" s="136" t="str">
        <f t="shared" si="3"/>
        <v>ALL</v>
      </c>
      <c r="C101" s="163" t="s">
        <v>417</v>
      </c>
      <c r="D101" s="136" t="str">
        <f t="shared" si="4"/>
        <v>Классификатор актива для отчетности</v>
      </c>
      <c r="E101" s="131"/>
    </row>
    <row r="102" spans="1:5" ht="27.6" x14ac:dyDescent="0.3">
      <c r="A102" s="169">
        <v>1</v>
      </c>
      <c r="B102" s="136" t="str">
        <f t="shared" si="3"/>
        <v>ALL</v>
      </c>
      <c r="C102" s="163" t="s">
        <v>1306</v>
      </c>
      <c r="D102" s="136" t="str">
        <f t="shared" si="4"/>
        <v>D_MAP_XCM_CRM_SEG2ERM_CP_SEG</v>
      </c>
      <c r="E102" s="131"/>
    </row>
    <row r="103" spans="1:5" x14ac:dyDescent="0.3">
      <c r="A103" s="169">
        <v>1</v>
      </c>
      <c r="B103" s="136" t="str">
        <f t="shared" si="3"/>
        <v>ALL</v>
      </c>
      <c r="C103" s="163" t="s">
        <v>2049</v>
      </c>
      <c r="D103" s="136" t="str">
        <f t="shared" si="4"/>
        <v>D_ST_ECAP_CALC_STATUS</v>
      </c>
      <c r="E103" s="131"/>
    </row>
    <row r="104" spans="1:5" x14ac:dyDescent="0.3">
      <c r="A104" s="169">
        <v>1</v>
      </c>
      <c r="B104" s="136" t="str">
        <f t="shared" si="3"/>
        <v>ALL</v>
      </c>
      <c r="C104" s="163" t="s">
        <v>2047</v>
      </c>
      <c r="D104" s="136" t="str">
        <f t="shared" si="4"/>
        <v>D_ECAP_LOSS_DISTRIB</v>
      </c>
      <c r="E104" s="131"/>
    </row>
    <row r="105" spans="1:5" x14ac:dyDescent="0.3">
      <c r="A105" s="169">
        <v>1</v>
      </c>
      <c r="B105" s="136" t="str">
        <f t="shared" si="3"/>
        <v>ALL</v>
      </c>
      <c r="C105" s="163" t="s">
        <v>1847</v>
      </c>
      <c r="D105" s="136" t="str">
        <f t="shared" si="4"/>
        <v>D_MAN_CLAIM_ORIG</v>
      </c>
      <c r="E105" s="131"/>
    </row>
    <row r="106" spans="1:5" x14ac:dyDescent="0.3">
      <c r="A106" s="169">
        <v>1</v>
      </c>
      <c r="B106" s="136" t="str">
        <f t="shared" si="3"/>
        <v>ALL</v>
      </c>
      <c r="C106" s="163" t="s">
        <v>1782</v>
      </c>
      <c r="D106" s="136" t="str">
        <f t="shared" si="4"/>
        <v>SGPD_BACKWARD</v>
      </c>
      <c r="E106" s="131"/>
    </row>
    <row r="107" spans="1:5" x14ac:dyDescent="0.3">
      <c r="A107" s="169">
        <v>1</v>
      </c>
      <c r="B107" s="136" t="str">
        <f t="shared" si="3"/>
        <v>ALL</v>
      </c>
      <c r="C107" s="163" t="s">
        <v>332</v>
      </c>
      <c r="D107" s="136" t="str">
        <f t="shared" si="4"/>
        <v>D_COUNTERPARTY_MART</v>
      </c>
      <c r="E107" s="131"/>
    </row>
    <row r="108" spans="1:5" x14ac:dyDescent="0.3">
      <c r="A108" s="169">
        <v>1</v>
      </c>
      <c r="B108" s="136" t="str">
        <f t="shared" si="3"/>
        <v>ALL</v>
      </c>
      <c r="C108" s="163" t="s">
        <v>2030</v>
      </c>
      <c r="D108" s="136" t="str">
        <f t="shared" si="4"/>
        <v>D_CS_ST_SCENARIOS</v>
      </c>
      <c r="E108" s="131"/>
    </row>
    <row r="109" spans="1:5" ht="27.6" x14ac:dyDescent="0.3">
      <c r="A109" s="169">
        <v>1</v>
      </c>
      <c r="B109" s="136" t="str">
        <f t="shared" si="3"/>
        <v>ALL</v>
      </c>
      <c r="C109" s="163" t="s">
        <v>2037</v>
      </c>
      <c r="D109" s="136" t="str">
        <f t="shared" si="4"/>
        <v>D_MAP_FDSC_CODES_TO_IGNORE</v>
      </c>
      <c r="E109" s="131"/>
    </row>
    <row r="110" spans="1:5" x14ac:dyDescent="0.3">
      <c r="A110" s="169">
        <v>1</v>
      </c>
      <c r="B110" s="136" t="str">
        <f t="shared" si="3"/>
        <v>ALL</v>
      </c>
      <c r="C110" s="163" t="s">
        <v>1353</v>
      </c>
      <c r="D110" s="136" t="str">
        <f t="shared" si="4"/>
        <v>D_MAP_XCM2ECAP_INDUSTRY</v>
      </c>
      <c r="E110" s="131"/>
    </row>
    <row r="111" spans="1:5" x14ac:dyDescent="0.3">
      <c r="A111" s="169">
        <v>1</v>
      </c>
      <c r="B111" s="136" t="str">
        <f t="shared" si="3"/>
        <v>ALL</v>
      </c>
      <c r="C111" s="163" t="s">
        <v>1364</v>
      </c>
      <c r="D111" s="136" t="str">
        <f t="shared" si="4"/>
        <v>D_MAP_XCM2I_REG_PROD</v>
      </c>
      <c r="E111" s="131"/>
    </row>
    <row r="112" spans="1:5" x14ac:dyDescent="0.3">
      <c r="A112" s="169">
        <v>1</v>
      </c>
      <c r="B112" s="136" t="str">
        <f t="shared" si="3"/>
        <v>ALL</v>
      </c>
      <c r="C112" s="168" t="s">
        <v>1850</v>
      </c>
      <c r="D112" s="136" t="str">
        <f t="shared" si="4"/>
        <v>D_MAN_CLAIM_EXPOSURE</v>
      </c>
      <c r="E112" s="131"/>
    </row>
    <row r="113" spans="1:5" ht="27.6" x14ac:dyDescent="0.3">
      <c r="A113" s="169">
        <v>1</v>
      </c>
      <c r="B113" s="136" t="str">
        <f t="shared" si="3"/>
        <v>ALL</v>
      </c>
      <c r="C113" s="168" t="s">
        <v>1359</v>
      </c>
      <c r="D113" s="136" t="str">
        <f t="shared" si="4"/>
        <v>D_MAP_CND_N_DUE_DAYS2_RTNG</v>
      </c>
      <c r="E113" s="131"/>
    </row>
    <row r="114" spans="1:5" x14ac:dyDescent="0.3">
      <c r="A114" s="169">
        <v>1</v>
      </c>
      <c r="B114" s="136" t="str">
        <f t="shared" si="3"/>
        <v>ALL</v>
      </c>
      <c r="C114" s="168" t="s">
        <v>2054</v>
      </c>
      <c r="D114" s="136" t="str">
        <f t="shared" si="4"/>
        <v>D_MAN_DST_PERIOD</v>
      </c>
      <c r="E114" s="131"/>
    </row>
    <row r="115" spans="1:5" ht="27.6" x14ac:dyDescent="0.3">
      <c r="A115" s="169">
        <v>1</v>
      </c>
      <c r="B115" s="136" t="str">
        <f t="shared" si="3"/>
        <v>ALL</v>
      </c>
      <c r="C115" s="168" t="s">
        <v>1371</v>
      </c>
      <c r="D115" s="136" t="str">
        <f t="shared" si="4"/>
        <v>D_MAP_CND_FLOC2E_OFFBAL_TYPE</v>
      </c>
      <c r="E115" s="131"/>
    </row>
    <row r="116" spans="1:5" x14ac:dyDescent="0.3">
      <c r="A116" s="169">
        <v>1</v>
      </c>
      <c r="B116" s="136" t="str">
        <f t="shared" si="3"/>
        <v>ALL</v>
      </c>
      <c r="C116" s="168" t="s">
        <v>1308</v>
      </c>
      <c r="D116" s="136" t="str">
        <f t="shared" si="4"/>
        <v>D_DDPL_STATUS</v>
      </c>
      <c r="E116" s="131"/>
    </row>
    <row r="117" spans="1:5" ht="27.6" x14ac:dyDescent="0.3">
      <c r="A117" s="169">
        <v>1</v>
      </c>
      <c r="B117" s="136" t="str">
        <f t="shared" si="3"/>
        <v>ALL</v>
      </c>
      <c r="C117" s="168" t="s">
        <v>1336</v>
      </c>
      <c r="D117" s="136" t="str">
        <f t="shared" si="4"/>
        <v>D_RDM_F26_INT_PM_FREQ_BTH</v>
      </c>
      <c r="E117" s="131"/>
    </row>
    <row r="118" spans="1:5" x14ac:dyDescent="0.3">
      <c r="A118" s="169">
        <v>1</v>
      </c>
      <c r="B118" s="136" t="str">
        <f t="shared" si="3"/>
        <v>ALL</v>
      </c>
      <c r="C118" s="168" t="s">
        <v>1354</v>
      </c>
      <c r="D118" s="136" t="str">
        <f t="shared" si="4"/>
        <v>D_DIC_SUBSIDIARY_LOAN_TYPE</v>
      </c>
      <c r="E118" s="131"/>
    </row>
    <row r="119" spans="1:5" ht="55.2" x14ac:dyDescent="0.3">
      <c r="A119" s="169">
        <v>1</v>
      </c>
      <c r="B119" s="136" t="str">
        <f t="shared" si="3"/>
        <v>ALL</v>
      </c>
      <c r="C119" s="168" t="s">
        <v>1374</v>
      </c>
      <c r="D119" s="136" t="str">
        <f t="shared" si="4"/>
        <v>Правила мэппинга строк из выгрузки из SAS поведенческий скоринг в сущность ISSUE_ACCOUNT</v>
      </c>
      <c r="E119" s="131"/>
    </row>
    <row r="120" spans="1:5" x14ac:dyDescent="0.3">
      <c r="A120" s="169">
        <v>1</v>
      </c>
      <c r="B120" s="136" t="str">
        <f t="shared" si="3"/>
        <v>ALL</v>
      </c>
      <c r="C120" s="168" t="s">
        <v>1331</v>
      </c>
      <c r="D120" s="136" t="str">
        <f t="shared" si="4"/>
        <v>D_DDPL_GROUP</v>
      </c>
      <c r="E120" s="131"/>
    </row>
    <row r="121" spans="1:5" x14ac:dyDescent="0.3">
      <c r="A121" s="169">
        <v>1</v>
      </c>
      <c r="B121" s="136" t="str">
        <f t="shared" si="3"/>
        <v>ALL</v>
      </c>
      <c r="C121" s="168" t="s">
        <v>411</v>
      </c>
      <c r="D121" s="136" t="str">
        <f t="shared" si="4"/>
        <v>Контрагент оригинальный</v>
      </c>
      <c r="E121" s="131"/>
    </row>
    <row r="122" spans="1:5" x14ac:dyDescent="0.3">
      <c r="A122" s="169">
        <v>1</v>
      </c>
      <c r="B122" s="136" t="str">
        <f t="shared" ref="B122:B183" si="5" xml:space="preserve"> IF(NOT(ISBLANK(A122)),VLOOKUP(A122,sec_grp,2,FALSE), "")</f>
        <v>ALL</v>
      </c>
      <c r="C122" s="168" t="s">
        <v>1028</v>
      </c>
      <c r="D122" s="136" t="e">
        <f t="shared" ref="D122:D183" si="6">IF(NOT(ISBLANK(C122)),VLOOKUP(C122,ERM_TABLE_NM,2,FALSE), "")</f>
        <v>#N/A</v>
      </c>
      <c r="E122" s="169"/>
    </row>
    <row r="123" spans="1:5" ht="27.6" x14ac:dyDescent="0.3">
      <c r="A123" s="169">
        <v>1</v>
      </c>
      <c r="B123" s="136" t="str">
        <f t="shared" si="5"/>
        <v>ALL</v>
      </c>
      <c r="C123" s="168" t="s">
        <v>1839</v>
      </c>
      <c r="D123" s="136" t="str">
        <f t="shared" si="6"/>
        <v>D_INTERNAL_ORG_ASSOCIATION</v>
      </c>
      <c r="E123" s="169"/>
    </row>
    <row r="124" spans="1:5" x14ac:dyDescent="0.3">
      <c r="A124" s="169">
        <v>1</v>
      </c>
      <c r="B124" s="136" t="str">
        <f t="shared" si="5"/>
        <v>ALL</v>
      </c>
      <c r="C124" s="168" t="s">
        <v>2043</v>
      </c>
      <c r="D124" s="136" t="str">
        <f t="shared" si="6"/>
        <v>D_ST_PER_EXPOSURE_RESULTS</v>
      </c>
      <c r="E124" s="169"/>
    </row>
    <row r="125" spans="1:5" ht="69" x14ac:dyDescent="0.3">
      <c r="A125" s="169">
        <v>1</v>
      </c>
      <c r="B125" s="136" t="str">
        <f t="shared" si="5"/>
        <v>ALL</v>
      </c>
      <c r="C125" s="168" t="s">
        <v>1325</v>
      </c>
      <c r="D125" s="136" t="str">
        <f t="shared" si="6"/>
        <v>Правила мэппинга строк из выгрузки из SAS поведенческий скоринг для определния флага просрочки в сущности ISSUE_ACCOUNT</v>
      </c>
      <c r="E125" s="169"/>
    </row>
    <row r="126" spans="1:5" ht="27.6" x14ac:dyDescent="0.3">
      <c r="A126" s="169">
        <v>1</v>
      </c>
      <c r="B126" s="136" t="str">
        <f t="shared" si="5"/>
        <v>ALL</v>
      </c>
      <c r="C126" s="168" t="s">
        <v>2033</v>
      </c>
      <c r="D126" s="136" t="str">
        <f t="shared" si="6"/>
        <v>D_ECAP_PER_EXPOSURE_RESULTS</v>
      </c>
      <c r="E126" s="169"/>
    </row>
    <row r="127" spans="1:5" ht="27.6" x14ac:dyDescent="0.3">
      <c r="A127" s="169">
        <v>1</v>
      </c>
      <c r="B127" s="136" t="str">
        <f t="shared" si="5"/>
        <v>ALL</v>
      </c>
      <c r="C127" s="168" t="s">
        <v>409</v>
      </c>
      <c r="D127" s="136" t="str">
        <f t="shared" si="6"/>
        <v>Справочник приоритетов обеспечения</v>
      </c>
      <c r="E127" s="169"/>
    </row>
    <row r="128" spans="1:5" x14ac:dyDescent="0.3">
      <c r="A128" s="169">
        <v>1</v>
      </c>
      <c r="B128" s="136" t="str">
        <f t="shared" si="5"/>
        <v>ALL</v>
      </c>
      <c r="C128" s="168" t="s">
        <v>2042</v>
      </c>
      <c r="D128" s="136" t="str">
        <f t="shared" si="6"/>
        <v>D_ST_RWA_CALC_STATUS</v>
      </c>
      <c r="E128" s="169"/>
    </row>
    <row r="129" spans="1:5" ht="27.6" x14ac:dyDescent="0.3">
      <c r="A129" s="169">
        <v>1</v>
      </c>
      <c r="B129" s="136" t="str">
        <f t="shared" si="5"/>
        <v>ALL</v>
      </c>
      <c r="C129" s="168" t="s">
        <v>1363</v>
      </c>
      <c r="D129" s="136" t="str">
        <f t="shared" si="6"/>
        <v>D_RDM_F26_LOAN_REGIME_BTH</v>
      </c>
      <c r="E129" s="169"/>
    </row>
    <row r="130" spans="1:5" x14ac:dyDescent="0.3">
      <c r="A130" s="169">
        <v>1</v>
      </c>
      <c r="B130" s="136" t="str">
        <f t="shared" si="5"/>
        <v>ALL</v>
      </c>
      <c r="C130" s="168" t="s">
        <v>1367</v>
      </c>
      <c r="D130" s="136" t="str">
        <f t="shared" si="6"/>
        <v>D_DIC_CP_RELATION_TYPE</v>
      </c>
      <c r="E130" s="169"/>
    </row>
    <row r="131" spans="1:5" ht="27.6" x14ac:dyDescent="0.3">
      <c r="A131" s="169">
        <v>1</v>
      </c>
      <c r="B131" s="136" t="str">
        <f t="shared" si="5"/>
        <v>ALL</v>
      </c>
      <c r="C131" s="168" t="s">
        <v>2035</v>
      </c>
      <c r="D131" s="136" t="str">
        <f t="shared" si="6"/>
        <v>D_RCAP_UPDATED_CPTY_ATTRIB</v>
      </c>
      <c r="E131" s="169"/>
    </row>
    <row r="132" spans="1:5" ht="27.6" x14ac:dyDescent="0.3">
      <c r="A132" s="169">
        <v>1</v>
      </c>
      <c r="B132" s="136" t="str">
        <f t="shared" si="5"/>
        <v>ALL</v>
      </c>
      <c r="C132" s="168" t="s">
        <v>1333</v>
      </c>
      <c r="D132" s="136" t="str">
        <f t="shared" si="6"/>
        <v>S071ABCDEF0003_DICT_CURRENCY</v>
      </c>
      <c r="E132" s="169"/>
    </row>
    <row r="133" spans="1:5" x14ac:dyDescent="0.3">
      <c r="A133" s="169">
        <v>1</v>
      </c>
      <c r="B133" s="136" t="str">
        <f t="shared" si="5"/>
        <v>ALL</v>
      </c>
      <c r="C133" s="168" t="s">
        <v>1373</v>
      </c>
      <c r="D133" s="136" t="str">
        <f t="shared" si="6"/>
        <v>D_CP_GROUP_ORIG_STL1_BTH</v>
      </c>
      <c r="E133" s="169"/>
    </row>
    <row r="134" spans="1:5" x14ac:dyDescent="0.3">
      <c r="A134" s="169">
        <v>1</v>
      </c>
      <c r="B134" s="136" t="str">
        <f t="shared" si="5"/>
        <v>ALL</v>
      </c>
      <c r="C134" s="168" t="s">
        <v>1031</v>
      </c>
      <c r="D134" s="136" t="e">
        <f t="shared" si="6"/>
        <v>#N/A</v>
      </c>
      <c r="E134" s="169"/>
    </row>
    <row r="135" spans="1:5" x14ac:dyDescent="0.3">
      <c r="A135" s="169">
        <v>1</v>
      </c>
      <c r="B135" s="136" t="str">
        <f t="shared" si="5"/>
        <v>ALL</v>
      </c>
      <c r="C135" s="168" t="s">
        <v>1313</v>
      </c>
      <c r="D135" s="136" t="str">
        <f t="shared" si="6"/>
        <v>D_MAP_SOVER_WHITE_LIST</v>
      </c>
      <c r="E135" s="169"/>
    </row>
    <row r="136" spans="1:5" x14ac:dyDescent="0.3">
      <c r="A136" s="169">
        <v>1</v>
      </c>
      <c r="B136" s="136" t="str">
        <f t="shared" si="5"/>
        <v>ALL</v>
      </c>
      <c r="C136" s="168" t="s">
        <v>1778</v>
      </c>
      <c r="D136" s="136" t="str">
        <f t="shared" si="6"/>
        <v>SGPD_FORWARD</v>
      </c>
      <c r="E136" s="169"/>
    </row>
    <row r="137" spans="1:5" x14ac:dyDescent="0.3">
      <c r="A137" s="169">
        <v>1</v>
      </c>
      <c r="B137" s="136" t="str">
        <f t="shared" si="5"/>
        <v>ALL</v>
      </c>
      <c r="C137" s="168" t="s">
        <v>1314</v>
      </c>
      <c r="D137" s="136" t="str">
        <f t="shared" si="6"/>
        <v>D_MAP_PD_MODEL_PRIORITY</v>
      </c>
      <c r="E137" s="169"/>
    </row>
    <row r="138" spans="1:5" ht="27.6" x14ac:dyDescent="0.3">
      <c r="A138" s="169">
        <v>1</v>
      </c>
      <c r="B138" s="136" t="str">
        <f t="shared" si="5"/>
        <v>ALL</v>
      </c>
      <c r="C138" s="168" t="s">
        <v>2025</v>
      </c>
      <c r="D138" s="136" t="str">
        <f t="shared" si="6"/>
        <v>D_ECAP_UPDATED_CPTY_ATTRIB</v>
      </c>
      <c r="E138" s="169"/>
    </row>
    <row r="139" spans="1:5" ht="27.6" x14ac:dyDescent="0.3">
      <c r="A139" s="169">
        <v>1</v>
      </c>
      <c r="B139" s="136" t="str">
        <f t="shared" si="5"/>
        <v>ALL</v>
      </c>
      <c r="C139" s="168" t="s">
        <v>2027</v>
      </c>
      <c r="D139" s="136" t="str">
        <f t="shared" si="6"/>
        <v>D_MAN_DST_STRESS_FACTOR_VAL</v>
      </c>
      <c r="E139" s="169"/>
    </row>
    <row r="140" spans="1:5" x14ac:dyDescent="0.3">
      <c r="A140" s="169">
        <v>1</v>
      </c>
      <c r="B140" s="136" t="str">
        <f t="shared" si="5"/>
        <v>ALL</v>
      </c>
      <c r="C140" s="168" t="s">
        <v>1350</v>
      </c>
      <c r="D140" s="136" t="str">
        <f t="shared" si="6"/>
        <v>D_IMP_F_CRM_BH</v>
      </c>
      <c r="E140" s="169"/>
    </row>
    <row r="141" spans="1:5" x14ac:dyDescent="0.3">
      <c r="A141" s="169">
        <v>1</v>
      </c>
      <c r="B141" s="136" t="str">
        <f t="shared" si="5"/>
        <v>ALL</v>
      </c>
      <c r="C141" s="168" t="s">
        <v>391</v>
      </c>
      <c r="D141" s="136" t="str">
        <f t="shared" si="6"/>
        <v>Таблица отношений сделок</v>
      </c>
      <c r="E141" s="169"/>
    </row>
    <row r="142" spans="1:5" x14ac:dyDescent="0.3">
      <c r="A142" s="169">
        <v>1</v>
      </c>
      <c r="B142" s="136" t="str">
        <f t="shared" si="5"/>
        <v>ALL</v>
      </c>
      <c r="C142" s="168" t="s">
        <v>422</v>
      </c>
      <c r="D142" s="136" t="str">
        <f t="shared" si="6"/>
        <v>D_INT_ORG_ASSOC_BTH</v>
      </c>
      <c r="E142" s="169"/>
    </row>
    <row r="143" spans="1:5" ht="55.2" x14ac:dyDescent="0.3">
      <c r="A143" s="169">
        <v>1</v>
      </c>
      <c r="B143" s="136" t="str">
        <f t="shared" si="5"/>
        <v>ALL</v>
      </c>
      <c r="C143" s="168" t="s">
        <v>413</v>
      </c>
      <c r="D143" s="136" t="str">
        <f t="shared" si="6"/>
        <v>Справочник стран с параметрами стратегической значимости и уровня развития страны</v>
      </c>
      <c r="E143" s="169"/>
    </row>
    <row r="144" spans="1:5" x14ac:dyDescent="0.3">
      <c r="A144" s="169">
        <v>1</v>
      </c>
      <c r="B144" s="136" t="str">
        <f t="shared" si="5"/>
        <v>ALL</v>
      </c>
      <c r="C144" s="168" t="s">
        <v>1826</v>
      </c>
      <c r="D144" s="136" t="str">
        <f t="shared" si="6"/>
        <v>D_ISSUE_INSTRUMENT</v>
      </c>
      <c r="E144" s="169"/>
    </row>
    <row r="145" spans="1:5" x14ac:dyDescent="0.3">
      <c r="A145" s="169">
        <v>1</v>
      </c>
      <c r="B145" s="136" t="str">
        <f t="shared" si="5"/>
        <v>ALL</v>
      </c>
      <c r="C145" s="168" t="s">
        <v>2051</v>
      </c>
      <c r="D145" s="136" t="str">
        <f t="shared" si="6"/>
        <v>D_FIX_LOAD_TABLE</v>
      </c>
      <c r="E145" s="169"/>
    </row>
    <row r="146" spans="1:5" x14ac:dyDescent="0.3">
      <c r="A146" s="169">
        <v>1</v>
      </c>
      <c r="B146" s="136" t="str">
        <f t="shared" si="5"/>
        <v>ALL</v>
      </c>
      <c r="C146" s="168" t="s">
        <v>1832</v>
      </c>
      <c r="D146" s="136" t="str">
        <f t="shared" si="6"/>
        <v>D_ISSUE_ACCOUNT</v>
      </c>
      <c r="E146" s="169"/>
    </row>
    <row r="147" spans="1:5" x14ac:dyDescent="0.3">
      <c r="A147" s="169">
        <v>1</v>
      </c>
      <c r="B147" s="136" t="str">
        <f t="shared" si="5"/>
        <v>ALL</v>
      </c>
      <c r="C147" s="168" t="s">
        <v>2040</v>
      </c>
      <c r="D147" s="136" t="str">
        <f t="shared" si="6"/>
        <v>D_FIX_LOAD_TABLE_MODULE</v>
      </c>
      <c r="E147" s="169"/>
    </row>
    <row r="148" spans="1:5" ht="27.6" x14ac:dyDescent="0.3">
      <c r="A148" s="169">
        <v>1</v>
      </c>
      <c r="B148" s="136" t="str">
        <f t="shared" si="5"/>
        <v>ALL</v>
      </c>
      <c r="C148" s="168" t="s">
        <v>390</v>
      </c>
      <c r="D148" s="136" t="str">
        <f t="shared" si="6"/>
        <v>Справочник типов плавающих ставок</v>
      </c>
      <c r="E148" s="169"/>
    </row>
    <row r="149" spans="1:5" x14ac:dyDescent="0.3">
      <c r="A149" s="169">
        <v>1</v>
      </c>
      <c r="B149" s="136" t="str">
        <f t="shared" si="5"/>
        <v>ALL</v>
      </c>
      <c r="C149" s="168" t="s">
        <v>389</v>
      </c>
      <c r="D149" s="136" t="str">
        <f t="shared" si="6"/>
        <v>Таблица-хаб обеспечений</v>
      </c>
      <c r="E149" s="169"/>
    </row>
    <row r="150" spans="1:5" ht="27.6" x14ac:dyDescent="0.3">
      <c r="A150" s="169">
        <v>1</v>
      </c>
      <c r="B150" s="136" t="str">
        <f t="shared" si="5"/>
        <v>ALL</v>
      </c>
      <c r="C150" s="168" t="s">
        <v>2052</v>
      </c>
      <c r="D150" s="136" t="str">
        <f t="shared" si="6"/>
        <v>D_RCAP_AGGREGATED_RESULTS</v>
      </c>
      <c r="E150" s="169"/>
    </row>
    <row r="151" spans="1:5" x14ac:dyDescent="0.3">
      <c r="A151" s="169">
        <v>1</v>
      </c>
      <c r="B151" s="136" t="str">
        <f t="shared" si="5"/>
        <v>ALL</v>
      </c>
      <c r="C151" s="168" t="s">
        <v>1828</v>
      </c>
      <c r="D151" s="136" t="str">
        <f t="shared" si="6"/>
        <v>D_INT_ORG_FLAT_BTH</v>
      </c>
      <c r="E151" s="169"/>
    </row>
    <row r="152" spans="1:5" x14ac:dyDescent="0.3">
      <c r="A152" s="169">
        <v>1</v>
      </c>
      <c r="B152" s="136" t="str">
        <f t="shared" si="5"/>
        <v>ALL</v>
      </c>
      <c r="C152" s="168" t="s">
        <v>2039</v>
      </c>
      <c r="D152" s="136" t="str">
        <f t="shared" si="6"/>
        <v>D_MAN_DST_SCENARIO</v>
      </c>
      <c r="E152" s="169"/>
    </row>
    <row r="153" spans="1:5" x14ac:dyDescent="0.3">
      <c r="A153" s="169">
        <v>1</v>
      </c>
      <c r="B153" s="136" t="str">
        <f t="shared" si="5"/>
        <v>ALL</v>
      </c>
      <c r="C153" t="s">
        <v>1840</v>
      </c>
      <c r="D153" s="136" t="str">
        <f t="shared" si="6"/>
        <v>D_MAP_SUBSID_CD_TO_LOAD</v>
      </c>
    </row>
    <row r="154" spans="1:5" ht="27.6" x14ac:dyDescent="0.3">
      <c r="A154" s="169">
        <v>1</v>
      </c>
      <c r="B154" s="136" t="str">
        <f t="shared" si="5"/>
        <v>ALL</v>
      </c>
      <c r="C154" t="s">
        <v>1361</v>
      </c>
      <c r="D154" s="136" t="str">
        <f t="shared" si="6"/>
        <v>S071ABCDEF0001_DOCS_HEADER</v>
      </c>
    </row>
    <row r="155" spans="1:5" ht="41.4" x14ac:dyDescent="0.3">
      <c r="A155" s="169">
        <v>1</v>
      </c>
      <c r="B155" s="136" t="str">
        <f t="shared" si="5"/>
        <v>ALL</v>
      </c>
      <c r="C155" t="s">
        <v>408</v>
      </c>
      <c r="D155" s="136" t="str">
        <f t="shared" si="6"/>
        <v>Справочник классификации индустрий по классификации NACE для дочерних банков</v>
      </c>
    </row>
    <row r="156" spans="1:5" ht="41.4" x14ac:dyDescent="0.3">
      <c r="A156" s="169">
        <v>1</v>
      </c>
      <c r="B156" s="136" t="str">
        <f t="shared" si="5"/>
        <v>ALL</v>
      </c>
      <c r="C156" t="s">
        <v>395</v>
      </c>
      <c r="D156" s="136" t="str">
        <f t="shared" si="6"/>
        <v>Данные о сегментах для расчета экономического капитала</v>
      </c>
    </row>
    <row r="157" spans="1:5" x14ac:dyDescent="0.3">
      <c r="A157" s="169">
        <v>1</v>
      </c>
      <c r="B157" s="136" t="str">
        <f t="shared" si="5"/>
        <v>ALL</v>
      </c>
      <c r="C157" t="s">
        <v>1849</v>
      </c>
      <c r="D157" s="136" t="str">
        <f t="shared" si="6"/>
        <v>D_EXPOSURE_SECURITIZATION</v>
      </c>
    </row>
    <row r="158" spans="1:5" x14ac:dyDescent="0.3">
      <c r="A158" s="169">
        <v>1</v>
      </c>
      <c r="B158" s="136" t="str">
        <f t="shared" si="5"/>
        <v>ALL</v>
      </c>
      <c r="C158" t="s">
        <v>1328</v>
      </c>
      <c r="D158" s="136" t="str">
        <f t="shared" si="6"/>
        <v>D_CUST_CASHFLOW_BTH</v>
      </c>
    </row>
    <row r="159" spans="1:5" x14ac:dyDescent="0.3">
      <c r="A159" s="169">
        <v>1</v>
      </c>
      <c r="B159" s="136" t="str">
        <f t="shared" si="5"/>
        <v>ALL</v>
      </c>
      <c r="C159" t="s">
        <v>393</v>
      </c>
      <c r="D159" s="136" t="str">
        <f t="shared" si="6"/>
        <v>Подразделения</v>
      </c>
    </row>
    <row r="160" spans="1:5" ht="27.6" x14ac:dyDescent="0.3">
      <c r="A160" s="169">
        <v>1</v>
      </c>
      <c r="B160" s="136" t="str">
        <f t="shared" si="5"/>
        <v>ALL</v>
      </c>
      <c r="C160" t="s">
        <v>1357</v>
      </c>
      <c r="D160" s="136" t="str">
        <f t="shared" si="6"/>
        <v>D_DIC_ECAP_PARAM_INDUSTRY</v>
      </c>
    </row>
    <row r="161" spans="1:4" ht="41.4" x14ac:dyDescent="0.3">
      <c r="A161" s="169">
        <v>1</v>
      </c>
      <c r="B161" s="136" t="str">
        <f t="shared" si="5"/>
        <v>ALL</v>
      </c>
      <c r="C161" t="s">
        <v>387</v>
      </c>
      <c r="D161" s="136" t="str">
        <f t="shared" si="6"/>
        <v>Справочник типов графиков платежей для дочерних банков</v>
      </c>
    </row>
    <row r="162" spans="1:4" x14ac:dyDescent="0.3">
      <c r="A162" s="169">
        <v>1</v>
      </c>
      <c r="B162" s="136" t="str">
        <f t="shared" si="5"/>
        <v>ALL</v>
      </c>
      <c r="C162" t="s">
        <v>1349</v>
      </c>
      <c r="D162" s="136" t="str">
        <f t="shared" si="6"/>
        <v>D_PD_DISTRIBUTION_BH</v>
      </c>
    </row>
    <row r="163" spans="1:4" x14ac:dyDescent="0.3">
      <c r="A163" s="169">
        <v>1</v>
      </c>
      <c r="B163" s="136" t="str">
        <f t="shared" si="5"/>
        <v>ALL</v>
      </c>
      <c r="C163" t="s">
        <v>1369</v>
      </c>
      <c r="D163" s="136" t="str">
        <f t="shared" si="6"/>
        <v>D_DYN_CRM_INDUSTRY</v>
      </c>
    </row>
    <row r="164" spans="1:4" x14ac:dyDescent="0.3">
      <c r="A164" s="169">
        <v>1</v>
      </c>
      <c r="B164" s="136" t="str">
        <f t="shared" si="5"/>
        <v>ALL</v>
      </c>
      <c r="C164" t="s">
        <v>398</v>
      </c>
      <c r="D164" s="136" t="str">
        <f t="shared" si="6"/>
        <v>Обеспечения по сделкам</v>
      </c>
    </row>
    <row r="165" spans="1:4" ht="55.2" x14ac:dyDescent="0.3">
      <c r="A165" s="169">
        <v>1</v>
      </c>
      <c r="B165" s="136" t="str">
        <f t="shared" si="5"/>
        <v>ALL</v>
      </c>
      <c r="C165" t="s">
        <v>1370</v>
      </c>
      <c r="D165" s="136" t="str">
        <f t="shared" si="6"/>
        <v>Правила распределения сделок из выгрузки УМРОГР по сущностям ISSUE и EXPOSURE</v>
      </c>
    </row>
    <row r="166" spans="1:4" ht="27.6" x14ac:dyDescent="0.3">
      <c r="A166" s="169">
        <v>1</v>
      </c>
      <c r="B166" s="136" t="str">
        <f t="shared" si="5"/>
        <v>ALL</v>
      </c>
      <c r="C166" t="s">
        <v>1344</v>
      </c>
      <c r="D166" s="136" t="str">
        <f t="shared" si="6"/>
        <v>D_MAP_FIN_OFFBAL_TP2E_CCF_TP</v>
      </c>
    </row>
    <row r="167" spans="1:4" ht="69" x14ac:dyDescent="0.3">
      <c r="A167" s="169">
        <v>1</v>
      </c>
      <c r="B167" s="136" t="str">
        <f t="shared" si="5"/>
        <v>ALL</v>
      </c>
      <c r="C167" t="s">
        <v>1318</v>
      </c>
      <c r="D167" s="136" t="str">
        <f t="shared" si="6"/>
        <v>Правила мэппинга строк из выгрузки из SAS поведенческий скоринг в сущность COUNTERPARTY_MART</v>
      </c>
    </row>
    <row r="168" spans="1:4" ht="27.6" x14ac:dyDescent="0.3">
      <c r="A168" s="169">
        <v>1</v>
      </c>
      <c r="B168" s="136" t="str">
        <f t="shared" si="5"/>
        <v>ALL</v>
      </c>
      <c r="C168" t="s">
        <v>1339</v>
      </c>
      <c r="D168" s="136" t="str">
        <f t="shared" si="6"/>
        <v>D_RDM_OKVED_INDUSTRY_BTH</v>
      </c>
    </row>
    <row r="169" spans="1:4" x14ac:dyDescent="0.3">
      <c r="A169" s="169">
        <v>1</v>
      </c>
      <c r="B169" s="136" t="str">
        <f t="shared" si="5"/>
        <v>ALL</v>
      </c>
      <c r="C169" t="s">
        <v>1338</v>
      </c>
      <c r="D169" s="136" t="str">
        <f t="shared" si="6"/>
        <v>D_MAP_XCM2I_PD</v>
      </c>
    </row>
    <row r="170" spans="1:4" x14ac:dyDescent="0.3">
      <c r="A170" s="169">
        <v>1</v>
      </c>
      <c r="B170" s="136" t="str">
        <f t="shared" si="5"/>
        <v>ALL</v>
      </c>
      <c r="C170" t="s">
        <v>1360</v>
      </c>
      <c r="D170" s="136" t="str">
        <f t="shared" si="6"/>
        <v>D_SEQUENCE</v>
      </c>
    </row>
    <row r="171" spans="1:4" ht="41.4" x14ac:dyDescent="0.3">
      <c r="A171" s="169">
        <v>1</v>
      </c>
      <c r="B171" s="136" t="str">
        <f t="shared" si="5"/>
        <v>ALL</v>
      </c>
      <c r="C171" t="s">
        <v>416</v>
      </c>
      <c r="D171" s="136" t="str">
        <f t="shared" si="6"/>
        <v>Список корневых подразделений (Сбербанк и его дочерние банки)</v>
      </c>
    </row>
    <row r="172" spans="1:4" x14ac:dyDescent="0.3">
      <c r="A172" s="169">
        <v>1</v>
      </c>
      <c r="B172" s="136" t="str">
        <f t="shared" si="5"/>
        <v>ALL</v>
      </c>
      <c r="C172" t="s">
        <v>2041</v>
      </c>
      <c r="D172" s="136" t="str">
        <f t="shared" si="6"/>
        <v>D_CUST_CASHFLOWS</v>
      </c>
    </row>
    <row r="173" spans="1:4" x14ac:dyDescent="0.3">
      <c r="A173" s="169">
        <v>1</v>
      </c>
      <c r="B173" s="136" t="str">
        <f t="shared" si="5"/>
        <v>ALL</v>
      </c>
      <c r="C173" t="s">
        <v>1345</v>
      </c>
      <c r="D173" s="136" t="str">
        <f t="shared" si="6"/>
        <v>D_DIC_BASEL2_INT_CLASS</v>
      </c>
    </row>
    <row r="174" spans="1:4" x14ac:dyDescent="0.3">
      <c r="A174" s="169">
        <v>1</v>
      </c>
      <c r="B174" s="136" t="str">
        <f t="shared" si="5"/>
        <v>ALL</v>
      </c>
      <c r="C174" t="s">
        <v>1841</v>
      </c>
      <c r="D174" s="136" t="str">
        <f t="shared" si="6"/>
        <v>D_MAN_QUOTE_DATA</v>
      </c>
    </row>
    <row r="175" spans="1:4" x14ac:dyDescent="0.3">
      <c r="A175" s="169">
        <v>1</v>
      </c>
      <c r="B175" s="136" t="str">
        <f t="shared" si="5"/>
        <v>ALL</v>
      </c>
      <c r="C175" t="s">
        <v>1340</v>
      </c>
      <c r="D175" s="136" t="str">
        <f t="shared" si="6"/>
        <v>D_CP_TEMP_GRP_SEL</v>
      </c>
    </row>
    <row r="176" spans="1:4" x14ac:dyDescent="0.3">
      <c r="A176" s="169">
        <v>1</v>
      </c>
      <c r="B176" s="136" t="str">
        <f t="shared" si="5"/>
        <v>ALL</v>
      </c>
      <c r="C176" t="s">
        <v>1356</v>
      </c>
      <c r="D176" s="136" t="str">
        <f t="shared" si="6"/>
        <v>D_DYN_CRM_CARD_TYPE</v>
      </c>
    </row>
    <row r="177" spans="1:4" x14ac:dyDescent="0.3">
      <c r="A177" s="169">
        <v>1</v>
      </c>
      <c r="B177" s="136" t="str">
        <f t="shared" si="5"/>
        <v>ALL</v>
      </c>
      <c r="C177" t="s">
        <v>1309</v>
      </c>
      <c r="D177" s="136" t="str">
        <f t="shared" si="6"/>
        <v>D_MAP_N_ERM_SEG2CP</v>
      </c>
    </row>
    <row r="178" spans="1:4" x14ac:dyDescent="0.3">
      <c r="A178" s="169">
        <v>1</v>
      </c>
      <c r="B178" s="136" t="str">
        <f t="shared" si="5"/>
        <v>ALL</v>
      </c>
      <c r="C178" t="s">
        <v>1355</v>
      </c>
      <c r="D178" s="136" t="str">
        <f t="shared" si="6"/>
        <v>D_FIX_EXPOSURE_TYPE</v>
      </c>
    </row>
    <row r="179" spans="1:4" ht="55.2" x14ac:dyDescent="0.3">
      <c r="A179" s="169">
        <v>1</v>
      </c>
      <c r="B179" s="136" t="str">
        <f t="shared" si="5"/>
        <v>ALL</v>
      </c>
      <c r="C179" t="s">
        <v>406</v>
      </c>
      <c r="D179" s="136" t="str">
        <f t="shared" si="6"/>
        <v>Правила сопоставления значений индустрии из CRM и индустрий для расчета экономического капитала</v>
      </c>
    </row>
    <row r="180" spans="1:4" x14ac:dyDescent="0.3">
      <c r="A180" s="169">
        <v>1</v>
      </c>
      <c r="B180" s="136" t="str">
        <f t="shared" si="5"/>
        <v>ALL</v>
      </c>
      <c r="C180" t="s">
        <v>397</v>
      </c>
      <c r="D180" s="136" t="str">
        <f t="shared" si="6"/>
        <v>Таблица-хаб ГСЗ</v>
      </c>
    </row>
    <row r="181" spans="1:4" x14ac:dyDescent="0.3">
      <c r="A181" s="169">
        <v>1</v>
      </c>
      <c r="B181" s="136" t="str">
        <f t="shared" si="5"/>
        <v>ALL</v>
      </c>
      <c r="C181" t="s">
        <v>399</v>
      </c>
      <c r="D181" s="136" t="str">
        <f t="shared" si="6"/>
        <v>Тип финансового вложения</v>
      </c>
    </row>
    <row r="182" spans="1:4" ht="27.6" x14ac:dyDescent="0.3">
      <c r="A182" s="169">
        <v>1</v>
      </c>
      <c r="B182" s="136" t="str">
        <f t="shared" si="5"/>
        <v>ALL</v>
      </c>
      <c r="C182" t="s">
        <v>1316</v>
      </c>
      <c r="D182" s="136" t="str">
        <f t="shared" si="6"/>
        <v>D_DIC_COUNTRY_IMPORT_CLASS</v>
      </c>
    </row>
    <row r="183" spans="1:4" x14ac:dyDescent="0.3">
      <c r="A183" s="169">
        <v>1</v>
      </c>
      <c r="B183" s="136" t="str">
        <f t="shared" si="5"/>
        <v>ALL</v>
      </c>
      <c r="C183" t="s">
        <v>1365</v>
      </c>
      <c r="D183" s="136" t="str">
        <f t="shared" si="6"/>
        <v>D_MAP_XCM2ANNUAL_SALES</v>
      </c>
    </row>
  </sheetData>
  <autoFilter ref="A1:E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B0F0"/>
  </sheetPr>
  <dimension ref="A1:G15"/>
  <sheetViews>
    <sheetView zoomScale="115" zoomScaleNormal="115" workbookViewId="0">
      <selection activeCell="A2" sqref="A2:F15"/>
    </sheetView>
  </sheetViews>
  <sheetFormatPr defaultRowHeight="14.4" x14ac:dyDescent="0.3"/>
  <cols>
    <col min="2" max="2" width="19.44140625" customWidth="1"/>
    <col min="3" max="3" width="49.88671875" customWidth="1"/>
    <col min="4" max="4" width="23.6640625" customWidth="1"/>
    <col min="5" max="5" width="11.88671875" customWidth="1"/>
    <col min="6" max="6" width="11.5546875" customWidth="1"/>
  </cols>
  <sheetData>
    <row r="1" spans="1:7" ht="55.2" x14ac:dyDescent="0.3">
      <c r="A1" s="3" t="s">
        <v>351</v>
      </c>
      <c r="B1" s="3" t="s">
        <v>347</v>
      </c>
      <c r="C1" s="3" t="s">
        <v>24</v>
      </c>
      <c r="D1" s="3" t="s">
        <v>31</v>
      </c>
      <c r="E1" s="3" t="s">
        <v>22</v>
      </c>
      <c r="F1" s="3" t="s">
        <v>23</v>
      </c>
    </row>
    <row r="2" spans="1:7" x14ac:dyDescent="0.3">
      <c r="A2" s="169">
        <v>1</v>
      </c>
      <c r="B2" s="169" t="s">
        <v>2312</v>
      </c>
      <c r="C2" s="169" t="s">
        <v>2313</v>
      </c>
      <c r="D2" s="169" t="s">
        <v>2312</v>
      </c>
      <c r="E2" s="173">
        <v>1</v>
      </c>
      <c r="F2" s="173">
        <v>2958465</v>
      </c>
      <c r="G2" s="85"/>
    </row>
    <row r="3" spans="1:7" x14ac:dyDescent="0.3">
      <c r="A3" s="169">
        <v>2</v>
      </c>
      <c r="B3" s="169" t="s">
        <v>2314</v>
      </c>
      <c r="C3" s="169" t="s">
        <v>2315</v>
      </c>
      <c r="D3" s="169" t="s">
        <v>2314</v>
      </c>
      <c r="E3" s="173">
        <v>1</v>
      </c>
      <c r="F3" s="173">
        <v>2958465</v>
      </c>
    </row>
    <row r="4" spans="1:7" x14ac:dyDescent="0.3">
      <c r="A4" s="169">
        <v>3</v>
      </c>
      <c r="B4" s="169" t="s">
        <v>2316</v>
      </c>
      <c r="C4" s="169" t="s">
        <v>2317</v>
      </c>
      <c r="D4" s="169" t="s">
        <v>2316</v>
      </c>
      <c r="E4" s="173">
        <v>1</v>
      </c>
      <c r="F4" s="173">
        <v>2958465</v>
      </c>
    </row>
    <row r="5" spans="1:7" x14ac:dyDescent="0.3">
      <c r="A5" s="169">
        <v>4</v>
      </c>
      <c r="B5" s="169" t="s">
        <v>2318</v>
      </c>
      <c r="C5" s="169" t="s">
        <v>2319</v>
      </c>
      <c r="D5" s="169" t="s">
        <v>2318</v>
      </c>
      <c r="E5" s="173">
        <v>1</v>
      </c>
      <c r="F5" s="173">
        <v>2958465</v>
      </c>
    </row>
    <row r="6" spans="1:7" x14ac:dyDescent="0.3">
      <c r="A6" s="169">
        <v>5</v>
      </c>
      <c r="B6" s="169" t="s">
        <v>2320</v>
      </c>
      <c r="C6" s="169" t="s">
        <v>2321</v>
      </c>
      <c r="D6" s="169" t="s">
        <v>2320</v>
      </c>
      <c r="E6" s="173">
        <v>1</v>
      </c>
      <c r="F6" s="173">
        <v>2958465</v>
      </c>
    </row>
    <row r="7" spans="1:7" x14ac:dyDescent="0.3">
      <c r="A7" s="169">
        <v>6</v>
      </c>
      <c r="B7" s="169" t="s">
        <v>2322</v>
      </c>
      <c r="C7" s="169" t="s">
        <v>2323</v>
      </c>
      <c r="D7" s="169" t="s">
        <v>2322</v>
      </c>
      <c r="E7" s="173">
        <v>1</v>
      </c>
      <c r="F7" s="173">
        <v>2958465</v>
      </c>
    </row>
    <row r="8" spans="1:7" x14ac:dyDescent="0.3">
      <c r="A8" s="169">
        <v>7</v>
      </c>
      <c r="B8" s="169" t="s">
        <v>2324</v>
      </c>
      <c r="C8" s="169" t="s">
        <v>2325</v>
      </c>
      <c r="D8" s="169" t="s">
        <v>2324</v>
      </c>
      <c r="E8" s="173">
        <v>1</v>
      </c>
      <c r="F8" s="173">
        <v>2958465</v>
      </c>
    </row>
    <row r="9" spans="1:7" x14ac:dyDescent="0.3">
      <c r="A9" s="169">
        <v>8</v>
      </c>
      <c r="B9" s="169" t="s">
        <v>2326</v>
      </c>
      <c r="C9" s="169" t="s">
        <v>2327</v>
      </c>
      <c r="D9" s="169" t="s">
        <v>2326</v>
      </c>
      <c r="E9" s="173">
        <v>1</v>
      </c>
      <c r="F9" s="173">
        <v>2958465</v>
      </c>
    </row>
    <row r="10" spans="1:7" x14ac:dyDescent="0.3">
      <c r="A10" s="169">
        <v>9</v>
      </c>
      <c r="B10" s="169" t="s">
        <v>2328</v>
      </c>
      <c r="C10" s="169" t="s">
        <v>2329</v>
      </c>
      <c r="D10" s="169" t="s">
        <v>2328</v>
      </c>
      <c r="E10" s="173">
        <v>1</v>
      </c>
      <c r="F10" s="173">
        <v>2958465</v>
      </c>
    </row>
    <row r="11" spans="1:7" x14ac:dyDescent="0.3">
      <c r="A11" s="169">
        <v>10</v>
      </c>
      <c r="B11" s="169" t="s">
        <v>2330</v>
      </c>
      <c r="C11" s="169" t="s">
        <v>2331</v>
      </c>
      <c r="D11" s="169" t="s">
        <v>2330</v>
      </c>
      <c r="E11" s="173">
        <v>1</v>
      </c>
      <c r="F11" s="173">
        <v>2958465</v>
      </c>
    </row>
    <row r="12" spans="1:7" x14ac:dyDescent="0.3">
      <c r="A12" s="169">
        <v>11</v>
      </c>
      <c r="B12" s="169" t="s">
        <v>2332</v>
      </c>
      <c r="C12" s="169" t="s">
        <v>2333</v>
      </c>
      <c r="D12" s="169" t="s">
        <v>2332</v>
      </c>
      <c r="E12" s="173">
        <v>1</v>
      </c>
      <c r="F12" s="173">
        <v>2958465</v>
      </c>
    </row>
    <row r="13" spans="1:7" x14ac:dyDescent="0.3">
      <c r="A13" s="169">
        <v>12</v>
      </c>
      <c r="B13" s="169" t="s">
        <v>2334</v>
      </c>
      <c r="C13" s="169" t="s">
        <v>2335</v>
      </c>
      <c r="D13" s="169" t="s">
        <v>2334</v>
      </c>
      <c r="E13" s="173">
        <v>1</v>
      </c>
      <c r="F13" s="173">
        <v>2958465</v>
      </c>
    </row>
    <row r="14" spans="1:7" x14ac:dyDescent="0.3">
      <c r="A14" s="169">
        <v>13</v>
      </c>
      <c r="B14" s="169" t="s">
        <v>2336</v>
      </c>
      <c r="C14" s="169" t="s">
        <v>2337</v>
      </c>
      <c r="D14" s="169" t="s">
        <v>2336</v>
      </c>
      <c r="E14" s="173">
        <v>1</v>
      </c>
      <c r="F14" s="173">
        <v>2958465</v>
      </c>
    </row>
    <row r="15" spans="1:7" x14ac:dyDescent="0.3">
      <c r="A15" s="169">
        <v>14</v>
      </c>
      <c r="B15" s="169" t="s">
        <v>1248</v>
      </c>
      <c r="C15" s="169" t="s">
        <v>2338</v>
      </c>
      <c r="D15" s="169" t="s">
        <v>1248</v>
      </c>
      <c r="E15" s="173">
        <v>1</v>
      </c>
      <c r="F15" s="173">
        <v>2958465</v>
      </c>
    </row>
  </sheetData>
  <autoFilter ref="A1:F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00B0F0"/>
  </sheetPr>
  <dimension ref="A1:I30"/>
  <sheetViews>
    <sheetView zoomScale="115" zoomScaleNormal="115" workbookViewId="0">
      <selection activeCell="I2" sqref="I2"/>
    </sheetView>
  </sheetViews>
  <sheetFormatPr defaultRowHeight="14.4" x14ac:dyDescent="0.3"/>
  <cols>
    <col min="1" max="1" width="16" customWidth="1"/>
    <col min="2" max="2" width="20.109375" style="85" customWidth="1"/>
    <col min="3" max="3" width="14.44140625" customWidth="1"/>
    <col min="4" max="4" width="15.33203125" style="85" customWidth="1"/>
    <col min="5" max="5" width="11" customWidth="1"/>
    <col min="6" max="6" width="18.5546875" customWidth="1"/>
  </cols>
  <sheetData>
    <row r="1" spans="1:9" ht="41.4" x14ac:dyDescent="0.3">
      <c r="A1" s="3" t="s">
        <v>352</v>
      </c>
      <c r="B1" s="3" t="s">
        <v>1039</v>
      </c>
      <c r="C1" s="3" t="s">
        <v>353</v>
      </c>
      <c r="D1" s="3" t="s">
        <v>1038</v>
      </c>
      <c r="E1" s="3" t="s">
        <v>351</v>
      </c>
      <c r="F1" s="147" t="s">
        <v>1041</v>
      </c>
    </row>
    <row r="2" spans="1:9" x14ac:dyDescent="0.3">
      <c r="A2" s="169">
        <v>1</v>
      </c>
      <c r="B2" s="136" t="str">
        <f t="shared" ref="B2:B30" si="0">IF(NOT(ISBLANK(A2)),VLOOKUP(A2,USR_GRP_NAME,3,FALSE), "")</f>
        <v>Администраторы</v>
      </c>
      <c r="C2" s="169">
        <v>1</v>
      </c>
      <c r="D2" s="136" t="str">
        <f t="shared" ref="D2:D30" si="1">IF(NOT(ISBLANK(C2)),VLOOKUP(C2,sec_grp,2,FALSE), "")</f>
        <v>ALL</v>
      </c>
      <c r="E2" s="169">
        <v>13</v>
      </c>
      <c r="F2" s="136" t="str">
        <f t="shared" ref="F2:F30" si="2">IF(NOT(ISBLANK(E2)),VLOOKUP(E2,ROLE_NAME,4,FALSE), "")</f>
        <v>ONLY_ETLIPC</v>
      </c>
    </row>
    <row r="3" spans="1:9" ht="41.4" x14ac:dyDescent="0.3">
      <c r="A3" s="169">
        <v>4</v>
      </c>
      <c r="B3" s="136" t="str">
        <f t="shared" si="0"/>
        <v>Главный ответственный за качество данных</v>
      </c>
      <c r="C3" s="169">
        <v>1</v>
      </c>
      <c r="D3" s="136" t="str">
        <f t="shared" si="1"/>
        <v>ALL</v>
      </c>
      <c r="E3" s="169">
        <v>5</v>
      </c>
      <c r="F3" s="136" t="str">
        <f t="shared" si="2"/>
        <v>ONLY_APPROVE</v>
      </c>
    </row>
    <row r="4" spans="1:9" x14ac:dyDescent="0.3">
      <c r="A4" s="169">
        <v>2</v>
      </c>
      <c r="B4" s="136" t="str">
        <f t="shared" si="0"/>
        <v>Аналитики</v>
      </c>
      <c r="C4" s="169">
        <v>1</v>
      </c>
      <c r="D4" s="136" t="str">
        <f t="shared" si="1"/>
        <v>ALL</v>
      </c>
      <c r="E4" s="169">
        <v>6</v>
      </c>
      <c r="F4" s="136" t="str">
        <f t="shared" si="2"/>
        <v>ONLY_AUDIT</v>
      </c>
    </row>
    <row r="5" spans="1:9" ht="27.6" x14ac:dyDescent="0.3">
      <c r="A5" s="169">
        <v>3</v>
      </c>
      <c r="B5" s="136" t="str">
        <f t="shared" si="0"/>
        <v>Ответственный за качество данных</v>
      </c>
      <c r="C5" s="169">
        <v>1</v>
      </c>
      <c r="D5" s="136" t="str">
        <f t="shared" si="1"/>
        <v>ALL</v>
      </c>
      <c r="E5" s="169">
        <v>1</v>
      </c>
      <c r="F5" s="136" t="str">
        <f t="shared" si="2"/>
        <v>ONLY_READ</v>
      </c>
    </row>
    <row r="6" spans="1:9" ht="41.4" x14ac:dyDescent="0.3">
      <c r="A6" s="169">
        <v>4</v>
      </c>
      <c r="B6" s="136" t="str">
        <f t="shared" si="0"/>
        <v>Главный ответственный за качество данных</v>
      </c>
      <c r="C6" s="169">
        <v>1</v>
      </c>
      <c r="D6" s="136" t="str">
        <f t="shared" si="1"/>
        <v>ALL</v>
      </c>
      <c r="E6" s="169">
        <v>9</v>
      </c>
      <c r="F6" s="136" t="str">
        <f t="shared" si="2"/>
        <v>ONLY_LOGTD</v>
      </c>
    </row>
    <row r="7" spans="1:9" ht="41.4" x14ac:dyDescent="0.3">
      <c r="A7" s="169">
        <v>4</v>
      </c>
      <c r="B7" s="136" t="str">
        <f t="shared" si="0"/>
        <v>Главный ответственный за качество данных</v>
      </c>
      <c r="C7" s="169">
        <v>1</v>
      </c>
      <c r="D7" s="136" t="str">
        <f t="shared" si="1"/>
        <v>ALL</v>
      </c>
      <c r="E7" s="169">
        <v>4</v>
      </c>
      <c r="F7" s="136" t="str">
        <f t="shared" si="2"/>
        <v>ONLY_IMPORT</v>
      </c>
      <c r="I7" t="s">
        <v>313</v>
      </c>
    </row>
    <row r="8" spans="1:9" ht="27.6" x14ac:dyDescent="0.3">
      <c r="A8" s="169">
        <v>3</v>
      </c>
      <c r="B8" s="136" t="str">
        <f t="shared" si="0"/>
        <v>Ответственный за качество данных</v>
      </c>
      <c r="C8" s="169">
        <v>1</v>
      </c>
      <c r="D8" s="136" t="str">
        <f t="shared" si="1"/>
        <v>ALL</v>
      </c>
      <c r="E8" s="169">
        <v>5</v>
      </c>
      <c r="F8" s="136" t="str">
        <f t="shared" si="2"/>
        <v>ONLY_APPROVE</v>
      </c>
    </row>
    <row r="9" spans="1:9" x14ac:dyDescent="0.3">
      <c r="A9" s="169">
        <v>1</v>
      </c>
      <c r="B9" s="136" t="str">
        <f t="shared" si="0"/>
        <v>Администраторы</v>
      </c>
      <c r="C9" s="169">
        <v>1</v>
      </c>
      <c r="D9" s="136" t="str">
        <f t="shared" si="1"/>
        <v>ALL</v>
      </c>
      <c r="E9" s="169">
        <v>12</v>
      </c>
      <c r="F9" s="136" t="str">
        <f t="shared" si="2"/>
        <v>ONLY_ETLTD</v>
      </c>
    </row>
    <row r="10" spans="1:9" x14ac:dyDescent="0.3">
      <c r="A10" s="169">
        <v>1</v>
      </c>
      <c r="B10" s="136" t="str">
        <f t="shared" si="0"/>
        <v>Администраторы</v>
      </c>
      <c r="C10" s="169">
        <v>1</v>
      </c>
      <c r="D10" s="136" t="str">
        <f t="shared" si="1"/>
        <v>ALL</v>
      </c>
      <c r="E10" s="169">
        <v>9</v>
      </c>
      <c r="F10" s="136" t="str">
        <f t="shared" si="2"/>
        <v>ONLY_LOGTD</v>
      </c>
    </row>
    <row r="11" spans="1:9" ht="41.4" x14ac:dyDescent="0.3">
      <c r="A11" s="169">
        <v>4</v>
      </c>
      <c r="B11" s="136" t="str">
        <f t="shared" si="0"/>
        <v>Главный ответственный за качество данных</v>
      </c>
      <c r="C11" s="169">
        <v>1</v>
      </c>
      <c r="D11" s="136" t="str">
        <f t="shared" si="1"/>
        <v>ALL</v>
      </c>
      <c r="E11" s="169">
        <v>13</v>
      </c>
      <c r="F11" s="136" t="str">
        <f t="shared" si="2"/>
        <v>ONLY_ETLIPC</v>
      </c>
    </row>
    <row r="12" spans="1:9" ht="41.4" x14ac:dyDescent="0.3">
      <c r="A12" s="169">
        <v>4</v>
      </c>
      <c r="B12" s="136" t="str">
        <f t="shared" si="0"/>
        <v>Главный ответственный за качество данных</v>
      </c>
      <c r="C12" s="169">
        <v>1</v>
      </c>
      <c r="D12" s="136" t="str">
        <f t="shared" si="1"/>
        <v>ALL</v>
      </c>
      <c r="E12" s="169">
        <v>8</v>
      </c>
      <c r="F12" s="136" t="str">
        <f t="shared" si="2"/>
        <v>ONLY_LOG</v>
      </c>
    </row>
    <row r="13" spans="1:9" ht="27.6" x14ac:dyDescent="0.3">
      <c r="A13" s="169">
        <v>3</v>
      </c>
      <c r="B13" s="136" t="str">
        <f t="shared" si="0"/>
        <v>Ответственный за качество данных</v>
      </c>
      <c r="C13" s="169">
        <v>1</v>
      </c>
      <c r="D13" s="136" t="str">
        <f t="shared" si="1"/>
        <v>ALL</v>
      </c>
      <c r="E13" s="169">
        <v>4</v>
      </c>
      <c r="F13" s="136" t="str">
        <f t="shared" si="2"/>
        <v>ONLY_IMPORT</v>
      </c>
    </row>
    <row r="14" spans="1:9" ht="41.4" x14ac:dyDescent="0.3">
      <c r="A14" s="169">
        <v>4</v>
      </c>
      <c r="B14" s="136" t="str">
        <f t="shared" si="0"/>
        <v>Главный ответственный за качество данных</v>
      </c>
      <c r="C14" s="169">
        <v>1</v>
      </c>
      <c r="D14" s="136" t="str">
        <f t="shared" si="1"/>
        <v>ALL</v>
      </c>
      <c r="E14" s="169">
        <v>7</v>
      </c>
      <c r="F14" s="136" t="str">
        <f t="shared" si="2"/>
        <v>ONLY_HIST</v>
      </c>
    </row>
    <row r="15" spans="1:9" ht="41.4" x14ac:dyDescent="0.3">
      <c r="A15" s="169">
        <v>4</v>
      </c>
      <c r="B15" s="136" t="str">
        <f t="shared" si="0"/>
        <v>Главный ответственный за качество данных</v>
      </c>
      <c r="C15" s="169">
        <v>1</v>
      </c>
      <c r="D15" s="136" t="str">
        <f t="shared" si="1"/>
        <v>ALL</v>
      </c>
      <c r="E15" s="169">
        <v>3</v>
      </c>
      <c r="F15" s="136" t="str">
        <f t="shared" si="2"/>
        <v>ONLY_EXPORT</v>
      </c>
    </row>
    <row r="16" spans="1:9" ht="27.6" x14ac:dyDescent="0.3">
      <c r="A16" s="169">
        <v>3</v>
      </c>
      <c r="B16" s="136" t="str">
        <f t="shared" si="0"/>
        <v>Ответственный за качество данных</v>
      </c>
      <c r="C16" s="169">
        <v>1</v>
      </c>
      <c r="D16" s="136" t="str">
        <f t="shared" si="1"/>
        <v>ALL</v>
      </c>
      <c r="E16" s="169">
        <v>3</v>
      </c>
      <c r="F16" s="136" t="str">
        <f t="shared" si="2"/>
        <v>ONLY_EXPORT</v>
      </c>
    </row>
    <row r="17" spans="1:6" x14ac:dyDescent="0.3">
      <c r="A17" s="169">
        <v>2</v>
      </c>
      <c r="B17" s="136" t="str">
        <f t="shared" si="0"/>
        <v>Аналитики</v>
      </c>
      <c r="C17" s="169">
        <v>1</v>
      </c>
      <c r="D17" s="136" t="str">
        <f t="shared" si="1"/>
        <v>ALL</v>
      </c>
      <c r="E17" s="169">
        <v>1</v>
      </c>
      <c r="F17" s="136" t="str">
        <f t="shared" si="2"/>
        <v>ONLY_READ</v>
      </c>
    </row>
    <row r="18" spans="1:6" x14ac:dyDescent="0.3">
      <c r="A18" s="169">
        <v>2</v>
      </c>
      <c r="B18" s="136" t="str">
        <f t="shared" si="0"/>
        <v>Аналитики</v>
      </c>
      <c r="C18" s="169">
        <v>1</v>
      </c>
      <c r="D18" s="136" t="str">
        <f t="shared" si="1"/>
        <v>ALL</v>
      </c>
      <c r="E18" s="169">
        <v>7</v>
      </c>
      <c r="F18" s="136" t="str">
        <f t="shared" si="2"/>
        <v>ONLY_HIST</v>
      </c>
    </row>
    <row r="19" spans="1:6" x14ac:dyDescent="0.3">
      <c r="A19" s="169">
        <v>0</v>
      </c>
      <c r="B19" s="136" t="str">
        <f t="shared" si="0"/>
        <v>Суперпользователи</v>
      </c>
      <c r="C19" s="169">
        <v>1</v>
      </c>
      <c r="D19" s="136" t="str">
        <f t="shared" si="1"/>
        <v>ALL</v>
      </c>
      <c r="E19" s="169">
        <v>14</v>
      </c>
      <c r="F19" s="136" t="str">
        <f t="shared" si="2"/>
        <v>ADMIN</v>
      </c>
    </row>
    <row r="20" spans="1:6" ht="41.4" x14ac:dyDescent="0.3">
      <c r="A20" s="169">
        <v>4</v>
      </c>
      <c r="B20" s="136" t="str">
        <f t="shared" si="0"/>
        <v>Главный ответственный за качество данных</v>
      </c>
      <c r="C20" s="169">
        <v>1</v>
      </c>
      <c r="D20" s="136" t="str">
        <f t="shared" si="1"/>
        <v>ALL</v>
      </c>
      <c r="E20" s="169">
        <v>1</v>
      </c>
      <c r="F20" s="136" t="str">
        <f t="shared" si="2"/>
        <v>ONLY_READ</v>
      </c>
    </row>
    <row r="21" spans="1:6" ht="41.4" x14ac:dyDescent="0.3">
      <c r="A21" s="169">
        <v>4</v>
      </c>
      <c r="B21" s="136" t="str">
        <f t="shared" si="0"/>
        <v>Главный ответственный за качество данных</v>
      </c>
      <c r="C21" s="169">
        <v>1</v>
      </c>
      <c r="D21" s="136" t="str">
        <f t="shared" si="1"/>
        <v>ALL</v>
      </c>
      <c r="E21" s="169">
        <v>12</v>
      </c>
      <c r="F21" s="136" t="str">
        <f t="shared" si="2"/>
        <v>ONLY_ETLTD</v>
      </c>
    </row>
    <row r="22" spans="1:6" ht="27.6" x14ac:dyDescent="0.3">
      <c r="A22" s="169">
        <v>3</v>
      </c>
      <c r="B22" s="136" t="str">
        <f t="shared" si="0"/>
        <v>Ответственный за качество данных</v>
      </c>
      <c r="C22" s="169">
        <v>1</v>
      </c>
      <c r="D22" s="136" t="str">
        <f t="shared" si="1"/>
        <v>ALL</v>
      </c>
      <c r="E22" s="169">
        <v>2</v>
      </c>
      <c r="F22" s="136" t="str">
        <f t="shared" si="2"/>
        <v>ONLY_WRITE</v>
      </c>
    </row>
    <row r="23" spans="1:6" x14ac:dyDescent="0.3">
      <c r="A23" s="169">
        <v>1</v>
      </c>
      <c r="B23" s="136" t="str">
        <f t="shared" si="0"/>
        <v>Администраторы</v>
      </c>
      <c r="C23" s="169">
        <v>1</v>
      </c>
      <c r="D23" s="136" t="str">
        <f t="shared" si="1"/>
        <v>ALL</v>
      </c>
      <c r="E23" s="169">
        <v>8</v>
      </c>
      <c r="F23" s="136" t="str">
        <f t="shared" si="2"/>
        <v>ONLY_LOG</v>
      </c>
    </row>
    <row r="24" spans="1:6" x14ac:dyDescent="0.3">
      <c r="A24" s="169">
        <v>1</v>
      </c>
      <c r="B24" s="136" t="str">
        <f t="shared" si="0"/>
        <v>Администраторы</v>
      </c>
      <c r="C24" s="169">
        <v>1</v>
      </c>
      <c r="D24" s="136" t="str">
        <f t="shared" si="1"/>
        <v>ALL</v>
      </c>
      <c r="E24" s="169">
        <v>10</v>
      </c>
      <c r="F24" s="136" t="str">
        <f t="shared" si="2"/>
        <v>ONLY_LOGIPC</v>
      </c>
    </row>
    <row r="25" spans="1:6" ht="41.4" x14ac:dyDescent="0.3">
      <c r="A25" s="169">
        <v>4</v>
      </c>
      <c r="B25" s="136" t="str">
        <f t="shared" si="0"/>
        <v>Главный ответственный за качество данных</v>
      </c>
      <c r="C25" s="169">
        <v>1</v>
      </c>
      <c r="D25" s="136" t="str">
        <f t="shared" si="1"/>
        <v>ALL</v>
      </c>
      <c r="E25" s="169">
        <v>2</v>
      </c>
      <c r="F25" s="136" t="str">
        <f t="shared" si="2"/>
        <v>ONLY_WRITE</v>
      </c>
    </row>
    <row r="26" spans="1:6" ht="41.4" x14ac:dyDescent="0.3">
      <c r="A26" s="169">
        <v>4</v>
      </c>
      <c r="B26" s="136" t="str">
        <f t="shared" si="0"/>
        <v>Главный ответственный за качество данных</v>
      </c>
      <c r="C26" s="169">
        <v>1</v>
      </c>
      <c r="D26" s="136" t="str">
        <f t="shared" si="1"/>
        <v>ALL</v>
      </c>
      <c r="E26" s="169">
        <v>10</v>
      </c>
      <c r="F26" s="136" t="str">
        <f t="shared" si="2"/>
        <v>ONLY_LOGIPC</v>
      </c>
    </row>
    <row r="27" spans="1:6" x14ac:dyDescent="0.3">
      <c r="A27" s="169">
        <v>1</v>
      </c>
      <c r="B27" s="136" t="str">
        <f t="shared" si="0"/>
        <v>Администраторы</v>
      </c>
      <c r="C27" s="169">
        <v>1</v>
      </c>
      <c r="D27" s="136" t="str">
        <f t="shared" si="1"/>
        <v>ALL</v>
      </c>
      <c r="E27" s="169">
        <v>11</v>
      </c>
      <c r="F27" s="136" t="str">
        <f t="shared" si="2"/>
        <v>ONLY_USER</v>
      </c>
    </row>
    <row r="28" spans="1:6" ht="27.6" x14ac:dyDescent="0.3">
      <c r="A28" s="169">
        <v>3</v>
      </c>
      <c r="B28" s="136" t="str">
        <f t="shared" si="0"/>
        <v>Ответственный за качество данных</v>
      </c>
      <c r="C28" s="169">
        <v>1</v>
      </c>
      <c r="D28" s="136" t="str">
        <f t="shared" si="1"/>
        <v>ALL</v>
      </c>
      <c r="E28" s="169">
        <v>7</v>
      </c>
      <c r="F28" s="136" t="str">
        <f t="shared" si="2"/>
        <v>ONLY_HIST</v>
      </c>
    </row>
    <row r="29" spans="1:6" ht="41.4" x14ac:dyDescent="0.3">
      <c r="A29" s="169">
        <v>4</v>
      </c>
      <c r="B29" s="136" t="str">
        <f t="shared" si="0"/>
        <v>Главный ответственный за качество данных</v>
      </c>
      <c r="C29" s="169">
        <v>1</v>
      </c>
      <c r="D29" s="136" t="str">
        <f t="shared" si="1"/>
        <v>ALL</v>
      </c>
      <c r="E29" s="169">
        <v>6</v>
      </c>
      <c r="F29" s="136" t="str">
        <f t="shared" si="2"/>
        <v>ONLY_AUDIT</v>
      </c>
    </row>
    <row r="30" spans="1:6" ht="27.6" x14ac:dyDescent="0.3">
      <c r="A30" s="169">
        <v>3</v>
      </c>
      <c r="B30" s="136" t="str">
        <f t="shared" si="0"/>
        <v>Ответственный за качество данных</v>
      </c>
      <c r="C30" s="169">
        <v>1</v>
      </c>
      <c r="D30" s="136" t="str">
        <f t="shared" si="1"/>
        <v>ALL</v>
      </c>
      <c r="E30" s="169">
        <v>6</v>
      </c>
      <c r="F30" s="136" t="str">
        <f t="shared" si="2"/>
        <v>ONLY_AUDIT</v>
      </c>
    </row>
  </sheetData>
  <autoFilter ref="A1:F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00B0F0"/>
  </sheetPr>
  <dimension ref="A1:F6"/>
  <sheetViews>
    <sheetView zoomScale="115" zoomScaleNormal="115" workbookViewId="0">
      <selection activeCell="B13" sqref="B13"/>
    </sheetView>
  </sheetViews>
  <sheetFormatPr defaultRowHeight="14.4" x14ac:dyDescent="0.3"/>
  <cols>
    <col min="1" max="1" width="12" customWidth="1"/>
    <col min="2" max="2" width="25.44140625" style="85" customWidth="1"/>
    <col min="3" max="3" width="16.88671875" customWidth="1"/>
    <col min="4" max="4" width="41.33203125" customWidth="1"/>
  </cols>
  <sheetData>
    <row r="1" spans="1:6" ht="55.2" x14ac:dyDescent="0.3">
      <c r="A1" s="3" t="s">
        <v>354</v>
      </c>
      <c r="B1" s="3" t="s">
        <v>1040</v>
      </c>
      <c r="C1" s="3" t="s">
        <v>352</v>
      </c>
      <c r="D1" s="147" t="s">
        <v>1039</v>
      </c>
    </row>
    <row r="2" spans="1:6" x14ac:dyDescent="0.3">
      <c r="A2" s="131">
        <v>0</v>
      </c>
      <c r="B2" s="136" t="str">
        <f>IF(NOT(ISBLANK(A2)),VLOOKUP(A2,USR_NAME,3,FALSE), "")</f>
        <v>Суперпользователь</v>
      </c>
      <c r="C2" s="131">
        <v>0</v>
      </c>
      <c r="D2" s="136" t="str">
        <f>IF(NOT(ISBLANK(C2)),VLOOKUP(C2,USR_GRP_NAME,3,FALSE), "")</f>
        <v>Суперпользователи</v>
      </c>
      <c r="F2" t="str">
        <f>IF(NOT(ISBLANK(E2)),VLOOKUP(E2,ROLE_NAME,4,FALSE), "")</f>
        <v/>
      </c>
    </row>
    <row r="3" spans="1:6" x14ac:dyDescent="0.3">
      <c r="A3" s="131">
        <v>1</v>
      </c>
      <c r="B3" s="136" t="str">
        <f>IF(NOT(ISBLANK(A3)),VLOOKUP(A3,USR_NAME,3,FALSE), "")</f>
        <v>Администратор</v>
      </c>
      <c r="C3" s="131">
        <v>1</v>
      </c>
      <c r="D3" s="136" t="str">
        <f>IF(NOT(ISBLANK(C3)),VLOOKUP(C3,USR_GRP_NAME,3,FALSE), "")</f>
        <v>Администраторы</v>
      </c>
    </row>
    <row r="4" spans="1:6" x14ac:dyDescent="0.3">
      <c r="A4" s="131">
        <v>2</v>
      </c>
      <c r="B4" s="136" t="str">
        <f>IF(NOT(ISBLANK(A4)),VLOOKUP(A4,USR_NAME,3,FALSE), "")</f>
        <v>Аналитик</v>
      </c>
      <c r="C4" s="131">
        <v>2</v>
      </c>
      <c r="D4" s="136" t="str">
        <f>IF(NOT(ISBLANK(C4)),VLOOKUP(C4,USR_GRP_NAME,3,FALSE), "")</f>
        <v>Аналитики</v>
      </c>
    </row>
    <row r="5" spans="1:6" ht="27.6" x14ac:dyDescent="0.3">
      <c r="A5" s="131">
        <v>3</v>
      </c>
      <c r="B5" s="136" t="str">
        <f>IF(NOT(ISBLANK(A5)),VLOOKUP(A5,USR_NAME,3,FALSE), "")</f>
        <v>Ответственный за качество данных</v>
      </c>
      <c r="C5" s="131">
        <v>3</v>
      </c>
      <c r="D5" s="136" t="str">
        <f>IF(NOT(ISBLANK(C5)),VLOOKUP(C5,USR_GRP_NAME,3,FALSE), "")</f>
        <v>Ответственный за качество данных</v>
      </c>
    </row>
    <row r="6" spans="1:6" ht="27.6" x14ac:dyDescent="0.3">
      <c r="A6" s="131">
        <v>4</v>
      </c>
      <c r="B6" s="136" t="str">
        <f>IF(NOT(ISBLANK(A6)),VLOOKUP(A6,USR_NAME,3,FALSE), "")</f>
        <v>Главный ответственный за качество данных</v>
      </c>
      <c r="C6" s="131">
        <v>4</v>
      </c>
      <c r="D6" s="136" t="str">
        <f>IF(NOT(ISBLANK(C6)),VLOOKUP(C6,USR_GRP_NAME,3,FALSE), "")</f>
        <v>Главный ответственный за качество данных</v>
      </c>
    </row>
  </sheetData>
  <autoFilter ref="A1:D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00B0F0"/>
  </sheetPr>
  <dimension ref="A1:F6"/>
  <sheetViews>
    <sheetView zoomScale="115" zoomScaleNormal="115" workbookViewId="0">
      <selection activeCell="E9" sqref="E9"/>
    </sheetView>
  </sheetViews>
  <sheetFormatPr defaultRowHeight="14.4" x14ac:dyDescent="0.3"/>
  <cols>
    <col min="1" max="1" width="11.109375" customWidth="1"/>
    <col min="2" max="2" width="12" customWidth="1"/>
    <col min="3" max="3" width="41.44140625" customWidth="1"/>
    <col min="5" max="5" width="13.6640625" customWidth="1"/>
    <col min="6" max="6" width="13.44140625" customWidth="1"/>
  </cols>
  <sheetData>
    <row r="1" spans="1:6" ht="69" x14ac:dyDescent="0.3">
      <c r="A1" s="3" t="s">
        <v>355</v>
      </c>
      <c r="B1" s="3" t="s">
        <v>347</v>
      </c>
      <c r="C1" s="3" t="s">
        <v>31</v>
      </c>
      <c r="D1" s="3" t="s">
        <v>24</v>
      </c>
      <c r="E1" s="3" t="s">
        <v>22</v>
      </c>
      <c r="F1" s="3" t="s">
        <v>348</v>
      </c>
    </row>
    <row r="2" spans="1:6" x14ac:dyDescent="0.3">
      <c r="A2" s="131">
        <v>0</v>
      </c>
      <c r="B2" s="131" t="s">
        <v>1251</v>
      </c>
      <c r="C2" s="131" t="s">
        <v>358</v>
      </c>
      <c r="D2" s="131"/>
      <c r="E2" s="173">
        <v>1</v>
      </c>
      <c r="F2" s="173">
        <v>2958465</v>
      </c>
    </row>
    <row r="3" spans="1:6" x14ac:dyDescent="0.3">
      <c r="A3" s="131">
        <v>1</v>
      </c>
      <c r="B3" s="131" t="s">
        <v>1253</v>
      </c>
      <c r="C3" s="131" t="s">
        <v>360</v>
      </c>
      <c r="D3" s="131"/>
      <c r="E3" s="173">
        <v>1</v>
      </c>
      <c r="F3" s="173">
        <v>2958465</v>
      </c>
    </row>
    <row r="4" spans="1:6" x14ac:dyDescent="0.3">
      <c r="A4" s="131">
        <v>2</v>
      </c>
      <c r="B4" s="131" t="s">
        <v>1250</v>
      </c>
      <c r="C4" s="131" t="s">
        <v>357</v>
      </c>
      <c r="D4" s="131"/>
      <c r="E4" s="173">
        <v>1</v>
      </c>
      <c r="F4" s="173">
        <v>2958465</v>
      </c>
    </row>
    <row r="5" spans="1:6" x14ac:dyDescent="0.3">
      <c r="A5" s="131">
        <v>3</v>
      </c>
      <c r="B5" s="131" t="s">
        <v>1252</v>
      </c>
      <c r="C5" s="131" t="s">
        <v>359</v>
      </c>
      <c r="D5" s="131"/>
      <c r="E5" s="173">
        <v>1</v>
      </c>
      <c r="F5" s="173">
        <v>2958465</v>
      </c>
    </row>
    <row r="6" spans="1:6" x14ac:dyDescent="0.3">
      <c r="A6" s="131">
        <v>4</v>
      </c>
      <c r="B6" s="131" t="s">
        <v>1249</v>
      </c>
      <c r="C6" s="131" t="s">
        <v>356</v>
      </c>
      <c r="D6" s="131"/>
      <c r="E6" s="173">
        <v>1</v>
      </c>
      <c r="F6" s="173">
        <v>2958465</v>
      </c>
    </row>
  </sheetData>
  <autoFilter ref="A1:F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00B0F0"/>
  </sheetPr>
  <dimension ref="A1:D27"/>
  <sheetViews>
    <sheetView zoomScale="115" zoomScaleNormal="115" workbookViewId="0">
      <selection activeCell="F5" sqref="F5"/>
    </sheetView>
  </sheetViews>
  <sheetFormatPr defaultRowHeight="14.4" x14ac:dyDescent="0.3"/>
  <cols>
    <col min="1" max="1" width="10.6640625" customWidth="1"/>
    <col min="2" max="2" width="24.88671875" style="85" customWidth="1"/>
    <col min="3" max="3" width="13.5546875" customWidth="1"/>
    <col min="4" max="4" width="49" customWidth="1"/>
  </cols>
  <sheetData>
    <row r="1" spans="1:4" ht="27.6" x14ac:dyDescent="0.3">
      <c r="A1" s="3" t="s">
        <v>351</v>
      </c>
      <c r="B1" s="3" t="s">
        <v>1042</v>
      </c>
      <c r="C1" s="3" t="s">
        <v>361</v>
      </c>
      <c r="D1" s="3" t="s">
        <v>1043</v>
      </c>
    </row>
    <row r="2" spans="1:4" x14ac:dyDescent="0.3">
      <c r="A2" s="131">
        <v>1</v>
      </c>
      <c r="B2" s="136" t="str">
        <f t="shared" ref="B2:B27" si="0">IF(NOT(ISBLANK(A2)),VLOOKUP(A2,ROLE_NAME,4,FALSE), "")</f>
        <v>ONLY_READ</v>
      </c>
      <c r="C2" s="131">
        <v>1</v>
      </c>
      <c r="D2" s="136" t="str">
        <f t="shared" ref="D2:D27" si="1">IF(NOT(ISBLANK(C2)),VLOOKUP(C2,PRIV_NAME_ALL,3,FALSE), "")</f>
        <v>Чтение данных</v>
      </c>
    </row>
    <row r="3" spans="1:4" x14ac:dyDescent="0.3">
      <c r="A3" s="131">
        <v>14</v>
      </c>
      <c r="B3" s="136" t="str">
        <f t="shared" si="0"/>
        <v>ADMIN</v>
      </c>
      <c r="C3" s="131">
        <v>8</v>
      </c>
      <c r="D3" s="136" t="str">
        <f t="shared" si="1"/>
        <v>Просмотр протокола работы приложения</v>
      </c>
    </row>
    <row r="4" spans="1:4" x14ac:dyDescent="0.3">
      <c r="A4" s="131">
        <v>11</v>
      </c>
      <c r="B4" s="136" t="str">
        <f t="shared" si="0"/>
        <v>ONLY_USER</v>
      </c>
      <c r="C4" s="131">
        <v>11</v>
      </c>
      <c r="D4" s="136" t="str">
        <f t="shared" si="1"/>
        <v>Управление учётными записями пользователей</v>
      </c>
    </row>
    <row r="5" spans="1:4" x14ac:dyDescent="0.3">
      <c r="A5" s="131">
        <v>14</v>
      </c>
      <c r="B5" s="136" t="str">
        <f t="shared" si="0"/>
        <v>ADMIN</v>
      </c>
      <c r="C5" s="131">
        <v>7</v>
      </c>
      <c r="D5" s="136" t="str">
        <f t="shared" si="1"/>
        <v>Просмотр истории изменений</v>
      </c>
    </row>
    <row r="6" spans="1:4" x14ac:dyDescent="0.3">
      <c r="A6" s="131">
        <v>2</v>
      </c>
      <c r="B6" s="136" t="str">
        <f t="shared" si="0"/>
        <v>ONLY_WRITE</v>
      </c>
      <c r="C6" s="131">
        <v>2</v>
      </c>
      <c r="D6" s="136" t="str">
        <f t="shared" si="1"/>
        <v>Редактирование данных</v>
      </c>
    </row>
    <row r="7" spans="1:4" x14ac:dyDescent="0.3">
      <c r="A7" s="131">
        <v>5</v>
      </c>
      <c r="B7" s="136" t="str">
        <f t="shared" si="0"/>
        <v>ONLY_APPROVE</v>
      </c>
      <c r="C7" s="131">
        <v>5</v>
      </c>
      <c r="D7" s="136" t="str">
        <f t="shared" si="1"/>
        <v>Утверждение корректировок</v>
      </c>
    </row>
    <row r="8" spans="1:4" x14ac:dyDescent="0.3">
      <c r="A8" s="131">
        <v>13</v>
      </c>
      <c r="B8" s="136" t="str">
        <f t="shared" si="0"/>
        <v>ONLY_ETLIPC</v>
      </c>
      <c r="C8" s="131">
        <v>13</v>
      </c>
      <c r="D8" s="136" t="str">
        <f t="shared" si="1"/>
        <v>Запуск Workflow IPC</v>
      </c>
    </row>
    <row r="9" spans="1:4" x14ac:dyDescent="0.3">
      <c r="A9" s="131">
        <v>14</v>
      </c>
      <c r="B9" s="136" t="str">
        <f t="shared" si="0"/>
        <v>ADMIN</v>
      </c>
      <c r="C9" s="131">
        <v>6</v>
      </c>
      <c r="D9" s="136" t="str">
        <f t="shared" si="1"/>
        <v>Просмотр аудита</v>
      </c>
    </row>
    <row r="10" spans="1:4" x14ac:dyDescent="0.3">
      <c r="A10" s="131">
        <v>10</v>
      </c>
      <c r="B10" s="136" t="str">
        <f t="shared" si="0"/>
        <v>ONLY_LOGIPC</v>
      </c>
      <c r="C10" s="131">
        <v>10</v>
      </c>
      <c r="D10" s="136" t="str">
        <f t="shared" si="1"/>
        <v>Просмотр протокола работы WF IPC</v>
      </c>
    </row>
    <row r="11" spans="1:4" x14ac:dyDescent="0.3">
      <c r="A11" s="131">
        <v>7</v>
      </c>
      <c r="B11" s="136" t="str">
        <f t="shared" si="0"/>
        <v>ONLY_HIST</v>
      </c>
      <c r="C11" s="131">
        <v>7</v>
      </c>
      <c r="D11" s="136" t="str">
        <f t="shared" si="1"/>
        <v>Просмотр истории изменений</v>
      </c>
    </row>
    <row r="12" spans="1:4" x14ac:dyDescent="0.3">
      <c r="A12" s="131">
        <v>14</v>
      </c>
      <c r="B12" s="136" t="str">
        <f t="shared" si="0"/>
        <v>ADMIN</v>
      </c>
      <c r="C12" s="131">
        <v>5</v>
      </c>
      <c r="D12" s="136" t="str">
        <f t="shared" si="1"/>
        <v>Утверждение корректировок</v>
      </c>
    </row>
    <row r="13" spans="1:4" x14ac:dyDescent="0.3">
      <c r="A13" s="131">
        <v>14</v>
      </c>
      <c r="B13" s="136" t="str">
        <f t="shared" si="0"/>
        <v>ADMIN</v>
      </c>
      <c r="C13" s="131">
        <v>4</v>
      </c>
      <c r="D13" s="136" t="str">
        <f t="shared" si="1"/>
        <v>Загрузка данных в систему</v>
      </c>
    </row>
    <row r="14" spans="1:4" x14ac:dyDescent="0.3">
      <c r="A14" s="131">
        <v>14</v>
      </c>
      <c r="B14" s="136" t="str">
        <f t="shared" si="0"/>
        <v>ADMIN</v>
      </c>
      <c r="C14" s="131">
        <v>3</v>
      </c>
      <c r="D14" s="136" t="str">
        <f t="shared" si="1"/>
        <v>Выгрузка данных в файл</v>
      </c>
    </row>
    <row r="15" spans="1:4" x14ac:dyDescent="0.3">
      <c r="A15" s="131">
        <v>3</v>
      </c>
      <c r="B15" s="136" t="str">
        <f t="shared" si="0"/>
        <v>ONLY_EXPORT</v>
      </c>
      <c r="C15" s="131">
        <v>3</v>
      </c>
      <c r="D15" s="136" t="str">
        <f t="shared" si="1"/>
        <v>Выгрузка данных в файл</v>
      </c>
    </row>
    <row r="16" spans="1:4" x14ac:dyDescent="0.3">
      <c r="A16" s="131">
        <v>14</v>
      </c>
      <c r="B16" s="136" t="str">
        <f t="shared" si="0"/>
        <v>ADMIN</v>
      </c>
      <c r="C16" s="131">
        <v>2</v>
      </c>
      <c r="D16" s="136" t="str">
        <f t="shared" si="1"/>
        <v>Редактирование данных</v>
      </c>
    </row>
    <row r="17" spans="1:4" x14ac:dyDescent="0.3">
      <c r="A17" s="131">
        <v>12</v>
      </c>
      <c r="B17" s="136" t="str">
        <f t="shared" si="0"/>
        <v>ONLY_ETLTD</v>
      </c>
      <c r="C17" s="131">
        <v>12</v>
      </c>
      <c r="D17" s="136" t="str">
        <f t="shared" si="1"/>
        <v>Запуск ХП Teradata</v>
      </c>
    </row>
    <row r="18" spans="1:4" x14ac:dyDescent="0.3">
      <c r="A18" s="131">
        <v>14</v>
      </c>
      <c r="B18" s="136" t="str">
        <f t="shared" si="0"/>
        <v>ADMIN</v>
      </c>
      <c r="C18" s="131">
        <v>1</v>
      </c>
      <c r="D18" s="136" t="str">
        <f t="shared" si="1"/>
        <v>Чтение данных</v>
      </c>
    </row>
    <row r="19" spans="1:4" x14ac:dyDescent="0.3">
      <c r="A19" s="131">
        <v>4</v>
      </c>
      <c r="B19" s="136" t="str">
        <f t="shared" si="0"/>
        <v>ONLY_IMPORT</v>
      </c>
      <c r="C19" s="131">
        <v>4</v>
      </c>
      <c r="D19" s="136" t="str">
        <f t="shared" si="1"/>
        <v>Загрузка данных в систему</v>
      </c>
    </row>
    <row r="20" spans="1:4" x14ac:dyDescent="0.3">
      <c r="A20" s="131">
        <v>14</v>
      </c>
      <c r="B20" s="136" t="str">
        <f t="shared" si="0"/>
        <v>ADMIN</v>
      </c>
      <c r="C20" s="131">
        <v>13</v>
      </c>
      <c r="D20" s="136" t="str">
        <f t="shared" si="1"/>
        <v>Запуск Workflow IPC</v>
      </c>
    </row>
    <row r="21" spans="1:4" x14ac:dyDescent="0.3">
      <c r="A21" s="131">
        <v>9</v>
      </c>
      <c r="B21" s="136" t="str">
        <f t="shared" si="0"/>
        <v>ONLY_LOGTD</v>
      </c>
      <c r="C21" s="131">
        <v>9</v>
      </c>
      <c r="D21" s="136" t="str">
        <f t="shared" si="1"/>
        <v>Просмотр протокола работы ХП Teradata</v>
      </c>
    </row>
    <row r="22" spans="1:4" x14ac:dyDescent="0.3">
      <c r="A22" s="131">
        <v>14</v>
      </c>
      <c r="B22" s="136" t="str">
        <f t="shared" si="0"/>
        <v>ADMIN</v>
      </c>
      <c r="C22" s="131">
        <v>12</v>
      </c>
      <c r="D22" s="136" t="str">
        <f t="shared" si="1"/>
        <v>Запуск ХП Teradata</v>
      </c>
    </row>
    <row r="23" spans="1:4" x14ac:dyDescent="0.3">
      <c r="A23" s="131">
        <v>8</v>
      </c>
      <c r="B23" s="136" t="str">
        <f t="shared" si="0"/>
        <v>ONLY_LOG</v>
      </c>
      <c r="C23" s="131">
        <v>8</v>
      </c>
      <c r="D23" s="136" t="str">
        <f t="shared" si="1"/>
        <v>Просмотр протокола работы приложения</v>
      </c>
    </row>
    <row r="24" spans="1:4" x14ac:dyDescent="0.3">
      <c r="A24" s="131">
        <v>14</v>
      </c>
      <c r="B24" s="136" t="str">
        <f t="shared" si="0"/>
        <v>ADMIN</v>
      </c>
      <c r="C24" s="131">
        <v>11</v>
      </c>
      <c r="D24" s="136" t="str">
        <f t="shared" si="1"/>
        <v>Управление учётными записями пользователей</v>
      </c>
    </row>
    <row r="25" spans="1:4" x14ac:dyDescent="0.3">
      <c r="A25" s="131">
        <v>14</v>
      </c>
      <c r="B25" s="136" t="str">
        <f t="shared" si="0"/>
        <v>ADMIN</v>
      </c>
      <c r="C25" s="131">
        <v>10</v>
      </c>
      <c r="D25" s="136" t="str">
        <f t="shared" si="1"/>
        <v>Просмотр протокола работы WF IPC</v>
      </c>
    </row>
    <row r="26" spans="1:4" x14ac:dyDescent="0.3">
      <c r="A26" s="131">
        <v>14</v>
      </c>
      <c r="B26" s="136" t="str">
        <f t="shared" si="0"/>
        <v>ADMIN</v>
      </c>
      <c r="C26" s="131">
        <v>9</v>
      </c>
      <c r="D26" s="136" t="str">
        <f t="shared" si="1"/>
        <v>Просмотр протокола работы ХП Teradata</v>
      </c>
    </row>
    <row r="27" spans="1:4" x14ac:dyDescent="0.3">
      <c r="A27" s="131">
        <v>6</v>
      </c>
      <c r="B27" s="136" t="str">
        <f t="shared" si="0"/>
        <v>ONLY_AUDIT</v>
      </c>
      <c r="C27" s="131">
        <v>6</v>
      </c>
      <c r="D27" s="136" t="str">
        <f t="shared" si="1"/>
        <v>Просмотр аудита</v>
      </c>
    </row>
  </sheetData>
  <autoFilter ref="A1:D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rgb="FF00B0F0"/>
  </sheetPr>
  <dimension ref="A1:C14"/>
  <sheetViews>
    <sheetView zoomScale="115" zoomScaleNormal="115" workbookViewId="0">
      <selection activeCell="A2" sqref="A2:C14"/>
    </sheetView>
  </sheetViews>
  <sheetFormatPr defaultRowHeight="14.4" x14ac:dyDescent="0.3"/>
  <cols>
    <col min="1" max="1" width="16" customWidth="1"/>
    <col min="2" max="2" width="14.33203125" customWidth="1"/>
    <col min="3" max="3" width="53.33203125" customWidth="1"/>
  </cols>
  <sheetData>
    <row r="1" spans="1:3" ht="27.6" x14ac:dyDescent="0.3">
      <c r="A1" s="3" t="s">
        <v>361</v>
      </c>
      <c r="B1" s="3" t="s">
        <v>362</v>
      </c>
      <c r="C1" s="3" t="s">
        <v>24</v>
      </c>
    </row>
    <row r="2" spans="1:3" x14ac:dyDescent="0.3">
      <c r="A2" s="169">
        <v>1</v>
      </c>
      <c r="B2" s="169" t="s">
        <v>1259</v>
      </c>
      <c r="C2" s="169" t="s">
        <v>2345</v>
      </c>
    </row>
    <row r="3" spans="1:3" x14ac:dyDescent="0.3">
      <c r="A3" s="169">
        <v>2</v>
      </c>
      <c r="B3" s="169" t="s">
        <v>1261</v>
      </c>
      <c r="C3" s="169" t="s">
        <v>2346</v>
      </c>
    </row>
    <row r="4" spans="1:3" x14ac:dyDescent="0.3">
      <c r="A4" s="169">
        <v>3</v>
      </c>
      <c r="B4" s="169" t="s">
        <v>1258</v>
      </c>
      <c r="C4" s="169" t="s">
        <v>2347</v>
      </c>
    </row>
    <row r="5" spans="1:3" x14ac:dyDescent="0.3">
      <c r="A5" s="169">
        <v>4</v>
      </c>
      <c r="B5" s="169" t="s">
        <v>1260</v>
      </c>
      <c r="C5" s="169" t="s">
        <v>2348</v>
      </c>
    </row>
    <row r="6" spans="1:3" x14ac:dyDescent="0.3">
      <c r="A6" s="169">
        <v>5</v>
      </c>
      <c r="B6" s="169" t="s">
        <v>1256</v>
      </c>
      <c r="C6" s="169" t="s">
        <v>2349</v>
      </c>
    </row>
    <row r="7" spans="1:3" x14ac:dyDescent="0.3">
      <c r="A7" s="169">
        <v>6</v>
      </c>
      <c r="B7" s="169" t="s">
        <v>1255</v>
      </c>
      <c r="C7" s="169" t="s">
        <v>2350</v>
      </c>
    </row>
    <row r="8" spans="1:3" x14ac:dyDescent="0.3">
      <c r="A8" s="169">
        <v>7</v>
      </c>
      <c r="B8" s="169" t="s">
        <v>1257</v>
      </c>
      <c r="C8" s="169" t="s">
        <v>2351</v>
      </c>
    </row>
    <row r="9" spans="1:3" x14ac:dyDescent="0.3">
      <c r="A9" s="169">
        <v>8</v>
      </c>
      <c r="B9" s="169" t="s">
        <v>2352</v>
      </c>
      <c r="C9" s="169" t="s">
        <v>2353</v>
      </c>
    </row>
    <row r="10" spans="1:3" x14ac:dyDescent="0.3">
      <c r="A10" s="169">
        <v>9</v>
      </c>
      <c r="B10" s="169" t="s">
        <v>2354</v>
      </c>
      <c r="C10" s="169" t="s">
        <v>2355</v>
      </c>
    </row>
    <row r="11" spans="1:3" x14ac:dyDescent="0.3">
      <c r="A11" s="169">
        <v>10</v>
      </c>
      <c r="B11" s="169" t="s">
        <v>2356</v>
      </c>
      <c r="C11" s="169" t="s">
        <v>2357</v>
      </c>
    </row>
    <row r="12" spans="1:3" x14ac:dyDescent="0.3">
      <c r="A12" s="169">
        <v>11</v>
      </c>
      <c r="B12" s="169" t="s">
        <v>1254</v>
      </c>
      <c r="C12" s="169" t="s">
        <v>2358</v>
      </c>
    </row>
    <row r="13" spans="1:3" x14ac:dyDescent="0.3">
      <c r="A13" s="169">
        <v>12</v>
      </c>
      <c r="B13" s="169" t="s">
        <v>2359</v>
      </c>
      <c r="C13" s="169" t="s">
        <v>2360</v>
      </c>
    </row>
    <row r="14" spans="1:3" x14ac:dyDescent="0.3">
      <c r="A14" s="169">
        <v>13</v>
      </c>
      <c r="B14" s="169" t="s">
        <v>2361</v>
      </c>
      <c r="C14" s="169" t="s">
        <v>2362</v>
      </c>
    </row>
  </sheetData>
  <autoFilter ref="A1:C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00B0F0"/>
  </sheetPr>
  <dimension ref="A1:G6"/>
  <sheetViews>
    <sheetView zoomScale="115" zoomScaleNormal="115" workbookViewId="0">
      <selection activeCell="C8" sqref="C8"/>
    </sheetView>
  </sheetViews>
  <sheetFormatPr defaultRowHeight="14.4" x14ac:dyDescent="0.3"/>
  <cols>
    <col min="1" max="1" width="17.5546875" customWidth="1"/>
    <col min="2" max="2" width="13.109375" customWidth="1"/>
    <col min="3" max="3" width="40.44140625" customWidth="1"/>
    <col min="4" max="4" width="22.33203125" customWidth="1"/>
    <col min="5" max="5" width="26.33203125" customWidth="1"/>
    <col min="6" max="6" width="13.88671875" customWidth="1"/>
    <col min="7" max="7" width="35.109375" customWidth="1"/>
  </cols>
  <sheetData>
    <row r="1" spans="1:7" ht="27.6" x14ac:dyDescent="0.3">
      <c r="A1" s="3" t="s">
        <v>363</v>
      </c>
      <c r="B1" s="3" t="s">
        <v>364</v>
      </c>
      <c r="C1" s="3" t="s">
        <v>31</v>
      </c>
      <c r="D1" s="3" t="s">
        <v>22</v>
      </c>
      <c r="E1" s="3" t="s">
        <v>23</v>
      </c>
      <c r="F1" s="3" t="s">
        <v>24</v>
      </c>
      <c r="G1" s="3" t="s">
        <v>365</v>
      </c>
    </row>
    <row r="2" spans="1:7" x14ac:dyDescent="0.3">
      <c r="A2" s="131">
        <v>0</v>
      </c>
      <c r="B2" s="131" t="s">
        <v>367</v>
      </c>
      <c r="C2" s="131" t="s">
        <v>2339</v>
      </c>
      <c r="D2" s="131"/>
      <c r="E2" s="173">
        <v>1</v>
      </c>
      <c r="F2" s="173">
        <v>2958465</v>
      </c>
      <c r="G2" s="131" t="s">
        <v>366</v>
      </c>
    </row>
    <row r="3" spans="1:7" x14ac:dyDescent="0.3">
      <c r="A3" s="131">
        <v>1</v>
      </c>
      <c r="B3" s="131" t="s">
        <v>2340</v>
      </c>
      <c r="C3" s="131" t="s">
        <v>368</v>
      </c>
      <c r="D3" s="131"/>
      <c r="E3" s="173">
        <v>1</v>
      </c>
      <c r="F3" s="173">
        <v>2958465</v>
      </c>
      <c r="G3" s="131" t="s">
        <v>366</v>
      </c>
    </row>
    <row r="4" spans="1:7" x14ac:dyDescent="0.3">
      <c r="A4" s="131">
        <v>2</v>
      </c>
      <c r="B4" s="131" t="s">
        <v>2341</v>
      </c>
      <c r="C4" s="131" t="s">
        <v>2342</v>
      </c>
      <c r="D4" s="131"/>
      <c r="E4" s="173">
        <v>1</v>
      </c>
      <c r="F4" s="173">
        <v>2958465</v>
      </c>
      <c r="G4" s="131" t="s">
        <v>366</v>
      </c>
    </row>
    <row r="5" spans="1:7" x14ac:dyDescent="0.3">
      <c r="A5" s="131">
        <v>3</v>
      </c>
      <c r="B5" s="131" t="s">
        <v>2343</v>
      </c>
      <c r="C5" s="131" t="s">
        <v>359</v>
      </c>
      <c r="D5" s="131"/>
      <c r="E5" s="173">
        <v>1</v>
      </c>
      <c r="F5" s="173">
        <v>2958465</v>
      </c>
      <c r="G5" s="131" t="s">
        <v>366</v>
      </c>
    </row>
    <row r="6" spans="1:7" x14ac:dyDescent="0.3">
      <c r="A6" s="131">
        <v>4</v>
      </c>
      <c r="B6" s="131" t="s">
        <v>2344</v>
      </c>
      <c r="C6" s="131" t="s">
        <v>356</v>
      </c>
      <c r="D6" s="131"/>
      <c r="E6" s="173">
        <v>1</v>
      </c>
      <c r="F6" s="173">
        <v>2958465</v>
      </c>
      <c r="G6" s="131" t="s">
        <v>366</v>
      </c>
    </row>
  </sheetData>
  <autoFilter ref="A1:G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7030A0"/>
  </sheetPr>
  <dimension ref="A1:E33"/>
  <sheetViews>
    <sheetView zoomScale="115" zoomScaleNormal="115" workbookViewId="0">
      <selection activeCell="G8" sqref="G8"/>
    </sheetView>
  </sheetViews>
  <sheetFormatPr defaultRowHeight="14.4" x14ac:dyDescent="0.3"/>
  <cols>
    <col min="1" max="1" width="16.5546875" customWidth="1"/>
    <col min="2" max="2" width="16.5546875" style="172" customWidth="1"/>
    <col min="3" max="3" width="12.5546875" customWidth="1"/>
    <col min="4" max="4" width="16.109375" customWidth="1"/>
    <col min="5" max="5" width="15.6640625" customWidth="1"/>
    <col min="8" max="8" width="13.33203125" customWidth="1"/>
    <col min="9" max="9" width="13.6640625" customWidth="1"/>
  </cols>
  <sheetData>
    <row r="1" spans="1:5" ht="27.6" x14ac:dyDescent="0.3">
      <c r="A1" s="3" t="s">
        <v>2365</v>
      </c>
      <c r="B1" s="3" t="s">
        <v>2366</v>
      </c>
      <c r="C1" s="3" t="s">
        <v>343</v>
      </c>
      <c r="D1" s="3" t="s">
        <v>2373</v>
      </c>
      <c r="E1" s="3" t="s">
        <v>2374</v>
      </c>
    </row>
    <row r="2" spans="1:5" x14ac:dyDescent="0.3">
      <c r="A2" s="131">
        <v>1</v>
      </c>
      <c r="B2" s="169">
        <v>1</v>
      </c>
      <c r="C2" s="131">
        <v>5022</v>
      </c>
      <c r="D2" s="131" t="s">
        <v>0</v>
      </c>
      <c r="E2" s="131"/>
    </row>
    <row r="3" spans="1:5" x14ac:dyDescent="0.3">
      <c r="A3" s="131">
        <v>1</v>
      </c>
      <c r="B3" s="169">
        <v>1</v>
      </c>
      <c r="C3" s="131">
        <v>5008</v>
      </c>
      <c r="D3" s="131" t="s">
        <v>0</v>
      </c>
      <c r="E3" s="131"/>
    </row>
    <row r="4" spans="1:5" x14ac:dyDescent="0.3">
      <c r="A4" s="131">
        <v>1</v>
      </c>
      <c r="B4" s="169">
        <v>1</v>
      </c>
      <c r="C4" s="131">
        <v>5023</v>
      </c>
      <c r="D4" s="131" t="s">
        <v>0</v>
      </c>
      <c r="E4" s="131"/>
    </row>
    <row r="5" spans="1:5" x14ac:dyDescent="0.3">
      <c r="A5" s="131">
        <v>1</v>
      </c>
      <c r="B5" s="169">
        <v>1</v>
      </c>
      <c r="C5" s="131">
        <v>5025</v>
      </c>
      <c r="D5" s="131" t="s">
        <v>0</v>
      </c>
      <c r="E5" s="131"/>
    </row>
    <row r="6" spans="1:5" x14ac:dyDescent="0.3">
      <c r="A6" s="131">
        <v>1</v>
      </c>
      <c r="B6" s="169">
        <v>1</v>
      </c>
      <c r="C6" s="131">
        <v>5024</v>
      </c>
      <c r="D6" s="131" t="s">
        <v>0</v>
      </c>
      <c r="E6" s="131"/>
    </row>
    <row r="7" spans="1:5" x14ac:dyDescent="0.3">
      <c r="A7" s="131">
        <v>3</v>
      </c>
      <c r="B7" s="169">
        <v>1</v>
      </c>
      <c r="C7" s="131">
        <v>5003</v>
      </c>
      <c r="D7" s="131" t="s">
        <v>0</v>
      </c>
      <c r="E7" s="131"/>
    </row>
    <row r="8" spans="1:5" x14ac:dyDescent="0.3">
      <c r="A8" s="131">
        <v>3</v>
      </c>
      <c r="B8" s="169">
        <v>1</v>
      </c>
      <c r="C8" s="131">
        <v>5002</v>
      </c>
      <c r="D8" s="131" t="s">
        <v>0</v>
      </c>
      <c r="E8" s="131"/>
    </row>
    <row r="9" spans="1:5" x14ac:dyDescent="0.3">
      <c r="A9" s="131">
        <v>3</v>
      </c>
      <c r="B9" s="169">
        <v>1</v>
      </c>
      <c r="C9" s="131">
        <v>5020</v>
      </c>
      <c r="D9" s="131" t="s">
        <v>0</v>
      </c>
      <c r="E9" s="131"/>
    </row>
    <row r="10" spans="1:5" x14ac:dyDescent="0.3">
      <c r="A10" s="131">
        <v>3</v>
      </c>
      <c r="B10" s="169">
        <v>1</v>
      </c>
      <c r="C10" s="131">
        <v>5001</v>
      </c>
      <c r="D10" s="131" t="s">
        <v>0</v>
      </c>
      <c r="E10" s="131"/>
    </row>
    <row r="11" spans="1:5" x14ac:dyDescent="0.3">
      <c r="A11" s="131">
        <v>3</v>
      </c>
      <c r="B11" s="169">
        <v>1</v>
      </c>
      <c r="C11" s="131">
        <v>5000</v>
      </c>
      <c r="D11" s="131" t="s">
        <v>0</v>
      </c>
      <c r="E11" s="131"/>
    </row>
    <row r="12" spans="1:5" x14ac:dyDescent="0.3">
      <c r="A12" s="131">
        <v>3</v>
      </c>
      <c r="B12" s="169">
        <v>1</v>
      </c>
      <c r="C12" s="131">
        <v>5017</v>
      </c>
      <c r="D12" s="131" t="s">
        <v>0</v>
      </c>
      <c r="E12" s="131"/>
    </row>
    <row r="13" spans="1:5" x14ac:dyDescent="0.3">
      <c r="A13" s="131">
        <v>3</v>
      </c>
      <c r="B13" s="169">
        <v>1</v>
      </c>
      <c r="C13" s="131">
        <v>5004</v>
      </c>
      <c r="D13" s="131" t="s">
        <v>0</v>
      </c>
      <c r="E13" s="131"/>
    </row>
    <row r="14" spans="1:5" x14ac:dyDescent="0.3">
      <c r="A14" s="131">
        <v>4</v>
      </c>
      <c r="B14" s="169">
        <v>1</v>
      </c>
      <c r="C14" s="131">
        <v>5016</v>
      </c>
      <c r="D14" s="131" t="s">
        <v>0</v>
      </c>
      <c r="E14" s="131"/>
    </row>
    <row r="15" spans="1:5" x14ac:dyDescent="0.3">
      <c r="A15" s="131">
        <v>5</v>
      </c>
      <c r="B15" s="169">
        <v>1</v>
      </c>
      <c r="C15" s="131">
        <v>5006</v>
      </c>
      <c r="D15" s="131" t="s">
        <v>0</v>
      </c>
      <c r="E15" s="131"/>
    </row>
    <row r="16" spans="1:5" x14ac:dyDescent="0.3">
      <c r="A16" s="131">
        <v>5</v>
      </c>
      <c r="B16" s="169">
        <v>1</v>
      </c>
      <c r="C16" s="131">
        <v>5005</v>
      </c>
      <c r="D16" s="131" t="s">
        <v>0</v>
      </c>
      <c r="E16" s="131"/>
    </row>
    <row r="17" spans="1:5" x14ac:dyDescent="0.3">
      <c r="A17" s="131">
        <v>6</v>
      </c>
      <c r="B17" s="169">
        <v>1</v>
      </c>
      <c r="C17" s="131">
        <v>5021</v>
      </c>
      <c r="D17" s="131" t="s">
        <v>0</v>
      </c>
      <c r="E17" s="131"/>
    </row>
    <row r="18" spans="1:5" x14ac:dyDescent="0.3">
      <c r="A18" s="131">
        <v>6</v>
      </c>
      <c r="B18" s="169">
        <v>1</v>
      </c>
      <c r="C18" s="131">
        <v>5007</v>
      </c>
      <c r="D18" s="131" t="s">
        <v>0</v>
      </c>
      <c r="E18" s="131"/>
    </row>
    <row r="19" spans="1:5" x14ac:dyDescent="0.3">
      <c r="A19" s="131">
        <v>7</v>
      </c>
      <c r="B19" s="169">
        <v>1</v>
      </c>
      <c r="C19" s="131">
        <v>5009</v>
      </c>
      <c r="D19" s="131" t="s">
        <v>0</v>
      </c>
      <c r="E19" s="131"/>
    </row>
    <row r="20" spans="1:5" x14ac:dyDescent="0.3">
      <c r="A20" s="131">
        <v>8</v>
      </c>
      <c r="B20" s="169">
        <v>1</v>
      </c>
      <c r="C20" s="131">
        <v>5010</v>
      </c>
      <c r="D20" s="131" t="s">
        <v>0</v>
      </c>
      <c r="E20" s="131"/>
    </row>
    <row r="21" spans="1:5" x14ac:dyDescent="0.3">
      <c r="A21" s="131">
        <v>9</v>
      </c>
      <c r="B21" s="169">
        <v>1</v>
      </c>
      <c r="C21" s="131">
        <v>5011</v>
      </c>
      <c r="D21" s="131" t="s">
        <v>0</v>
      </c>
      <c r="E21" s="131"/>
    </row>
    <row r="22" spans="1:5" x14ac:dyDescent="0.3">
      <c r="A22" s="131">
        <v>10</v>
      </c>
      <c r="B22" s="169">
        <v>1</v>
      </c>
      <c r="C22" s="131">
        <v>5012</v>
      </c>
      <c r="D22" s="131" t="s">
        <v>0</v>
      </c>
      <c r="E22" s="131"/>
    </row>
    <row r="23" spans="1:5" x14ac:dyDescent="0.3">
      <c r="A23" s="131">
        <v>11</v>
      </c>
      <c r="B23" s="169">
        <v>1</v>
      </c>
      <c r="C23" s="131">
        <v>5013</v>
      </c>
      <c r="D23" s="131" t="s">
        <v>0</v>
      </c>
      <c r="E23" s="131"/>
    </row>
    <row r="24" spans="1:5" x14ac:dyDescent="0.3">
      <c r="A24" s="131">
        <v>12</v>
      </c>
      <c r="B24" s="169">
        <v>1</v>
      </c>
      <c r="C24" s="131">
        <v>5014</v>
      </c>
      <c r="D24" s="131" t="s">
        <v>0</v>
      </c>
      <c r="E24" s="131"/>
    </row>
    <row r="25" spans="1:5" x14ac:dyDescent="0.3">
      <c r="A25" s="131">
        <v>13</v>
      </c>
      <c r="B25" s="169">
        <v>1</v>
      </c>
      <c r="C25" s="131">
        <v>5015</v>
      </c>
      <c r="D25" s="131" t="s">
        <v>0</v>
      </c>
      <c r="E25" s="131"/>
    </row>
    <row r="26" spans="1:5" x14ac:dyDescent="0.3">
      <c r="A26" s="169">
        <v>14</v>
      </c>
      <c r="B26" s="169">
        <v>1</v>
      </c>
      <c r="C26" s="169">
        <v>5018</v>
      </c>
      <c r="D26" s="169" t="s">
        <v>0</v>
      </c>
      <c r="E26" s="169"/>
    </row>
    <row r="27" spans="1:5" x14ac:dyDescent="0.3">
      <c r="A27" s="182"/>
      <c r="B27" s="182"/>
      <c r="C27" s="182"/>
      <c r="D27" s="182"/>
      <c r="E27" s="182"/>
    </row>
    <row r="28" spans="1:5" s="182" customFormat="1" x14ac:dyDescent="0.3"/>
    <row r="29" spans="1:5" s="182" customFormat="1" x14ac:dyDescent="0.3"/>
    <row r="30" spans="1:5" s="182" customFormat="1" x14ac:dyDescent="0.3"/>
    <row r="31" spans="1:5" s="182" customFormat="1" x14ac:dyDescent="0.3"/>
    <row r="32" spans="1:5" s="182" customFormat="1" x14ac:dyDescent="0.3"/>
    <row r="33" s="182" customFormat="1" x14ac:dyDescent="0.3"/>
  </sheetData>
  <autoFilter ref="A1:E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tabColor rgb="FF7030A0"/>
  </sheetPr>
  <dimension ref="A1:C2"/>
  <sheetViews>
    <sheetView zoomScale="115" zoomScaleNormal="115" workbookViewId="0">
      <selection activeCell="B7" sqref="B7"/>
    </sheetView>
  </sheetViews>
  <sheetFormatPr defaultRowHeight="14.4" x14ac:dyDescent="0.3"/>
  <cols>
    <col min="1" max="1" width="14.44140625" customWidth="1"/>
    <col min="2" max="2" width="22" customWidth="1"/>
    <col min="3" max="3" width="16" customWidth="1"/>
  </cols>
  <sheetData>
    <row r="1" spans="1:3" ht="27.6" x14ac:dyDescent="0.3">
      <c r="A1" s="3" t="s">
        <v>2366</v>
      </c>
      <c r="B1" s="3" t="s">
        <v>324</v>
      </c>
      <c r="C1" s="3" t="s">
        <v>369</v>
      </c>
    </row>
    <row r="2" spans="1:3" x14ac:dyDescent="0.3">
      <c r="A2" s="131">
        <v>1</v>
      </c>
      <c r="B2" s="169" t="s">
        <v>2363</v>
      </c>
      <c r="C2" s="131"/>
    </row>
  </sheetData>
  <autoFilter ref="A1:C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rgb="FF92D050"/>
  </sheetPr>
  <dimension ref="A1:I11"/>
  <sheetViews>
    <sheetView zoomScale="130" zoomScaleNormal="130" workbookViewId="0">
      <selection activeCell="F12" sqref="F12"/>
    </sheetView>
  </sheetViews>
  <sheetFormatPr defaultRowHeight="14.4" x14ac:dyDescent="0.3"/>
  <cols>
    <col min="1" max="1" width="13.44140625" customWidth="1"/>
    <col min="2" max="2" width="15.33203125" customWidth="1"/>
    <col min="3" max="3" width="17.109375" style="85" customWidth="1"/>
    <col min="4" max="4" width="14.5546875" customWidth="1"/>
    <col min="5" max="5" width="17.109375" customWidth="1"/>
    <col min="6" max="6" width="11.44140625" customWidth="1"/>
    <col min="7" max="7" width="14.44140625" customWidth="1"/>
    <col min="8" max="8" width="14.6640625" customWidth="1"/>
    <col min="9" max="9" width="17.33203125" customWidth="1"/>
  </cols>
  <sheetData>
    <row r="1" spans="1:9" ht="41.4" x14ac:dyDescent="0.3">
      <c r="A1" s="3" t="s">
        <v>372</v>
      </c>
      <c r="B1" s="3" t="s">
        <v>31</v>
      </c>
      <c r="C1" s="3" t="s">
        <v>24</v>
      </c>
      <c r="D1" s="3" t="s">
        <v>378</v>
      </c>
      <c r="E1" s="3" t="s">
        <v>377</v>
      </c>
      <c r="F1" s="3" t="s">
        <v>373</v>
      </c>
      <c r="G1" s="3" t="s">
        <v>374</v>
      </c>
      <c r="H1" s="3" t="s">
        <v>375</v>
      </c>
      <c r="I1" s="3" t="s">
        <v>376</v>
      </c>
    </row>
    <row r="2" spans="1:9" x14ac:dyDescent="0.3">
      <c r="A2" s="169">
        <v>1</v>
      </c>
      <c r="B2" s="169" t="s">
        <v>2384</v>
      </c>
      <c r="C2" s="169" t="s">
        <v>2384</v>
      </c>
      <c r="D2" s="173">
        <v>36526</v>
      </c>
      <c r="E2" s="173">
        <v>2958465</v>
      </c>
      <c r="F2" s="169">
        <v>2</v>
      </c>
      <c r="G2" s="169"/>
      <c r="H2" s="169"/>
      <c r="I2" s="169"/>
    </row>
    <row r="3" spans="1:9" x14ac:dyDescent="0.3">
      <c r="A3" s="169">
        <v>2</v>
      </c>
      <c r="B3" s="169" t="s">
        <v>2385</v>
      </c>
      <c r="C3" s="169" t="s">
        <v>2385</v>
      </c>
      <c r="D3" s="173">
        <v>36526</v>
      </c>
      <c r="E3" s="173">
        <v>2958465</v>
      </c>
      <c r="F3" s="169">
        <v>2</v>
      </c>
      <c r="G3" s="169"/>
      <c r="H3" s="169"/>
      <c r="I3" s="169"/>
    </row>
    <row r="4" spans="1:9" x14ac:dyDescent="0.3">
      <c r="A4" s="169">
        <v>3</v>
      </c>
      <c r="B4" s="169" t="s">
        <v>2386</v>
      </c>
      <c r="C4" s="169" t="s">
        <v>2386</v>
      </c>
      <c r="D4" s="173">
        <v>36526</v>
      </c>
      <c r="E4" s="173">
        <v>2958465</v>
      </c>
      <c r="F4" s="169">
        <v>2</v>
      </c>
      <c r="G4" s="169"/>
      <c r="H4" s="169"/>
      <c r="I4" s="169"/>
    </row>
    <row r="5" spans="1:9" x14ac:dyDescent="0.3">
      <c r="A5" s="169">
        <v>4</v>
      </c>
      <c r="B5" s="169" t="s">
        <v>2387</v>
      </c>
      <c r="C5" s="169" t="s">
        <v>2387</v>
      </c>
      <c r="D5" s="173">
        <v>36526</v>
      </c>
      <c r="E5" s="173">
        <v>2958465</v>
      </c>
      <c r="F5" s="169">
        <v>2</v>
      </c>
      <c r="G5" s="169"/>
      <c r="H5" s="169"/>
      <c r="I5" s="169"/>
    </row>
    <row r="6" spans="1:9" x14ac:dyDescent="0.3">
      <c r="A6" s="169">
        <v>5</v>
      </c>
      <c r="B6" s="169" t="s">
        <v>2388</v>
      </c>
      <c r="C6" s="169" t="s">
        <v>2388</v>
      </c>
      <c r="D6" s="173">
        <v>36526</v>
      </c>
      <c r="E6" s="173">
        <v>2958465</v>
      </c>
      <c r="F6" s="169">
        <v>2</v>
      </c>
      <c r="G6" s="169"/>
      <c r="H6" s="169"/>
      <c r="I6" s="169"/>
    </row>
    <row r="7" spans="1:9" x14ac:dyDescent="0.3">
      <c r="B7" s="85"/>
      <c r="C7"/>
      <c r="D7" s="183"/>
      <c r="E7" s="183"/>
    </row>
    <row r="8" spans="1:9" x14ac:dyDescent="0.3">
      <c r="B8" s="85"/>
      <c r="C8"/>
      <c r="D8" s="183"/>
      <c r="E8" s="183"/>
    </row>
    <row r="9" spans="1:9" x14ac:dyDescent="0.3">
      <c r="B9" s="85"/>
      <c r="C9"/>
      <c r="D9" s="183"/>
      <c r="E9" s="183"/>
    </row>
    <row r="10" spans="1:9" x14ac:dyDescent="0.3">
      <c r="B10" s="85"/>
      <c r="C10"/>
      <c r="D10" s="183"/>
      <c r="E10" s="183"/>
    </row>
    <row r="11" spans="1:9" x14ac:dyDescent="0.3">
      <c r="B11" s="85"/>
      <c r="C11"/>
      <c r="D11" s="183"/>
      <c r="E11" s="183"/>
    </row>
  </sheetData>
  <autoFilter ref="A1:I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92D050"/>
  </sheetPr>
  <dimension ref="A1:H6"/>
  <sheetViews>
    <sheetView zoomScale="115" zoomScaleNormal="115" workbookViewId="0">
      <selection activeCell="G7" sqref="G7"/>
    </sheetView>
  </sheetViews>
  <sheetFormatPr defaultRowHeight="14.4" x14ac:dyDescent="0.3"/>
  <cols>
    <col min="1" max="1" width="13.88671875" customWidth="1"/>
    <col min="2" max="2" width="15.44140625" customWidth="1"/>
    <col min="3" max="3" width="10.6640625" customWidth="1"/>
    <col min="4" max="4" width="11.109375" customWidth="1"/>
    <col min="5" max="5" width="12.44140625" customWidth="1"/>
    <col min="6" max="6" width="16.33203125" customWidth="1"/>
    <col min="7" max="7" width="15.109375" customWidth="1"/>
    <col min="8" max="8" width="25" customWidth="1"/>
  </cols>
  <sheetData>
    <row r="1" spans="1:8" ht="41.4" x14ac:dyDescent="0.3">
      <c r="A1" s="3" t="s">
        <v>379</v>
      </c>
      <c r="B1" s="3" t="s">
        <v>380</v>
      </c>
      <c r="C1" s="3" t="s">
        <v>383</v>
      </c>
      <c r="D1" s="3" t="s">
        <v>378</v>
      </c>
      <c r="E1" s="3" t="s">
        <v>377</v>
      </c>
      <c r="F1" s="3" t="s">
        <v>31</v>
      </c>
      <c r="G1" s="3" t="s">
        <v>382</v>
      </c>
      <c r="H1" s="3" t="s">
        <v>381</v>
      </c>
    </row>
    <row r="2" spans="1:8" x14ac:dyDescent="0.3">
      <c r="A2" s="131">
        <v>1</v>
      </c>
      <c r="B2" s="131">
        <v>1</v>
      </c>
      <c r="C2" s="131" t="s">
        <v>2389</v>
      </c>
      <c r="D2" s="173">
        <v>36526</v>
      </c>
      <c r="E2" s="173">
        <v>2958465</v>
      </c>
      <c r="F2" s="131" t="s">
        <v>2390</v>
      </c>
      <c r="G2" s="92" t="s">
        <v>118</v>
      </c>
      <c r="H2" s="92"/>
    </row>
    <row r="3" spans="1:8" x14ac:dyDescent="0.3">
      <c r="A3" s="131">
        <v>2</v>
      </c>
      <c r="B3" s="131">
        <v>2</v>
      </c>
      <c r="C3" s="131" t="s">
        <v>2389</v>
      </c>
      <c r="D3" s="173">
        <v>36526</v>
      </c>
      <c r="E3" s="173">
        <v>2958465</v>
      </c>
      <c r="F3" s="131" t="s">
        <v>2390</v>
      </c>
      <c r="G3" s="92" t="s">
        <v>118</v>
      </c>
      <c r="H3" s="92"/>
    </row>
    <row r="4" spans="1:8" x14ac:dyDescent="0.3">
      <c r="A4" s="131">
        <v>3</v>
      </c>
      <c r="B4" s="131">
        <v>3</v>
      </c>
      <c r="C4" s="131" t="s">
        <v>2389</v>
      </c>
      <c r="D4" s="173">
        <v>36526</v>
      </c>
      <c r="E4" s="173">
        <v>2958465</v>
      </c>
      <c r="F4" s="131" t="s">
        <v>2390</v>
      </c>
      <c r="G4" s="92" t="s">
        <v>118</v>
      </c>
      <c r="H4" s="92"/>
    </row>
    <row r="5" spans="1:8" x14ac:dyDescent="0.3">
      <c r="A5" s="131">
        <v>4</v>
      </c>
      <c r="B5" s="131">
        <v>4</v>
      </c>
      <c r="C5" s="131" t="s">
        <v>2389</v>
      </c>
      <c r="D5" s="173">
        <v>36526</v>
      </c>
      <c r="E5" s="173">
        <v>2958465</v>
      </c>
      <c r="F5" s="131" t="s">
        <v>2390</v>
      </c>
      <c r="G5" s="92" t="s">
        <v>118</v>
      </c>
      <c r="H5" s="92"/>
    </row>
    <row r="6" spans="1:8" x14ac:dyDescent="0.3">
      <c r="A6" s="131">
        <v>5</v>
      </c>
      <c r="B6" s="131">
        <v>5</v>
      </c>
      <c r="C6" s="131" t="s">
        <v>2389</v>
      </c>
      <c r="D6" s="173">
        <v>36526</v>
      </c>
      <c r="E6" s="173">
        <v>2958465</v>
      </c>
      <c r="F6" s="131" t="s">
        <v>2390</v>
      </c>
      <c r="G6" s="92" t="s">
        <v>118</v>
      </c>
      <c r="H6" s="92"/>
    </row>
  </sheetData>
  <autoFilter ref="A1:H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0000"/>
  </sheetPr>
  <dimension ref="A1:V142"/>
  <sheetViews>
    <sheetView zoomScale="80" zoomScaleNormal="80" workbookViewId="0">
      <pane xSplit="2" ySplit="3" topLeftCell="C10" activePane="bottomRight" state="frozen"/>
      <selection pane="topRight" activeCell="C1" sqref="C1"/>
      <selection pane="bottomLeft" activeCell="A3" sqref="A3"/>
      <selection pane="bottomRight" activeCell="F13" sqref="F13"/>
    </sheetView>
  </sheetViews>
  <sheetFormatPr defaultColWidth="9.109375" defaultRowHeight="13.8" x14ac:dyDescent="0.3"/>
  <cols>
    <col min="1" max="1" width="15.33203125" style="5" customWidth="1"/>
    <col min="2" max="2" width="9.109375" style="5" customWidth="1"/>
    <col min="3" max="22" width="75.6640625" style="5" customWidth="1"/>
    <col min="23" max="16384" width="9.109375" style="5"/>
  </cols>
  <sheetData>
    <row r="1" spans="1:22" ht="39" customHeight="1" x14ac:dyDescent="0.3">
      <c r="A1" s="10" t="s">
        <v>41</v>
      </c>
      <c r="B1" s="11" t="e">
        <f>IF(AND(HIER_FLAG="N", MSCN_FLAG="N", HSCN_FLAG="N", XREF_FLAG="N", HIST_FLAG="N"), 1,IF(AND(HIER_FLAG="N", MSCN_FLAG="N", HSCN_FLAG="N", XREF_FLAG="N", HIST_FLAG="Y"), 2,IF(AND(HIER_FLAG="N", MSCN_FLAG="N", HSCN_FLAG="N", XREF_FLAG="Y", HIST_FLAG="N"), 3,IF(AND(HIER_FLAG="N", MSCN_FLAG="N", HSCN_FLAG="N", XREF_FLAG="Y", HIST_FLAG="Y"), 4,IF(AND(HIER_FLAG="N", MSCN_FLAG="Y", HSCN_FLAG="N", XREF_FLAG="N", HIST_FLAG="N"), 5,IF(AND(HIER_FLAG="N", MSCN_FLAG="Y", HSCN_FLAG="N", XREF_FLAG="N", HIST_FLAG="Y"), 6,IF(AND(HIER_FLAG="Y", MSCN_FLAG="N", HSCN_FLAG="N", XREF_FLAG="N", HIST_FLAG="N"), 7,IF(AND(HIER_FLAG="Y", MSCN_FLAG="N", HSCN_FLAG="N", XREF_FLAG="N", HIST_FLAG="Y"), 8,IF(AND(HIER_FLAG="Y", MSCN_FLAG="N", HSCN_FLAG="N", XREF_FLAG="Y", HIST_FLAG="N"), 9,IF(AND(HIER_FLAG="Y", MSCN_FLAG="N", HSCN_FLAG="N", XREF_FLAG="Y", HIST_FLAG="Y"), 10,IF(AND(HIER_FLAG="Y", MSCN_FLAG="N", HSCN_FLAG="Y", XREF_FLAG="N", HIST_FLAG="N"), 11,IF(AND(HIER_FLAG="Y", MSCN_FLAG="N", HSCN_FLAG="Y", XREF_FLAG="N", HIST_FLAG="Y"), 12,IF(AND(HIER_FLAG="Y", MSCN_FLAG="N", HSCN_FLAG="Y", XREF_FLAG="Y", HIST_FLAG="N"), 13,IF(AND(HIER_FLAG="Y", MSCN_FLAG="N", HSCN_FLAG="Y", XREF_FLAG="Y", HIST_FLAG="Y"), 14,IF(AND(HIER_FLAG="Y", MSCN_FLAG="Y", HSCN_FLAG="N", XREF_FLAG="N", HIST_FLAG="N"), 15,IF(AND(HIER_FLAG="Y", MSCN_FLAG="Y", HSCN_FLAG="N", XREF_FLAG="N", HIST_FLAG="Y"), 16,))))))))))))))))</f>
        <v>#NAME?</v>
      </c>
      <c r="C1" s="185" t="s">
        <v>61</v>
      </c>
      <c r="D1" s="185" t="s">
        <v>62</v>
      </c>
      <c r="E1" s="185" t="s">
        <v>63</v>
      </c>
      <c r="F1" s="185" t="s">
        <v>64</v>
      </c>
      <c r="G1" s="185" t="s">
        <v>65</v>
      </c>
      <c r="H1" s="185" t="s">
        <v>66</v>
      </c>
      <c r="I1" s="185" t="s">
        <v>67</v>
      </c>
      <c r="J1" s="185" t="s">
        <v>68</v>
      </c>
      <c r="K1" s="185" t="s">
        <v>69</v>
      </c>
      <c r="L1" s="185" t="s">
        <v>70</v>
      </c>
      <c r="M1" s="185" t="s">
        <v>71</v>
      </c>
      <c r="N1" s="185" t="s">
        <v>72</v>
      </c>
      <c r="O1" s="185" t="s">
        <v>73</v>
      </c>
      <c r="P1" s="185" t="s">
        <v>74</v>
      </c>
      <c r="Q1" s="185" t="s">
        <v>75</v>
      </c>
      <c r="R1" s="187" t="s">
        <v>60</v>
      </c>
      <c r="S1" s="187" t="s">
        <v>76</v>
      </c>
      <c r="T1" s="187" t="s">
        <v>77</v>
      </c>
      <c r="U1" s="187" t="s">
        <v>78</v>
      </c>
      <c r="V1" s="187" t="s">
        <v>79</v>
      </c>
    </row>
    <row r="2" spans="1:22" ht="39" customHeight="1" x14ac:dyDescent="0.3">
      <c r="A2" s="10" t="s">
        <v>17</v>
      </c>
      <c r="B2" s="11" t="e">
        <f>MATCH(B1, C3:R3)</f>
        <v>#NAME?</v>
      </c>
      <c r="C2" s="186"/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8"/>
      <c r="S2" s="188"/>
      <c r="T2" s="188"/>
      <c r="U2" s="188"/>
      <c r="V2" s="188"/>
    </row>
    <row r="3" spans="1:22" x14ac:dyDescent="0.3">
      <c r="A3" s="10"/>
      <c r="B3" s="11"/>
      <c r="C3" s="11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</row>
    <row r="4" spans="1:22" ht="124.2" x14ac:dyDescent="0.3">
      <c r="A4" s="7" t="s">
        <v>2</v>
      </c>
      <c r="B4" s="12"/>
      <c r="C4" s="8" t="s">
        <v>148</v>
      </c>
      <c r="D4" s="8" t="s">
        <v>148</v>
      </c>
      <c r="E4" s="8" t="s">
        <v>149</v>
      </c>
      <c r="F4" s="8" t="s">
        <v>149</v>
      </c>
      <c r="G4" s="8" t="s">
        <v>148</v>
      </c>
      <c r="H4" s="8" t="s">
        <v>148</v>
      </c>
      <c r="I4" s="8" t="s">
        <v>148</v>
      </c>
      <c r="J4" s="8" t="s">
        <v>148</v>
      </c>
      <c r="K4" s="8" t="s">
        <v>149</v>
      </c>
      <c r="L4" s="8" t="s">
        <v>149</v>
      </c>
      <c r="M4" s="8" t="s">
        <v>148</v>
      </c>
      <c r="N4" s="8" t="s">
        <v>148</v>
      </c>
      <c r="O4" s="8" t="s">
        <v>149</v>
      </c>
      <c r="P4" s="8" t="s">
        <v>149</v>
      </c>
      <c r="Q4" s="8" t="s">
        <v>148</v>
      </c>
      <c r="R4" s="8" t="s">
        <v>148</v>
      </c>
      <c r="S4" s="32"/>
      <c r="T4" s="8"/>
      <c r="U4" s="32"/>
      <c r="V4" s="32"/>
    </row>
    <row r="5" spans="1:22" ht="179.4" x14ac:dyDescent="0.3">
      <c r="A5" s="13" t="s">
        <v>2</v>
      </c>
      <c r="B5" s="14" t="s">
        <v>56</v>
      </c>
      <c r="C5" s="15" t="s">
        <v>170</v>
      </c>
      <c r="D5" s="15" t="s">
        <v>170</v>
      </c>
      <c r="E5" s="15" t="s">
        <v>171</v>
      </c>
      <c r="F5" s="15" t="s">
        <v>171</v>
      </c>
      <c r="G5" s="15" t="s">
        <v>170</v>
      </c>
      <c r="H5" s="15" t="s">
        <v>170</v>
      </c>
      <c r="I5" s="15" t="s">
        <v>170</v>
      </c>
      <c r="J5" s="15" t="s">
        <v>170</v>
      </c>
      <c r="K5" s="15" t="s">
        <v>171</v>
      </c>
      <c r="L5" s="15" t="s">
        <v>171</v>
      </c>
      <c r="M5" s="15" t="s">
        <v>170</v>
      </c>
      <c r="N5" s="15" t="s">
        <v>170</v>
      </c>
      <c r="O5" s="15" t="s">
        <v>171</v>
      </c>
      <c r="P5" s="15" t="s">
        <v>171</v>
      </c>
      <c r="Q5" s="15" t="s">
        <v>170</v>
      </c>
      <c r="R5" s="15" t="s">
        <v>170</v>
      </c>
      <c r="S5" s="15"/>
      <c r="T5" s="15"/>
      <c r="U5" s="15"/>
      <c r="V5" s="15"/>
    </row>
    <row r="6" spans="1:22" ht="179.4" x14ac:dyDescent="0.3">
      <c r="A6" s="16" t="s">
        <v>2</v>
      </c>
      <c r="B6" s="17" t="s">
        <v>57</v>
      </c>
      <c r="C6" s="18" t="s">
        <v>155</v>
      </c>
      <c r="D6" s="18" t="s">
        <v>155</v>
      </c>
      <c r="E6" s="18" t="s">
        <v>156</v>
      </c>
      <c r="F6" s="18" t="s">
        <v>156</v>
      </c>
      <c r="G6" s="18" t="s">
        <v>155</v>
      </c>
      <c r="H6" s="18" t="s">
        <v>155</v>
      </c>
      <c r="I6" s="18" t="s">
        <v>155</v>
      </c>
      <c r="J6" s="18" t="s">
        <v>155</v>
      </c>
      <c r="K6" s="18" t="s">
        <v>156</v>
      </c>
      <c r="L6" s="18" t="s">
        <v>156</v>
      </c>
      <c r="M6" s="18" t="s">
        <v>155</v>
      </c>
      <c r="N6" s="18" t="s">
        <v>155</v>
      </c>
      <c r="O6" s="18" t="s">
        <v>156</v>
      </c>
      <c r="P6" s="18" t="s">
        <v>156</v>
      </c>
      <c r="Q6" s="18" t="s">
        <v>155</v>
      </c>
      <c r="R6" s="18" t="s">
        <v>155</v>
      </c>
      <c r="S6" s="18"/>
      <c r="T6" s="18"/>
      <c r="U6" s="18"/>
      <c r="V6" s="18"/>
    </row>
    <row r="7" spans="1:22" ht="124.2" x14ac:dyDescent="0.3">
      <c r="A7" s="19" t="s">
        <v>2</v>
      </c>
      <c r="B7" s="20" t="s">
        <v>58</v>
      </c>
      <c r="C7" s="21" t="s">
        <v>172</v>
      </c>
      <c r="D7" s="21" t="s">
        <v>172</v>
      </c>
      <c r="E7" s="21" t="s">
        <v>173</v>
      </c>
      <c r="F7" s="21" t="s">
        <v>173</v>
      </c>
      <c r="G7" s="21" t="s">
        <v>172</v>
      </c>
      <c r="H7" s="21" t="s">
        <v>172</v>
      </c>
      <c r="I7" s="21" t="s">
        <v>172</v>
      </c>
      <c r="J7" s="21" t="s">
        <v>172</v>
      </c>
      <c r="K7" s="21" t="s">
        <v>173</v>
      </c>
      <c r="L7" s="21" t="s">
        <v>173</v>
      </c>
      <c r="M7" s="21" t="s">
        <v>172</v>
      </c>
      <c r="N7" s="21" t="s">
        <v>172</v>
      </c>
      <c r="O7" s="21" t="s">
        <v>173</v>
      </c>
      <c r="P7" s="21" t="s">
        <v>173</v>
      </c>
      <c r="Q7" s="21" t="s">
        <v>172</v>
      </c>
      <c r="R7" s="21" t="s">
        <v>172</v>
      </c>
      <c r="S7" s="21"/>
      <c r="T7" s="21"/>
      <c r="U7" s="21"/>
      <c r="V7" s="21"/>
    </row>
    <row r="8" spans="1:22" ht="124.2" x14ac:dyDescent="0.3">
      <c r="A8" s="7" t="s">
        <v>9</v>
      </c>
      <c r="B8" s="12"/>
      <c r="C8" s="8"/>
      <c r="D8" s="8"/>
      <c r="E8" s="8"/>
      <c r="F8" s="8"/>
      <c r="G8" s="8" t="s">
        <v>150</v>
      </c>
      <c r="H8" s="8" t="s">
        <v>150</v>
      </c>
      <c r="I8" s="8"/>
      <c r="J8" s="8"/>
      <c r="K8" s="8"/>
      <c r="L8" s="8"/>
      <c r="M8" s="8"/>
      <c r="N8" s="8"/>
      <c r="O8" s="8"/>
      <c r="P8" s="8"/>
      <c r="Q8" s="8" t="s">
        <v>150</v>
      </c>
      <c r="R8" s="8" t="s">
        <v>150</v>
      </c>
      <c r="S8" s="8"/>
      <c r="T8" s="8"/>
      <c r="U8" s="8" t="s">
        <v>150</v>
      </c>
      <c r="V8" s="8" t="s">
        <v>150</v>
      </c>
    </row>
    <row r="9" spans="1:22" ht="179.4" x14ac:dyDescent="0.3">
      <c r="A9" s="13" t="s">
        <v>9</v>
      </c>
      <c r="B9" s="14" t="s">
        <v>56</v>
      </c>
      <c r="C9" s="15"/>
      <c r="D9" s="15"/>
      <c r="E9" s="15"/>
      <c r="F9" s="15"/>
      <c r="G9" s="15" t="s">
        <v>174</v>
      </c>
      <c r="H9" s="15" t="s">
        <v>174</v>
      </c>
      <c r="I9" s="15"/>
      <c r="J9" s="15"/>
      <c r="K9" s="15"/>
      <c r="L9" s="15"/>
      <c r="M9" s="15"/>
      <c r="N9" s="15"/>
      <c r="O9" s="15"/>
      <c r="P9" s="15"/>
      <c r="Q9" s="15" t="s">
        <v>174</v>
      </c>
      <c r="R9" s="15" t="s">
        <v>174</v>
      </c>
      <c r="S9" s="15"/>
      <c r="T9" s="15"/>
      <c r="U9" s="15" t="s">
        <v>174</v>
      </c>
      <c r="V9" s="15" t="s">
        <v>174</v>
      </c>
    </row>
    <row r="10" spans="1:22" ht="179.4" x14ac:dyDescent="0.3">
      <c r="A10" s="16" t="s">
        <v>9</v>
      </c>
      <c r="B10" s="17" t="s">
        <v>57</v>
      </c>
      <c r="C10" s="18"/>
      <c r="D10" s="18"/>
      <c r="E10" s="18"/>
      <c r="F10" s="18"/>
      <c r="G10" s="18" t="s">
        <v>157</v>
      </c>
      <c r="H10" s="18" t="s">
        <v>157</v>
      </c>
      <c r="I10" s="18"/>
      <c r="J10" s="18"/>
      <c r="K10" s="18"/>
      <c r="L10" s="18"/>
      <c r="M10" s="18"/>
      <c r="N10" s="18"/>
      <c r="O10" s="18"/>
      <c r="P10" s="18"/>
      <c r="Q10" s="18" t="s">
        <v>157</v>
      </c>
      <c r="R10" s="18" t="s">
        <v>157</v>
      </c>
      <c r="S10" s="18"/>
      <c r="T10" s="18"/>
      <c r="U10" s="18" t="s">
        <v>157</v>
      </c>
      <c r="V10" s="18" t="s">
        <v>157</v>
      </c>
    </row>
    <row r="11" spans="1:22" ht="124.2" x14ac:dyDescent="0.3">
      <c r="A11" s="19" t="s">
        <v>9</v>
      </c>
      <c r="B11" s="20" t="s">
        <v>58</v>
      </c>
      <c r="C11" s="21"/>
      <c r="D11" s="21"/>
      <c r="E11" s="21"/>
      <c r="F11" s="21"/>
      <c r="G11" s="21" t="s">
        <v>175</v>
      </c>
      <c r="H11" s="21" t="s">
        <v>175</v>
      </c>
      <c r="I11" s="21"/>
      <c r="J11" s="21"/>
      <c r="K11" s="21"/>
      <c r="L11" s="21"/>
      <c r="M11" s="21"/>
      <c r="N11" s="21"/>
      <c r="O11" s="21"/>
      <c r="P11" s="21"/>
      <c r="Q11" s="21" t="s">
        <v>175</v>
      </c>
      <c r="R11" s="21" t="s">
        <v>175</v>
      </c>
      <c r="S11" s="21"/>
      <c r="T11" s="21"/>
      <c r="U11" s="21" t="s">
        <v>175</v>
      </c>
      <c r="V11" s="21" t="s">
        <v>175</v>
      </c>
    </row>
    <row r="12" spans="1:22" ht="138" x14ac:dyDescent="0.3">
      <c r="A12" s="7" t="s">
        <v>3</v>
      </c>
      <c r="B12" s="12"/>
      <c r="C12" s="8" t="s">
        <v>151</v>
      </c>
      <c r="D12" s="8" t="s">
        <v>123</v>
      </c>
      <c r="E12" s="8" t="s">
        <v>151</v>
      </c>
      <c r="F12" s="8" t="s">
        <v>123</v>
      </c>
      <c r="G12" s="8" t="s">
        <v>122</v>
      </c>
      <c r="H12" s="8" t="s">
        <v>121</v>
      </c>
      <c r="I12" s="8" t="s">
        <v>151</v>
      </c>
      <c r="J12" s="8" t="s">
        <v>123</v>
      </c>
      <c r="K12" s="8" t="s">
        <v>151</v>
      </c>
      <c r="L12" s="8" t="s">
        <v>123</v>
      </c>
      <c r="M12" s="8" t="s">
        <v>151</v>
      </c>
      <c r="N12" s="8" t="s">
        <v>123</v>
      </c>
      <c r="O12" s="8" t="s">
        <v>151</v>
      </c>
      <c r="P12" s="8" t="s">
        <v>123</v>
      </c>
      <c r="Q12" s="8" t="s">
        <v>122</v>
      </c>
      <c r="R12" s="8" t="s">
        <v>121</v>
      </c>
      <c r="S12" s="8" t="s">
        <v>151</v>
      </c>
      <c r="T12" s="8" t="s">
        <v>151</v>
      </c>
      <c r="U12" s="8" t="s">
        <v>151</v>
      </c>
      <c r="V12" s="8" t="s">
        <v>151</v>
      </c>
    </row>
    <row r="13" spans="1:22" ht="193.2" x14ac:dyDescent="0.3">
      <c r="A13" s="13" t="s">
        <v>3</v>
      </c>
      <c r="B13" s="14" t="s">
        <v>56</v>
      </c>
      <c r="C13" s="15" t="s">
        <v>176</v>
      </c>
      <c r="D13" s="15" t="s">
        <v>177</v>
      </c>
      <c r="E13" s="15" t="s">
        <v>176</v>
      </c>
      <c r="F13" s="15" t="s">
        <v>177</v>
      </c>
      <c r="G13" s="15" t="s">
        <v>178</v>
      </c>
      <c r="H13" s="15" t="s">
        <v>179</v>
      </c>
      <c r="I13" s="15" t="s">
        <v>176</v>
      </c>
      <c r="J13" s="15" t="s">
        <v>177</v>
      </c>
      <c r="K13" s="15" t="s">
        <v>176</v>
      </c>
      <c r="L13" s="15" t="s">
        <v>177</v>
      </c>
      <c r="M13" s="15" t="s">
        <v>176</v>
      </c>
      <c r="N13" s="15" t="s">
        <v>180</v>
      </c>
      <c r="O13" s="15" t="s">
        <v>176</v>
      </c>
      <c r="P13" s="15" t="s">
        <v>177</v>
      </c>
      <c r="Q13" s="15" t="s">
        <v>178</v>
      </c>
      <c r="R13" s="15" t="s">
        <v>179</v>
      </c>
      <c r="S13" s="15" t="s">
        <v>176</v>
      </c>
      <c r="T13" s="15" t="s">
        <v>176</v>
      </c>
      <c r="U13" s="15" t="s">
        <v>176</v>
      </c>
      <c r="V13" s="15" t="s">
        <v>176</v>
      </c>
    </row>
    <row r="14" spans="1:22" ht="193.2" x14ac:dyDescent="0.3">
      <c r="A14" s="16" t="s">
        <v>3</v>
      </c>
      <c r="B14" s="17" t="s">
        <v>57</v>
      </c>
      <c r="C14" s="18" t="s">
        <v>158</v>
      </c>
      <c r="D14" s="18" t="s">
        <v>159</v>
      </c>
      <c r="E14" s="18" t="s">
        <v>158</v>
      </c>
      <c r="F14" s="18" t="s">
        <v>159</v>
      </c>
      <c r="G14" s="18" t="s">
        <v>160</v>
      </c>
      <c r="H14" s="18" t="s">
        <v>161</v>
      </c>
      <c r="I14" s="18" t="s">
        <v>158</v>
      </c>
      <c r="J14" s="18" t="s">
        <v>159</v>
      </c>
      <c r="K14" s="18" t="s">
        <v>158</v>
      </c>
      <c r="L14" s="18" t="s">
        <v>159</v>
      </c>
      <c r="M14" s="18" t="s">
        <v>158</v>
      </c>
      <c r="N14" s="18" t="s">
        <v>159</v>
      </c>
      <c r="O14" s="18" t="s">
        <v>158</v>
      </c>
      <c r="P14" s="18" t="s">
        <v>159</v>
      </c>
      <c r="Q14" s="18" t="s">
        <v>160</v>
      </c>
      <c r="R14" s="18" t="s">
        <v>161</v>
      </c>
      <c r="S14" s="18" t="s">
        <v>158</v>
      </c>
      <c r="T14" s="18" t="s">
        <v>158</v>
      </c>
      <c r="U14" s="18" t="s">
        <v>158</v>
      </c>
      <c r="V14" s="18" t="s">
        <v>158</v>
      </c>
    </row>
    <row r="15" spans="1:22" ht="138" x14ac:dyDescent="0.3">
      <c r="A15" s="19" t="s">
        <v>3</v>
      </c>
      <c r="B15" s="20" t="s">
        <v>58</v>
      </c>
      <c r="C15" s="21" t="s">
        <v>181</v>
      </c>
      <c r="D15" s="21" t="s">
        <v>182</v>
      </c>
      <c r="E15" s="21" t="s">
        <v>181</v>
      </c>
      <c r="F15" s="21" t="s">
        <v>182</v>
      </c>
      <c r="G15" s="21" t="s">
        <v>183</v>
      </c>
      <c r="H15" s="21" t="s">
        <v>184</v>
      </c>
      <c r="I15" s="21" t="s">
        <v>181</v>
      </c>
      <c r="J15" s="21" t="s">
        <v>182</v>
      </c>
      <c r="K15" s="21" t="s">
        <v>181</v>
      </c>
      <c r="L15" s="21" t="s">
        <v>182</v>
      </c>
      <c r="M15" s="21" t="s">
        <v>181</v>
      </c>
      <c r="N15" s="21" t="s">
        <v>182</v>
      </c>
      <c r="O15" s="21" t="s">
        <v>181</v>
      </c>
      <c r="P15" s="21" t="s">
        <v>182</v>
      </c>
      <c r="Q15" s="21" t="s">
        <v>183</v>
      </c>
      <c r="R15" s="21" t="s">
        <v>184</v>
      </c>
      <c r="S15" s="21" t="s">
        <v>181</v>
      </c>
      <c r="T15" s="21" t="s">
        <v>181</v>
      </c>
      <c r="U15" s="21" t="s">
        <v>181</v>
      </c>
      <c r="V15" s="21" t="s">
        <v>181</v>
      </c>
    </row>
    <row r="16" spans="1:22" ht="181.5" customHeight="1" x14ac:dyDescent="0.3">
      <c r="A16" s="7" t="s">
        <v>4</v>
      </c>
      <c r="B16" s="12"/>
      <c r="C16" s="8"/>
      <c r="D16" s="8"/>
      <c r="E16" s="8" t="s">
        <v>146</v>
      </c>
      <c r="F16" s="8" t="s">
        <v>146</v>
      </c>
      <c r="G16" s="8"/>
      <c r="H16" s="8"/>
      <c r="I16" s="8"/>
      <c r="J16" s="8"/>
      <c r="K16" s="8" t="s">
        <v>146</v>
      </c>
      <c r="L16" s="8" t="s">
        <v>146</v>
      </c>
      <c r="M16" s="8"/>
      <c r="N16" s="8"/>
      <c r="O16" s="8" t="s">
        <v>146</v>
      </c>
      <c r="P16" s="8" t="s">
        <v>146</v>
      </c>
      <c r="Q16" s="8"/>
      <c r="R16" s="8"/>
      <c r="S16" s="8"/>
      <c r="T16" s="8"/>
      <c r="U16" s="8"/>
      <c r="V16" s="8"/>
    </row>
    <row r="17" spans="1:22" ht="231.75" customHeight="1" x14ac:dyDescent="0.3">
      <c r="A17" s="13" t="s">
        <v>4</v>
      </c>
      <c r="B17" s="14" t="s">
        <v>56</v>
      </c>
      <c r="C17" s="15"/>
      <c r="D17" s="15"/>
      <c r="E17" s="15" t="s">
        <v>185</v>
      </c>
      <c r="F17" s="15" t="s">
        <v>185</v>
      </c>
      <c r="G17" s="15"/>
      <c r="H17" s="15"/>
      <c r="I17" s="15"/>
      <c r="J17" s="15"/>
      <c r="K17" s="15" t="s">
        <v>185</v>
      </c>
      <c r="L17" s="15" t="s">
        <v>185</v>
      </c>
      <c r="M17" s="15"/>
      <c r="N17" s="15"/>
      <c r="O17" s="15" t="s">
        <v>185</v>
      </c>
      <c r="P17" s="15" t="s">
        <v>185</v>
      </c>
      <c r="Q17" s="15"/>
      <c r="R17" s="15"/>
      <c r="S17" s="15"/>
      <c r="T17" s="15"/>
      <c r="U17" s="15"/>
      <c r="V17" s="15"/>
    </row>
    <row r="18" spans="1:22" ht="248.4" x14ac:dyDescent="0.3">
      <c r="A18" s="16" t="s">
        <v>4</v>
      </c>
      <c r="B18" s="17" t="s">
        <v>57</v>
      </c>
      <c r="C18" s="18"/>
      <c r="D18" s="18"/>
      <c r="E18" s="18" t="s">
        <v>162</v>
      </c>
      <c r="F18" s="18" t="s">
        <v>162</v>
      </c>
      <c r="G18" s="18"/>
      <c r="H18" s="18"/>
      <c r="I18" s="18"/>
      <c r="J18" s="18"/>
      <c r="K18" s="18" t="s">
        <v>162</v>
      </c>
      <c r="L18" s="18" t="s">
        <v>162</v>
      </c>
      <c r="M18" s="18"/>
      <c r="N18" s="18"/>
      <c r="O18" s="18" t="s">
        <v>162</v>
      </c>
      <c r="P18" s="18" t="s">
        <v>162</v>
      </c>
      <c r="Q18" s="18"/>
      <c r="R18" s="18"/>
      <c r="S18" s="18"/>
      <c r="T18" s="18"/>
      <c r="U18" s="18"/>
      <c r="V18" s="18"/>
    </row>
    <row r="19" spans="1:22" ht="179.4" x14ac:dyDescent="0.3">
      <c r="A19" s="19" t="s">
        <v>4</v>
      </c>
      <c r="B19" s="20" t="s">
        <v>58</v>
      </c>
      <c r="C19" s="21"/>
      <c r="D19" s="21"/>
      <c r="E19" s="21" t="s">
        <v>186</v>
      </c>
      <c r="F19" s="21" t="s">
        <v>186</v>
      </c>
      <c r="G19" s="21"/>
      <c r="H19" s="21"/>
      <c r="I19" s="21"/>
      <c r="J19" s="21"/>
      <c r="K19" s="21" t="s">
        <v>186</v>
      </c>
      <c r="L19" s="21" t="s">
        <v>186</v>
      </c>
      <c r="M19" s="21"/>
      <c r="N19" s="21"/>
      <c r="O19" s="21" t="s">
        <v>186</v>
      </c>
      <c r="P19" s="21" t="s">
        <v>186</v>
      </c>
      <c r="Q19" s="21"/>
      <c r="R19" s="21"/>
      <c r="S19" s="21"/>
      <c r="T19" s="21"/>
      <c r="U19" s="21"/>
      <c r="V19" s="21"/>
    </row>
    <row r="20" spans="1:22" ht="124.2" x14ac:dyDescent="0.3">
      <c r="A20" s="7" t="s">
        <v>6</v>
      </c>
      <c r="B20" s="12"/>
      <c r="C20" s="8"/>
      <c r="D20" s="8"/>
      <c r="E20" s="8"/>
      <c r="F20" s="8"/>
      <c r="G20" s="8"/>
      <c r="H20" s="8"/>
      <c r="I20" s="8" t="s">
        <v>152</v>
      </c>
      <c r="J20" s="8" t="s">
        <v>152</v>
      </c>
      <c r="K20" s="8" t="s">
        <v>152</v>
      </c>
      <c r="L20" s="8" t="s">
        <v>152</v>
      </c>
      <c r="M20" s="8" t="s">
        <v>152</v>
      </c>
      <c r="N20" s="8" t="s">
        <v>152</v>
      </c>
      <c r="O20" s="8" t="s">
        <v>152</v>
      </c>
      <c r="P20" s="8" t="s">
        <v>152</v>
      </c>
      <c r="Q20" s="8" t="s">
        <v>152</v>
      </c>
      <c r="R20" s="8" t="s">
        <v>152</v>
      </c>
      <c r="S20" s="8"/>
      <c r="T20" s="8"/>
      <c r="U20" s="8"/>
      <c r="V20" s="8"/>
    </row>
    <row r="21" spans="1:22" ht="179.4" x14ac:dyDescent="0.3">
      <c r="A21" s="13" t="s">
        <v>6</v>
      </c>
      <c r="B21" s="14" t="s">
        <v>56</v>
      </c>
      <c r="C21" s="15"/>
      <c r="D21" s="15"/>
      <c r="E21" s="15"/>
      <c r="F21" s="15"/>
      <c r="G21" s="15"/>
      <c r="H21" s="15"/>
      <c r="I21" s="15" t="s">
        <v>187</v>
      </c>
      <c r="J21" s="15" t="s">
        <v>187</v>
      </c>
      <c r="K21" s="15" t="s">
        <v>187</v>
      </c>
      <c r="L21" s="15" t="s">
        <v>187</v>
      </c>
      <c r="M21" s="15" t="s">
        <v>187</v>
      </c>
      <c r="N21" s="15" t="s">
        <v>187</v>
      </c>
      <c r="O21" s="15" t="s">
        <v>187</v>
      </c>
      <c r="P21" s="15" t="s">
        <v>187</v>
      </c>
      <c r="Q21" s="15" t="s">
        <v>187</v>
      </c>
      <c r="R21" s="15" t="s">
        <v>187</v>
      </c>
      <c r="S21" s="15"/>
      <c r="T21" s="15"/>
      <c r="U21" s="15"/>
      <c r="V21" s="15"/>
    </row>
    <row r="22" spans="1:22" ht="179.4" x14ac:dyDescent="0.3">
      <c r="A22" s="16" t="s">
        <v>6</v>
      </c>
      <c r="B22" s="17" t="s">
        <v>57</v>
      </c>
      <c r="C22" s="18"/>
      <c r="D22" s="18"/>
      <c r="E22" s="18"/>
      <c r="F22" s="18"/>
      <c r="G22" s="18"/>
      <c r="H22" s="18"/>
      <c r="I22" s="18" t="s">
        <v>163</v>
      </c>
      <c r="J22" s="18" t="s">
        <v>163</v>
      </c>
      <c r="K22" s="18" t="s">
        <v>163</v>
      </c>
      <c r="L22" s="18" t="s">
        <v>163</v>
      </c>
      <c r="M22" s="18" t="s">
        <v>163</v>
      </c>
      <c r="N22" s="18" t="s">
        <v>163</v>
      </c>
      <c r="O22" s="18" t="s">
        <v>163</v>
      </c>
      <c r="P22" s="18" t="s">
        <v>163</v>
      </c>
      <c r="Q22" s="18" t="s">
        <v>163</v>
      </c>
      <c r="R22" s="18" t="s">
        <v>163</v>
      </c>
      <c r="S22" s="18"/>
      <c r="T22" s="18"/>
      <c r="U22" s="18"/>
      <c r="V22" s="18"/>
    </row>
    <row r="23" spans="1:22" ht="124.2" x14ac:dyDescent="0.3">
      <c r="A23" s="19" t="s">
        <v>6</v>
      </c>
      <c r="B23" s="20" t="s">
        <v>58</v>
      </c>
      <c r="C23" s="21"/>
      <c r="D23" s="21"/>
      <c r="E23" s="21"/>
      <c r="F23" s="21"/>
      <c r="G23" s="21"/>
      <c r="H23" s="21"/>
      <c r="I23" s="21" t="s">
        <v>188</v>
      </c>
      <c r="J23" s="21" t="s">
        <v>188</v>
      </c>
      <c r="K23" s="21" t="s">
        <v>188</v>
      </c>
      <c r="L23" s="21" t="s">
        <v>188</v>
      </c>
      <c r="M23" s="21" t="s">
        <v>188</v>
      </c>
      <c r="N23" s="21" t="s">
        <v>188</v>
      </c>
      <c r="O23" s="21" t="s">
        <v>188</v>
      </c>
      <c r="P23" s="21" t="s">
        <v>188</v>
      </c>
      <c r="Q23" s="21" t="s">
        <v>188</v>
      </c>
      <c r="R23" s="21" t="s">
        <v>188</v>
      </c>
      <c r="S23" s="21"/>
      <c r="T23" s="21"/>
      <c r="U23" s="21"/>
      <c r="V23" s="21"/>
    </row>
    <row r="24" spans="1:22" ht="124.2" x14ac:dyDescent="0.3">
      <c r="A24" s="7" t="s">
        <v>7</v>
      </c>
      <c r="B24" s="12"/>
      <c r="C24" s="8"/>
      <c r="D24" s="8"/>
      <c r="E24" s="8"/>
      <c r="F24" s="8"/>
      <c r="G24" s="8"/>
      <c r="H24" s="8"/>
      <c r="I24" s="8"/>
      <c r="J24" s="8"/>
      <c r="K24" s="8"/>
      <c r="L24" s="8"/>
      <c r="M24" s="8" t="s">
        <v>153</v>
      </c>
      <c r="N24" s="8" t="s">
        <v>153</v>
      </c>
      <c r="O24" s="8" t="s">
        <v>153</v>
      </c>
      <c r="P24" s="8" t="s">
        <v>153</v>
      </c>
      <c r="Q24" s="8"/>
      <c r="R24" s="8"/>
      <c r="S24" s="8"/>
      <c r="T24" s="8"/>
      <c r="U24" s="8"/>
      <c r="V24" s="8"/>
    </row>
    <row r="25" spans="1:22" ht="179.4" x14ac:dyDescent="0.3">
      <c r="A25" s="13" t="s">
        <v>7</v>
      </c>
      <c r="B25" s="14" t="s">
        <v>56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 t="s">
        <v>189</v>
      </c>
      <c r="N25" s="15" t="s">
        <v>189</v>
      </c>
      <c r="O25" s="15" t="s">
        <v>189</v>
      </c>
      <c r="P25" s="15" t="s">
        <v>189</v>
      </c>
      <c r="Q25" s="15"/>
      <c r="R25" s="15"/>
      <c r="S25" s="15"/>
      <c r="T25" s="15"/>
      <c r="U25" s="15"/>
      <c r="V25" s="15"/>
    </row>
    <row r="26" spans="1:22" ht="179.4" x14ac:dyDescent="0.3">
      <c r="A26" s="16" t="s">
        <v>7</v>
      </c>
      <c r="B26" s="17" t="s">
        <v>57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 t="s">
        <v>164</v>
      </c>
      <c r="N26" s="18" t="s">
        <v>164</v>
      </c>
      <c r="O26" s="18" t="s">
        <v>164</v>
      </c>
      <c r="P26" s="18" t="s">
        <v>164</v>
      </c>
      <c r="Q26" s="18"/>
      <c r="R26" s="18"/>
      <c r="S26" s="18"/>
      <c r="T26" s="18"/>
      <c r="U26" s="18"/>
      <c r="V26" s="18"/>
    </row>
    <row r="27" spans="1:22" ht="124.2" x14ac:dyDescent="0.3">
      <c r="A27" s="19" t="s">
        <v>7</v>
      </c>
      <c r="B27" s="20" t="s">
        <v>58</v>
      </c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 t="s">
        <v>190</v>
      </c>
      <c r="N27" s="21" t="s">
        <v>190</v>
      </c>
      <c r="O27" s="21" t="s">
        <v>190</v>
      </c>
      <c r="P27" s="21" t="s">
        <v>190</v>
      </c>
      <c r="Q27" s="21"/>
      <c r="R27" s="21"/>
      <c r="S27" s="21"/>
      <c r="T27" s="21"/>
      <c r="U27" s="21"/>
      <c r="V27" s="21"/>
    </row>
    <row r="28" spans="1:22" ht="220.8" x14ac:dyDescent="0.3">
      <c r="A28" s="7" t="s">
        <v>5</v>
      </c>
      <c r="B28" s="12"/>
      <c r="C28" s="8"/>
      <c r="D28" s="8"/>
      <c r="E28" s="8"/>
      <c r="F28" s="8"/>
      <c r="G28" s="8"/>
      <c r="H28" s="8"/>
      <c r="I28" s="8" t="s">
        <v>154</v>
      </c>
      <c r="J28" s="8" t="s">
        <v>142</v>
      </c>
      <c r="K28" s="8" t="s">
        <v>154</v>
      </c>
      <c r="L28" s="8" t="s">
        <v>142</v>
      </c>
      <c r="M28" s="8" t="s">
        <v>143</v>
      </c>
      <c r="N28" s="8" t="s">
        <v>145</v>
      </c>
      <c r="O28" s="8" t="s">
        <v>143</v>
      </c>
      <c r="P28" s="8" t="s">
        <v>145</v>
      </c>
      <c r="Q28" s="8" t="s">
        <v>154</v>
      </c>
      <c r="R28" s="8" t="s">
        <v>142</v>
      </c>
      <c r="S28" s="8"/>
      <c r="T28" s="8"/>
      <c r="U28" s="8"/>
      <c r="V28" s="8"/>
    </row>
    <row r="29" spans="1:22" ht="276" x14ac:dyDescent="0.3">
      <c r="A29" s="13" t="s">
        <v>5</v>
      </c>
      <c r="B29" s="14" t="s">
        <v>56</v>
      </c>
      <c r="C29" s="15"/>
      <c r="D29" s="15"/>
      <c r="E29" s="15"/>
      <c r="F29" s="15"/>
      <c r="G29" s="15"/>
      <c r="H29" s="15"/>
      <c r="I29" s="15" t="s">
        <v>191</v>
      </c>
      <c r="J29" s="15" t="s">
        <v>192</v>
      </c>
      <c r="K29" s="15" t="s">
        <v>191</v>
      </c>
      <c r="L29" s="15" t="s">
        <v>192</v>
      </c>
      <c r="M29" s="15" t="s">
        <v>193</v>
      </c>
      <c r="N29" s="15" t="s">
        <v>194</v>
      </c>
      <c r="O29" s="15" t="s">
        <v>193</v>
      </c>
      <c r="P29" s="15" t="s">
        <v>194</v>
      </c>
      <c r="Q29" s="15" t="s">
        <v>191</v>
      </c>
      <c r="R29" s="15" t="s">
        <v>192</v>
      </c>
      <c r="S29" s="15"/>
      <c r="T29" s="15"/>
      <c r="U29" s="15"/>
      <c r="V29" s="15"/>
    </row>
    <row r="30" spans="1:22" ht="276" x14ac:dyDescent="0.3">
      <c r="A30" s="16" t="s">
        <v>5</v>
      </c>
      <c r="B30" s="17" t="s">
        <v>57</v>
      </c>
      <c r="C30" s="18"/>
      <c r="D30" s="18"/>
      <c r="E30" s="18"/>
      <c r="F30" s="18"/>
      <c r="G30" s="18"/>
      <c r="H30" s="18"/>
      <c r="I30" s="18" t="s">
        <v>165</v>
      </c>
      <c r="J30" s="18" t="s">
        <v>166</v>
      </c>
      <c r="K30" s="18" t="s">
        <v>165</v>
      </c>
      <c r="L30" s="18" t="s">
        <v>166</v>
      </c>
      <c r="M30" s="18" t="s">
        <v>167</v>
      </c>
      <c r="N30" s="18" t="s">
        <v>168</v>
      </c>
      <c r="O30" s="18" t="s">
        <v>167</v>
      </c>
      <c r="P30" s="18" t="s">
        <v>168</v>
      </c>
      <c r="Q30" s="18" t="s">
        <v>165</v>
      </c>
      <c r="R30" s="18" t="s">
        <v>166</v>
      </c>
      <c r="S30" s="18"/>
      <c r="T30" s="18"/>
      <c r="U30" s="18"/>
      <c r="V30" s="18"/>
    </row>
    <row r="31" spans="1:22" ht="220.8" x14ac:dyDescent="0.3">
      <c r="A31" s="19" t="s">
        <v>5</v>
      </c>
      <c r="B31" s="20" t="s">
        <v>58</v>
      </c>
      <c r="C31" s="21"/>
      <c r="D31" s="21"/>
      <c r="E31" s="21"/>
      <c r="F31" s="21"/>
      <c r="G31" s="21"/>
      <c r="H31" s="21"/>
      <c r="I31" s="21" t="s">
        <v>195</v>
      </c>
      <c r="J31" s="21" t="s">
        <v>196</v>
      </c>
      <c r="K31" s="21" t="s">
        <v>195</v>
      </c>
      <c r="L31" s="21" t="s">
        <v>196</v>
      </c>
      <c r="M31" s="21" t="s">
        <v>197</v>
      </c>
      <c r="N31" s="21" t="s">
        <v>198</v>
      </c>
      <c r="O31" s="21" t="s">
        <v>197</v>
      </c>
      <c r="P31" s="21" t="s">
        <v>198</v>
      </c>
      <c r="Q31" s="21" t="s">
        <v>195</v>
      </c>
      <c r="R31" s="21" t="s">
        <v>196</v>
      </c>
      <c r="S31" s="21"/>
      <c r="T31" s="21"/>
      <c r="U31" s="21"/>
      <c r="V31" s="21"/>
    </row>
    <row r="32" spans="1:22" ht="151.80000000000001" x14ac:dyDescent="0.3">
      <c r="A32" s="7" t="s">
        <v>8</v>
      </c>
      <c r="B32" s="12"/>
      <c r="C32" s="8"/>
      <c r="D32" s="8"/>
      <c r="E32" s="8"/>
      <c r="F32" s="8"/>
      <c r="G32" s="8"/>
      <c r="H32" s="8"/>
      <c r="I32" s="8"/>
      <c r="J32" s="8"/>
      <c r="K32" s="8"/>
      <c r="L32" s="8"/>
      <c r="M32" s="8" t="s">
        <v>144</v>
      </c>
      <c r="N32" s="8" t="s">
        <v>144</v>
      </c>
      <c r="O32" s="8" t="s">
        <v>144</v>
      </c>
      <c r="P32" s="8" t="s">
        <v>144</v>
      </c>
      <c r="Q32" s="8"/>
      <c r="R32" s="8"/>
      <c r="S32" s="8"/>
      <c r="T32" s="8"/>
      <c r="U32" s="8"/>
      <c r="V32" s="8"/>
    </row>
    <row r="33" spans="1:22" ht="207" x14ac:dyDescent="0.3">
      <c r="A33" s="13" t="s">
        <v>8</v>
      </c>
      <c r="B33" s="14" t="s">
        <v>56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 t="s">
        <v>199</v>
      </c>
      <c r="N33" s="15" t="s">
        <v>199</v>
      </c>
      <c r="O33" s="15" t="s">
        <v>199</v>
      </c>
      <c r="P33" s="15" t="s">
        <v>199</v>
      </c>
      <c r="Q33" s="15"/>
      <c r="R33" s="15"/>
      <c r="S33" s="15"/>
      <c r="T33" s="15"/>
      <c r="U33" s="15"/>
      <c r="V33" s="15"/>
    </row>
    <row r="34" spans="1:22" ht="207" x14ac:dyDescent="0.3">
      <c r="A34" s="16" t="s">
        <v>8</v>
      </c>
      <c r="B34" s="17" t="s">
        <v>57</v>
      </c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 t="s">
        <v>169</v>
      </c>
      <c r="N34" s="18" t="s">
        <v>169</v>
      </c>
      <c r="O34" s="18" t="s">
        <v>169</v>
      </c>
      <c r="P34" s="18" t="s">
        <v>169</v>
      </c>
      <c r="Q34" s="18"/>
      <c r="R34" s="18"/>
      <c r="S34" s="18"/>
      <c r="T34" s="18"/>
      <c r="U34" s="18"/>
      <c r="V34" s="18"/>
    </row>
    <row r="35" spans="1:22" ht="151.80000000000001" x14ac:dyDescent="0.3">
      <c r="A35" s="19" t="s">
        <v>8</v>
      </c>
      <c r="B35" s="20" t="s">
        <v>58</v>
      </c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 t="s">
        <v>200</v>
      </c>
      <c r="N35" s="21" t="s">
        <v>200</v>
      </c>
      <c r="O35" s="21" t="s">
        <v>200</v>
      </c>
      <c r="P35" s="21" t="s">
        <v>200</v>
      </c>
      <c r="Q35" s="21"/>
      <c r="R35" s="21"/>
      <c r="S35" s="21"/>
      <c r="T35" s="21"/>
      <c r="U35" s="21"/>
      <c r="V35" s="21"/>
    </row>
    <row r="37" spans="1:22" ht="69" x14ac:dyDescent="0.3">
      <c r="A37" s="7" t="s">
        <v>111</v>
      </c>
      <c r="B37" s="12"/>
      <c r="C37" s="8"/>
      <c r="D37" s="8"/>
      <c r="E37" s="8"/>
      <c r="F37" s="8"/>
      <c r="G37" s="8"/>
      <c r="H37" s="8"/>
      <c r="I37" s="8" t="s">
        <v>112</v>
      </c>
      <c r="J37" s="8" t="s">
        <v>112</v>
      </c>
      <c r="K37" s="8" t="s">
        <v>112</v>
      </c>
      <c r="L37" s="8" t="s">
        <v>112</v>
      </c>
      <c r="M37" s="8" t="s">
        <v>112</v>
      </c>
      <c r="N37" s="8" t="s">
        <v>112</v>
      </c>
      <c r="O37" s="8" t="s">
        <v>112</v>
      </c>
      <c r="P37" s="8" t="s">
        <v>112</v>
      </c>
      <c r="Q37" s="8" t="s">
        <v>112</v>
      </c>
      <c r="R37" s="8" t="s">
        <v>112</v>
      </c>
      <c r="S37" s="8"/>
      <c r="T37" s="8"/>
      <c r="U37" s="8"/>
      <c r="V37" s="8"/>
    </row>
    <row r="39" spans="1:22" ht="14.4" x14ac:dyDescent="0.3">
      <c r="A39" s="33" t="s">
        <v>89</v>
      </c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</row>
    <row r="40" spans="1:22" ht="14.4" x14ac:dyDescent="0.3">
      <c r="A40" s="34" t="s">
        <v>2</v>
      </c>
      <c r="B40" s="35"/>
      <c r="C40" s="34" t="s">
        <v>90</v>
      </c>
      <c r="D40" s="34" t="s">
        <v>90</v>
      </c>
      <c r="E40" s="34" t="s">
        <v>114</v>
      </c>
      <c r="F40" s="34" t="s">
        <v>114</v>
      </c>
      <c r="G40" s="34" t="s">
        <v>90</v>
      </c>
      <c r="H40" s="34" t="s">
        <v>90</v>
      </c>
      <c r="I40" s="34" t="s">
        <v>90</v>
      </c>
      <c r="J40" s="34" t="s">
        <v>90</v>
      </c>
      <c r="K40" s="34" t="s">
        <v>114</v>
      </c>
      <c r="L40" s="34" t="s">
        <v>114</v>
      </c>
      <c r="M40" s="34" t="s">
        <v>90</v>
      </c>
      <c r="N40" s="34" t="s">
        <v>90</v>
      </c>
      <c r="O40" s="34" t="s">
        <v>114</v>
      </c>
      <c r="P40" s="34" t="s">
        <v>114</v>
      </c>
      <c r="Q40" s="34" t="s">
        <v>90</v>
      </c>
      <c r="R40" s="34" t="s">
        <v>90</v>
      </c>
      <c r="S40" s="34"/>
      <c r="T40" s="34"/>
      <c r="U40" s="34"/>
      <c r="V40" s="34"/>
    </row>
    <row r="41" spans="1:22" ht="14.4" x14ac:dyDescent="0.3">
      <c r="A41" s="34" t="s">
        <v>9</v>
      </c>
      <c r="B41" s="35"/>
      <c r="C41" s="34"/>
      <c r="D41" s="34"/>
      <c r="E41" s="34"/>
      <c r="F41" s="34"/>
      <c r="G41" s="34" t="s">
        <v>91</v>
      </c>
      <c r="H41" s="34" t="s">
        <v>91</v>
      </c>
      <c r="I41" s="34"/>
      <c r="J41" s="34"/>
      <c r="K41" s="34"/>
      <c r="L41" s="34"/>
      <c r="M41" s="34"/>
      <c r="N41" s="34"/>
      <c r="O41" s="34"/>
      <c r="P41" s="34"/>
      <c r="Q41" s="34" t="s">
        <v>91</v>
      </c>
      <c r="R41" s="34" t="s">
        <v>91</v>
      </c>
      <c r="S41" s="34"/>
      <c r="T41" s="34"/>
      <c r="U41" s="34" t="s">
        <v>91</v>
      </c>
      <c r="V41" s="34" t="s">
        <v>91</v>
      </c>
    </row>
    <row r="42" spans="1:22" ht="14.4" x14ac:dyDescent="0.3">
      <c r="A42" s="34" t="s">
        <v>3</v>
      </c>
      <c r="B42" s="35"/>
      <c r="C42" s="34" t="s">
        <v>97</v>
      </c>
      <c r="D42" s="34" t="s">
        <v>98</v>
      </c>
      <c r="E42" s="34" t="s">
        <v>97</v>
      </c>
      <c r="F42" s="34" t="s">
        <v>98</v>
      </c>
      <c r="G42" s="34" t="s">
        <v>99</v>
      </c>
      <c r="H42" s="34" t="s">
        <v>92</v>
      </c>
      <c r="I42" s="34" t="s">
        <v>97</v>
      </c>
      <c r="J42" s="34" t="s">
        <v>98</v>
      </c>
      <c r="K42" s="34" t="s">
        <v>97</v>
      </c>
      <c r="L42" s="34" t="s">
        <v>98</v>
      </c>
      <c r="M42" s="34" t="s">
        <v>97</v>
      </c>
      <c r="N42" s="34" t="s">
        <v>98</v>
      </c>
      <c r="O42" s="34" t="s">
        <v>97</v>
      </c>
      <c r="P42" s="34" t="s">
        <v>98</v>
      </c>
      <c r="Q42" s="34" t="s">
        <v>99</v>
      </c>
      <c r="R42" s="34" t="s">
        <v>92</v>
      </c>
      <c r="S42" s="34" t="s">
        <v>101</v>
      </c>
      <c r="T42" s="34" t="s">
        <v>100</v>
      </c>
      <c r="U42" s="34" t="s">
        <v>102</v>
      </c>
      <c r="V42" s="34" t="s">
        <v>103</v>
      </c>
    </row>
    <row r="43" spans="1:22" ht="14.4" x14ac:dyDescent="0.3">
      <c r="A43" s="34" t="s">
        <v>4</v>
      </c>
      <c r="B43" s="35"/>
      <c r="C43" s="34"/>
      <c r="D43" s="34"/>
      <c r="E43" s="34" t="s">
        <v>120</v>
      </c>
      <c r="F43" s="34" t="s">
        <v>120</v>
      </c>
      <c r="G43" s="34"/>
      <c r="H43" s="34"/>
      <c r="I43" s="34"/>
      <c r="J43" s="34"/>
      <c r="K43" s="34" t="s">
        <v>120</v>
      </c>
      <c r="L43" s="34" t="s">
        <v>120</v>
      </c>
      <c r="M43" s="34"/>
      <c r="N43" s="34"/>
      <c r="O43" s="34" t="s">
        <v>120</v>
      </c>
      <c r="P43" s="34" t="s">
        <v>120</v>
      </c>
      <c r="Q43" s="34"/>
      <c r="R43" s="34"/>
      <c r="S43" s="34"/>
      <c r="T43" s="34"/>
      <c r="U43" s="34"/>
      <c r="V43" s="34"/>
    </row>
    <row r="44" spans="1:22" ht="14.4" x14ac:dyDescent="0.3">
      <c r="A44" s="34" t="s">
        <v>6</v>
      </c>
      <c r="B44" s="35"/>
      <c r="C44" s="34"/>
      <c r="D44" s="34"/>
      <c r="E44" s="34"/>
      <c r="F44" s="34"/>
      <c r="G44" s="34"/>
      <c r="H44" s="34"/>
      <c r="I44" s="34" t="s">
        <v>93</v>
      </c>
      <c r="J44" s="34" t="s">
        <v>93</v>
      </c>
      <c r="K44" s="34" t="s">
        <v>93</v>
      </c>
      <c r="L44" s="34" t="s">
        <v>93</v>
      </c>
      <c r="M44" s="34" t="s">
        <v>93</v>
      </c>
      <c r="N44" s="34" t="s">
        <v>93</v>
      </c>
      <c r="O44" s="34" t="s">
        <v>93</v>
      </c>
      <c r="P44" s="34" t="s">
        <v>93</v>
      </c>
      <c r="Q44" s="34" t="s">
        <v>93</v>
      </c>
      <c r="R44" s="34" t="s">
        <v>93</v>
      </c>
      <c r="S44" s="34"/>
      <c r="T44" s="34"/>
      <c r="U44" s="34"/>
      <c r="V44" s="34"/>
    </row>
    <row r="45" spans="1:22" ht="14.4" x14ac:dyDescent="0.3">
      <c r="A45" s="34" t="s">
        <v>7</v>
      </c>
      <c r="B45" s="35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 t="s">
        <v>94</v>
      </c>
      <c r="N45" s="34" t="s">
        <v>94</v>
      </c>
      <c r="O45" s="34" t="s">
        <v>94</v>
      </c>
      <c r="P45" s="34" t="s">
        <v>94</v>
      </c>
      <c r="Q45" s="34"/>
      <c r="R45" s="34"/>
      <c r="S45" s="34"/>
      <c r="T45" s="34"/>
      <c r="U45" s="34"/>
      <c r="V45" s="34"/>
    </row>
    <row r="46" spans="1:22" ht="14.4" x14ac:dyDescent="0.3">
      <c r="A46" s="34" t="s">
        <v>5</v>
      </c>
      <c r="B46" s="35"/>
      <c r="C46" s="34"/>
      <c r="D46" s="34"/>
      <c r="E46" s="34"/>
      <c r="F46" s="34"/>
      <c r="G46" s="34"/>
      <c r="H46" s="34"/>
      <c r="I46" s="34" t="s">
        <v>104</v>
      </c>
      <c r="J46" s="34" t="s">
        <v>95</v>
      </c>
      <c r="K46" s="34" t="s">
        <v>104</v>
      </c>
      <c r="L46" s="34" t="s">
        <v>95</v>
      </c>
      <c r="M46" s="34" t="s">
        <v>105</v>
      </c>
      <c r="N46" s="34" t="s">
        <v>106</v>
      </c>
      <c r="O46" s="34" t="s">
        <v>105</v>
      </c>
      <c r="P46" s="34" t="s">
        <v>106</v>
      </c>
      <c r="Q46" s="34" t="s">
        <v>104</v>
      </c>
      <c r="R46" s="34" t="s">
        <v>95</v>
      </c>
      <c r="S46" s="34"/>
      <c r="T46" s="34"/>
      <c r="U46" s="34"/>
      <c r="V46" s="34"/>
    </row>
    <row r="47" spans="1:22" ht="14.4" x14ac:dyDescent="0.3">
      <c r="A47" s="34" t="s">
        <v>8</v>
      </c>
      <c r="B47" s="35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 t="s">
        <v>96</v>
      </c>
      <c r="N47" s="34" t="s">
        <v>96</v>
      </c>
      <c r="O47" s="34" t="s">
        <v>96</v>
      </c>
      <c r="P47" s="34" t="s">
        <v>96</v>
      </c>
      <c r="Q47" s="34"/>
      <c r="R47" s="34"/>
      <c r="S47" s="34"/>
      <c r="T47" s="34"/>
      <c r="U47" s="34"/>
      <c r="V47" s="34"/>
    </row>
    <row r="51" spans="1:22" x14ac:dyDescent="0.3">
      <c r="A51" s="10" t="s">
        <v>81</v>
      </c>
      <c r="B51" s="10"/>
      <c r="C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'N', 'N', 'N', 'Y', 'Y', '" &amp; RANGE_FLAG &amp; "');"</f>
        <v>#NAME?</v>
      </c>
      <c r="D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'N', 'N', 'N', 'N', 'Y', '" &amp; RANGE_FLAG &amp; "');"</f>
        <v>#NAME?</v>
      </c>
      <c r="E51" s="31" t="e">
        <f>"insert into %SCHEMA%DICT (DICT_CODE, NM, START_DT, END_DT, DESCR, HIER_FLAG, MSCN_FLAG, HSCN_FLAG, XREF_FLAG, HIST_FLAG, RANGE_FLAG) values ('" &amp; _DICT_CODE &amp; "', '" &amp; _DICT_NM &amp; "', " &amp; DEF_MIN_DT &amp; ", " &amp; DEF_MAX_DT &amp; ", '" &amp; _DICT_DESCR &amp; "', 'N', 'N', 'N', 'Y', 'N', '" &amp; RANGE_FLAG &amp; "');"</f>
        <v>#NAME?</v>
      </c>
      <c r="F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'N', 'N', 'N', 'Y', 'Y', '" &amp; RANGE_FLAG &amp; "');"</f>
        <v>#NAME?</v>
      </c>
      <c r="G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'N', 'Y', 'N', 'N', 'N', '" &amp; RANGE_FLAG &amp; "');"</f>
        <v>#NAME?</v>
      </c>
      <c r="H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'N', 'Y', 'N', 'N', 'Y', '" &amp; RANGE_FLAG &amp; "');"</f>
        <v>#NAME?</v>
      </c>
      <c r="I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'N', 'N', 'N', 'N', '" &amp; RANGE_FLAG &amp; "');"</f>
        <v>#NAME?</v>
      </c>
      <c r="J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'N', 'N', 'N', 'Y', '" &amp; RANGE_FLAG &amp; "');"</f>
        <v>#NAME?</v>
      </c>
      <c r="K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'N', 'N', 'Y', 'N', '" &amp; RANGE_FLAG &amp; "');"</f>
        <v>#NAME?</v>
      </c>
      <c r="L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'N', 'N', 'Y', 'Y', '" &amp; RANGE_FLAG &amp; "');"</f>
        <v>#NAME?</v>
      </c>
      <c r="M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'N', 'Y', 'N', 'N', '" &amp; RANGE_FLAG &amp; "');"</f>
        <v>#NAME?</v>
      </c>
      <c r="N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'N', 'Y', 'N', 'Y', '" &amp; RANGE_FLAG &amp; "');"</f>
        <v>#NAME?</v>
      </c>
      <c r="O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'N', 'Y', 'Y', 'N', '" &amp; RANGE_FLAG &amp; "');"</f>
        <v>#NAME?</v>
      </c>
      <c r="P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'N', 'Y', 'Y', 'Y', '" &amp; RANGE_FLAG &amp; "');"</f>
        <v>#NAME?</v>
      </c>
      <c r="Q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'Y', 'N', 'N', 'N', '" &amp; RANGE_FLAG &amp; "');"</f>
        <v>#NAME?</v>
      </c>
      <c r="R51" s="31" t="e">
        <f>"insert into %SCHEMA%DICT (DICT_CODE, NM, START_DT, END_DT, DESCR, HIER_FLAG, MSCN_FLAG, HSCN_FLAG, XREF_FLAG, HIST_FLAG, RANGE_FLAG) values ('" &amp; _DICT_CODE &amp; "', '" &amp; DICT_NM &amp; "', " &amp; DEF_MIN_DT &amp; ", " &amp; DEF_MAX_DT &amp; ", '" &amp; DICT_DESCR &amp; "', 'Y', 'Y', 'N', 'N', 'Y', '" &amp; RANGE_FLAG &amp; "');"</f>
        <v>#NAME?</v>
      </c>
      <c r="S51" s="31"/>
      <c r="T51" s="31"/>
      <c r="U51" s="31"/>
      <c r="V51" s="31"/>
    </row>
    <row r="53" spans="1:22" ht="69" x14ac:dyDescent="0.3">
      <c r="A53" s="10" t="s">
        <v>59</v>
      </c>
      <c r="B53" s="31" t="s">
        <v>53</v>
      </c>
      <c r="C53" s="31"/>
      <c r="D53" s="31"/>
      <c r="E53" s="31"/>
      <c r="F53" s="31"/>
      <c r="G53" s="31" t="s">
        <v>82</v>
      </c>
      <c r="H53" s="31" t="s">
        <v>82</v>
      </c>
      <c r="I53" s="31"/>
      <c r="J53" s="31"/>
      <c r="K53" s="31"/>
      <c r="L53" s="31"/>
      <c r="M53" s="31"/>
      <c r="N53" s="31"/>
      <c r="O53" s="31"/>
      <c r="P53" s="31"/>
      <c r="Q53" s="31" t="s">
        <v>82</v>
      </c>
      <c r="R53" s="31" t="s">
        <v>82</v>
      </c>
      <c r="S53" s="31"/>
      <c r="T53" s="31"/>
      <c r="U53" s="31"/>
      <c r="V53" s="31"/>
    </row>
    <row r="54" spans="1:22" ht="69" x14ac:dyDescent="0.3">
      <c r="B54" s="31" t="s">
        <v>2</v>
      </c>
      <c r="C54" s="31" t="s">
        <v>83</v>
      </c>
      <c r="D54" s="31" t="s">
        <v>124</v>
      </c>
      <c r="E54" s="31" t="s">
        <v>124</v>
      </c>
      <c r="F54" s="31" t="s">
        <v>124</v>
      </c>
      <c r="G54" s="31" t="s">
        <v>83</v>
      </c>
      <c r="H54" s="31" t="s">
        <v>83</v>
      </c>
      <c r="I54" s="31" t="s">
        <v>124</v>
      </c>
      <c r="J54" s="31" t="s">
        <v>83</v>
      </c>
      <c r="K54" s="31" t="s">
        <v>83</v>
      </c>
      <c r="L54" s="31" t="s">
        <v>83</v>
      </c>
      <c r="M54" s="31" t="s">
        <v>83</v>
      </c>
      <c r="N54" s="31" t="s">
        <v>83</v>
      </c>
      <c r="O54" s="31" t="s">
        <v>83</v>
      </c>
      <c r="P54" s="31" t="s">
        <v>83</v>
      </c>
      <c r="Q54" s="31" t="s">
        <v>83</v>
      </c>
      <c r="R54" s="31" t="s">
        <v>83</v>
      </c>
      <c r="S54" s="31"/>
      <c r="T54" s="31"/>
      <c r="U54" s="31"/>
      <c r="V54" s="31"/>
    </row>
    <row r="55" spans="1:22" ht="69" x14ac:dyDescent="0.3">
      <c r="B55" s="31" t="s">
        <v>49</v>
      </c>
      <c r="C55" s="31" t="s">
        <v>84</v>
      </c>
      <c r="D55" s="31" t="s">
        <v>84</v>
      </c>
      <c r="E55" s="31" t="s">
        <v>84</v>
      </c>
      <c r="F55" s="31" t="s">
        <v>84</v>
      </c>
      <c r="G55" s="31" t="s">
        <v>84</v>
      </c>
      <c r="H55" s="31" t="s">
        <v>84</v>
      </c>
      <c r="I55" s="31" t="s">
        <v>84</v>
      </c>
      <c r="J55" s="31" t="s">
        <v>84</v>
      </c>
      <c r="K55" s="31" t="s">
        <v>84</v>
      </c>
      <c r="L55" s="31" t="s">
        <v>84</v>
      </c>
      <c r="M55" s="31" t="s">
        <v>84</v>
      </c>
      <c r="N55" s="31" t="s">
        <v>84</v>
      </c>
      <c r="O55" s="31" t="s">
        <v>84</v>
      </c>
      <c r="P55" s="31" t="s">
        <v>84</v>
      </c>
      <c r="Q55" s="31" t="s">
        <v>85</v>
      </c>
      <c r="R55" s="31" t="s">
        <v>85</v>
      </c>
      <c r="S55" s="31" t="s">
        <v>84</v>
      </c>
      <c r="T55" s="31" t="s">
        <v>84</v>
      </c>
      <c r="U55" s="31" t="s">
        <v>84</v>
      </c>
      <c r="V55" s="31" t="s">
        <v>84</v>
      </c>
    </row>
    <row r="56" spans="1:22" ht="69" x14ac:dyDescent="0.3">
      <c r="B56" s="31" t="s">
        <v>50</v>
      </c>
      <c r="C56" s="31" t="s">
        <v>86</v>
      </c>
      <c r="D56" s="31" t="s">
        <v>86</v>
      </c>
      <c r="E56" s="31" t="s">
        <v>86</v>
      </c>
      <c r="F56" s="31" t="s">
        <v>86</v>
      </c>
      <c r="G56" s="31" t="s">
        <v>86</v>
      </c>
      <c r="H56" s="31" t="s">
        <v>86</v>
      </c>
      <c r="I56" s="31" t="s">
        <v>86</v>
      </c>
      <c r="J56" s="31" t="s">
        <v>86</v>
      </c>
      <c r="K56" s="31" t="s">
        <v>86</v>
      </c>
      <c r="L56" s="31" t="s">
        <v>86</v>
      </c>
      <c r="M56" s="31" t="s">
        <v>86</v>
      </c>
      <c r="N56" s="31" t="s">
        <v>86</v>
      </c>
      <c r="O56" s="31" t="s">
        <v>86</v>
      </c>
      <c r="P56" s="31" t="s">
        <v>86</v>
      </c>
      <c r="Q56" s="31" t="s">
        <v>86</v>
      </c>
      <c r="R56" s="31" t="s">
        <v>86</v>
      </c>
      <c r="S56" s="31" t="s">
        <v>86</v>
      </c>
      <c r="T56" s="31" t="s">
        <v>86</v>
      </c>
      <c r="U56" s="31" t="s">
        <v>86</v>
      </c>
      <c r="V56" s="31" t="s">
        <v>86</v>
      </c>
    </row>
    <row r="57" spans="1:22" ht="69" x14ac:dyDescent="0.3">
      <c r="B57" s="31" t="s">
        <v>51</v>
      </c>
      <c r="C57" s="31"/>
      <c r="D57" s="31" t="s">
        <v>87</v>
      </c>
      <c r="E57" s="31"/>
      <c r="F57" s="31" t="s">
        <v>87</v>
      </c>
      <c r="G57" s="31"/>
      <c r="H57" s="31" t="s">
        <v>87</v>
      </c>
      <c r="I57" s="31"/>
      <c r="J57" s="31" t="s">
        <v>87</v>
      </c>
      <c r="K57" s="31"/>
      <c r="L57" s="31" t="s">
        <v>87</v>
      </c>
      <c r="M57" s="31"/>
      <c r="N57" s="31" t="s">
        <v>87</v>
      </c>
      <c r="O57" s="31"/>
      <c r="P57" s="31" t="s">
        <v>87</v>
      </c>
      <c r="Q57" s="31"/>
      <c r="R57" s="31" t="s">
        <v>87</v>
      </c>
      <c r="S57" s="31"/>
      <c r="T57" s="31" t="s">
        <v>87</v>
      </c>
      <c r="U57" s="31"/>
      <c r="V57" s="31" t="s">
        <v>87</v>
      </c>
    </row>
    <row r="58" spans="1:22" ht="69" x14ac:dyDescent="0.3">
      <c r="B58" s="31" t="s">
        <v>52</v>
      </c>
      <c r="C58" s="31"/>
      <c r="D58" s="31" t="s">
        <v>88</v>
      </c>
      <c r="E58" s="31"/>
      <c r="F58" s="31" t="s">
        <v>88</v>
      </c>
      <c r="G58" s="31"/>
      <c r="H58" s="31" t="s">
        <v>88</v>
      </c>
      <c r="I58" s="31"/>
      <c r="J58" s="31" t="s">
        <v>88</v>
      </c>
      <c r="K58" s="31"/>
      <c r="L58" s="31" t="s">
        <v>88</v>
      </c>
      <c r="M58" s="31"/>
      <c r="N58" s="31" t="s">
        <v>88</v>
      </c>
      <c r="O58" s="31"/>
      <c r="P58" s="31" t="s">
        <v>88</v>
      </c>
      <c r="Q58" s="31"/>
      <c r="R58" s="31" t="s">
        <v>88</v>
      </c>
      <c r="S58" s="31"/>
      <c r="T58" s="31" t="s">
        <v>88</v>
      </c>
      <c r="U58" s="31"/>
      <c r="V58" s="31" t="s">
        <v>88</v>
      </c>
    </row>
    <row r="60" spans="1:22" x14ac:dyDescent="0.3">
      <c r="A60" s="50" t="s">
        <v>201</v>
      </c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</row>
    <row r="61" spans="1:22" ht="58.5" customHeight="1" x14ac:dyDescent="0.3">
      <c r="A61" s="51" t="s">
        <v>2</v>
      </c>
      <c r="B61" s="52"/>
      <c r="C61" s="53" t="s">
        <v>202</v>
      </c>
      <c r="D61" s="53" t="s">
        <v>202</v>
      </c>
      <c r="E61" s="53" t="s">
        <v>203</v>
      </c>
      <c r="F61" s="53" t="s">
        <v>203</v>
      </c>
      <c r="G61" s="53" t="s">
        <v>202</v>
      </c>
      <c r="H61" s="53" t="s">
        <v>202</v>
      </c>
      <c r="I61" s="53" t="s">
        <v>202</v>
      </c>
      <c r="J61" s="53" t="s">
        <v>202</v>
      </c>
      <c r="K61" s="53" t="s">
        <v>203</v>
      </c>
      <c r="L61" s="53" t="s">
        <v>203</v>
      </c>
      <c r="M61" s="53" t="s">
        <v>202</v>
      </c>
      <c r="N61" s="53" t="s">
        <v>202</v>
      </c>
      <c r="O61" s="53" t="s">
        <v>203</v>
      </c>
      <c r="P61" s="53" t="s">
        <v>203</v>
      </c>
      <c r="Q61" s="53" t="s">
        <v>202</v>
      </c>
      <c r="R61" s="53" t="s">
        <v>202</v>
      </c>
      <c r="S61" s="54" t="s">
        <v>236</v>
      </c>
      <c r="T61" s="53" t="s">
        <v>236</v>
      </c>
      <c r="U61" s="54" t="s">
        <v>236</v>
      </c>
      <c r="V61" s="54" t="s">
        <v>236</v>
      </c>
    </row>
    <row r="62" spans="1:22" ht="57" customHeight="1" x14ac:dyDescent="0.3">
      <c r="A62" s="55" t="s">
        <v>2</v>
      </c>
      <c r="B62" s="56" t="s">
        <v>56</v>
      </c>
      <c r="C62" s="57" t="s">
        <v>204</v>
      </c>
      <c r="D62" s="57" t="s">
        <v>204</v>
      </c>
      <c r="E62" s="57" t="s">
        <v>205</v>
      </c>
      <c r="F62" s="57" t="s">
        <v>205</v>
      </c>
      <c r="G62" s="57" t="s">
        <v>204</v>
      </c>
      <c r="H62" s="57" t="s">
        <v>204</v>
      </c>
      <c r="I62" s="57" t="s">
        <v>204</v>
      </c>
      <c r="J62" s="57" t="s">
        <v>204</v>
      </c>
      <c r="K62" s="57" t="s">
        <v>205</v>
      </c>
      <c r="L62" s="57" t="s">
        <v>205</v>
      </c>
      <c r="M62" s="57" t="s">
        <v>204</v>
      </c>
      <c r="N62" s="57" t="s">
        <v>204</v>
      </c>
      <c r="O62" s="57" t="s">
        <v>205</v>
      </c>
      <c r="P62" s="57" t="s">
        <v>205</v>
      </c>
      <c r="Q62" s="57" t="s">
        <v>204</v>
      </c>
      <c r="R62" s="57" t="s">
        <v>204</v>
      </c>
      <c r="S62" s="57" t="s">
        <v>236</v>
      </c>
      <c r="T62" s="57" t="s">
        <v>236</v>
      </c>
      <c r="U62" s="57" t="s">
        <v>236</v>
      </c>
      <c r="V62" s="57" t="s">
        <v>236</v>
      </c>
    </row>
    <row r="63" spans="1:22" ht="69" x14ac:dyDescent="0.3">
      <c r="A63" s="58" t="s">
        <v>2</v>
      </c>
      <c r="B63" s="59" t="s">
        <v>57</v>
      </c>
      <c r="C63" s="60" t="s">
        <v>206</v>
      </c>
      <c r="D63" s="60" t="s">
        <v>206</v>
      </c>
      <c r="E63" s="60" t="s">
        <v>207</v>
      </c>
      <c r="F63" s="60" t="s">
        <v>207</v>
      </c>
      <c r="G63" s="60" t="s">
        <v>206</v>
      </c>
      <c r="H63" s="60" t="s">
        <v>206</v>
      </c>
      <c r="I63" s="60" t="s">
        <v>206</v>
      </c>
      <c r="J63" s="60" t="s">
        <v>206</v>
      </c>
      <c r="K63" s="60" t="s">
        <v>207</v>
      </c>
      <c r="L63" s="60" t="s">
        <v>207</v>
      </c>
      <c r="M63" s="60" t="s">
        <v>206</v>
      </c>
      <c r="N63" s="60" t="s">
        <v>206</v>
      </c>
      <c r="O63" s="60" t="s">
        <v>207</v>
      </c>
      <c r="P63" s="60" t="s">
        <v>207</v>
      </c>
      <c r="Q63" s="60" t="s">
        <v>206</v>
      </c>
      <c r="R63" s="60" t="s">
        <v>206</v>
      </c>
      <c r="S63" s="60" t="s">
        <v>236</v>
      </c>
      <c r="T63" s="60" t="s">
        <v>236</v>
      </c>
      <c r="U63" s="60" t="s">
        <v>236</v>
      </c>
      <c r="V63" s="60" t="s">
        <v>236</v>
      </c>
    </row>
    <row r="64" spans="1:22" ht="55.2" x14ac:dyDescent="0.3">
      <c r="A64" s="61" t="s">
        <v>2</v>
      </c>
      <c r="B64" s="62" t="s">
        <v>58</v>
      </c>
      <c r="C64" s="63" t="s">
        <v>237</v>
      </c>
      <c r="D64" s="63" t="s">
        <v>237</v>
      </c>
      <c r="E64" s="63" t="s">
        <v>235</v>
      </c>
      <c r="F64" s="63" t="s">
        <v>235</v>
      </c>
      <c r="G64" s="63" t="s">
        <v>237</v>
      </c>
      <c r="H64" s="63" t="s">
        <v>237</v>
      </c>
      <c r="I64" s="63" t="s">
        <v>237</v>
      </c>
      <c r="J64" s="63" t="s">
        <v>237</v>
      </c>
      <c r="K64" s="63" t="s">
        <v>235</v>
      </c>
      <c r="L64" s="63" t="s">
        <v>235</v>
      </c>
      <c r="M64" s="63" t="s">
        <v>237</v>
      </c>
      <c r="N64" s="63" t="s">
        <v>237</v>
      </c>
      <c r="O64" s="63" t="s">
        <v>235</v>
      </c>
      <c r="P64" s="63" t="s">
        <v>235</v>
      </c>
      <c r="Q64" s="63" t="s">
        <v>237</v>
      </c>
      <c r="R64" s="63" t="s">
        <v>237</v>
      </c>
      <c r="S64" s="63" t="s">
        <v>236</v>
      </c>
      <c r="T64" s="63" t="s">
        <v>236</v>
      </c>
      <c r="U64" s="63" t="s">
        <v>236</v>
      </c>
      <c r="V64" s="63" t="s">
        <v>236</v>
      </c>
    </row>
    <row r="65" spans="1:22" ht="55.2" x14ac:dyDescent="0.3">
      <c r="A65" s="51" t="s">
        <v>9</v>
      </c>
      <c r="B65" s="52"/>
      <c r="C65" s="53" t="s">
        <v>236</v>
      </c>
      <c r="D65" s="53" t="s">
        <v>236</v>
      </c>
      <c r="E65" s="53" t="s">
        <v>236</v>
      </c>
      <c r="F65" s="53" t="s">
        <v>236</v>
      </c>
      <c r="G65" s="53" t="s">
        <v>208</v>
      </c>
      <c r="H65" s="53" t="s">
        <v>208</v>
      </c>
      <c r="I65" s="53" t="s">
        <v>236</v>
      </c>
      <c r="J65" s="53" t="s">
        <v>236</v>
      </c>
      <c r="K65" s="53" t="s">
        <v>236</v>
      </c>
      <c r="L65" s="53" t="s">
        <v>236</v>
      </c>
      <c r="M65" s="53" t="s">
        <v>236</v>
      </c>
      <c r="N65" s="53" t="s">
        <v>236</v>
      </c>
      <c r="O65" s="53" t="s">
        <v>236</v>
      </c>
      <c r="P65" s="53" t="s">
        <v>236</v>
      </c>
      <c r="Q65" s="53" t="s">
        <v>208</v>
      </c>
      <c r="R65" s="53" t="s">
        <v>208</v>
      </c>
      <c r="S65" s="53" t="s">
        <v>236</v>
      </c>
      <c r="T65" s="53" t="s">
        <v>236</v>
      </c>
      <c r="U65" s="53" t="s">
        <v>208</v>
      </c>
      <c r="V65" s="53" t="s">
        <v>208</v>
      </c>
    </row>
    <row r="66" spans="1:22" ht="55.2" x14ac:dyDescent="0.3">
      <c r="A66" s="55" t="s">
        <v>9</v>
      </c>
      <c r="B66" s="56" t="s">
        <v>56</v>
      </c>
      <c r="C66" s="57" t="s">
        <v>236</v>
      </c>
      <c r="D66" s="57" t="s">
        <v>236</v>
      </c>
      <c r="E66" s="57" t="s">
        <v>236</v>
      </c>
      <c r="F66" s="57" t="s">
        <v>236</v>
      </c>
      <c r="G66" s="57" t="s">
        <v>209</v>
      </c>
      <c r="H66" s="57" t="s">
        <v>209</v>
      </c>
      <c r="I66" s="57" t="s">
        <v>236</v>
      </c>
      <c r="J66" s="57" t="s">
        <v>236</v>
      </c>
      <c r="K66" s="57" t="s">
        <v>236</v>
      </c>
      <c r="L66" s="57" t="s">
        <v>236</v>
      </c>
      <c r="M66" s="57" t="s">
        <v>236</v>
      </c>
      <c r="N66" s="57" t="s">
        <v>236</v>
      </c>
      <c r="O66" s="57" t="s">
        <v>236</v>
      </c>
      <c r="P66" s="57" t="s">
        <v>236</v>
      </c>
      <c r="Q66" s="57" t="s">
        <v>209</v>
      </c>
      <c r="R66" s="57" t="s">
        <v>209</v>
      </c>
      <c r="S66" s="57" t="s">
        <v>236</v>
      </c>
      <c r="T66" s="57" t="s">
        <v>236</v>
      </c>
      <c r="U66" s="57" t="s">
        <v>209</v>
      </c>
      <c r="V66" s="57" t="s">
        <v>209</v>
      </c>
    </row>
    <row r="67" spans="1:22" ht="69" x14ac:dyDescent="0.3">
      <c r="A67" s="58" t="s">
        <v>9</v>
      </c>
      <c r="B67" s="59" t="s">
        <v>57</v>
      </c>
      <c r="C67" s="60" t="s">
        <v>236</v>
      </c>
      <c r="D67" s="60" t="s">
        <v>236</v>
      </c>
      <c r="E67" s="60" t="s">
        <v>236</v>
      </c>
      <c r="F67" s="60" t="s">
        <v>236</v>
      </c>
      <c r="G67" s="60" t="s">
        <v>239</v>
      </c>
      <c r="H67" s="60" t="s">
        <v>239</v>
      </c>
      <c r="I67" s="60" t="s">
        <v>236</v>
      </c>
      <c r="J67" s="60" t="s">
        <v>236</v>
      </c>
      <c r="K67" s="60" t="s">
        <v>236</v>
      </c>
      <c r="L67" s="60" t="s">
        <v>236</v>
      </c>
      <c r="M67" s="60" t="s">
        <v>236</v>
      </c>
      <c r="N67" s="60" t="s">
        <v>236</v>
      </c>
      <c r="O67" s="60" t="s">
        <v>236</v>
      </c>
      <c r="P67" s="60" t="s">
        <v>236</v>
      </c>
      <c r="Q67" s="60" t="s">
        <v>239</v>
      </c>
      <c r="R67" s="60" t="s">
        <v>239</v>
      </c>
      <c r="S67" s="60" t="s">
        <v>236</v>
      </c>
      <c r="T67" s="60" t="s">
        <v>236</v>
      </c>
      <c r="U67" s="60" t="s">
        <v>239</v>
      </c>
      <c r="V67" s="60" t="s">
        <v>239</v>
      </c>
    </row>
    <row r="68" spans="1:22" ht="55.2" x14ac:dyDescent="0.3">
      <c r="A68" s="61" t="s">
        <v>9</v>
      </c>
      <c r="B68" s="62" t="s">
        <v>58</v>
      </c>
      <c r="C68" s="63" t="s">
        <v>236</v>
      </c>
      <c r="D68" s="63" t="s">
        <v>236</v>
      </c>
      <c r="E68" s="63" t="s">
        <v>236</v>
      </c>
      <c r="F68" s="63" t="s">
        <v>236</v>
      </c>
      <c r="G68" s="63" t="s">
        <v>210</v>
      </c>
      <c r="H68" s="63" t="s">
        <v>210</v>
      </c>
      <c r="I68" s="63" t="s">
        <v>236</v>
      </c>
      <c r="J68" s="63" t="s">
        <v>236</v>
      </c>
      <c r="K68" s="63" t="s">
        <v>236</v>
      </c>
      <c r="L68" s="63" t="s">
        <v>236</v>
      </c>
      <c r="M68" s="63" t="s">
        <v>236</v>
      </c>
      <c r="N68" s="63" t="s">
        <v>236</v>
      </c>
      <c r="O68" s="63" t="s">
        <v>236</v>
      </c>
      <c r="P68" s="63" t="s">
        <v>236</v>
      </c>
      <c r="Q68" s="63" t="s">
        <v>210</v>
      </c>
      <c r="R68" s="63" t="s">
        <v>210</v>
      </c>
      <c r="S68" s="63" t="s">
        <v>236</v>
      </c>
      <c r="T68" s="63" t="s">
        <v>236</v>
      </c>
      <c r="U68" s="63" t="s">
        <v>210</v>
      </c>
      <c r="V68" s="63" t="s">
        <v>210</v>
      </c>
    </row>
    <row r="69" spans="1:22" ht="87.75" customHeight="1" x14ac:dyDescent="0.3">
      <c r="A69" s="51" t="s">
        <v>3</v>
      </c>
      <c r="B69" s="52"/>
      <c r="C69" s="53" t="s">
        <v>211</v>
      </c>
      <c r="D69" s="53" t="s">
        <v>211</v>
      </c>
      <c r="E69" s="53" t="s">
        <v>211</v>
      </c>
      <c r="F69" s="53" t="s">
        <v>211</v>
      </c>
      <c r="G69" s="53" t="s">
        <v>211</v>
      </c>
      <c r="H69" s="53" t="s">
        <v>211</v>
      </c>
      <c r="I69" s="53" t="s">
        <v>211</v>
      </c>
      <c r="J69" s="53" t="s">
        <v>211</v>
      </c>
      <c r="K69" s="53" t="s">
        <v>211</v>
      </c>
      <c r="L69" s="53" t="s">
        <v>211</v>
      </c>
      <c r="M69" s="53" t="s">
        <v>211</v>
      </c>
      <c r="N69" s="53" t="s">
        <v>211</v>
      </c>
      <c r="O69" s="53" t="s">
        <v>211</v>
      </c>
      <c r="P69" s="53" t="s">
        <v>211</v>
      </c>
      <c r="Q69" s="53" t="s">
        <v>211</v>
      </c>
      <c r="R69" s="53" t="s">
        <v>211</v>
      </c>
      <c r="S69" s="53" t="s">
        <v>211</v>
      </c>
      <c r="T69" s="53" t="s">
        <v>211</v>
      </c>
      <c r="U69" s="53" t="s">
        <v>211</v>
      </c>
      <c r="V69" s="53" t="s">
        <v>211</v>
      </c>
    </row>
    <row r="70" spans="1:22" ht="69" x14ac:dyDescent="0.3">
      <c r="A70" s="55" t="s">
        <v>3</v>
      </c>
      <c r="B70" s="56" t="s">
        <v>56</v>
      </c>
      <c r="C70" s="57" t="s">
        <v>212</v>
      </c>
      <c r="D70" s="57" t="s">
        <v>212</v>
      </c>
      <c r="E70" s="57" t="s">
        <v>212</v>
      </c>
      <c r="F70" s="57" t="s">
        <v>212</v>
      </c>
      <c r="G70" s="57" t="s">
        <v>212</v>
      </c>
      <c r="H70" s="57" t="s">
        <v>212</v>
      </c>
      <c r="I70" s="57" t="s">
        <v>212</v>
      </c>
      <c r="J70" s="57" t="s">
        <v>212</v>
      </c>
      <c r="K70" s="57" t="s">
        <v>212</v>
      </c>
      <c r="L70" s="57" t="s">
        <v>212</v>
      </c>
      <c r="M70" s="57" t="s">
        <v>212</v>
      </c>
      <c r="N70" s="57" t="s">
        <v>212</v>
      </c>
      <c r="O70" s="57" t="s">
        <v>212</v>
      </c>
      <c r="P70" s="57" t="s">
        <v>212</v>
      </c>
      <c r="Q70" s="57" t="s">
        <v>212</v>
      </c>
      <c r="R70" s="57" t="s">
        <v>212</v>
      </c>
      <c r="S70" s="57" t="s">
        <v>212</v>
      </c>
      <c r="T70" s="57" t="s">
        <v>212</v>
      </c>
      <c r="U70" s="57" t="s">
        <v>212</v>
      </c>
      <c r="V70" s="57" t="s">
        <v>212</v>
      </c>
    </row>
    <row r="71" spans="1:22" ht="69" x14ac:dyDescent="0.3">
      <c r="A71" s="58" t="s">
        <v>3</v>
      </c>
      <c r="B71" s="59" t="s">
        <v>57</v>
      </c>
      <c r="C71" s="60" t="s">
        <v>252</v>
      </c>
      <c r="D71" s="60" t="s">
        <v>252</v>
      </c>
      <c r="E71" s="60" t="s">
        <v>252</v>
      </c>
      <c r="F71" s="60" t="s">
        <v>252</v>
      </c>
      <c r="G71" s="60" t="s">
        <v>252</v>
      </c>
      <c r="H71" s="60" t="s">
        <v>252</v>
      </c>
      <c r="I71" s="60" t="s">
        <v>252</v>
      </c>
      <c r="J71" s="60" t="s">
        <v>252</v>
      </c>
      <c r="K71" s="60" t="s">
        <v>252</v>
      </c>
      <c r="L71" s="60" t="s">
        <v>252</v>
      </c>
      <c r="M71" s="60" t="s">
        <v>252</v>
      </c>
      <c r="N71" s="60" t="s">
        <v>252</v>
      </c>
      <c r="O71" s="60" t="s">
        <v>252</v>
      </c>
      <c r="P71" s="60" t="s">
        <v>252</v>
      </c>
      <c r="Q71" s="60" t="s">
        <v>252</v>
      </c>
      <c r="R71" s="60" t="s">
        <v>252</v>
      </c>
      <c r="S71" s="60" t="s">
        <v>252</v>
      </c>
      <c r="T71" s="60" t="s">
        <v>252</v>
      </c>
      <c r="U71" s="60" t="s">
        <v>252</v>
      </c>
      <c r="V71" s="60" t="s">
        <v>252</v>
      </c>
    </row>
    <row r="72" spans="1:22" ht="55.2" x14ac:dyDescent="0.3">
      <c r="A72" s="61" t="s">
        <v>3</v>
      </c>
      <c r="B72" s="62" t="s">
        <v>58</v>
      </c>
      <c r="C72" s="63" t="s">
        <v>213</v>
      </c>
      <c r="D72" s="63" t="s">
        <v>213</v>
      </c>
      <c r="E72" s="63" t="s">
        <v>213</v>
      </c>
      <c r="F72" s="63" t="s">
        <v>213</v>
      </c>
      <c r="G72" s="63" t="s">
        <v>213</v>
      </c>
      <c r="H72" s="63" t="s">
        <v>213</v>
      </c>
      <c r="I72" s="63" t="s">
        <v>213</v>
      </c>
      <c r="J72" s="63" t="s">
        <v>213</v>
      </c>
      <c r="K72" s="63" t="s">
        <v>213</v>
      </c>
      <c r="L72" s="63" t="s">
        <v>213</v>
      </c>
      <c r="M72" s="63" t="s">
        <v>213</v>
      </c>
      <c r="N72" s="63" t="s">
        <v>213</v>
      </c>
      <c r="O72" s="63" t="s">
        <v>213</v>
      </c>
      <c r="P72" s="63" t="s">
        <v>213</v>
      </c>
      <c r="Q72" s="63" t="s">
        <v>213</v>
      </c>
      <c r="R72" s="63" t="s">
        <v>213</v>
      </c>
      <c r="S72" s="63" t="s">
        <v>213</v>
      </c>
      <c r="T72" s="63" t="s">
        <v>213</v>
      </c>
      <c r="U72" s="63" t="s">
        <v>213</v>
      </c>
      <c r="V72" s="63" t="s">
        <v>213</v>
      </c>
    </row>
    <row r="73" spans="1:22" ht="179.4" x14ac:dyDescent="0.3">
      <c r="A73" s="51" t="s">
        <v>4</v>
      </c>
      <c r="B73" s="52"/>
      <c r="C73" s="53"/>
      <c r="D73" s="53"/>
      <c r="E73" s="53" t="s">
        <v>146</v>
      </c>
      <c r="F73" s="53" t="s">
        <v>146</v>
      </c>
      <c r="G73" s="53"/>
      <c r="H73" s="53"/>
      <c r="I73" s="53"/>
      <c r="J73" s="53"/>
      <c r="K73" s="53" t="s">
        <v>146</v>
      </c>
      <c r="L73" s="53" t="s">
        <v>146</v>
      </c>
      <c r="M73" s="53"/>
      <c r="N73" s="53"/>
      <c r="O73" s="53" t="s">
        <v>146</v>
      </c>
      <c r="P73" s="53" t="s">
        <v>146</v>
      </c>
      <c r="Q73" s="53"/>
      <c r="R73" s="53"/>
      <c r="S73" s="53"/>
      <c r="T73" s="53"/>
      <c r="U73" s="53"/>
      <c r="V73" s="53"/>
    </row>
    <row r="74" spans="1:22" ht="234.6" x14ac:dyDescent="0.3">
      <c r="A74" s="55" t="s">
        <v>4</v>
      </c>
      <c r="B74" s="56" t="s">
        <v>56</v>
      </c>
      <c r="C74" s="57"/>
      <c r="D74" s="57"/>
      <c r="E74" s="57" t="s">
        <v>185</v>
      </c>
      <c r="F74" s="57" t="s">
        <v>185</v>
      </c>
      <c r="G74" s="57"/>
      <c r="H74" s="57"/>
      <c r="I74" s="57"/>
      <c r="J74" s="57"/>
      <c r="K74" s="57" t="s">
        <v>185</v>
      </c>
      <c r="L74" s="57" t="s">
        <v>185</v>
      </c>
      <c r="M74" s="57"/>
      <c r="N74" s="57"/>
      <c r="O74" s="57" t="s">
        <v>185</v>
      </c>
      <c r="P74" s="57" t="s">
        <v>185</v>
      </c>
      <c r="Q74" s="57"/>
      <c r="R74" s="57"/>
      <c r="S74" s="57"/>
      <c r="T74" s="57"/>
      <c r="U74" s="57"/>
      <c r="V74" s="57"/>
    </row>
    <row r="75" spans="1:22" ht="248.4" x14ac:dyDescent="0.3">
      <c r="A75" s="58" t="s">
        <v>4</v>
      </c>
      <c r="B75" s="59" t="s">
        <v>57</v>
      </c>
      <c r="C75" s="60"/>
      <c r="D75" s="60"/>
      <c r="E75" s="60" t="s">
        <v>162</v>
      </c>
      <c r="F75" s="60" t="s">
        <v>162</v>
      </c>
      <c r="G75" s="60"/>
      <c r="H75" s="60"/>
      <c r="I75" s="60"/>
      <c r="J75" s="60"/>
      <c r="K75" s="60" t="s">
        <v>162</v>
      </c>
      <c r="L75" s="60" t="s">
        <v>162</v>
      </c>
      <c r="M75" s="60"/>
      <c r="N75" s="60"/>
      <c r="O75" s="60" t="s">
        <v>162</v>
      </c>
      <c r="P75" s="60" t="s">
        <v>162</v>
      </c>
      <c r="Q75" s="60"/>
      <c r="R75" s="60"/>
      <c r="S75" s="60"/>
      <c r="T75" s="60"/>
      <c r="U75" s="60"/>
      <c r="V75" s="60"/>
    </row>
    <row r="76" spans="1:22" ht="179.4" x14ac:dyDescent="0.3">
      <c r="A76" s="61" t="s">
        <v>4</v>
      </c>
      <c r="B76" s="62" t="s">
        <v>58</v>
      </c>
      <c r="C76" s="63"/>
      <c r="D76" s="63"/>
      <c r="E76" s="63" t="s">
        <v>186</v>
      </c>
      <c r="F76" s="63" t="s">
        <v>186</v>
      </c>
      <c r="G76" s="63"/>
      <c r="H76" s="63"/>
      <c r="I76" s="63"/>
      <c r="J76" s="63"/>
      <c r="K76" s="63" t="s">
        <v>186</v>
      </c>
      <c r="L76" s="63" t="s">
        <v>186</v>
      </c>
      <c r="M76" s="63"/>
      <c r="N76" s="63"/>
      <c r="O76" s="63" t="s">
        <v>186</v>
      </c>
      <c r="P76" s="63" t="s">
        <v>186</v>
      </c>
      <c r="Q76" s="63"/>
      <c r="R76" s="63"/>
      <c r="S76" s="63"/>
      <c r="T76" s="63"/>
      <c r="U76" s="63"/>
      <c r="V76" s="63"/>
    </row>
    <row r="77" spans="1:22" ht="55.2" x14ac:dyDescent="0.3">
      <c r="A77" s="51" t="s">
        <v>6</v>
      </c>
      <c r="B77" s="52"/>
      <c r="C77" s="53" t="s">
        <v>236</v>
      </c>
      <c r="D77" s="53" t="s">
        <v>236</v>
      </c>
      <c r="E77" s="53" t="s">
        <v>236</v>
      </c>
      <c r="F77" s="53" t="s">
        <v>236</v>
      </c>
      <c r="G77" s="53" t="s">
        <v>236</v>
      </c>
      <c r="H77" s="53" t="s">
        <v>236</v>
      </c>
      <c r="I77" s="53" t="s">
        <v>214</v>
      </c>
      <c r="J77" s="53" t="s">
        <v>214</v>
      </c>
      <c r="K77" s="53" t="s">
        <v>214</v>
      </c>
      <c r="L77" s="53" t="s">
        <v>214</v>
      </c>
      <c r="M77" s="53" t="s">
        <v>214</v>
      </c>
      <c r="N77" s="53" t="s">
        <v>214</v>
      </c>
      <c r="O77" s="53" t="s">
        <v>214</v>
      </c>
      <c r="P77" s="53" t="s">
        <v>214</v>
      </c>
      <c r="Q77" s="53" t="s">
        <v>214</v>
      </c>
      <c r="R77" s="53" t="s">
        <v>214</v>
      </c>
      <c r="S77" s="53" t="s">
        <v>236</v>
      </c>
      <c r="T77" s="53" t="s">
        <v>236</v>
      </c>
      <c r="U77" s="53" t="s">
        <v>236</v>
      </c>
      <c r="V77" s="53" t="s">
        <v>236</v>
      </c>
    </row>
    <row r="78" spans="1:22" ht="55.2" x14ac:dyDescent="0.3">
      <c r="A78" s="55" t="s">
        <v>6</v>
      </c>
      <c r="B78" s="56" t="s">
        <v>56</v>
      </c>
      <c r="C78" s="57" t="s">
        <v>236</v>
      </c>
      <c r="D78" s="57" t="s">
        <v>236</v>
      </c>
      <c r="E78" s="57" t="s">
        <v>236</v>
      </c>
      <c r="F78" s="57" t="s">
        <v>236</v>
      </c>
      <c r="G78" s="57" t="s">
        <v>236</v>
      </c>
      <c r="H78" s="57" t="s">
        <v>236</v>
      </c>
      <c r="I78" s="57" t="s">
        <v>215</v>
      </c>
      <c r="J78" s="57" t="s">
        <v>215</v>
      </c>
      <c r="K78" s="57" t="s">
        <v>215</v>
      </c>
      <c r="L78" s="57" t="s">
        <v>215</v>
      </c>
      <c r="M78" s="57" t="s">
        <v>215</v>
      </c>
      <c r="N78" s="57" t="s">
        <v>215</v>
      </c>
      <c r="O78" s="57" t="s">
        <v>215</v>
      </c>
      <c r="P78" s="57" t="s">
        <v>215</v>
      </c>
      <c r="Q78" s="57" t="s">
        <v>215</v>
      </c>
      <c r="R78" s="57" t="s">
        <v>215</v>
      </c>
      <c r="S78" s="57" t="s">
        <v>236</v>
      </c>
      <c r="T78" s="57" t="s">
        <v>236</v>
      </c>
      <c r="U78" s="57" t="s">
        <v>236</v>
      </c>
      <c r="V78" s="57" t="s">
        <v>236</v>
      </c>
    </row>
    <row r="79" spans="1:22" ht="69" x14ac:dyDescent="0.3">
      <c r="A79" s="58" t="s">
        <v>6</v>
      </c>
      <c r="B79" s="59" t="s">
        <v>57</v>
      </c>
      <c r="C79" s="60" t="s">
        <v>236</v>
      </c>
      <c r="D79" s="60" t="s">
        <v>236</v>
      </c>
      <c r="E79" s="60" t="s">
        <v>236</v>
      </c>
      <c r="F79" s="60" t="s">
        <v>236</v>
      </c>
      <c r="G79" s="60" t="s">
        <v>236</v>
      </c>
      <c r="H79" s="60" t="s">
        <v>236</v>
      </c>
      <c r="I79" s="60" t="s">
        <v>216</v>
      </c>
      <c r="J79" s="60" t="s">
        <v>216</v>
      </c>
      <c r="K79" s="60" t="s">
        <v>216</v>
      </c>
      <c r="L79" s="60" t="s">
        <v>216</v>
      </c>
      <c r="M79" s="60" t="s">
        <v>216</v>
      </c>
      <c r="N79" s="60" t="s">
        <v>216</v>
      </c>
      <c r="O79" s="60" t="s">
        <v>216</v>
      </c>
      <c r="P79" s="60" t="s">
        <v>216</v>
      </c>
      <c r="Q79" s="60" t="s">
        <v>216</v>
      </c>
      <c r="R79" s="60" t="s">
        <v>216</v>
      </c>
      <c r="S79" s="60" t="s">
        <v>236</v>
      </c>
      <c r="T79" s="60" t="s">
        <v>236</v>
      </c>
      <c r="U79" s="60" t="s">
        <v>236</v>
      </c>
      <c r="V79" s="60" t="s">
        <v>236</v>
      </c>
    </row>
    <row r="80" spans="1:22" ht="55.2" x14ac:dyDescent="0.3">
      <c r="A80" s="61" t="s">
        <v>6</v>
      </c>
      <c r="B80" s="62" t="s">
        <v>58</v>
      </c>
      <c r="C80" s="63" t="s">
        <v>236</v>
      </c>
      <c r="D80" s="63" t="s">
        <v>236</v>
      </c>
      <c r="E80" s="63" t="s">
        <v>236</v>
      </c>
      <c r="F80" s="63" t="s">
        <v>236</v>
      </c>
      <c r="G80" s="63" t="s">
        <v>236</v>
      </c>
      <c r="H80" s="63" t="s">
        <v>236</v>
      </c>
      <c r="I80" s="63" t="s">
        <v>217</v>
      </c>
      <c r="J80" s="63" t="s">
        <v>217</v>
      </c>
      <c r="K80" s="63" t="s">
        <v>217</v>
      </c>
      <c r="L80" s="63" t="s">
        <v>217</v>
      </c>
      <c r="M80" s="63" t="s">
        <v>217</v>
      </c>
      <c r="N80" s="63" t="s">
        <v>217</v>
      </c>
      <c r="O80" s="63" t="s">
        <v>217</v>
      </c>
      <c r="P80" s="63" t="s">
        <v>217</v>
      </c>
      <c r="Q80" s="63" t="s">
        <v>217</v>
      </c>
      <c r="R80" s="63" t="s">
        <v>217</v>
      </c>
      <c r="S80" s="63" t="s">
        <v>236</v>
      </c>
      <c r="T80" s="63" t="s">
        <v>236</v>
      </c>
      <c r="U80" s="63" t="s">
        <v>236</v>
      </c>
      <c r="V80" s="63" t="s">
        <v>236</v>
      </c>
    </row>
    <row r="81" spans="1:22" ht="55.2" x14ac:dyDescent="0.3">
      <c r="A81" s="51" t="s">
        <v>7</v>
      </c>
      <c r="B81" s="52"/>
      <c r="C81" s="53" t="s">
        <v>236</v>
      </c>
      <c r="D81" s="53" t="s">
        <v>236</v>
      </c>
      <c r="E81" s="53" t="s">
        <v>236</v>
      </c>
      <c r="F81" s="53" t="s">
        <v>236</v>
      </c>
      <c r="G81" s="53" t="s">
        <v>236</v>
      </c>
      <c r="H81" s="53" t="s">
        <v>236</v>
      </c>
      <c r="I81" s="53" t="s">
        <v>236</v>
      </c>
      <c r="J81" s="53" t="s">
        <v>236</v>
      </c>
      <c r="K81" s="53" t="s">
        <v>236</v>
      </c>
      <c r="L81" s="53" t="s">
        <v>236</v>
      </c>
      <c r="M81" s="53" t="s">
        <v>218</v>
      </c>
      <c r="N81" s="53" t="s">
        <v>218</v>
      </c>
      <c r="O81" s="53" t="s">
        <v>218</v>
      </c>
      <c r="P81" s="53" t="s">
        <v>218</v>
      </c>
      <c r="Q81" s="53" t="s">
        <v>236</v>
      </c>
      <c r="R81" s="53" t="s">
        <v>236</v>
      </c>
      <c r="S81" s="53" t="s">
        <v>236</v>
      </c>
      <c r="T81" s="53" t="s">
        <v>236</v>
      </c>
      <c r="U81" s="53" t="s">
        <v>236</v>
      </c>
      <c r="V81" s="53" t="s">
        <v>236</v>
      </c>
    </row>
    <row r="82" spans="1:22" ht="55.2" x14ac:dyDescent="0.3">
      <c r="A82" s="55" t="s">
        <v>7</v>
      </c>
      <c r="B82" s="56" t="s">
        <v>56</v>
      </c>
      <c r="C82" s="57" t="s">
        <v>236</v>
      </c>
      <c r="D82" s="57" t="s">
        <v>236</v>
      </c>
      <c r="E82" s="57" t="s">
        <v>236</v>
      </c>
      <c r="F82" s="57" t="s">
        <v>236</v>
      </c>
      <c r="G82" s="57" t="s">
        <v>236</v>
      </c>
      <c r="H82" s="57" t="s">
        <v>236</v>
      </c>
      <c r="I82" s="57" t="s">
        <v>236</v>
      </c>
      <c r="J82" s="57" t="s">
        <v>236</v>
      </c>
      <c r="K82" s="57" t="s">
        <v>236</v>
      </c>
      <c r="L82" s="57" t="s">
        <v>236</v>
      </c>
      <c r="M82" s="57" t="s">
        <v>240</v>
      </c>
      <c r="N82" s="57" t="s">
        <v>240</v>
      </c>
      <c r="O82" s="57" t="s">
        <v>240</v>
      </c>
      <c r="P82" s="57" t="s">
        <v>240</v>
      </c>
      <c r="Q82" s="57" t="s">
        <v>236</v>
      </c>
      <c r="R82" s="57" t="s">
        <v>236</v>
      </c>
      <c r="S82" s="57" t="s">
        <v>236</v>
      </c>
      <c r="T82" s="57" t="s">
        <v>236</v>
      </c>
      <c r="U82" s="57" t="s">
        <v>236</v>
      </c>
      <c r="V82" s="57" t="s">
        <v>236</v>
      </c>
    </row>
    <row r="83" spans="1:22" ht="69" x14ac:dyDescent="0.3">
      <c r="A83" s="58" t="s">
        <v>7</v>
      </c>
      <c r="B83" s="59" t="s">
        <v>57</v>
      </c>
      <c r="C83" s="60" t="s">
        <v>236</v>
      </c>
      <c r="D83" s="60" t="s">
        <v>236</v>
      </c>
      <c r="E83" s="60" t="s">
        <v>236</v>
      </c>
      <c r="F83" s="60" t="s">
        <v>236</v>
      </c>
      <c r="G83" s="60" t="s">
        <v>236</v>
      </c>
      <c r="H83" s="60" t="s">
        <v>236</v>
      </c>
      <c r="I83" s="60" t="s">
        <v>236</v>
      </c>
      <c r="J83" s="60" t="s">
        <v>236</v>
      </c>
      <c r="K83" s="60" t="s">
        <v>236</v>
      </c>
      <c r="L83" s="60" t="s">
        <v>236</v>
      </c>
      <c r="M83" s="60" t="s">
        <v>219</v>
      </c>
      <c r="N83" s="60" t="s">
        <v>219</v>
      </c>
      <c r="O83" s="60" t="s">
        <v>219</v>
      </c>
      <c r="P83" s="60" t="s">
        <v>219</v>
      </c>
      <c r="Q83" s="60" t="s">
        <v>236</v>
      </c>
      <c r="R83" s="60" t="s">
        <v>236</v>
      </c>
      <c r="S83" s="60" t="s">
        <v>236</v>
      </c>
      <c r="T83" s="60" t="s">
        <v>236</v>
      </c>
      <c r="U83" s="60" t="s">
        <v>236</v>
      </c>
      <c r="V83" s="60" t="s">
        <v>236</v>
      </c>
    </row>
    <row r="84" spans="1:22" ht="55.2" x14ac:dyDescent="0.3">
      <c r="A84" s="61" t="s">
        <v>7</v>
      </c>
      <c r="B84" s="62" t="s">
        <v>58</v>
      </c>
      <c r="C84" s="63" t="s">
        <v>236</v>
      </c>
      <c r="D84" s="63" t="s">
        <v>236</v>
      </c>
      <c r="E84" s="63" t="s">
        <v>236</v>
      </c>
      <c r="F84" s="63" t="s">
        <v>236</v>
      </c>
      <c r="G84" s="63" t="s">
        <v>236</v>
      </c>
      <c r="H84" s="63" t="s">
        <v>236</v>
      </c>
      <c r="I84" s="63" t="s">
        <v>236</v>
      </c>
      <c r="J84" s="63" t="s">
        <v>236</v>
      </c>
      <c r="K84" s="63" t="s">
        <v>236</v>
      </c>
      <c r="L84" s="63" t="s">
        <v>236</v>
      </c>
      <c r="M84" s="63" t="s">
        <v>241</v>
      </c>
      <c r="N84" s="63" t="s">
        <v>241</v>
      </c>
      <c r="O84" s="63" t="s">
        <v>241</v>
      </c>
      <c r="P84" s="63" t="s">
        <v>241</v>
      </c>
      <c r="Q84" s="63" t="s">
        <v>236</v>
      </c>
      <c r="R84" s="63" t="s">
        <v>236</v>
      </c>
      <c r="S84" s="63" t="s">
        <v>236</v>
      </c>
      <c r="T84" s="63" t="s">
        <v>236</v>
      </c>
      <c r="U84" s="63" t="s">
        <v>236</v>
      </c>
      <c r="V84" s="63" t="s">
        <v>236</v>
      </c>
    </row>
    <row r="85" spans="1:22" ht="55.2" x14ac:dyDescent="0.3">
      <c r="A85" s="51" t="s">
        <v>5</v>
      </c>
      <c r="B85" s="52"/>
      <c r="C85" s="53" t="s">
        <v>236</v>
      </c>
      <c r="D85" s="53" t="s">
        <v>236</v>
      </c>
      <c r="E85" s="53" t="s">
        <v>236</v>
      </c>
      <c r="F85" s="53" t="s">
        <v>236</v>
      </c>
      <c r="G85" s="53" t="s">
        <v>236</v>
      </c>
      <c r="H85" s="53" t="s">
        <v>236</v>
      </c>
      <c r="I85" s="53" t="s">
        <v>220</v>
      </c>
      <c r="J85" s="53" t="s">
        <v>221</v>
      </c>
      <c r="K85" s="53" t="s">
        <v>220</v>
      </c>
      <c r="L85" s="53" t="s">
        <v>221</v>
      </c>
      <c r="M85" s="53" t="s">
        <v>222</v>
      </c>
      <c r="N85" s="53" t="s">
        <v>223</v>
      </c>
      <c r="O85" s="53" t="s">
        <v>222</v>
      </c>
      <c r="P85" s="53" t="s">
        <v>223</v>
      </c>
      <c r="Q85" s="53" t="s">
        <v>220</v>
      </c>
      <c r="R85" s="53" t="s">
        <v>221</v>
      </c>
      <c r="S85" s="53" t="s">
        <v>236</v>
      </c>
      <c r="T85" s="53" t="s">
        <v>236</v>
      </c>
      <c r="U85" s="53" t="s">
        <v>236</v>
      </c>
      <c r="V85" s="53" t="s">
        <v>236</v>
      </c>
    </row>
    <row r="86" spans="1:22" ht="69" x14ac:dyDescent="0.3">
      <c r="A86" s="55" t="s">
        <v>5</v>
      </c>
      <c r="B86" s="56" t="s">
        <v>56</v>
      </c>
      <c r="C86" s="57" t="s">
        <v>236</v>
      </c>
      <c r="D86" s="57" t="s">
        <v>236</v>
      </c>
      <c r="E86" s="57" t="s">
        <v>236</v>
      </c>
      <c r="F86" s="57" t="s">
        <v>236</v>
      </c>
      <c r="G86" s="57" t="s">
        <v>236</v>
      </c>
      <c r="H86" s="57" t="s">
        <v>236</v>
      </c>
      <c r="I86" s="57" t="s">
        <v>242</v>
      </c>
      <c r="J86" s="57" t="s">
        <v>243</v>
      </c>
      <c r="K86" s="57" t="s">
        <v>242</v>
      </c>
      <c r="L86" s="57" t="s">
        <v>243</v>
      </c>
      <c r="M86" s="57" t="s">
        <v>244</v>
      </c>
      <c r="N86" s="57" t="s">
        <v>245</v>
      </c>
      <c r="O86" s="57" t="s">
        <v>244</v>
      </c>
      <c r="P86" s="57" t="s">
        <v>245</v>
      </c>
      <c r="Q86" s="57" t="s">
        <v>242</v>
      </c>
      <c r="R86" s="57" t="s">
        <v>243</v>
      </c>
      <c r="S86" s="57" t="s">
        <v>236</v>
      </c>
      <c r="T86" s="57" t="s">
        <v>236</v>
      </c>
      <c r="U86" s="57" t="s">
        <v>236</v>
      </c>
      <c r="V86" s="57" t="s">
        <v>236</v>
      </c>
    </row>
    <row r="87" spans="1:22" ht="69" x14ac:dyDescent="0.3">
      <c r="A87" s="58" t="s">
        <v>5</v>
      </c>
      <c r="B87" s="59" t="s">
        <v>57</v>
      </c>
      <c r="C87" s="60" t="s">
        <v>236</v>
      </c>
      <c r="D87" s="60" t="s">
        <v>236</v>
      </c>
      <c r="E87" s="60" t="s">
        <v>236</v>
      </c>
      <c r="F87" s="60" t="s">
        <v>236</v>
      </c>
      <c r="G87" s="60" t="s">
        <v>236</v>
      </c>
      <c r="H87" s="60" t="s">
        <v>236</v>
      </c>
      <c r="I87" s="60" t="s">
        <v>246</v>
      </c>
      <c r="J87" s="60" t="s">
        <v>247</v>
      </c>
      <c r="K87" s="60" t="s">
        <v>246</v>
      </c>
      <c r="L87" s="60" t="s">
        <v>247</v>
      </c>
      <c r="M87" s="60" t="s">
        <v>248</v>
      </c>
      <c r="N87" s="60" t="s">
        <v>249</v>
      </c>
      <c r="O87" s="60" t="s">
        <v>248</v>
      </c>
      <c r="P87" s="60" t="s">
        <v>249</v>
      </c>
      <c r="Q87" s="60" t="s">
        <v>246</v>
      </c>
      <c r="R87" s="60" t="s">
        <v>247</v>
      </c>
      <c r="S87" s="60" t="s">
        <v>236</v>
      </c>
      <c r="T87" s="60" t="s">
        <v>236</v>
      </c>
      <c r="U87" s="60" t="s">
        <v>236</v>
      </c>
      <c r="V87" s="60" t="s">
        <v>236</v>
      </c>
    </row>
    <row r="88" spans="1:22" ht="69" x14ac:dyDescent="0.3">
      <c r="A88" s="61" t="s">
        <v>5</v>
      </c>
      <c r="B88" s="62" t="s">
        <v>58</v>
      </c>
      <c r="C88" s="63" t="s">
        <v>236</v>
      </c>
      <c r="D88" s="63" t="s">
        <v>236</v>
      </c>
      <c r="E88" s="63" t="s">
        <v>236</v>
      </c>
      <c r="F88" s="63" t="s">
        <v>236</v>
      </c>
      <c r="G88" s="63" t="s">
        <v>236</v>
      </c>
      <c r="H88" s="63" t="s">
        <v>236</v>
      </c>
      <c r="I88" s="63" t="s">
        <v>224</v>
      </c>
      <c r="J88" s="63" t="s">
        <v>225</v>
      </c>
      <c r="K88" s="63" t="s">
        <v>224</v>
      </c>
      <c r="L88" s="63" t="s">
        <v>225</v>
      </c>
      <c r="M88" s="63" t="s">
        <v>226</v>
      </c>
      <c r="N88" s="63" t="s">
        <v>227</v>
      </c>
      <c r="O88" s="63" t="s">
        <v>226</v>
      </c>
      <c r="P88" s="63" t="s">
        <v>227</v>
      </c>
      <c r="Q88" s="63" t="s">
        <v>224</v>
      </c>
      <c r="R88" s="63" t="s">
        <v>225</v>
      </c>
      <c r="S88" s="63" t="s">
        <v>236</v>
      </c>
      <c r="T88" s="63" t="s">
        <v>236</v>
      </c>
      <c r="U88" s="63" t="s">
        <v>236</v>
      </c>
      <c r="V88" s="63" t="s">
        <v>236</v>
      </c>
    </row>
    <row r="89" spans="1:22" ht="55.2" x14ac:dyDescent="0.3">
      <c r="A89" s="51" t="s">
        <v>8</v>
      </c>
      <c r="B89" s="52"/>
      <c r="C89" s="53" t="s">
        <v>236</v>
      </c>
      <c r="D89" s="53" t="s">
        <v>236</v>
      </c>
      <c r="E89" s="53" t="s">
        <v>236</v>
      </c>
      <c r="F89" s="53" t="s">
        <v>236</v>
      </c>
      <c r="G89" s="53" t="s">
        <v>236</v>
      </c>
      <c r="H89" s="53" t="s">
        <v>236</v>
      </c>
      <c r="I89" s="53" t="s">
        <v>236</v>
      </c>
      <c r="J89" s="53" t="s">
        <v>236</v>
      </c>
      <c r="K89" s="53" t="s">
        <v>236</v>
      </c>
      <c r="L89" s="53" t="s">
        <v>236</v>
      </c>
      <c r="M89" s="53" t="s">
        <v>228</v>
      </c>
      <c r="N89" s="53" t="s">
        <v>228</v>
      </c>
      <c r="O89" s="53" t="s">
        <v>228</v>
      </c>
      <c r="P89" s="53" t="s">
        <v>228</v>
      </c>
      <c r="Q89" s="53" t="s">
        <v>236</v>
      </c>
      <c r="R89" s="53" t="s">
        <v>236</v>
      </c>
      <c r="S89" s="53" t="s">
        <v>236</v>
      </c>
      <c r="T89" s="53" t="s">
        <v>236</v>
      </c>
      <c r="U89" s="53" t="s">
        <v>236</v>
      </c>
      <c r="V89" s="53" t="s">
        <v>236</v>
      </c>
    </row>
    <row r="90" spans="1:22" ht="55.2" x14ac:dyDescent="0.3">
      <c r="A90" s="55" t="s">
        <v>8</v>
      </c>
      <c r="B90" s="56" t="s">
        <v>56</v>
      </c>
      <c r="C90" s="57" t="s">
        <v>236</v>
      </c>
      <c r="D90" s="57" t="s">
        <v>236</v>
      </c>
      <c r="E90" s="57" t="s">
        <v>236</v>
      </c>
      <c r="F90" s="57" t="s">
        <v>236</v>
      </c>
      <c r="G90" s="57" t="s">
        <v>236</v>
      </c>
      <c r="H90" s="57" t="s">
        <v>236</v>
      </c>
      <c r="I90" s="57" t="s">
        <v>236</v>
      </c>
      <c r="J90" s="57" t="s">
        <v>236</v>
      </c>
      <c r="K90" s="57" t="s">
        <v>236</v>
      </c>
      <c r="L90" s="57" t="s">
        <v>236</v>
      </c>
      <c r="M90" s="57" t="s">
        <v>250</v>
      </c>
      <c r="N90" s="57" t="s">
        <v>250</v>
      </c>
      <c r="O90" s="57" t="s">
        <v>250</v>
      </c>
      <c r="P90" s="57" t="s">
        <v>250</v>
      </c>
      <c r="Q90" s="57" t="s">
        <v>236</v>
      </c>
      <c r="R90" s="57" t="s">
        <v>236</v>
      </c>
      <c r="S90" s="57" t="s">
        <v>236</v>
      </c>
      <c r="T90" s="57" t="s">
        <v>236</v>
      </c>
      <c r="U90" s="57" t="s">
        <v>236</v>
      </c>
      <c r="V90" s="57" t="s">
        <v>236</v>
      </c>
    </row>
    <row r="91" spans="1:22" ht="69" x14ac:dyDescent="0.3">
      <c r="A91" s="58" t="s">
        <v>8</v>
      </c>
      <c r="B91" s="59" t="s">
        <v>57</v>
      </c>
      <c r="C91" s="60" t="s">
        <v>236</v>
      </c>
      <c r="D91" s="60" t="s">
        <v>236</v>
      </c>
      <c r="E91" s="60" t="s">
        <v>236</v>
      </c>
      <c r="F91" s="60" t="s">
        <v>236</v>
      </c>
      <c r="G91" s="60" t="s">
        <v>236</v>
      </c>
      <c r="H91" s="60" t="s">
        <v>236</v>
      </c>
      <c r="I91" s="60" t="s">
        <v>236</v>
      </c>
      <c r="J91" s="60" t="s">
        <v>236</v>
      </c>
      <c r="K91" s="60" t="s">
        <v>236</v>
      </c>
      <c r="L91" s="60" t="s">
        <v>236</v>
      </c>
      <c r="M91" s="60" t="s">
        <v>251</v>
      </c>
      <c r="N91" s="60" t="s">
        <v>251</v>
      </c>
      <c r="O91" s="60" t="s">
        <v>251</v>
      </c>
      <c r="P91" s="60" t="s">
        <v>251</v>
      </c>
      <c r="Q91" s="60" t="s">
        <v>236</v>
      </c>
      <c r="R91" s="60" t="s">
        <v>236</v>
      </c>
      <c r="S91" s="60" t="s">
        <v>236</v>
      </c>
      <c r="T91" s="60" t="s">
        <v>236</v>
      </c>
      <c r="U91" s="60" t="s">
        <v>236</v>
      </c>
      <c r="V91" s="60" t="s">
        <v>236</v>
      </c>
    </row>
    <row r="92" spans="1:22" ht="55.2" x14ac:dyDescent="0.3">
      <c r="A92" s="61" t="s">
        <v>8</v>
      </c>
      <c r="B92" s="62" t="s">
        <v>58</v>
      </c>
      <c r="C92" s="63" t="s">
        <v>236</v>
      </c>
      <c r="D92" s="63" t="s">
        <v>236</v>
      </c>
      <c r="E92" s="63" t="s">
        <v>236</v>
      </c>
      <c r="F92" s="63" t="s">
        <v>236</v>
      </c>
      <c r="G92" s="63" t="s">
        <v>236</v>
      </c>
      <c r="H92" s="63" t="s">
        <v>236</v>
      </c>
      <c r="I92" s="63" t="s">
        <v>236</v>
      </c>
      <c r="J92" s="63" t="s">
        <v>236</v>
      </c>
      <c r="K92" s="63" t="s">
        <v>236</v>
      </c>
      <c r="L92" s="63" t="s">
        <v>236</v>
      </c>
      <c r="M92" s="63" t="s">
        <v>229</v>
      </c>
      <c r="N92" s="63" t="s">
        <v>229</v>
      </c>
      <c r="O92" s="63" t="s">
        <v>229</v>
      </c>
      <c r="P92" s="63" t="s">
        <v>229</v>
      </c>
      <c r="Q92" s="63" t="s">
        <v>236</v>
      </c>
      <c r="R92" s="63" t="s">
        <v>236</v>
      </c>
      <c r="S92" s="63" t="s">
        <v>236</v>
      </c>
      <c r="T92" s="63" t="s">
        <v>236</v>
      </c>
      <c r="U92" s="63" t="s">
        <v>236</v>
      </c>
      <c r="V92" s="63" t="s">
        <v>236</v>
      </c>
    </row>
    <row r="95" spans="1:22" x14ac:dyDescent="0.3">
      <c r="A95" s="189" t="s">
        <v>238</v>
      </c>
      <c r="B95" s="189"/>
      <c r="C95" s="189"/>
      <c r="D95" s="189"/>
      <c r="E95" s="189"/>
      <c r="F95" s="189"/>
      <c r="G95" s="189"/>
      <c r="H95" s="189"/>
      <c r="I95" s="189"/>
      <c r="J95" s="189"/>
      <c r="K95" s="189"/>
      <c r="L95" s="189"/>
      <c r="M95" s="189"/>
      <c r="N95" s="189"/>
      <c r="O95" s="189"/>
      <c r="P95" s="189"/>
      <c r="Q95" s="189"/>
      <c r="R95" s="189"/>
      <c r="S95" s="189"/>
      <c r="T95" s="189"/>
      <c r="U95" s="189"/>
      <c r="V95" s="189"/>
    </row>
    <row r="96" spans="1:22" ht="78" customHeight="1" x14ac:dyDescent="0.3">
      <c r="A96" s="7" t="s">
        <v>2</v>
      </c>
      <c r="B96" s="12"/>
      <c r="C96" s="53" t="str">
        <f t="shared" ref="C96:C127" si="0">IF(ISBLANK(C4),"",CONCATENATE(LEFT(SUBSTITUTE(SUBSTITUTE(SUBSTITUTE(SUBSTITUTE(SUBSTITUTE(SUBSTITUTE(SUBSTITUTE(SUBSTITUTE(SUBSTITUTE(SUBSTITUTE(SUBSTITUTE(SUBSTITUTE(SUBSTITUTE(SUBSTITUTE(SUBSTITUTE(SUBSTITUTE(SUBSTITUTE(SUBSTITUTE(C4,"CREATE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CHAR(1)",""),FIND(")",SUBSTITUTE(SUBSTITUTE(SUBSTITUTE(SUBSTITUTE(SUBSTITUTE(SUBSTITUTE(SUBSTITUTE(SUBSTITUTE(SUBSTITUTE(SUBSTITUTE(SUBSTITUTE(SUBSTITUTE(SUBSTITUTE(SUBSTITUTE(SUBSTITUTE(SUBSTITUTE(SUBSTITUTE(SUBSTITUTE(C4,"CREATE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CHAR(1)",""))-1),"
FROM %SCHEMA_1%%DICT_CODE%",SUBSTITUTE(LEFT(C4,FIND(",",C4)-1),"CREATE MULTISET TABLE %SCHEMA%%DICT_CODE%",""),";"))</f>
        <v>REPLACE VIEW %SCHEMA%%DICT_CODE%_MK AS
LOCKING ROW FOR ACCESS
SELECT MK, GUID
FROM %SCHEMA_1%%DICT_CODE%_MK;</v>
      </c>
      <c r="D96" s="53" t="str">
        <f t="shared" ref="D96:V110" si="1">IF(ISBLANK(D4),"",CONCATENATE(LEFT(SUBSTITUTE(SUBSTITUTE(SUBSTITUTE(SUBSTITUTE(SUBSTITUTE(SUBSTITUTE(SUBSTITUTE(SUBSTITUTE(SUBSTITUTE(SUBSTITUTE(SUBSTITUTE(SUBSTITUTE(SUBSTITUTE(SUBSTITUTE(SUBSTITUTE(SUBSTITUTE(SUBSTITUTE(SUBSTITUTE(D4,"CREATE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CHAR(1)",""),FIND(")",SUBSTITUTE(SUBSTITUTE(SUBSTITUTE(SUBSTITUTE(SUBSTITUTE(SUBSTITUTE(SUBSTITUTE(SUBSTITUTE(SUBSTITUTE(SUBSTITUTE(SUBSTITUTE(SUBSTITUTE(SUBSTITUTE(SUBSTITUTE(SUBSTITUTE(SUBSTITUTE(SUBSTITUTE(SUBSTITUTE(D4,"CREATE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CHAR(1)",""))-1),"
FROM %SCHEMA_1%%DICT_CODE%",SUBSTITUTE(LEFT(D4,FIND(",",D4)-1),"CREATE MULTISET TABLE %SCHEMA%%DICT_CODE%",""),";"))</f>
        <v>REPLACE VIEW %SCHEMA%%DICT_CODE%_MK AS
LOCKING ROW FOR ACCESS
SELECT MK, GUID
FROM %SCHEMA_1%%DICT_CODE%_MK;</v>
      </c>
      <c r="E96" s="53" t="str">
        <f t="shared" si="1"/>
        <v>REPLACE VIEW %SCHEMA%%DICT_CODE%_MK AS
LOCKING ROW FOR ACCESS
SELECT MK, LINK_FLAG, GUID
FROM %SCHEMA_1%%DICT_CODE%_MK;</v>
      </c>
      <c r="F96" s="53" t="str">
        <f t="shared" si="1"/>
        <v>REPLACE VIEW %SCHEMA%%DICT_CODE%_MK AS
LOCKING ROW FOR ACCESS
SELECT MK, LINK_FLAG, GUID
FROM %SCHEMA_1%%DICT_CODE%_MK;</v>
      </c>
      <c r="G96" s="53" t="str">
        <f t="shared" si="1"/>
        <v>REPLACE VIEW %SCHEMA%%DICT_CODE%_MK AS
LOCKING ROW FOR ACCESS
SELECT MK, GUID
FROM %SCHEMA_1%%DICT_CODE%_MK;</v>
      </c>
      <c r="H96" s="53" t="str">
        <f t="shared" si="1"/>
        <v>REPLACE VIEW %SCHEMA%%DICT_CODE%_MK AS
LOCKING ROW FOR ACCESS
SELECT MK, GUID
FROM %SCHEMA_1%%DICT_CODE%_MK;</v>
      </c>
      <c r="I96" s="53" t="str">
        <f t="shared" si="1"/>
        <v>REPLACE VIEW %SCHEMA%%DICT_CODE%_MK AS
LOCKING ROW FOR ACCESS
SELECT MK, GUID
FROM %SCHEMA_1%%DICT_CODE%_MK;</v>
      </c>
      <c r="J96" s="53" t="str">
        <f t="shared" si="1"/>
        <v>REPLACE VIEW %SCHEMA%%DICT_CODE%_MK AS
LOCKING ROW FOR ACCESS
SELECT MK, GUID
FROM %SCHEMA_1%%DICT_CODE%_MK;</v>
      </c>
      <c r="K96" s="53" t="str">
        <f t="shared" si="1"/>
        <v>REPLACE VIEW %SCHEMA%%DICT_CODE%_MK AS
LOCKING ROW FOR ACCESS
SELECT MK, LINK_FLAG, GUID
FROM %SCHEMA_1%%DICT_CODE%_MK;</v>
      </c>
      <c r="L96" s="53" t="str">
        <f t="shared" si="1"/>
        <v>REPLACE VIEW %SCHEMA%%DICT_CODE%_MK AS
LOCKING ROW FOR ACCESS
SELECT MK, LINK_FLAG, GUID
FROM %SCHEMA_1%%DICT_CODE%_MK;</v>
      </c>
      <c r="M96" s="53" t="str">
        <f t="shared" si="1"/>
        <v>REPLACE VIEW %SCHEMA%%DICT_CODE%_MK AS
LOCKING ROW FOR ACCESS
SELECT MK, GUID
FROM %SCHEMA_1%%DICT_CODE%_MK;</v>
      </c>
      <c r="N96" s="53" t="str">
        <f t="shared" si="1"/>
        <v>REPLACE VIEW %SCHEMA%%DICT_CODE%_MK AS
LOCKING ROW FOR ACCESS
SELECT MK, GUID
FROM %SCHEMA_1%%DICT_CODE%_MK;</v>
      </c>
      <c r="O96" s="53" t="str">
        <f t="shared" si="1"/>
        <v>REPLACE VIEW %SCHEMA%%DICT_CODE%_MK AS
LOCKING ROW FOR ACCESS
SELECT MK, LINK_FLAG, GUID
FROM %SCHEMA_1%%DICT_CODE%_MK;</v>
      </c>
      <c r="P96" s="53" t="str">
        <f t="shared" si="1"/>
        <v>REPLACE VIEW %SCHEMA%%DICT_CODE%_MK AS
LOCKING ROW FOR ACCESS
SELECT MK, LINK_FLAG, GUID
FROM %SCHEMA_1%%DICT_CODE%_MK;</v>
      </c>
      <c r="Q96" s="53" t="str">
        <f t="shared" si="1"/>
        <v>REPLACE VIEW %SCHEMA%%DICT_CODE%_MK AS
LOCKING ROW FOR ACCESS
SELECT MK, GUID
FROM %SCHEMA_1%%DICT_CODE%_MK;</v>
      </c>
      <c r="R96" s="53" t="str">
        <f t="shared" si="1"/>
        <v>REPLACE VIEW %SCHEMA%%DICT_CODE%_MK AS
LOCKING ROW FOR ACCESS
SELECT MK, GUID
FROM %SCHEMA_1%%DICT_CODE%_MK;</v>
      </c>
      <c r="S96" s="53" t="str">
        <f t="shared" si="1"/>
        <v/>
      </c>
      <c r="T96" s="53" t="str">
        <f t="shared" si="1"/>
        <v/>
      </c>
      <c r="U96" s="53" t="str">
        <f t="shared" si="1"/>
        <v/>
      </c>
      <c r="V96" s="53" t="str">
        <f t="shared" si="1"/>
        <v/>
      </c>
    </row>
    <row r="97" spans="1:22" ht="86.25" customHeight="1" x14ac:dyDescent="0.3">
      <c r="A97" s="13" t="s">
        <v>2</v>
      </c>
      <c r="B97" s="14" t="s">
        <v>56</v>
      </c>
      <c r="C97" s="57" t="str">
        <f t="shared" si="0"/>
        <v>REPLACE VIEW %SCHEMA%%DICT_CODE%_MK_S AS
LOCKING ROW FOR ACCESS
SELECT MK, GUID, RDM$OPC, RDM$VALIDFROM, RDM$RANK, MODIFY_USR_ID
FROM %SCHEMA_1%%DICT_CODE%_MK_S;</v>
      </c>
      <c r="D97" s="57" t="str">
        <f t="shared" ref="D97:R97" si="2">IF(ISBLANK(D5),"",CONCATENATE(LEFT(SUBSTITUTE(SUBSTITUTE(SUBSTITUTE(SUBSTITUTE(SUBSTITUTE(SUBSTITUTE(SUBSTITUTE(SUBSTITUTE(SUBSTITUTE(SUBSTITUTE(SUBSTITUTE(SUBSTITUTE(SUBSTITUTE(SUBSTITUTE(SUBSTITUTE(SUBSTITUTE(SUBSTITUTE(SUBSTITUTE(D5,"CREATE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CHAR(1)",""),FIND(")",SUBSTITUTE(SUBSTITUTE(SUBSTITUTE(SUBSTITUTE(SUBSTITUTE(SUBSTITUTE(SUBSTITUTE(SUBSTITUTE(SUBSTITUTE(SUBSTITUTE(SUBSTITUTE(SUBSTITUTE(SUBSTITUTE(SUBSTITUTE(SUBSTITUTE(SUBSTITUTE(SUBSTITUTE(SUBSTITUTE(D5,"CREATE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CHAR(1)",""))-1),"
FROM %SCHEMA_1%%DICT_CODE%",SUBSTITUTE(LEFT(D5,FIND(",",D5)-1),"CREATE MULTISET TABLE %SCHEMA%%DICT_CODE%",""),";"))</f>
        <v>REPLACE VIEW %SCHEMA%%DICT_CODE%_MK_S AS
LOCKING ROW FOR ACCESS
SELECT MK, GUID, RDM$OPC, RDM$VALIDFROM, RDM$RANK, MODIFY_USR_ID
FROM %SCHEMA_1%%DICT_CODE%_MK_S;</v>
      </c>
      <c r="E97" s="57" t="str">
        <f t="shared" si="2"/>
        <v>REPLACE VIEW %SCHEMA%%DICT_CODE%_MK_S AS
LOCKING ROW FOR ACCESS
SELECT MK, LINK_FLAG, GUID, RDM$OPC, RDM$VALIDFROM, RDM$RANK, MODIFY_USR_ID
FROM %SCHEMA_1%%DICT_CODE%_MK_S;</v>
      </c>
      <c r="F97" s="57" t="str">
        <f t="shared" si="2"/>
        <v>REPLACE VIEW %SCHEMA%%DICT_CODE%_MK_S AS
LOCKING ROW FOR ACCESS
SELECT MK, LINK_FLAG, GUID, RDM$OPC, RDM$VALIDFROM, RDM$RANK, MODIFY_USR_ID
FROM %SCHEMA_1%%DICT_CODE%_MK_S;</v>
      </c>
      <c r="G97" s="57" t="str">
        <f t="shared" si="2"/>
        <v>REPLACE VIEW %SCHEMA%%DICT_CODE%_MK_S AS
LOCKING ROW FOR ACCESS
SELECT MK, GUID, RDM$OPC, RDM$VALIDFROM, RDM$RANK, MODIFY_USR_ID
FROM %SCHEMA_1%%DICT_CODE%_MK_S;</v>
      </c>
      <c r="H97" s="57" t="str">
        <f t="shared" si="2"/>
        <v>REPLACE VIEW %SCHEMA%%DICT_CODE%_MK_S AS
LOCKING ROW FOR ACCESS
SELECT MK, GUID, RDM$OPC, RDM$VALIDFROM, RDM$RANK, MODIFY_USR_ID
FROM %SCHEMA_1%%DICT_CODE%_MK_S;</v>
      </c>
      <c r="I97" s="57" t="str">
        <f t="shared" si="2"/>
        <v>REPLACE VIEW %SCHEMA%%DICT_CODE%_MK_S AS
LOCKING ROW FOR ACCESS
SELECT MK, GUID, RDM$OPC, RDM$VALIDFROM, RDM$RANK, MODIFY_USR_ID
FROM %SCHEMA_1%%DICT_CODE%_MK_S;</v>
      </c>
      <c r="J97" s="57" t="str">
        <f t="shared" si="2"/>
        <v>REPLACE VIEW %SCHEMA%%DICT_CODE%_MK_S AS
LOCKING ROW FOR ACCESS
SELECT MK, GUID, RDM$OPC, RDM$VALIDFROM, RDM$RANK, MODIFY_USR_ID
FROM %SCHEMA_1%%DICT_CODE%_MK_S;</v>
      </c>
      <c r="K97" s="57" t="str">
        <f t="shared" si="2"/>
        <v>REPLACE VIEW %SCHEMA%%DICT_CODE%_MK_S AS
LOCKING ROW FOR ACCESS
SELECT MK, LINK_FLAG, GUID, RDM$OPC, RDM$VALIDFROM, RDM$RANK, MODIFY_USR_ID
FROM %SCHEMA_1%%DICT_CODE%_MK_S;</v>
      </c>
      <c r="L97" s="57" t="str">
        <f t="shared" si="2"/>
        <v>REPLACE VIEW %SCHEMA%%DICT_CODE%_MK_S AS
LOCKING ROW FOR ACCESS
SELECT MK, LINK_FLAG, GUID, RDM$OPC, RDM$VALIDFROM, RDM$RANK, MODIFY_USR_ID
FROM %SCHEMA_1%%DICT_CODE%_MK_S;</v>
      </c>
      <c r="M97" s="57" t="str">
        <f t="shared" si="2"/>
        <v>REPLACE VIEW %SCHEMA%%DICT_CODE%_MK_S AS
LOCKING ROW FOR ACCESS
SELECT MK, GUID, RDM$OPC, RDM$VALIDFROM, RDM$RANK, MODIFY_USR_ID
FROM %SCHEMA_1%%DICT_CODE%_MK_S;</v>
      </c>
      <c r="N97" s="57" t="str">
        <f t="shared" si="2"/>
        <v>REPLACE VIEW %SCHEMA%%DICT_CODE%_MK_S AS
LOCKING ROW FOR ACCESS
SELECT MK, GUID, RDM$OPC, RDM$VALIDFROM, RDM$RANK, MODIFY_USR_ID
FROM %SCHEMA_1%%DICT_CODE%_MK_S;</v>
      </c>
      <c r="O97" s="57" t="str">
        <f t="shared" si="2"/>
        <v>REPLACE VIEW %SCHEMA%%DICT_CODE%_MK_S AS
LOCKING ROW FOR ACCESS
SELECT MK, LINK_FLAG, GUID, RDM$OPC, RDM$VALIDFROM, RDM$RANK, MODIFY_USR_ID
FROM %SCHEMA_1%%DICT_CODE%_MK_S;</v>
      </c>
      <c r="P97" s="57" t="str">
        <f t="shared" si="2"/>
        <v>REPLACE VIEW %SCHEMA%%DICT_CODE%_MK_S AS
LOCKING ROW FOR ACCESS
SELECT MK, LINK_FLAG, GUID, RDM$OPC, RDM$VALIDFROM, RDM$RANK, MODIFY_USR_ID
FROM %SCHEMA_1%%DICT_CODE%_MK_S;</v>
      </c>
      <c r="Q97" s="57" t="str">
        <f t="shared" si="2"/>
        <v>REPLACE VIEW %SCHEMA%%DICT_CODE%_MK_S AS
LOCKING ROW FOR ACCESS
SELECT MK, GUID, RDM$OPC, RDM$VALIDFROM, RDM$RANK, MODIFY_USR_ID
FROM %SCHEMA_1%%DICT_CODE%_MK_S;</v>
      </c>
      <c r="R97" s="57" t="str">
        <f t="shared" si="2"/>
        <v>REPLACE VIEW %SCHEMA%%DICT_CODE%_MK_S AS
LOCKING ROW FOR ACCESS
SELECT MK, GUID, RDM$OPC, RDM$VALIDFROM, RDM$RANK, MODIFY_USR_ID
FROM %SCHEMA_1%%DICT_CODE%_MK_S;</v>
      </c>
      <c r="S97" s="57" t="str">
        <f t="shared" si="1"/>
        <v/>
      </c>
      <c r="T97" s="57" t="str">
        <f t="shared" si="1"/>
        <v/>
      </c>
      <c r="U97" s="57" t="str">
        <f t="shared" si="1"/>
        <v/>
      </c>
      <c r="V97" s="57" t="str">
        <f t="shared" si="1"/>
        <v/>
      </c>
    </row>
    <row r="98" spans="1:22" ht="86.25" customHeight="1" x14ac:dyDescent="0.3">
      <c r="A98" s="16" t="s">
        <v>2</v>
      </c>
      <c r="B98" s="17" t="s">
        <v>57</v>
      </c>
      <c r="C98" s="60" t="str">
        <f t="shared" si="0"/>
        <v>REPLACE VIEW %SCHEMA%%DICT_CODE%_MK_A AS
LOCKING ROW FOR ACCESS
SELECT MK, GUID, MODIFY_USR_ID, APPROVE_USR_ID, RDM$OPC, RDM$VALIDFROM
FROM %SCHEMA_1%%DICT_CODE%_MK_A;</v>
      </c>
      <c r="D98" s="60" t="str">
        <f t="shared" si="1"/>
        <v>REPLACE VIEW %SCHEMA%%DICT_CODE%_MK_A AS
LOCKING ROW FOR ACCESS
SELECT MK, GUID, MODIFY_USR_ID, APPROVE_USR_ID, RDM$OPC, RDM$VALIDFROM
FROM %SCHEMA_1%%DICT_CODE%_MK_A;</v>
      </c>
      <c r="E98" s="60" t="str">
        <f t="shared" si="1"/>
        <v>REPLACE VIEW %SCHEMA%%DICT_CODE%_MK_A AS
LOCKING ROW FOR ACCESS
SELECT MK, LINK_FLAG, GUID, MODIFY_USR_ID, APPROVE_USR_ID, RDM$OPC, RDM$VALIDFROM
FROM %SCHEMA_1%%DICT_CODE%_MK_A;</v>
      </c>
      <c r="F98" s="60" t="str">
        <f t="shared" si="1"/>
        <v>REPLACE VIEW %SCHEMA%%DICT_CODE%_MK_A AS
LOCKING ROW FOR ACCESS
SELECT MK, LINK_FLAG, GUID, MODIFY_USR_ID, APPROVE_USR_ID, RDM$OPC, RDM$VALIDFROM
FROM %SCHEMA_1%%DICT_CODE%_MK_A;</v>
      </c>
      <c r="G98" s="60" t="str">
        <f t="shared" si="1"/>
        <v>REPLACE VIEW %SCHEMA%%DICT_CODE%_MK_A AS
LOCKING ROW FOR ACCESS
SELECT MK, GUID, MODIFY_USR_ID, APPROVE_USR_ID, RDM$OPC, RDM$VALIDFROM
FROM %SCHEMA_1%%DICT_CODE%_MK_A;</v>
      </c>
      <c r="H98" s="60" t="str">
        <f t="shared" si="1"/>
        <v>REPLACE VIEW %SCHEMA%%DICT_CODE%_MK_A AS
LOCKING ROW FOR ACCESS
SELECT MK, GUID, MODIFY_USR_ID, APPROVE_USR_ID, RDM$OPC, RDM$VALIDFROM
FROM %SCHEMA_1%%DICT_CODE%_MK_A;</v>
      </c>
      <c r="I98" s="60" t="str">
        <f t="shared" si="1"/>
        <v>REPLACE VIEW %SCHEMA%%DICT_CODE%_MK_A AS
LOCKING ROW FOR ACCESS
SELECT MK, GUID, MODIFY_USR_ID, APPROVE_USR_ID, RDM$OPC, RDM$VALIDFROM
FROM %SCHEMA_1%%DICT_CODE%_MK_A;</v>
      </c>
      <c r="J98" s="60" t="str">
        <f t="shared" si="1"/>
        <v>REPLACE VIEW %SCHEMA%%DICT_CODE%_MK_A AS
LOCKING ROW FOR ACCESS
SELECT MK, GUID, MODIFY_USR_ID, APPROVE_USR_ID, RDM$OPC, RDM$VALIDFROM
FROM %SCHEMA_1%%DICT_CODE%_MK_A;</v>
      </c>
      <c r="K98" s="60" t="str">
        <f t="shared" si="1"/>
        <v>REPLACE VIEW %SCHEMA%%DICT_CODE%_MK_A AS
LOCKING ROW FOR ACCESS
SELECT MK, LINK_FLAG, GUID, MODIFY_USR_ID, APPROVE_USR_ID, RDM$OPC, RDM$VALIDFROM
FROM %SCHEMA_1%%DICT_CODE%_MK_A;</v>
      </c>
      <c r="L98" s="60" t="str">
        <f t="shared" si="1"/>
        <v>REPLACE VIEW %SCHEMA%%DICT_CODE%_MK_A AS
LOCKING ROW FOR ACCESS
SELECT MK, LINK_FLAG, GUID, MODIFY_USR_ID, APPROVE_USR_ID, RDM$OPC, RDM$VALIDFROM
FROM %SCHEMA_1%%DICT_CODE%_MK_A;</v>
      </c>
      <c r="M98" s="60" t="str">
        <f t="shared" si="1"/>
        <v>REPLACE VIEW %SCHEMA%%DICT_CODE%_MK_A AS
LOCKING ROW FOR ACCESS
SELECT MK, GUID, MODIFY_USR_ID, APPROVE_USR_ID, RDM$OPC, RDM$VALIDFROM
FROM %SCHEMA_1%%DICT_CODE%_MK_A;</v>
      </c>
      <c r="N98" s="60" t="str">
        <f t="shared" si="1"/>
        <v>REPLACE VIEW %SCHEMA%%DICT_CODE%_MK_A AS
LOCKING ROW FOR ACCESS
SELECT MK, GUID, MODIFY_USR_ID, APPROVE_USR_ID, RDM$OPC, RDM$VALIDFROM
FROM %SCHEMA_1%%DICT_CODE%_MK_A;</v>
      </c>
      <c r="O98" s="60" t="str">
        <f t="shared" si="1"/>
        <v>REPLACE VIEW %SCHEMA%%DICT_CODE%_MK_A AS
LOCKING ROW FOR ACCESS
SELECT MK, LINK_FLAG, GUID, MODIFY_USR_ID, APPROVE_USR_ID, RDM$OPC, RDM$VALIDFROM
FROM %SCHEMA_1%%DICT_CODE%_MK_A;</v>
      </c>
      <c r="P98" s="60" t="str">
        <f t="shared" si="1"/>
        <v>REPLACE VIEW %SCHEMA%%DICT_CODE%_MK_A AS
LOCKING ROW FOR ACCESS
SELECT MK, LINK_FLAG, GUID, MODIFY_USR_ID, APPROVE_USR_ID, RDM$OPC, RDM$VALIDFROM
FROM %SCHEMA_1%%DICT_CODE%_MK_A;</v>
      </c>
      <c r="Q98" s="60" t="str">
        <f t="shared" si="1"/>
        <v>REPLACE VIEW %SCHEMA%%DICT_CODE%_MK_A AS
LOCKING ROW FOR ACCESS
SELECT MK, GUID, MODIFY_USR_ID, APPROVE_USR_ID, RDM$OPC, RDM$VALIDFROM
FROM %SCHEMA_1%%DICT_CODE%_MK_A;</v>
      </c>
      <c r="R98" s="60" t="str">
        <f t="shared" si="1"/>
        <v>REPLACE VIEW %SCHEMA%%DICT_CODE%_MK_A AS
LOCKING ROW FOR ACCESS
SELECT MK, GUID, MODIFY_USR_ID, APPROVE_USR_ID, RDM$OPC, RDM$VALIDFROM
FROM %SCHEMA_1%%DICT_CODE%_MK_A;</v>
      </c>
      <c r="S98" s="60" t="str">
        <f t="shared" si="1"/>
        <v/>
      </c>
      <c r="T98" s="60" t="str">
        <f t="shared" si="1"/>
        <v/>
      </c>
      <c r="U98" s="60" t="str">
        <f t="shared" si="1"/>
        <v/>
      </c>
      <c r="V98" s="60" t="str">
        <f t="shared" si="1"/>
        <v/>
      </c>
    </row>
    <row r="99" spans="1:22" ht="64.5" customHeight="1" x14ac:dyDescent="0.3">
      <c r="A99" s="19" t="s">
        <v>2</v>
      </c>
      <c r="B99" s="20" t="s">
        <v>58</v>
      </c>
      <c r="C99" s="63" t="str">
        <f t="shared" si="0"/>
        <v>REPLACE VIEW %SCHEMA%%DICT_CODE%_MK_T AS
LOCKING ROW FOR ACCESS
SELECT MK, RDM$VALIDFROM, RDM$RANK
FROM %SCHEMA_1%%DICT_CODE%_MK_T;</v>
      </c>
      <c r="D99" s="63" t="str">
        <f t="shared" si="1"/>
        <v>REPLACE VIEW %SCHEMA%%DICT_CODE%_MK_T AS
LOCKING ROW FOR ACCESS
SELECT MK, RDM$VALIDFROM, RDM$RANK
FROM %SCHEMA_1%%DICT_CODE%_MK_T;</v>
      </c>
      <c r="E99" s="63" t="str">
        <f t="shared" si="1"/>
        <v>REPLACE VIEW %SCHEMA%%DICT_CODE%_MK_T AS
LOCKING ROW FOR ACCESS
SELECT MK, LINK_FLAG, RDM$VALIDFROM, RDM$RANK
FROM %SCHEMA_1%%DICT_CODE%_MK_T;</v>
      </c>
      <c r="F99" s="63" t="str">
        <f t="shared" si="1"/>
        <v>REPLACE VIEW %SCHEMA%%DICT_CODE%_MK_T AS
LOCKING ROW FOR ACCESS
SELECT MK, LINK_FLAG, RDM$VALIDFROM, RDM$RANK
FROM %SCHEMA_1%%DICT_CODE%_MK_T;</v>
      </c>
      <c r="G99" s="63" t="str">
        <f t="shared" si="1"/>
        <v>REPLACE VIEW %SCHEMA%%DICT_CODE%_MK_T AS
LOCKING ROW FOR ACCESS
SELECT MK, RDM$VALIDFROM, RDM$RANK
FROM %SCHEMA_1%%DICT_CODE%_MK_T;</v>
      </c>
      <c r="H99" s="63" t="str">
        <f t="shared" si="1"/>
        <v>REPLACE VIEW %SCHEMA%%DICT_CODE%_MK_T AS
LOCKING ROW FOR ACCESS
SELECT MK, RDM$VALIDFROM, RDM$RANK
FROM %SCHEMA_1%%DICT_CODE%_MK_T;</v>
      </c>
      <c r="I99" s="63" t="str">
        <f t="shared" si="1"/>
        <v>REPLACE VIEW %SCHEMA%%DICT_CODE%_MK_T AS
LOCKING ROW FOR ACCESS
SELECT MK, RDM$VALIDFROM, RDM$RANK
FROM %SCHEMA_1%%DICT_CODE%_MK_T;</v>
      </c>
      <c r="J99" s="63" t="str">
        <f t="shared" si="1"/>
        <v>REPLACE VIEW %SCHEMA%%DICT_CODE%_MK_T AS
LOCKING ROW FOR ACCESS
SELECT MK, RDM$VALIDFROM, RDM$RANK
FROM %SCHEMA_1%%DICT_CODE%_MK_T;</v>
      </c>
      <c r="K99" s="63" t="str">
        <f t="shared" si="1"/>
        <v>REPLACE VIEW %SCHEMA%%DICT_CODE%_MK_T AS
LOCKING ROW FOR ACCESS
SELECT MK, LINK_FLAG, RDM$VALIDFROM, RDM$RANK
FROM %SCHEMA_1%%DICT_CODE%_MK_T;</v>
      </c>
      <c r="L99" s="63" t="str">
        <f t="shared" si="1"/>
        <v>REPLACE VIEW %SCHEMA%%DICT_CODE%_MK_T AS
LOCKING ROW FOR ACCESS
SELECT MK, LINK_FLAG, RDM$VALIDFROM, RDM$RANK
FROM %SCHEMA_1%%DICT_CODE%_MK_T;</v>
      </c>
      <c r="M99" s="63" t="str">
        <f t="shared" si="1"/>
        <v>REPLACE VIEW %SCHEMA%%DICT_CODE%_MK_T AS
LOCKING ROW FOR ACCESS
SELECT MK, RDM$VALIDFROM, RDM$RANK
FROM %SCHEMA_1%%DICT_CODE%_MK_T;</v>
      </c>
      <c r="N99" s="63" t="str">
        <f t="shared" si="1"/>
        <v>REPLACE VIEW %SCHEMA%%DICT_CODE%_MK_T AS
LOCKING ROW FOR ACCESS
SELECT MK, RDM$VALIDFROM, RDM$RANK
FROM %SCHEMA_1%%DICT_CODE%_MK_T;</v>
      </c>
      <c r="O99" s="63" t="str">
        <f t="shared" si="1"/>
        <v>REPLACE VIEW %SCHEMA%%DICT_CODE%_MK_T AS
LOCKING ROW FOR ACCESS
SELECT MK, LINK_FLAG, RDM$VALIDFROM, RDM$RANK
FROM %SCHEMA_1%%DICT_CODE%_MK_T;</v>
      </c>
      <c r="P99" s="63" t="str">
        <f t="shared" si="1"/>
        <v>REPLACE VIEW %SCHEMA%%DICT_CODE%_MK_T AS
LOCKING ROW FOR ACCESS
SELECT MK, LINK_FLAG, RDM$VALIDFROM, RDM$RANK
FROM %SCHEMA_1%%DICT_CODE%_MK_T;</v>
      </c>
      <c r="Q99" s="63" t="str">
        <f t="shared" si="1"/>
        <v>REPLACE VIEW %SCHEMA%%DICT_CODE%_MK_T AS
LOCKING ROW FOR ACCESS
SELECT MK, RDM$VALIDFROM, RDM$RANK
FROM %SCHEMA_1%%DICT_CODE%_MK_T;</v>
      </c>
      <c r="R99" s="63" t="str">
        <f t="shared" si="1"/>
        <v>REPLACE VIEW %SCHEMA%%DICT_CODE%_MK_T AS
LOCKING ROW FOR ACCESS
SELECT MK, RDM$VALIDFROM, RDM$RANK
FROM %SCHEMA_1%%DICT_CODE%_MK_T;</v>
      </c>
      <c r="S99" s="63" t="str">
        <f t="shared" si="1"/>
        <v/>
      </c>
      <c r="T99" s="63" t="str">
        <f t="shared" si="1"/>
        <v/>
      </c>
      <c r="U99" s="63" t="str">
        <f t="shared" si="1"/>
        <v/>
      </c>
      <c r="V99" s="63" t="str">
        <f t="shared" si="1"/>
        <v/>
      </c>
    </row>
    <row r="100" spans="1:22" ht="55.2" x14ac:dyDescent="0.3">
      <c r="A100" s="7" t="s">
        <v>9</v>
      </c>
      <c r="B100" s="12"/>
      <c r="C100" s="53" t="str">
        <f t="shared" si="0"/>
        <v/>
      </c>
      <c r="D100" s="53" t="str">
        <f t="shared" si="1"/>
        <v/>
      </c>
      <c r="E100" s="53" t="str">
        <f t="shared" si="1"/>
        <v/>
      </c>
      <c r="F100" s="53" t="str">
        <f t="shared" si="1"/>
        <v/>
      </c>
      <c r="G100" s="53" t="str">
        <f t="shared" si="1"/>
        <v>REPLACE VIEW %SCHEMA%%DICT_CODE%_MSCN AS
LOCKING ROW FOR ACCESS
SELECT MSCN_ID, NM, GUID
FROM %SCHEMA_1%%DICT_CODE%_MSCN;</v>
      </c>
      <c r="H100" s="53" t="str">
        <f t="shared" si="1"/>
        <v>REPLACE VIEW %SCHEMA%%DICT_CODE%_MSCN AS
LOCKING ROW FOR ACCESS
SELECT MSCN_ID, NM, GUID
FROM %SCHEMA_1%%DICT_CODE%_MSCN;</v>
      </c>
      <c r="I100" s="53" t="str">
        <f t="shared" si="1"/>
        <v/>
      </c>
      <c r="J100" s="53" t="str">
        <f t="shared" si="1"/>
        <v/>
      </c>
      <c r="K100" s="53" t="str">
        <f t="shared" si="1"/>
        <v/>
      </c>
      <c r="L100" s="53" t="str">
        <f t="shared" si="1"/>
        <v/>
      </c>
      <c r="M100" s="53" t="str">
        <f t="shared" si="1"/>
        <v/>
      </c>
      <c r="N100" s="53" t="str">
        <f t="shared" si="1"/>
        <v/>
      </c>
      <c r="O100" s="53" t="str">
        <f t="shared" si="1"/>
        <v/>
      </c>
      <c r="P100" s="53" t="str">
        <f t="shared" si="1"/>
        <v/>
      </c>
      <c r="Q100" s="53" t="str">
        <f t="shared" si="1"/>
        <v>REPLACE VIEW %SCHEMA%%DICT_CODE%_MSCN AS
LOCKING ROW FOR ACCESS
SELECT MSCN_ID, NM, GUID
FROM %SCHEMA_1%%DICT_CODE%_MSCN;</v>
      </c>
      <c r="R100" s="53" t="str">
        <f t="shared" si="1"/>
        <v>REPLACE VIEW %SCHEMA%%DICT_CODE%_MSCN AS
LOCKING ROW FOR ACCESS
SELECT MSCN_ID, NM, GUID
FROM %SCHEMA_1%%DICT_CODE%_MSCN;</v>
      </c>
      <c r="S100" s="53" t="str">
        <f t="shared" si="1"/>
        <v/>
      </c>
      <c r="T100" s="53" t="str">
        <f t="shared" si="1"/>
        <v/>
      </c>
      <c r="U100" s="53" t="str">
        <f t="shared" si="1"/>
        <v>REPLACE VIEW %SCHEMA%%DICT_CODE%_MSCN AS
LOCKING ROW FOR ACCESS
SELECT MSCN_ID, NM, GUID
FROM %SCHEMA_1%%DICT_CODE%_MSCN;</v>
      </c>
      <c r="V100" s="53" t="str">
        <f t="shared" si="1"/>
        <v>REPLACE VIEW %SCHEMA%%DICT_CODE%_MSCN AS
LOCKING ROW FOR ACCESS
SELECT MSCN_ID, NM, GUID
FROM %SCHEMA_1%%DICT_CODE%_MSCN;</v>
      </c>
    </row>
    <row r="101" spans="1:22" ht="55.2" x14ac:dyDescent="0.3">
      <c r="A101" s="13" t="s">
        <v>9</v>
      </c>
      <c r="B101" s="14" t="s">
        <v>56</v>
      </c>
      <c r="C101" s="57" t="str">
        <f t="shared" si="0"/>
        <v/>
      </c>
      <c r="D101" s="57" t="str">
        <f t="shared" si="1"/>
        <v/>
      </c>
      <c r="E101" s="57" t="str">
        <f t="shared" si="1"/>
        <v/>
      </c>
      <c r="F101" s="57" t="str">
        <f t="shared" si="1"/>
        <v/>
      </c>
      <c r="G101" s="57" t="str">
        <f t="shared" si="1"/>
        <v>REPLACE VIEW %SCHEMA%%DICT_CODE%_MSCN_S AS
LOCKING ROW FOR ACCESS
SELECT MSCN_ID, NM, GUID, RDM$OPC, RDM$VALIDFROM, RDM$RANK, MODIFY_USR_ID
FROM %SCHEMA_1%%DICT_CODE%_MSCN_S;</v>
      </c>
      <c r="H101" s="57" t="str">
        <f t="shared" si="1"/>
        <v>REPLACE VIEW %SCHEMA%%DICT_CODE%_MSCN_S AS
LOCKING ROW FOR ACCESS
SELECT MSCN_ID, NM, GUID, RDM$OPC, RDM$VALIDFROM, RDM$RANK, MODIFY_USR_ID
FROM %SCHEMA_1%%DICT_CODE%_MSCN_S;</v>
      </c>
      <c r="I101" s="57" t="str">
        <f t="shared" si="1"/>
        <v/>
      </c>
      <c r="J101" s="57" t="str">
        <f t="shared" si="1"/>
        <v/>
      </c>
      <c r="K101" s="57" t="str">
        <f t="shared" si="1"/>
        <v/>
      </c>
      <c r="L101" s="57" t="str">
        <f t="shared" si="1"/>
        <v/>
      </c>
      <c r="M101" s="57" t="str">
        <f t="shared" si="1"/>
        <v/>
      </c>
      <c r="N101" s="57" t="str">
        <f t="shared" si="1"/>
        <v/>
      </c>
      <c r="O101" s="57" t="str">
        <f t="shared" si="1"/>
        <v/>
      </c>
      <c r="P101" s="57" t="str">
        <f t="shared" si="1"/>
        <v/>
      </c>
      <c r="Q101" s="57" t="str">
        <f t="shared" si="1"/>
        <v>REPLACE VIEW %SCHEMA%%DICT_CODE%_MSCN_S AS
LOCKING ROW FOR ACCESS
SELECT MSCN_ID, NM, GUID, RDM$OPC, RDM$VALIDFROM, RDM$RANK, MODIFY_USR_ID
FROM %SCHEMA_1%%DICT_CODE%_MSCN_S;</v>
      </c>
      <c r="R101" s="57" t="str">
        <f t="shared" si="1"/>
        <v>REPLACE VIEW %SCHEMA%%DICT_CODE%_MSCN_S AS
LOCKING ROW FOR ACCESS
SELECT MSCN_ID, NM, GUID, RDM$OPC, RDM$VALIDFROM, RDM$RANK, MODIFY_USR_ID
FROM %SCHEMA_1%%DICT_CODE%_MSCN_S;</v>
      </c>
      <c r="S101" s="57" t="str">
        <f t="shared" si="1"/>
        <v/>
      </c>
      <c r="T101" s="57" t="str">
        <f t="shared" si="1"/>
        <v/>
      </c>
      <c r="U101" s="57" t="str">
        <f t="shared" si="1"/>
        <v>REPLACE VIEW %SCHEMA%%DICT_CODE%_MSCN_S AS
LOCKING ROW FOR ACCESS
SELECT MSCN_ID, NM, GUID, RDM$OPC, RDM$VALIDFROM, RDM$RANK, MODIFY_USR_ID
FROM %SCHEMA_1%%DICT_CODE%_MSCN_S;</v>
      </c>
      <c r="V101" s="57" t="str">
        <f t="shared" si="1"/>
        <v>REPLACE VIEW %SCHEMA%%DICT_CODE%_MSCN_S AS
LOCKING ROW FOR ACCESS
SELECT MSCN_ID, NM, GUID, RDM$OPC, RDM$VALIDFROM, RDM$RANK, MODIFY_USR_ID
FROM %SCHEMA_1%%DICT_CODE%_MSCN_S;</v>
      </c>
    </row>
    <row r="102" spans="1:22" ht="69" x14ac:dyDescent="0.3">
      <c r="A102" s="16" t="s">
        <v>9</v>
      </c>
      <c r="B102" s="17" t="s">
        <v>57</v>
      </c>
      <c r="C102" s="60" t="str">
        <f t="shared" si="0"/>
        <v/>
      </c>
      <c r="D102" s="60" t="str">
        <f t="shared" si="1"/>
        <v/>
      </c>
      <c r="E102" s="60" t="str">
        <f t="shared" si="1"/>
        <v/>
      </c>
      <c r="F102" s="60" t="str">
        <f t="shared" si="1"/>
        <v/>
      </c>
      <c r="G102" s="60" t="str">
        <f t="shared" si="1"/>
        <v>REPLACE VIEW %SCHEMA%%DICT_CODE%_MSCN_A AS
LOCKING ROW FOR ACCESS
SELECT MSCN_ID, NM, GUID, MODIFY_USR_ID, APPROVE_USR_ID, RDM$OPC, RDM$VALIDFROM
FROM %SCHEMA_1%%DICT_CODE%_MSCN_A;</v>
      </c>
      <c r="H102" s="60" t="str">
        <f t="shared" si="1"/>
        <v>REPLACE VIEW %SCHEMA%%DICT_CODE%_MSCN_A AS
LOCKING ROW FOR ACCESS
SELECT MSCN_ID, NM, GUID, MODIFY_USR_ID, APPROVE_USR_ID, RDM$OPC, RDM$VALIDFROM
FROM %SCHEMA_1%%DICT_CODE%_MSCN_A;</v>
      </c>
      <c r="I102" s="60" t="str">
        <f t="shared" si="1"/>
        <v/>
      </c>
      <c r="J102" s="60" t="str">
        <f t="shared" si="1"/>
        <v/>
      </c>
      <c r="K102" s="60" t="str">
        <f t="shared" si="1"/>
        <v/>
      </c>
      <c r="L102" s="60" t="str">
        <f t="shared" si="1"/>
        <v/>
      </c>
      <c r="M102" s="60" t="str">
        <f t="shared" si="1"/>
        <v/>
      </c>
      <c r="N102" s="60" t="str">
        <f t="shared" si="1"/>
        <v/>
      </c>
      <c r="O102" s="60" t="str">
        <f t="shared" si="1"/>
        <v/>
      </c>
      <c r="P102" s="60" t="str">
        <f t="shared" si="1"/>
        <v/>
      </c>
      <c r="Q102" s="60" t="str">
        <f t="shared" si="1"/>
        <v>REPLACE VIEW %SCHEMA%%DICT_CODE%_MSCN_A AS
LOCKING ROW FOR ACCESS
SELECT MSCN_ID, NM, GUID, MODIFY_USR_ID, APPROVE_USR_ID, RDM$OPC, RDM$VALIDFROM
FROM %SCHEMA_1%%DICT_CODE%_MSCN_A;</v>
      </c>
      <c r="R102" s="60" t="str">
        <f t="shared" si="1"/>
        <v>REPLACE VIEW %SCHEMA%%DICT_CODE%_MSCN_A AS
LOCKING ROW FOR ACCESS
SELECT MSCN_ID, NM, GUID, MODIFY_USR_ID, APPROVE_USR_ID, RDM$OPC, RDM$VALIDFROM
FROM %SCHEMA_1%%DICT_CODE%_MSCN_A;</v>
      </c>
      <c r="S102" s="60" t="str">
        <f t="shared" si="1"/>
        <v/>
      </c>
      <c r="T102" s="60" t="str">
        <f t="shared" si="1"/>
        <v/>
      </c>
      <c r="U102" s="60" t="str">
        <f t="shared" si="1"/>
        <v>REPLACE VIEW %SCHEMA%%DICT_CODE%_MSCN_A AS
LOCKING ROW FOR ACCESS
SELECT MSCN_ID, NM, GUID, MODIFY_USR_ID, APPROVE_USR_ID, RDM$OPC, RDM$VALIDFROM
FROM %SCHEMA_1%%DICT_CODE%_MSCN_A;</v>
      </c>
      <c r="V102" s="60" t="str">
        <f t="shared" si="1"/>
        <v>REPLACE VIEW %SCHEMA%%DICT_CODE%_MSCN_A AS
LOCKING ROW FOR ACCESS
SELECT MSCN_ID, NM, GUID, MODIFY_USR_ID, APPROVE_USR_ID, RDM$OPC, RDM$VALIDFROM
FROM %SCHEMA_1%%DICT_CODE%_MSCN_A;</v>
      </c>
    </row>
    <row r="103" spans="1:22" ht="55.2" x14ac:dyDescent="0.3">
      <c r="A103" s="19" t="s">
        <v>9</v>
      </c>
      <c r="B103" s="20" t="s">
        <v>58</v>
      </c>
      <c r="C103" s="63" t="str">
        <f t="shared" si="0"/>
        <v/>
      </c>
      <c r="D103" s="63" t="str">
        <f t="shared" si="1"/>
        <v/>
      </c>
      <c r="E103" s="63" t="str">
        <f t="shared" si="1"/>
        <v/>
      </c>
      <c r="F103" s="63" t="str">
        <f t="shared" si="1"/>
        <v/>
      </c>
      <c r="G103" s="63" t="str">
        <f t="shared" si="1"/>
        <v>REPLACE VIEW %SCHEMA%%DICT_CODE%_MSCN_T AS
LOCKING ROW FOR ACCESS
SELECT MSCN_ID, NM, RDM$VALIDFROM, RDM$RANK
FROM %SCHEMA_1%%DICT_CODE%_MSCN_T;</v>
      </c>
      <c r="H103" s="63" t="str">
        <f t="shared" si="1"/>
        <v>REPLACE VIEW %SCHEMA%%DICT_CODE%_MSCN_T AS
LOCKING ROW FOR ACCESS
SELECT MSCN_ID, NM, RDM$VALIDFROM, RDM$RANK
FROM %SCHEMA_1%%DICT_CODE%_MSCN_T;</v>
      </c>
      <c r="I103" s="63" t="str">
        <f t="shared" si="1"/>
        <v/>
      </c>
      <c r="J103" s="63" t="str">
        <f t="shared" si="1"/>
        <v/>
      </c>
      <c r="K103" s="63" t="str">
        <f t="shared" si="1"/>
        <v/>
      </c>
      <c r="L103" s="63" t="str">
        <f t="shared" si="1"/>
        <v/>
      </c>
      <c r="M103" s="63" t="str">
        <f t="shared" si="1"/>
        <v/>
      </c>
      <c r="N103" s="63" t="str">
        <f t="shared" si="1"/>
        <v/>
      </c>
      <c r="O103" s="63" t="str">
        <f t="shared" si="1"/>
        <v/>
      </c>
      <c r="P103" s="63" t="str">
        <f t="shared" si="1"/>
        <v/>
      </c>
      <c r="Q103" s="63" t="str">
        <f t="shared" si="1"/>
        <v>REPLACE VIEW %SCHEMA%%DICT_CODE%_MSCN_T AS
LOCKING ROW FOR ACCESS
SELECT MSCN_ID, NM, RDM$VALIDFROM, RDM$RANK
FROM %SCHEMA_1%%DICT_CODE%_MSCN_T;</v>
      </c>
      <c r="R103" s="63" t="str">
        <f t="shared" si="1"/>
        <v>REPLACE VIEW %SCHEMA%%DICT_CODE%_MSCN_T AS
LOCKING ROW FOR ACCESS
SELECT MSCN_ID, NM, RDM$VALIDFROM, RDM$RANK
FROM %SCHEMA_1%%DICT_CODE%_MSCN_T;</v>
      </c>
      <c r="S103" s="63" t="str">
        <f t="shared" si="1"/>
        <v/>
      </c>
      <c r="T103" s="63" t="str">
        <f t="shared" si="1"/>
        <v/>
      </c>
      <c r="U103" s="63" t="str">
        <f t="shared" si="1"/>
        <v>REPLACE VIEW %SCHEMA%%DICT_CODE%_MSCN_T AS
LOCKING ROW FOR ACCESS
SELECT MSCN_ID, NM, RDM$VALIDFROM, RDM$RANK
FROM %SCHEMA_1%%DICT_CODE%_MSCN_T;</v>
      </c>
      <c r="V103" s="63" t="str">
        <f t="shared" si="1"/>
        <v>REPLACE VIEW %SCHEMA%%DICT_CODE%_MSCN_T AS
LOCKING ROW FOR ACCESS
SELECT MSCN_ID, NM, RDM$VALIDFROM, RDM$RANK
FROM %SCHEMA_1%%DICT_CODE%_MSCN_T;</v>
      </c>
    </row>
    <row r="104" spans="1:22" ht="55.2" x14ac:dyDescent="0.3">
      <c r="A104" s="7" t="s">
        <v>3</v>
      </c>
      <c r="B104" s="12"/>
      <c r="C104" s="53" t="str">
        <f t="shared" si="0"/>
        <v>REPLACE VIEW %SCHEMA%%DICT_CODE%_MAST AS
LOCKING ROW FOR ACCESS
SELECT %ADD_FIELD_SCRIPT% GUID
FROM %SCHEMA_1%%DICT_CODE%_MAST;</v>
      </c>
      <c r="D104" s="53" t="str">
        <f t="shared" si="1"/>
        <v>REPLACE VIEW %SCHEMA%%DICT_CODE%_MAST AS
LOCKING ROW FOR ACCESS
SELECT %ADD_FIELD_SCRIPT% GUID
FROM %SCHEMA_1%%DICT_CODE%_MAST;</v>
      </c>
      <c r="E104" s="53" t="str">
        <f t="shared" si="1"/>
        <v>REPLACE VIEW %SCHEMA%%DICT_CODE%_MAST AS
LOCKING ROW FOR ACCESS
SELECT %ADD_FIELD_SCRIPT% GUID
FROM %SCHEMA_1%%DICT_CODE%_MAST;</v>
      </c>
      <c r="F104" s="53" t="str">
        <f t="shared" si="1"/>
        <v>REPLACE VIEW %SCHEMA%%DICT_CODE%_MAST AS
LOCKING ROW FOR ACCESS
SELECT %ADD_FIELD_SCRIPT% GUID
FROM %SCHEMA_1%%DICT_CODE%_MAST;</v>
      </c>
      <c r="G104" s="53" t="str">
        <f t="shared" si="1"/>
        <v>REPLACE VIEW %SCHEMA%%DICT_CODE%_MAST AS
LOCKING ROW FOR ACCESS
SELECT %ADD_FIELD_SCRIPT% GUID
FROM %SCHEMA_1%%DICT_CODE%_MAST;</v>
      </c>
      <c r="H104" s="53" t="str">
        <f t="shared" si="1"/>
        <v>REPLACE VIEW %SCHEMA%%DICT_CODE%_MAST AS
LOCKING ROW FOR ACCESS
SELECT %ADD_FIELD_SCRIPT% GUID
FROM %SCHEMA_1%%DICT_CODE%_MAST;</v>
      </c>
      <c r="I104" s="53" t="str">
        <f t="shared" si="1"/>
        <v>REPLACE VIEW %SCHEMA%%DICT_CODE%_MAST AS
LOCKING ROW FOR ACCESS
SELECT %ADD_FIELD_SCRIPT% GUID
FROM %SCHEMA_1%%DICT_CODE%_MAST;</v>
      </c>
      <c r="J104" s="53" t="str">
        <f t="shared" si="1"/>
        <v>REPLACE VIEW %SCHEMA%%DICT_CODE%_MAST AS
LOCKING ROW FOR ACCESS
SELECT %ADD_FIELD_SCRIPT% GUID
FROM %SCHEMA_1%%DICT_CODE%_MAST;</v>
      </c>
      <c r="K104" s="53" t="str">
        <f t="shared" si="1"/>
        <v>REPLACE VIEW %SCHEMA%%DICT_CODE%_MAST AS
LOCKING ROW FOR ACCESS
SELECT %ADD_FIELD_SCRIPT% GUID
FROM %SCHEMA_1%%DICT_CODE%_MAST;</v>
      </c>
      <c r="L104" s="53" t="str">
        <f t="shared" si="1"/>
        <v>REPLACE VIEW %SCHEMA%%DICT_CODE%_MAST AS
LOCKING ROW FOR ACCESS
SELECT %ADD_FIELD_SCRIPT% GUID
FROM %SCHEMA_1%%DICT_CODE%_MAST;</v>
      </c>
      <c r="M104" s="53" t="str">
        <f t="shared" si="1"/>
        <v>REPLACE VIEW %SCHEMA%%DICT_CODE%_MAST AS
LOCKING ROW FOR ACCESS
SELECT %ADD_FIELD_SCRIPT% GUID
FROM %SCHEMA_1%%DICT_CODE%_MAST;</v>
      </c>
      <c r="N104" s="53" t="str">
        <f t="shared" si="1"/>
        <v>REPLACE VIEW %SCHEMA%%DICT_CODE%_MAST AS
LOCKING ROW FOR ACCESS
SELECT %ADD_FIELD_SCRIPT% GUID
FROM %SCHEMA_1%%DICT_CODE%_MAST;</v>
      </c>
      <c r="O104" s="53" t="str">
        <f t="shared" si="1"/>
        <v>REPLACE VIEW %SCHEMA%%DICT_CODE%_MAST AS
LOCKING ROW FOR ACCESS
SELECT %ADD_FIELD_SCRIPT% GUID
FROM %SCHEMA_1%%DICT_CODE%_MAST;</v>
      </c>
      <c r="P104" s="53" t="str">
        <f t="shared" si="1"/>
        <v>REPLACE VIEW %SCHEMA%%DICT_CODE%_MAST AS
LOCKING ROW FOR ACCESS
SELECT %ADD_FIELD_SCRIPT% GUID
FROM %SCHEMA_1%%DICT_CODE%_MAST;</v>
      </c>
      <c r="Q104" s="53" t="str">
        <f t="shared" si="1"/>
        <v>REPLACE VIEW %SCHEMA%%DICT_CODE%_MAST AS
LOCKING ROW FOR ACCESS
SELECT %ADD_FIELD_SCRIPT% GUID
FROM %SCHEMA_1%%DICT_CODE%_MAST;</v>
      </c>
      <c r="R104" s="53" t="str">
        <f t="shared" si="1"/>
        <v>REPLACE VIEW %SCHEMA%%DICT_CODE%_MAST AS
LOCKING ROW FOR ACCESS
SELECT %ADD_FIELD_SCRIPT% GUID
FROM %SCHEMA_1%%DICT_CODE%_MAST;</v>
      </c>
      <c r="S104" s="53" t="str">
        <f t="shared" si="1"/>
        <v>REPLACE VIEW %SCHEMA%%DICT_CODE%_MAST AS
LOCKING ROW FOR ACCESS
SELECT %ADD_FIELD_SCRIPT% GUID
FROM %SCHEMA_1%%DICT_CODE%_MAST;</v>
      </c>
      <c r="T104" s="53" t="str">
        <f t="shared" si="1"/>
        <v>REPLACE VIEW %SCHEMA%%DICT_CODE%_MAST AS
LOCKING ROW FOR ACCESS
SELECT %ADD_FIELD_SCRIPT% GUID
FROM %SCHEMA_1%%DICT_CODE%_MAST;</v>
      </c>
      <c r="U104" s="53" t="str">
        <f t="shared" si="1"/>
        <v>REPLACE VIEW %SCHEMA%%DICT_CODE%_MAST AS
LOCKING ROW FOR ACCESS
SELECT %ADD_FIELD_SCRIPT% GUID
FROM %SCHEMA_1%%DICT_CODE%_MAST;</v>
      </c>
      <c r="V104" s="53" t="str">
        <f t="shared" si="1"/>
        <v>REPLACE VIEW %SCHEMA%%DICT_CODE%_MAST AS
LOCKING ROW FOR ACCESS
SELECT %ADD_FIELD_SCRIPT% GUID
FROM %SCHEMA_1%%DICT_CODE%_MAST;</v>
      </c>
    </row>
    <row r="105" spans="1:22" ht="69" x14ac:dyDescent="0.3">
      <c r="A105" s="13" t="s">
        <v>3</v>
      </c>
      <c r="B105" s="14" t="s">
        <v>56</v>
      </c>
      <c r="C105" s="57" t="str">
        <f t="shared" si="0"/>
        <v>REPLACE VIEW %SCHEMA%%DICT_CODE%_MAST_S AS
LOCKING ROW FOR ACCESS
SELECT %ADD_FIELD_SCRIPT% GUID, RDM$OPC, RDM$VALIDFROM, RDM$RANK, MODIFY_USR_ID
FROM %SCHEMA_1%%DICT_CODE%_MAST_S;</v>
      </c>
      <c r="D105" s="57" t="str">
        <f t="shared" si="1"/>
        <v>REPLACE VIEW %SCHEMA%%DICT_CODE%_MAST_S AS
LOCKING ROW FOR ACCESS
SELECT %ADD_FIELD_SCRIPT% GUID, RDM$OPC, RDM$VALIDFROM, RDM$RANK, MODIFY_USR_ID
FROM %SCHEMA_1%%DICT_CODE%_MAST_S;</v>
      </c>
      <c r="E105" s="57" t="str">
        <f t="shared" si="1"/>
        <v>REPLACE VIEW %SCHEMA%%DICT_CODE%_MAST_S AS
LOCKING ROW FOR ACCESS
SELECT %ADD_FIELD_SCRIPT% GUID, RDM$OPC, RDM$VALIDFROM, RDM$RANK, MODIFY_USR_ID
FROM %SCHEMA_1%%DICT_CODE%_MAST_S;</v>
      </c>
      <c r="F105" s="57" t="str">
        <f t="shared" si="1"/>
        <v>REPLACE VIEW %SCHEMA%%DICT_CODE%_MAST_S AS
LOCKING ROW FOR ACCESS
SELECT %ADD_FIELD_SCRIPT% GUID, RDM$OPC, RDM$VALIDFROM, RDM$RANK, MODIFY_USR_ID
FROM %SCHEMA_1%%DICT_CODE%_MAST_S;</v>
      </c>
      <c r="G105" s="57" t="str">
        <f t="shared" si="1"/>
        <v>REPLACE VIEW %SCHEMA%%DICT_CODE%_MAST_S AS
LOCKING ROW FOR ACCESS
SELECT %ADD_FIELD_SCRIPT% GUID, RDM$OPC, RDM$VALIDFROM, RDM$RANK, MODIFY_USR_ID
FROM %SCHEMA_1%%DICT_CODE%_MAST_S;</v>
      </c>
      <c r="H105" s="57" t="str">
        <f t="shared" si="1"/>
        <v>REPLACE VIEW %SCHEMA%%DICT_CODE%_MAST_S AS
LOCKING ROW FOR ACCESS
SELECT %ADD_FIELD_SCRIPT% GUID, RDM$OPC, RDM$VALIDFROM, RDM$RANK, MODIFY_USR_ID
FROM %SCHEMA_1%%DICT_CODE%_MAST_S;</v>
      </c>
      <c r="I105" s="57" t="str">
        <f t="shared" si="1"/>
        <v>REPLACE VIEW %SCHEMA%%DICT_CODE%_MAST_S AS
LOCKING ROW FOR ACCESS
SELECT %ADD_FIELD_SCRIPT% GUID, RDM$OPC, RDM$VALIDFROM, RDM$RANK, MODIFY_USR_ID
FROM %SCHEMA_1%%DICT_CODE%_MAST_S;</v>
      </c>
      <c r="J105" s="57" t="str">
        <f t="shared" si="1"/>
        <v>REPLACE VIEW %SCHEMA%%DICT_CODE%_MAST_S AS
LOCKING ROW FOR ACCESS
SELECT %ADD_FIELD_SCRIPT% GUID, RDM$OPC, RDM$VALIDFROM, RDM$RANK, MODIFY_USR_ID
FROM %SCHEMA_1%%DICT_CODE%_MAST_S;</v>
      </c>
      <c r="K105" s="57" t="str">
        <f t="shared" si="1"/>
        <v>REPLACE VIEW %SCHEMA%%DICT_CODE%_MAST_S AS
LOCKING ROW FOR ACCESS
SELECT %ADD_FIELD_SCRIPT% GUID, RDM$OPC, RDM$VALIDFROM, RDM$RANK, MODIFY_USR_ID
FROM %SCHEMA_1%%DICT_CODE%_MAST_S;</v>
      </c>
      <c r="L105" s="57" t="str">
        <f t="shared" si="1"/>
        <v>REPLACE VIEW %SCHEMA%%DICT_CODE%_MAST_S AS
LOCKING ROW FOR ACCESS
SELECT %ADD_FIELD_SCRIPT% GUID, RDM$OPC, RDM$VALIDFROM, RDM$RANK, MODIFY_USR_ID
FROM %SCHEMA_1%%DICT_CODE%_MAST_S;</v>
      </c>
      <c r="M105" s="57" t="str">
        <f t="shared" si="1"/>
        <v>REPLACE VIEW %SCHEMA%%DICT_CODE%_MAST_S AS
LOCKING ROW FOR ACCESS
SELECT %ADD_FIELD_SCRIPT% GUID, RDM$OPC, RDM$VALIDFROM, RDM$RANK, MODIFY_USR_ID
FROM %SCHEMA_1%%DICT_CODE%_MAST_S;</v>
      </c>
      <c r="N105" s="57" t="str">
        <f t="shared" si="1"/>
        <v>REPLACE VIEW %SCHEMA%%DICT_CODE%_MAST_S AS
LOCKING ROW FOR ACCESS
SELECT %ADD_FIELD_SCRIPT% GUID, RDM$OPC, RDM$VALIDFROM, RDM$RANK, MODIFY_USR_ID
FROM %SCHEMA_1%%DICT_CODE%_MAST_S;</v>
      </c>
      <c r="O105" s="57" t="str">
        <f t="shared" si="1"/>
        <v>REPLACE VIEW %SCHEMA%%DICT_CODE%_MAST_S AS
LOCKING ROW FOR ACCESS
SELECT %ADD_FIELD_SCRIPT% GUID, RDM$OPC, RDM$VALIDFROM, RDM$RANK, MODIFY_USR_ID
FROM %SCHEMA_1%%DICT_CODE%_MAST_S;</v>
      </c>
      <c r="P105" s="57" t="str">
        <f t="shared" si="1"/>
        <v>REPLACE VIEW %SCHEMA%%DICT_CODE%_MAST_S AS
LOCKING ROW FOR ACCESS
SELECT %ADD_FIELD_SCRIPT% GUID, RDM$OPC, RDM$VALIDFROM, RDM$RANK, MODIFY_USR_ID
FROM %SCHEMA_1%%DICT_CODE%_MAST_S;</v>
      </c>
      <c r="Q105" s="57" t="str">
        <f t="shared" si="1"/>
        <v>REPLACE VIEW %SCHEMA%%DICT_CODE%_MAST_S AS
LOCKING ROW FOR ACCESS
SELECT %ADD_FIELD_SCRIPT% GUID, RDM$OPC, RDM$VALIDFROM, RDM$RANK, MODIFY_USR_ID
FROM %SCHEMA_1%%DICT_CODE%_MAST_S;</v>
      </c>
      <c r="R105" s="57" t="str">
        <f t="shared" si="1"/>
        <v>REPLACE VIEW %SCHEMA%%DICT_CODE%_MAST_S AS
LOCKING ROW FOR ACCESS
SELECT %ADD_FIELD_SCRIPT% GUID, RDM$OPC, RDM$VALIDFROM, RDM$RANK, MODIFY_USR_ID
FROM %SCHEMA_1%%DICT_CODE%_MAST_S;</v>
      </c>
      <c r="S105" s="57" t="str">
        <f t="shared" si="1"/>
        <v>REPLACE VIEW %SCHEMA%%DICT_CODE%_MAST_S AS
LOCKING ROW FOR ACCESS
SELECT %ADD_FIELD_SCRIPT% GUID, RDM$OPC, RDM$VALIDFROM, RDM$RANK, MODIFY_USR_ID
FROM %SCHEMA_1%%DICT_CODE%_MAST_S;</v>
      </c>
      <c r="T105" s="57" t="str">
        <f t="shared" si="1"/>
        <v>REPLACE VIEW %SCHEMA%%DICT_CODE%_MAST_S AS
LOCKING ROW FOR ACCESS
SELECT %ADD_FIELD_SCRIPT% GUID, RDM$OPC, RDM$VALIDFROM, RDM$RANK, MODIFY_USR_ID
FROM %SCHEMA_1%%DICT_CODE%_MAST_S;</v>
      </c>
      <c r="U105" s="57" t="str">
        <f t="shared" si="1"/>
        <v>REPLACE VIEW %SCHEMA%%DICT_CODE%_MAST_S AS
LOCKING ROW FOR ACCESS
SELECT %ADD_FIELD_SCRIPT% GUID, RDM$OPC, RDM$VALIDFROM, RDM$RANK, MODIFY_USR_ID
FROM %SCHEMA_1%%DICT_CODE%_MAST_S;</v>
      </c>
      <c r="V105" s="57" t="str">
        <f t="shared" si="1"/>
        <v>REPLACE VIEW %SCHEMA%%DICT_CODE%_MAST_S AS
LOCKING ROW FOR ACCESS
SELECT %ADD_FIELD_SCRIPT% GUID, RDM$OPC, RDM$VALIDFROM, RDM$RANK, MODIFY_USR_ID
FROM %SCHEMA_1%%DICT_CODE%_MAST_S;</v>
      </c>
    </row>
    <row r="106" spans="1:22" ht="69" x14ac:dyDescent="0.3">
      <c r="A106" s="16" t="s">
        <v>3</v>
      </c>
      <c r="B106" s="17" t="s">
        <v>57</v>
      </c>
      <c r="C106" s="60" t="str">
        <f t="shared" si="0"/>
        <v>REPLACE VIEW %SCHEMA%%DICT_CODE%_MAST_A AS
LOCKING ROW FOR ACCESS
SELECT %ADD_FIELD_SCRIPT% GUID, MODIFY_USR_ID, APPROVE_USR_ID, RDM$OPC, RDM$VALIDFROM
FROM %SCHEMA_1%%DICT_CODE%_MAST_A;</v>
      </c>
      <c r="D106" s="60" t="str">
        <f t="shared" si="1"/>
        <v>REPLACE VIEW %SCHEMA%%DICT_CODE%_MAST_A AS
LOCKING ROW FOR ACCESS
SELECT %ADD_FIELD_SCRIPT% GUID, MODIFY_USR_ID, APPROVE_USR_ID, RDM$OPC, RDM$VALIDFROM
FROM %SCHEMA_1%%DICT_CODE%_MAST_A;</v>
      </c>
      <c r="E106" s="60" t="str">
        <f t="shared" si="1"/>
        <v>REPLACE VIEW %SCHEMA%%DICT_CODE%_MAST_A AS
LOCKING ROW FOR ACCESS
SELECT %ADD_FIELD_SCRIPT% GUID, MODIFY_USR_ID, APPROVE_USR_ID, RDM$OPC, RDM$VALIDFROM
FROM %SCHEMA_1%%DICT_CODE%_MAST_A;</v>
      </c>
      <c r="F106" s="60" t="str">
        <f t="shared" si="1"/>
        <v>REPLACE VIEW %SCHEMA%%DICT_CODE%_MAST_A AS
LOCKING ROW FOR ACCESS
SELECT %ADD_FIELD_SCRIPT% GUID, MODIFY_USR_ID, APPROVE_USR_ID, RDM$OPC, RDM$VALIDFROM
FROM %SCHEMA_1%%DICT_CODE%_MAST_A;</v>
      </c>
      <c r="G106" s="60" t="str">
        <f t="shared" si="1"/>
        <v>REPLACE VIEW %SCHEMA%%DICT_CODE%_MAST_A AS
LOCKING ROW FOR ACCESS
SELECT %ADD_FIELD_SCRIPT% GUID, MODIFY_USR_ID, APPROVE_USR_ID, RDM$OPC, RDM$VALIDFROM
FROM %SCHEMA_1%%DICT_CODE%_MAST_A;</v>
      </c>
      <c r="H106" s="60" t="str">
        <f t="shared" si="1"/>
        <v>REPLACE VIEW %SCHEMA%%DICT_CODE%_MAST_A AS
LOCKING ROW FOR ACCESS
SELECT %ADD_FIELD_SCRIPT% GUID, MODIFY_USR_ID, APPROVE_USR_ID, RDM$OPC, RDM$VALIDFROM
FROM %SCHEMA_1%%DICT_CODE%_MAST_A;</v>
      </c>
      <c r="I106" s="60" t="str">
        <f t="shared" si="1"/>
        <v>REPLACE VIEW %SCHEMA%%DICT_CODE%_MAST_A AS
LOCKING ROW FOR ACCESS
SELECT %ADD_FIELD_SCRIPT% GUID, MODIFY_USR_ID, APPROVE_USR_ID, RDM$OPC, RDM$VALIDFROM
FROM %SCHEMA_1%%DICT_CODE%_MAST_A;</v>
      </c>
      <c r="J106" s="60" t="str">
        <f t="shared" si="1"/>
        <v>REPLACE VIEW %SCHEMA%%DICT_CODE%_MAST_A AS
LOCKING ROW FOR ACCESS
SELECT %ADD_FIELD_SCRIPT% GUID, MODIFY_USR_ID, APPROVE_USR_ID, RDM$OPC, RDM$VALIDFROM
FROM %SCHEMA_1%%DICT_CODE%_MAST_A;</v>
      </c>
      <c r="K106" s="60" t="str">
        <f t="shared" si="1"/>
        <v>REPLACE VIEW %SCHEMA%%DICT_CODE%_MAST_A AS
LOCKING ROW FOR ACCESS
SELECT %ADD_FIELD_SCRIPT% GUID, MODIFY_USR_ID, APPROVE_USR_ID, RDM$OPC, RDM$VALIDFROM
FROM %SCHEMA_1%%DICT_CODE%_MAST_A;</v>
      </c>
      <c r="L106" s="60" t="str">
        <f t="shared" si="1"/>
        <v>REPLACE VIEW %SCHEMA%%DICT_CODE%_MAST_A AS
LOCKING ROW FOR ACCESS
SELECT %ADD_FIELD_SCRIPT% GUID, MODIFY_USR_ID, APPROVE_USR_ID, RDM$OPC, RDM$VALIDFROM
FROM %SCHEMA_1%%DICT_CODE%_MAST_A;</v>
      </c>
      <c r="M106" s="60" t="str">
        <f t="shared" si="1"/>
        <v>REPLACE VIEW %SCHEMA%%DICT_CODE%_MAST_A AS
LOCKING ROW FOR ACCESS
SELECT %ADD_FIELD_SCRIPT% GUID, MODIFY_USR_ID, APPROVE_USR_ID, RDM$OPC, RDM$VALIDFROM
FROM %SCHEMA_1%%DICT_CODE%_MAST_A;</v>
      </c>
      <c r="N106" s="60" t="str">
        <f t="shared" si="1"/>
        <v>REPLACE VIEW %SCHEMA%%DICT_CODE%_MAST_A AS
LOCKING ROW FOR ACCESS
SELECT %ADD_FIELD_SCRIPT% GUID, MODIFY_USR_ID, APPROVE_USR_ID, RDM$OPC, RDM$VALIDFROM
FROM %SCHEMA_1%%DICT_CODE%_MAST_A;</v>
      </c>
      <c r="O106" s="60" t="str">
        <f t="shared" si="1"/>
        <v>REPLACE VIEW %SCHEMA%%DICT_CODE%_MAST_A AS
LOCKING ROW FOR ACCESS
SELECT %ADD_FIELD_SCRIPT% GUID, MODIFY_USR_ID, APPROVE_USR_ID, RDM$OPC, RDM$VALIDFROM
FROM %SCHEMA_1%%DICT_CODE%_MAST_A;</v>
      </c>
      <c r="P106" s="60" t="str">
        <f t="shared" si="1"/>
        <v>REPLACE VIEW %SCHEMA%%DICT_CODE%_MAST_A AS
LOCKING ROW FOR ACCESS
SELECT %ADD_FIELD_SCRIPT% GUID, MODIFY_USR_ID, APPROVE_USR_ID, RDM$OPC, RDM$VALIDFROM
FROM %SCHEMA_1%%DICT_CODE%_MAST_A;</v>
      </c>
      <c r="Q106" s="60" t="str">
        <f t="shared" si="1"/>
        <v>REPLACE VIEW %SCHEMA%%DICT_CODE%_MAST_A AS
LOCKING ROW FOR ACCESS
SELECT %ADD_FIELD_SCRIPT% GUID, MODIFY_USR_ID, APPROVE_USR_ID, RDM$OPC, RDM$VALIDFROM
FROM %SCHEMA_1%%DICT_CODE%_MAST_A;</v>
      </c>
      <c r="R106" s="60" t="str">
        <f t="shared" si="1"/>
        <v>REPLACE VIEW %SCHEMA%%DICT_CODE%_MAST_A AS
LOCKING ROW FOR ACCESS
SELECT %ADD_FIELD_SCRIPT% GUID, MODIFY_USR_ID, APPROVE_USR_ID, RDM$OPC, RDM$VALIDFROM
FROM %SCHEMA_1%%DICT_CODE%_MAST_A;</v>
      </c>
      <c r="S106" s="60" t="str">
        <f t="shared" si="1"/>
        <v>REPLACE VIEW %SCHEMA%%DICT_CODE%_MAST_A AS
LOCKING ROW FOR ACCESS
SELECT %ADD_FIELD_SCRIPT% GUID, MODIFY_USR_ID, APPROVE_USR_ID, RDM$OPC, RDM$VALIDFROM
FROM %SCHEMA_1%%DICT_CODE%_MAST_A;</v>
      </c>
      <c r="T106" s="60" t="str">
        <f t="shared" si="1"/>
        <v>REPLACE VIEW %SCHEMA%%DICT_CODE%_MAST_A AS
LOCKING ROW FOR ACCESS
SELECT %ADD_FIELD_SCRIPT% GUID, MODIFY_USR_ID, APPROVE_USR_ID, RDM$OPC, RDM$VALIDFROM
FROM %SCHEMA_1%%DICT_CODE%_MAST_A;</v>
      </c>
      <c r="U106" s="60" t="str">
        <f t="shared" si="1"/>
        <v>REPLACE VIEW %SCHEMA%%DICT_CODE%_MAST_A AS
LOCKING ROW FOR ACCESS
SELECT %ADD_FIELD_SCRIPT% GUID, MODIFY_USR_ID, APPROVE_USR_ID, RDM$OPC, RDM$VALIDFROM
FROM %SCHEMA_1%%DICT_CODE%_MAST_A;</v>
      </c>
      <c r="V106" s="60" t="str">
        <f t="shared" si="1"/>
        <v>REPLACE VIEW %SCHEMA%%DICT_CODE%_MAST_A AS
LOCKING ROW FOR ACCESS
SELECT %ADD_FIELD_SCRIPT% GUID, MODIFY_USR_ID, APPROVE_USR_ID, RDM$OPC, RDM$VALIDFROM
FROM %SCHEMA_1%%DICT_CODE%_MAST_A;</v>
      </c>
    </row>
    <row r="107" spans="1:22" ht="55.2" x14ac:dyDescent="0.3">
      <c r="A107" s="19" t="s">
        <v>3</v>
      </c>
      <c r="B107" s="20" t="s">
        <v>58</v>
      </c>
      <c r="C107" s="63" t="str">
        <f t="shared" si="0"/>
        <v>REPLACE VIEW %SCHEMA%%DICT_CODE%_MAST_T AS
LOCKING ROW FOR ACCESS
SELECT %ADD_FIELD_SCRIPT% RDM$VALIDFROM, RDM$RANK
FROM %SCHEMA_1%%DICT_CODE%_MAST_T;</v>
      </c>
      <c r="D107" s="63" t="str">
        <f t="shared" si="1"/>
        <v>REPLACE VIEW %SCHEMA%%DICT_CODE%_MAST_T AS
LOCKING ROW FOR ACCESS
SELECT %ADD_FIELD_SCRIPT% RDM$VALIDFROM, RDM$RANK
FROM %SCHEMA_1%%DICT_CODE%_MAST_T;</v>
      </c>
      <c r="E107" s="63" t="str">
        <f t="shared" si="1"/>
        <v>REPLACE VIEW %SCHEMA%%DICT_CODE%_MAST_T AS
LOCKING ROW FOR ACCESS
SELECT %ADD_FIELD_SCRIPT% RDM$VALIDFROM, RDM$RANK
FROM %SCHEMA_1%%DICT_CODE%_MAST_T;</v>
      </c>
      <c r="F107" s="63" t="str">
        <f t="shared" si="1"/>
        <v>REPLACE VIEW %SCHEMA%%DICT_CODE%_MAST_T AS
LOCKING ROW FOR ACCESS
SELECT %ADD_FIELD_SCRIPT% RDM$VALIDFROM, RDM$RANK
FROM %SCHEMA_1%%DICT_CODE%_MAST_T;</v>
      </c>
      <c r="G107" s="63" t="str">
        <f t="shared" si="1"/>
        <v>REPLACE VIEW %SCHEMA%%DICT_CODE%_MAST_T AS
LOCKING ROW FOR ACCESS
SELECT %ADD_FIELD_SCRIPT% RDM$VALIDFROM, RDM$RANK
FROM %SCHEMA_1%%DICT_CODE%_MAST_T;</v>
      </c>
      <c r="H107" s="63" t="str">
        <f t="shared" si="1"/>
        <v>REPLACE VIEW %SCHEMA%%DICT_CODE%_MAST_T AS
LOCKING ROW FOR ACCESS
SELECT %ADD_FIELD_SCRIPT% RDM$VALIDFROM, RDM$RANK
FROM %SCHEMA_1%%DICT_CODE%_MAST_T;</v>
      </c>
      <c r="I107" s="63" t="str">
        <f t="shared" si="1"/>
        <v>REPLACE VIEW %SCHEMA%%DICT_CODE%_MAST_T AS
LOCKING ROW FOR ACCESS
SELECT %ADD_FIELD_SCRIPT% RDM$VALIDFROM, RDM$RANK
FROM %SCHEMA_1%%DICT_CODE%_MAST_T;</v>
      </c>
      <c r="J107" s="63" t="str">
        <f t="shared" si="1"/>
        <v>REPLACE VIEW %SCHEMA%%DICT_CODE%_MAST_T AS
LOCKING ROW FOR ACCESS
SELECT %ADD_FIELD_SCRIPT% RDM$VALIDFROM, RDM$RANK
FROM %SCHEMA_1%%DICT_CODE%_MAST_T;</v>
      </c>
      <c r="K107" s="63" t="str">
        <f t="shared" si="1"/>
        <v>REPLACE VIEW %SCHEMA%%DICT_CODE%_MAST_T AS
LOCKING ROW FOR ACCESS
SELECT %ADD_FIELD_SCRIPT% RDM$VALIDFROM, RDM$RANK
FROM %SCHEMA_1%%DICT_CODE%_MAST_T;</v>
      </c>
      <c r="L107" s="63" t="str">
        <f t="shared" si="1"/>
        <v>REPLACE VIEW %SCHEMA%%DICT_CODE%_MAST_T AS
LOCKING ROW FOR ACCESS
SELECT %ADD_FIELD_SCRIPT% RDM$VALIDFROM, RDM$RANK
FROM %SCHEMA_1%%DICT_CODE%_MAST_T;</v>
      </c>
      <c r="M107" s="63" t="str">
        <f t="shared" si="1"/>
        <v>REPLACE VIEW %SCHEMA%%DICT_CODE%_MAST_T AS
LOCKING ROW FOR ACCESS
SELECT %ADD_FIELD_SCRIPT% RDM$VALIDFROM, RDM$RANK
FROM %SCHEMA_1%%DICT_CODE%_MAST_T;</v>
      </c>
      <c r="N107" s="63" t="str">
        <f t="shared" si="1"/>
        <v>REPLACE VIEW %SCHEMA%%DICT_CODE%_MAST_T AS
LOCKING ROW FOR ACCESS
SELECT %ADD_FIELD_SCRIPT% RDM$VALIDFROM, RDM$RANK
FROM %SCHEMA_1%%DICT_CODE%_MAST_T;</v>
      </c>
      <c r="O107" s="63" t="str">
        <f t="shared" si="1"/>
        <v>REPLACE VIEW %SCHEMA%%DICT_CODE%_MAST_T AS
LOCKING ROW FOR ACCESS
SELECT %ADD_FIELD_SCRIPT% RDM$VALIDFROM, RDM$RANK
FROM %SCHEMA_1%%DICT_CODE%_MAST_T;</v>
      </c>
      <c r="P107" s="63" t="str">
        <f t="shared" si="1"/>
        <v>REPLACE VIEW %SCHEMA%%DICT_CODE%_MAST_T AS
LOCKING ROW FOR ACCESS
SELECT %ADD_FIELD_SCRIPT% RDM$VALIDFROM, RDM$RANK
FROM %SCHEMA_1%%DICT_CODE%_MAST_T;</v>
      </c>
      <c r="Q107" s="63" t="str">
        <f t="shared" si="1"/>
        <v>REPLACE VIEW %SCHEMA%%DICT_CODE%_MAST_T AS
LOCKING ROW FOR ACCESS
SELECT %ADD_FIELD_SCRIPT% RDM$VALIDFROM, RDM$RANK
FROM %SCHEMA_1%%DICT_CODE%_MAST_T;</v>
      </c>
      <c r="R107" s="63" t="str">
        <f t="shared" si="1"/>
        <v>REPLACE VIEW %SCHEMA%%DICT_CODE%_MAST_T AS
LOCKING ROW FOR ACCESS
SELECT %ADD_FIELD_SCRIPT% RDM$VALIDFROM, RDM$RANK
FROM %SCHEMA_1%%DICT_CODE%_MAST_T;</v>
      </c>
      <c r="S107" s="63" t="str">
        <f t="shared" si="1"/>
        <v>REPLACE VIEW %SCHEMA%%DICT_CODE%_MAST_T AS
LOCKING ROW FOR ACCESS
SELECT %ADD_FIELD_SCRIPT% RDM$VALIDFROM, RDM$RANK
FROM %SCHEMA_1%%DICT_CODE%_MAST_T;</v>
      </c>
      <c r="T107" s="63" t="str">
        <f t="shared" si="1"/>
        <v>REPLACE VIEW %SCHEMA%%DICT_CODE%_MAST_T AS
LOCKING ROW FOR ACCESS
SELECT %ADD_FIELD_SCRIPT% RDM$VALIDFROM, RDM$RANK
FROM %SCHEMA_1%%DICT_CODE%_MAST_T;</v>
      </c>
      <c r="U107" s="63" t="str">
        <f t="shared" si="1"/>
        <v>REPLACE VIEW %SCHEMA%%DICT_CODE%_MAST_T AS
LOCKING ROW FOR ACCESS
SELECT %ADD_FIELD_SCRIPT% RDM$VALIDFROM, RDM$RANK
FROM %SCHEMA_1%%DICT_CODE%_MAST_T;</v>
      </c>
      <c r="V107" s="63" t="str">
        <f t="shared" si="1"/>
        <v>REPLACE VIEW %SCHEMA%%DICT_CODE%_MAST_T AS
LOCKING ROW FOR ACCESS
SELECT %ADD_FIELD_SCRIPT% RDM$VALIDFROM, RDM$RANK
FROM %SCHEMA_1%%DICT_CODE%_MAST_T;</v>
      </c>
    </row>
    <row r="108" spans="1:22" ht="55.2" x14ac:dyDescent="0.3">
      <c r="A108" s="7" t="s">
        <v>4</v>
      </c>
      <c r="B108" s="12"/>
      <c r="C108" s="53" t="str">
        <f t="shared" si="0"/>
        <v/>
      </c>
      <c r="D108" s="53" t="str">
        <f t="shared" si="1"/>
        <v/>
      </c>
      <c r="E108" s="53" t="str">
        <f t="shared" si="1"/>
        <v>REPLACE VIEW %SCHEMA%%DICT_CODE%_XREF AS
LOCKING ROW FOR ACCESS
SELECT TGT_ID, MK, START_DT, END_DT, GUID
FROM %SCHEMA_1%%DICT_CODE%_XREF;</v>
      </c>
      <c r="F108" s="53" t="str">
        <f t="shared" si="1"/>
        <v>REPLACE VIEW %SCHEMA%%DICT_CODE%_XREF AS
LOCKING ROW FOR ACCESS
SELECT TGT_ID, MK, START_DT, END_DT, GUID
FROM %SCHEMA_1%%DICT_CODE%_XREF;</v>
      </c>
      <c r="G108" s="53" t="str">
        <f t="shared" si="1"/>
        <v/>
      </c>
      <c r="H108" s="53" t="str">
        <f t="shared" si="1"/>
        <v/>
      </c>
      <c r="I108" s="53" t="str">
        <f t="shared" si="1"/>
        <v/>
      </c>
      <c r="J108" s="53" t="str">
        <f t="shared" si="1"/>
        <v/>
      </c>
      <c r="K108" s="53" t="str">
        <f t="shared" si="1"/>
        <v>REPLACE VIEW %SCHEMA%%DICT_CODE%_XREF AS
LOCKING ROW FOR ACCESS
SELECT TGT_ID, MK, START_DT, END_DT, GUID
FROM %SCHEMA_1%%DICT_CODE%_XREF;</v>
      </c>
      <c r="L108" s="53" t="str">
        <f t="shared" si="1"/>
        <v>REPLACE VIEW %SCHEMA%%DICT_CODE%_XREF AS
LOCKING ROW FOR ACCESS
SELECT TGT_ID, MK, START_DT, END_DT, GUID
FROM %SCHEMA_1%%DICT_CODE%_XREF;</v>
      </c>
      <c r="M108" s="53" t="str">
        <f t="shared" si="1"/>
        <v/>
      </c>
      <c r="N108" s="53" t="str">
        <f t="shared" si="1"/>
        <v/>
      </c>
      <c r="O108" s="53" t="str">
        <f t="shared" si="1"/>
        <v>REPLACE VIEW %SCHEMA%%DICT_CODE%_XREF AS
LOCKING ROW FOR ACCESS
SELECT TGT_ID, MK, START_DT, END_DT, GUID
FROM %SCHEMA_1%%DICT_CODE%_XREF;</v>
      </c>
      <c r="P108" s="53" t="str">
        <f t="shared" si="1"/>
        <v>REPLACE VIEW %SCHEMA%%DICT_CODE%_XREF AS
LOCKING ROW FOR ACCESS
SELECT TGT_ID, MK, START_DT, END_DT, GUID
FROM %SCHEMA_1%%DICT_CODE%_XREF;</v>
      </c>
      <c r="Q108" s="53" t="str">
        <f t="shared" si="1"/>
        <v/>
      </c>
      <c r="R108" s="53" t="str">
        <f t="shared" si="1"/>
        <v/>
      </c>
      <c r="S108" s="53" t="str">
        <f t="shared" si="1"/>
        <v/>
      </c>
      <c r="T108" s="53" t="str">
        <f t="shared" si="1"/>
        <v/>
      </c>
      <c r="U108" s="53" t="str">
        <f t="shared" si="1"/>
        <v/>
      </c>
      <c r="V108" s="53" t="str">
        <f t="shared" si="1"/>
        <v/>
      </c>
    </row>
    <row r="109" spans="1:22" ht="69" x14ac:dyDescent="0.3">
      <c r="A109" s="13" t="s">
        <v>4</v>
      </c>
      <c r="B109" s="14" t="s">
        <v>56</v>
      </c>
      <c r="C109" s="57" t="str">
        <f t="shared" si="0"/>
        <v/>
      </c>
      <c r="D109" s="57" t="str">
        <f t="shared" si="1"/>
        <v/>
      </c>
      <c r="E109" s="57" t="str">
        <f t="shared" si="1"/>
        <v>REPLACE VIEW %SCHEMA%%DICT_CODE%_XREF_S AS
LOCKING ROW FOR ACCESS
SELECT TGT_ID, MK, START_DT, END_DT, GUID, RDM$OPC, RDM$VALIDFROM, RDM$RANK, MODIFY_USR_ID
FROM %SCHEMA_1%%DICT_CODE%_XREF_S;</v>
      </c>
      <c r="F109" s="57" t="str">
        <f t="shared" si="1"/>
        <v>REPLACE VIEW %SCHEMA%%DICT_CODE%_XREF_S AS
LOCKING ROW FOR ACCESS
SELECT TGT_ID, MK, START_DT, END_DT, GUID, RDM$OPC, RDM$VALIDFROM, RDM$RANK, MODIFY_USR_ID
FROM %SCHEMA_1%%DICT_CODE%_XREF_S;</v>
      </c>
      <c r="G109" s="57" t="str">
        <f t="shared" si="1"/>
        <v/>
      </c>
      <c r="H109" s="57" t="str">
        <f t="shared" si="1"/>
        <v/>
      </c>
      <c r="I109" s="57" t="str">
        <f t="shared" si="1"/>
        <v/>
      </c>
      <c r="J109" s="57" t="str">
        <f t="shared" si="1"/>
        <v/>
      </c>
      <c r="K109" s="57" t="str">
        <f t="shared" si="1"/>
        <v>REPLACE VIEW %SCHEMA%%DICT_CODE%_XREF_S AS
LOCKING ROW FOR ACCESS
SELECT TGT_ID, MK, START_DT, END_DT, GUID, RDM$OPC, RDM$VALIDFROM, RDM$RANK, MODIFY_USR_ID
FROM %SCHEMA_1%%DICT_CODE%_XREF_S;</v>
      </c>
      <c r="L109" s="57" t="str">
        <f t="shared" si="1"/>
        <v>REPLACE VIEW %SCHEMA%%DICT_CODE%_XREF_S AS
LOCKING ROW FOR ACCESS
SELECT TGT_ID, MK, START_DT, END_DT, GUID, RDM$OPC, RDM$VALIDFROM, RDM$RANK, MODIFY_USR_ID
FROM %SCHEMA_1%%DICT_CODE%_XREF_S;</v>
      </c>
      <c r="M109" s="57" t="str">
        <f t="shared" si="1"/>
        <v/>
      </c>
      <c r="N109" s="57" t="str">
        <f t="shared" si="1"/>
        <v/>
      </c>
      <c r="O109" s="57" t="str">
        <f t="shared" si="1"/>
        <v>REPLACE VIEW %SCHEMA%%DICT_CODE%_XREF_S AS
LOCKING ROW FOR ACCESS
SELECT TGT_ID, MK, START_DT, END_DT, GUID, RDM$OPC, RDM$VALIDFROM, RDM$RANK, MODIFY_USR_ID
FROM %SCHEMA_1%%DICT_CODE%_XREF_S;</v>
      </c>
      <c r="P109" s="57" t="str">
        <f t="shared" si="1"/>
        <v>REPLACE VIEW %SCHEMA%%DICT_CODE%_XREF_S AS
LOCKING ROW FOR ACCESS
SELECT TGT_ID, MK, START_DT, END_DT, GUID, RDM$OPC, RDM$VALIDFROM, RDM$RANK, MODIFY_USR_ID
FROM %SCHEMA_1%%DICT_CODE%_XREF_S;</v>
      </c>
      <c r="Q109" s="57" t="str">
        <f t="shared" si="1"/>
        <v/>
      </c>
      <c r="R109" s="57" t="str">
        <f t="shared" si="1"/>
        <v/>
      </c>
      <c r="S109" s="57" t="str">
        <f t="shared" si="1"/>
        <v/>
      </c>
      <c r="T109" s="57" t="str">
        <f t="shared" si="1"/>
        <v/>
      </c>
      <c r="U109" s="57" t="str">
        <f t="shared" si="1"/>
        <v/>
      </c>
      <c r="V109" s="57" t="str">
        <f t="shared" si="1"/>
        <v/>
      </c>
    </row>
    <row r="110" spans="1:22" ht="69" x14ac:dyDescent="0.3">
      <c r="A110" s="16" t="s">
        <v>4</v>
      </c>
      <c r="B110" s="17" t="s">
        <v>57</v>
      </c>
      <c r="C110" s="60" t="str">
        <f t="shared" si="0"/>
        <v/>
      </c>
      <c r="D110" s="60" t="str">
        <f t="shared" si="1"/>
        <v/>
      </c>
      <c r="E110" s="60" t="str">
        <f t="shared" si="1"/>
        <v>REPLACE VIEW %SCHEMA%%DICT_CODE%_XREF_A AS
LOCKING ROW FOR ACCESS
SELECT TGT_ID, MK, START_DT, END_DT, GUID, MODIFY_USR_ID, APPROVE_USR_ID, RDM$OPC, RDM$VALIDFROM
FROM %SCHEMA_1%%DICT_CODE%_XREF_A;</v>
      </c>
      <c r="F110" s="60" t="str">
        <f t="shared" si="1"/>
        <v>REPLACE VIEW %SCHEMA%%DICT_CODE%_XREF_A AS
LOCKING ROW FOR ACCESS
SELECT TGT_ID, MK, START_DT, END_DT, GUID, MODIFY_USR_ID, APPROVE_USR_ID, RDM$OPC, RDM$VALIDFROM
FROM %SCHEMA_1%%DICT_CODE%_XREF_A;</v>
      </c>
      <c r="G110" s="60" t="str">
        <f t="shared" si="1"/>
        <v/>
      </c>
      <c r="H110" s="60" t="str">
        <f t="shared" ref="D110:V123" si="3">IF(ISBLANK(H18),"",CONCATENATE(LEFT(SUBSTITUTE(SUBSTITUTE(SUBSTITUTE(SUBSTITUTE(SUBSTITUTE(SUBSTITUTE(SUBSTITUTE(SUBSTITUTE(SUBSTITUTE(SUBSTITUTE(SUBSTITUTE(SUBSTITUTE(SUBSTITUTE(SUBSTITUTE(SUBSTITUTE(SUBSTITUTE(SUBSTITUTE(SUBSTITUTE(H18,"CREATE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CHAR(1)",""),FIND(")",SUBSTITUTE(SUBSTITUTE(SUBSTITUTE(SUBSTITUTE(SUBSTITUTE(SUBSTITUTE(SUBSTITUTE(SUBSTITUTE(SUBSTITUTE(SUBSTITUTE(SUBSTITUTE(SUBSTITUTE(SUBSTITUTE(SUBSTITUTE(SUBSTITUTE(SUBSTITUTE(SUBSTITUTE(SUBSTITUTE(H18,"CREATE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CHAR(1)",""))-1),"
FROM %SCHEMA_1%%DICT_CODE%",SUBSTITUTE(LEFT(H18,FIND(",",H18)-1),"CREATE MULTISET TABLE %SCHEMA%%DICT_CODE%",""),";"))</f>
        <v/>
      </c>
      <c r="I110" s="60" t="str">
        <f t="shared" si="3"/>
        <v/>
      </c>
      <c r="J110" s="60" t="str">
        <f t="shared" si="3"/>
        <v/>
      </c>
      <c r="K110" s="60" t="str">
        <f t="shared" si="3"/>
        <v>REPLACE VIEW %SCHEMA%%DICT_CODE%_XREF_A AS
LOCKING ROW FOR ACCESS
SELECT TGT_ID, MK, START_DT, END_DT, GUID, MODIFY_USR_ID, APPROVE_USR_ID, RDM$OPC, RDM$VALIDFROM
FROM %SCHEMA_1%%DICT_CODE%_XREF_A;</v>
      </c>
      <c r="L110" s="60" t="str">
        <f t="shared" si="3"/>
        <v>REPLACE VIEW %SCHEMA%%DICT_CODE%_XREF_A AS
LOCKING ROW FOR ACCESS
SELECT TGT_ID, MK, START_DT, END_DT, GUID, MODIFY_USR_ID, APPROVE_USR_ID, RDM$OPC, RDM$VALIDFROM
FROM %SCHEMA_1%%DICT_CODE%_XREF_A;</v>
      </c>
      <c r="M110" s="60" t="str">
        <f t="shared" si="3"/>
        <v/>
      </c>
      <c r="N110" s="60" t="str">
        <f t="shared" si="3"/>
        <v/>
      </c>
      <c r="O110" s="60" t="str">
        <f t="shared" si="3"/>
        <v>REPLACE VIEW %SCHEMA%%DICT_CODE%_XREF_A AS
LOCKING ROW FOR ACCESS
SELECT TGT_ID, MK, START_DT, END_DT, GUID, MODIFY_USR_ID, APPROVE_USR_ID, RDM$OPC, RDM$VALIDFROM
FROM %SCHEMA_1%%DICT_CODE%_XREF_A;</v>
      </c>
      <c r="P110" s="60" t="str">
        <f t="shared" si="3"/>
        <v>REPLACE VIEW %SCHEMA%%DICT_CODE%_XREF_A AS
LOCKING ROW FOR ACCESS
SELECT TGT_ID, MK, START_DT, END_DT, GUID, MODIFY_USR_ID, APPROVE_USR_ID, RDM$OPC, RDM$VALIDFROM
FROM %SCHEMA_1%%DICT_CODE%_XREF_A;</v>
      </c>
      <c r="Q110" s="60" t="str">
        <f t="shared" si="3"/>
        <v/>
      </c>
      <c r="R110" s="60" t="str">
        <f t="shared" si="3"/>
        <v/>
      </c>
      <c r="S110" s="60" t="str">
        <f t="shared" si="3"/>
        <v/>
      </c>
      <c r="T110" s="60" t="str">
        <f t="shared" si="3"/>
        <v/>
      </c>
      <c r="U110" s="60" t="str">
        <f t="shared" si="3"/>
        <v/>
      </c>
      <c r="V110" s="60" t="str">
        <f t="shared" si="3"/>
        <v/>
      </c>
    </row>
    <row r="111" spans="1:22" ht="55.2" x14ac:dyDescent="0.3">
      <c r="A111" s="19" t="s">
        <v>4</v>
      </c>
      <c r="B111" s="20" t="s">
        <v>58</v>
      </c>
      <c r="C111" s="63" t="str">
        <f t="shared" si="0"/>
        <v/>
      </c>
      <c r="D111" s="63" t="str">
        <f t="shared" si="3"/>
        <v/>
      </c>
      <c r="E111" s="63" t="str">
        <f t="shared" si="3"/>
        <v>REPLACE VIEW %SCHEMA%%DICT_CODE%_XREF_T AS
LOCKING ROW FOR ACCESS
SELECT TGT_ORIG, MK, TGT_ID, START_DT, END_DT, RDM$VALIDFROM, RDM$RANK
FROM %SCHEMA_1%%DICT_CODE%_XREF_T;</v>
      </c>
      <c r="F111" s="63" t="str">
        <f t="shared" si="3"/>
        <v>REPLACE VIEW %SCHEMA%%DICT_CODE%_XREF_T AS
LOCKING ROW FOR ACCESS
SELECT TGT_ORIG, MK, TGT_ID, START_DT, END_DT, RDM$VALIDFROM, RDM$RANK
FROM %SCHEMA_1%%DICT_CODE%_XREF_T;</v>
      </c>
      <c r="G111" s="63" t="str">
        <f t="shared" si="3"/>
        <v/>
      </c>
      <c r="H111" s="63" t="str">
        <f t="shared" si="3"/>
        <v/>
      </c>
      <c r="I111" s="63" t="str">
        <f t="shared" si="3"/>
        <v/>
      </c>
      <c r="J111" s="63" t="str">
        <f t="shared" si="3"/>
        <v/>
      </c>
      <c r="K111" s="63" t="str">
        <f t="shared" si="3"/>
        <v>REPLACE VIEW %SCHEMA%%DICT_CODE%_XREF_T AS
LOCKING ROW FOR ACCESS
SELECT TGT_ORIG, MK, TGT_ID, START_DT, END_DT, RDM$VALIDFROM, RDM$RANK
FROM %SCHEMA_1%%DICT_CODE%_XREF_T;</v>
      </c>
      <c r="L111" s="63" t="str">
        <f t="shared" si="3"/>
        <v>REPLACE VIEW %SCHEMA%%DICT_CODE%_XREF_T AS
LOCKING ROW FOR ACCESS
SELECT TGT_ORIG, MK, TGT_ID, START_DT, END_DT, RDM$VALIDFROM, RDM$RANK
FROM %SCHEMA_1%%DICT_CODE%_XREF_T;</v>
      </c>
      <c r="M111" s="63" t="str">
        <f t="shared" si="3"/>
        <v/>
      </c>
      <c r="N111" s="63" t="str">
        <f t="shared" si="3"/>
        <v/>
      </c>
      <c r="O111" s="63" t="str">
        <f t="shared" si="3"/>
        <v>REPLACE VIEW %SCHEMA%%DICT_CODE%_XREF_T AS
LOCKING ROW FOR ACCESS
SELECT TGT_ORIG, MK, TGT_ID, START_DT, END_DT, RDM$VALIDFROM, RDM$RANK
FROM %SCHEMA_1%%DICT_CODE%_XREF_T;</v>
      </c>
      <c r="P111" s="63" t="str">
        <f t="shared" si="3"/>
        <v>REPLACE VIEW %SCHEMA%%DICT_CODE%_XREF_T AS
LOCKING ROW FOR ACCESS
SELECT TGT_ORIG, MK, TGT_ID, START_DT, END_DT, RDM$VALIDFROM, RDM$RANK
FROM %SCHEMA_1%%DICT_CODE%_XREF_T;</v>
      </c>
      <c r="Q111" s="63" t="str">
        <f t="shared" si="3"/>
        <v/>
      </c>
      <c r="R111" s="63" t="str">
        <f t="shared" si="3"/>
        <v/>
      </c>
      <c r="S111" s="63" t="str">
        <f t="shared" si="3"/>
        <v/>
      </c>
      <c r="T111" s="63" t="str">
        <f t="shared" si="3"/>
        <v/>
      </c>
      <c r="U111" s="63" t="str">
        <f t="shared" si="3"/>
        <v/>
      </c>
      <c r="V111" s="63" t="str">
        <f t="shared" si="3"/>
        <v/>
      </c>
    </row>
    <row r="112" spans="1:22" ht="55.2" x14ac:dyDescent="0.3">
      <c r="A112" s="7" t="s">
        <v>6</v>
      </c>
      <c r="B112" s="12"/>
      <c r="C112" s="53" t="str">
        <f t="shared" si="0"/>
        <v/>
      </c>
      <c r="D112" s="53" t="str">
        <f t="shared" si="3"/>
        <v/>
      </c>
      <c r="E112" s="53" t="str">
        <f t="shared" si="3"/>
        <v/>
      </c>
      <c r="F112" s="53" t="str">
        <f t="shared" si="3"/>
        <v/>
      </c>
      <c r="G112" s="53" t="str">
        <f t="shared" si="3"/>
        <v/>
      </c>
      <c r="H112" s="53" t="str">
        <f t="shared" si="3"/>
        <v/>
      </c>
      <c r="I112" s="53" t="str">
        <f t="shared" si="3"/>
        <v>REPLACE VIEW %SCHEMA%%DICT_CODE%_HLEV AS
LOCKING ROW FOR ACCESS
SELECT HLEV_ID, NM, GUID
FROM %SCHEMA_1%%DICT_CODE%_HLEV;</v>
      </c>
      <c r="J112" s="53" t="str">
        <f t="shared" si="3"/>
        <v>REPLACE VIEW %SCHEMA%%DICT_CODE%_HLEV AS
LOCKING ROW FOR ACCESS
SELECT HLEV_ID, NM, GUID
FROM %SCHEMA_1%%DICT_CODE%_HLEV;</v>
      </c>
      <c r="K112" s="53" t="str">
        <f t="shared" si="3"/>
        <v>REPLACE VIEW %SCHEMA%%DICT_CODE%_HLEV AS
LOCKING ROW FOR ACCESS
SELECT HLEV_ID, NM, GUID
FROM %SCHEMA_1%%DICT_CODE%_HLEV;</v>
      </c>
      <c r="L112" s="53" t="str">
        <f t="shared" si="3"/>
        <v>REPLACE VIEW %SCHEMA%%DICT_CODE%_HLEV AS
LOCKING ROW FOR ACCESS
SELECT HLEV_ID, NM, GUID
FROM %SCHEMA_1%%DICT_CODE%_HLEV;</v>
      </c>
      <c r="M112" s="53" t="str">
        <f t="shared" si="3"/>
        <v>REPLACE VIEW %SCHEMA%%DICT_CODE%_HLEV AS
LOCKING ROW FOR ACCESS
SELECT HLEV_ID, NM, GUID
FROM %SCHEMA_1%%DICT_CODE%_HLEV;</v>
      </c>
      <c r="N112" s="53" t="str">
        <f t="shared" si="3"/>
        <v>REPLACE VIEW %SCHEMA%%DICT_CODE%_HLEV AS
LOCKING ROW FOR ACCESS
SELECT HLEV_ID, NM, GUID
FROM %SCHEMA_1%%DICT_CODE%_HLEV;</v>
      </c>
      <c r="O112" s="53" t="str">
        <f t="shared" si="3"/>
        <v>REPLACE VIEW %SCHEMA%%DICT_CODE%_HLEV AS
LOCKING ROW FOR ACCESS
SELECT HLEV_ID, NM, GUID
FROM %SCHEMA_1%%DICT_CODE%_HLEV;</v>
      </c>
      <c r="P112" s="53" t="str">
        <f t="shared" si="3"/>
        <v>REPLACE VIEW %SCHEMA%%DICT_CODE%_HLEV AS
LOCKING ROW FOR ACCESS
SELECT HLEV_ID, NM, GUID
FROM %SCHEMA_1%%DICT_CODE%_HLEV;</v>
      </c>
      <c r="Q112" s="53" t="str">
        <f t="shared" si="3"/>
        <v>REPLACE VIEW %SCHEMA%%DICT_CODE%_HLEV AS
LOCKING ROW FOR ACCESS
SELECT HLEV_ID, NM, GUID
FROM %SCHEMA_1%%DICT_CODE%_HLEV;</v>
      </c>
      <c r="R112" s="53" t="str">
        <f t="shared" si="3"/>
        <v>REPLACE VIEW %SCHEMA%%DICT_CODE%_HLEV AS
LOCKING ROW FOR ACCESS
SELECT HLEV_ID, NM, GUID
FROM %SCHEMA_1%%DICT_CODE%_HLEV;</v>
      </c>
      <c r="S112" s="53" t="str">
        <f t="shared" si="3"/>
        <v/>
      </c>
      <c r="T112" s="53" t="str">
        <f t="shared" si="3"/>
        <v/>
      </c>
      <c r="U112" s="53" t="str">
        <f t="shared" si="3"/>
        <v/>
      </c>
      <c r="V112" s="53" t="str">
        <f t="shared" si="3"/>
        <v/>
      </c>
    </row>
    <row r="113" spans="1:22" ht="55.2" x14ac:dyDescent="0.3">
      <c r="A113" s="13" t="s">
        <v>6</v>
      </c>
      <c r="B113" s="14" t="s">
        <v>56</v>
      </c>
      <c r="C113" s="57" t="str">
        <f t="shared" si="0"/>
        <v/>
      </c>
      <c r="D113" s="57" t="str">
        <f t="shared" si="3"/>
        <v/>
      </c>
      <c r="E113" s="57" t="str">
        <f t="shared" si="3"/>
        <v/>
      </c>
      <c r="F113" s="57" t="str">
        <f t="shared" si="3"/>
        <v/>
      </c>
      <c r="G113" s="57" t="str">
        <f t="shared" si="3"/>
        <v/>
      </c>
      <c r="H113" s="57" t="str">
        <f t="shared" si="3"/>
        <v/>
      </c>
      <c r="I113" s="57" t="str">
        <f t="shared" si="3"/>
        <v>REPLACE VIEW %SCHEMA%%DICT_CODE%_HLEV_S AS
LOCKING ROW FOR ACCESS
SELECT HLEV_ID, NM, GUID, RDM$OPC, RDM$VALIDFROM, RDM$RANK, MODIFY_USR_ID
FROM %SCHEMA_1%%DICT_CODE%_HLEV_S;</v>
      </c>
      <c r="J113" s="57" t="str">
        <f t="shared" si="3"/>
        <v>REPLACE VIEW %SCHEMA%%DICT_CODE%_HLEV_S AS
LOCKING ROW FOR ACCESS
SELECT HLEV_ID, NM, GUID, RDM$OPC, RDM$VALIDFROM, RDM$RANK, MODIFY_USR_ID
FROM %SCHEMA_1%%DICT_CODE%_HLEV_S;</v>
      </c>
      <c r="K113" s="57" t="str">
        <f t="shared" si="3"/>
        <v>REPLACE VIEW %SCHEMA%%DICT_CODE%_HLEV_S AS
LOCKING ROW FOR ACCESS
SELECT HLEV_ID, NM, GUID, RDM$OPC, RDM$VALIDFROM, RDM$RANK, MODIFY_USR_ID
FROM %SCHEMA_1%%DICT_CODE%_HLEV_S;</v>
      </c>
      <c r="L113" s="57" t="str">
        <f t="shared" si="3"/>
        <v>REPLACE VIEW %SCHEMA%%DICT_CODE%_HLEV_S AS
LOCKING ROW FOR ACCESS
SELECT HLEV_ID, NM, GUID, RDM$OPC, RDM$VALIDFROM, RDM$RANK, MODIFY_USR_ID
FROM %SCHEMA_1%%DICT_CODE%_HLEV_S;</v>
      </c>
      <c r="M113" s="57" t="str">
        <f t="shared" si="3"/>
        <v>REPLACE VIEW %SCHEMA%%DICT_CODE%_HLEV_S AS
LOCKING ROW FOR ACCESS
SELECT HLEV_ID, NM, GUID, RDM$OPC, RDM$VALIDFROM, RDM$RANK, MODIFY_USR_ID
FROM %SCHEMA_1%%DICT_CODE%_HLEV_S;</v>
      </c>
      <c r="N113" s="57" t="str">
        <f t="shared" si="3"/>
        <v>REPLACE VIEW %SCHEMA%%DICT_CODE%_HLEV_S AS
LOCKING ROW FOR ACCESS
SELECT HLEV_ID, NM, GUID, RDM$OPC, RDM$VALIDFROM, RDM$RANK, MODIFY_USR_ID
FROM %SCHEMA_1%%DICT_CODE%_HLEV_S;</v>
      </c>
      <c r="O113" s="57" t="str">
        <f t="shared" si="3"/>
        <v>REPLACE VIEW %SCHEMA%%DICT_CODE%_HLEV_S AS
LOCKING ROW FOR ACCESS
SELECT HLEV_ID, NM, GUID, RDM$OPC, RDM$VALIDFROM, RDM$RANK, MODIFY_USR_ID
FROM %SCHEMA_1%%DICT_CODE%_HLEV_S;</v>
      </c>
      <c r="P113" s="57" t="str">
        <f t="shared" si="3"/>
        <v>REPLACE VIEW %SCHEMA%%DICT_CODE%_HLEV_S AS
LOCKING ROW FOR ACCESS
SELECT HLEV_ID, NM, GUID, RDM$OPC, RDM$VALIDFROM, RDM$RANK, MODIFY_USR_ID
FROM %SCHEMA_1%%DICT_CODE%_HLEV_S;</v>
      </c>
      <c r="Q113" s="57" t="str">
        <f t="shared" si="3"/>
        <v>REPLACE VIEW %SCHEMA%%DICT_CODE%_HLEV_S AS
LOCKING ROW FOR ACCESS
SELECT HLEV_ID, NM, GUID, RDM$OPC, RDM$VALIDFROM, RDM$RANK, MODIFY_USR_ID
FROM %SCHEMA_1%%DICT_CODE%_HLEV_S;</v>
      </c>
      <c r="R113" s="57" t="str">
        <f t="shared" si="3"/>
        <v>REPLACE VIEW %SCHEMA%%DICT_CODE%_HLEV_S AS
LOCKING ROW FOR ACCESS
SELECT HLEV_ID, NM, GUID, RDM$OPC, RDM$VALIDFROM, RDM$RANK, MODIFY_USR_ID
FROM %SCHEMA_1%%DICT_CODE%_HLEV_S;</v>
      </c>
      <c r="S113" s="57" t="str">
        <f t="shared" si="3"/>
        <v/>
      </c>
      <c r="T113" s="57" t="str">
        <f t="shared" si="3"/>
        <v/>
      </c>
      <c r="U113" s="57" t="str">
        <f t="shared" si="3"/>
        <v/>
      </c>
      <c r="V113" s="57" t="str">
        <f t="shared" si="3"/>
        <v/>
      </c>
    </row>
    <row r="114" spans="1:22" ht="69" x14ac:dyDescent="0.3">
      <c r="A114" s="16" t="s">
        <v>6</v>
      </c>
      <c r="B114" s="17" t="s">
        <v>57</v>
      </c>
      <c r="C114" s="60" t="str">
        <f t="shared" si="0"/>
        <v/>
      </c>
      <c r="D114" s="60" t="str">
        <f t="shared" si="3"/>
        <v/>
      </c>
      <c r="E114" s="60" t="str">
        <f t="shared" si="3"/>
        <v/>
      </c>
      <c r="F114" s="60" t="str">
        <f t="shared" si="3"/>
        <v/>
      </c>
      <c r="G114" s="60" t="str">
        <f t="shared" si="3"/>
        <v/>
      </c>
      <c r="H114" s="60" t="str">
        <f t="shared" si="3"/>
        <v/>
      </c>
      <c r="I114" s="60" t="str">
        <f t="shared" si="3"/>
        <v>REPLACE VIEW %SCHEMA%%DICT_CODE%_HLEV_A AS
LOCKING ROW FOR ACCESS
SELECT HLEV_ID, NM, GUID, MODIFY_USR_ID, APPROVE_USR_ID, RDM$OPC, RDM$VALIDFROM
FROM %SCHEMA_1%%DICT_CODE%_HLEV_A;</v>
      </c>
      <c r="J114" s="60" t="str">
        <f t="shared" si="3"/>
        <v>REPLACE VIEW %SCHEMA%%DICT_CODE%_HLEV_A AS
LOCKING ROW FOR ACCESS
SELECT HLEV_ID, NM, GUID, MODIFY_USR_ID, APPROVE_USR_ID, RDM$OPC, RDM$VALIDFROM
FROM %SCHEMA_1%%DICT_CODE%_HLEV_A;</v>
      </c>
      <c r="K114" s="60" t="str">
        <f t="shared" si="3"/>
        <v>REPLACE VIEW %SCHEMA%%DICT_CODE%_HLEV_A AS
LOCKING ROW FOR ACCESS
SELECT HLEV_ID, NM, GUID, MODIFY_USR_ID, APPROVE_USR_ID, RDM$OPC, RDM$VALIDFROM
FROM %SCHEMA_1%%DICT_CODE%_HLEV_A;</v>
      </c>
      <c r="L114" s="60" t="str">
        <f t="shared" si="3"/>
        <v>REPLACE VIEW %SCHEMA%%DICT_CODE%_HLEV_A AS
LOCKING ROW FOR ACCESS
SELECT HLEV_ID, NM, GUID, MODIFY_USR_ID, APPROVE_USR_ID, RDM$OPC, RDM$VALIDFROM
FROM %SCHEMA_1%%DICT_CODE%_HLEV_A;</v>
      </c>
      <c r="M114" s="60" t="str">
        <f t="shared" si="3"/>
        <v>REPLACE VIEW %SCHEMA%%DICT_CODE%_HLEV_A AS
LOCKING ROW FOR ACCESS
SELECT HLEV_ID, NM, GUID, MODIFY_USR_ID, APPROVE_USR_ID, RDM$OPC, RDM$VALIDFROM
FROM %SCHEMA_1%%DICT_CODE%_HLEV_A;</v>
      </c>
      <c r="N114" s="60" t="str">
        <f t="shared" si="3"/>
        <v>REPLACE VIEW %SCHEMA%%DICT_CODE%_HLEV_A AS
LOCKING ROW FOR ACCESS
SELECT HLEV_ID, NM, GUID, MODIFY_USR_ID, APPROVE_USR_ID, RDM$OPC, RDM$VALIDFROM
FROM %SCHEMA_1%%DICT_CODE%_HLEV_A;</v>
      </c>
      <c r="O114" s="60" t="str">
        <f t="shared" si="3"/>
        <v>REPLACE VIEW %SCHEMA%%DICT_CODE%_HLEV_A AS
LOCKING ROW FOR ACCESS
SELECT HLEV_ID, NM, GUID, MODIFY_USR_ID, APPROVE_USR_ID, RDM$OPC, RDM$VALIDFROM
FROM %SCHEMA_1%%DICT_CODE%_HLEV_A;</v>
      </c>
      <c r="P114" s="60" t="str">
        <f t="shared" si="3"/>
        <v>REPLACE VIEW %SCHEMA%%DICT_CODE%_HLEV_A AS
LOCKING ROW FOR ACCESS
SELECT HLEV_ID, NM, GUID, MODIFY_USR_ID, APPROVE_USR_ID, RDM$OPC, RDM$VALIDFROM
FROM %SCHEMA_1%%DICT_CODE%_HLEV_A;</v>
      </c>
      <c r="Q114" s="60" t="str">
        <f t="shared" si="3"/>
        <v>REPLACE VIEW %SCHEMA%%DICT_CODE%_HLEV_A AS
LOCKING ROW FOR ACCESS
SELECT HLEV_ID, NM, GUID, MODIFY_USR_ID, APPROVE_USR_ID, RDM$OPC, RDM$VALIDFROM
FROM %SCHEMA_1%%DICT_CODE%_HLEV_A;</v>
      </c>
      <c r="R114" s="60" t="str">
        <f t="shared" si="3"/>
        <v>REPLACE VIEW %SCHEMA%%DICT_CODE%_HLEV_A AS
LOCKING ROW FOR ACCESS
SELECT HLEV_ID, NM, GUID, MODIFY_USR_ID, APPROVE_USR_ID, RDM$OPC, RDM$VALIDFROM
FROM %SCHEMA_1%%DICT_CODE%_HLEV_A;</v>
      </c>
      <c r="S114" s="60" t="str">
        <f t="shared" si="3"/>
        <v/>
      </c>
      <c r="T114" s="60" t="str">
        <f t="shared" si="3"/>
        <v/>
      </c>
      <c r="U114" s="60" t="str">
        <f t="shared" si="3"/>
        <v/>
      </c>
      <c r="V114" s="60" t="str">
        <f t="shared" si="3"/>
        <v/>
      </c>
    </row>
    <row r="115" spans="1:22" ht="55.2" x14ac:dyDescent="0.3">
      <c r="A115" s="19" t="s">
        <v>6</v>
      </c>
      <c r="B115" s="20" t="s">
        <v>58</v>
      </c>
      <c r="C115" s="63" t="str">
        <f t="shared" si="0"/>
        <v/>
      </c>
      <c r="D115" s="63" t="str">
        <f t="shared" si="3"/>
        <v/>
      </c>
      <c r="E115" s="63" t="str">
        <f t="shared" si="3"/>
        <v/>
      </c>
      <c r="F115" s="63" t="str">
        <f t="shared" si="3"/>
        <v/>
      </c>
      <c r="G115" s="63" t="str">
        <f t="shared" si="3"/>
        <v/>
      </c>
      <c r="H115" s="63" t="str">
        <f t="shared" si="3"/>
        <v/>
      </c>
      <c r="I115" s="63" t="str">
        <f t="shared" si="3"/>
        <v>REPLACE VIEW %SCHEMA%%DICT_CODE%_HLEV_T AS
LOCKING ROW FOR ACCESS
SELECT HLEV_ID, NM, RDM$VALIDFROM, RDM$RANK
FROM %SCHEMA_1%%DICT_CODE%_HLEV_T;</v>
      </c>
      <c r="J115" s="63" t="str">
        <f t="shared" si="3"/>
        <v>REPLACE VIEW %SCHEMA%%DICT_CODE%_HLEV_T AS
LOCKING ROW FOR ACCESS
SELECT HLEV_ID, NM, RDM$VALIDFROM, RDM$RANK
FROM %SCHEMA_1%%DICT_CODE%_HLEV_T;</v>
      </c>
      <c r="K115" s="63" t="str">
        <f t="shared" si="3"/>
        <v>REPLACE VIEW %SCHEMA%%DICT_CODE%_HLEV_T AS
LOCKING ROW FOR ACCESS
SELECT HLEV_ID, NM, RDM$VALIDFROM, RDM$RANK
FROM %SCHEMA_1%%DICT_CODE%_HLEV_T;</v>
      </c>
      <c r="L115" s="63" t="str">
        <f t="shared" si="3"/>
        <v>REPLACE VIEW %SCHEMA%%DICT_CODE%_HLEV_T AS
LOCKING ROW FOR ACCESS
SELECT HLEV_ID, NM, RDM$VALIDFROM, RDM$RANK
FROM %SCHEMA_1%%DICT_CODE%_HLEV_T;</v>
      </c>
      <c r="M115" s="63" t="str">
        <f t="shared" si="3"/>
        <v>REPLACE VIEW %SCHEMA%%DICT_CODE%_HLEV_T AS
LOCKING ROW FOR ACCESS
SELECT HLEV_ID, NM, RDM$VALIDFROM, RDM$RANK
FROM %SCHEMA_1%%DICT_CODE%_HLEV_T;</v>
      </c>
      <c r="N115" s="63" t="str">
        <f t="shared" si="3"/>
        <v>REPLACE VIEW %SCHEMA%%DICT_CODE%_HLEV_T AS
LOCKING ROW FOR ACCESS
SELECT HLEV_ID, NM, RDM$VALIDFROM, RDM$RANK
FROM %SCHEMA_1%%DICT_CODE%_HLEV_T;</v>
      </c>
      <c r="O115" s="63" t="str">
        <f t="shared" si="3"/>
        <v>REPLACE VIEW %SCHEMA%%DICT_CODE%_HLEV_T AS
LOCKING ROW FOR ACCESS
SELECT HLEV_ID, NM, RDM$VALIDFROM, RDM$RANK
FROM %SCHEMA_1%%DICT_CODE%_HLEV_T;</v>
      </c>
      <c r="P115" s="63" t="str">
        <f t="shared" si="3"/>
        <v>REPLACE VIEW %SCHEMA%%DICT_CODE%_HLEV_T AS
LOCKING ROW FOR ACCESS
SELECT HLEV_ID, NM, RDM$VALIDFROM, RDM$RANK
FROM %SCHEMA_1%%DICT_CODE%_HLEV_T;</v>
      </c>
      <c r="Q115" s="63" t="str">
        <f t="shared" si="3"/>
        <v>REPLACE VIEW %SCHEMA%%DICT_CODE%_HLEV_T AS
LOCKING ROW FOR ACCESS
SELECT HLEV_ID, NM, RDM$VALIDFROM, RDM$RANK
FROM %SCHEMA_1%%DICT_CODE%_HLEV_T;</v>
      </c>
      <c r="R115" s="63" t="str">
        <f t="shared" si="3"/>
        <v>REPLACE VIEW %SCHEMA%%DICT_CODE%_HLEV_T AS
LOCKING ROW FOR ACCESS
SELECT HLEV_ID, NM, RDM$VALIDFROM, RDM$RANK
FROM %SCHEMA_1%%DICT_CODE%_HLEV_T;</v>
      </c>
      <c r="S115" s="63" t="str">
        <f t="shared" si="3"/>
        <v/>
      </c>
      <c r="T115" s="63" t="str">
        <f t="shared" si="3"/>
        <v/>
      </c>
      <c r="U115" s="63" t="str">
        <f t="shared" si="3"/>
        <v/>
      </c>
      <c r="V115" s="63" t="str">
        <f t="shared" si="3"/>
        <v/>
      </c>
    </row>
    <row r="116" spans="1:22" ht="55.2" x14ac:dyDescent="0.3">
      <c r="A116" s="7" t="s">
        <v>7</v>
      </c>
      <c r="B116" s="12"/>
      <c r="C116" s="53" t="str">
        <f t="shared" si="0"/>
        <v/>
      </c>
      <c r="D116" s="53" t="str">
        <f t="shared" si="3"/>
        <v/>
      </c>
      <c r="E116" s="53" t="str">
        <f t="shared" si="3"/>
        <v/>
      </c>
      <c r="F116" s="53" t="str">
        <f t="shared" si="3"/>
        <v/>
      </c>
      <c r="G116" s="53" t="str">
        <f t="shared" si="3"/>
        <v/>
      </c>
      <c r="H116" s="53" t="str">
        <f t="shared" si="3"/>
        <v/>
      </c>
      <c r="I116" s="53" t="str">
        <f t="shared" si="3"/>
        <v/>
      </c>
      <c r="J116" s="53" t="str">
        <f t="shared" si="3"/>
        <v/>
      </c>
      <c r="K116" s="53" t="str">
        <f t="shared" si="3"/>
        <v/>
      </c>
      <c r="L116" s="53" t="str">
        <f t="shared" si="3"/>
        <v/>
      </c>
      <c r="M116" s="53" t="str">
        <f t="shared" si="3"/>
        <v>REPLACE VIEW %SCHEMA%%DICT_CODE%_HSCN AS
LOCKING ROW FOR ACCESS
SELECT HSCN_ID, NM, GUID
FROM %SCHEMA_1%%DICT_CODE%_HSCN;</v>
      </c>
      <c r="N116" s="53" t="str">
        <f t="shared" si="3"/>
        <v>REPLACE VIEW %SCHEMA%%DICT_CODE%_HSCN AS
LOCKING ROW FOR ACCESS
SELECT HSCN_ID, NM, GUID
FROM %SCHEMA_1%%DICT_CODE%_HSCN;</v>
      </c>
      <c r="O116" s="53" t="str">
        <f t="shared" si="3"/>
        <v>REPLACE VIEW %SCHEMA%%DICT_CODE%_HSCN AS
LOCKING ROW FOR ACCESS
SELECT HSCN_ID, NM, GUID
FROM %SCHEMA_1%%DICT_CODE%_HSCN;</v>
      </c>
      <c r="P116" s="53" t="str">
        <f t="shared" si="3"/>
        <v>REPLACE VIEW %SCHEMA%%DICT_CODE%_HSCN AS
LOCKING ROW FOR ACCESS
SELECT HSCN_ID, NM, GUID
FROM %SCHEMA_1%%DICT_CODE%_HSCN;</v>
      </c>
      <c r="Q116" s="53" t="str">
        <f t="shared" si="3"/>
        <v/>
      </c>
      <c r="R116" s="53" t="str">
        <f t="shared" si="3"/>
        <v/>
      </c>
      <c r="S116" s="53" t="str">
        <f t="shared" si="3"/>
        <v/>
      </c>
      <c r="T116" s="53" t="str">
        <f t="shared" si="3"/>
        <v/>
      </c>
      <c r="U116" s="53" t="str">
        <f t="shared" si="3"/>
        <v/>
      </c>
      <c r="V116" s="53" t="str">
        <f t="shared" si="3"/>
        <v/>
      </c>
    </row>
    <row r="117" spans="1:22" ht="55.2" x14ac:dyDescent="0.3">
      <c r="A117" s="13" t="s">
        <v>7</v>
      </c>
      <c r="B117" s="14" t="s">
        <v>56</v>
      </c>
      <c r="C117" s="57" t="str">
        <f t="shared" si="0"/>
        <v/>
      </c>
      <c r="D117" s="57" t="str">
        <f t="shared" si="3"/>
        <v/>
      </c>
      <c r="E117" s="57" t="str">
        <f t="shared" si="3"/>
        <v/>
      </c>
      <c r="F117" s="57" t="str">
        <f t="shared" si="3"/>
        <v/>
      </c>
      <c r="G117" s="57" t="str">
        <f t="shared" si="3"/>
        <v/>
      </c>
      <c r="H117" s="57" t="str">
        <f t="shared" si="3"/>
        <v/>
      </c>
      <c r="I117" s="57" t="str">
        <f t="shared" si="3"/>
        <v/>
      </c>
      <c r="J117" s="57" t="str">
        <f t="shared" si="3"/>
        <v/>
      </c>
      <c r="K117" s="57" t="str">
        <f t="shared" si="3"/>
        <v/>
      </c>
      <c r="L117" s="57" t="str">
        <f t="shared" si="3"/>
        <v/>
      </c>
      <c r="M117" s="57" t="str">
        <f t="shared" si="3"/>
        <v>REPLACE VIEW %SCHEMA%%DICT_CODE%_HSCN_S AS
LOCKING ROW FOR ACCESS
SELECT HSCN_ID, NM, GUID, RDM$OPC, RDM$VALIDFROM, RDM$RANK, MODIFY_USR_ID
FROM %SCHEMA_1%%DICT_CODE%_HSCN_S;</v>
      </c>
      <c r="N117" s="57" t="str">
        <f t="shared" si="3"/>
        <v>REPLACE VIEW %SCHEMA%%DICT_CODE%_HSCN_S AS
LOCKING ROW FOR ACCESS
SELECT HSCN_ID, NM, GUID, RDM$OPC, RDM$VALIDFROM, RDM$RANK, MODIFY_USR_ID
FROM %SCHEMA_1%%DICT_CODE%_HSCN_S;</v>
      </c>
      <c r="O117" s="57" t="str">
        <f t="shared" si="3"/>
        <v>REPLACE VIEW %SCHEMA%%DICT_CODE%_HSCN_S AS
LOCKING ROW FOR ACCESS
SELECT HSCN_ID, NM, GUID, RDM$OPC, RDM$VALIDFROM, RDM$RANK, MODIFY_USR_ID
FROM %SCHEMA_1%%DICT_CODE%_HSCN_S;</v>
      </c>
      <c r="P117" s="57" t="str">
        <f t="shared" si="3"/>
        <v>REPLACE VIEW %SCHEMA%%DICT_CODE%_HSCN_S AS
LOCKING ROW FOR ACCESS
SELECT HSCN_ID, NM, GUID, RDM$OPC, RDM$VALIDFROM, RDM$RANK, MODIFY_USR_ID
FROM %SCHEMA_1%%DICT_CODE%_HSCN_S;</v>
      </c>
      <c r="Q117" s="57" t="str">
        <f t="shared" si="3"/>
        <v/>
      </c>
      <c r="R117" s="57" t="str">
        <f t="shared" si="3"/>
        <v/>
      </c>
      <c r="S117" s="57" t="str">
        <f t="shared" si="3"/>
        <v/>
      </c>
      <c r="T117" s="57" t="str">
        <f t="shared" si="3"/>
        <v/>
      </c>
      <c r="U117" s="57" t="str">
        <f t="shared" si="3"/>
        <v/>
      </c>
      <c r="V117" s="57" t="str">
        <f t="shared" si="3"/>
        <v/>
      </c>
    </row>
    <row r="118" spans="1:22" ht="69" x14ac:dyDescent="0.3">
      <c r="A118" s="16" t="s">
        <v>7</v>
      </c>
      <c r="B118" s="17" t="s">
        <v>57</v>
      </c>
      <c r="C118" s="60" t="str">
        <f t="shared" si="0"/>
        <v/>
      </c>
      <c r="D118" s="60" t="str">
        <f t="shared" si="3"/>
        <v/>
      </c>
      <c r="E118" s="60" t="str">
        <f t="shared" si="3"/>
        <v/>
      </c>
      <c r="F118" s="60" t="str">
        <f t="shared" si="3"/>
        <v/>
      </c>
      <c r="G118" s="60" t="str">
        <f t="shared" si="3"/>
        <v/>
      </c>
      <c r="H118" s="60" t="str">
        <f t="shared" si="3"/>
        <v/>
      </c>
      <c r="I118" s="60" t="str">
        <f t="shared" si="3"/>
        <v/>
      </c>
      <c r="J118" s="60" t="str">
        <f t="shared" si="3"/>
        <v/>
      </c>
      <c r="K118" s="60" t="str">
        <f t="shared" si="3"/>
        <v/>
      </c>
      <c r="L118" s="60" t="str">
        <f t="shared" si="3"/>
        <v/>
      </c>
      <c r="M118" s="60" t="str">
        <f t="shared" si="3"/>
        <v>REPLACE VIEW %SCHEMA%%DICT_CODE%_HSCN_A AS
LOCKING ROW FOR ACCESS
SELECT HSCN_ID, NM, GUID, MODIFY_USR_ID, APPROVE_USR_ID, RDM$OPC, RDM$VALIDFROM
FROM %SCHEMA_1%%DICT_CODE%_HSCN_A;</v>
      </c>
      <c r="N118" s="60" t="str">
        <f t="shared" si="3"/>
        <v>REPLACE VIEW %SCHEMA%%DICT_CODE%_HSCN_A AS
LOCKING ROW FOR ACCESS
SELECT HSCN_ID, NM, GUID, MODIFY_USR_ID, APPROVE_USR_ID, RDM$OPC, RDM$VALIDFROM
FROM %SCHEMA_1%%DICT_CODE%_HSCN_A;</v>
      </c>
      <c r="O118" s="60" t="str">
        <f t="shared" si="3"/>
        <v>REPLACE VIEW %SCHEMA%%DICT_CODE%_HSCN_A AS
LOCKING ROW FOR ACCESS
SELECT HSCN_ID, NM, GUID, MODIFY_USR_ID, APPROVE_USR_ID, RDM$OPC, RDM$VALIDFROM
FROM %SCHEMA_1%%DICT_CODE%_HSCN_A;</v>
      </c>
      <c r="P118" s="60" t="str">
        <f t="shared" si="3"/>
        <v>REPLACE VIEW %SCHEMA%%DICT_CODE%_HSCN_A AS
LOCKING ROW FOR ACCESS
SELECT HSCN_ID, NM, GUID, MODIFY_USR_ID, APPROVE_USR_ID, RDM$OPC, RDM$VALIDFROM
FROM %SCHEMA_1%%DICT_CODE%_HSCN_A;</v>
      </c>
      <c r="Q118" s="60" t="str">
        <f t="shared" si="3"/>
        <v/>
      </c>
      <c r="R118" s="60" t="str">
        <f t="shared" si="3"/>
        <v/>
      </c>
      <c r="S118" s="60" t="str">
        <f t="shared" si="3"/>
        <v/>
      </c>
      <c r="T118" s="60" t="str">
        <f t="shared" si="3"/>
        <v/>
      </c>
      <c r="U118" s="60" t="str">
        <f t="shared" si="3"/>
        <v/>
      </c>
      <c r="V118" s="60" t="str">
        <f t="shared" si="3"/>
        <v/>
      </c>
    </row>
    <row r="119" spans="1:22" ht="55.2" x14ac:dyDescent="0.3">
      <c r="A119" s="19" t="s">
        <v>7</v>
      </c>
      <c r="B119" s="20" t="s">
        <v>58</v>
      </c>
      <c r="C119" s="63" t="str">
        <f t="shared" si="0"/>
        <v/>
      </c>
      <c r="D119" s="63" t="str">
        <f t="shared" si="3"/>
        <v/>
      </c>
      <c r="E119" s="63" t="str">
        <f t="shared" si="3"/>
        <v/>
      </c>
      <c r="F119" s="63" t="str">
        <f t="shared" si="3"/>
        <v/>
      </c>
      <c r="G119" s="63" t="str">
        <f t="shared" si="3"/>
        <v/>
      </c>
      <c r="H119" s="63" t="str">
        <f t="shared" si="3"/>
        <v/>
      </c>
      <c r="I119" s="63" t="str">
        <f t="shared" si="3"/>
        <v/>
      </c>
      <c r="J119" s="63" t="str">
        <f t="shared" si="3"/>
        <v/>
      </c>
      <c r="K119" s="63" t="str">
        <f t="shared" si="3"/>
        <v/>
      </c>
      <c r="L119" s="63" t="str">
        <f t="shared" si="3"/>
        <v/>
      </c>
      <c r="M119" s="63" t="str">
        <f t="shared" si="3"/>
        <v>REPLACE VIEW %SCHEMA%%DICT_CODE%_HSCN_T AS
LOCKING ROW FOR ACCESS
SELECT HSCN_ID, NM, RDM$VALIDFROM, RDM$RANK
FROM %SCHEMA_1%%DICT_CODE%_HSCN_T;</v>
      </c>
      <c r="N119" s="63" t="str">
        <f t="shared" si="3"/>
        <v>REPLACE VIEW %SCHEMA%%DICT_CODE%_HSCN_T AS
LOCKING ROW FOR ACCESS
SELECT HSCN_ID, NM, RDM$VALIDFROM, RDM$RANK
FROM %SCHEMA_1%%DICT_CODE%_HSCN_T;</v>
      </c>
      <c r="O119" s="63" t="str">
        <f t="shared" si="3"/>
        <v>REPLACE VIEW %SCHEMA%%DICT_CODE%_HSCN_T AS
LOCKING ROW FOR ACCESS
SELECT HSCN_ID, NM, RDM$VALIDFROM, RDM$RANK
FROM %SCHEMA_1%%DICT_CODE%_HSCN_T;</v>
      </c>
      <c r="P119" s="63" t="str">
        <f t="shared" si="3"/>
        <v>REPLACE VIEW %SCHEMA%%DICT_CODE%_HSCN_T AS
LOCKING ROW FOR ACCESS
SELECT HSCN_ID, NM, RDM$VALIDFROM, RDM$RANK
FROM %SCHEMA_1%%DICT_CODE%_HSCN_T;</v>
      </c>
      <c r="Q119" s="63" t="str">
        <f t="shared" si="3"/>
        <v/>
      </c>
      <c r="R119" s="63" t="str">
        <f t="shared" si="3"/>
        <v/>
      </c>
      <c r="S119" s="63" t="str">
        <f t="shared" si="3"/>
        <v/>
      </c>
      <c r="T119" s="63" t="str">
        <f t="shared" si="3"/>
        <v/>
      </c>
      <c r="U119" s="63" t="str">
        <f t="shared" si="3"/>
        <v/>
      </c>
      <c r="V119" s="63" t="str">
        <f t="shared" si="3"/>
        <v/>
      </c>
    </row>
    <row r="120" spans="1:22" ht="55.2" x14ac:dyDescent="0.3">
      <c r="A120" s="7" t="s">
        <v>5</v>
      </c>
      <c r="B120" s="12"/>
      <c r="C120" s="53" t="str">
        <f t="shared" si="0"/>
        <v/>
      </c>
      <c r="D120" s="53" t="str">
        <f t="shared" si="3"/>
        <v/>
      </c>
      <c r="E120" s="53" t="str">
        <f t="shared" si="3"/>
        <v/>
      </c>
      <c r="F120" s="53" t="str">
        <f t="shared" si="3"/>
        <v/>
      </c>
      <c r="G120" s="53" t="str">
        <f t="shared" si="3"/>
        <v/>
      </c>
      <c r="H120" s="53" t="str">
        <f t="shared" si="3"/>
        <v/>
      </c>
      <c r="I120" s="53" t="str">
        <f t="shared" si="3"/>
        <v>REPLACE VIEW %SCHEMA%%DICT_CODE%_HIER AS
LOCKING ROW FOR ACCESS
SELECT CHLD_MK, PRNT_MK, HLEV_ID, GUID
FROM %SCHEMA_1%%DICT_CODE%_HIER;</v>
      </c>
      <c r="J120" s="53" t="str">
        <f t="shared" si="3"/>
        <v>REPLACE VIEW %SCHEMA%%DICT_CODE%_HIER AS
LOCKING ROW FOR ACCESS
SELECT START_DT, END_DT, CHLD_MK, PRNT_MK, HLEV_ID, GUID
FROM %SCHEMA_1%%DICT_CODE%_HIER;</v>
      </c>
      <c r="K120" s="53" t="str">
        <f t="shared" si="3"/>
        <v>REPLACE VIEW %SCHEMA%%DICT_CODE%_HIER AS
LOCKING ROW FOR ACCESS
SELECT CHLD_MK, PRNT_MK, HLEV_ID, GUID
FROM %SCHEMA_1%%DICT_CODE%_HIER;</v>
      </c>
      <c r="L120" s="53" t="str">
        <f t="shared" si="3"/>
        <v>REPLACE VIEW %SCHEMA%%DICT_CODE%_HIER AS
LOCKING ROW FOR ACCESS
SELECT START_DT, END_DT, CHLD_MK, PRNT_MK, HLEV_ID, GUID
FROM %SCHEMA_1%%DICT_CODE%_HIER;</v>
      </c>
      <c r="M120" s="53" t="str">
        <f t="shared" si="3"/>
        <v>REPLACE VIEW %SCHEMA%%DICT_CODE%_HIER AS
LOCKING ROW FOR ACCESS
SELECT HSCN_ID, CHLD_MK, PRNT_MK, HLEV_ID, GUID
FROM %SCHEMA_1%%DICT_CODE%_HIER;</v>
      </c>
      <c r="N120" s="53" t="str">
        <f t="shared" si="3"/>
        <v>REPLACE VIEW %SCHEMA%%DICT_CODE%_HIER AS
LOCKING ROW FOR ACCESS
SELECT HSCN_ID, START_DT, END_DT, CHLD_MK, PRNT_MK, HLEV_ID, GUID
FROM %SCHEMA_1%%DICT_CODE%_HIER;</v>
      </c>
      <c r="O120" s="53" t="str">
        <f t="shared" si="3"/>
        <v>REPLACE VIEW %SCHEMA%%DICT_CODE%_HIER AS
LOCKING ROW FOR ACCESS
SELECT HSCN_ID, CHLD_MK, PRNT_MK, HLEV_ID, GUID
FROM %SCHEMA_1%%DICT_CODE%_HIER;</v>
      </c>
      <c r="P120" s="53" t="str">
        <f t="shared" si="3"/>
        <v>REPLACE VIEW %SCHEMA%%DICT_CODE%_HIER AS
LOCKING ROW FOR ACCESS
SELECT HSCN_ID, START_DT, END_DT, CHLD_MK, PRNT_MK, HLEV_ID, GUID
FROM %SCHEMA_1%%DICT_CODE%_HIER;</v>
      </c>
      <c r="Q120" s="53" t="str">
        <f t="shared" si="3"/>
        <v>REPLACE VIEW %SCHEMA%%DICT_CODE%_HIER AS
LOCKING ROW FOR ACCESS
SELECT CHLD_MK, PRNT_MK, HLEV_ID, GUID
FROM %SCHEMA_1%%DICT_CODE%_HIER;</v>
      </c>
      <c r="R120" s="53" t="str">
        <f t="shared" si="3"/>
        <v>REPLACE VIEW %SCHEMA%%DICT_CODE%_HIER AS
LOCKING ROW FOR ACCESS
SELECT START_DT, END_DT, CHLD_MK, PRNT_MK, HLEV_ID, GUID
FROM %SCHEMA_1%%DICT_CODE%_HIER;</v>
      </c>
      <c r="S120" s="53" t="str">
        <f t="shared" si="3"/>
        <v/>
      </c>
      <c r="T120" s="53" t="str">
        <f t="shared" si="3"/>
        <v/>
      </c>
      <c r="U120" s="53" t="str">
        <f t="shared" si="3"/>
        <v/>
      </c>
      <c r="V120" s="53" t="str">
        <f t="shared" si="3"/>
        <v/>
      </c>
    </row>
    <row r="121" spans="1:22" ht="69" x14ac:dyDescent="0.3">
      <c r="A121" s="13" t="s">
        <v>5</v>
      </c>
      <c r="B121" s="14" t="s">
        <v>56</v>
      </c>
      <c r="C121" s="57" t="str">
        <f t="shared" si="0"/>
        <v/>
      </c>
      <c r="D121" s="57" t="str">
        <f t="shared" si="3"/>
        <v/>
      </c>
      <c r="E121" s="57" t="str">
        <f t="shared" si="3"/>
        <v/>
      </c>
      <c r="F121" s="57" t="str">
        <f t="shared" si="3"/>
        <v/>
      </c>
      <c r="G121" s="57" t="str">
        <f t="shared" si="3"/>
        <v/>
      </c>
      <c r="H121" s="57" t="str">
        <f t="shared" si="3"/>
        <v/>
      </c>
      <c r="I121" s="57" t="str">
        <f t="shared" si="3"/>
        <v>REPLACE VIEW %SCHEMA%%DICT_CODE%_HIER_S AS
LOCKING ROW FOR ACCESS
SELECT CHLD_MK, PRNT_MK, HLEV_ID, GUID, RDM$OPC, RDM$VALIDFROM, RDM$RANK, MODIFY_USR_ID
FROM %SCHEMA_1%%DICT_CODE%_HIER_S;</v>
      </c>
      <c r="J121" s="57" t="str">
        <f t="shared" si="3"/>
        <v>REPLACE VIEW %SCHEMA%%DICT_CODE%_HIER_S AS
LOCKING ROW FOR ACCESS
SELECT START_DT, END_DT, CHLD_MK, PRNT_MK, HLEV_ID, GUID, RDM$OPC, RDM$VALIDFROM, RDM$RANK, MODIFY_USR_ID
FROM %SCHEMA_1%%DICT_CODE%_HIER_S;</v>
      </c>
      <c r="K121" s="57" t="str">
        <f t="shared" si="3"/>
        <v>REPLACE VIEW %SCHEMA%%DICT_CODE%_HIER_S AS
LOCKING ROW FOR ACCESS
SELECT CHLD_MK, PRNT_MK, HLEV_ID, GUID, RDM$OPC, RDM$VALIDFROM, RDM$RANK, MODIFY_USR_ID
FROM %SCHEMA_1%%DICT_CODE%_HIER_S;</v>
      </c>
      <c r="L121" s="57" t="str">
        <f t="shared" si="3"/>
        <v>REPLACE VIEW %SCHEMA%%DICT_CODE%_HIER_S AS
LOCKING ROW FOR ACCESS
SELECT START_DT, END_DT, CHLD_MK, PRNT_MK, HLEV_ID, GUID, RDM$OPC, RDM$VALIDFROM, RDM$RANK, MODIFY_USR_ID
FROM %SCHEMA_1%%DICT_CODE%_HIER_S;</v>
      </c>
      <c r="M121" s="57" t="str">
        <f t="shared" si="3"/>
        <v>REPLACE VIEW %SCHEMA%%DICT_CODE%_HIER_S AS
LOCKING ROW FOR ACCESS
SELECT HSCN_ID, CHLD_MK, PRNT_MK, HLEV_ID, GUID, RDM$OPC, RDM$VALIDFROM, RDM$RANK, MODIFY_USR_ID
FROM %SCHEMA_1%%DICT_CODE%_HIER_S;</v>
      </c>
      <c r="N121" s="57" t="str">
        <f t="shared" si="3"/>
        <v>REPLACE VIEW %SCHEMA%%DICT_CODE%_HIER_S AS
LOCKING ROW FOR ACCESS
SELECT HSCN_ID, START_DT, END_DT, CHLD_MK, PRNT_MK, HLEV_ID, GUID, RDM$OPC, RDM$VALIDFROM, RDM$RANK, MODIFY_USR_ID
FROM %SCHEMA_1%%DICT_CODE%_HIER_S;</v>
      </c>
      <c r="O121" s="57" t="str">
        <f t="shared" si="3"/>
        <v>REPLACE VIEW %SCHEMA%%DICT_CODE%_HIER_S AS
LOCKING ROW FOR ACCESS
SELECT HSCN_ID, CHLD_MK, PRNT_MK, HLEV_ID, GUID, RDM$OPC, RDM$VALIDFROM, RDM$RANK, MODIFY_USR_ID
FROM %SCHEMA_1%%DICT_CODE%_HIER_S;</v>
      </c>
      <c r="P121" s="57" t="str">
        <f t="shared" si="3"/>
        <v>REPLACE VIEW %SCHEMA%%DICT_CODE%_HIER_S AS
LOCKING ROW FOR ACCESS
SELECT HSCN_ID, START_DT, END_DT, CHLD_MK, PRNT_MK, HLEV_ID, GUID, RDM$OPC, RDM$VALIDFROM, RDM$RANK, MODIFY_USR_ID
FROM %SCHEMA_1%%DICT_CODE%_HIER_S;</v>
      </c>
      <c r="Q121" s="57" t="str">
        <f t="shared" si="3"/>
        <v>REPLACE VIEW %SCHEMA%%DICT_CODE%_HIER_S AS
LOCKING ROW FOR ACCESS
SELECT CHLD_MK, PRNT_MK, HLEV_ID, GUID, RDM$OPC, RDM$VALIDFROM, RDM$RANK, MODIFY_USR_ID
FROM %SCHEMA_1%%DICT_CODE%_HIER_S;</v>
      </c>
      <c r="R121" s="57" t="str">
        <f t="shared" si="3"/>
        <v>REPLACE VIEW %SCHEMA%%DICT_CODE%_HIER_S AS
LOCKING ROW FOR ACCESS
SELECT START_DT, END_DT, CHLD_MK, PRNT_MK, HLEV_ID, GUID, RDM$OPC, RDM$VALIDFROM, RDM$RANK, MODIFY_USR_ID
FROM %SCHEMA_1%%DICT_CODE%_HIER_S;</v>
      </c>
      <c r="S121" s="57" t="str">
        <f t="shared" si="3"/>
        <v/>
      </c>
      <c r="T121" s="57" t="str">
        <f t="shared" si="3"/>
        <v/>
      </c>
      <c r="U121" s="57" t="str">
        <f t="shared" si="3"/>
        <v/>
      </c>
      <c r="V121" s="57" t="str">
        <f t="shared" si="3"/>
        <v/>
      </c>
    </row>
    <row r="122" spans="1:22" ht="69" x14ac:dyDescent="0.3">
      <c r="A122" s="16" t="s">
        <v>5</v>
      </c>
      <c r="B122" s="17" t="s">
        <v>57</v>
      </c>
      <c r="C122" s="60" t="str">
        <f t="shared" si="0"/>
        <v/>
      </c>
      <c r="D122" s="60" t="str">
        <f t="shared" si="3"/>
        <v/>
      </c>
      <c r="E122" s="60" t="str">
        <f t="shared" si="3"/>
        <v/>
      </c>
      <c r="F122" s="60" t="str">
        <f t="shared" si="3"/>
        <v/>
      </c>
      <c r="G122" s="60" t="str">
        <f t="shared" si="3"/>
        <v/>
      </c>
      <c r="H122" s="60" t="str">
        <f t="shared" si="3"/>
        <v/>
      </c>
      <c r="I122" s="60" t="str">
        <f t="shared" si="3"/>
        <v>REPLACE VIEW %SCHEMA%%DICT_CODE%_HIER_A AS
LOCKING ROW FOR ACCESS
SELECT CHLD_MK, PRNT_MK, HLEV_ID, GUID, MODIFY_USR_ID, APPROVE_USR_ID, RDM$OPC, RDM$VALIDFROM
FROM %SCHEMA_1%%DICT_CODE%_HIER_A;</v>
      </c>
      <c r="J122" s="60" t="str">
        <f t="shared" si="3"/>
        <v>REPLACE VIEW %SCHEMA%%DICT_CODE%_HIER_A AS
LOCKING ROW FOR ACCESS
SELECT START_DT, END_DT, CHLD_MK, PRNT_MK, HLEV_ID, GUID, MODIFY_USR_ID, APPROVE_USR_ID, RDM$OPC, RDM$VALIDFROM
FROM %SCHEMA_1%%DICT_CODE%_HIER_A;</v>
      </c>
      <c r="K122" s="60" t="str">
        <f t="shared" si="3"/>
        <v>REPLACE VIEW %SCHEMA%%DICT_CODE%_HIER_A AS
LOCKING ROW FOR ACCESS
SELECT CHLD_MK, PRNT_MK, HLEV_ID, GUID, MODIFY_USR_ID, APPROVE_USR_ID, RDM$OPC, RDM$VALIDFROM
FROM %SCHEMA_1%%DICT_CODE%_HIER_A;</v>
      </c>
      <c r="L122" s="60" t="str">
        <f t="shared" si="3"/>
        <v>REPLACE VIEW %SCHEMA%%DICT_CODE%_HIER_A AS
LOCKING ROW FOR ACCESS
SELECT START_DT, END_DT, CHLD_MK, PRNT_MK, HLEV_ID, GUID, MODIFY_USR_ID, APPROVE_USR_ID, RDM$OPC, RDM$VALIDFROM
FROM %SCHEMA_1%%DICT_CODE%_HIER_A;</v>
      </c>
      <c r="M122" s="60" t="str">
        <f t="shared" si="3"/>
        <v>REPLACE VIEW %SCHEMA%%DICT_CODE%_HIER_A AS
LOCKING ROW FOR ACCESS
SELECT HSCN_ID, CHLD_MK, PRNT_MK, HLEV_ID, GUID, MODIFY_USR_ID, APPROVE_USR_ID, RDM$OPC, RDM$VALIDFROM
FROM %SCHEMA_1%%DICT_CODE%_HIER_A;</v>
      </c>
      <c r="N122" s="60" t="str">
        <f t="shared" si="3"/>
        <v>REPLACE VIEW %SCHEMA%%DICT_CODE%_HIER_A AS
LOCKING ROW FOR ACCESS
SELECT HSCN_ID, START_DT, END_DT, CHLD_MK, PRNT_MK, HLEV_ID, GUID, MODIFY_USR_ID, APPROVE_USR_ID, RDM$OPC, RDM$VALIDFROM
FROM %SCHEMA_1%%DICT_CODE%_HIER_A;</v>
      </c>
      <c r="O122" s="60" t="str">
        <f t="shared" si="3"/>
        <v>REPLACE VIEW %SCHEMA%%DICT_CODE%_HIER_A AS
LOCKING ROW FOR ACCESS
SELECT HSCN_ID, CHLD_MK, PRNT_MK, HLEV_ID, GUID, MODIFY_USR_ID, APPROVE_USR_ID, RDM$OPC, RDM$VALIDFROM
FROM %SCHEMA_1%%DICT_CODE%_HIER_A;</v>
      </c>
      <c r="P122" s="60" t="str">
        <f t="shared" si="3"/>
        <v>REPLACE VIEW %SCHEMA%%DICT_CODE%_HIER_A AS
LOCKING ROW FOR ACCESS
SELECT HSCN_ID, START_DT, END_DT, CHLD_MK, PRNT_MK, HLEV_ID, GUID, MODIFY_USR_ID, APPROVE_USR_ID, RDM$OPC, RDM$VALIDFROM
FROM %SCHEMA_1%%DICT_CODE%_HIER_A;</v>
      </c>
      <c r="Q122" s="60" t="str">
        <f t="shared" si="3"/>
        <v>REPLACE VIEW %SCHEMA%%DICT_CODE%_HIER_A AS
LOCKING ROW FOR ACCESS
SELECT CHLD_MK, PRNT_MK, HLEV_ID, GUID, MODIFY_USR_ID, APPROVE_USR_ID, RDM$OPC, RDM$VALIDFROM
FROM %SCHEMA_1%%DICT_CODE%_HIER_A;</v>
      </c>
      <c r="R122" s="60" t="str">
        <f t="shared" si="3"/>
        <v>REPLACE VIEW %SCHEMA%%DICT_CODE%_HIER_A AS
LOCKING ROW FOR ACCESS
SELECT START_DT, END_DT, CHLD_MK, PRNT_MK, HLEV_ID, GUID, MODIFY_USR_ID, APPROVE_USR_ID, RDM$OPC, RDM$VALIDFROM
FROM %SCHEMA_1%%DICT_CODE%_HIER_A;</v>
      </c>
      <c r="S122" s="60" t="str">
        <f t="shared" si="3"/>
        <v/>
      </c>
      <c r="T122" s="60" t="str">
        <f t="shared" si="3"/>
        <v/>
      </c>
      <c r="U122" s="60" t="str">
        <f t="shared" si="3"/>
        <v/>
      </c>
      <c r="V122" s="60" t="str">
        <f t="shared" si="3"/>
        <v/>
      </c>
    </row>
    <row r="123" spans="1:22" ht="69" x14ac:dyDescent="0.3">
      <c r="A123" s="19" t="s">
        <v>5</v>
      </c>
      <c r="B123" s="20" t="s">
        <v>58</v>
      </c>
      <c r="C123" s="63" t="str">
        <f t="shared" si="0"/>
        <v/>
      </c>
      <c r="D123" s="63" t="str">
        <f t="shared" si="3"/>
        <v/>
      </c>
      <c r="E123" s="63" t="str">
        <f t="shared" si="3"/>
        <v/>
      </c>
      <c r="F123" s="63" t="str">
        <f t="shared" si="3"/>
        <v/>
      </c>
      <c r="G123" s="63" t="str">
        <f t="shared" si="3"/>
        <v/>
      </c>
      <c r="H123" s="63" t="str">
        <f t="shared" si="3"/>
        <v/>
      </c>
      <c r="I123" s="63" t="str">
        <f t="shared" si="3"/>
        <v>REPLACE VIEW %SCHEMA%%DICT_CODE%_HIER_T AS
LOCKING ROW FOR ACCESS
SELECT CHLD_MK, PRNT_MK, HLEV_ID, RDM$VALIDFROM, RDM$RANK
FROM %SCHEMA_1%%DICT_CODE%_HIER_T;</v>
      </c>
      <c r="J123" s="63" t="str">
        <f t="shared" si="3"/>
        <v>REPLACE VIEW %SCHEMA%%DICT_CODE%_HIER_T AS
LOCKING ROW FOR ACCESS
SELECT START_DT, END_DT, CHLD_MK, PRNT_MK, HLEV_ID, RDM$VALIDFROM, RDM$RANK
FROM %SCHEMA_1%%DICT_CODE%_HIER_T;</v>
      </c>
      <c r="K123" s="63" t="str">
        <f t="shared" si="3"/>
        <v>REPLACE VIEW %SCHEMA%%DICT_CODE%_HIER_T AS
LOCKING ROW FOR ACCESS
SELECT CHLD_MK, PRNT_MK, HLEV_ID, RDM$VALIDFROM, RDM$RANK
FROM %SCHEMA_1%%DICT_CODE%_HIER_T;</v>
      </c>
      <c r="L123" s="63" t="str">
        <f t="shared" si="3"/>
        <v>REPLACE VIEW %SCHEMA%%DICT_CODE%_HIER_T AS
LOCKING ROW FOR ACCESS
SELECT START_DT, END_DT, CHLD_MK, PRNT_MK, HLEV_ID, RDM$VALIDFROM, RDM$RANK
FROM %SCHEMA_1%%DICT_CODE%_HIER_T;</v>
      </c>
      <c r="M123" s="63" t="str">
        <f t="shared" si="3"/>
        <v>REPLACE VIEW %SCHEMA%%DICT_CODE%_HIER_T AS
LOCKING ROW FOR ACCESS
SELECT HSCN_ID, CHLD_MK, PRNT_MK, HLEV_ID, RDM$VALIDFROM, RDM$RANK
FROM %SCHEMA_1%%DICT_CODE%_HIER_T;</v>
      </c>
      <c r="N123" s="63" t="str">
        <f t="shared" si="3"/>
        <v>REPLACE VIEW %SCHEMA%%DICT_CODE%_HIER_T AS
LOCKING ROW FOR ACCESS
SELECT HSCN_ID, START_DT, END_DT, CHLD_MK, PRNT_MK, HLEV_ID, RDM$VALIDFROM, RDM$RANK
FROM %SCHEMA_1%%DICT_CODE%_HIER_T;</v>
      </c>
      <c r="O123" s="63" t="str">
        <f t="shared" si="3"/>
        <v>REPLACE VIEW %SCHEMA%%DICT_CODE%_HIER_T AS
LOCKING ROW FOR ACCESS
SELECT HSCN_ID, CHLD_MK, PRNT_MK, HLEV_ID, RDM$VALIDFROM, RDM$RANK
FROM %SCHEMA_1%%DICT_CODE%_HIER_T;</v>
      </c>
      <c r="P123" s="63" t="str">
        <f t="shared" ref="D123:V127" si="4">IF(ISBLANK(P31),"",CONCATENATE(LEFT(SUBSTITUTE(SUBSTITUTE(SUBSTITUTE(SUBSTITUTE(SUBSTITUTE(SUBSTITUTE(SUBSTITUTE(SUBSTITUTE(SUBSTITUTE(SUBSTITUTE(SUBSTITUTE(SUBSTITUTE(SUBSTITUTE(SUBSTITUTE(SUBSTITUTE(SUBSTITUTE(SUBSTITUTE(SUBSTITUTE(P31,"CREATE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CHAR(1)",""),FIND(")",SUBSTITUTE(SUBSTITUTE(SUBSTITUTE(SUBSTITUTE(SUBSTITUTE(SUBSTITUTE(SUBSTITUTE(SUBSTITUTE(SUBSTITUTE(SUBSTITUTE(SUBSTITUTE(SUBSTITUTE(SUBSTITUTE(SUBSTITUTE(SUBSTITUTE(SUBSTITUTE(SUBSTITUTE(SUBSTITUTE(P31,"CREATE MULTISET TABLE %SCHEMA%%DICT_CODE%","REPLACE VIEW %SCHEMA%%DICT_CODE%"),",
     FALLBACK, NO BEFORE JOURNAL, NO AFTER JOURNAL, CHECKSUM = DEFAULT
     (
      "," AS
LOCKING ROW FOR ACCESS
SELECT "),"%ADD_FIELD_SCRIPT% ","%ADD_FIELD_SCRIPT%, ")," NOT CASESPECIFIC","")," CHARACTER SET UNICODE","")," DEFAULT DATE '9999-12-31'","")," DEFAULT DATE '1900-01-01'","")," DATE FORMAT 'YYYY-MM-DD'","")," VARCHAR(512)","")," VARCHAR(255)","")," INTEGER","")," TIMESTAMP(6) FORMAT 'YYYY-MM-DDHH:MI:SS'","")," DECIMAL(5,0)",""),"
     ","")," BIGINT","")," DEFAULT 0","")," NOT NULL","")," CHAR(1)",""))-1),"
FROM %SCHEMA_1%%DICT_CODE%",SUBSTITUTE(LEFT(P31,FIND(",",P31)-1),"CREATE MULTISET TABLE %SCHEMA%%DICT_CODE%",""),";"))</f>
        <v>REPLACE VIEW %SCHEMA%%DICT_CODE%_HIER_T AS
LOCKING ROW FOR ACCESS
SELECT HSCN_ID, START_DT, END_DT, CHLD_MK, PRNT_MK, HLEV_ID, RDM$VALIDFROM, RDM$RANK
FROM %SCHEMA_1%%DICT_CODE%_HIER_T;</v>
      </c>
      <c r="Q123" s="63" t="str">
        <f t="shared" si="4"/>
        <v>REPLACE VIEW %SCHEMA%%DICT_CODE%_HIER_T AS
LOCKING ROW FOR ACCESS
SELECT CHLD_MK, PRNT_MK, HLEV_ID, RDM$VALIDFROM, RDM$RANK
FROM %SCHEMA_1%%DICT_CODE%_HIER_T;</v>
      </c>
      <c r="R123" s="63" t="str">
        <f t="shared" si="4"/>
        <v>REPLACE VIEW %SCHEMA%%DICT_CODE%_HIER_T AS
LOCKING ROW FOR ACCESS
SELECT START_DT, END_DT, CHLD_MK, PRNT_MK, HLEV_ID, RDM$VALIDFROM, RDM$RANK
FROM %SCHEMA_1%%DICT_CODE%_HIER_T;</v>
      </c>
      <c r="S123" s="63" t="str">
        <f t="shared" si="4"/>
        <v/>
      </c>
      <c r="T123" s="63" t="str">
        <f t="shared" si="4"/>
        <v/>
      </c>
      <c r="U123" s="63" t="str">
        <f t="shared" si="4"/>
        <v/>
      </c>
      <c r="V123" s="63" t="str">
        <f t="shared" si="4"/>
        <v/>
      </c>
    </row>
    <row r="124" spans="1:22" ht="55.2" x14ac:dyDescent="0.3">
      <c r="A124" s="7" t="s">
        <v>8</v>
      </c>
      <c r="B124" s="12"/>
      <c r="C124" s="53" t="str">
        <f t="shared" si="0"/>
        <v/>
      </c>
      <c r="D124" s="53" t="str">
        <f t="shared" si="4"/>
        <v/>
      </c>
      <c r="E124" s="53" t="str">
        <f t="shared" si="4"/>
        <v/>
      </c>
      <c r="F124" s="53" t="str">
        <f t="shared" si="4"/>
        <v/>
      </c>
      <c r="G124" s="53" t="str">
        <f t="shared" si="4"/>
        <v/>
      </c>
      <c r="H124" s="53" t="str">
        <f t="shared" si="4"/>
        <v/>
      </c>
      <c r="I124" s="53" t="str">
        <f t="shared" si="4"/>
        <v/>
      </c>
      <c r="J124" s="53" t="str">
        <f t="shared" si="4"/>
        <v/>
      </c>
      <c r="K124" s="53" t="str">
        <f t="shared" si="4"/>
        <v/>
      </c>
      <c r="L124" s="53" t="str">
        <f t="shared" si="4"/>
        <v/>
      </c>
      <c r="M124" s="53" t="str">
        <f t="shared" si="4"/>
        <v>REPLACE VIEW %SCHEMA%%DICT_CODE%_HTOL AS
LOCKING ROW FOR ACCESS
SELECT HSCN_ID, HLEV_ID, GUID
FROM %SCHEMA_1%%DICT_CODE%_HTOL;</v>
      </c>
      <c r="N124" s="53" t="str">
        <f t="shared" si="4"/>
        <v>REPLACE VIEW %SCHEMA%%DICT_CODE%_HTOL AS
LOCKING ROW FOR ACCESS
SELECT HSCN_ID, HLEV_ID, GUID
FROM %SCHEMA_1%%DICT_CODE%_HTOL;</v>
      </c>
      <c r="O124" s="53" t="str">
        <f t="shared" si="4"/>
        <v>REPLACE VIEW %SCHEMA%%DICT_CODE%_HTOL AS
LOCKING ROW FOR ACCESS
SELECT HSCN_ID, HLEV_ID, GUID
FROM %SCHEMA_1%%DICT_CODE%_HTOL;</v>
      </c>
      <c r="P124" s="53" t="str">
        <f t="shared" si="4"/>
        <v>REPLACE VIEW %SCHEMA%%DICT_CODE%_HTOL AS
LOCKING ROW FOR ACCESS
SELECT HSCN_ID, HLEV_ID, GUID
FROM %SCHEMA_1%%DICT_CODE%_HTOL;</v>
      </c>
      <c r="Q124" s="53" t="str">
        <f t="shared" si="4"/>
        <v/>
      </c>
      <c r="R124" s="53" t="str">
        <f t="shared" si="4"/>
        <v/>
      </c>
      <c r="S124" s="53" t="str">
        <f t="shared" si="4"/>
        <v/>
      </c>
      <c r="T124" s="53" t="str">
        <f t="shared" si="4"/>
        <v/>
      </c>
      <c r="U124" s="53" t="str">
        <f t="shared" si="4"/>
        <v/>
      </c>
      <c r="V124" s="53" t="str">
        <f t="shared" si="4"/>
        <v/>
      </c>
    </row>
    <row r="125" spans="1:22" ht="55.2" x14ac:dyDescent="0.3">
      <c r="A125" s="13" t="s">
        <v>8</v>
      </c>
      <c r="B125" s="14" t="s">
        <v>56</v>
      </c>
      <c r="C125" s="57" t="str">
        <f t="shared" si="0"/>
        <v/>
      </c>
      <c r="D125" s="57" t="str">
        <f t="shared" si="4"/>
        <v/>
      </c>
      <c r="E125" s="57" t="str">
        <f t="shared" si="4"/>
        <v/>
      </c>
      <c r="F125" s="57" t="str">
        <f t="shared" si="4"/>
        <v/>
      </c>
      <c r="G125" s="57" t="str">
        <f t="shared" si="4"/>
        <v/>
      </c>
      <c r="H125" s="57" t="str">
        <f t="shared" si="4"/>
        <v/>
      </c>
      <c r="I125" s="57" t="str">
        <f t="shared" si="4"/>
        <v/>
      </c>
      <c r="J125" s="57" t="str">
        <f t="shared" si="4"/>
        <v/>
      </c>
      <c r="K125" s="57" t="str">
        <f t="shared" si="4"/>
        <v/>
      </c>
      <c r="L125" s="57" t="str">
        <f t="shared" si="4"/>
        <v/>
      </c>
      <c r="M125" s="57" t="str">
        <f t="shared" si="4"/>
        <v>REPLACE VIEW %SCHEMA%%DICT_CODE%_HTOL_S AS
LOCKING ROW FOR ACCESS
SELECT HSCN_ID, HLEV_ID, GUID, RDM$OPC, RDM$VALIDFROM, RDM$RANK, MODIFY_USR_ID
FROM %SCHEMA_1%%DICT_CODE%_HTOL_S;</v>
      </c>
      <c r="N125" s="57" t="str">
        <f t="shared" si="4"/>
        <v>REPLACE VIEW %SCHEMA%%DICT_CODE%_HTOL_S AS
LOCKING ROW FOR ACCESS
SELECT HSCN_ID, HLEV_ID, GUID, RDM$OPC, RDM$VALIDFROM, RDM$RANK, MODIFY_USR_ID
FROM %SCHEMA_1%%DICT_CODE%_HTOL_S;</v>
      </c>
      <c r="O125" s="57" t="str">
        <f t="shared" si="4"/>
        <v>REPLACE VIEW %SCHEMA%%DICT_CODE%_HTOL_S AS
LOCKING ROW FOR ACCESS
SELECT HSCN_ID, HLEV_ID, GUID, RDM$OPC, RDM$VALIDFROM, RDM$RANK, MODIFY_USR_ID
FROM %SCHEMA_1%%DICT_CODE%_HTOL_S;</v>
      </c>
      <c r="P125" s="57" t="str">
        <f t="shared" si="4"/>
        <v>REPLACE VIEW %SCHEMA%%DICT_CODE%_HTOL_S AS
LOCKING ROW FOR ACCESS
SELECT HSCN_ID, HLEV_ID, GUID, RDM$OPC, RDM$VALIDFROM, RDM$RANK, MODIFY_USR_ID
FROM %SCHEMA_1%%DICT_CODE%_HTOL_S;</v>
      </c>
      <c r="Q125" s="57" t="str">
        <f t="shared" si="4"/>
        <v/>
      </c>
      <c r="R125" s="57" t="str">
        <f t="shared" si="4"/>
        <v/>
      </c>
      <c r="S125" s="57" t="str">
        <f t="shared" si="4"/>
        <v/>
      </c>
      <c r="T125" s="57" t="str">
        <f t="shared" si="4"/>
        <v/>
      </c>
      <c r="U125" s="57" t="str">
        <f t="shared" si="4"/>
        <v/>
      </c>
      <c r="V125" s="57" t="str">
        <f t="shared" si="4"/>
        <v/>
      </c>
    </row>
    <row r="126" spans="1:22" ht="69" x14ac:dyDescent="0.3">
      <c r="A126" s="16" t="s">
        <v>8</v>
      </c>
      <c r="B126" s="17" t="s">
        <v>57</v>
      </c>
      <c r="C126" s="60" t="str">
        <f t="shared" si="0"/>
        <v/>
      </c>
      <c r="D126" s="60" t="str">
        <f t="shared" si="4"/>
        <v/>
      </c>
      <c r="E126" s="60" t="str">
        <f t="shared" si="4"/>
        <v/>
      </c>
      <c r="F126" s="60" t="str">
        <f t="shared" si="4"/>
        <v/>
      </c>
      <c r="G126" s="60" t="str">
        <f t="shared" si="4"/>
        <v/>
      </c>
      <c r="H126" s="60" t="str">
        <f t="shared" si="4"/>
        <v/>
      </c>
      <c r="I126" s="60" t="str">
        <f t="shared" si="4"/>
        <v/>
      </c>
      <c r="J126" s="60" t="str">
        <f t="shared" si="4"/>
        <v/>
      </c>
      <c r="K126" s="60" t="str">
        <f t="shared" si="4"/>
        <v/>
      </c>
      <c r="L126" s="60" t="str">
        <f t="shared" si="4"/>
        <v/>
      </c>
      <c r="M126" s="60" t="str">
        <f t="shared" si="4"/>
        <v>REPLACE VIEW %SCHEMA%%DICT_CODE%_HTOL_A AS
LOCKING ROW FOR ACCESS
SELECT HSCN_ID, HLEV_ID, GUID, MODIFY_USR_ID, APPROVE_USR_ID, RDM$OPC, RDM$VALIDFROM
FROM %SCHEMA_1%%DICT_CODE%_HTOL_A;</v>
      </c>
      <c r="N126" s="60" t="str">
        <f t="shared" si="4"/>
        <v>REPLACE VIEW %SCHEMA%%DICT_CODE%_HTOL_A AS
LOCKING ROW FOR ACCESS
SELECT HSCN_ID, HLEV_ID, GUID, MODIFY_USR_ID, APPROVE_USR_ID, RDM$OPC, RDM$VALIDFROM
FROM %SCHEMA_1%%DICT_CODE%_HTOL_A;</v>
      </c>
      <c r="O126" s="60" t="str">
        <f t="shared" si="4"/>
        <v>REPLACE VIEW %SCHEMA%%DICT_CODE%_HTOL_A AS
LOCKING ROW FOR ACCESS
SELECT HSCN_ID, HLEV_ID, GUID, MODIFY_USR_ID, APPROVE_USR_ID, RDM$OPC, RDM$VALIDFROM
FROM %SCHEMA_1%%DICT_CODE%_HTOL_A;</v>
      </c>
      <c r="P126" s="60" t="str">
        <f t="shared" si="4"/>
        <v>REPLACE VIEW %SCHEMA%%DICT_CODE%_HTOL_A AS
LOCKING ROW FOR ACCESS
SELECT HSCN_ID, HLEV_ID, GUID, MODIFY_USR_ID, APPROVE_USR_ID, RDM$OPC, RDM$VALIDFROM
FROM %SCHEMA_1%%DICT_CODE%_HTOL_A;</v>
      </c>
      <c r="Q126" s="60" t="str">
        <f t="shared" si="4"/>
        <v/>
      </c>
      <c r="R126" s="60" t="str">
        <f t="shared" si="4"/>
        <v/>
      </c>
      <c r="S126" s="60" t="str">
        <f t="shared" si="4"/>
        <v/>
      </c>
      <c r="T126" s="60" t="str">
        <f t="shared" si="4"/>
        <v/>
      </c>
      <c r="U126" s="60" t="str">
        <f t="shared" si="4"/>
        <v/>
      </c>
      <c r="V126" s="60" t="str">
        <f t="shared" si="4"/>
        <v/>
      </c>
    </row>
    <row r="127" spans="1:22" ht="55.2" x14ac:dyDescent="0.3">
      <c r="A127" s="19" t="s">
        <v>8</v>
      </c>
      <c r="B127" s="20" t="s">
        <v>58</v>
      </c>
      <c r="C127" s="63" t="str">
        <f t="shared" si="0"/>
        <v/>
      </c>
      <c r="D127" s="63" t="str">
        <f t="shared" si="4"/>
        <v/>
      </c>
      <c r="E127" s="63" t="str">
        <f t="shared" si="4"/>
        <v/>
      </c>
      <c r="F127" s="63" t="str">
        <f t="shared" si="4"/>
        <v/>
      </c>
      <c r="G127" s="63" t="str">
        <f t="shared" si="4"/>
        <v/>
      </c>
      <c r="H127" s="63" t="str">
        <f t="shared" si="4"/>
        <v/>
      </c>
      <c r="I127" s="63" t="str">
        <f t="shared" si="4"/>
        <v/>
      </c>
      <c r="J127" s="63" t="str">
        <f t="shared" si="4"/>
        <v/>
      </c>
      <c r="K127" s="63" t="str">
        <f t="shared" si="4"/>
        <v/>
      </c>
      <c r="L127" s="63" t="str">
        <f t="shared" si="4"/>
        <v/>
      </c>
      <c r="M127" s="63" t="str">
        <f t="shared" si="4"/>
        <v>REPLACE VIEW %SCHEMA%%DICT_CODE%_HTOL_T AS
LOCKING ROW FOR ACCESS
SELECT HSCN_ID, HLEV_ID, RDM$VALIDFROM, RDM$RANK
FROM %SCHEMA_1%%DICT_CODE%_HTOL_T;</v>
      </c>
      <c r="N127" s="63" t="str">
        <f t="shared" si="4"/>
        <v>REPLACE VIEW %SCHEMA%%DICT_CODE%_HTOL_T AS
LOCKING ROW FOR ACCESS
SELECT HSCN_ID, HLEV_ID, RDM$VALIDFROM, RDM$RANK
FROM %SCHEMA_1%%DICT_CODE%_HTOL_T;</v>
      </c>
      <c r="O127" s="63" t="str">
        <f t="shared" si="4"/>
        <v>REPLACE VIEW %SCHEMA%%DICT_CODE%_HTOL_T AS
LOCKING ROW FOR ACCESS
SELECT HSCN_ID, HLEV_ID, RDM$VALIDFROM, RDM$RANK
FROM %SCHEMA_1%%DICT_CODE%_HTOL_T;</v>
      </c>
      <c r="P127" s="63" t="str">
        <f t="shared" si="4"/>
        <v>REPLACE VIEW %SCHEMA%%DICT_CODE%_HTOL_T AS
LOCKING ROW FOR ACCESS
SELECT HSCN_ID, HLEV_ID, RDM$VALIDFROM, RDM$RANK
FROM %SCHEMA_1%%DICT_CODE%_HTOL_T;</v>
      </c>
      <c r="Q127" s="63" t="str">
        <f t="shared" si="4"/>
        <v/>
      </c>
      <c r="R127" s="63" t="str">
        <f t="shared" si="4"/>
        <v/>
      </c>
      <c r="S127" s="63" t="str">
        <f t="shared" si="4"/>
        <v/>
      </c>
      <c r="T127" s="63" t="str">
        <f t="shared" si="4"/>
        <v/>
      </c>
      <c r="U127" s="63" t="str">
        <f t="shared" si="4"/>
        <v/>
      </c>
      <c r="V127" s="63" t="str">
        <f t="shared" si="4"/>
        <v/>
      </c>
    </row>
    <row r="129" spans="3:3" x14ac:dyDescent="0.3">
      <c r="C129" s="41" t="str">
        <f>SUBSTITUTE(SUBSTITUTE(SUBSTITUTE(SUBSTITUTE(SUBSTITUTE(SUBSTITUTE(F7,"CREATE MULTISET TABLE %SCHEMA%%DICT_CODE%","REPLACE VIEW %SCHEMA%%DICT_CODE%"),",
     FALLBACK, NO BEFORE JOURNAL, NO AFTER JOURNAL, CHECKSUM = DEFAULT
     (
      "," AS
LOCKING ROW FOR ACCESS
SELECT ")," INTEGER NOT NULL","")," TIMESTAMP(6) FORMAT 'YYYY-MM-DDHH:MI:SS' NOT NULL","")," DECIMAL(5,0) NOT NULL",""),"
     ","")</f>
        <v>REPLACE VIEW %SCHEMA%%DICT_CODE%_MK_T AS
LOCKING ROW FOR ACCESS
SELECT MK, LINK_FLAG CHAR(1) NOT NULL, RDM$VALIDFROM, RDM$RANK)
PRIMARY INDEX PMK%DICT_CODE%_T (MK);</v>
      </c>
    </row>
    <row r="130" spans="3:3" x14ac:dyDescent="0.3">
      <c r="C130" s="41"/>
    </row>
    <row r="131" spans="3:3" x14ac:dyDescent="0.3">
      <c r="C131" s="41"/>
    </row>
    <row r="132" spans="3:3" x14ac:dyDescent="0.3">
      <c r="C132" s="41"/>
    </row>
    <row r="133" spans="3:3" x14ac:dyDescent="0.3">
      <c r="C133" s="41"/>
    </row>
    <row r="134" spans="3:3" x14ac:dyDescent="0.3">
      <c r="C134" s="41"/>
    </row>
    <row r="135" spans="3:3" x14ac:dyDescent="0.3">
      <c r="C135" s="41"/>
    </row>
    <row r="136" spans="3:3" x14ac:dyDescent="0.3">
      <c r="C136" s="41"/>
    </row>
    <row r="137" spans="3:3" x14ac:dyDescent="0.3">
      <c r="C137" s="41"/>
    </row>
    <row r="138" spans="3:3" x14ac:dyDescent="0.3">
      <c r="C138" s="41"/>
    </row>
    <row r="139" spans="3:3" x14ac:dyDescent="0.3">
      <c r="C139" s="41"/>
    </row>
    <row r="140" spans="3:3" x14ac:dyDescent="0.3">
      <c r="C140" s="41"/>
    </row>
    <row r="141" spans="3:3" x14ac:dyDescent="0.3">
      <c r="C141" s="41"/>
    </row>
    <row r="142" spans="3:3" x14ac:dyDescent="0.3">
      <c r="C142" s="41"/>
    </row>
  </sheetData>
  <mergeCells count="21">
    <mergeCell ref="A95:V95"/>
    <mergeCell ref="H1:H2"/>
    <mergeCell ref="C1:C2"/>
    <mergeCell ref="D1:D2"/>
    <mergeCell ref="E1:E2"/>
    <mergeCell ref="F1:F2"/>
    <mergeCell ref="G1:G2"/>
    <mergeCell ref="S1:S2"/>
    <mergeCell ref="T1:T2"/>
    <mergeCell ref="U1:U2"/>
    <mergeCell ref="V1:V2"/>
    <mergeCell ref="I1:I2"/>
    <mergeCell ref="J1:J2"/>
    <mergeCell ref="K1:K2"/>
    <mergeCell ref="L1:L2"/>
    <mergeCell ref="M1:M2"/>
    <mergeCell ref="N1:N2"/>
    <mergeCell ref="O1:O2"/>
    <mergeCell ref="P1:P2"/>
    <mergeCell ref="Q1:Q2"/>
    <mergeCell ref="R1:R2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7030A0"/>
  </sheetPr>
  <dimension ref="A1:E15"/>
  <sheetViews>
    <sheetView zoomScale="115" zoomScaleNormal="115" workbookViewId="0">
      <selection activeCell="G2" sqref="G2"/>
    </sheetView>
  </sheetViews>
  <sheetFormatPr defaultColWidth="9.109375" defaultRowHeight="14.4" x14ac:dyDescent="0.3"/>
  <cols>
    <col min="1" max="1" width="16.44140625" style="172" customWidth="1"/>
    <col min="2" max="2" width="22" style="172" customWidth="1"/>
    <col min="3" max="3" width="16" style="172" customWidth="1"/>
    <col min="4" max="4" width="17.109375" style="172" customWidth="1"/>
    <col min="5" max="5" width="29" style="172" customWidth="1"/>
    <col min="6" max="6" width="13.33203125" style="172" customWidth="1"/>
    <col min="7" max="8" width="9.109375" style="172"/>
    <col min="9" max="9" width="11.5546875" style="172" customWidth="1"/>
    <col min="10" max="10" width="12.109375" style="172" customWidth="1"/>
    <col min="11" max="16384" width="9.109375" style="172"/>
  </cols>
  <sheetData>
    <row r="1" spans="1:5" ht="55.2" x14ac:dyDescent="0.3">
      <c r="A1" s="3" t="s">
        <v>2369</v>
      </c>
      <c r="B1" s="3" t="s">
        <v>370</v>
      </c>
      <c r="C1" s="3" t="s">
        <v>2370</v>
      </c>
      <c r="D1" s="147" t="s">
        <v>2371</v>
      </c>
      <c r="E1" s="147" t="s">
        <v>2372</v>
      </c>
    </row>
    <row r="2" spans="1:5" x14ac:dyDescent="0.3">
      <c r="A2" s="169">
        <v>1</v>
      </c>
      <c r="B2" s="169" t="s">
        <v>2368</v>
      </c>
      <c r="C2" s="169">
        <v>1</v>
      </c>
      <c r="D2" s="169">
        <v>1</v>
      </c>
      <c r="E2" s="169" t="s">
        <v>392</v>
      </c>
    </row>
    <row r="3" spans="1:5" x14ac:dyDescent="0.3">
      <c r="A3" s="169">
        <v>2</v>
      </c>
      <c r="B3" s="169" t="s">
        <v>371</v>
      </c>
      <c r="C3" s="169">
        <v>2</v>
      </c>
      <c r="D3" s="169">
        <v>1</v>
      </c>
      <c r="E3" s="169" t="s">
        <v>425</v>
      </c>
    </row>
    <row r="4" spans="1:5" x14ac:dyDescent="0.3">
      <c r="A4" s="169">
        <v>3</v>
      </c>
      <c r="B4" s="169" t="s">
        <v>371</v>
      </c>
      <c r="C4" s="169">
        <v>3</v>
      </c>
      <c r="D4" s="169">
        <v>1</v>
      </c>
      <c r="E4" s="169" t="s">
        <v>388</v>
      </c>
    </row>
    <row r="5" spans="1:5" x14ac:dyDescent="0.3">
      <c r="A5" s="169">
        <v>4</v>
      </c>
      <c r="B5" s="169" t="s">
        <v>371</v>
      </c>
      <c r="C5" s="169">
        <v>4</v>
      </c>
      <c r="D5" s="169">
        <v>1</v>
      </c>
      <c r="E5" s="169" t="s">
        <v>393</v>
      </c>
    </row>
    <row r="6" spans="1:5" x14ac:dyDescent="0.3">
      <c r="A6" s="169">
        <v>5</v>
      </c>
      <c r="B6" s="169" t="s">
        <v>371</v>
      </c>
      <c r="C6" s="169">
        <v>5</v>
      </c>
      <c r="D6" s="169">
        <v>1</v>
      </c>
      <c r="E6" s="169" t="s">
        <v>419</v>
      </c>
    </row>
    <row r="7" spans="1:5" x14ac:dyDescent="0.3">
      <c r="A7" s="169">
        <v>6</v>
      </c>
      <c r="B7" s="169" t="s">
        <v>371</v>
      </c>
      <c r="C7" s="169">
        <v>6</v>
      </c>
      <c r="D7" s="169">
        <v>1</v>
      </c>
      <c r="E7" s="169" t="s">
        <v>407</v>
      </c>
    </row>
    <row r="8" spans="1:5" x14ac:dyDescent="0.3">
      <c r="A8" s="169">
        <v>7</v>
      </c>
      <c r="B8" s="169" t="s">
        <v>371</v>
      </c>
      <c r="C8" s="169">
        <v>7</v>
      </c>
      <c r="D8" s="169">
        <v>1</v>
      </c>
      <c r="E8" s="169" t="s">
        <v>395</v>
      </c>
    </row>
    <row r="9" spans="1:5" x14ac:dyDescent="0.3">
      <c r="A9" s="169">
        <v>8</v>
      </c>
      <c r="B9" s="169" t="s">
        <v>371</v>
      </c>
      <c r="C9" s="169">
        <v>8</v>
      </c>
      <c r="D9" s="169">
        <v>1</v>
      </c>
      <c r="E9" s="169" t="s">
        <v>417</v>
      </c>
    </row>
    <row r="10" spans="1:5" x14ac:dyDescent="0.3">
      <c r="A10" s="169">
        <v>9</v>
      </c>
      <c r="B10" s="169" t="s">
        <v>371</v>
      </c>
      <c r="C10" s="169">
        <v>9</v>
      </c>
      <c r="D10" s="169">
        <v>1</v>
      </c>
      <c r="E10" s="169" t="s">
        <v>1358</v>
      </c>
    </row>
    <row r="11" spans="1:5" x14ac:dyDescent="0.3">
      <c r="A11" s="169">
        <v>10</v>
      </c>
      <c r="B11" s="169" t="s">
        <v>371</v>
      </c>
      <c r="C11" s="169">
        <v>10</v>
      </c>
      <c r="D11" s="169">
        <v>1</v>
      </c>
      <c r="E11" s="169" t="s">
        <v>1335</v>
      </c>
    </row>
    <row r="12" spans="1:5" x14ac:dyDescent="0.3">
      <c r="A12" s="169">
        <v>11</v>
      </c>
      <c r="B12" s="169" t="s">
        <v>371</v>
      </c>
      <c r="C12" s="169">
        <v>11</v>
      </c>
      <c r="D12" s="169">
        <v>1</v>
      </c>
      <c r="E12" s="169" t="s">
        <v>410</v>
      </c>
    </row>
    <row r="13" spans="1:5" x14ac:dyDescent="0.3">
      <c r="A13" s="169">
        <v>12</v>
      </c>
      <c r="B13" s="169" t="s">
        <v>371</v>
      </c>
      <c r="C13" s="169">
        <v>12</v>
      </c>
      <c r="D13" s="169">
        <v>1</v>
      </c>
      <c r="E13" s="169" t="s">
        <v>1323</v>
      </c>
    </row>
    <row r="14" spans="1:5" x14ac:dyDescent="0.3">
      <c r="A14" s="169">
        <v>13</v>
      </c>
      <c r="B14" s="169" t="s">
        <v>371</v>
      </c>
      <c r="C14" s="169">
        <v>13</v>
      </c>
      <c r="D14" s="169">
        <v>1</v>
      </c>
      <c r="E14" s="169" t="s">
        <v>418</v>
      </c>
    </row>
    <row r="15" spans="1:5" x14ac:dyDescent="0.3">
      <c r="A15" s="169">
        <v>14</v>
      </c>
      <c r="B15" s="169" t="s">
        <v>371</v>
      </c>
      <c r="C15" s="169">
        <v>14</v>
      </c>
      <c r="D15" s="169">
        <v>1</v>
      </c>
      <c r="E15" s="169" t="s">
        <v>1341</v>
      </c>
    </row>
  </sheetData>
  <autoFilter ref="A1:E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rgb="FF7030A0"/>
  </sheetPr>
  <dimension ref="A1:E27"/>
  <sheetViews>
    <sheetView zoomScale="115" zoomScaleNormal="115" workbookViewId="0">
      <selection activeCell="G7" sqref="G7"/>
    </sheetView>
  </sheetViews>
  <sheetFormatPr defaultColWidth="9.109375" defaultRowHeight="14.4" x14ac:dyDescent="0.3"/>
  <cols>
    <col min="1" max="1" width="11.33203125" style="172" customWidth="1"/>
    <col min="2" max="2" width="18.6640625" style="172" bestFit="1" customWidth="1"/>
    <col min="3" max="3" width="22.6640625" style="172" bestFit="1" customWidth="1"/>
    <col min="4" max="4" width="19.6640625" style="172" bestFit="1" customWidth="1"/>
    <col min="5" max="5" width="23.44140625" style="172" bestFit="1" customWidth="1"/>
    <col min="6" max="6" width="13.33203125" style="172" customWidth="1"/>
    <col min="7" max="8" width="9.109375" style="172"/>
    <col min="9" max="9" width="11.5546875" style="172" customWidth="1"/>
    <col min="10" max="10" width="12.109375" style="172" customWidth="1"/>
    <col min="11" max="16384" width="9.109375" style="172"/>
  </cols>
  <sheetData>
    <row r="1" spans="1:5" ht="82.8" x14ac:dyDescent="0.3">
      <c r="A1" s="3" t="s">
        <v>2379</v>
      </c>
      <c r="B1" s="3" t="s">
        <v>2380</v>
      </c>
      <c r="C1" s="3" t="s">
        <v>2381</v>
      </c>
      <c r="D1" s="147" t="s">
        <v>2382</v>
      </c>
      <c r="E1" s="147" t="s">
        <v>2383</v>
      </c>
    </row>
    <row r="2" spans="1:5" x14ac:dyDescent="0.3">
      <c r="A2" s="169">
        <v>5</v>
      </c>
      <c r="B2" s="169">
        <v>75</v>
      </c>
      <c r="C2" s="169">
        <v>8</v>
      </c>
      <c r="D2" s="169">
        <v>1354</v>
      </c>
      <c r="E2" s="169" t="s">
        <v>2376</v>
      </c>
    </row>
    <row r="3" spans="1:5" x14ac:dyDescent="0.3">
      <c r="A3" s="169">
        <v>3</v>
      </c>
      <c r="B3" s="169">
        <v>1179</v>
      </c>
      <c r="C3" s="169">
        <v>14</v>
      </c>
      <c r="D3" s="169">
        <v>922</v>
      </c>
      <c r="E3" s="169" t="s">
        <v>2376</v>
      </c>
    </row>
    <row r="4" spans="1:5" x14ac:dyDescent="0.3">
      <c r="A4" s="169">
        <v>3</v>
      </c>
      <c r="B4" s="169">
        <v>1201</v>
      </c>
      <c r="C4" s="169">
        <v>11</v>
      </c>
      <c r="D4" s="169">
        <v>254</v>
      </c>
      <c r="E4" s="169" t="s">
        <v>2376</v>
      </c>
    </row>
    <row r="5" spans="1:5" x14ac:dyDescent="0.3">
      <c r="A5" s="169">
        <v>3</v>
      </c>
      <c r="B5" s="169">
        <v>1207</v>
      </c>
      <c r="C5" s="169">
        <v>7</v>
      </c>
      <c r="D5" s="169">
        <v>278</v>
      </c>
      <c r="E5" s="169" t="s">
        <v>2376</v>
      </c>
    </row>
    <row r="6" spans="1:5" x14ac:dyDescent="0.3">
      <c r="A6" s="169">
        <v>3</v>
      </c>
      <c r="B6" s="169">
        <v>1216</v>
      </c>
      <c r="C6" s="169">
        <v>9</v>
      </c>
      <c r="D6" s="169">
        <v>1388</v>
      </c>
      <c r="E6" s="169" t="s">
        <v>2376</v>
      </c>
    </row>
    <row r="7" spans="1:5" x14ac:dyDescent="0.3">
      <c r="A7" s="169">
        <v>3</v>
      </c>
      <c r="B7" s="169">
        <v>1239</v>
      </c>
      <c r="C7" s="169">
        <v>7</v>
      </c>
      <c r="D7" s="169">
        <v>281</v>
      </c>
      <c r="E7" s="169" t="s">
        <v>2377</v>
      </c>
    </row>
    <row r="8" spans="1:5" x14ac:dyDescent="0.3">
      <c r="A8" s="169">
        <v>3</v>
      </c>
      <c r="B8" s="169">
        <v>1239</v>
      </c>
      <c r="C8" s="169">
        <v>7</v>
      </c>
      <c r="D8" s="169">
        <v>283</v>
      </c>
      <c r="E8" s="169" t="s">
        <v>2378</v>
      </c>
    </row>
    <row r="9" spans="1:5" x14ac:dyDescent="0.3">
      <c r="A9" s="169">
        <v>3</v>
      </c>
      <c r="B9" s="169">
        <v>1239</v>
      </c>
      <c r="C9" s="169">
        <v>11</v>
      </c>
      <c r="D9" s="169">
        <v>258</v>
      </c>
      <c r="E9" s="169" t="s">
        <v>2377</v>
      </c>
    </row>
    <row r="10" spans="1:5" x14ac:dyDescent="0.3">
      <c r="A10" s="169">
        <v>3</v>
      </c>
      <c r="B10" s="169">
        <v>1239</v>
      </c>
      <c r="C10" s="169">
        <v>11</v>
      </c>
      <c r="D10" s="169">
        <v>266</v>
      </c>
      <c r="E10" s="169" t="s">
        <v>2378</v>
      </c>
    </row>
    <row r="11" spans="1:5" x14ac:dyDescent="0.3">
      <c r="A11" s="169">
        <v>3</v>
      </c>
      <c r="B11" s="169">
        <v>1239</v>
      </c>
      <c r="C11" s="169">
        <v>14</v>
      </c>
      <c r="D11" s="169">
        <v>928</v>
      </c>
      <c r="E11" s="169" t="s">
        <v>2376</v>
      </c>
    </row>
    <row r="12" spans="1:5" x14ac:dyDescent="0.3">
      <c r="A12" s="169">
        <v>1</v>
      </c>
      <c r="B12" s="169">
        <v>215</v>
      </c>
      <c r="C12" s="169">
        <v>2</v>
      </c>
      <c r="D12" s="169">
        <v>1160</v>
      </c>
      <c r="E12" s="169" t="s">
        <v>2376</v>
      </c>
    </row>
    <row r="13" spans="1:5" x14ac:dyDescent="0.3">
      <c r="A13" s="169">
        <v>1</v>
      </c>
      <c r="B13" s="169">
        <v>215</v>
      </c>
      <c r="C13" s="169">
        <v>6</v>
      </c>
      <c r="D13" s="169">
        <v>51</v>
      </c>
      <c r="E13" s="169" t="s">
        <v>2376</v>
      </c>
    </row>
    <row r="14" spans="1:5" x14ac:dyDescent="0.3">
      <c r="A14" s="169">
        <v>1</v>
      </c>
      <c r="B14" s="169">
        <v>216</v>
      </c>
      <c r="C14" s="169">
        <v>5</v>
      </c>
      <c r="D14" s="169">
        <v>56</v>
      </c>
      <c r="E14" s="169" t="s">
        <v>2376</v>
      </c>
    </row>
    <row r="15" spans="1:5" x14ac:dyDescent="0.3">
      <c r="A15" s="169">
        <v>1</v>
      </c>
      <c r="B15" s="169">
        <v>238</v>
      </c>
      <c r="C15" s="169">
        <v>12</v>
      </c>
      <c r="D15" s="169">
        <v>930</v>
      </c>
      <c r="E15" s="169" t="s">
        <v>2376</v>
      </c>
    </row>
    <row r="16" spans="1:5" x14ac:dyDescent="0.3">
      <c r="A16" s="169">
        <v>1</v>
      </c>
      <c r="B16" s="169">
        <v>244</v>
      </c>
      <c r="C16" s="169">
        <v>10</v>
      </c>
      <c r="D16" s="169">
        <v>1938</v>
      </c>
      <c r="E16" s="169" t="s">
        <v>2376</v>
      </c>
    </row>
    <row r="17" spans="1:5" x14ac:dyDescent="0.3">
      <c r="A17" s="169">
        <v>1</v>
      </c>
      <c r="B17" s="169">
        <v>321</v>
      </c>
      <c r="C17" s="169">
        <v>4</v>
      </c>
      <c r="D17" s="169">
        <v>1575</v>
      </c>
      <c r="E17" s="169" t="s">
        <v>2376</v>
      </c>
    </row>
    <row r="18" spans="1:5" x14ac:dyDescent="0.3">
      <c r="A18" s="169">
        <v>1</v>
      </c>
      <c r="B18" s="169">
        <v>714</v>
      </c>
      <c r="C18" s="169">
        <v>2</v>
      </c>
      <c r="D18" s="169">
        <v>1165</v>
      </c>
      <c r="E18" s="169" t="s">
        <v>2376</v>
      </c>
    </row>
    <row r="19" spans="1:5" x14ac:dyDescent="0.3">
      <c r="A19" s="169">
        <v>1</v>
      </c>
      <c r="B19" s="169">
        <v>714</v>
      </c>
      <c r="C19" s="169">
        <v>4</v>
      </c>
      <c r="D19" s="169">
        <v>1581</v>
      </c>
      <c r="E19" s="169" t="s">
        <v>2376</v>
      </c>
    </row>
    <row r="20" spans="1:5" x14ac:dyDescent="0.3">
      <c r="A20" s="169">
        <v>1</v>
      </c>
      <c r="B20" s="169">
        <v>714</v>
      </c>
      <c r="C20" s="169">
        <v>6</v>
      </c>
      <c r="D20" s="169">
        <v>161</v>
      </c>
      <c r="E20" s="169" t="s">
        <v>2376</v>
      </c>
    </row>
    <row r="21" spans="1:5" x14ac:dyDescent="0.3">
      <c r="A21" s="169">
        <v>1</v>
      </c>
      <c r="B21" s="169">
        <v>714</v>
      </c>
      <c r="C21" s="169">
        <v>10</v>
      </c>
      <c r="D21" s="169">
        <v>1945</v>
      </c>
      <c r="E21" s="169" t="s">
        <v>2376</v>
      </c>
    </row>
    <row r="22" spans="1:5" x14ac:dyDescent="0.3">
      <c r="A22" s="169">
        <v>1</v>
      </c>
      <c r="B22" s="169">
        <v>714</v>
      </c>
      <c r="C22" s="169">
        <v>12</v>
      </c>
      <c r="D22" s="169">
        <v>937</v>
      </c>
      <c r="E22" s="169" t="s">
        <v>2376</v>
      </c>
    </row>
    <row r="23" spans="1:5" x14ac:dyDescent="0.3">
      <c r="A23" s="169">
        <v>6</v>
      </c>
      <c r="B23" s="169">
        <v>161</v>
      </c>
      <c r="C23" s="169">
        <v>13</v>
      </c>
      <c r="D23" s="169">
        <v>1302</v>
      </c>
      <c r="E23" s="169" t="s">
        <v>2377</v>
      </c>
    </row>
    <row r="24" spans="1:5" x14ac:dyDescent="0.3">
      <c r="A24" s="169">
        <v>6</v>
      </c>
      <c r="B24" s="169">
        <v>161</v>
      </c>
      <c r="C24" s="169">
        <v>13</v>
      </c>
      <c r="D24" s="169">
        <v>1303</v>
      </c>
      <c r="E24" s="169" t="s">
        <v>2378</v>
      </c>
    </row>
    <row r="25" spans="1:5" x14ac:dyDescent="0.3">
      <c r="A25" s="169">
        <v>6</v>
      </c>
      <c r="B25" s="169">
        <v>2054</v>
      </c>
      <c r="C25" s="169">
        <v>13</v>
      </c>
      <c r="D25" s="169">
        <v>1297</v>
      </c>
      <c r="E25" s="169" t="s">
        <v>2376</v>
      </c>
    </row>
    <row r="26" spans="1:5" x14ac:dyDescent="0.3">
      <c r="A26" s="169">
        <v>2</v>
      </c>
      <c r="B26" s="169">
        <v>1161</v>
      </c>
      <c r="C26" s="169">
        <v>3</v>
      </c>
      <c r="D26" s="169">
        <v>1195</v>
      </c>
      <c r="E26" s="169" t="s">
        <v>2376</v>
      </c>
    </row>
    <row r="27" spans="1:5" x14ac:dyDescent="0.3">
      <c r="A27" s="169">
        <v>2</v>
      </c>
      <c r="B27" s="169">
        <v>1165</v>
      </c>
      <c r="C27" s="169">
        <v>3</v>
      </c>
      <c r="D27" s="169">
        <v>1239</v>
      </c>
      <c r="E27" s="169" t="s">
        <v>2376</v>
      </c>
    </row>
  </sheetData>
  <autoFilter ref="A1:E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0000"/>
  </sheetPr>
  <dimension ref="A1:F93"/>
  <sheetViews>
    <sheetView zoomScale="70" zoomScaleNormal="70" workbookViewId="0">
      <selection activeCell="B4" sqref="B4"/>
    </sheetView>
  </sheetViews>
  <sheetFormatPr defaultColWidth="9.109375" defaultRowHeight="13.8" x14ac:dyDescent="0.3"/>
  <cols>
    <col min="1" max="1" width="17.88671875" style="66" bestFit="1" customWidth="1"/>
    <col min="2" max="2" width="139.33203125" style="66" customWidth="1"/>
    <col min="3" max="3" width="23.5546875" style="66" bestFit="1" customWidth="1"/>
    <col min="4" max="4" width="36" style="5" customWidth="1"/>
    <col min="5" max="5" width="33.5546875" style="5" customWidth="1"/>
    <col min="6" max="13" width="21.109375" style="5" customWidth="1"/>
    <col min="14" max="18" width="30.33203125" style="5" customWidth="1"/>
    <col min="19" max="19" width="14.33203125" style="5" customWidth="1"/>
    <col min="20" max="16384" width="9.109375" style="5"/>
  </cols>
  <sheetData>
    <row r="1" spans="1:4" ht="46.5" customHeight="1" x14ac:dyDescent="0.3">
      <c r="A1" s="69" t="s">
        <v>10</v>
      </c>
      <c r="B1" s="70" t="s">
        <v>976</v>
      </c>
      <c r="C1" s="66" t="s">
        <v>1009</v>
      </c>
    </row>
    <row r="2" spans="1:4" ht="219" customHeight="1" x14ac:dyDescent="0.3">
      <c r="A2" s="69" t="s">
        <v>11</v>
      </c>
      <c r="B2" s="70" t="s">
        <v>2623</v>
      </c>
      <c r="C2" s="66" t="s">
        <v>1010</v>
      </c>
    </row>
    <row r="3" spans="1:4" s="88" customFormat="1" ht="57" customHeight="1" x14ac:dyDescent="0.3">
      <c r="A3" s="69" t="s">
        <v>1737</v>
      </c>
      <c r="B3" s="70" t="s">
        <v>2621</v>
      </c>
      <c r="C3" s="66" t="s">
        <v>1735</v>
      </c>
    </row>
    <row r="4" spans="1:4" s="88" customFormat="1" ht="219" customHeight="1" x14ac:dyDescent="0.3">
      <c r="A4" s="69" t="s">
        <v>1738</v>
      </c>
      <c r="B4" s="70" t="s">
        <v>2619</v>
      </c>
      <c r="C4" s="66" t="s">
        <v>1736</v>
      </c>
    </row>
    <row r="5" spans="1:4" s="88" customFormat="1" ht="409.6" x14ac:dyDescent="0.3">
      <c r="A5" s="69" t="s">
        <v>1241</v>
      </c>
      <c r="B5" s="161" t="s">
        <v>2620</v>
      </c>
      <c r="C5" s="66" t="s">
        <v>1242</v>
      </c>
      <c r="D5" s="9"/>
    </row>
    <row r="6" spans="1:4" s="88" customFormat="1" ht="276" x14ac:dyDescent="0.3">
      <c r="A6" s="69" t="s">
        <v>2630</v>
      </c>
      <c r="B6" s="161" t="s">
        <v>2632</v>
      </c>
      <c r="C6" s="66"/>
      <c r="D6" s="9"/>
    </row>
    <row r="7" spans="1:4" s="41" customFormat="1" ht="331.2" x14ac:dyDescent="0.3">
      <c r="A7" s="69" t="s">
        <v>384</v>
      </c>
      <c r="B7" s="15" t="s">
        <v>2629</v>
      </c>
      <c r="C7" s="66" t="s">
        <v>56</v>
      </c>
    </row>
    <row r="8" spans="1:4" s="41" customFormat="1" ht="276" x14ac:dyDescent="0.3">
      <c r="A8" s="69" t="s">
        <v>385</v>
      </c>
      <c r="B8" s="15" t="s">
        <v>2628</v>
      </c>
      <c r="C8" s="66" t="s">
        <v>57</v>
      </c>
      <c r="D8" s="9"/>
    </row>
    <row r="9" spans="1:4" ht="102.75" customHeight="1" x14ac:dyDescent="0.3">
      <c r="A9" s="69" t="s">
        <v>386</v>
      </c>
      <c r="B9" s="15" t="s">
        <v>1821</v>
      </c>
      <c r="C9" s="66" t="s">
        <v>58</v>
      </c>
    </row>
    <row r="10" spans="1:4" ht="409.6" x14ac:dyDescent="0.3">
      <c r="A10" s="69" t="s">
        <v>134</v>
      </c>
      <c r="B10" s="70" t="s">
        <v>1741</v>
      </c>
    </row>
    <row r="11" spans="1:4" ht="165.6" x14ac:dyDescent="0.3">
      <c r="A11" s="69" t="s">
        <v>136</v>
      </c>
      <c r="B11" s="70" t="s">
        <v>135</v>
      </c>
    </row>
    <row r="12" spans="1:4" ht="96.6" x14ac:dyDescent="0.3">
      <c r="A12" s="69" t="s">
        <v>138</v>
      </c>
      <c r="B12" s="70" t="s">
        <v>137</v>
      </c>
    </row>
    <row r="13" spans="1:4" ht="82.8" x14ac:dyDescent="0.3">
      <c r="A13" s="69" t="s">
        <v>139</v>
      </c>
      <c r="B13" s="70" t="s">
        <v>1742</v>
      </c>
    </row>
    <row r="14" spans="1:4" ht="400.2" x14ac:dyDescent="0.3">
      <c r="A14" s="69" t="s">
        <v>140</v>
      </c>
      <c r="B14" s="70" t="s">
        <v>1743</v>
      </c>
    </row>
    <row r="15" spans="1:4" ht="317.39999999999998" x14ac:dyDescent="0.3">
      <c r="A15" s="69" t="s">
        <v>141</v>
      </c>
      <c r="B15" s="70" t="s">
        <v>1767</v>
      </c>
    </row>
    <row r="16" spans="1:4" ht="41.4" x14ac:dyDescent="0.3">
      <c r="A16" s="69" t="s">
        <v>233</v>
      </c>
      <c r="B16" s="70" t="s">
        <v>253</v>
      </c>
    </row>
    <row r="17" spans="1:4" x14ac:dyDescent="0.3">
      <c r="A17" s="69" t="s">
        <v>234</v>
      </c>
      <c r="B17" s="70"/>
    </row>
    <row r="18" spans="1:4" ht="15" customHeight="1" x14ac:dyDescent="0.3">
      <c r="A18" s="69" t="s">
        <v>261</v>
      </c>
      <c r="B18" s="70"/>
      <c r="C18" s="76"/>
    </row>
    <row r="19" spans="1:4" ht="15" customHeight="1" x14ac:dyDescent="0.3">
      <c r="A19" s="69" t="s">
        <v>262</v>
      </c>
      <c r="B19" s="70"/>
    </row>
    <row r="20" spans="1:4" ht="15" customHeight="1" x14ac:dyDescent="0.3">
      <c r="A20" s="69" t="s">
        <v>263</v>
      </c>
      <c r="B20" s="70"/>
    </row>
    <row r="21" spans="1:4" ht="15" customHeight="1" x14ac:dyDescent="0.3">
      <c r="A21" s="69" t="s">
        <v>269</v>
      </c>
      <c r="B21" s="70"/>
    </row>
    <row r="22" spans="1:4" ht="15" customHeight="1" x14ac:dyDescent="0.3">
      <c r="A22" s="69" t="s">
        <v>270</v>
      </c>
      <c r="B22" s="70"/>
    </row>
    <row r="26" spans="1:4" ht="15.6" x14ac:dyDescent="0.3">
      <c r="A26" s="71" t="s">
        <v>272</v>
      </c>
    </row>
    <row r="27" spans="1:4" x14ac:dyDescent="0.3">
      <c r="A27" s="67" t="s">
        <v>271</v>
      </c>
      <c r="B27" s="67" t="s">
        <v>273</v>
      </c>
      <c r="C27" s="67" t="s">
        <v>278</v>
      </c>
      <c r="D27" s="67" t="s">
        <v>285</v>
      </c>
    </row>
    <row r="28" spans="1:4" ht="50.25" customHeight="1" x14ac:dyDescent="0.3">
      <c r="A28" s="68" t="s">
        <v>274</v>
      </c>
      <c r="B28" s="72" t="s">
        <v>303</v>
      </c>
      <c r="C28" s="68" t="s">
        <v>300</v>
      </c>
      <c r="D28" s="77"/>
    </row>
    <row r="29" spans="1:4" s="128" customFormat="1" ht="64.8" x14ac:dyDescent="0.3">
      <c r="A29" s="125" t="s">
        <v>275</v>
      </c>
      <c r="B29" s="126" t="s">
        <v>304</v>
      </c>
      <c r="C29" s="125" t="s">
        <v>322</v>
      </c>
      <c r="D29" s="127"/>
    </row>
    <row r="30" spans="1:4" s="128" customFormat="1" ht="64.8" x14ac:dyDescent="0.3">
      <c r="A30" s="125" t="s">
        <v>276</v>
      </c>
      <c r="B30" s="126" t="s">
        <v>321</v>
      </c>
      <c r="C30" s="125" t="s">
        <v>323</v>
      </c>
      <c r="D30" s="127"/>
    </row>
    <row r="31" spans="1:4" s="128" customFormat="1" ht="43.2" x14ac:dyDescent="0.3">
      <c r="A31" s="75" t="s">
        <v>279</v>
      </c>
      <c r="B31" s="74" t="str">
        <f t="shared" ref="B31:B50" si="0">"SELECT 1 FROM DBC.Tables WHERE TRIM (DatabaseName) = '%schema%'AND TRIM (TableName) = '"&amp;D31&amp;"';
.IF ACTIVITYCOUNT = 0 then .GOTO Step_1
DROP TABLE %schema%."&amp;D31&amp;";
.LABEL Step_1"</f>
        <v>SELECT 1 FROM DBC.Tables WHERE TRIM (DatabaseName) = '%schema%'AND TRIM (TableName) = 'SEC_GRP_TAB_ATTR';
.IF ACTIVITYCOUNT = 0 then .GOTO Step_1
DROP TABLE %schema%.SEC_GRP_TAB_ATTR;
.LABEL Step_1</v>
      </c>
      <c r="C31" s="73" t="str">
        <f t="shared" ref="C31:C40" si="1">"drop_"&amp;LOWER(D31)</f>
        <v>drop_sec_grp_tab_attr</v>
      </c>
      <c r="D31" s="68" t="s">
        <v>306</v>
      </c>
    </row>
    <row r="32" spans="1:4" s="128" customFormat="1" ht="43.2" x14ac:dyDescent="0.3">
      <c r="A32" s="75" t="s">
        <v>279</v>
      </c>
      <c r="B32" s="74" t="str">
        <f t="shared" si="0"/>
        <v>SELECT 1 FROM DBC.Tables WHERE TRIM (DatabaseName) = '%schema%'AND TRIM (TableName) = 'TAB_SEC_GRP';
.IF ACTIVITYCOUNT = 0 then .GOTO Step_1
DROP TABLE %schema%.TAB_SEC_GRP;
.LABEL Step_1</v>
      </c>
      <c r="C32" s="73" t="str">
        <f t="shared" si="1"/>
        <v>drop_tab_sec_grp</v>
      </c>
      <c r="D32" s="68" t="s">
        <v>307</v>
      </c>
    </row>
    <row r="33" spans="1:5" s="128" customFormat="1" ht="43.2" x14ac:dyDescent="0.3">
      <c r="A33" s="75" t="s">
        <v>279</v>
      </c>
      <c r="B33" s="74" t="str">
        <f t="shared" si="0"/>
        <v>SELECT 1 FROM DBC.Tables WHERE TRIM (DatabaseName) = '%schema%'AND TRIM (TableName) = 'USR_GRP_SEC_GRP';
.IF ACTIVITYCOUNT = 0 then .GOTO Step_1
DROP TABLE %schema%.USR_GRP_SEC_GRP;
.LABEL Step_1</v>
      </c>
      <c r="C33" s="73" t="str">
        <f t="shared" si="1"/>
        <v>drop_usr_grp_sec_grp</v>
      </c>
      <c r="D33" s="68" t="s">
        <v>309</v>
      </c>
    </row>
    <row r="34" spans="1:5" s="128" customFormat="1" ht="43.2" x14ac:dyDescent="0.3">
      <c r="A34" s="75" t="s">
        <v>279</v>
      </c>
      <c r="B34" s="74" t="str">
        <f t="shared" si="0"/>
        <v>SELECT 1 FROM DBC.Tables WHERE TRIM (DatabaseName) = '%schema%'AND TRIM (TableName) = 'USR_USR_GRP';
.IF ACTIVITYCOUNT = 0 then .GOTO Step_1
DROP TABLE %schema%.USR_USR_GRP;
.LABEL Step_1</v>
      </c>
      <c r="C34" s="73" t="str">
        <f t="shared" si="1"/>
        <v>drop_usr_usr_grp</v>
      </c>
      <c r="D34" s="68" t="s">
        <v>311</v>
      </c>
    </row>
    <row r="35" spans="1:5" s="128" customFormat="1" ht="43.2" x14ac:dyDescent="0.3">
      <c r="A35" s="75" t="s">
        <v>279</v>
      </c>
      <c r="B35" s="74" t="str">
        <f t="shared" si="0"/>
        <v>SELECT 1 FROM DBC.Tables WHERE TRIM (DatabaseName) = '%schema%'AND TRIM (TableName) = 'SEC_ROLES_PRIV';
.IF ACTIVITYCOUNT = 0 then .GOTO Step_1
DROP TABLE %schema%.SEC_ROLES_PRIV;
.LABEL Step_1</v>
      </c>
      <c r="C35" s="73" t="str">
        <f t="shared" si="1"/>
        <v>drop_sec_roles_priv</v>
      </c>
      <c r="D35" s="68" t="s">
        <v>312</v>
      </c>
    </row>
    <row r="36" spans="1:5" s="128" customFormat="1" ht="43.2" x14ac:dyDescent="0.3">
      <c r="A36" s="75" t="s">
        <v>279</v>
      </c>
      <c r="B36" s="74" t="str">
        <f t="shared" si="0"/>
        <v>SELECT 1 FROM DBC.Tables WHERE TRIM (DatabaseName) = '%schema%'AND TRIM (TableName) = 'SEC_GRP';
.IF ACTIVITYCOUNT = 0 then .GOTO Step_1
DROP TABLE %schema%.SEC_GRP;
.LABEL Step_1</v>
      </c>
      <c r="C36" s="73" t="str">
        <f t="shared" si="1"/>
        <v>drop_sec_grp</v>
      </c>
      <c r="D36" s="68" t="s">
        <v>281</v>
      </c>
    </row>
    <row r="37" spans="1:5" s="128" customFormat="1" ht="43.2" x14ac:dyDescent="0.3">
      <c r="A37" s="75" t="s">
        <v>279</v>
      </c>
      <c r="B37" s="74" t="str">
        <f t="shared" si="0"/>
        <v>SELECT 1 FROM DBC.Tables WHERE TRIM (DatabaseName) = '%schema%'AND TRIM (TableName) = 'SEC_ROLE';
.IF ACTIVITYCOUNT = 0 then .GOTO Step_1
DROP TABLE %schema%.SEC_ROLE;
.LABEL Step_1</v>
      </c>
      <c r="C37" s="73" t="str">
        <f t="shared" si="1"/>
        <v>drop_sec_role</v>
      </c>
      <c r="D37" s="68" t="s">
        <v>308</v>
      </c>
    </row>
    <row r="38" spans="1:5" s="128" customFormat="1" ht="43.2" x14ac:dyDescent="0.3">
      <c r="A38" s="75" t="s">
        <v>279</v>
      </c>
      <c r="B38" s="74" t="str">
        <f t="shared" si="0"/>
        <v>SELECT 1 FROM DBC.Tables WHERE TRIM (DatabaseName) = '%schema%'AND TRIM (TableName) = 'USR_GRP';
.IF ACTIVITYCOUNT = 0 then .GOTO Step_1
DROP TABLE %schema%.USR_GRP;
.LABEL Step_1</v>
      </c>
      <c r="C38" s="73" t="str">
        <f t="shared" si="1"/>
        <v>drop_usr_grp</v>
      </c>
      <c r="D38" s="68" t="s">
        <v>310</v>
      </c>
    </row>
    <row r="39" spans="1:5" s="128" customFormat="1" ht="43.2" x14ac:dyDescent="0.3">
      <c r="A39" s="75" t="s">
        <v>279</v>
      </c>
      <c r="B39" s="74" t="str">
        <f t="shared" si="0"/>
        <v>SELECT 1 FROM DBC.Tables WHERE TRIM (DatabaseName) = '%schema%'AND TRIM (TableName) = 'SEC_PRIV';
.IF ACTIVITYCOUNT = 0 then .GOTO Step_1
DROP TABLE %schema%.SEC_PRIV;
.LABEL Step_1</v>
      </c>
      <c r="C39" s="73" t="str">
        <f t="shared" si="1"/>
        <v>drop_sec_priv</v>
      </c>
      <c r="D39" s="68" t="s">
        <v>314</v>
      </c>
    </row>
    <row r="40" spans="1:5" s="128" customFormat="1" ht="43.2" x14ac:dyDescent="0.3">
      <c r="A40" s="75" t="s">
        <v>279</v>
      </c>
      <c r="B40" s="74" t="str">
        <f t="shared" si="0"/>
        <v>SELECT 1 FROM DBC.Tables WHERE TRIM (DatabaseName) = '%schema%'AND TRIM (TableName) = 'USR';
.IF ACTIVITYCOUNT = 0 then .GOTO Step_1
DROP TABLE %schema%.USR;
.LABEL Step_1</v>
      </c>
      <c r="C40" s="73" t="str">
        <f t="shared" si="1"/>
        <v>drop_usr</v>
      </c>
      <c r="D40" s="68" t="s">
        <v>280</v>
      </c>
    </row>
    <row r="41" spans="1:5" s="128" customFormat="1" ht="43.2" x14ac:dyDescent="0.3">
      <c r="A41" s="75" t="s">
        <v>279</v>
      </c>
      <c r="B41" s="74" t="str">
        <f t="shared" si="0"/>
        <v>SELECT 1 FROM DBC.Tables WHERE TRIM (DatabaseName) = '%schema%'AND TRIM (TableName) = 'ETL_PROC_PARAM';
.IF ACTIVITYCOUNT = 0 then .GOTO Step_1
DROP TABLE %schema%.ETL_PROC_PARAM;
.LABEL Step_1</v>
      </c>
      <c r="C41" s="73" t="str">
        <f>"drop_"&amp;LOWER(D41)</f>
        <v>drop_etl_proc_param</v>
      </c>
      <c r="D41" s="68" t="s">
        <v>318</v>
      </c>
    </row>
    <row r="42" spans="1:5" s="128" customFormat="1" ht="43.2" x14ac:dyDescent="0.3">
      <c r="A42" s="75" t="s">
        <v>279</v>
      </c>
      <c r="B42" s="74" t="str">
        <f t="shared" si="0"/>
        <v>SELECT 1 FROM DBC.Tables WHERE TRIM (DatabaseName) = '%schema%'AND TRIM (TableName) = 'ETL_PROC';
.IF ACTIVITYCOUNT = 0 then .GOTO Step_1
DROP TABLE %schema%.ETL_PROC;
.LABEL Step_1</v>
      </c>
      <c r="C42" s="73" t="str">
        <f t="shared" ref="C42" si="2">"drop_"&amp;LOWER(D42)</f>
        <v>drop_etl_proc</v>
      </c>
      <c r="D42" s="68" t="s">
        <v>319</v>
      </c>
    </row>
    <row r="43" spans="1:5" s="88" customFormat="1" ht="26.25" customHeight="1" x14ac:dyDescent="0.3">
      <c r="A43" s="75" t="s">
        <v>279</v>
      </c>
      <c r="B43" s="74" t="str">
        <f t="shared" si="0"/>
        <v>SELECT 1 FROM DBC.Tables WHERE TRIM (DatabaseName) = '%schema%'AND TRIM (TableName) = 'JOIN_STRUCT';
.IF ACTIVITYCOUNT = 0 then .GOTO Step_1
DROP TABLE %schema%.JOIN_STRUCT;
.LABEL Step_1</v>
      </c>
      <c r="C43" s="73" t="str">
        <f t="shared" ref="C43:C48" si="3">"drop_"&amp;LOWER(D43)</f>
        <v>drop_join_struct</v>
      </c>
      <c r="D43" s="68" t="s">
        <v>316</v>
      </c>
      <c r="E43" s="66"/>
    </row>
    <row r="44" spans="1:5" s="88" customFormat="1" ht="26.25" customHeight="1" x14ac:dyDescent="0.3">
      <c r="A44" s="75" t="s">
        <v>279</v>
      </c>
      <c r="B44" s="74" t="str">
        <f t="shared" si="0"/>
        <v>SELECT 1 FROM DBC.Tables WHERE TRIM (DatabaseName) = '%schema%'AND TRIM (TableName) = 'JOIN_ATTR';
.IF ACTIVITYCOUNT = 0 then .GOTO Step_1
DROP TABLE %schema%.JOIN_ATTR;
.LABEL Step_1</v>
      </c>
      <c r="C44" s="73" t="str">
        <f t="shared" si="3"/>
        <v>drop_join_attr</v>
      </c>
      <c r="D44" s="68" t="s">
        <v>317</v>
      </c>
      <c r="E44" s="66"/>
    </row>
    <row r="45" spans="1:5" s="128" customFormat="1" ht="43.2" x14ac:dyDescent="0.3">
      <c r="A45" s="75" t="s">
        <v>279</v>
      </c>
      <c r="B45" s="74" t="str">
        <f t="shared" si="0"/>
        <v>SELECT 1 FROM DBC.Tables WHERE TRIM (DatabaseName) = '%schema%'AND TRIM (TableName) = 'JOIN_LIST';
.IF ACTIVITYCOUNT = 0 then .GOTO Step_1
DROP TABLE %schema%.JOIN_LIST;
.LABEL Step_1</v>
      </c>
      <c r="C45" s="73" t="str">
        <f t="shared" si="3"/>
        <v>drop_join_list</v>
      </c>
      <c r="D45" s="68" t="s">
        <v>315</v>
      </c>
    </row>
    <row r="46" spans="1:5" s="128" customFormat="1" ht="43.2" x14ac:dyDescent="0.3">
      <c r="A46" s="75" t="s">
        <v>279</v>
      </c>
      <c r="B46" s="74" t="str">
        <f t="shared" ref="B46" si="4">"SELECT 1 FROM DBC.Tables WHERE TRIM (DatabaseName) = '%schema%'AND TRIM (TableName) = '"&amp;D46&amp;"';
.IF ACTIVITYCOUNT = 0 then .GOTO Step_1
DROP TABLE %schema%."&amp;D46&amp;";
.LABEL Step_1"</f>
        <v>SELECT 1 FROM DBC.Tables WHERE TRIM (DatabaseName) = '%schema%'AND TRIM (TableName) = 'ERM_ATTR_COLLECTION';
.IF ACTIVITYCOUNT = 0 then .GOTO Step_1
DROP TABLE %schema%.ERM_ATTR_COLLECTION;
.LABEL Step_1</v>
      </c>
      <c r="C46" s="73" t="str">
        <f t="shared" ref="C46" si="5">"drop_"&amp;LOWER(D46)</f>
        <v>drop_erm_attr_collection</v>
      </c>
      <c r="D46" s="68" t="s">
        <v>1179</v>
      </c>
    </row>
    <row r="47" spans="1:5" s="128" customFormat="1" ht="43.2" x14ac:dyDescent="0.3">
      <c r="A47" s="75" t="s">
        <v>279</v>
      </c>
      <c r="B47" s="74" t="str">
        <f t="shared" si="0"/>
        <v>SELECT 1 FROM DBC.Tables WHERE TRIM (DatabaseName) = '%schema%'AND TRIM (TableName) = 'ERM_TABLE_ATTR';
.IF ACTIVITYCOUNT = 0 then .GOTO Step_1
DROP TABLE %schema%.ERM_TABLE_ATTR;
.LABEL Step_1</v>
      </c>
      <c r="C47" s="73" t="str">
        <f t="shared" si="3"/>
        <v>drop_erm_table_attr</v>
      </c>
      <c r="D47" s="68" t="s">
        <v>302</v>
      </c>
    </row>
    <row r="48" spans="1:5" s="41" customFormat="1" ht="43.2" x14ac:dyDescent="0.3">
      <c r="A48" s="75" t="s">
        <v>279</v>
      </c>
      <c r="B48" s="74" t="str">
        <f t="shared" si="0"/>
        <v>SELECT 1 FROM DBC.Tables WHERE TRIM (DatabaseName) = '%schema%'AND TRIM (TableName) = 'ERM_TABLE';
.IF ACTIVITYCOUNT = 0 then .GOTO Step_1
DROP TABLE %schema%.ERM_TABLE;
.LABEL Step_1</v>
      </c>
      <c r="C48" s="73" t="str">
        <f t="shared" si="3"/>
        <v>drop_erm_table</v>
      </c>
      <c r="D48" s="68" t="s">
        <v>301</v>
      </c>
      <c r="E48" s="66"/>
    </row>
    <row r="49" spans="1:5" s="41" customFormat="1" ht="45.75" customHeight="1" x14ac:dyDescent="0.3">
      <c r="A49" s="75" t="s">
        <v>279</v>
      </c>
      <c r="B49" s="74" t="str">
        <f t="shared" si="0"/>
        <v>SELECT 1 FROM DBC.Tables WHERE TRIM (DatabaseName) = '%schema%'AND TRIM (TableName) = 'ERM_DOMAIN';
.IF ACTIVITYCOUNT = 0 then .GOTO Step_1
DROP TABLE %schema%.ERM_DOMAIN;
.LABEL Step_1</v>
      </c>
      <c r="C49" s="73" t="str">
        <f t="shared" ref="C49:C50" si="6">"drop_"&amp;LOWER(D49)</f>
        <v>drop_erm_domain</v>
      </c>
      <c r="D49" s="68" t="s">
        <v>305</v>
      </c>
      <c r="E49" s="66"/>
    </row>
    <row r="50" spans="1:5" s="88" customFormat="1" ht="45.75" customHeight="1" x14ac:dyDescent="0.3">
      <c r="A50" s="75" t="s">
        <v>279</v>
      </c>
      <c r="B50" s="74" t="str">
        <f t="shared" si="0"/>
        <v>SELECT 1 FROM DBC.Tables WHERE TRIM (DatabaseName) = '%schema%'AND TRIM (TableName) = 'ERM_LOG';
.IF ACTIVITYCOUNT = 0 then .GOTO Step_1
DROP TABLE %schema%.ERM_LOG;
.LABEL Step_1</v>
      </c>
      <c r="C50" s="73" t="str">
        <f t="shared" si="6"/>
        <v>drop_erm_log</v>
      </c>
      <c r="D50" s="68" t="s">
        <v>327</v>
      </c>
      <c r="E50" s="66"/>
    </row>
    <row r="51" spans="1:5" s="88" customFormat="1" ht="45.75" customHeight="1" x14ac:dyDescent="0.3">
      <c r="A51" s="75" t="s">
        <v>279</v>
      </c>
      <c r="B51" s="74" t="str">
        <f t="shared" ref="B51:B52" si="7">"SELECT 1 FROM DBC.Tables WHERE TRIM (DatabaseName) = '%schema%'AND TRIM (TableName) = '"&amp;D51&amp;"';
.IF ACTIVITYCOUNT = 0 then .GOTO Step_1
DROP TABLE %schema%."&amp;D51&amp;";
.LABEL Step_1"</f>
        <v>SELECT 1 FROM DBC.Tables WHERE TRIM (DatabaseName) = '%schema%'AND TRIM (TableName) = 'ERM_LOG_TD';
.IF ACTIVITYCOUNT = 0 then .GOTO Step_1
DROP TABLE %schema%.ERM_LOG_TD;
.LABEL Step_1</v>
      </c>
      <c r="C51" s="73" t="str">
        <f t="shared" ref="C51:C52" si="8">"drop_"&amp;LOWER(D51)</f>
        <v>drop_erm_log_td</v>
      </c>
      <c r="D51" s="68" t="s">
        <v>1027</v>
      </c>
      <c r="E51" s="66"/>
    </row>
    <row r="52" spans="1:5" s="88" customFormat="1" ht="45.75" customHeight="1" x14ac:dyDescent="0.3">
      <c r="A52" s="75" t="s">
        <v>279</v>
      </c>
      <c r="B52" s="74" t="str">
        <f t="shared" si="7"/>
        <v>SELECT 1 FROM DBC.Tables WHERE TRIM (DatabaseName) = '%schema%'AND TRIM (TableName) = 'ERM_LOG_IPC';
.IF ACTIVITYCOUNT = 0 then .GOTO Step_1
DROP TABLE %schema%.ERM_LOG_IPC;
.LABEL Step_1</v>
      </c>
      <c r="C52" s="73" t="str">
        <f t="shared" si="8"/>
        <v>drop_erm_log_ipc</v>
      </c>
      <c r="D52" s="68" t="s">
        <v>1028</v>
      </c>
      <c r="E52" s="66"/>
    </row>
    <row r="53" spans="1:5" s="88" customFormat="1" ht="45.75" customHeight="1" x14ac:dyDescent="0.3">
      <c r="A53" s="75" t="s">
        <v>279</v>
      </c>
      <c r="B53" s="74" t="str">
        <f>"SELECT 1 FROM DBC.Tables WHERE TRIM (DatabaseName) = '%schema%'AND TRIM (TableName) = '"&amp;D53&amp;"';
.IF ACTIVITYCOUNT = 0 then .GOTO Step_1
DROP VIEW %schema%."&amp;D53&amp;";
.LABEL Step_1"</f>
        <v>SELECT 1 FROM DBC.Tables WHERE TRIM (DatabaseName) = '%schema%'AND TRIM (TableName) = 'ERM_LOG_TD_Z';
.IF ACTIVITYCOUNT = 0 then .GOTO Step_1
DROP VIEW %schema%.ERM_LOG_TD_Z;
.LABEL Step_1</v>
      </c>
      <c r="C53" s="73" t="str">
        <f t="shared" ref="C53:C56" si="9">"drop_"&amp;LOWER(D53)</f>
        <v>drop_erm_log_td_z</v>
      </c>
      <c r="D53" s="68" t="s">
        <v>1029</v>
      </c>
      <c r="E53" s="66"/>
    </row>
    <row r="54" spans="1:5" s="88" customFormat="1" ht="45.75" customHeight="1" x14ac:dyDescent="0.3">
      <c r="A54" s="75" t="s">
        <v>279</v>
      </c>
      <c r="B54" s="74" t="str">
        <f>"SELECT 1 FROM DBC.Tables WHERE TRIM (DatabaseName) = '%schema%'AND TRIM (TableName) = '"&amp;D54&amp;"';
.IF ACTIVITYCOUNT = 0 then .GOTO Step_1
DROP VIEW %schema%."&amp;D54&amp;";
.LABEL Step_1"</f>
        <v>SELECT 1 FROM DBC.Tables WHERE TRIM (DatabaseName) = '%schema%'AND TRIM (TableName) = 'ERM_LOG_IPC_Z';
.IF ACTIVITYCOUNT = 0 then .GOTO Step_1
DROP VIEW %schema%.ERM_LOG_IPC_Z;
.LABEL Step_1</v>
      </c>
      <c r="C54" s="73" t="str">
        <f t="shared" si="9"/>
        <v>drop_erm_log_ipc_z</v>
      </c>
      <c r="D54" s="68" t="s">
        <v>1030</v>
      </c>
      <c r="E54" s="66"/>
    </row>
    <row r="55" spans="1:5" s="88" customFormat="1" ht="45.75" customHeight="1" x14ac:dyDescent="0.3">
      <c r="A55" s="75" t="s">
        <v>279</v>
      </c>
      <c r="B55" s="74" t="str">
        <f>"SELECT 1 FROM DBC.Tables WHERE TRIM (DatabaseName) = '%schema%'AND TRIM (TableName) = '"&amp;D55&amp;"';
.IF ACTIVITYCOUNT = 0 then .GOTO Step_1
DROP VIEW %schema%."&amp;D55&amp;";
.LABEL Step_1"</f>
        <v>SELECT 1 FROM DBC.Tables WHERE TRIM (DatabaseName) = '%schema%'AND TRIM (TableName) = 'ERM_LOG_V';
.IF ACTIVITYCOUNT = 0 then .GOTO Step_1
DROP VIEW %schema%.ERM_LOG_V;
.LABEL Step_1</v>
      </c>
      <c r="C55" s="73" t="str">
        <f t="shared" si="9"/>
        <v>drop_erm_log_v</v>
      </c>
      <c r="D55" s="68" t="s">
        <v>1031</v>
      </c>
      <c r="E55" s="66"/>
    </row>
    <row r="56" spans="1:5" s="88" customFormat="1" ht="45.75" customHeight="1" x14ac:dyDescent="0.3">
      <c r="A56" s="75" t="s">
        <v>279</v>
      </c>
      <c r="B56" s="74" t="str">
        <f>"SELECT 1 FROM DBC.Tables WHERE TRIM (DatabaseName) = '%schema%'AND TRIM (TableName) = '"&amp;D56&amp;"';
.IF ACTIVITYCOUNT = 0 then .GOTO Step_1
DROP VIEW %schema%."&amp;D56&amp;";
.LABEL Step_1"</f>
        <v>SELECT 1 FROM DBC.Tables WHERE TRIM (DatabaseName) = '%schema%'AND TRIM (TableName) = 'ERM_LOG_V_Z';
.IF ACTIVITYCOUNT = 0 then .GOTO Step_1
DROP VIEW %schema%.ERM_LOG_V_Z;
.LABEL Step_1</v>
      </c>
      <c r="C56" s="73" t="str">
        <f t="shared" si="9"/>
        <v>drop_erm_log_v_z</v>
      </c>
      <c r="D56" s="68" t="s">
        <v>1032</v>
      </c>
      <c r="E56" s="66"/>
    </row>
    <row r="57" spans="1:5" ht="180.75" customHeight="1" x14ac:dyDescent="0.3">
      <c r="A57" s="75" t="s">
        <v>277</v>
      </c>
      <c r="B57" s="72" t="s">
        <v>2625</v>
      </c>
      <c r="C57" s="75" t="s">
        <v>1744</v>
      </c>
      <c r="D57" s="68">
        <v>1</v>
      </c>
    </row>
    <row r="58" spans="1:5" s="24" customFormat="1" ht="192" customHeight="1" x14ac:dyDescent="0.3">
      <c r="A58" s="75" t="s">
        <v>277</v>
      </c>
      <c r="B58" s="129" t="s">
        <v>2626</v>
      </c>
      <c r="C58" s="75" t="s">
        <v>1745</v>
      </c>
      <c r="D58" s="75">
        <v>2</v>
      </c>
    </row>
    <row r="59" spans="1:5" s="24" customFormat="1" ht="68.25" customHeight="1" x14ac:dyDescent="0.3">
      <c r="A59" s="75" t="s">
        <v>277</v>
      </c>
      <c r="B59" s="72" t="s">
        <v>2624</v>
      </c>
      <c r="C59" s="75" t="s">
        <v>1746</v>
      </c>
      <c r="D59" s="68">
        <v>3</v>
      </c>
    </row>
    <row r="60" spans="1:5" s="24" customFormat="1" ht="135" customHeight="1" x14ac:dyDescent="0.3">
      <c r="A60" s="180" t="s">
        <v>277</v>
      </c>
      <c r="B60" s="181" t="s">
        <v>2018</v>
      </c>
      <c r="C60" s="180" t="s">
        <v>1747</v>
      </c>
      <c r="D60" s="180">
        <v>4</v>
      </c>
    </row>
    <row r="61" spans="1:5" s="24" customFormat="1" ht="192" customHeight="1" x14ac:dyDescent="0.3">
      <c r="A61" s="75" t="s">
        <v>277</v>
      </c>
      <c r="B61" s="72" t="s">
        <v>2414</v>
      </c>
      <c r="C61" s="75" t="s">
        <v>1748</v>
      </c>
      <c r="D61" s="68">
        <v>5</v>
      </c>
    </row>
    <row r="62" spans="1:5" ht="141" customHeight="1" x14ac:dyDescent="0.3">
      <c r="A62" s="75" t="s">
        <v>277</v>
      </c>
      <c r="B62" s="72" t="s">
        <v>2415</v>
      </c>
      <c r="C62" s="75" t="s">
        <v>1749</v>
      </c>
      <c r="D62" s="75">
        <v>6</v>
      </c>
    </row>
    <row r="63" spans="1:5" s="88" customFormat="1" ht="141" customHeight="1" x14ac:dyDescent="0.3">
      <c r="A63" s="75" t="s">
        <v>277</v>
      </c>
      <c r="B63" s="72" t="s">
        <v>2422</v>
      </c>
      <c r="C63" s="75" t="s">
        <v>1750</v>
      </c>
      <c r="D63" s="68">
        <v>7</v>
      </c>
    </row>
    <row r="64" spans="1:5" s="88" customFormat="1" ht="141" customHeight="1" x14ac:dyDescent="0.3">
      <c r="A64" s="75" t="s">
        <v>277</v>
      </c>
      <c r="B64" s="72" t="s">
        <v>2423</v>
      </c>
      <c r="C64" s="75" t="s">
        <v>1751</v>
      </c>
      <c r="D64" s="75">
        <v>8</v>
      </c>
    </row>
    <row r="65" spans="1:6" s="88" customFormat="1" ht="141" customHeight="1" x14ac:dyDescent="0.3">
      <c r="A65" s="75" t="s">
        <v>277</v>
      </c>
      <c r="B65" s="72" t="s">
        <v>2424</v>
      </c>
      <c r="C65" s="75" t="s">
        <v>1752</v>
      </c>
      <c r="D65" s="68">
        <v>9</v>
      </c>
    </row>
    <row r="66" spans="1:6" s="88" customFormat="1" ht="141" customHeight="1" x14ac:dyDescent="0.3">
      <c r="A66" s="75" t="s">
        <v>277</v>
      </c>
      <c r="B66" s="72" t="s">
        <v>2425</v>
      </c>
      <c r="C66" s="75" t="s">
        <v>1753</v>
      </c>
      <c r="D66" s="75">
        <v>10</v>
      </c>
    </row>
    <row r="67" spans="1:6" ht="162" x14ac:dyDescent="0.3">
      <c r="A67" s="75" t="s">
        <v>277</v>
      </c>
      <c r="B67" s="72" t="s">
        <v>2426</v>
      </c>
      <c r="C67" s="75" t="s">
        <v>1754</v>
      </c>
      <c r="D67" s="68">
        <v>11</v>
      </c>
      <c r="E67" s="137" t="s">
        <v>1025</v>
      </c>
    </row>
    <row r="68" spans="1:6" ht="170.25" customHeight="1" x14ac:dyDescent="0.3">
      <c r="A68" s="75" t="s">
        <v>277</v>
      </c>
      <c r="B68" s="72" t="s">
        <v>2427</v>
      </c>
      <c r="C68" s="75" t="s">
        <v>1755</v>
      </c>
      <c r="D68" s="75">
        <v>12</v>
      </c>
    </row>
    <row r="69" spans="1:6" s="88" customFormat="1" ht="162" customHeight="1" x14ac:dyDescent="0.3">
      <c r="A69" s="75" t="s">
        <v>277</v>
      </c>
      <c r="B69" s="72" t="s">
        <v>1768</v>
      </c>
      <c r="C69" s="75" t="s">
        <v>1756</v>
      </c>
      <c r="D69" s="68">
        <v>13</v>
      </c>
      <c r="F69" s="88" t="s">
        <v>313</v>
      </c>
    </row>
    <row r="70" spans="1:6" ht="108" x14ac:dyDescent="0.3">
      <c r="A70" s="75" t="s">
        <v>277</v>
      </c>
      <c r="B70" s="72" t="s">
        <v>2421</v>
      </c>
      <c r="C70" s="75" t="s">
        <v>1757</v>
      </c>
      <c r="D70" s="75">
        <v>14</v>
      </c>
    </row>
    <row r="71" spans="1:6" ht="137.25" customHeight="1" x14ac:dyDescent="0.3">
      <c r="A71" s="75" t="s">
        <v>277</v>
      </c>
      <c r="B71" s="72" t="s">
        <v>2434</v>
      </c>
      <c r="C71" s="75" t="s">
        <v>1758</v>
      </c>
      <c r="D71" s="68">
        <v>15</v>
      </c>
    </row>
    <row r="72" spans="1:6" s="88" customFormat="1" ht="129.6" x14ac:dyDescent="0.3">
      <c r="A72" s="75" t="s">
        <v>277</v>
      </c>
      <c r="B72" s="129" t="s">
        <v>2435</v>
      </c>
      <c r="C72" s="75" t="s">
        <v>2367</v>
      </c>
      <c r="D72" s="75">
        <v>16</v>
      </c>
    </row>
    <row r="73" spans="1:6" s="88" customFormat="1" ht="129.6" x14ac:dyDescent="0.3">
      <c r="A73" s="75" t="s">
        <v>277</v>
      </c>
      <c r="B73" s="129" t="s">
        <v>2428</v>
      </c>
      <c r="C73" s="75" t="s">
        <v>2375</v>
      </c>
      <c r="D73" s="68">
        <v>17</v>
      </c>
    </row>
    <row r="74" spans="1:6" s="88" customFormat="1" ht="129.6" x14ac:dyDescent="0.3">
      <c r="A74" s="75" t="s">
        <v>277</v>
      </c>
      <c r="B74" s="72" t="s">
        <v>2429</v>
      </c>
      <c r="C74" s="75" t="s">
        <v>1759</v>
      </c>
      <c r="D74" s="75">
        <v>18</v>
      </c>
    </row>
    <row r="75" spans="1:6" s="88" customFormat="1" ht="130.5" customHeight="1" x14ac:dyDescent="0.3">
      <c r="A75" s="75" t="s">
        <v>277</v>
      </c>
      <c r="B75" s="72" t="s">
        <v>2430</v>
      </c>
      <c r="C75" s="75" t="s">
        <v>1760</v>
      </c>
      <c r="D75" s="75">
        <v>19</v>
      </c>
    </row>
    <row r="76" spans="1:6" s="88" customFormat="1" ht="195.75" customHeight="1" x14ac:dyDescent="0.3">
      <c r="A76" s="75" t="s">
        <v>277</v>
      </c>
      <c r="B76" s="72" t="s">
        <v>1769</v>
      </c>
      <c r="C76" s="75" t="s">
        <v>1761</v>
      </c>
      <c r="D76" s="68">
        <v>20</v>
      </c>
    </row>
    <row r="77" spans="1:6" s="88" customFormat="1" ht="195.75" customHeight="1" x14ac:dyDescent="0.3">
      <c r="A77" s="75" t="s">
        <v>277</v>
      </c>
      <c r="B77" s="72" t="s">
        <v>2431</v>
      </c>
      <c r="C77" s="75" t="s">
        <v>1762</v>
      </c>
      <c r="D77" s="75">
        <v>21</v>
      </c>
    </row>
    <row r="78" spans="1:6" s="88" customFormat="1" ht="195.75" customHeight="1" x14ac:dyDescent="0.3">
      <c r="A78" s="75" t="s">
        <v>277</v>
      </c>
      <c r="B78" s="72" t="s">
        <v>2432</v>
      </c>
      <c r="C78" s="75" t="s">
        <v>1763</v>
      </c>
      <c r="D78" s="68">
        <v>22</v>
      </c>
    </row>
    <row r="79" spans="1:6" s="88" customFormat="1" ht="195.75" customHeight="1" x14ac:dyDescent="0.3">
      <c r="A79" s="75" t="s">
        <v>277</v>
      </c>
      <c r="B79" s="72" t="s">
        <v>2433</v>
      </c>
      <c r="C79" s="75" t="s">
        <v>1764</v>
      </c>
      <c r="D79" s="75">
        <v>23</v>
      </c>
    </row>
    <row r="80" spans="1:6" s="88" customFormat="1" ht="195.75" customHeight="1" x14ac:dyDescent="0.3">
      <c r="A80" s="75" t="s">
        <v>277</v>
      </c>
      <c r="B80" s="72" t="s">
        <v>2627</v>
      </c>
      <c r="C80" s="75" t="s">
        <v>2408</v>
      </c>
      <c r="D80" s="75">
        <v>24</v>
      </c>
    </row>
    <row r="81" spans="1:4" s="88" customFormat="1" ht="82.5" customHeight="1" x14ac:dyDescent="0.3">
      <c r="A81" s="75" t="s">
        <v>1023</v>
      </c>
      <c r="B81" s="72" t="s">
        <v>2436</v>
      </c>
      <c r="C81" s="75" t="s">
        <v>2391</v>
      </c>
      <c r="D81" s="68"/>
    </row>
    <row r="82" spans="1:4" s="88" customFormat="1" ht="39.75" customHeight="1" x14ac:dyDescent="0.3">
      <c r="A82" s="75" t="s">
        <v>1023</v>
      </c>
      <c r="B82" s="72" t="s">
        <v>2437</v>
      </c>
      <c r="C82" s="75" t="s">
        <v>2392</v>
      </c>
      <c r="D82" s="68"/>
    </row>
    <row r="83" spans="1:4" s="88" customFormat="1" ht="34.5" customHeight="1" x14ac:dyDescent="0.3">
      <c r="A83" s="75" t="s">
        <v>1023</v>
      </c>
      <c r="B83" s="72" t="s">
        <v>2438</v>
      </c>
      <c r="C83" s="75" t="s">
        <v>2393</v>
      </c>
      <c r="D83" s="68"/>
    </row>
    <row r="84" spans="1:4" s="88" customFormat="1" ht="33" customHeight="1" x14ac:dyDescent="0.3">
      <c r="A84" s="75" t="s">
        <v>1023</v>
      </c>
      <c r="B84" s="72" t="s">
        <v>2439</v>
      </c>
      <c r="C84" s="75" t="s">
        <v>2394</v>
      </c>
      <c r="D84" s="68"/>
    </row>
    <row r="85" spans="1:4" s="88" customFormat="1" ht="28.5" customHeight="1" x14ac:dyDescent="0.3">
      <c r="A85" s="75" t="s">
        <v>1130</v>
      </c>
      <c r="B85" s="72" t="s">
        <v>2417</v>
      </c>
      <c r="C85" s="75" t="s">
        <v>1744</v>
      </c>
      <c r="D85" s="68"/>
    </row>
    <row r="86" spans="1:4" s="88" customFormat="1" ht="31.5" customHeight="1" x14ac:dyDescent="0.3">
      <c r="A86" s="75" t="s">
        <v>1130</v>
      </c>
      <c r="B86" s="72" t="s">
        <v>2418</v>
      </c>
      <c r="C86" s="75" t="s">
        <v>1021</v>
      </c>
      <c r="D86" s="68"/>
    </row>
    <row r="87" spans="1:4" s="88" customFormat="1" ht="35.25" customHeight="1" x14ac:dyDescent="0.3">
      <c r="A87" s="75" t="s">
        <v>1130</v>
      </c>
      <c r="B87" s="72" t="s">
        <v>2419</v>
      </c>
      <c r="C87" s="75" t="s">
        <v>1022</v>
      </c>
      <c r="D87" s="68"/>
    </row>
    <row r="88" spans="1:4" s="88" customFormat="1" ht="35.25" customHeight="1" x14ac:dyDescent="0.3">
      <c r="A88" s="75" t="s">
        <v>1130</v>
      </c>
      <c r="B88" s="72" t="s">
        <v>2420</v>
      </c>
      <c r="C88" s="75" t="s">
        <v>1024</v>
      </c>
      <c r="D88" s="68"/>
    </row>
    <row r="89" spans="1:4" s="88" customFormat="1" ht="409.6" x14ac:dyDescent="0.3">
      <c r="A89" s="75" t="s">
        <v>1130</v>
      </c>
      <c r="B89" s="72" t="s">
        <v>2416</v>
      </c>
      <c r="C89" s="75"/>
      <c r="D89" s="77"/>
    </row>
    <row r="90" spans="1:4" s="88" customFormat="1" x14ac:dyDescent="0.3">
      <c r="A90" s="75" t="s">
        <v>279</v>
      </c>
      <c r="B90" s="72" t="s">
        <v>286</v>
      </c>
      <c r="C90" s="68" t="s">
        <v>320</v>
      </c>
      <c r="D90" s="68"/>
    </row>
    <row r="91" spans="1:4" s="47" customFormat="1" ht="150" customHeight="1" x14ac:dyDescent="0.3">
      <c r="A91" s="155" t="s">
        <v>279</v>
      </c>
      <c r="B91" s="153" t="s">
        <v>1167</v>
      </c>
    </row>
    <row r="92" spans="1:4" ht="138" x14ac:dyDescent="0.3">
      <c r="A92" s="75" t="s">
        <v>279</v>
      </c>
      <c r="B92" s="156" t="s">
        <v>1172</v>
      </c>
      <c r="C92" s="5"/>
    </row>
    <row r="93" spans="1:4" ht="110.4" x14ac:dyDescent="0.3">
      <c r="A93" s="75" t="s">
        <v>279</v>
      </c>
      <c r="B93" s="156" t="s">
        <v>1175</v>
      </c>
    </row>
  </sheetData>
  <autoFilter ref="A27:E92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FF00"/>
  </sheetPr>
  <dimension ref="A1:BV51"/>
  <sheetViews>
    <sheetView topLeftCell="A16" zoomScaleNormal="100" workbookViewId="0">
      <selection activeCell="T21" sqref="T20:T21"/>
    </sheetView>
  </sheetViews>
  <sheetFormatPr defaultColWidth="9.109375" defaultRowHeight="13.8" x14ac:dyDescent="0.3"/>
  <cols>
    <col min="1" max="1" width="40.33203125" style="5" customWidth="1"/>
    <col min="2" max="2" width="6.5546875" style="5" customWidth="1"/>
    <col min="3" max="3" width="23.5546875" style="5" customWidth="1"/>
    <col min="4" max="4" width="5.6640625" style="5" customWidth="1"/>
    <col min="5" max="5" width="38.6640625" style="24" customWidth="1"/>
    <col min="6" max="7" width="10.6640625" style="5" customWidth="1"/>
    <col min="8" max="8" width="18.109375" style="5" customWidth="1"/>
    <col min="9" max="12" width="10.6640625" style="5" customWidth="1"/>
    <col min="13" max="23" width="8.6640625" style="5" customWidth="1"/>
    <col min="24" max="25" width="8.6640625" style="41" customWidth="1"/>
    <col min="26" max="33" width="8.6640625" style="5" customWidth="1"/>
    <col min="34" max="34" width="4" style="5" customWidth="1"/>
    <col min="35" max="35" width="10.109375" style="5" bestFit="1" customWidth="1"/>
    <col min="36" max="36" width="4.5546875" style="5" customWidth="1"/>
    <col min="37" max="38" width="17" style="5" customWidth="1"/>
    <col min="39" max="39" width="12.6640625" style="5" customWidth="1"/>
    <col min="40" max="40" width="18.88671875" style="5" customWidth="1"/>
    <col min="41" max="41" width="36.109375" style="5" customWidth="1"/>
    <col min="42" max="42" width="29.109375" style="5" customWidth="1"/>
    <col min="43" max="43" width="16.44140625" style="5" bestFit="1" customWidth="1"/>
    <col min="44" max="44" width="9.109375" style="5"/>
    <col min="45" max="45" width="32.44140625" style="5" hidden="1" customWidth="1"/>
    <col min="46" max="46" width="9.109375" style="5" hidden="1" customWidth="1"/>
    <col min="47" max="16384" width="9.109375" style="5"/>
  </cols>
  <sheetData>
    <row r="1" spans="1:74" s="9" customFormat="1" ht="25.5" customHeight="1" x14ac:dyDescent="0.3">
      <c r="A1" s="122"/>
      <c r="C1" s="195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I1" s="28" t="s">
        <v>48</v>
      </c>
      <c r="AK1" s="28" t="s">
        <v>42</v>
      </c>
      <c r="AL1" s="28" t="s">
        <v>43</v>
      </c>
      <c r="AN1" s="28" t="s">
        <v>47</v>
      </c>
      <c r="AO1" s="28" t="s">
        <v>107</v>
      </c>
      <c r="AP1" s="28" t="s">
        <v>115</v>
      </c>
      <c r="AQ1" s="28" t="s">
        <v>119</v>
      </c>
      <c r="AS1" s="45" t="s">
        <v>126</v>
      </c>
      <c r="AT1" s="45" t="s">
        <v>19</v>
      </c>
    </row>
    <row r="2" spans="1:74" s="9" customFormat="1" x14ac:dyDescent="0.3">
      <c r="A2" s="122"/>
      <c r="C2" s="195"/>
      <c r="D2" s="194"/>
      <c r="E2" s="194"/>
      <c r="F2" s="123"/>
      <c r="G2" s="123"/>
      <c r="H2" s="123"/>
      <c r="I2" s="123"/>
      <c r="J2" s="123"/>
      <c r="K2" s="123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I2" s="26"/>
      <c r="AK2" s="22" t="s">
        <v>20</v>
      </c>
      <c r="AL2" s="22" t="s">
        <v>21</v>
      </c>
      <c r="AN2" s="23" t="s">
        <v>975</v>
      </c>
      <c r="AO2" s="23"/>
      <c r="AP2" s="89">
        <v>0</v>
      </c>
      <c r="AQ2" s="89" t="s">
        <v>1</v>
      </c>
      <c r="AS2" s="46" t="s">
        <v>127</v>
      </c>
      <c r="AT2" s="46" t="s">
        <v>19</v>
      </c>
    </row>
    <row r="3" spans="1:74" x14ac:dyDescent="0.3">
      <c r="A3" s="121"/>
      <c r="C3" s="141"/>
      <c r="D3" s="142"/>
      <c r="E3" s="143"/>
      <c r="F3" s="98"/>
      <c r="G3" s="98"/>
      <c r="H3" s="98"/>
      <c r="I3" s="98"/>
      <c r="J3" s="98"/>
      <c r="K3" s="98"/>
      <c r="L3" s="98"/>
      <c r="M3" s="98"/>
      <c r="N3" s="98"/>
      <c r="O3" s="144"/>
      <c r="P3" s="98"/>
      <c r="Q3" s="98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  <c r="AC3" s="144"/>
      <c r="AD3" s="144"/>
      <c r="AE3" s="144"/>
      <c r="AF3" s="144"/>
      <c r="AG3" s="144"/>
      <c r="AI3" s="23" t="s">
        <v>0</v>
      </c>
      <c r="AN3" s="23" t="s">
        <v>12</v>
      </c>
      <c r="AO3" s="23"/>
      <c r="AP3" s="23">
        <v>0</v>
      </c>
      <c r="AQ3" s="23" t="s">
        <v>1</v>
      </c>
      <c r="AS3" s="46" t="s">
        <v>128</v>
      </c>
      <c r="AT3" s="46" t="s">
        <v>19</v>
      </c>
    </row>
    <row r="4" spans="1:74" x14ac:dyDescent="0.3">
      <c r="C4" s="141"/>
      <c r="D4" s="145"/>
      <c r="E4" s="143"/>
      <c r="F4" s="100"/>
      <c r="G4" s="100"/>
      <c r="H4" s="100"/>
      <c r="I4" s="100"/>
      <c r="J4" s="100"/>
      <c r="K4" s="100"/>
      <c r="L4" s="100"/>
      <c r="M4" s="98"/>
      <c r="N4" s="100"/>
      <c r="O4" s="100"/>
      <c r="P4" s="100"/>
      <c r="Q4" s="98"/>
      <c r="R4" s="146"/>
      <c r="S4" s="146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4"/>
      <c r="AF4" s="144"/>
      <c r="AG4" s="146"/>
      <c r="AI4" s="23" t="s">
        <v>1</v>
      </c>
      <c r="AK4" s="28" t="s">
        <v>44</v>
      </c>
      <c r="AL4" s="28" t="s">
        <v>45</v>
      </c>
      <c r="AN4" s="23" t="s">
        <v>13</v>
      </c>
      <c r="AO4" s="23"/>
      <c r="AP4" s="23">
        <v>0</v>
      </c>
      <c r="AQ4" s="23" t="s">
        <v>1</v>
      </c>
      <c r="AS4" s="46" t="s">
        <v>129</v>
      </c>
      <c r="AT4" s="46" t="s">
        <v>19</v>
      </c>
    </row>
    <row r="5" spans="1:74" ht="27.6" x14ac:dyDescent="0.3">
      <c r="A5" s="28" t="s">
        <v>299</v>
      </c>
      <c r="C5" s="141"/>
      <c r="D5" s="145"/>
      <c r="E5" s="143"/>
      <c r="F5" s="100"/>
      <c r="G5" s="100"/>
      <c r="H5" s="100"/>
      <c r="I5" s="100"/>
      <c r="J5" s="100"/>
      <c r="K5" s="100"/>
      <c r="L5" s="100"/>
      <c r="M5" s="98"/>
      <c r="N5" s="100"/>
      <c r="O5" s="100"/>
      <c r="P5" s="100"/>
      <c r="Q5" s="98"/>
      <c r="R5" s="100"/>
      <c r="S5" s="100"/>
      <c r="T5" s="144"/>
      <c r="U5" s="144"/>
      <c r="V5" s="144"/>
      <c r="W5" s="144"/>
      <c r="X5" s="144"/>
      <c r="Y5" s="144"/>
      <c r="Z5" s="144"/>
      <c r="AA5" s="144"/>
      <c r="AB5" s="144"/>
      <c r="AC5" s="144"/>
      <c r="AD5" s="144"/>
      <c r="AE5" s="144"/>
      <c r="AF5" s="144"/>
      <c r="AG5" s="100"/>
      <c r="AK5" s="27">
        <v>1</v>
      </c>
      <c r="AL5" s="27">
        <v>2958465</v>
      </c>
      <c r="AN5" s="23" t="s">
        <v>39</v>
      </c>
      <c r="AO5" s="23"/>
      <c r="AP5" s="23">
        <v>0</v>
      </c>
      <c r="AQ5" s="23" t="s">
        <v>1</v>
      </c>
      <c r="AS5" s="46" t="s">
        <v>132</v>
      </c>
      <c r="AT5" s="46" t="s">
        <v>19</v>
      </c>
    </row>
    <row r="6" spans="1:74" x14ac:dyDescent="0.3">
      <c r="A6" s="91" t="s">
        <v>2622</v>
      </c>
      <c r="C6" s="141"/>
      <c r="D6" s="142"/>
      <c r="E6" s="143"/>
      <c r="F6" s="98"/>
      <c r="G6" s="98"/>
      <c r="H6" s="98"/>
      <c r="I6" s="98"/>
      <c r="J6" s="98"/>
      <c r="K6" s="100"/>
      <c r="L6" s="100"/>
      <c r="M6" s="98"/>
      <c r="N6" s="100"/>
      <c r="O6" s="100"/>
      <c r="P6" s="100"/>
      <c r="Q6" s="98"/>
      <c r="R6" s="146"/>
      <c r="S6" s="146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6"/>
      <c r="AI6" s="28" t="s">
        <v>46</v>
      </c>
      <c r="AN6" s="23" t="s">
        <v>40</v>
      </c>
      <c r="AO6" s="23"/>
      <c r="AP6" s="23">
        <v>0</v>
      </c>
      <c r="AQ6" s="23" t="s">
        <v>1</v>
      </c>
      <c r="AS6" s="46" t="s">
        <v>133</v>
      </c>
      <c r="AT6" s="46" t="s">
        <v>19</v>
      </c>
    </row>
    <row r="7" spans="1:74" ht="16.95" customHeight="1" x14ac:dyDescent="0.3">
      <c r="C7" s="141"/>
      <c r="D7" s="145"/>
      <c r="E7" s="143"/>
      <c r="F7" s="100"/>
      <c r="G7" s="100"/>
      <c r="H7" s="100"/>
      <c r="I7" s="100"/>
      <c r="J7" s="100"/>
      <c r="K7" s="100"/>
      <c r="L7" s="100"/>
      <c r="M7" s="98"/>
      <c r="N7" s="100"/>
      <c r="O7" s="100"/>
      <c r="P7" s="100"/>
      <c r="Q7" s="98"/>
      <c r="R7" s="146"/>
      <c r="S7" s="146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6"/>
      <c r="AI7" s="22"/>
      <c r="AK7" s="28" t="s">
        <v>80</v>
      </c>
      <c r="AN7" s="23" t="s">
        <v>15</v>
      </c>
      <c r="AO7" s="23" t="s">
        <v>108</v>
      </c>
      <c r="AP7" s="23" t="str">
        <f>DEF_MIN_DT_DBMS</f>
        <v>DATE '1900-01-01'</v>
      </c>
      <c r="AQ7" s="23" t="s">
        <v>118</v>
      </c>
      <c r="AS7" s="46" t="s">
        <v>130</v>
      </c>
      <c r="AT7" s="46" t="s">
        <v>19</v>
      </c>
    </row>
    <row r="8" spans="1:74" x14ac:dyDescent="0.3">
      <c r="A8" s="123"/>
      <c r="C8" s="141"/>
      <c r="D8" s="145"/>
      <c r="E8" s="143"/>
      <c r="F8" s="100"/>
      <c r="G8" s="100"/>
      <c r="H8" s="100"/>
      <c r="I8" s="100"/>
      <c r="J8" s="100"/>
      <c r="K8" s="100"/>
      <c r="L8" s="100"/>
      <c r="M8" s="98"/>
      <c r="N8" s="100"/>
      <c r="O8" s="100"/>
      <c r="P8" s="100"/>
      <c r="Q8" s="98"/>
      <c r="R8" s="146"/>
      <c r="S8" s="146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6"/>
      <c r="AI8" s="23" t="s">
        <v>19</v>
      </c>
      <c r="AK8" s="27">
        <v>61</v>
      </c>
      <c r="AN8" s="23" t="s">
        <v>14</v>
      </c>
      <c r="AO8" s="23" t="s">
        <v>109</v>
      </c>
      <c r="AP8" s="23" t="str">
        <f>DEF_MIN_DT_DBMS</f>
        <v>DATE '1900-01-01'</v>
      </c>
      <c r="AQ8" s="23" t="s">
        <v>118</v>
      </c>
      <c r="AS8" s="46" t="s">
        <v>131</v>
      </c>
      <c r="AT8" s="46" t="s">
        <v>19</v>
      </c>
    </row>
    <row r="9" spans="1:74" ht="21.6" customHeight="1" x14ac:dyDescent="0.3">
      <c r="A9" s="124"/>
      <c r="C9" s="141"/>
      <c r="D9" s="142"/>
      <c r="E9" s="143"/>
      <c r="F9" s="100"/>
      <c r="G9" s="100"/>
      <c r="H9" s="100"/>
      <c r="I9" s="100"/>
      <c r="J9" s="100"/>
      <c r="K9" s="100"/>
      <c r="L9" s="100"/>
      <c r="M9" s="98"/>
      <c r="N9" s="100"/>
      <c r="O9" s="100"/>
      <c r="P9" s="100"/>
      <c r="Q9" s="98"/>
      <c r="R9" s="146"/>
      <c r="S9" s="146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6"/>
      <c r="AN9" s="23" t="s">
        <v>16</v>
      </c>
      <c r="AO9" s="23" t="s">
        <v>110</v>
      </c>
      <c r="AP9" s="39" t="s">
        <v>116</v>
      </c>
      <c r="AQ9" s="39" t="s">
        <v>56</v>
      </c>
    </row>
    <row r="10" spans="1:74" ht="12.75" customHeight="1" x14ac:dyDescent="0.3">
      <c r="C10" s="141"/>
      <c r="D10" s="145"/>
      <c r="E10" s="143"/>
      <c r="F10" s="100"/>
      <c r="G10" s="100"/>
      <c r="H10" s="100"/>
      <c r="I10" s="100"/>
      <c r="J10" s="100"/>
      <c r="K10" s="100"/>
      <c r="L10" s="100"/>
      <c r="M10" s="98"/>
      <c r="N10" s="100"/>
      <c r="O10" s="100"/>
      <c r="P10" s="100"/>
      <c r="Q10" s="98"/>
      <c r="R10" s="146"/>
      <c r="S10" s="146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I10" s="28" t="s">
        <v>117</v>
      </c>
      <c r="AK10" s="28" t="s">
        <v>113</v>
      </c>
      <c r="AN10" s="23" t="s">
        <v>256</v>
      </c>
      <c r="AO10" s="23" t="s">
        <v>110</v>
      </c>
      <c r="AP10" s="39" t="s">
        <v>116</v>
      </c>
      <c r="AQ10" s="39" t="s">
        <v>56</v>
      </c>
    </row>
    <row r="11" spans="1:74" x14ac:dyDescent="0.3">
      <c r="A11" s="28" t="s">
        <v>125</v>
      </c>
      <c r="C11" s="141"/>
      <c r="D11" s="145"/>
      <c r="E11" s="143"/>
      <c r="F11" s="100"/>
      <c r="G11" s="100"/>
      <c r="H11" s="100"/>
      <c r="I11" s="100"/>
      <c r="J11" s="100"/>
      <c r="K11" s="100"/>
      <c r="L11" s="100"/>
      <c r="M11" s="98"/>
      <c r="N11" s="100"/>
      <c r="O11" s="100"/>
      <c r="P11" s="100"/>
      <c r="Q11" s="98"/>
      <c r="R11" s="146"/>
      <c r="S11" s="146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6"/>
      <c r="AI11" s="26"/>
      <c r="AK11" s="36" t="s">
        <v>1</v>
      </c>
      <c r="AN11" s="23" t="s">
        <v>257</v>
      </c>
      <c r="AO11" s="23"/>
      <c r="AP11" s="39">
        <v>0</v>
      </c>
      <c r="AQ11" s="39" t="s">
        <v>1</v>
      </c>
    </row>
    <row r="12" spans="1:74" x14ac:dyDescent="0.3">
      <c r="A12" s="91" t="s">
        <v>294</v>
      </c>
      <c r="C12" s="141"/>
      <c r="D12" s="142"/>
      <c r="E12" s="143"/>
      <c r="F12" s="100"/>
      <c r="G12" s="100"/>
      <c r="H12" s="100"/>
      <c r="I12" s="100"/>
      <c r="J12" s="100"/>
      <c r="K12" s="100"/>
      <c r="L12" s="100"/>
      <c r="M12" s="98"/>
      <c r="N12" s="100"/>
      <c r="O12" s="100"/>
      <c r="P12" s="100"/>
      <c r="Q12" s="98"/>
      <c r="R12" s="146"/>
      <c r="S12" s="146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I12" s="23" t="s">
        <v>54</v>
      </c>
      <c r="AN12" s="23" t="s">
        <v>255</v>
      </c>
      <c r="AO12" s="23"/>
      <c r="AP12" s="39">
        <v>0</v>
      </c>
      <c r="AQ12" s="39" t="s">
        <v>1</v>
      </c>
    </row>
    <row r="13" spans="1:74" x14ac:dyDescent="0.3">
      <c r="C13" s="141"/>
      <c r="D13" s="145"/>
      <c r="E13" s="143"/>
      <c r="F13" s="100"/>
      <c r="G13" s="100"/>
      <c r="H13" s="100"/>
      <c r="I13" s="100"/>
      <c r="J13" s="100"/>
      <c r="K13" s="100"/>
      <c r="L13" s="100"/>
      <c r="M13" s="98"/>
      <c r="N13" s="100"/>
      <c r="O13" s="100"/>
      <c r="P13" s="100"/>
      <c r="Q13" s="98"/>
      <c r="R13" s="146"/>
      <c r="S13" s="146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6"/>
      <c r="AI13" s="23" t="s">
        <v>55</v>
      </c>
      <c r="AK13" s="28" t="s">
        <v>231</v>
      </c>
      <c r="AL13" s="41"/>
      <c r="AM13" s="41"/>
      <c r="AN13" s="23" t="s">
        <v>254</v>
      </c>
      <c r="AO13" s="23" t="s">
        <v>259</v>
      </c>
      <c r="AP13" s="23" t="s">
        <v>260</v>
      </c>
      <c r="AQ13" s="23" t="s">
        <v>118</v>
      </c>
    </row>
    <row r="14" spans="1:74" x14ac:dyDescent="0.3">
      <c r="A14" s="123"/>
      <c r="C14" s="141"/>
      <c r="D14" s="145"/>
      <c r="E14" s="143"/>
      <c r="F14" s="100"/>
      <c r="G14" s="100"/>
      <c r="H14" s="100"/>
      <c r="I14" s="100"/>
      <c r="J14" s="100"/>
      <c r="K14" s="100"/>
      <c r="L14" s="100"/>
      <c r="M14" s="98"/>
      <c r="N14" s="100"/>
      <c r="O14" s="100"/>
      <c r="P14" s="100"/>
      <c r="Q14" s="98"/>
      <c r="R14" s="146"/>
      <c r="S14" s="146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K14" s="26" t="s">
        <v>230</v>
      </c>
      <c r="AL14" s="41"/>
      <c r="AM14" s="41"/>
      <c r="AN14" s="23" t="s">
        <v>258</v>
      </c>
      <c r="AO14" s="23"/>
      <c r="AP14" s="39">
        <v>0</v>
      </c>
      <c r="AQ14" s="39" t="s">
        <v>1</v>
      </c>
    </row>
    <row r="15" spans="1:74" x14ac:dyDescent="0.3">
      <c r="A15" s="121"/>
      <c r="C15" s="141"/>
      <c r="D15" s="142"/>
      <c r="E15" s="143"/>
      <c r="F15" s="100"/>
      <c r="G15" s="100"/>
      <c r="H15" s="100"/>
      <c r="I15" s="100"/>
      <c r="J15" s="100"/>
      <c r="K15" s="100"/>
      <c r="L15" s="100"/>
      <c r="M15" s="98"/>
      <c r="N15" s="100"/>
      <c r="O15" s="100"/>
      <c r="P15" s="100"/>
      <c r="Q15" s="98"/>
      <c r="R15" s="146"/>
      <c r="S15" s="146"/>
      <c r="T15" s="144"/>
      <c r="U15" s="144"/>
      <c r="V15" s="144"/>
      <c r="W15" s="144"/>
      <c r="X15" s="144"/>
      <c r="Y15" s="144"/>
      <c r="Z15" s="144"/>
      <c r="AA15" s="144"/>
      <c r="AB15" s="144"/>
      <c r="AC15" s="144"/>
      <c r="AD15" s="144"/>
      <c r="AE15" s="144"/>
      <c r="AF15" s="144"/>
      <c r="AG15" s="146"/>
      <c r="AK15" s="89" t="s">
        <v>232</v>
      </c>
      <c r="AL15" s="41"/>
      <c r="AM15" s="41"/>
    </row>
    <row r="16" spans="1:74" ht="30" customHeight="1" x14ac:dyDescent="0.3">
      <c r="C16" s="141"/>
      <c r="D16" s="145"/>
      <c r="E16" s="143"/>
      <c r="F16" s="100"/>
      <c r="G16" s="100"/>
      <c r="H16" s="100"/>
      <c r="I16" s="100"/>
      <c r="J16" s="100"/>
      <c r="K16" s="100"/>
      <c r="L16" s="100"/>
      <c r="M16" s="98"/>
      <c r="N16" s="100"/>
      <c r="O16" s="100"/>
      <c r="P16" s="100"/>
      <c r="Q16" s="98"/>
      <c r="R16" s="146"/>
      <c r="S16" s="146"/>
      <c r="T16" s="144"/>
      <c r="U16" s="144"/>
      <c r="V16" s="144"/>
      <c r="W16" s="144"/>
      <c r="X16" s="144"/>
      <c r="Y16" s="144"/>
      <c r="Z16" s="144"/>
      <c r="AA16" s="144"/>
      <c r="AB16" s="144"/>
      <c r="AC16" s="144"/>
      <c r="AD16" s="144"/>
      <c r="AE16" s="144"/>
      <c r="AF16" s="144"/>
      <c r="AG16" s="144"/>
      <c r="AK16" s="98"/>
      <c r="AL16" s="99"/>
      <c r="AM16" s="83"/>
      <c r="AN16" s="90" t="s">
        <v>287</v>
      </c>
      <c r="AO16" s="90" t="s">
        <v>288</v>
      </c>
      <c r="AP16" s="90" t="s">
        <v>289</v>
      </c>
      <c r="AQ16" s="84"/>
      <c r="AR16" s="83"/>
      <c r="AS16" s="80"/>
      <c r="AT16" s="83"/>
      <c r="AU16" s="81"/>
      <c r="AV16" s="81"/>
      <c r="AW16" s="81"/>
      <c r="AX16" s="81"/>
      <c r="AY16" s="83"/>
      <c r="AZ16" s="82"/>
      <c r="BA16" s="82"/>
      <c r="BB16" s="81"/>
      <c r="BC16" s="94"/>
      <c r="BD16" s="97"/>
      <c r="BE16" s="95"/>
      <c r="BF16" s="9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8"/>
    </row>
    <row r="17" spans="1:74" ht="14.4" x14ac:dyDescent="0.3">
      <c r="A17" s="28" t="s">
        <v>283</v>
      </c>
      <c r="C17" s="141"/>
      <c r="D17" s="145"/>
      <c r="E17" s="143"/>
      <c r="F17" s="100"/>
      <c r="G17" s="100"/>
      <c r="H17" s="100"/>
      <c r="I17" s="100"/>
      <c r="J17" s="100"/>
      <c r="K17" s="100"/>
      <c r="L17" s="100"/>
      <c r="M17" s="98"/>
      <c r="N17" s="100"/>
      <c r="O17" s="100"/>
      <c r="P17" s="100"/>
      <c r="Q17" s="98"/>
      <c r="R17" s="146"/>
      <c r="S17" s="146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6"/>
      <c r="AK17" s="100"/>
      <c r="AL17" s="99"/>
      <c r="AM17" s="80"/>
      <c r="AN17" s="89" t="s">
        <v>2</v>
      </c>
      <c r="AO17" s="89">
        <v>8</v>
      </c>
      <c r="AP17" s="87" t="str">
        <f t="shared" ref="AP17:AP22" si="0">IF(NOT(ISBLANK(AN17)),VLOOKUP(AO17,ERM_DOMAIN,2,FALSE), "")</f>
        <v>DECIMAL(15, 6)</v>
      </c>
      <c r="AQ17" s="84"/>
      <c r="AR17" s="83"/>
      <c r="AS17" s="80"/>
      <c r="AT17" s="83"/>
      <c r="AU17" s="81"/>
      <c r="AV17" s="81"/>
      <c r="AW17" s="81"/>
      <c r="AX17" s="81"/>
      <c r="AY17" s="83"/>
      <c r="AZ17" s="82"/>
      <c r="BA17" s="82"/>
      <c r="BB17" s="81"/>
      <c r="BC17" s="96"/>
      <c r="BD17" s="97"/>
      <c r="BE17" s="95"/>
      <c r="BF17" s="9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8"/>
    </row>
    <row r="18" spans="1:74" x14ac:dyDescent="0.3">
      <c r="A18" s="64">
        <v>634411</v>
      </c>
      <c r="C18" s="141"/>
      <c r="D18" s="142"/>
      <c r="E18" s="143"/>
      <c r="F18" s="100"/>
      <c r="G18" s="100"/>
      <c r="H18" s="100"/>
      <c r="I18" s="100"/>
      <c r="J18" s="100"/>
      <c r="K18" s="100"/>
      <c r="L18" s="100"/>
      <c r="M18" s="98"/>
      <c r="N18" s="100"/>
      <c r="O18" s="100"/>
      <c r="P18" s="100"/>
      <c r="Q18" s="98"/>
      <c r="R18" s="146"/>
      <c r="S18" s="146"/>
      <c r="T18" s="144"/>
      <c r="U18" s="144"/>
      <c r="V18" s="144"/>
      <c r="W18" s="144"/>
      <c r="X18" s="144"/>
      <c r="Y18" s="144"/>
      <c r="Z18" s="144"/>
      <c r="AA18" s="144"/>
      <c r="AB18" s="144"/>
      <c r="AC18" s="144"/>
      <c r="AD18" s="144"/>
      <c r="AE18" s="144"/>
      <c r="AF18" s="144"/>
      <c r="AG18" s="144"/>
      <c r="AK18" s="88"/>
      <c r="AL18" s="88"/>
      <c r="AM18" s="88"/>
      <c r="AN18" s="89" t="s">
        <v>51</v>
      </c>
      <c r="AO18" s="89">
        <v>2</v>
      </c>
      <c r="AP18" s="87" t="str">
        <f t="shared" si="0"/>
        <v xml:space="preserve">CHAR(21) </v>
      </c>
      <c r="AQ18" s="88"/>
      <c r="AR18" s="88"/>
      <c r="AS18" s="88"/>
      <c r="AT18" s="88"/>
      <c r="AU18" s="88"/>
      <c r="AV18" s="88"/>
      <c r="AW18" s="88"/>
      <c r="AX18" s="88"/>
      <c r="AY18" s="88"/>
      <c r="AZ18" s="88"/>
      <c r="BA18" s="88"/>
      <c r="BB18" s="88"/>
      <c r="BC18" s="88"/>
      <c r="BD18" s="88"/>
      <c r="BE18" s="88"/>
      <c r="BF18" s="88"/>
      <c r="BG18" s="88"/>
      <c r="BH18" s="88"/>
      <c r="BI18" s="88"/>
      <c r="BJ18" s="88"/>
      <c r="BK18" s="88"/>
      <c r="BL18" s="88"/>
      <c r="BM18" s="88"/>
      <c r="BN18" s="88"/>
      <c r="BO18" s="88"/>
      <c r="BP18" s="88"/>
      <c r="BQ18" s="88"/>
      <c r="BR18" s="88"/>
      <c r="BS18" s="88"/>
      <c r="BT18" s="88"/>
      <c r="BU18" s="88"/>
      <c r="BV18" s="88"/>
    </row>
    <row r="19" spans="1:74" x14ac:dyDescent="0.3">
      <c r="A19" s="28" t="s">
        <v>282</v>
      </c>
      <c r="C19" s="141"/>
      <c r="D19" s="142"/>
      <c r="E19" s="143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98"/>
      <c r="R19" s="146"/>
      <c r="S19" s="146"/>
      <c r="T19" s="144"/>
      <c r="U19" s="144"/>
      <c r="V19" s="144"/>
      <c r="W19" s="144"/>
      <c r="X19" s="144"/>
      <c r="Y19" s="144"/>
      <c r="Z19" s="144"/>
      <c r="AA19" s="144"/>
      <c r="AB19" s="144"/>
      <c r="AC19" s="144"/>
      <c r="AD19" s="144"/>
      <c r="AE19" s="144"/>
      <c r="AF19" s="144"/>
      <c r="AG19" s="146"/>
      <c r="AK19" s="88"/>
      <c r="AL19" s="88"/>
      <c r="AM19" s="88"/>
      <c r="AN19" s="89" t="s">
        <v>52</v>
      </c>
      <c r="AO19" s="89">
        <v>2</v>
      </c>
      <c r="AP19" s="87" t="str">
        <f t="shared" si="0"/>
        <v xml:space="preserve">CHAR(21) </v>
      </c>
      <c r="AQ19" s="88"/>
      <c r="AR19" s="88"/>
      <c r="AS19" s="88"/>
      <c r="AT19" s="88"/>
      <c r="AU19" s="88"/>
      <c r="AV19" s="88"/>
      <c r="AW19" s="88"/>
      <c r="AX19" s="88"/>
      <c r="AY19" s="88"/>
      <c r="AZ19" s="88"/>
      <c r="BA19" s="88"/>
      <c r="BB19" s="88"/>
      <c r="BC19" s="88"/>
      <c r="BD19" s="88"/>
      <c r="BE19" s="88"/>
      <c r="BF19" s="88"/>
      <c r="BG19" s="88"/>
      <c r="BH19" s="88"/>
      <c r="BI19" s="88"/>
      <c r="BJ19" s="88"/>
      <c r="BK19" s="88"/>
      <c r="BL19" s="88"/>
      <c r="BM19" s="88"/>
      <c r="BN19" s="88"/>
      <c r="BO19" s="88"/>
      <c r="BP19" s="88"/>
      <c r="BQ19" s="88"/>
      <c r="BR19" s="88"/>
      <c r="BS19" s="88"/>
      <c r="BT19" s="88"/>
      <c r="BU19" s="88"/>
      <c r="BV19" s="88"/>
    </row>
    <row r="20" spans="1:74" x14ac:dyDescent="0.3">
      <c r="A20" s="64" t="s">
        <v>284</v>
      </c>
      <c r="C20" s="141"/>
      <c r="D20" s="142"/>
      <c r="E20" s="143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98"/>
      <c r="R20" s="146"/>
      <c r="S20" s="146"/>
      <c r="T20" s="144"/>
      <c r="U20" s="144"/>
      <c r="V20" s="144"/>
      <c r="W20" s="144"/>
      <c r="X20" s="144"/>
      <c r="Y20" s="144"/>
      <c r="Z20" s="144"/>
      <c r="AA20" s="144"/>
      <c r="AB20" s="144"/>
      <c r="AC20" s="144"/>
      <c r="AD20" s="144"/>
      <c r="AE20" s="144"/>
      <c r="AF20" s="144"/>
      <c r="AG20" s="146"/>
      <c r="AN20" s="23" t="s">
        <v>53</v>
      </c>
      <c r="AO20" s="23">
        <v>8</v>
      </c>
      <c r="AP20" s="4" t="str">
        <f t="shared" si="0"/>
        <v>DECIMAL(15, 6)</v>
      </c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</row>
    <row r="21" spans="1:74" ht="15" customHeight="1" x14ac:dyDescent="0.3">
      <c r="C21" s="141"/>
      <c r="D21" s="142"/>
      <c r="G21" s="122"/>
      <c r="H21" s="100"/>
      <c r="I21" s="100"/>
      <c r="J21" s="100"/>
      <c r="K21" s="100"/>
      <c r="L21" s="100"/>
      <c r="M21" s="100"/>
      <c r="N21" s="100"/>
      <c r="O21" s="100"/>
      <c r="P21" s="100"/>
      <c r="Q21" s="98"/>
      <c r="R21" s="146"/>
      <c r="S21" s="146"/>
      <c r="T21" s="144"/>
      <c r="U21" s="144"/>
      <c r="V21" s="144"/>
      <c r="W21" s="144"/>
      <c r="X21" s="144"/>
      <c r="Y21" s="144"/>
      <c r="Z21" s="144"/>
      <c r="AA21" s="144"/>
      <c r="AB21" s="144"/>
      <c r="AC21" s="144"/>
      <c r="AD21" s="144"/>
      <c r="AE21" s="144"/>
      <c r="AF21" s="144"/>
      <c r="AG21" s="146"/>
      <c r="AN21" s="23" t="s">
        <v>49</v>
      </c>
      <c r="AO21" s="23">
        <v>3</v>
      </c>
      <c r="AP21" s="4" t="str">
        <f t="shared" si="0"/>
        <v>DECIMAL(20, 6)</v>
      </c>
    </row>
    <row r="22" spans="1:74" ht="14.4" x14ac:dyDescent="0.3">
      <c r="A22" s="28" t="str">
        <f>"Генератор, версия 6.33"</f>
        <v>Генератор, версия 6.33</v>
      </c>
      <c r="C22" s="141"/>
      <c r="D22" s="142"/>
      <c r="G22" s="152"/>
      <c r="H22" s="100"/>
      <c r="I22" s="100"/>
      <c r="J22" s="100"/>
      <c r="K22" s="100"/>
      <c r="L22" s="100"/>
      <c r="M22" s="100"/>
      <c r="N22" s="100"/>
      <c r="O22" s="100"/>
      <c r="P22" s="100"/>
      <c r="Q22" s="98"/>
      <c r="R22" s="146"/>
      <c r="S22" s="146"/>
      <c r="T22" s="144"/>
      <c r="U22" s="144"/>
      <c r="V22" s="144"/>
      <c r="W22" s="144"/>
      <c r="X22" s="144"/>
      <c r="Y22" s="144"/>
      <c r="Z22" s="144"/>
      <c r="AA22" s="144"/>
      <c r="AB22" s="144"/>
      <c r="AC22" s="144"/>
      <c r="AD22" s="144"/>
      <c r="AE22" s="144"/>
      <c r="AF22" s="144"/>
      <c r="AG22" s="146"/>
      <c r="AN22" s="29" t="s">
        <v>50</v>
      </c>
      <c r="AO22" s="23">
        <v>4</v>
      </c>
      <c r="AP22" s="4" t="str">
        <f t="shared" si="0"/>
        <v xml:space="preserve">CHAR(39) </v>
      </c>
    </row>
    <row r="24" spans="1:74" s="88" customFormat="1" ht="16.2" thickBot="1" x14ac:dyDescent="0.35">
      <c r="A24" s="190" t="s">
        <v>1244</v>
      </c>
      <c r="B24" s="191"/>
      <c r="E24" s="24"/>
    </row>
    <row r="25" spans="1:74" ht="16.2" thickBot="1" x14ac:dyDescent="0.35">
      <c r="A25" s="190" t="s">
        <v>1245</v>
      </c>
      <c r="B25" s="191"/>
      <c r="C25" s="24"/>
      <c r="D25" s="24"/>
      <c r="F25" s="24"/>
      <c r="G25" s="88"/>
    </row>
    <row r="26" spans="1:74" ht="14.4" thickBot="1" x14ac:dyDescent="0.35">
      <c r="C26" s="24"/>
      <c r="D26" s="24"/>
      <c r="F26" s="24"/>
      <c r="G26" s="47"/>
    </row>
    <row r="27" spans="1:74" x14ac:dyDescent="0.3">
      <c r="A27" s="203" t="s">
        <v>974</v>
      </c>
      <c r="B27" s="204"/>
      <c r="C27" s="24"/>
      <c r="D27" s="24"/>
      <c r="F27" s="24"/>
    </row>
    <row r="28" spans="1:74" s="24" customFormat="1" x14ac:dyDescent="0.3">
      <c r="A28" s="150" t="s">
        <v>1033</v>
      </c>
      <c r="B28" s="149" t="s">
        <v>19</v>
      </c>
    </row>
    <row r="29" spans="1:74" x14ac:dyDescent="0.3">
      <c r="A29" s="148" t="s">
        <v>1034</v>
      </c>
      <c r="B29" s="149" t="s">
        <v>19</v>
      </c>
      <c r="F29" s="24"/>
    </row>
    <row r="30" spans="1:74" ht="14.4" thickBot="1" x14ac:dyDescent="0.35">
      <c r="A30" s="151" t="s">
        <v>1035</v>
      </c>
      <c r="B30" s="149" t="s">
        <v>19</v>
      </c>
    </row>
    <row r="31" spans="1:74" ht="16.2" thickBot="1" x14ac:dyDescent="0.35">
      <c r="A31" s="192" t="s">
        <v>1765</v>
      </c>
      <c r="B31" s="193"/>
      <c r="C31" s="164"/>
      <c r="D31" s="165"/>
    </row>
    <row r="32" spans="1:74" s="88" customFormat="1" ht="27.75" customHeight="1" thickBot="1" x14ac:dyDescent="0.35">
      <c r="A32" s="196" t="s">
        <v>1766</v>
      </c>
      <c r="B32" s="197"/>
      <c r="C32" s="164"/>
      <c r="D32" s="165"/>
      <c r="E32" s="24"/>
    </row>
    <row r="33" spans="1:5" x14ac:dyDescent="0.3">
      <c r="A33" s="203" t="s">
        <v>1180</v>
      </c>
      <c r="B33" s="205"/>
    </row>
    <row r="34" spans="1:5" x14ac:dyDescent="0.3">
      <c r="A34" s="148" t="s">
        <v>1132</v>
      </c>
      <c r="B34" s="149"/>
    </row>
    <row r="35" spans="1:5" x14ac:dyDescent="0.3">
      <c r="A35" s="154" t="s">
        <v>1133</v>
      </c>
      <c r="B35" s="149"/>
    </row>
    <row r="36" spans="1:5" x14ac:dyDescent="0.3">
      <c r="A36" s="154" t="s">
        <v>1134</v>
      </c>
      <c r="B36" s="149"/>
    </row>
    <row r="37" spans="1:5" ht="16.2" thickBot="1" x14ac:dyDescent="0.35">
      <c r="A37" s="190" t="s">
        <v>1181</v>
      </c>
      <c r="B37" s="191"/>
    </row>
    <row r="38" spans="1:5" ht="14.4" thickBot="1" x14ac:dyDescent="0.35">
      <c r="A38" s="199" t="s">
        <v>1131</v>
      </c>
      <c r="B38" s="200"/>
    </row>
    <row r="39" spans="1:5" x14ac:dyDescent="0.3">
      <c r="A39" s="159"/>
      <c r="B39" s="160"/>
    </row>
    <row r="40" spans="1:5" x14ac:dyDescent="0.3">
      <c r="A40" s="148" t="s">
        <v>127</v>
      </c>
      <c r="B40" s="149" t="s">
        <v>19</v>
      </c>
    </row>
    <row r="41" spans="1:5" x14ac:dyDescent="0.3">
      <c r="A41" s="148" t="s">
        <v>128</v>
      </c>
      <c r="B41" s="149" t="s">
        <v>19</v>
      </c>
      <c r="C41" s="88"/>
    </row>
    <row r="42" spans="1:5" x14ac:dyDescent="0.3">
      <c r="A42" s="148" t="s">
        <v>129</v>
      </c>
      <c r="B42" s="149" t="s">
        <v>19</v>
      </c>
      <c r="C42" s="88"/>
    </row>
    <row r="43" spans="1:5" x14ac:dyDescent="0.3">
      <c r="A43" s="148" t="s">
        <v>132</v>
      </c>
      <c r="B43" s="149" t="s">
        <v>19</v>
      </c>
      <c r="C43" s="88"/>
    </row>
    <row r="44" spans="1:5" x14ac:dyDescent="0.3">
      <c r="A44" s="148" t="s">
        <v>133</v>
      </c>
      <c r="B44" s="149" t="s">
        <v>19</v>
      </c>
      <c r="C44" s="88"/>
    </row>
    <row r="45" spans="1:5" s="88" customFormat="1" x14ac:dyDescent="0.3">
      <c r="A45" s="148" t="s">
        <v>1740</v>
      </c>
      <c r="B45" s="149" t="s">
        <v>19</v>
      </c>
      <c r="E45" s="24"/>
    </row>
    <row r="46" spans="1:5" s="88" customFormat="1" x14ac:dyDescent="0.3">
      <c r="A46" s="148" t="s">
        <v>1739</v>
      </c>
      <c r="B46" s="149" t="s">
        <v>19</v>
      </c>
      <c r="E46" s="24"/>
    </row>
    <row r="47" spans="1:5" s="88" customFormat="1" ht="14.4" thickBot="1" x14ac:dyDescent="0.35">
      <c r="A47" s="148" t="s">
        <v>1243</v>
      </c>
      <c r="B47" s="149" t="s">
        <v>19</v>
      </c>
      <c r="E47" s="24"/>
    </row>
    <row r="48" spans="1:5" ht="28.2" thickBot="1" x14ac:dyDescent="0.35">
      <c r="A48" s="148" t="s">
        <v>130</v>
      </c>
      <c r="B48" s="149"/>
      <c r="C48" s="157" t="s">
        <v>1178</v>
      </c>
      <c r="D48" s="158" t="s">
        <v>19</v>
      </c>
    </row>
    <row r="49" spans="1:2" x14ac:dyDescent="0.3">
      <c r="A49" s="148" t="s">
        <v>131</v>
      </c>
      <c r="B49" s="149"/>
    </row>
    <row r="50" spans="1:2" ht="31.5" customHeight="1" thickBot="1" x14ac:dyDescent="0.35">
      <c r="A50" s="201" t="s">
        <v>1674</v>
      </c>
      <c r="B50" s="202"/>
    </row>
    <row r="51" spans="1:2" ht="21" customHeight="1" thickBot="1" x14ac:dyDescent="0.35">
      <c r="A51" s="196" t="s">
        <v>1673</v>
      </c>
      <c r="B51" s="198"/>
    </row>
  </sheetData>
  <mergeCells count="19">
    <mergeCell ref="A51:B51"/>
    <mergeCell ref="A38:B38"/>
    <mergeCell ref="A50:B50"/>
    <mergeCell ref="A27:B27"/>
    <mergeCell ref="A33:B33"/>
    <mergeCell ref="A24:B24"/>
    <mergeCell ref="A37:B37"/>
    <mergeCell ref="A31:B31"/>
    <mergeCell ref="A25:B25"/>
    <mergeCell ref="X1:AG2"/>
    <mergeCell ref="T1:W2"/>
    <mergeCell ref="S1:S2"/>
    <mergeCell ref="C1:C2"/>
    <mergeCell ref="D1:D2"/>
    <mergeCell ref="E1:E2"/>
    <mergeCell ref="F1:K1"/>
    <mergeCell ref="M1:R2"/>
    <mergeCell ref="L1:L2"/>
    <mergeCell ref="A32:B32"/>
  </mergeCells>
  <dataValidations count="4">
    <dataValidation type="list" showInputMessage="1" showErrorMessage="1" sqref="A3">
      <formula1>PARTITION</formula1>
    </dataValidation>
    <dataValidation type="list" showInputMessage="1" showErrorMessage="1" errorTitle="Неверное значение" error="Следует ввести &quot;Y&quot;, либо &quot;N&quot;" sqref="A15">
      <formula1>YN</formula1>
    </dataValidation>
    <dataValidation type="list" allowBlank="1" showInputMessage="1" showErrorMessage="1" sqref="AO17:AO22">
      <formula1>DOMAIN</formula1>
    </dataValidation>
    <dataValidation type="list" allowBlank="1" showInputMessage="1" showErrorMessage="1" sqref="M3:R22">
      <formula1>DEF_FIELDS</formula1>
    </dataValidation>
  </dataValidations>
  <hyperlinks>
    <hyperlink ref="A50" location="LST!A35" display="Кумулятивный патч"/>
    <hyperlink ref="A31" location="LST!A24" display="Очистить книгу"/>
    <hyperlink ref="A37" location="LST!A24" display="Очистить книгу"/>
    <hyperlink ref="A24" location="LST!A24" display="Очистить книгу"/>
    <hyperlink ref="A25" location="LST!A24" display="Очистить книгу"/>
    <hyperlink ref="A51" location="LST!A35" display="Кумулятивный патч"/>
    <hyperlink ref="A32" location="LST!A35" display="Кумулятивный патч"/>
  </hyperlinks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R1069"/>
  <sheetViews>
    <sheetView topLeftCell="B1041" workbookViewId="0">
      <selection activeCell="D56" sqref="D56"/>
    </sheetView>
  </sheetViews>
  <sheetFormatPr defaultRowHeight="14.4" x14ac:dyDescent="0.3"/>
  <cols>
    <col min="1" max="1" width="55.33203125" customWidth="1"/>
    <col min="2" max="2" width="17.33203125" customWidth="1"/>
    <col min="3" max="3" width="24" customWidth="1"/>
    <col min="4" max="4" width="53.109375" customWidth="1"/>
    <col min="6" max="6" width="25.88671875" customWidth="1"/>
    <col min="7" max="8" width="4" customWidth="1"/>
    <col min="10" max="10" width="39.33203125" customWidth="1"/>
  </cols>
  <sheetData>
    <row r="1" spans="1:18" x14ac:dyDescent="0.3">
      <c r="A1" t="s">
        <v>869</v>
      </c>
      <c r="B1">
        <v>1</v>
      </c>
      <c r="C1" t="s">
        <v>0</v>
      </c>
      <c r="E1">
        <v>30</v>
      </c>
      <c r="F1" t="s">
        <v>869</v>
      </c>
      <c r="I1">
        <v>5</v>
      </c>
      <c r="J1" t="s">
        <v>407</v>
      </c>
      <c r="K1" t="s">
        <v>1463</v>
      </c>
      <c r="L1" t="s">
        <v>1</v>
      </c>
      <c r="M1" t="s">
        <v>0</v>
      </c>
      <c r="N1" t="s">
        <v>1266</v>
      </c>
      <c r="O1" t="s">
        <v>1266</v>
      </c>
      <c r="P1" t="s">
        <v>1266</v>
      </c>
      <c r="Q1" t="s">
        <v>1266</v>
      </c>
      <c r="R1" t="s">
        <v>1266</v>
      </c>
    </row>
    <row r="2" spans="1:18" x14ac:dyDescent="0.3">
      <c r="A2" t="s">
        <v>867</v>
      </c>
      <c r="B2">
        <v>2</v>
      </c>
      <c r="C2" t="s">
        <v>1</v>
      </c>
      <c r="D2" t="s">
        <v>867</v>
      </c>
      <c r="E2">
        <v>30</v>
      </c>
      <c r="F2" t="s">
        <v>866</v>
      </c>
      <c r="I2">
        <v>5</v>
      </c>
      <c r="J2" t="s">
        <v>407</v>
      </c>
      <c r="K2" t="s">
        <v>1574</v>
      </c>
      <c r="L2" t="s">
        <v>1</v>
      </c>
      <c r="M2" t="s">
        <v>0</v>
      </c>
      <c r="N2" t="s">
        <v>1266</v>
      </c>
      <c r="O2" t="s">
        <v>1266</v>
      </c>
      <c r="P2" t="s">
        <v>1266</v>
      </c>
      <c r="Q2" t="s">
        <v>1266</v>
      </c>
      <c r="R2" t="s">
        <v>1266</v>
      </c>
    </row>
    <row r="3" spans="1:18" x14ac:dyDescent="0.3">
      <c r="A3" t="s">
        <v>864</v>
      </c>
      <c r="B3">
        <v>3</v>
      </c>
      <c r="C3" t="s">
        <v>1</v>
      </c>
      <c r="D3" t="s">
        <v>864</v>
      </c>
      <c r="E3">
        <v>30</v>
      </c>
      <c r="F3" t="s">
        <v>585</v>
      </c>
      <c r="I3">
        <v>5</v>
      </c>
      <c r="J3" t="s">
        <v>407</v>
      </c>
      <c r="K3">
        <v>1</v>
      </c>
      <c r="L3" t="s">
        <v>0</v>
      </c>
      <c r="M3" t="s">
        <v>0</v>
      </c>
      <c r="N3" t="s">
        <v>1266</v>
      </c>
      <c r="O3" t="s">
        <v>1266</v>
      </c>
      <c r="P3" t="s">
        <v>1266</v>
      </c>
      <c r="Q3" t="s">
        <v>1266</v>
      </c>
      <c r="R3" t="s">
        <v>1266</v>
      </c>
    </row>
    <row r="4" spans="1:18" x14ac:dyDescent="0.3">
      <c r="A4" t="s">
        <v>862</v>
      </c>
      <c r="B4">
        <v>4</v>
      </c>
      <c r="C4" t="s">
        <v>0</v>
      </c>
      <c r="D4" t="s">
        <v>862</v>
      </c>
      <c r="E4">
        <v>30</v>
      </c>
      <c r="F4" t="s">
        <v>861</v>
      </c>
      <c r="I4">
        <v>16</v>
      </c>
      <c r="J4" t="s">
        <v>407</v>
      </c>
      <c r="K4" t="s">
        <v>1474</v>
      </c>
      <c r="L4" t="s">
        <v>1</v>
      </c>
      <c r="M4" t="s">
        <v>0</v>
      </c>
      <c r="N4" t="s">
        <v>1266</v>
      </c>
      <c r="O4" t="s">
        <v>1266</v>
      </c>
      <c r="P4" t="s">
        <v>1266</v>
      </c>
      <c r="Q4" t="s">
        <v>1266</v>
      </c>
      <c r="R4" t="s">
        <v>1266</v>
      </c>
    </row>
    <row r="5" spans="1:18" x14ac:dyDescent="0.3">
      <c r="A5" t="s">
        <v>860</v>
      </c>
      <c r="B5">
        <v>5</v>
      </c>
      <c r="C5" t="s">
        <v>0</v>
      </c>
      <c r="D5" t="s">
        <v>860</v>
      </c>
      <c r="E5">
        <v>30</v>
      </c>
      <c r="F5" t="s">
        <v>859</v>
      </c>
      <c r="I5">
        <v>16</v>
      </c>
      <c r="J5" t="s">
        <v>407</v>
      </c>
      <c r="K5">
        <v>2</v>
      </c>
      <c r="L5" t="s">
        <v>1</v>
      </c>
      <c r="M5" t="s">
        <v>0</v>
      </c>
      <c r="N5" t="s">
        <v>1266</v>
      </c>
      <c r="O5" t="s">
        <v>1266</v>
      </c>
      <c r="P5" t="s">
        <v>1266</v>
      </c>
      <c r="Q5" t="s">
        <v>1266</v>
      </c>
      <c r="R5" t="s">
        <v>1266</v>
      </c>
    </row>
    <row r="6" spans="1:18" x14ac:dyDescent="0.3">
      <c r="A6" t="s">
        <v>814</v>
      </c>
      <c r="B6">
        <v>6</v>
      </c>
      <c r="C6" t="s">
        <v>0</v>
      </c>
      <c r="D6" t="s">
        <v>814</v>
      </c>
      <c r="E6">
        <v>30</v>
      </c>
      <c r="F6" t="s">
        <v>863</v>
      </c>
      <c r="I6">
        <v>19</v>
      </c>
      <c r="J6" t="s">
        <v>407</v>
      </c>
      <c r="K6">
        <v>3</v>
      </c>
      <c r="L6" t="s">
        <v>1</v>
      </c>
      <c r="M6" t="s">
        <v>0</v>
      </c>
      <c r="N6" t="s">
        <v>1266</v>
      </c>
      <c r="O6" t="s">
        <v>1266</v>
      </c>
      <c r="P6" t="s">
        <v>1266</v>
      </c>
      <c r="Q6" t="s">
        <v>1266</v>
      </c>
      <c r="R6" t="s">
        <v>1266</v>
      </c>
    </row>
    <row r="7" spans="1:18" x14ac:dyDescent="0.3">
      <c r="A7" t="s">
        <v>1654</v>
      </c>
      <c r="B7">
        <v>7</v>
      </c>
      <c r="C7" t="s">
        <v>1</v>
      </c>
      <c r="D7" t="s">
        <v>868</v>
      </c>
      <c r="E7">
        <v>30</v>
      </c>
      <c r="F7" t="s">
        <v>489</v>
      </c>
      <c r="I7">
        <v>5</v>
      </c>
      <c r="J7" t="s">
        <v>407</v>
      </c>
      <c r="K7">
        <v>4</v>
      </c>
      <c r="L7" t="s">
        <v>1</v>
      </c>
      <c r="M7" t="s">
        <v>0</v>
      </c>
      <c r="N7" t="s">
        <v>1266</v>
      </c>
      <c r="O7" t="s">
        <v>1266</v>
      </c>
      <c r="P7" t="s">
        <v>1266</v>
      </c>
      <c r="Q7" t="s">
        <v>1266</v>
      </c>
      <c r="R7" t="s">
        <v>1266</v>
      </c>
    </row>
    <row r="8" spans="1:18" x14ac:dyDescent="0.3">
      <c r="A8" t="s">
        <v>439</v>
      </c>
      <c r="B8">
        <v>8</v>
      </c>
      <c r="C8" t="s">
        <v>1</v>
      </c>
      <c r="D8" t="s">
        <v>439</v>
      </c>
      <c r="E8">
        <v>30</v>
      </c>
      <c r="F8" t="s">
        <v>438</v>
      </c>
      <c r="I8">
        <v>12</v>
      </c>
      <c r="J8" t="s">
        <v>407</v>
      </c>
      <c r="K8">
        <v>177</v>
      </c>
      <c r="L8" t="s">
        <v>1</v>
      </c>
      <c r="M8" t="s">
        <v>0</v>
      </c>
      <c r="N8" t="s">
        <v>1266</v>
      </c>
      <c r="O8" t="s">
        <v>1266</v>
      </c>
      <c r="P8" t="s">
        <v>1266</v>
      </c>
      <c r="Q8" t="s">
        <v>1266</v>
      </c>
      <c r="R8" t="s">
        <v>1266</v>
      </c>
    </row>
    <row r="9" spans="1:18" x14ac:dyDescent="0.3">
      <c r="A9" t="s">
        <v>441</v>
      </c>
      <c r="B9">
        <v>9</v>
      </c>
      <c r="C9" t="s">
        <v>1</v>
      </c>
      <c r="D9" t="s">
        <v>441</v>
      </c>
      <c r="E9">
        <v>30</v>
      </c>
      <c r="F9" t="s">
        <v>440</v>
      </c>
      <c r="I9">
        <v>12</v>
      </c>
      <c r="J9" t="s">
        <v>407</v>
      </c>
      <c r="K9">
        <v>178</v>
      </c>
      <c r="L9" t="s">
        <v>1</v>
      </c>
      <c r="M9" t="s">
        <v>0</v>
      </c>
      <c r="N9" t="s">
        <v>1266</v>
      </c>
      <c r="O9" t="s">
        <v>1266</v>
      </c>
      <c r="P9" t="s">
        <v>1266</v>
      </c>
      <c r="Q9" t="s">
        <v>1266</v>
      </c>
      <c r="R9" t="s">
        <v>1266</v>
      </c>
    </row>
    <row r="10" spans="1:18" x14ac:dyDescent="0.3">
      <c r="A10" t="s">
        <v>430</v>
      </c>
      <c r="B10">
        <v>10</v>
      </c>
      <c r="C10" t="s">
        <v>1</v>
      </c>
      <c r="D10" t="s">
        <v>430</v>
      </c>
      <c r="E10">
        <v>30</v>
      </c>
      <c r="F10" t="s">
        <v>429</v>
      </c>
      <c r="I10">
        <v>12</v>
      </c>
      <c r="J10" t="s">
        <v>407</v>
      </c>
      <c r="K10">
        <v>179</v>
      </c>
      <c r="L10" t="s">
        <v>1</v>
      </c>
      <c r="M10" t="s">
        <v>0</v>
      </c>
      <c r="N10" t="s">
        <v>1266</v>
      </c>
      <c r="O10" t="s">
        <v>1266</v>
      </c>
      <c r="P10" t="s">
        <v>1266</v>
      </c>
      <c r="Q10" t="s">
        <v>1266</v>
      </c>
      <c r="R10" t="s">
        <v>1266</v>
      </c>
    </row>
    <row r="11" spans="1:18" x14ac:dyDescent="0.3">
      <c r="A11" t="s">
        <v>431</v>
      </c>
      <c r="B11">
        <v>11</v>
      </c>
      <c r="C11" t="s">
        <v>1</v>
      </c>
      <c r="D11" t="s">
        <v>431</v>
      </c>
      <c r="E11">
        <v>30</v>
      </c>
      <c r="F11" t="s">
        <v>498</v>
      </c>
      <c r="I11">
        <v>5</v>
      </c>
      <c r="J11" t="s">
        <v>407</v>
      </c>
      <c r="K11">
        <v>180</v>
      </c>
      <c r="L11" t="s">
        <v>1</v>
      </c>
      <c r="M11" t="s">
        <v>0</v>
      </c>
      <c r="N11" t="s">
        <v>1266</v>
      </c>
      <c r="O11" t="s">
        <v>1266</v>
      </c>
      <c r="P11" t="s">
        <v>1266</v>
      </c>
      <c r="Q11" t="s">
        <v>1266</v>
      </c>
      <c r="R11" t="s">
        <v>1266</v>
      </c>
    </row>
    <row r="12" spans="1:18" x14ac:dyDescent="0.3">
      <c r="A12" t="s">
        <v>865</v>
      </c>
      <c r="B12">
        <v>12</v>
      </c>
      <c r="C12" t="s">
        <v>1</v>
      </c>
      <c r="D12" t="s">
        <v>865</v>
      </c>
      <c r="E12">
        <v>30</v>
      </c>
      <c r="F12" t="s">
        <v>492</v>
      </c>
      <c r="I12">
        <v>21</v>
      </c>
      <c r="J12" t="s">
        <v>407</v>
      </c>
      <c r="K12">
        <v>181</v>
      </c>
      <c r="L12" t="s">
        <v>1</v>
      </c>
      <c r="M12" t="s">
        <v>0</v>
      </c>
      <c r="N12" t="s">
        <v>1266</v>
      </c>
      <c r="O12" t="s">
        <v>1266</v>
      </c>
      <c r="P12" t="s">
        <v>1266</v>
      </c>
      <c r="Q12" t="s">
        <v>1266</v>
      </c>
      <c r="R12" t="s">
        <v>1266</v>
      </c>
    </row>
    <row r="13" spans="1:18" x14ac:dyDescent="0.3">
      <c r="A13" t="s">
        <v>905</v>
      </c>
      <c r="B13">
        <v>1</v>
      </c>
      <c r="C13" t="s">
        <v>1</v>
      </c>
      <c r="D13" t="s">
        <v>905</v>
      </c>
      <c r="E13">
        <v>30</v>
      </c>
      <c r="F13" t="s">
        <v>585</v>
      </c>
      <c r="I13">
        <v>5</v>
      </c>
      <c r="J13" t="s">
        <v>402</v>
      </c>
      <c r="K13">
        <v>182</v>
      </c>
      <c r="L13" t="s">
        <v>0</v>
      </c>
      <c r="M13" t="s">
        <v>0</v>
      </c>
      <c r="N13" t="s">
        <v>1266</v>
      </c>
      <c r="O13" t="s">
        <v>1266</v>
      </c>
      <c r="P13" t="s">
        <v>1266</v>
      </c>
      <c r="Q13" t="s">
        <v>1266</v>
      </c>
      <c r="R13" t="s">
        <v>1266</v>
      </c>
    </row>
    <row r="14" spans="1:18" x14ac:dyDescent="0.3">
      <c r="A14" t="s">
        <v>441</v>
      </c>
      <c r="B14">
        <v>2</v>
      </c>
      <c r="C14" t="s">
        <v>1</v>
      </c>
      <c r="D14" t="s">
        <v>441</v>
      </c>
      <c r="E14">
        <v>30</v>
      </c>
      <c r="F14" t="s">
        <v>440</v>
      </c>
      <c r="I14">
        <v>12</v>
      </c>
      <c r="J14" t="s">
        <v>402</v>
      </c>
      <c r="K14">
        <v>183</v>
      </c>
      <c r="L14" t="s">
        <v>1</v>
      </c>
      <c r="M14" t="s">
        <v>0</v>
      </c>
      <c r="N14" t="s">
        <v>1266</v>
      </c>
      <c r="O14" t="s">
        <v>1266</v>
      </c>
      <c r="P14" t="s">
        <v>1266</v>
      </c>
      <c r="Q14" t="s">
        <v>1266</v>
      </c>
      <c r="R14" t="s">
        <v>1266</v>
      </c>
    </row>
    <row r="15" spans="1:18" x14ac:dyDescent="0.3">
      <c r="A15" t="s">
        <v>430</v>
      </c>
      <c r="B15">
        <v>3</v>
      </c>
      <c r="C15" t="s">
        <v>1</v>
      </c>
      <c r="D15" t="s">
        <v>430</v>
      </c>
      <c r="E15">
        <v>30</v>
      </c>
      <c r="F15" t="s">
        <v>429</v>
      </c>
      <c r="I15">
        <v>12</v>
      </c>
      <c r="J15" t="s">
        <v>402</v>
      </c>
      <c r="K15">
        <v>191</v>
      </c>
      <c r="L15" t="s">
        <v>1</v>
      </c>
      <c r="M15" t="s">
        <v>0</v>
      </c>
      <c r="N15" t="s">
        <v>1266</v>
      </c>
      <c r="O15" t="s">
        <v>1266</v>
      </c>
      <c r="P15" t="s">
        <v>1266</v>
      </c>
      <c r="Q15" t="s">
        <v>1266</v>
      </c>
      <c r="R15" t="s">
        <v>1266</v>
      </c>
    </row>
    <row r="16" spans="1:18" x14ac:dyDescent="0.3">
      <c r="A16" t="s">
        <v>708</v>
      </c>
      <c r="B16">
        <v>4</v>
      </c>
      <c r="C16" t="s">
        <v>1</v>
      </c>
      <c r="D16" t="s">
        <v>708</v>
      </c>
      <c r="E16">
        <v>30</v>
      </c>
      <c r="F16" t="s">
        <v>498</v>
      </c>
      <c r="I16">
        <v>5</v>
      </c>
      <c r="J16" t="s">
        <v>402</v>
      </c>
      <c r="K16">
        <v>192</v>
      </c>
      <c r="L16" t="s">
        <v>1</v>
      </c>
      <c r="M16" t="s">
        <v>0</v>
      </c>
      <c r="N16" t="s">
        <v>1266</v>
      </c>
      <c r="O16" t="s">
        <v>1266</v>
      </c>
      <c r="P16" t="s">
        <v>1266</v>
      </c>
      <c r="Q16" t="s">
        <v>1266</v>
      </c>
      <c r="R16" t="s">
        <v>1266</v>
      </c>
    </row>
    <row r="17" spans="1:18" x14ac:dyDescent="0.3">
      <c r="A17" t="s">
        <v>528</v>
      </c>
      <c r="B17">
        <v>5</v>
      </c>
      <c r="C17" t="s">
        <v>1</v>
      </c>
      <c r="D17" t="s">
        <v>528</v>
      </c>
      <c r="E17">
        <v>30</v>
      </c>
      <c r="F17" t="s">
        <v>527</v>
      </c>
      <c r="I17">
        <v>5</v>
      </c>
      <c r="J17" t="s">
        <v>402</v>
      </c>
      <c r="K17">
        <v>193</v>
      </c>
      <c r="L17" t="s">
        <v>1</v>
      </c>
      <c r="M17" t="s">
        <v>0</v>
      </c>
      <c r="N17" t="s">
        <v>1266</v>
      </c>
      <c r="O17" t="s">
        <v>1266</v>
      </c>
      <c r="P17" t="s">
        <v>1266</v>
      </c>
      <c r="Q17" t="s">
        <v>1266</v>
      </c>
      <c r="R17" t="s">
        <v>1266</v>
      </c>
    </row>
    <row r="18" spans="1:18" x14ac:dyDescent="0.3">
      <c r="A18" t="s">
        <v>1632</v>
      </c>
      <c r="B18">
        <v>6</v>
      </c>
      <c r="C18" t="s">
        <v>0</v>
      </c>
      <c r="D18" t="s">
        <v>526</v>
      </c>
      <c r="E18">
        <v>30</v>
      </c>
      <c r="F18" t="s">
        <v>525</v>
      </c>
      <c r="I18">
        <v>6</v>
      </c>
      <c r="J18" t="s">
        <v>402</v>
      </c>
      <c r="K18">
        <v>194</v>
      </c>
      <c r="L18" t="s">
        <v>1</v>
      </c>
      <c r="M18" t="s">
        <v>0</v>
      </c>
      <c r="N18" t="s">
        <v>1266</v>
      </c>
      <c r="O18" t="s">
        <v>1266</v>
      </c>
      <c r="P18" t="s">
        <v>1266</v>
      </c>
      <c r="Q18" t="s">
        <v>1266</v>
      </c>
      <c r="R18" t="s">
        <v>1266</v>
      </c>
    </row>
    <row r="19" spans="1:18" x14ac:dyDescent="0.3">
      <c r="A19" t="s">
        <v>1629</v>
      </c>
      <c r="B19">
        <v>7</v>
      </c>
      <c r="C19" t="s">
        <v>0</v>
      </c>
      <c r="D19" t="s">
        <v>906</v>
      </c>
      <c r="E19">
        <v>30</v>
      </c>
      <c r="F19" t="s">
        <v>535</v>
      </c>
      <c r="I19">
        <v>5</v>
      </c>
      <c r="J19" t="s">
        <v>402</v>
      </c>
      <c r="K19">
        <v>195</v>
      </c>
      <c r="L19" t="s">
        <v>1</v>
      </c>
      <c r="M19" t="s">
        <v>0</v>
      </c>
      <c r="N19" t="s">
        <v>1266</v>
      </c>
      <c r="O19" t="s">
        <v>1266</v>
      </c>
      <c r="P19" t="s">
        <v>1266</v>
      </c>
      <c r="Q19" t="s">
        <v>1266</v>
      </c>
      <c r="R19" t="s">
        <v>1266</v>
      </c>
    </row>
    <row r="20" spans="1:18" x14ac:dyDescent="0.3">
      <c r="A20" t="s">
        <v>1546</v>
      </c>
      <c r="B20">
        <v>1</v>
      </c>
      <c r="C20" t="s">
        <v>0</v>
      </c>
      <c r="D20" t="s">
        <v>1546</v>
      </c>
      <c r="E20">
        <v>30</v>
      </c>
      <c r="F20" t="s">
        <v>1546</v>
      </c>
      <c r="I20">
        <v>19</v>
      </c>
      <c r="J20" t="s">
        <v>392</v>
      </c>
      <c r="K20">
        <v>196</v>
      </c>
      <c r="L20" t="s">
        <v>1</v>
      </c>
      <c r="M20" t="s">
        <v>0</v>
      </c>
      <c r="N20" t="s">
        <v>1266</v>
      </c>
      <c r="O20" t="s">
        <v>1266</v>
      </c>
      <c r="P20" t="s">
        <v>1266</v>
      </c>
      <c r="Q20" t="s">
        <v>1266</v>
      </c>
      <c r="R20" t="s">
        <v>1266</v>
      </c>
    </row>
    <row r="21" spans="1:18" x14ac:dyDescent="0.3">
      <c r="A21" t="s">
        <v>657</v>
      </c>
      <c r="B21">
        <v>2</v>
      </c>
      <c r="C21" t="s">
        <v>0</v>
      </c>
      <c r="D21" t="s">
        <v>657</v>
      </c>
      <c r="E21">
        <v>30</v>
      </c>
      <c r="F21" t="s">
        <v>656</v>
      </c>
      <c r="I21">
        <v>19</v>
      </c>
      <c r="J21" t="s">
        <v>392</v>
      </c>
      <c r="K21">
        <v>197</v>
      </c>
      <c r="L21" t="s">
        <v>1</v>
      </c>
      <c r="M21" t="s">
        <v>0</v>
      </c>
      <c r="N21" t="s">
        <v>1266</v>
      </c>
      <c r="O21" t="s">
        <v>1266</v>
      </c>
      <c r="P21" t="s">
        <v>1266</v>
      </c>
      <c r="Q21" t="s">
        <v>1266</v>
      </c>
      <c r="R21" t="s">
        <v>1266</v>
      </c>
    </row>
    <row r="22" spans="1:18" x14ac:dyDescent="0.3">
      <c r="A22" t="s">
        <v>1596</v>
      </c>
      <c r="B22">
        <v>3</v>
      </c>
      <c r="C22" t="s">
        <v>0</v>
      </c>
      <c r="D22" t="s">
        <v>1596</v>
      </c>
      <c r="E22">
        <v>30</v>
      </c>
      <c r="F22" t="s">
        <v>1596</v>
      </c>
      <c r="I22">
        <v>6</v>
      </c>
      <c r="J22" t="s">
        <v>392</v>
      </c>
      <c r="K22">
        <v>206</v>
      </c>
      <c r="L22" t="s">
        <v>1</v>
      </c>
      <c r="M22" t="s">
        <v>0</v>
      </c>
      <c r="N22" t="s">
        <v>1266</v>
      </c>
      <c r="O22" t="s">
        <v>1266</v>
      </c>
      <c r="P22" t="s">
        <v>1266</v>
      </c>
      <c r="Q22" t="s">
        <v>1266</v>
      </c>
      <c r="R22" t="s">
        <v>1266</v>
      </c>
    </row>
    <row r="23" spans="1:18" x14ac:dyDescent="0.3">
      <c r="A23" t="s">
        <v>588</v>
      </c>
      <c r="B23">
        <v>4</v>
      </c>
      <c r="C23" t="s">
        <v>0</v>
      </c>
      <c r="D23" t="s">
        <v>588</v>
      </c>
      <c r="E23">
        <v>30</v>
      </c>
      <c r="F23" t="s">
        <v>587</v>
      </c>
      <c r="I23">
        <v>1</v>
      </c>
      <c r="J23" t="s">
        <v>392</v>
      </c>
      <c r="K23">
        <v>207</v>
      </c>
      <c r="L23" t="s">
        <v>1</v>
      </c>
      <c r="M23" t="s">
        <v>0</v>
      </c>
      <c r="N23" t="s">
        <v>1266</v>
      </c>
      <c r="O23" t="s">
        <v>1266</v>
      </c>
      <c r="P23" t="s">
        <v>1266</v>
      </c>
      <c r="Q23" t="s">
        <v>1266</v>
      </c>
      <c r="R23" t="s">
        <v>1266</v>
      </c>
    </row>
    <row r="24" spans="1:18" x14ac:dyDescent="0.3">
      <c r="A24" t="s">
        <v>687</v>
      </c>
      <c r="B24">
        <v>5</v>
      </c>
      <c r="C24" t="s">
        <v>0</v>
      </c>
      <c r="D24" t="s">
        <v>687</v>
      </c>
      <c r="E24">
        <v>30</v>
      </c>
      <c r="F24" t="s">
        <v>686</v>
      </c>
      <c r="I24">
        <v>5</v>
      </c>
      <c r="J24" t="s">
        <v>392</v>
      </c>
      <c r="K24">
        <v>208</v>
      </c>
      <c r="L24" t="s">
        <v>1</v>
      </c>
      <c r="M24" t="s">
        <v>0</v>
      </c>
      <c r="N24" t="s">
        <v>1266</v>
      </c>
      <c r="O24" t="s">
        <v>1266</v>
      </c>
      <c r="P24" t="s">
        <v>1266</v>
      </c>
      <c r="Q24" t="s">
        <v>1266</v>
      </c>
      <c r="R24" t="s">
        <v>1266</v>
      </c>
    </row>
    <row r="25" spans="1:18" x14ac:dyDescent="0.3">
      <c r="A25" t="s">
        <v>689</v>
      </c>
      <c r="B25">
        <v>6</v>
      </c>
      <c r="C25" t="s">
        <v>0</v>
      </c>
      <c r="D25" t="s">
        <v>689</v>
      </c>
      <c r="E25">
        <v>30</v>
      </c>
      <c r="F25" t="s">
        <v>688</v>
      </c>
      <c r="I25">
        <v>19</v>
      </c>
      <c r="J25" t="s">
        <v>392</v>
      </c>
      <c r="K25">
        <v>209</v>
      </c>
      <c r="L25" t="s">
        <v>1</v>
      </c>
      <c r="M25" t="s">
        <v>0</v>
      </c>
      <c r="N25" t="s">
        <v>1266</v>
      </c>
      <c r="O25" t="s">
        <v>1266</v>
      </c>
      <c r="P25" t="s">
        <v>1266</v>
      </c>
      <c r="Q25" t="s">
        <v>1266</v>
      </c>
      <c r="R25" t="s">
        <v>1266</v>
      </c>
    </row>
    <row r="26" spans="1:18" x14ac:dyDescent="0.3">
      <c r="A26" t="s">
        <v>586</v>
      </c>
      <c r="B26">
        <v>7</v>
      </c>
      <c r="C26" t="s">
        <v>1</v>
      </c>
      <c r="D26" t="s">
        <v>586</v>
      </c>
      <c r="E26">
        <v>30</v>
      </c>
      <c r="F26" t="s">
        <v>585</v>
      </c>
      <c r="I26">
        <v>5</v>
      </c>
      <c r="J26" t="s">
        <v>392</v>
      </c>
      <c r="K26">
        <v>210</v>
      </c>
      <c r="L26" t="s">
        <v>0</v>
      </c>
      <c r="M26" t="s">
        <v>0</v>
      </c>
      <c r="N26" t="s">
        <v>1266</v>
      </c>
      <c r="O26" t="s">
        <v>1266</v>
      </c>
      <c r="P26" t="s">
        <v>1266</v>
      </c>
      <c r="Q26" t="s">
        <v>1266</v>
      </c>
      <c r="R26" t="s">
        <v>1266</v>
      </c>
    </row>
    <row r="27" spans="1:18" x14ac:dyDescent="0.3">
      <c r="A27" t="s">
        <v>613</v>
      </c>
      <c r="B27">
        <v>8</v>
      </c>
      <c r="C27" t="s">
        <v>1</v>
      </c>
      <c r="D27" t="s">
        <v>613</v>
      </c>
      <c r="E27">
        <v>30</v>
      </c>
      <c r="F27" t="s">
        <v>612</v>
      </c>
      <c r="I27">
        <v>5</v>
      </c>
      <c r="J27" t="s">
        <v>392</v>
      </c>
      <c r="K27">
        <v>211</v>
      </c>
      <c r="L27" t="s">
        <v>1</v>
      </c>
      <c r="M27" t="s">
        <v>0</v>
      </c>
      <c r="N27" t="s">
        <v>1266</v>
      </c>
      <c r="O27" t="s">
        <v>1266</v>
      </c>
      <c r="P27" t="s">
        <v>1266</v>
      </c>
      <c r="Q27" t="s">
        <v>1266</v>
      </c>
      <c r="R27" t="s">
        <v>1266</v>
      </c>
    </row>
    <row r="28" spans="1:18" x14ac:dyDescent="0.3">
      <c r="A28" t="s">
        <v>1567</v>
      </c>
      <c r="B28">
        <v>9</v>
      </c>
      <c r="C28" t="s">
        <v>0</v>
      </c>
      <c r="D28" t="s">
        <v>1567</v>
      </c>
      <c r="E28">
        <v>30</v>
      </c>
      <c r="F28" t="s">
        <v>1567</v>
      </c>
      <c r="I28">
        <v>16</v>
      </c>
      <c r="J28" t="s">
        <v>392</v>
      </c>
      <c r="K28">
        <v>212</v>
      </c>
      <c r="L28" t="s">
        <v>1</v>
      </c>
      <c r="M28" t="s">
        <v>0</v>
      </c>
      <c r="N28" t="s">
        <v>1266</v>
      </c>
      <c r="O28" t="s">
        <v>1266</v>
      </c>
      <c r="P28" t="s">
        <v>1266</v>
      </c>
      <c r="Q28" t="s">
        <v>1266</v>
      </c>
      <c r="R28" t="s">
        <v>1266</v>
      </c>
    </row>
    <row r="29" spans="1:18" x14ac:dyDescent="0.3">
      <c r="A29" t="s">
        <v>619</v>
      </c>
      <c r="B29">
        <v>10</v>
      </c>
      <c r="C29" t="s">
        <v>0</v>
      </c>
      <c r="D29" t="s">
        <v>619</v>
      </c>
      <c r="E29">
        <v>30</v>
      </c>
      <c r="F29" t="s">
        <v>618</v>
      </c>
      <c r="I29">
        <v>6</v>
      </c>
      <c r="J29" t="s">
        <v>392</v>
      </c>
      <c r="K29">
        <v>220</v>
      </c>
      <c r="L29" t="s">
        <v>1</v>
      </c>
      <c r="M29" t="s">
        <v>0</v>
      </c>
      <c r="N29" t="s">
        <v>1266</v>
      </c>
      <c r="O29" t="s">
        <v>1266</v>
      </c>
      <c r="P29" t="s">
        <v>1266</v>
      </c>
      <c r="Q29" t="s">
        <v>1266</v>
      </c>
      <c r="R29" t="s">
        <v>1266</v>
      </c>
    </row>
    <row r="30" spans="1:18" x14ac:dyDescent="0.3">
      <c r="A30" t="s">
        <v>495</v>
      </c>
      <c r="B30">
        <v>11</v>
      </c>
      <c r="C30" t="s">
        <v>0</v>
      </c>
      <c r="D30" t="s">
        <v>495</v>
      </c>
      <c r="E30">
        <v>30</v>
      </c>
      <c r="F30" t="s">
        <v>494</v>
      </c>
      <c r="I30">
        <v>1</v>
      </c>
      <c r="J30" t="s">
        <v>392</v>
      </c>
      <c r="K30">
        <v>221</v>
      </c>
      <c r="L30" t="s">
        <v>1</v>
      </c>
      <c r="M30" t="s">
        <v>0</v>
      </c>
      <c r="N30" t="s">
        <v>1266</v>
      </c>
      <c r="O30" t="s">
        <v>1266</v>
      </c>
      <c r="P30" t="s">
        <v>1266</v>
      </c>
      <c r="Q30" t="s">
        <v>1266</v>
      </c>
      <c r="R30" t="s">
        <v>1266</v>
      </c>
    </row>
    <row r="31" spans="1:18" x14ac:dyDescent="0.3">
      <c r="A31" t="s">
        <v>1393</v>
      </c>
      <c r="B31">
        <v>12</v>
      </c>
      <c r="C31" t="s">
        <v>0</v>
      </c>
      <c r="D31" t="s">
        <v>1393</v>
      </c>
      <c r="E31">
        <v>30</v>
      </c>
      <c r="F31" t="s">
        <v>1393</v>
      </c>
      <c r="I31">
        <v>16</v>
      </c>
      <c r="J31" t="s">
        <v>392</v>
      </c>
      <c r="K31">
        <v>222</v>
      </c>
      <c r="L31" t="s">
        <v>1</v>
      </c>
      <c r="M31" t="s">
        <v>0</v>
      </c>
      <c r="N31" t="s">
        <v>1266</v>
      </c>
      <c r="O31" t="s">
        <v>1266</v>
      </c>
      <c r="P31" t="s">
        <v>1266</v>
      </c>
      <c r="Q31" t="s">
        <v>1266</v>
      </c>
      <c r="R31" t="s">
        <v>1266</v>
      </c>
    </row>
    <row r="32" spans="1:18" x14ac:dyDescent="0.3">
      <c r="A32" t="s">
        <v>633</v>
      </c>
      <c r="B32">
        <v>13</v>
      </c>
      <c r="C32" t="s">
        <v>0</v>
      </c>
      <c r="D32" t="s">
        <v>633</v>
      </c>
      <c r="E32">
        <v>30</v>
      </c>
      <c r="F32" t="s">
        <v>632</v>
      </c>
      <c r="I32">
        <v>21</v>
      </c>
      <c r="J32" t="s">
        <v>392</v>
      </c>
      <c r="K32">
        <v>223</v>
      </c>
      <c r="L32" t="s">
        <v>1</v>
      </c>
      <c r="M32" t="s">
        <v>0</v>
      </c>
      <c r="N32" t="s">
        <v>1266</v>
      </c>
      <c r="O32" t="s">
        <v>1266</v>
      </c>
      <c r="P32" t="s">
        <v>1266</v>
      </c>
      <c r="Q32" t="s">
        <v>1266</v>
      </c>
      <c r="R32" t="s">
        <v>1266</v>
      </c>
    </row>
    <row r="33" spans="1:18" x14ac:dyDescent="0.3">
      <c r="A33" t="s">
        <v>582</v>
      </c>
      <c r="B33">
        <v>14</v>
      </c>
      <c r="C33" t="s">
        <v>1</v>
      </c>
      <c r="D33" t="s">
        <v>582</v>
      </c>
      <c r="E33">
        <v>30</v>
      </c>
      <c r="F33" t="s">
        <v>581</v>
      </c>
      <c r="I33">
        <v>5</v>
      </c>
      <c r="J33" t="s">
        <v>392</v>
      </c>
      <c r="K33">
        <v>224</v>
      </c>
      <c r="L33" t="s">
        <v>1</v>
      </c>
      <c r="M33" t="s">
        <v>0</v>
      </c>
      <c r="N33" t="s">
        <v>1266</v>
      </c>
      <c r="O33" t="s">
        <v>1266</v>
      </c>
      <c r="P33" t="s">
        <v>1266</v>
      </c>
      <c r="Q33" t="s">
        <v>1266</v>
      </c>
      <c r="R33" t="s">
        <v>1266</v>
      </c>
    </row>
    <row r="34" spans="1:18" x14ac:dyDescent="0.3">
      <c r="A34" t="s">
        <v>615</v>
      </c>
      <c r="B34">
        <v>15</v>
      </c>
      <c r="C34" t="s">
        <v>0</v>
      </c>
      <c r="D34" t="s">
        <v>615</v>
      </c>
      <c r="E34">
        <v>30</v>
      </c>
      <c r="F34" t="s">
        <v>614</v>
      </c>
      <c r="I34">
        <v>5</v>
      </c>
      <c r="J34" t="s">
        <v>392</v>
      </c>
      <c r="K34">
        <v>225</v>
      </c>
      <c r="L34" t="s">
        <v>1</v>
      </c>
      <c r="M34" t="s">
        <v>0</v>
      </c>
      <c r="N34" t="s">
        <v>1266</v>
      </c>
      <c r="O34" t="s">
        <v>1266</v>
      </c>
      <c r="P34" t="s">
        <v>1266</v>
      </c>
      <c r="Q34" t="s">
        <v>1266</v>
      </c>
      <c r="R34" t="s">
        <v>1266</v>
      </c>
    </row>
    <row r="35" spans="1:18" x14ac:dyDescent="0.3">
      <c r="A35" t="s">
        <v>594</v>
      </c>
      <c r="B35">
        <v>16</v>
      </c>
      <c r="C35" t="s">
        <v>0</v>
      </c>
      <c r="D35" t="s">
        <v>594</v>
      </c>
      <c r="E35">
        <v>30</v>
      </c>
      <c r="F35" t="s">
        <v>593</v>
      </c>
      <c r="I35">
        <v>19</v>
      </c>
      <c r="J35" t="s">
        <v>392</v>
      </c>
      <c r="K35">
        <v>226</v>
      </c>
      <c r="L35" t="s">
        <v>1</v>
      </c>
      <c r="M35" t="s">
        <v>0</v>
      </c>
      <c r="N35" t="s">
        <v>1266</v>
      </c>
      <c r="O35" t="s">
        <v>1266</v>
      </c>
      <c r="P35" t="s">
        <v>1266</v>
      </c>
      <c r="Q35" t="s">
        <v>1266</v>
      </c>
      <c r="R35" t="s">
        <v>1266</v>
      </c>
    </row>
    <row r="36" spans="1:18" x14ac:dyDescent="0.3">
      <c r="A36" t="s">
        <v>681</v>
      </c>
      <c r="B36">
        <v>17</v>
      </c>
      <c r="C36" t="s">
        <v>0</v>
      </c>
      <c r="D36" t="s">
        <v>681</v>
      </c>
      <c r="E36">
        <v>30</v>
      </c>
      <c r="F36" t="s">
        <v>680</v>
      </c>
      <c r="I36">
        <v>5</v>
      </c>
      <c r="J36" t="s">
        <v>392</v>
      </c>
      <c r="K36">
        <v>234</v>
      </c>
      <c r="L36" t="s">
        <v>1</v>
      </c>
      <c r="M36" t="s">
        <v>0</v>
      </c>
      <c r="N36" t="s">
        <v>1266</v>
      </c>
      <c r="O36" t="s">
        <v>1266</v>
      </c>
      <c r="P36" t="s">
        <v>1266</v>
      </c>
      <c r="Q36" t="s">
        <v>1266</v>
      </c>
      <c r="R36" t="s">
        <v>1266</v>
      </c>
    </row>
    <row r="37" spans="1:18" x14ac:dyDescent="0.3">
      <c r="A37" t="s">
        <v>1648</v>
      </c>
      <c r="B37">
        <v>18</v>
      </c>
      <c r="C37" t="s">
        <v>0</v>
      </c>
      <c r="D37" t="s">
        <v>667</v>
      </c>
      <c r="E37">
        <v>30</v>
      </c>
      <c r="F37" t="s">
        <v>666</v>
      </c>
      <c r="I37">
        <v>5</v>
      </c>
      <c r="J37" t="s">
        <v>392</v>
      </c>
      <c r="K37">
        <v>235</v>
      </c>
      <c r="L37" t="s">
        <v>1</v>
      </c>
      <c r="M37" t="s">
        <v>0</v>
      </c>
      <c r="N37" t="s">
        <v>1266</v>
      </c>
      <c r="O37" t="s">
        <v>1266</v>
      </c>
      <c r="P37" t="s">
        <v>1266</v>
      </c>
      <c r="Q37" t="s">
        <v>1266</v>
      </c>
      <c r="R37" t="s">
        <v>1266</v>
      </c>
    </row>
    <row r="38" spans="1:18" x14ac:dyDescent="0.3">
      <c r="A38" t="s">
        <v>660</v>
      </c>
      <c r="B38">
        <v>19</v>
      </c>
      <c r="C38" t="s">
        <v>0</v>
      </c>
      <c r="D38" t="s">
        <v>660</v>
      </c>
      <c r="E38">
        <v>30</v>
      </c>
      <c r="F38" t="s">
        <v>659</v>
      </c>
      <c r="I38">
        <v>5</v>
      </c>
      <c r="J38" t="s">
        <v>392</v>
      </c>
      <c r="K38">
        <v>236</v>
      </c>
      <c r="L38" t="s">
        <v>1</v>
      </c>
      <c r="M38" t="s">
        <v>0</v>
      </c>
      <c r="N38" t="s">
        <v>1266</v>
      </c>
      <c r="O38" t="s">
        <v>1266</v>
      </c>
      <c r="P38" t="s">
        <v>1266</v>
      </c>
      <c r="Q38" t="s">
        <v>1266</v>
      </c>
      <c r="R38" t="s">
        <v>1266</v>
      </c>
    </row>
    <row r="39" spans="1:18" x14ac:dyDescent="0.3">
      <c r="A39" t="s">
        <v>662</v>
      </c>
      <c r="B39">
        <v>20</v>
      </c>
      <c r="C39" t="s">
        <v>0</v>
      </c>
      <c r="D39" t="s">
        <v>662</v>
      </c>
      <c r="E39">
        <v>30</v>
      </c>
      <c r="F39" t="s">
        <v>661</v>
      </c>
      <c r="I39">
        <v>5</v>
      </c>
      <c r="J39" t="s">
        <v>392</v>
      </c>
      <c r="K39">
        <v>237</v>
      </c>
      <c r="L39" t="s">
        <v>1</v>
      </c>
      <c r="M39" t="s">
        <v>0</v>
      </c>
      <c r="N39" t="s">
        <v>1266</v>
      </c>
      <c r="O39" t="s">
        <v>1266</v>
      </c>
      <c r="P39" t="s">
        <v>1266</v>
      </c>
      <c r="Q39" t="s">
        <v>1266</v>
      </c>
      <c r="R39" t="s">
        <v>1266</v>
      </c>
    </row>
    <row r="40" spans="1:18" x14ac:dyDescent="0.3">
      <c r="A40" t="s">
        <v>664</v>
      </c>
      <c r="B40">
        <v>21</v>
      </c>
      <c r="C40" t="s">
        <v>0</v>
      </c>
      <c r="D40" t="s">
        <v>664</v>
      </c>
      <c r="E40">
        <v>30</v>
      </c>
      <c r="F40" t="s">
        <v>663</v>
      </c>
      <c r="I40">
        <v>5</v>
      </c>
      <c r="J40" t="s">
        <v>392</v>
      </c>
      <c r="K40">
        <v>238</v>
      </c>
      <c r="L40" t="s">
        <v>1</v>
      </c>
      <c r="M40" t="s">
        <v>0</v>
      </c>
      <c r="N40" t="s">
        <v>1266</v>
      </c>
      <c r="O40" t="s">
        <v>1266</v>
      </c>
      <c r="P40" t="s">
        <v>1266</v>
      </c>
      <c r="Q40" t="s">
        <v>1266</v>
      </c>
      <c r="R40" t="s">
        <v>1266</v>
      </c>
    </row>
    <row r="41" spans="1:18" x14ac:dyDescent="0.3">
      <c r="A41" t="s">
        <v>1646</v>
      </c>
      <c r="B41">
        <v>22</v>
      </c>
      <c r="C41" t="s">
        <v>0</v>
      </c>
      <c r="D41" t="s">
        <v>655</v>
      </c>
      <c r="E41">
        <v>30</v>
      </c>
      <c r="F41" t="s">
        <v>654</v>
      </c>
      <c r="I41">
        <v>21</v>
      </c>
      <c r="J41" t="s">
        <v>392</v>
      </c>
      <c r="K41">
        <v>239</v>
      </c>
      <c r="L41" t="s">
        <v>1</v>
      </c>
      <c r="M41" t="s">
        <v>0</v>
      </c>
      <c r="N41" t="s">
        <v>1266</v>
      </c>
      <c r="O41" t="s">
        <v>1266</v>
      </c>
      <c r="P41" t="s">
        <v>1266</v>
      </c>
      <c r="Q41" t="s">
        <v>1266</v>
      </c>
      <c r="R41" t="s">
        <v>1266</v>
      </c>
    </row>
    <row r="42" spans="1:18" x14ac:dyDescent="0.3">
      <c r="A42" t="s">
        <v>640</v>
      </c>
      <c r="B42">
        <v>23</v>
      </c>
      <c r="C42" t="s">
        <v>0</v>
      </c>
      <c r="D42" t="s">
        <v>640</v>
      </c>
      <c r="E42">
        <v>30</v>
      </c>
      <c r="F42" t="s">
        <v>458</v>
      </c>
      <c r="I42">
        <v>5</v>
      </c>
      <c r="J42" t="s">
        <v>392</v>
      </c>
      <c r="K42">
        <v>240</v>
      </c>
      <c r="L42" t="s">
        <v>1</v>
      </c>
      <c r="M42" t="s">
        <v>0</v>
      </c>
      <c r="N42" t="s">
        <v>1266</v>
      </c>
      <c r="O42" t="s">
        <v>1266</v>
      </c>
      <c r="P42" t="s">
        <v>1266</v>
      </c>
      <c r="Q42" t="s">
        <v>1266</v>
      </c>
      <c r="R42" t="s">
        <v>1266</v>
      </c>
    </row>
    <row r="43" spans="1:18" x14ac:dyDescent="0.3">
      <c r="A43" t="s">
        <v>635</v>
      </c>
      <c r="B43">
        <v>24</v>
      </c>
      <c r="C43" t="s">
        <v>0</v>
      </c>
      <c r="D43" t="s">
        <v>635</v>
      </c>
      <c r="E43">
        <v>30</v>
      </c>
      <c r="F43" t="s">
        <v>634</v>
      </c>
      <c r="I43">
        <v>14</v>
      </c>
      <c r="J43" t="s">
        <v>392</v>
      </c>
      <c r="K43" t="s">
        <v>1514</v>
      </c>
      <c r="L43" t="s">
        <v>1</v>
      </c>
      <c r="M43" t="s">
        <v>0</v>
      </c>
      <c r="N43" t="s">
        <v>1266</v>
      </c>
      <c r="O43" t="s">
        <v>1266</v>
      </c>
      <c r="P43" t="s">
        <v>1266</v>
      </c>
      <c r="Q43" t="s">
        <v>1266</v>
      </c>
      <c r="R43" t="s">
        <v>1266</v>
      </c>
    </row>
    <row r="44" spans="1:18" x14ac:dyDescent="0.3">
      <c r="A44" t="s">
        <v>639</v>
      </c>
      <c r="B44">
        <v>25</v>
      </c>
      <c r="C44" t="s">
        <v>0</v>
      </c>
      <c r="D44" t="s">
        <v>639</v>
      </c>
      <c r="E44">
        <v>30</v>
      </c>
      <c r="F44" t="s">
        <v>638</v>
      </c>
      <c r="I44">
        <v>19</v>
      </c>
      <c r="J44" t="s">
        <v>392</v>
      </c>
      <c r="K44">
        <v>248</v>
      </c>
      <c r="L44" t="s">
        <v>1</v>
      </c>
      <c r="M44" t="s">
        <v>0</v>
      </c>
      <c r="N44" t="s">
        <v>1266</v>
      </c>
      <c r="O44" t="s">
        <v>1266</v>
      </c>
      <c r="P44" t="s">
        <v>1266</v>
      </c>
      <c r="Q44" t="s">
        <v>1266</v>
      </c>
      <c r="R44" t="s">
        <v>1266</v>
      </c>
    </row>
    <row r="45" spans="1:18" x14ac:dyDescent="0.3">
      <c r="A45" t="s">
        <v>637</v>
      </c>
      <c r="B45">
        <v>26</v>
      </c>
      <c r="C45" t="s">
        <v>0</v>
      </c>
      <c r="D45" t="s">
        <v>637</v>
      </c>
      <c r="E45">
        <v>30</v>
      </c>
      <c r="F45" t="s">
        <v>636</v>
      </c>
      <c r="I45">
        <v>19</v>
      </c>
      <c r="J45" t="s">
        <v>392</v>
      </c>
      <c r="K45">
        <v>249</v>
      </c>
      <c r="L45" t="s">
        <v>1</v>
      </c>
      <c r="M45" t="s">
        <v>0</v>
      </c>
      <c r="N45" t="s">
        <v>1266</v>
      </c>
      <c r="O45" t="s">
        <v>1266</v>
      </c>
      <c r="P45" t="s">
        <v>1266</v>
      </c>
      <c r="Q45" t="s">
        <v>1266</v>
      </c>
      <c r="R45" t="s">
        <v>1266</v>
      </c>
    </row>
    <row r="46" spans="1:18" x14ac:dyDescent="0.3">
      <c r="A46" t="s">
        <v>1570</v>
      </c>
      <c r="B46">
        <v>27</v>
      </c>
      <c r="C46" t="s">
        <v>0</v>
      </c>
      <c r="D46" t="s">
        <v>1570</v>
      </c>
      <c r="E46">
        <v>30</v>
      </c>
      <c r="F46" t="s">
        <v>1570</v>
      </c>
      <c r="I46">
        <v>19</v>
      </c>
      <c r="J46" t="s">
        <v>392</v>
      </c>
      <c r="K46">
        <v>250</v>
      </c>
      <c r="L46" t="s">
        <v>1</v>
      </c>
      <c r="M46" t="s">
        <v>0</v>
      </c>
      <c r="N46" t="s">
        <v>1266</v>
      </c>
      <c r="O46" t="s">
        <v>1266</v>
      </c>
      <c r="P46" t="s">
        <v>1266</v>
      </c>
      <c r="Q46" t="s">
        <v>1266</v>
      </c>
      <c r="R46" t="s">
        <v>1266</v>
      </c>
    </row>
    <row r="47" spans="1:18" x14ac:dyDescent="0.3">
      <c r="A47" t="s">
        <v>1453</v>
      </c>
      <c r="B47">
        <v>28</v>
      </c>
      <c r="C47" t="s">
        <v>0</v>
      </c>
      <c r="D47" t="s">
        <v>1453</v>
      </c>
      <c r="E47">
        <v>30</v>
      </c>
      <c r="F47" t="s">
        <v>1453</v>
      </c>
      <c r="I47">
        <v>5</v>
      </c>
      <c r="J47" t="s">
        <v>392</v>
      </c>
      <c r="K47">
        <v>251</v>
      </c>
      <c r="L47" t="s">
        <v>1</v>
      </c>
      <c r="M47" t="s">
        <v>0</v>
      </c>
      <c r="N47" t="s">
        <v>1266</v>
      </c>
      <c r="O47" t="s">
        <v>1266</v>
      </c>
      <c r="P47" t="s">
        <v>1266</v>
      </c>
      <c r="Q47" t="s">
        <v>1266</v>
      </c>
      <c r="R47" t="s">
        <v>1266</v>
      </c>
    </row>
    <row r="48" spans="1:18" x14ac:dyDescent="0.3">
      <c r="A48" t="s">
        <v>651</v>
      </c>
      <c r="B48">
        <v>29</v>
      </c>
      <c r="C48" t="s">
        <v>0</v>
      </c>
      <c r="D48" t="s">
        <v>651</v>
      </c>
      <c r="E48">
        <v>30</v>
      </c>
      <c r="F48" t="s">
        <v>650</v>
      </c>
      <c r="I48">
        <v>16</v>
      </c>
      <c r="J48" t="s">
        <v>392</v>
      </c>
      <c r="K48">
        <v>252</v>
      </c>
      <c r="L48" t="s">
        <v>1</v>
      </c>
      <c r="M48" t="s">
        <v>0</v>
      </c>
      <c r="N48" t="s">
        <v>1266</v>
      </c>
      <c r="O48" t="s">
        <v>1266</v>
      </c>
      <c r="P48" t="s">
        <v>1266</v>
      </c>
      <c r="Q48" t="s">
        <v>1266</v>
      </c>
      <c r="R48" t="s">
        <v>1266</v>
      </c>
    </row>
    <row r="49" spans="1:18" x14ac:dyDescent="0.3">
      <c r="A49" t="s">
        <v>653</v>
      </c>
      <c r="B49">
        <v>30</v>
      </c>
      <c r="C49" t="s">
        <v>0</v>
      </c>
      <c r="D49" t="s">
        <v>653</v>
      </c>
      <c r="E49">
        <v>30</v>
      </c>
      <c r="F49" t="s">
        <v>652</v>
      </c>
      <c r="I49">
        <v>16</v>
      </c>
      <c r="J49" t="s">
        <v>392</v>
      </c>
      <c r="K49">
        <v>253</v>
      </c>
      <c r="L49" t="s">
        <v>1</v>
      </c>
      <c r="M49" t="s">
        <v>0</v>
      </c>
      <c r="N49" t="s">
        <v>1266</v>
      </c>
      <c r="O49" t="s">
        <v>1266</v>
      </c>
      <c r="P49" t="s">
        <v>1266</v>
      </c>
      <c r="Q49" t="s">
        <v>1266</v>
      </c>
      <c r="R49" t="s">
        <v>1266</v>
      </c>
    </row>
    <row r="50" spans="1:18" x14ac:dyDescent="0.3">
      <c r="A50" t="s">
        <v>627</v>
      </c>
      <c r="B50">
        <v>31</v>
      </c>
      <c r="C50" t="s">
        <v>0</v>
      </c>
      <c r="D50" t="s">
        <v>627</v>
      </c>
      <c r="E50">
        <v>30</v>
      </c>
      <c r="F50" t="s">
        <v>626</v>
      </c>
      <c r="I50">
        <v>21</v>
      </c>
      <c r="J50" t="s">
        <v>392</v>
      </c>
      <c r="K50">
        <v>261</v>
      </c>
      <c r="L50" t="s">
        <v>1</v>
      </c>
      <c r="M50" t="s">
        <v>0</v>
      </c>
      <c r="N50" t="s">
        <v>1266</v>
      </c>
      <c r="O50" t="s">
        <v>1266</v>
      </c>
      <c r="P50" t="s">
        <v>1266</v>
      </c>
      <c r="Q50" t="s">
        <v>1266</v>
      </c>
      <c r="R50" t="s">
        <v>1266</v>
      </c>
    </row>
    <row r="51" spans="1:18" x14ac:dyDescent="0.3">
      <c r="A51" t="s">
        <v>1609</v>
      </c>
      <c r="B51">
        <v>32</v>
      </c>
      <c r="C51" t="s">
        <v>0</v>
      </c>
      <c r="D51" t="s">
        <v>1609</v>
      </c>
      <c r="E51">
        <v>30</v>
      </c>
      <c r="F51" t="s">
        <v>1609</v>
      </c>
      <c r="I51">
        <v>21</v>
      </c>
      <c r="J51" t="s">
        <v>392</v>
      </c>
      <c r="K51">
        <v>262</v>
      </c>
      <c r="L51" t="s">
        <v>1</v>
      </c>
      <c r="M51" t="s">
        <v>0</v>
      </c>
      <c r="N51" t="s">
        <v>1266</v>
      </c>
      <c r="O51" t="s">
        <v>1266</v>
      </c>
      <c r="P51" t="s">
        <v>1266</v>
      </c>
      <c r="Q51" t="s">
        <v>1266</v>
      </c>
      <c r="R51" t="s">
        <v>1266</v>
      </c>
    </row>
    <row r="52" spans="1:18" x14ac:dyDescent="0.3">
      <c r="A52" t="s">
        <v>1505</v>
      </c>
      <c r="B52">
        <v>33</v>
      </c>
      <c r="C52" t="s">
        <v>0</v>
      </c>
      <c r="D52" t="s">
        <v>1505</v>
      </c>
      <c r="E52">
        <v>30</v>
      </c>
      <c r="F52" t="s">
        <v>1505</v>
      </c>
      <c r="I52">
        <v>6</v>
      </c>
      <c r="J52" t="s">
        <v>392</v>
      </c>
      <c r="K52">
        <v>263</v>
      </c>
      <c r="L52" t="s">
        <v>1</v>
      </c>
      <c r="M52" t="s">
        <v>0</v>
      </c>
      <c r="N52" t="s">
        <v>1266</v>
      </c>
      <c r="O52" t="s">
        <v>1266</v>
      </c>
      <c r="P52" t="s">
        <v>1266</v>
      </c>
      <c r="Q52" t="s">
        <v>1266</v>
      </c>
      <c r="R52" t="s">
        <v>1266</v>
      </c>
    </row>
    <row r="53" spans="1:18" x14ac:dyDescent="0.3">
      <c r="A53" t="s">
        <v>1594</v>
      </c>
      <c r="B53">
        <v>34</v>
      </c>
      <c r="C53" t="s">
        <v>0</v>
      </c>
      <c r="D53" t="s">
        <v>1594</v>
      </c>
      <c r="E53">
        <v>30</v>
      </c>
      <c r="F53" t="s">
        <v>1594</v>
      </c>
      <c r="I53">
        <v>16</v>
      </c>
      <c r="J53" t="s">
        <v>392</v>
      </c>
      <c r="K53">
        <v>264</v>
      </c>
      <c r="L53" t="s">
        <v>1</v>
      </c>
      <c r="M53" t="s">
        <v>0</v>
      </c>
      <c r="N53" t="s">
        <v>1266</v>
      </c>
      <c r="O53" t="s">
        <v>1266</v>
      </c>
      <c r="P53" t="s">
        <v>1266</v>
      </c>
      <c r="Q53" t="s">
        <v>1266</v>
      </c>
      <c r="R53" t="s">
        <v>1266</v>
      </c>
    </row>
    <row r="54" spans="1:18" x14ac:dyDescent="0.3">
      <c r="A54" t="s">
        <v>1490</v>
      </c>
      <c r="B54">
        <v>35</v>
      </c>
      <c r="C54" t="s">
        <v>0</v>
      </c>
      <c r="D54" t="s">
        <v>1490</v>
      </c>
      <c r="E54">
        <v>30</v>
      </c>
      <c r="F54" t="s">
        <v>1490</v>
      </c>
      <c r="I54">
        <v>16</v>
      </c>
      <c r="J54" t="s">
        <v>392</v>
      </c>
      <c r="K54">
        <v>265</v>
      </c>
      <c r="L54" t="s">
        <v>1</v>
      </c>
      <c r="M54" t="s">
        <v>0</v>
      </c>
      <c r="N54" t="s">
        <v>1266</v>
      </c>
      <c r="O54" t="s">
        <v>1266</v>
      </c>
      <c r="P54" t="s">
        <v>1266</v>
      </c>
      <c r="Q54" t="s">
        <v>1266</v>
      </c>
      <c r="R54" t="s">
        <v>1266</v>
      </c>
    </row>
    <row r="55" spans="1:18" x14ac:dyDescent="0.3">
      <c r="A55" t="s">
        <v>1660</v>
      </c>
      <c r="B55">
        <v>36</v>
      </c>
      <c r="C55" t="s">
        <v>0</v>
      </c>
      <c r="D55" t="s">
        <v>690</v>
      </c>
      <c r="E55">
        <v>30</v>
      </c>
      <c r="F55" t="s">
        <v>532</v>
      </c>
      <c r="I55">
        <v>5</v>
      </c>
      <c r="J55" t="s">
        <v>392</v>
      </c>
      <c r="K55">
        <v>266</v>
      </c>
      <c r="L55" t="s">
        <v>1</v>
      </c>
      <c r="M55" t="s">
        <v>0</v>
      </c>
      <c r="N55" t="s">
        <v>1266</v>
      </c>
      <c r="O55" t="s">
        <v>1266</v>
      </c>
      <c r="P55" t="s">
        <v>1266</v>
      </c>
      <c r="Q55" t="s">
        <v>1266</v>
      </c>
      <c r="R55" t="s">
        <v>1266</v>
      </c>
    </row>
    <row r="56" spans="1:18" x14ac:dyDescent="0.3">
      <c r="A56" t="s">
        <v>1478</v>
      </c>
      <c r="B56">
        <v>37</v>
      </c>
      <c r="C56" t="s">
        <v>0</v>
      </c>
      <c r="D56" t="s">
        <v>1478</v>
      </c>
      <c r="E56">
        <v>30</v>
      </c>
      <c r="F56" t="s">
        <v>1478</v>
      </c>
      <c r="I56">
        <v>6</v>
      </c>
      <c r="J56" t="s">
        <v>392</v>
      </c>
      <c r="K56">
        <v>267</v>
      </c>
      <c r="L56" t="s">
        <v>1</v>
      </c>
      <c r="M56" t="s">
        <v>0</v>
      </c>
      <c r="N56" t="s">
        <v>1266</v>
      </c>
      <c r="O56" t="s">
        <v>1266</v>
      </c>
      <c r="P56" t="s">
        <v>1266</v>
      </c>
      <c r="Q56" t="s">
        <v>1266</v>
      </c>
      <c r="R56" t="s">
        <v>1266</v>
      </c>
    </row>
    <row r="57" spans="1:18" x14ac:dyDescent="0.3">
      <c r="A57" t="s">
        <v>1541</v>
      </c>
      <c r="B57">
        <v>38</v>
      </c>
      <c r="C57" t="s">
        <v>0</v>
      </c>
      <c r="D57" t="s">
        <v>1541</v>
      </c>
      <c r="E57">
        <v>30</v>
      </c>
      <c r="F57" t="s">
        <v>1541</v>
      </c>
      <c r="I57">
        <v>16</v>
      </c>
      <c r="J57" t="s">
        <v>392</v>
      </c>
      <c r="K57">
        <v>268</v>
      </c>
      <c r="L57" t="s">
        <v>1</v>
      </c>
      <c r="M57" t="s">
        <v>0</v>
      </c>
      <c r="N57" t="s">
        <v>1266</v>
      </c>
      <c r="O57" t="s">
        <v>1266</v>
      </c>
      <c r="P57" t="s">
        <v>1266</v>
      </c>
      <c r="Q57" t="s">
        <v>1266</v>
      </c>
      <c r="R57" t="s">
        <v>1266</v>
      </c>
    </row>
    <row r="58" spans="1:18" x14ac:dyDescent="0.3">
      <c r="A58" t="s">
        <v>1411</v>
      </c>
      <c r="B58">
        <v>39</v>
      </c>
      <c r="C58" t="s">
        <v>0</v>
      </c>
      <c r="D58" t="s">
        <v>1411</v>
      </c>
      <c r="E58">
        <v>30</v>
      </c>
      <c r="F58" t="s">
        <v>1411</v>
      </c>
      <c r="I58">
        <v>16</v>
      </c>
      <c r="J58" t="s">
        <v>392</v>
      </c>
      <c r="K58">
        <v>269</v>
      </c>
      <c r="L58" t="s">
        <v>1</v>
      </c>
      <c r="M58" t="s">
        <v>0</v>
      </c>
      <c r="N58" t="s">
        <v>1266</v>
      </c>
      <c r="O58" t="s">
        <v>1266</v>
      </c>
      <c r="P58" t="s">
        <v>1266</v>
      </c>
      <c r="Q58" t="s">
        <v>1266</v>
      </c>
      <c r="R58" t="s">
        <v>1266</v>
      </c>
    </row>
    <row r="59" spans="1:18" x14ac:dyDescent="0.3">
      <c r="A59" t="s">
        <v>1529</v>
      </c>
      <c r="B59">
        <v>40</v>
      </c>
      <c r="C59" t="s">
        <v>0</v>
      </c>
      <c r="D59" t="s">
        <v>1529</v>
      </c>
      <c r="E59">
        <v>30</v>
      </c>
      <c r="F59" t="s">
        <v>1529</v>
      </c>
      <c r="I59">
        <v>21</v>
      </c>
      <c r="J59" t="s">
        <v>392</v>
      </c>
      <c r="K59">
        <v>270</v>
      </c>
      <c r="L59" t="s">
        <v>1</v>
      </c>
      <c r="M59" t="s">
        <v>0</v>
      </c>
      <c r="N59" t="s">
        <v>1266</v>
      </c>
      <c r="O59" t="s">
        <v>1266</v>
      </c>
      <c r="P59" t="s">
        <v>1266</v>
      </c>
      <c r="Q59" t="s">
        <v>1266</v>
      </c>
      <c r="R59" t="s">
        <v>1266</v>
      </c>
    </row>
    <row r="60" spans="1:18" x14ac:dyDescent="0.3">
      <c r="A60" t="s">
        <v>1397</v>
      </c>
      <c r="B60">
        <v>41</v>
      </c>
      <c r="C60" t="s">
        <v>0</v>
      </c>
      <c r="D60" t="s">
        <v>1397</v>
      </c>
      <c r="E60">
        <v>30</v>
      </c>
      <c r="F60" t="s">
        <v>1397</v>
      </c>
      <c r="I60">
        <v>6</v>
      </c>
      <c r="J60" t="s">
        <v>392</v>
      </c>
      <c r="K60">
        <v>271</v>
      </c>
      <c r="L60" t="s">
        <v>1</v>
      </c>
      <c r="M60" t="s">
        <v>0</v>
      </c>
      <c r="N60" t="s">
        <v>1266</v>
      </c>
      <c r="O60" t="s">
        <v>1266</v>
      </c>
      <c r="P60" t="s">
        <v>1266</v>
      </c>
      <c r="Q60" t="s">
        <v>1266</v>
      </c>
      <c r="R60" t="s">
        <v>1266</v>
      </c>
    </row>
    <row r="61" spans="1:18" x14ac:dyDescent="0.3">
      <c r="A61" t="s">
        <v>1611</v>
      </c>
      <c r="B61">
        <v>42</v>
      </c>
      <c r="C61" t="s">
        <v>0</v>
      </c>
      <c r="D61" t="s">
        <v>1611</v>
      </c>
      <c r="E61">
        <v>30</v>
      </c>
      <c r="F61" t="s">
        <v>1611</v>
      </c>
      <c r="I61">
        <v>16</v>
      </c>
      <c r="J61" t="s">
        <v>392</v>
      </c>
      <c r="K61">
        <v>272</v>
      </c>
      <c r="L61" t="s">
        <v>1</v>
      </c>
      <c r="M61" t="s">
        <v>0</v>
      </c>
      <c r="N61" t="s">
        <v>1266</v>
      </c>
      <c r="O61" t="s">
        <v>1266</v>
      </c>
      <c r="P61" t="s">
        <v>1266</v>
      </c>
      <c r="Q61" t="s">
        <v>1266</v>
      </c>
      <c r="R61" t="s">
        <v>1266</v>
      </c>
    </row>
    <row r="62" spans="1:18" x14ac:dyDescent="0.3">
      <c r="A62" t="s">
        <v>1519</v>
      </c>
      <c r="B62">
        <v>43</v>
      </c>
      <c r="C62" t="s">
        <v>0</v>
      </c>
      <c r="D62" t="s">
        <v>1519</v>
      </c>
      <c r="E62">
        <v>30</v>
      </c>
      <c r="F62" t="s">
        <v>1519</v>
      </c>
      <c r="I62">
        <v>16</v>
      </c>
      <c r="J62" t="s">
        <v>392</v>
      </c>
      <c r="K62">
        <v>273</v>
      </c>
      <c r="L62" t="s">
        <v>1</v>
      </c>
      <c r="M62" t="s">
        <v>0</v>
      </c>
      <c r="N62" t="s">
        <v>1266</v>
      </c>
      <c r="O62" t="s">
        <v>1266</v>
      </c>
      <c r="P62" t="s">
        <v>1266</v>
      </c>
      <c r="Q62" t="s">
        <v>1266</v>
      </c>
      <c r="R62" t="s">
        <v>1266</v>
      </c>
    </row>
    <row r="63" spans="1:18" x14ac:dyDescent="0.3">
      <c r="A63" t="s">
        <v>1380</v>
      </c>
      <c r="B63">
        <v>44</v>
      </c>
      <c r="C63" t="s">
        <v>0</v>
      </c>
      <c r="D63" t="s">
        <v>1380</v>
      </c>
      <c r="E63">
        <v>30</v>
      </c>
      <c r="F63" t="s">
        <v>1380</v>
      </c>
      <c r="I63">
        <v>16</v>
      </c>
      <c r="J63" t="s">
        <v>392</v>
      </c>
      <c r="K63">
        <v>274</v>
      </c>
      <c r="L63" t="s">
        <v>1</v>
      </c>
      <c r="M63" t="s">
        <v>0</v>
      </c>
      <c r="N63" t="s">
        <v>1266</v>
      </c>
      <c r="O63" t="s">
        <v>1266</v>
      </c>
      <c r="P63" t="s">
        <v>1266</v>
      </c>
      <c r="Q63" t="s">
        <v>1266</v>
      </c>
      <c r="R63" t="s">
        <v>1266</v>
      </c>
    </row>
    <row r="64" spans="1:18" x14ac:dyDescent="0.3">
      <c r="A64" t="s">
        <v>1460</v>
      </c>
      <c r="B64">
        <v>45</v>
      </c>
      <c r="C64" t="s">
        <v>0</v>
      </c>
      <c r="D64" t="s">
        <v>1460</v>
      </c>
      <c r="E64">
        <v>30</v>
      </c>
      <c r="F64" t="s">
        <v>1460</v>
      </c>
      <c r="I64">
        <v>16</v>
      </c>
      <c r="J64" t="s">
        <v>392</v>
      </c>
      <c r="K64">
        <v>282</v>
      </c>
      <c r="L64" t="s">
        <v>1</v>
      </c>
      <c r="M64" t="s">
        <v>0</v>
      </c>
      <c r="N64" t="s">
        <v>1266</v>
      </c>
      <c r="O64" t="s">
        <v>1266</v>
      </c>
      <c r="P64" t="s">
        <v>1266</v>
      </c>
      <c r="Q64" t="s">
        <v>1266</v>
      </c>
      <c r="R64" t="s">
        <v>1266</v>
      </c>
    </row>
    <row r="65" spans="1:18" x14ac:dyDescent="0.3">
      <c r="A65" t="s">
        <v>596</v>
      </c>
      <c r="B65">
        <v>46</v>
      </c>
      <c r="C65" t="s">
        <v>0</v>
      </c>
      <c r="D65" t="s">
        <v>596</v>
      </c>
      <c r="E65">
        <v>30</v>
      </c>
      <c r="F65" t="s">
        <v>595</v>
      </c>
      <c r="I65">
        <v>14</v>
      </c>
      <c r="J65" t="s">
        <v>392</v>
      </c>
      <c r="K65">
        <v>283</v>
      </c>
      <c r="L65" t="s">
        <v>1</v>
      </c>
      <c r="M65" t="s">
        <v>0</v>
      </c>
      <c r="N65" t="s">
        <v>1266</v>
      </c>
      <c r="O65" t="s">
        <v>1266</v>
      </c>
      <c r="P65" t="s">
        <v>1266</v>
      </c>
      <c r="Q65" t="s">
        <v>1266</v>
      </c>
      <c r="R65" t="s">
        <v>1266</v>
      </c>
    </row>
    <row r="66" spans="1:18" x14ac:dyDescent="0.3">
      <c r="A66" t="s">
        <v>625</v>
      </c>
      <c r="B66">
        <v>47</v>
      </c>
      <c r="C66" t="s">
        <v>0</v>
      </c>
      <c r="D66" t="s">
        <v>625</v>
      </c>
      <c r="E66">
        <v>30</v>
      </c>
      <c r="F66" t="s">
        <v>624</v>
      </c>
      <c r="I66">
        <v>14</v>
      </c>
      <c r="J66" t="s">
        <v>392</v>
      </c>
      <c r="K66">
        <v>284</v>
      </c>
      <c r="L66" t="s">
        <v>1</v>
      </c>
      <c r="M66" t="s">
        <v>0</v>
      </c>
      <c r="N66" t="s">
        <v>1266</v>
      </c>
      <c r="O66" t="s">
        <v>1266</v>
      </c>
      <c r="P66" t="s">
        <v>1266</v>
      </c>
      <c r="Q66" t="s">
        <v>1266</v>
      </c>
      <c r="R66" t="s">
        <v>1266</v>
      </c>
    </row>
    <row r="67" spans="1:18" x14ac:dyDescent="0.3">
      <c r="A67" t="s">
        <v>590</v>
      </c>
      <c r="B67">
        <v>48</v>
      </c>
      <c r="C67" t="s">
        <v>0</v>
      </c>
      <c r="D67" t="s">
        <v>590</v>
      </c>
      <c r="E67">
        <v>30</v>
      </c>
      <c r="F67" t="s">
        <v>589</v>
      </c>
      <c r="I67">
        <v>5</v>
      </c>
      <c r="J67" t="s">
        <v>392</v>
      </c>
      <c r="K67">
        <v>285</v>
      </c>
      <c r="L67" t="s">
        <v>1</v>
      </c>
      <c r="M67" t="s">
        <v>0</v>
      </c>
      <c r="N67" t="s">
        <v>1266</v>
      </c>
      <c r="O67" t="s">
        <v>1266</v>
      </c>
      <c r="P67" t="s">
        <v>1266</v>
      </c>
      <c r="Q67" t="s">
        <v>1266</v>
      </c>
      <c r="R67" t="s">
        <v>1266</v>
      </c>
    </row>
    <row r="68" spans="1:18" x14ac:dyDescent="0.3">
      <c r="A68" t="s">
        <v>617</v>
      </c>
      <c r="B68">
        <v>49</v>
      </c>
      <c r="C68" t="s">
        <v>0</v>
      </c>
      <c r="D68" t="s">
        <v>617</v>
      </c>
      <c r="E68">
        <v>30</v>
      </c>
      <c r="F68" t="s">
        <v>616</v>
      </c>
      <c r="I68">
        <v>14</v>
      </c>
      <c r="J68" t="s">
        <v>392</v>
      </c>
      <c r="K68">
        <v>286</v>
      </c>
      <c r="L68" t="s">
        <v>1</v>
      </c>
      <c r="M68" t="s">
        <v>0</v>
      </c>
      <c r="N68" t="s">
        <v>1266</v>
      </c>
      <c r="O68" t="s">
        <v>1266</v>
      </c>
      <c r="P68" t="s">
        <v>1266</v>
      </c>
      <c r="Q68" t="s">
        <v>1266</v>
      </c>
      <c r="R68" t="s">
        <v>1266</v>
      </c>
    </row>
    <row r="69" spans="1:18" x14ac:dyDescent="0.3">
      <c r="A69" t="s">
        <v>1647</v>
      </c>
      <c r="B69">
        <v>50</v>
      </c>
      <c r="C69" t="s">
        <v>0</v>
      </c>
      <c r="D69" t="s">
        <v>598</v>
      </c>
      <c r="E69">
        <v>30</v>
      </c>
      <c r="F69" t="s">
        <v>597</v>
      </c>
      <c r="I69">
        <v>14</v>
      </c>
      <c r="J69" t="s">
        <v>392</v>
      </c>
      <c r="K69">
        <v>287</v>
      </c>
      <c r="L69" t="s">
        <v>1</v>
      </c>
      <c r="M69" t="s">
        <v>0</v>
      </c>
      <c r="N69" t="s">
        <v>1266</v>
      </c>
      <c r="O69" t="s">
        <v>1266</v>
      </c>
      <c r="P69" t="s">
        <v>1266</v>
      </c>
      <c r="Q69" t="s">
        <v>1266</v>
      </c>
      <c r="R69" t="s">
        <v>1266</v>
      </c>
    </row>
    <row r="70" spans="1:18" x14ac:dyDescent="0.3">
      <c r="A70" t="s">
        <v>600</v>
      </c>
      <c r="B70">
        <v>51</v>
      </c>
      <c r="C70" t="s">
        <v>0</v>
      </c>
      <c r="D70" t="s">
        <v>600</v>
      </c>
      <c r="E70">
        <v>30</v>
      </c>
      <c r="F70" t="s">
        <v>599</v>
      </c>
      <c r="I70">
        <v>6</v>
      </c>
      <c r="J70" t="s">
        <v>392</v>
      </c>
      <c r="K70">
        <v>288</v>
      </c>
      <c r="L70" t="s">
        <v>1</v>
      </c>
      <c r="M70" t="s">
        <v>0</v>
      </c>
      <c r="N70" t="s">
        <v>1266</v>
      </c>
      <c r="O70" t="s">
        <v>1266</v>
      </c>
      <c r="P70" t="s">
        <v>1266</v>
      </c>
      <c r="Q70" t="s">
        <v>1266</v>
      </c>
      <c r="R70" t="s">
        <v>1266</v>
      </c>
    </row>
    <row r="71" spans="1:18" x14ac:dyDescent="0.3">
      <c r="A71" t="s">
        <v>592</v>
      </c>
      <c r="B71">
        <v>52</v>
      </c>
      <c r="C71" t="s">
        <v>0</v>
      </c>
      <c r="D71" t="s">
        <v>592</v>
      </c>
      <c r="E71">
        <v>30</v>
      </c>
      <c r="F71" t="s">
        <v>591</v>
      </c>
      <c r="I71">
        <v>9</v>
      </c>
      <c r="J71" t="s">
        <v>392</v>
      </c>
      <c r="K71">
        <v>289</v>
      </c>
      <c r="L71" t="s">
        <v>1</v>
      </c>
      <c r="M71" t="s">
        <v>0</v>
      </c>
      <c r="N71" t="s">
        <v>1266</v>
      </c>
      <c r="O71" t="s">
        <v>1266</v>
      </c>
      <c r="P71" t="s">
        <v>1266</v>
      </c>
      <c r="Q71" t="s">
        <v>1266</v>
      </c>
      <c r="R71" t="s">
        <v>1266</v>
      </c>
    </row>
    <row r="72" spans="1:18" x14ac:dyDescent="0.3">
      <c r="A72" t="s">
        <v>673</v>
      </c>
      <c r="B72">
        <v>53</v>
      </c>
      <c r="C72" t="s">
        <v>0</v>
      </c>
      <c r="D72" t="s">
        <v>673</v>
      </c>
      <c r="E72">
        <v>30</v>
      </c>
      <c r="F72" t="s">
        <v>672</v>
      </c>
      <c r="I72">
        <v>9</v>
      </c>
      <c r="J72" t="s">
        <v>392</v>
      </c>
      <c r="K72">
        <v>290</v>
      </c>
      <c r="L72" t="s">
        <v>1</v>
      </c>
      <c r="M72" t="s">
        <v>0</v>
      </c>
      <c r="N72" t="s">
        <v>1266</v>
      </c>
      <c r="O72" t="s">
        <v>1266</v>
      </c>
      <c r="P72" t="s">
        <v>1266</v>
      </c>
      <c r="Q72" t="s">
        <v>1266</v>
      </c>
      <c r="R72" t="s">
        <v>1266</v>
      </c>
    </row>
    <row r="73" spans="1:18" x14ac:dyDescent="0.3">
      <c r="A73" t="s">
        <v>671</v>
      </c>
      <c r="B73">
        <v>54</v>
      </c>
      <c r="C73" t="s">
        <v>0</v>
      </c>
      <c r="D73" t="s">
        <v>671</v>
      </c>
      <c r="E73">
        <v>30</v>
      </c>
      <c r="F73" t="s">
        <v>670</v>
      </c>
      <c r="I73">
        <v>14</v>
      </c>
      <c r="J73" t="s">
        <v>392</v>
      </c>
      <c r="K73">
        <v>291</v>
      </c>
      <c r="L73" t="s">
        <v>1</v>
      </c>
      <c r="M73" t="s">
        <v>0</v>
      </c>
      <c r="N73" t="s">
        <v>1266</v>
      </c>
      <c r="O73" t="s">
        <v>1266</v>
      </c>
      <c r="P73" t="s">
        <v>1266</v>
      </c>
      <c r="Q73" t="s">
        <v>1266</v>
      </c>
      <c r="R73" t="s">
        <v>1266</v>
      </c>
    </row>
    <row r="74" spans="1:18" x14ac:dyDescent="0.3">
      <c r="A74" t="s">
        <v>679</v>
      </c>
      <c r="B74">
        <v>55</v>
      </c>
      <c r="C74" t="s">
        <v>0</v>
      </c>
      <c r="D74" t="s">
        <v>679</v>
      </c>
      <c r="E74">
        <v>30</v>
      </c>
      <c r="F74" t="s">
        <v>678</v>
      </c>
      <c r="I74">
        <v>21</v>
      </c>
      <c r="J74" t="s">
        <v>392</v>
      </c>
      <c r="K74">
        <v>292</v>
      </c>
      <c r="L74" t="s">
        <v>1</v>
      </c>
      <c r="M74" t="s">
        <v>0</v>
      </c>
      <c r="N74" t="s">
        <v>1266</v>
      </c>
      <c r="O74" t="s">
        <v>1266</v>
      </c>
      <c r="P74" t="s">
        <v>1266</v>
      </c>
      <c r="Q74" t="s">
        <v>1266</v>
      </c>
      <c r="R74" t="s">
        <v>1266</v>
      </c>
    </row>
    <row r="75" spans="1:18" x14ac:dyDescent="0.3">
      <c r="A75" t="s">
        <v>677</v>
      </c>
      <c r="B75">
        <v>56</v>
      </c>
      <c r="C75" t="s">
        <v>0</v>
      </c>
      <c r="D75" t="s">
        <v>677</v>
      </c>
      <c r="E75">
        <v>30</v>
      </c>
      <c r="F75" t="s">
        <v>676</v>
      </c>
      <c r="I75">
        <v>21</v>
      </c>
      <c r="J75" t="s">
        <v>392</v>
      </c>
      <c r="K75">
        <v>293</v>
      </c>
      <c r="L75" t="s">
        <v>1</v>
      </c>
      <c r="M75" t="s">
        <v>0</v>
      </c>
      <c r="N75" t="s">
        <v>1266</v>
      </c>
      <c r="O75" t="s">
        <v>1266</v>
      </c>
      <c r="P75" t="s">
        <v>1266</v>
      </c>
      <c r="Q75" t="s">
        <v>1266</v>
      </c>
      <c r="R75" t="s">
        <v>1266</v>
      </c>
    </row>
    <row r="76" spans="1:18" x14ac:dyDescent="0.3">
      <c r="A76" t="s">
        <v>642</v>
      </c>
      <c r="B76">
        <v>57</v>
      </c>
      <c r="C76" t="s">
        <v>0</v>
      </c>
      <c r="D76" t="s">
        <v>642</v>
      </c>
      <c r="E76">
        <v>30</v>
      </c>
      <c r="F76" t="s">
        <v>641</v>
      </c>
      <c r="I76">
        <v>9</v>
      </c>
      <c r="J76" t="s">
        <v>392</v>
      </c>
      <c r="K76">
        <v>294</v>
      </c>
      <c r="L76" t="s">
        <v>1</v>
      </c>
      <c r="M76" t="s">
        <v>0</v>
      </c>
      <c r="N76" t="s">
        <v>1266</v>
      </c>
      <c r="O76" t="s">
        <v>1266</v>
      </c>
      <c r="P76" t="s">
        <v>1266</v>
      </c>
      <c r="Q76" t="s">
        <v>1266</v>
      </c>
      <c r="R76" t="s">
        <v>1266</v>
      </c>
    </row>
    <row r="77" spans="1:18" x14ac:dyDescent="0.3">
      <c r="A77" t="s">
        <v>675</v>
      </c>
      <c r="B77">
        <v>58</v>
      </c>
      <c r="C77" t="s">
        <v>0</v>
      </c>
      <c r="D77" t="s">
        <v>675</v>
      </c>
      <c r="E77">
        <v>30</v>
      </c>
      <c r="F77" t="s">
        <v>674</v>
      </c>
      <c r="I77">
        <v>9</v>
      </c>
      <c r="J77" t="s">
        <v>392</v>
      </c>
      <c r="K77">
        <v>295</v>
      </c>
      <c r="L77" t="s">
        <v>1</v>
      </c>
      <c r="M77" t="s">
        <v>0</v>
      </c>
      <c r="N77" t="s">
        <v>1266</v>
      </c>
      <c r="O77" t="s">
        <v>1266</v>
      </c>
      <c r="P77" t="s">
        <v>1266</v>
      </c>
      <c r="Q77" t="s">
        <v>1266</v>
      </c>
      <c r="R77" t="s">
        <v>1266</v>
      </c>
    </row>
    <row r="78" spans="1:18" x14ac:dyDescent="0.3">
      <c r="A78" t="s">
        <v>646</v>
      </c>
      <c r="B78">
        <v>59</v>
      </c>
      <c r="C78" t="s">
        <v>0</v>
      </c>
      <c r="D78" t="s">
        <v>646</v>
      </c>
      <c r="E78">
        <v>30</v>
      </c>
      <c r="F78" t="s">
        <v>645</v>
      </c>
      <c r="I78">
        <v>14</v>
      </c>
      <c r="J78" t="s">
        <v>392</v>
      </c>
      <c r="K78">
        <v>296</v>
      </c>
      <c r="L78" t="s">
        <v>1</v>
      </c>
      <c r="M78" t="s">
        <v>0</v>
      </c>
      <c r="N78" t="s">
        <v>1266</v>
      </c>
      <c r="O78" t="s">
        <v>1266</v>
      </c>
      <c r="P78" t="s">
        <v>1266</v>
      </c>
      <c r="Q78" t="s">
        <v>1266</v>
      </c>
      <c r="R78" t="s">
        <v>1266</v>
      </c>
    </row>
    <row r="79" spans="1:18" x14ac:dyDescent="0.3">
      <c r="A79" t="s">
        <v>644</v>
      </c>
      <c r="B79">
        <v>60</v>
      </c>
      <c r="C79" t="s">
        <v>0</v>
      </c>
      <c r="D79" t="s">
        <v>644</v>
      </c>
      <c r="E79">
        <v>30</v>
      </c>
      <c r="F79" t="s">
        <v>643</v>
      </c>
      <c r="I79">
        <v>9</v>
      </c>
      <c r="J79" t="s">
        <v>392</v>
      </c>
      <c r="K79">
        <v>305</v>
      </c>
      <c r="L79" t="s">
        <v>1</v>
      </c>
      <c r="M79" t="s">
        <v>0</v>
      </c>
      <c r="N79" t="s">
        <v>1266</v>
      </c>
      <c r="O79" t="s">
        <v>1266</v>
      </c>
      <c r="P79" t="s">
        <v>1266</v>
      </c>
      <c r="Q79" t="s">
        <v>1266</v>
      </c>
      <c r="R79" t="s">
        <v>1266</v>
      </c>
    </row>
    <row r="80" spans="1:18" x14ac:dyDescent="0.3">
      <c r="A80" t="s">
        <v>602</v>
      </c>
      <c r="B80">
        <v>61</v>
      </c>
      <c r="C80" t="s">
        <v>0</v>
      </c>
      <c r="D80" t="s">
        <v>602</v>
      </c>
      <c r="E80">
        <v>30</v>
      </c>
      <c r="F80" t="s">
        <v>601</v>
      </c>
      <c r="I80">
        <v>1</v>
      </c>
      <c r="J80" t="s">
        <v>392</v>
      </c>
      <c r="K80">
        <v>306</v>
      </c>
      <c r="L80" t="s">
        <v>1</v>
      </c>
      <c r="M80" t="s">
        <v>0</v>
      </c>
      <c r="N80" t="s">
        <v>1266</v>
      </c>
      <c r="O80" t="s">
        <v>1266</v>
      </c>
      <c r="P80" t="s">
        <v>1266</v>
      </c>
      <c r="Q80" t="s">
        <v>1266</v>
      </c>
      <c r="R80" t="s">
        <v>1266</v>
      </c>
    </row>
    <row r="81" spans="1:18" x14ac:dyDescent="0.3">
      <c r="A81" t="s">
        <v>604</v>
      </c>
      <c r="B81">
        <v>62</v>
      </c>
      <c r="C81" t="s">
        <v>0</v>
      </c>
      <c r="D81" t="s">
        <v>604</v>
      </c>
      <c r="E81">
        <v>30</v>
      </c>
      <c r="F81" t="s">
        <v>603</v>
      </c>
      <c r="I81">
        <v>21</v>
      </c>
      <c r="J81" t="s">
        <v>392</v>
      </c>
      <c r="K81">
        <v>307</v>
      </c>
      <c r="L81" t="s">
        <v>1</v>
      </c>
      <c r="M81" t="s">
        <v>0</v>
      </c>
      <c r="N81" t="s">
        <v>1266</v>
      </c>
      <c r="O81" t="s">
        <v>1266</v>
      </c>
      <c r="P81" t="s">
        <v>1266</v>
      </c>
      <c r="Q81" t="s">
        <v>1266</v>
      </c>
      <c r="R81" t="s">
        <v>1266</v>
      </c>
    </row>
    <row r="82" spans="1:18" x14ac:dyDescent="0.3">
      <c r="A82" t="s">
        <v>1643</v>
      </c>
      <c r="B82">
        <v>63</v>
      </c>
      <c r="C82" t="s">
        <v>0</v>
      </c>
      <c r="D82" t="s">
        <v>629</v>
      </c>
      <c r="E82">
        <v>30</v>
      </c>
      <c r="F82" t="s">
        <v>628</v>
      </c>
      <c r="I82">
        <v>14</v>
      </c>
      <c r="J82" t="s">
        <v>392</v>
      </c>
      <c r="K82">
        <v>308</v>
      </c>
      <c r="L82" t="s">
        <v>1</v>
      </c>
      <c r="M82" t="s">
        <v>0</v>
      </c>
      <c r="N82" t="s">
        <v>1266</v>
      </c>
      <c r="O82" t="s">
        <v>1266</v>
      </c>
      <c r="P82" t="s">
        <v>1266</v>
      </c>
      <c r="Q82" t="s">
        <v>1266</v>
      </c>
      <c r="R82" t="s">
        <v>1266</v>
      </c>
    </row>
    <row r="83" spans="1:18" x14ac:dyDescent="0.3">
      <c r="A83" t="s">
        <v>1617</v>
      </c>
      <c r="B83">
        <v>64</v>
      </c>
      <c r="C83" t="s">
        <v>0</v>
      </c>
      <c r="D83" t="s">
        <v>1617</v>
      </c>
      <c r="E83">
        <v>30</v>
      </c>
      <c r="F83" t="s">
        <v>1617</v>
      </c>
      <c r="I83">
        <v>21</v>
      </c>
      <c r="J83" t="s">
        <v>392</v>
      </c>
      <c r="K83">
        <v>309</v>
      </c>
      <c r="L83" t="s">
        <v>1</v>
      </c>
      <c r="M83" t="s">
        <v>0</v>
      </c>
      <c r="N83" t="s">
        <v>1266</v>
      </c>
      <c r="O83" t="s">
        <v>1266</v>
      </c>
      <c r="P83" t="s">
        <v>1266</v>
      </c>
      <c r="Q83" t="s">
        <v>1266</v>
      </c>
      <c r="R83" t="s">
        <v>1266</v>
      </c>
    </row>
    <row r="84" spans="1:18" x14ac:dyDescent="0.3">
      <c r="A84" t="s">
        <v>631</v>
      </c>
      <c r="B84">
        <v>65</v>
      </c>
      <c r="C84" t="s">
        <v>0</v>
      </c>
      <c r="D84" t="s">
        <v>631</v>
      </c>
      <c r="E84">
        <v>30</v>
      </c>
      <c r="F84" t="s">
        <v>630</v>
      </c>
      <c r="I84">
        <v>9</v>
      </c>
      <c r="J84" t="s">
        <v>392</v>
      </c>
      <c r="K84">
        <v>310</v>
      </c>
      <c r="L84" t="s">
        <v>1</v>
      </c>
      <c r="M84" t="s">
        <v>0</v>
      </c>
      <c r="N84" t="s">
        <v>1266</v>
      </c>
      <c r="O84" t="s">
        <v>1266</v>
      </c>
      <c r="P84" t="s">
        <v>1266</v>
      </c>
      <c r="Q84" t="s">
        <v>1266</v>
      </c>
      <c r="R84" t="s">
        <v>1266</v>
      </c>
    </row>
    <row r="85" spans="1:18" x14ac:dyDescent="0.3">
      <c r="A85" t="s">
        <v>669</v>
      </c>
      <c r="B85">
        <v>66</v>
      </c>
      <c r="C85" t="s">
        <v>0</v>
      </c>
      <c r="D85" t="s">
        <v>669</v>
      </c>
      <c r="E85">
        <v>30</v>
      </c>
      <c r="F85" t="s">
        <v>668</v>
      </c>
      <c r="I85">
        <v>6</v>
      </c>
      <c r="J85" t="s">
        <v>392</v>
      </c>
      <c r="K85">
        <v>311</v>
      </c>
      <c r="L85" t="s">
        <v>1</v>
      </c>
      <c r="M85" t="s">
        <v>0</v>
      </c>
      <c r="N85" t="s">
        <v>1266</v>
      </c>
      <c r="O85" t="s">
        <v>1266</v>
      </c>
      <c r="P85" t="s">
        <v>1266</v>
      </c>
      <c r="Q85" t="s">
        <v>1266</v>
      </c>
      <c r="R85" t="s">
        <v>1266</v>
      </c>
    </row>
    <row r="86" spans="1:18" x14ac:dyDescent="0.3">
      <c r="A86" t="s">
        <v>1493</v>
      </c>
      <c r="B86">
        <v>67</v>
      </c>
      <c r="C86" t="s">
        <v>0</v>
      </c>
      <c r="D86" t="s">
        <v>1493</v>
      </c>
      <c r="E86">
        <v>30</v>
      </c>
      <c r="F86" t="s">
        <v>1493</v>
      </c>
      <c r="I86">
        <v>16</v>
      </c>
      <c r="J86" t="s">
        <v>392</v>
      </c>
      <c r="K86">
        <v>312</v>
      </c>
      <c r="L86" t="s">
        <v>1</v>
      </c>
      <c r="M86" t="s">
        <v>0</v>
      </c>
      <c r="N86" t="s">
        <v>1266</v>
      </c>
      <c r="O86" t="s">
        <v>1266</v>
      </c>
      <c r="P86" t="s">
        <v>1266</v>
      </c>
      <c r="Q86" t="s">
        <v>1266</v>
      </c>
      <c r="R86" t="s">
        <v>1266</v>
      </c>
    </row>
    <row r="87" spans="1:18" x14ac:dyDescent="0.3">
      <c r="A87" t="s">
        <v>1440</v>
      </c>
      <c r="B87">
        <v>68</v>
      </c>
      <c r="C87" t="s">
        <v>0</v>
      </c>
      <c r="D87" t="s">
        <v>1440</v>
      </c>
      <c r="E87">
        <v>30</v>
      </c>
      <c r="F87" t="s">
        <v>1440</v>
      </c>
      <c r="I87">
        <v>6</v>
      </c>
      <c r="J87" t="s">
        <v>392</v>
      </c>
      <c r="K87">
        <v>313</v>
      </c>
      <c r="L87" t="s">
        <v>1</v>
      </c>
      <c r="M87" t="s">
        <v>0</v>
      </c>
      <c r="N87" t="s">
        <v>1266</v>
      </c>
      <c r="O87" t="s">
        <v>1266</v>
      </c>
      <c r="P87" t="s">
        <v>1266</v>
      </c>
      <c r="Q87" t="s">
        <v>1266</v>
      </c>
      <c r="R87" t="s">
        <v>1266</v>
      </c>
    </row>
    <row r="88" spans="1:18" x14ac:dyDescent="0.3">
      <c r="A88" t="s">
        <v>1555</v>
      </c>
      <c r="B88">
        <v>69</v>
      </c>
      <c r="C88" t="s">
        <v>0</v>
      </c>
      <c r="D88" t="s">
        <v>1555</v>
      </c>
      <c r="E88">
        <v>30</v>
      </c>
      <c r="F88" t="s">
        <v>1555</v>
      </c>
      <c r="I88">
        <v>16</v>
      </c>
      <c r="J88" t="s">
        <v>392</v>
      </c>
      <c r="K88">
        <v>314</v>
      </c>
      <c r="L88" t="s">
        <v>1</v>
      </c>
      <c r="M88" t="s">
        <v>0</v>
      </c>
      <c r="N88" t="s">
        <v>1266</v>
      </c>
      <c r="O88" t="s">
        <v>1266</v>
      </c>
      <c r="P88" t="s">
        <v>1266</v>
      </c>
      <c r="Q88" t="s">
        <v>1266</v>
      </c>
      <c r="R88" t="s">
        <v>1266</v>
      </c>
    </row>
    <row r="89" spans="1:18" x14ac:dyDescent="0.3">
      <c r="A89" t="s">
        <v>1429</v>
      </c>
      <c r="B89">
        <v>70</v>
      </c>
      <c r="C89" t="s">
        <v>0</v>
      </c>
      <c r="D89" t="s">
        <v>1429</v>
      </c>
      <c r="E89">
        <v>30</v>
      </c>
      <c r="F89" t="s">
        <v>1429</v>
      </c>
      <c r="I89">
        <v>16</v>
      </c>
      <c r="J89" t="s">
        <v>392</v>
      </c>
      <c r="K89">
        <v>315</v>
      </c>
      <c r="L89" t="s">
        <v>1</v>
      </c>
      <c r="M89" t="s">
        <v>0</v>
      </c>
      <c r="N89" t="s">
        <v>1266</v>
      </c>
      <c r="O89" t="s">
        <v>1266</v>
      </c>
      <c r="P89" t="s">
        <v>1266</v>
      </c>
      <c r="Q89" t="s">
        <v>1266</v>
      </c>
      <c r="R89" t="s">
        <v>1266</v>
      </c>
    </row>
    <row r="90" spans="1:18" x14ac:dyDescent="0.3">
      <c r="A90" t="s">
        <v>1545</v>
      </c>
      <c r="B90">
        <v>71</v>
      </c>
      <c r="C90" t="s">
        <v>0</v>
      </c>
      <c r="D90" t="s">
        <v>1545</v>
      </c>
      <c r="E90">
        <v>30</v>
      </c>
      <c r="F90" t="s">
        <v>1545</v>
      </c>
      <c r="I90">
        <v>6</v>
      </c>
      <c r="J90" t="s">
        <v>392</v>
      </c>
      <c r="K90">
        <v>316</v>
      </c>
      <c r="L90" t="s">
        <v>1</v>
      </c>
      <c r="M90" t="s">
        <v>0</v>
      </c>
      <c r="N90" t="s">
        <v>1266</v>
      </c>
      <c r="O90" t="s">
        <v>1266</v>
      </c>
      <c r="P90" t="s">
        <v>1266</v>
      </c>
      <c r="Q90" t="s">
        <v>1266</v>
      </c>
      <c r="R90" t="s">
        <v>1266</v>
      </c>
    </row>
    <row r="91" spans="1:18" x14ac:dyDescent="0.3">
      <c r="A91" t="s">
        <v>1414</v>
      </c>
      <c r="B91">
        <v>72</v>
      </c>
      <c r="C91" t="s">
        <v>0</v>
      </c>
      <c r="D91" t="s">
        <v>1414</v>
      </c>
      <c r="E91">
        <v>30</v>
      </c>
      <c r="F91" t="s">
        <v>1414</v>
      </c>
      <c r="I91">
        <v>16</v>
      </c>
      <c r="J91" t="s">
        <v>392</v>
      </c>
      <c r="K91">
        <v>317</v>
      </c>
      <c r="L91" t="s">
        <v>1</v>
      </c>
      <c r="M91" t="s">
        <v>0</v>
      </c>
      <c r="N91" t="s">
        <v>1266</v>
      </c>
      <c r="O91" t="s">
        <v>1266</v>
      </c>
      <c r="P91" t="s">
        <v>1266</v>
      </c>
      <c r="Q91" t="s">
        <v>1266</v>
      </c>
      <c r="R91" t="s">
        <v>1266</v>
      </c>
    </row>
    <row r="92" spans="1:18" x14ac:dyDescent="0.3">
      <c r="A92" t="s">
        <v>1532</v>
      </c>
      <c r="B92">
        <v>73</v>
      </c>
      <c r="C92" t="s">
        <v>0</v>
      </c>
      <c r="D92" t="s">
        <v>1532</v>
      </c>
      <c r="E92">
        <v>30</v>
      </c>
      <c r="F92" t="s">
        <v>1532</v>
      </c>
      <c r="I92">
        <v>21</v>
      </c>
      <c r="J92" t="s">
        <v>392</v>
      </c>
      <c r="K92">
        <v>318</v>
      </c>
      <c r="L92" t="s">
        <v>1</v>
      </c>
      <c r="M92" t="s">
        <v>0</v>
      </c>
      <c r="N92" t="s">
        <v>1266</v>
      </c>
      <c r="O92" t="s">
        <v>1266</v>
      </c>
      <c r="P92" t="s">
        <v>1266</v>
      </c>
      <c r="Q92" t="s">
        <v>1266</v>
      </c>
      <c r="R92" t="s">
        <v>1266</v>
      </c>
    </row>
    <row r="93" spans="1:18" x14ac:dyDescent="0.3">
      <c r="A93" t="s">
        <v>1396</v>
      </c>
      <c r="B93">
        <v>74</v>
      </c>
      <c r="C93" t="s">
        <v>0</v>
      </c>
      <c r="D93" t="s">
        <v>1396</v>
      </c>
      <c r="E93">
        <v>30</v>
      </c>
      <c r="F93" t="s">
        <v>1396</v>
      </c>
      <c r="I93">
        <v>16</v>
      </c>
      <c r="J93" t="s">
        <v>392</v>
      </c>
      <c r="K93">
        <v>319</v>
      </c>
      <c r="L93" t="s">
        <v>1</v>
      </c>
      <c r="M93" t="s">
        <v>0</v>
      </c>
      <c r="N93" t="s">
        <v>1266</v>
      </c>
      <c r="O93" t="s">
        <v>1266</v>
      </c>
      <c r="P93" t="s">
        <v>1266</v>
      </c>
      <c r="Q93" t="s">
        <v>1266</v>
      </c>
      <c r="R93" t="s">
        <v>1266</v>
      </c>
    </row>
    <row r="94" spans="1:18" x14ac:dyDescent="0.3">
      <c r="A94" t="s">
        <v>1637</v>
      </c>
      <c r="B94">
        <v>75</v>
      </c>
      <c r="C94" t="s">
        <v>0</v>
      </c>
      <c r="D94" t="s">
        <v>665</v>
      </c>
      <c r="E94">
        <v>30</v>
      </c>
      <c r="F94" t="s">
        <v>555</v>
      </c>
      <c r="I94">
        <v>5</v>
      </c>
      <c r="J94" t="s">
        <v>392</v>
      </c>
      <c r="K94">
        <v>320</v>
      </c>
      <c r="L94" t="s">
        <v>1</v>
      </c>
      <c r="M94" t="s">
        <v>0</v>
      </c>
      <c r="N94" t="s">
        <v>1266</v>
      </c>
      <c r="O94" t="s">
        <v>1266</v>
      </c>
      <c r="P94" t="s">
        <v>1266</v>
      </c>
      <c r="Q94" t="s">
        <v>1266</v>
      </c>
      <c r="R94" t="s">
        <v>1266</v>
      </c>
    </row>
    <row r="95" spans="1:18" x14ac:dyDescent="0.3">
      <c r="A95" t="s">
        <v>649</v>
      </c>
      <c r="B95">
        <v>76</v>
      </c>
      <c r="C95" t="s">
        <v>0</v>
      </c>
      <c r="D95" t="s">
        <v>649</v>
      </c>
      <c r="E95">
        <v>30</v>
      </c>
      <c r="F95" t="s">
        <v>648</v>
      </c>
      <c r="I95">
        <v>16</v>
      </c>
      <c r="J95" t="s">
        <v>392</v>
      </c>
      <c r="K95">
        <v>321</v>
      </c>
      <c r="L95" t="s">
        <v>1</v>
      </c>
      <c r="M95" t="s">
        <v>0</v>
      </c>
      <c r="N95" t="s">
        <v>1266</v>
      </c>
      <c r="O95" t="s">
        <v>1266</v>
      </c>
      <c r="P95" t="s">
        <v>1266</v>
      </c>
      <c r="Q95" t="s">
        <v>1266</v>
      </c>
      <c r="R95" t="s">
        <v>1266</v>
      </c>
    </row>
    <row r="96" spans="1:18" x14ac:dyDescent="0.3">
      <c r="A96" t="s">
        <v>1464</v>
      </c>
      <c r="B96">
        <v>77</v>
      </c>
      <c r="C96" t="s">
        <v>0</v>
      </c>
      <c r="D96" t="s">
        <v>1464</v>
      </c>
      <c r="E96">
        <v>30</v>
      </c>
      <c r="F96" t="s">
        <v>1464</v>
      </c>
      <c r="I96">
        <v>5</v>
      </c>
      <c r="J96" t="s">
        <v>392</v>
      </c>
      <c r="K96">
        <v>322</v>
      </c>
      <c r="L96" t="s">
        <v>1</v>
      </c>
      <c r="M96" t="s">
        <v>0</v>
      </c>
      <c r="N96" t="s">
        <v>1266</v>
      </c>
      <c r="O96" t="s">
        <v>1266</v>
      </c>
      <c r="P96" t="s">
        <v>1266</v>
      </c>
      <c r="Q96" t="s">
        <v>1266</v>
      </c>
      <c r="R96" t="s">
        <v>1266</v>
      </c>
    </row>
    <row r="97" spans="1:18" x14ac:dyDescent="0.3">
      <c r="A97" t="s">
        <v>606</v>
      </c>
      <c r="B97">
        <v>78</v>
      </c>
      <c r="C97" t="s">
        <v>0</v>
      </c>
      <c r="D97" t="s">
        <v>606</v>
      </c>
      <c r="E97">
        <v>30</v>
      </c>
      <c r="F97" t="s">
        <v>605</v>
      </c>
      <c r="I97">
        <v>16</v>
      </c>
      <c r="J97" t="s">
        <v>392</v>
      </c>
      <c r="K97">
        <v>323</v>
      </c>
      <c r="L97" t="s">
        <v>1</v>
      </c>
      <c r="M97" t="s">
        <v>0</v>
      </c>
      <c r="N97" t="s">
        <v>1266</v>
      </c>
      <c r="O97" t="s">
        <v>1266</v>
      </c>
      <c r="P97" t="s">
        <v>1266</v>
      </c>
      <c r="Q97" t="s">
        <v>1266</v>
      </c>
      <c r="R97" t="s">
        <v>1266</v>
      </c>
    </row>
    <row r="98" spans="1:18" x14ac:dyDescent="0.3">
      <c r="A98" t="s">
        <v>439</v>
      </c>
      <c r="B98">
        <v>79</v>
      </c>
      <c r="C98" t="s">
        <v>1</v>
      </c>
      <c r="D98" t="s">
        <v>439</v>
      </c>
      <c r="E98">
        <v>30</v>
      </c>
      <c r="F98" t="s">
        <v>438</v>
      </c>
      <c r="I98">
        <v>12</v>
      </c>
      <c r="J98" t="s">
        <v>392</v>
      </c>
      <c r="K98">
        <v>324</v>
      </c>
      <c r="L98" t="s">
        <v>1</v>
      </c>
      <c r="M98" t="s">
        <v>0</v>
      </c>
      <c r="N98" t="s">
        <v>1266</v>
      </c>
      <c r="O98" t="s">
        <v>1266</v>
      </c>
      <c r="P98" t="s">
        <v>1266</v>
      </c>
      <c r="Q98" t="s">
        <v>1266</v>
      </c>
      <c r="R98" t="s">
        <v>1266</v>
      </c>
    </row>
    <row r="99" spans="1:18" x14ac:dyDescent="0.3">
      <c r="A99" t="s">
        <v>441</v>
      </c>
      <c r="B99">
        <v>80</v>
      </c>
      <c r="C99" t="s">
        <v>1</v>
      </c>
      <c r="D99" t="s">
        <v>441</v>
      </c>
      <c r="E99">
        <v>30</v>
      </c>
      <c r="F99" t="s">
        <v>440</v>
      </c>
      <c r="I99">
        <v>12</v>
      </c>
      <c r="J99" t="s">
        <v>392</v>
      </c>
      <c r="K99">
        <v>325</v>
      </c>
      <c r="L99" t="s">
        <v>1</v>
      </c>
      <c r="M99" t="s">
        <v>0</v>
      </c>
      <c r="N99" t="s">
        <v>1266</v>
      </c>
      <c r="O99" t="s">
        <v>1266</v>
      </c>
      <c r="P99" t="s">
        <v>1266</v>
      </c>
      <c r="Q99" t="s">
        <v>1266</v>
      </c>
      <c r="R99" t="s">
        <v>1266</v>
      </c>
    </row>
    <row r="100" spans="1:18" x14ac:dyDescent="0.3">
      <c r="A100" t="s">
        <v>430</v>
      </c>
      <c r="B100">
        <v>81</v>
      </c>
      <c r="C100" t="s">
        <v>1</v>
      </c>
      <c r="D100" t="s">
        <v>430</v>
      </c>
      <c r="E100">
        <v>30</v>
      </c>
      <c r="F100" t="s">
        <v>429</v>
      </c>
      <c r="I100">
        <v>12</v>
      </c>
      <c r="J100" t="s">
        <v>392</v>
      </c>
      <c r="K100">
        <v>326</v>
      </c>
      <c r="L100" t="s">
        <v>1</v>
      </c>
      <c r="M100" t="s">
        <v>0</v>
      </c>
      <c r="N100" t="s">
        <v>1266</v>
      </c>
      <c r="O100" t="s">
        <v>1266</v>
      </c>
      <c r="P100" t="s">
        <v>1266</v>
      </c>
      <c r="Q100" t="s">
        <v>1266</v>
      </c>
      <c r="R100" t="s">
        <v>1266</v>
      </c>
    </row>
    <row r="101" spans="1:18" x14ac:dyDescent="0.3">
      <c r="A101" t="s">
        <v>498</v>
      </c>
      <c r="B101">
        <v>82</v>
      </c>
      <c r="C101" t="s">
        <v>1</v>
      </c>
      <c r="D101" t="s">
        <v>498</v>
      </c>
      <c r="E101">
        <v>30</v>
      </c>
      <c r="F101" t="s">
        <v>498</v>
      </c>
      <c r="I101">
        <v>5</v>
      </c>
      <c r="J101" t="s">
        <v>392</v>
      </c>
      <c r="K101">
        <v>327</v>
      </c>
      <c r="L101" t="s">
        <v>1</v>
      </c>
      <c r="M101" t="s">
        <v>0</v>
      </c>
      <c r="N101" t="s">
        <v>1266</v>
      </c>
      <c r="O101" t="s">
        <v>1266</v>
      </c>
      <c r="P101" t="s">
        <v>1266</v>
      </c>
      <c r="Q101" t="s">
        <v>1266</v>
      </c>
      <c r="R101" t="s">
        <v>1266</v>
      </c>
    </row>
    <row r="102" spans="1:18" x14ac:dyDescent="0.3">
      <c r="A102" t="s">
        <v>1642</v>
      </c>
      <c r="B102">
        <v>83</v>
      </c>
      <c r="C102" t="s">
        <v>0</v>
      </c>
      <c r="D102" t="s">
        <v>608</v>
      </c>
      <c r="E102">
        <v>30</v>
      </c>
      <c r="F102" t="s">
        <v>607</v>
      </c>
      <c r="I102">
        <v>5</v>
      </c>
      <c r="J102" t="s">
        <v>392</v>
      </c>
      <c r="K102">
        <v>328</v>
      </c>
      <c r="L102" t="s">
        <v>1</v>
      </c>
      <c r="M102" t="s">
        <v>0</v>
      </c>
      <c r="N102" t="s">
        <v>1266</v>
      </c>
      <c r="O102" t="s">
        <v>1266</v>
      </c>
      <c r="P102" t="s">
        <v>1266</v>
      </c>
      <c r="Q102" t="s">
        <v>1266</v>
      </c>
      <c r="R102" t="s">
        <v>1266</v>
      </c>
    </row>
    <row r="103" spans="1:18" x14ac:dyDescent="0.3">
      <c r="A103" t="s">
        <v>1544</v>
      </c>
      <c r="B103">
        <v>84</v>
      </c>
      <c r="C103" t="s">
        <v>0</v>
      </c>
      <c r="D103" t="s">
        <v>1544</v>
      </c>
      <c r="E103">
        <v>30</v>
      </c>
      <c r="F103" t="s">
        <v>1544</v>
      </c>
      <c r="I103">
        <v>5</v>
      </c>
      <c r="J103" t="s">
        <v>392</v>
      </c>
      <c r="K103">
        <v>329</v>
      </c>
      <c r="L103" t="s">
        <v>1</v>
      </c>
      <c r="M103" t="s">
        <v>0</v>
      </c>
      <c r="N103" t="s">
        <v>1266</v>
      </c>
      <c r="O103" t="s">
        <v>1266</v>
      </c>
      <c r="P103" t="s">
        <v>1266</v>
      </c>
      <c r="Q103" t="s">
        <v>1266</v>
      </c>
      <c r="R103" t="s">
        <v>1266</v>
      </c>
    </row>
    <row r="104" spans="1:18" x14ac:dyDescent="0.3">
      <c r="A104" t="s">
        <v>610</v>
      </c>
      <c r="B104">
        <v>85</v>
      </c>
      <c r="C104" t="s">
        <v>0</v>
      </c>
      <c r="D104" t="s">
        <v>610</v>
      </c>
      <c r="E104">
        <v>30</v>
      </c>
      <c r="F104" t="s">
        <v>609</v>
      </c>
      <c r="I104">
        <v>19</v>
      </c>
      <c r="J104" t="s">
        <v>392</v>
      </c>
      <c r="K104">
        <v>330</v>
      </c>
      <c r="L104" t="s">
        <v>1</v>
      </c>
      <c r="M104" t="s">
        <v>0</v>
      </c>
      <c r="N104" t="s">
        <v>1266</v>
      </c>
      <c r="O104" t="s">
        <v>1266</v>
      </c>
      <c r="P104" t="s">
        <v>1266</v>
      </c>
      <c r="Q104" t="s">
        <v>1266</v>
      </c>
      <c r="R104" t="s">
        <v>1266</v>
      </c>
    </row>
    <row r="105" spans="1:18" x14ac:dyDescent="0.3">
      <c r="A105" t="s">
        <v>548</v>
      </c>
      <c r="B105">
        <v>86</v>
      </c>
      <c r="C105" t="s">
        <v>0</v>
      </c>
      <c r="D105" t="s">
        <v>548</v>
      </c>
      <c r="E105">
        <v>30</v>
      </c>
      <c r="F105" t="s">
        <v>547</v>
      </c>
      <c r="I105">
        <v>5</v>
      </c>
      <c r="J105" t="s">
        <v>392</v>
      </c>
      <c r="K105">
        <v>331</v>
      </c>
      <c r="L105" t="s">
        <v>1</v>
      </c>
      <c r="M105" t="s">
        <v>0</v>
      </c>
      <c r="N105" t="s">
        <v>1266</v>
      </c>
      <c r="O105" t="s">
        <v>1266</v>
      </c>
      <c r="P105" t="s">
        <v>1266</v>
      </c>
      <c r="Q105" t="s">
        <v>1266</v>
      </c>
      <c r="R105" t="s">
        <v>1266</v>
      </c>
    </row>
    <row r="106" spans="1:18" x14ac:dyDescent="0.3">
      <c r="A106" t="s">
        <v>623</v>
      </c>
      <c r="B106">
        <v>87</v>
      </c>
      <c r="C106" t="s">
        <v>0</v>
      </c>
      <c r="D106" t="s">
        <v>623</v>
      </c>
      <c r="E106">
        <v>30</v>
      </c>
      <c r="F106" t="s">
        <v>622</v>
      </c>
      <c r="I106">
        <v>16</v>
      </c>
      <c r="J106" t="s">
        <v>392</v>
      </c>
      <c r="K106">
        <v>332</v>
      </c>
      <c r="L106" t="s">
        <v>1</v>
      </c>
      <c r="M106" t="s">
        <v>0</v>
      </c>
      <c r="N106" t="s">
        <v>1266</v>
      </c>
      <c r="O106" t="s">
        <v>1266</v>
      </c>
      <c r="P106" t="s">
        <v>1266</v>
      </c>
      <c r="Q106" t="s">
        <v>1266</v>
      </c>
      <c r="R106" t="s">
        <v>1266</v>
      </c>
    </row>
    <row r="107" spans="1:18" x14ac:dyDescent="0.3">
      <c r="A107" t="s">
        <v>621</v>
      </c>
      <c r="B107">
        <v>88</v>
      </c>
      <c r="C107" t="s">
        <v>0</v>
      </c>
      <c r="D107" t="s">
        <v>621</v>
      </c>
      <c r="E107">
        <v>30</v>
      </c>
      <c r="F107" t="s">
        <v>620</v>
      </c>
      <c r="I107">
        <v>16</v>
      </c>
      <c r="J107" t="s">
        <v>392</v>
      </c>
      <c r="K107">
        <v>333</v>
      </c>
      <c r="L107" t="s">
        <v>1</v>
      </c>
      <c r="M107" t="s">
        <v>0</v>
      </c>
      <c r="N107" t="s">
        <v>1266</v>
      </c>
      <c r="O107" t="s">
        <v>1266</v>
      </c>
      <c r="P107" t="s">
        <v>1266</v>
      </c>
      <c r="Q107" t="s">
        <v>1266</v>
      </c>
      <c r="R107" t="s">
        <v>1266</v>
      </c>
    </row>
    <row r="108" spans="1:18" x14ac:dyDescent="0.3">
      <c r="A108" t="s">
        <v>493</v>
      </c>
      <c r="B108">
        <v>89</v>
      </c>
      <c r="C108" t="s">
        <v>1</v>
      </c>
      <c r="D108" t="s">
        <v>493</v>
      </c>
      <c r="E108">
        <v>30</v>
      </c>
      <c r="F108" t="s">
        <v>492</v>
      </c>
      <c r="I108">
        <v>21</v>
      </c>
      <c r="J108" t="s">
        <v>392</v>
      </c>
      <c r="K108">
        <v>334</v>
      </c>
      <c r="L108" t="s">
        <v>1</v>
      </c>
      <c r="M108" t="s">
        <v>0</v>
      </c>
      <c r="N108" t="s">
        <v>1266</v>
      </c>
      <c r="O108" t="s">
        <v>1266</v>
      </c>
      <c r="P108" t="s">
        <v>1266</v>
      </c>
      <c r="Q108" t="s">
        <v>1266</v>
      </c>
      <c r="R108" t="s">
        <v>1266</v>
      </c>
    </row>
    <row r="109" spans="1:18" x14ac:dyDescent="0.3">
      <c r="A109" t="s">
        <v>1462</v>
      </c>
      <c r="B109">
        <v>1</v>
      </c>
      <c r="C109" t="s">
        <v>0</v>
      </c>
      <c r="D109" t="s">
        <v>1462</v>
      </c>
      <c r="E109">
        <v>30</v>
      </c>
      <c r="F109" t="s">
        <v>1462</v>
      </c>
      <c r="I109">
        <v>1</v>
      </c>
      <c r="J109" t="s">
        <v>419</v>
      </c>
      <c r="K109" t="s">
        <v>1583</v>
      </c>
      <c r="L109" t="s">
        <v>1</v>
      </c>
      <c r="M109" t="s">
        <v>0</v>
      </c>
      <c r="N109" t="s">
        <v>1266</v>
      </c>
      <c r="O109" t="s">
        <v>1266</v>
      </c>
      <c r="P109" t="s">
        <v>1266</v>
      </c>
      <c r="Q109" t="s">
        <v>1266</v>
      </c>
      <c r="R109" t="s">
        <v>1266</v>
      </c>
    </row>
    <row r="110" spans="1:18" x14ac:dyDescent="0.3">
      <c r="A110" t="s">
        <v>585</v>
      </c>
      <c r="B110">
        <v>2</v>
      </c>
      <c r="C110" t="s">
        <v>1</v>
      </c>
      <c r="D110" t="s">
        <v>585</v>
      </c>
      <c r="E110">
        <v>30</v>
      </c>
      <c r="F110" t="s">
        <v>585</v>
      </c>
      <c r="I110">
        <v>5</v>
      </c>
      <c r="J110" t="s">
        <v>419</v>
      </c>
      <c r="K110">
        <v>5</v>
      </c>
      <c r="L110" t="s">
        <v>0</v>
      </c>
      <c r="M110" t="s">
        <v>0</v>
      </c>
      <c r="N110" t="s">
        <v>1266</v>
      </c>
      <c r="O110" t="s">
        <v>1266</v>
      </c>
      <c r="P110" t="s">
        <v>1266</v>
      </c>
      <c r="Q110" t="s">
        <v>1266</v>
      </c>
      <c r="R110" t="s">
        <v>1266</v>
      </c>
    </row>
    <row r="111" spans="1:18" x14ac:dyDescent="0.3">
      <c r="A111" t="s">
        <v>1511</v>
      </c>
      <c r="B111">
        <v>3</v>
      </c>
      <c r="C111" t="s">
        <v>1</v>
      </c>
      <c r="D111" t="s">
        <v>1511</v>
      </c>
      <c r="E111">
        <v>30</v>
      </c>
      <c r="F111" t="s">
        <v>1511</v>
      </c>
      <c r="I111">
        <v>5</v>
      </c>
      <c r="J111" t="s">
        <v>419</v>
      </c>
      <c r="K111">
        <v>6</v>
      </c>
      <c r="L111" t="s">
        <v>1</v>
      </c>
      <c r="M111" t="s">
        <v>0</v>
      </c>
      <c r="N111" t="s">
        <v>1266</v>
      </c>
      <c r="O111" t="s">
        <v>1266</v>
      </c>
      <c r="P111" t="s">
        <v>1266</v>
      </c>
      <c r="Q111" t="s">
        <v>1266</v>
      </c>
      <c r="R111" t="s">
        <v>1266</v>
      </c>
    </row>
    <row r="112" spans="1:18" x14ac:dyDescent="0.3">
      <c r="A112" t="s">
        <v>1473</v>
      </c>
      <c r="B112">
        <v>4</v>
      </c>
      <c r="C112" t="s">
        <v>0</v>
      </c>
      <c r="D112" t="s">
        <v>1473</v>
      </c>
      <c r="E112">
        <v>30</v>
      </c>
      <c r="F112" t="s">
        <v>1473</v>
      </c>
      <c r="I112">
        <v>16</v>
      </c>
      <c r="J112" t="s">
        <v>419</v>
      </c>
      <c r="K112">
        <v>7</v>
      </c>
      <c r="L112" t="s">
        <v>1</v>
      </c>
      <c r="M112" t="s">
        <v>0</v>
      </c>
      <c r="N112" t="s">
        <v>1266</v>
      </c>
      <c r="O112" t="s">
        <v>1266</v>
      </c>
      <c r="P112" t="s">
        <v>1266</v>
      </c>
      <c r="Q112" t="s">
        <v>1266</v>
      </c>
      <c r="R112" t="s">
        <v>1266</v>
      </c>
    </row>
    <row r="113" spans="1:18" x14ac:dyDescent="0.3">
      <c r="A113" t="s">
        <v>685</v>
      </c>
      <c r="B113">
        <v>5</v>
      </c>
      <c r="C113" t="s">
        <v>0</v>
      </c>
      <c r="D113" t="s">
        <v>685</v>
      </c>
      <c r="E113">
        <v>30</v>
      </c>
      <c r="F113" t="s">
        <v>685</v>
      </c>
      <c r="I113">
        <v>6</v>
      </c>
      <c r="J113" t="s">
        <v>419</v>
      </c>
      <c r="K113">
        <v>8</v>
      </c>
      <c r="L113" t="s">
        <v>1</v>
      </c>
      <c r="M113" t="s">
        <v>0</v>
      </c>
      <c r="N113" t="s">
        <v>1266</v>
      </c>
      <c r="O113" t="s">
        <v>1266</v>
      </c>
      <c r="P113" t="s">
        <v>1266</v>
      </c>
      <c r="Q113" t="s">
        <v>1266</v>
      </c>
      <c r="R113" t="s">
        <v>1266</v>
      </c>
    </row>
    <row r="114" spans="1:18" x14ac:dyDescent="0.3">
      <c r="A114" t="s">
        <v>519</v>
      </c>
      <c r="B114">
        <v>6</v>
      </c>
      <c r="C114" t="s">
        <v>0</v>
      </c>
      <c r="D114" t="s">
        <v>519</v>
      </c>
      <c r="E114">
        <v>30</v>
      </c>
      <c r="F114" t="s">
        <v>696</v>
      </c>
      <c r="I114">
        <v>19</v>
      </c>
      <c r="J114" t="s">
        <v>419</v>
      </c>
      <c r="K114">
        <v>9</v>
      </c>
      <c r="L114" t="s">
        <v>1</v>
      </c>
      <c r="M114" t="s">
        <v>0</v>
      </c>
      <c r="N114" t="s">
        <v>1266</v>
      </c>
      <c r="O114" t="s">
        <v>1266</v>
      </c>
      <c r="P114" t="s">
        <v>1266</v>
      </c>
      <c r="Q114" t="s">
        <v>1266</v>
      </c>
      <c r="R114" t="s">
        <v>1266</v>
      </c>
    </row>
    <row r="115" spans="1:18" x14ac:dyDescent="0.3">
      <c r="A115" t="s">
        <v>518</v>
      </c>
      <c r="B115">
        <v>7</v>
      </c>
      <c r="C115" t="s">
        <v>0</v>
      </c>
      <c r="D115" t="s">
        <v>518</v>
      </c>
      <c r="E115">
        <v>30</v>
      </c>
      <c r="F115" t="s">
        <v>552</v>
      </c>
      <c r="I115">
        <v>19</v>
      </c>
      <c r="J115" t="s">
        <v>419</v>
      </c>
      <c r="K115">
        <v>10</v>
      </c>
      <c r="L115" t="s">
        <v>1</v>
      </c>
      <c r="M115" t="s">
        <v>0</v>
      </c>
      <c r="N115" t="s">
        <v>1266</v>
      </c>
      <c r="O115" t="s">
        <v>1266</v>
      </c>
      <c r="P115" t="s">
        <v>1266</v>
      </c>
      <c r="Q115" t="s">
        <v>1266</v>
      </c>
      <c r="R115" t="s">
        <v>1266</v>
      </c>
    </row>
    <row r="116" spans="1:18" x14ac:dyDescent="0.3">
      <c r="A116" t="s">
        <v>517</v>
      </c>
      <c r="B116">
        <v>8</v>
      </c>
      <c r="C116" t="s">
        <v>0</v>
      </c>
      <c r="D116" t="s">
        <v>517</v>
      </c>
      <c r="E116">
        <v>30</v>
      </c>
      <c r="F116" t="s">
        <v>551</v>
      </c>
      <c r="I116">
        <v>19</v>
      </c>
      <c r="J116" t="s">
        <v>419</v>
      </c>
      <c r="K116">
        <v>11</v>
      </c>
      <c r="L116" t="s">
        <v>1</v>
      </c>
      <c r="M116" t="s">
        <v>0</v>
      </c>
      <c r="N116" t="s">
        <v>1266</v>
      </c>
      <c r="O116" t="s">
        <v>1266</v>
      </c>
      <c r="P116" t="s">
        <v>1266</v>
      </c>
      <c r="Q116" t="s">
        <v>1266</v>
      </c>
      <c r="R116" t="s">
        <v>1266</v>
      </c>
    </row>
    <row r="117" spans="1:18" x14ac:dyDescent="0.3">
      <c r="A117" t="s">
        <v>1487</v>
      </c>
      <c r="B117">
        <v>9</v>
      </c>
      <c r="C117" t="s">
        <v>0</v>
      </c>
      <c r="D117" t="s">
        <v>1487</v>
      </c>
      <c r="E117">
        <v>30</v>
      </c>
      <c r="F117" t="s">
        <v>1487</v>
      </c>
      <c r="I117">
        <v>6</v>
      </c>
      <c r="J117" t="s">
        <v>419</v>
      </c>
      <c r="K117" t="s">
        <v>1488</v>
      </c>
      <c r="L117" t="s">
        <v>1</v>
      </c>
      <c r="M117" t="s">
        <v>0</v>
      </c>
      <c r="N117" t="s">
        <v>1266</v>
      </c>
      <c r="O117" t="s">
        <v>1266</v>
      </c>
      <c r="P117" t="s">
        <v>1266</v>
      </c>
      <c r="Q117" t="s">
        <v>1266</v>
      </c>
      <c r="R117" t="s">
        <v>1266</v>
      </c>
    </row>
    <row r="118" spans="1:18" x14ac:dyDescent="0.3">
      <c r="A118" t="s">
        <v>697</v>
      </c>
      <c r="B118">
        <v>10</v>
      </c>
      <c r="C118" t="s">
        <v>0</v>
      </c>
      <c r="E118">
        <v>30</v>
      </c>
      <c r="F118" t="s">
        <v>697</v>
      </c>
      <c r="I118">
        <v>19</v>
      </c>
      <c r="J118" t="s">
        <v>419</v>
      </c>
      <c r="K118">
        <v>12</v>
      </c>
      <c r="L118" t="s">
        <v>1</v>
      </c>
      <c r="M118" t="s">
        <v>0</v>
      </c>
      <c r="N118" t="s">
        <v>1266</v>
      </c>
      <c r="O118" t="s">
        <v>1266</v>
      </c>
      <c r="P118" t="s">
        <v>1266</v>
      </c>
      <c r="Q118" t="s">
        <v>1266</v>
      </c>
      <c r="R118" t="s">
        <v>1266</v>
      </c>
    </row>
    <row r="119" spans="1:18" x14ac:dyDescent="0.3">
      <c r="A119" t="s">
        <v>437</v>
      </c>
      <c r="B119">
        <v>11</v>
      </c>
      <c r="C119" t="s">
        <v>0</v>
      </c>
      <c r="E119">
        <v>30</v>
      </c>
      <c r="F119" t="s">
        <v>437</v>
      </c>
      <c r="I119">
        <v>19</v>
      </c>
      <c r="J119" t="s">
        <v>419</v>
      </c>
      <c r="K119">
        <v>13</v>
      </c>
      <c r="L119" t="s">
        <v>1</v>
      </c>
      <c r="M119" t="s">
        <v>0</v>
      </c>
      <c r="N119" t="s">
        <v>1266</v>
      </c>
      <c r="O119" t="s">
        <v>1266</v>
      </c>
      <c r="P119" t="s">
        <v>1266</v>
      </c>
      <c r="Q119" t="s">
        <v>1266</v>
      </c>
      <c r="R119" t="s">
        <v>1266</v>
      </c>
    </row>
    <row r="120" spans="1:18" x14ac:dyDescent="0.3">
      <c r="A120" t="s">
        <v>682</v>
      </c>
      <c r="B120">
        <v>12</v>
      </c>
      <c r="C120" t="s">
        <v>0</v>
      </c>
      <c r="D120" t="s">
        <v>682</v>
      </c>
      <c r="E120">
        <v>30</v>
      </c>
      <c r="F120" t="s">
        <v>682</v>
      </c>
      <c r="I120">
        <v>9</v>
      </c>
      <c r="J120" t="s">
        <v>419</v>
      </c>
      <c r="K120">
        <v>14</v>
      </c>
      <c r="L120" t="s">
        <v>1</v>
      </c>
      <c r="M120" t="s">
        <v>0</v>
      </c>
      <c r="N120" t="s">
        <v>1266</v>
      </c>
      <c r="O120" t="s">
        <v>1266</v>
      </c>
      <c r="P120" t="s">
        <v>1266</v>
      </c>
      <c r="Q120" t="s">
        <v>1266</v>
      </c>
      <c r="R120" t="s">
        <v>1266</v>
      </c>
    </row>
    <row r="121" spans="1:18" x14ac:dyDescent="0.3">
      <c r="A121" t="s">
        <v>684</v>
      </c>
      <c r="B121">
        <v>13</v>
      </c>
      <c r="C121" t="s">
        <v>0</v>
      </c>
      <c r="D121" t="s">
        <v>684</v>
      </c>
      <c r="E121">
        <v>30</v>
      </c>
      <c r="F121" t="s">
        <v>684</v>
      </c>
      <c r="I121">
        <v>21</v>
      </c>
      <c r="J121" t="s">
        <v>419</v>
      </c>
      <c r="K121">
        <v>15</v>
      </c>
      <c r="L121" t="s">
        <v>1</v>
      </c>
      <c r="M121" t="s">
        <v>0</v>
      </c>
      <c r="N121" t="s">
        <v>1266</v>
      </c>
      <c r="O121" t="s">
        <v>1266</v>
      </c>
      <c r="P121" t="s">
        <v>1266</v>
      </c>
      <c r="Q121" t="s">
        <v>1266</v>
      </c>
      <c r="R121" t="s">
        <v>1266</v>
      </c>
    </row>
    <row r="122" spans="1:18" x14ac:dyDescent="0.3">
      <c r="A122" t="s">
        <v>611</v>
      </c>
      <c r="B122">
        <v>14</v>
      </c>
      <c r="C122" t="s">
        <v>0</v>
      </c>
      <c r="D122" t="s">
        <v>611</v>
      </c>
      <c r="E122">
        <v>30</v>
      </c>
      <c r="F122" t="s">
        <v>611</v>
      </c>
      <c r="I122">
        <v>9</v>
      </c>
      <c r="J122" t="s">
        <v>419</v>
      </c>
      <c r="K122">
        <v>16</v>
      </c>
      <c r="L122" t="s">
        <v>1</v>
      </c>
      <c r="M122" t="s">
        <v>0</v>
      </c>
      <c r="N122" t="s">
        <v>1266</v>
      </c>
      <c r="O122" t="s">
        <v>1266</v>
      </c>
      <c r="P122" t="s">
        <v>1266</v>
      </c>
      <c r="Q122" t="s">
        <v>1266</v>
      </c>
      <c r="R122" t="s">
        <v>1266</v>
      </c>
    </row>
    <row r="123" spans="1:18" x14ac:dyDescent="0.3">
      <c r="A123" t="s">
        <v>647</v>
      </c>
      <c r="B123">
        <v>15</v>
      </c>
      <c r="C123" t="s">
        <v>0</v>
      </c>
      <c r="D123" t="s">
        <v>647</v>
      </c>
      <c r="E123">
        <v>30</v>
      </c>
      <c r="F123" t="s">
        <v>647</v>
      </c>
      <c r="I123">
        <v>14</v>
      </c>
      <c r="J123" t="s">
        <v>419</v>
      </c>
      <c r="K123">
        <v>17</v>
      </c>
      <c r="L123" t="s">
        <v>1</v>
      </c>
      <c r="M123" t="s">
        <v>0</v>
      </c>
      <c r="N123" t="s">
        <v>1266</v>
      </c>
      <c r="O123" t="s">
        <v>1266</v>
      </c>
      <c r="P123" t="s">
        <v>1266</v>
      </c>
      <c r="Q123" t="s">
        <v>1266</v>
      </c>
      <c r="R123" t="s">
        <v>1266</v>
      </c>
    </row>
    <row r="124" spans="1:18" x14ac:dyDescent="0.3">
      <c r="A124" t="s">
        <v>658</v>
      </c>
      <c r="B124">
        <v>16</v>
      </c>
      <c r="C124" t="s">
        <v>0</v>
      </c>
      <c r="D124" t="s">
        <v>658</v>
      </c>
      <c r="E124">
        <v>30</v>
      </c>
      <c r="F124" t="s">
        <v>658</v>
      </c>
      <c r="I124">
        <v>21</v>
      </c>
      <c r="J124" t="s">
        <v>419</v>
      </c>
      <c r="K124">
        <v>18</v>
      </c>
      <c r="L124" t="s">
        <v>1</v>
      </c>
      <c r="M124" t="s">
        <v>0</v>
      </c>
      <c r="N124" t="s">
        <v>1266</v>
      </c>
      <c r="O124" t="s">
        <v>1266</v>
      </c>
      <c r="P124" t="s">
        <v>1266</v>
      </c>
      <c r="Q124" t="s">
        <v>1266</v>
      </c>
      <c r="R124" t="s">
        <v>1266</v>
      </c>
    </row>
    <row r="125" spans="1:18" x14ac:dyDescent="0.3">
      <c r="A125" t="s">
        <v>439</v>
      </c>
      <c r="B125">
        <v>17</v>
      </c>
      <c r="C125" t="s">
        <v>1</v>
      </c>
      <c r="D125" t="s">
        <v>439</v>
      </c>
      <c r="E125">
        <v>30</v>
      </c>
      <c r="F125" t="s">
        <v>438</v>
      </c>
      <c r="I125">
        <v>12</v>
      </c>
      <c r="J125" t="s">
        <v>419</v>
      </c>
      <c r="K125">
        <v>19</v>
      </c>
      <c r="L125" t="s">
        <v>1</v>
      </c>
      <c r="M125" t="s">
        <v>0</v>
      </c>
      <c r="N125" t="s">
        <v>1266</v>
      </c>
      <c r="O125" t="s">
        <v>1266</v>
      </c>
      <c r="P125" t="s">
        <v>1266</v>
      </c>
      <c r="Q125" t="s">
        <v>1266</v>
      </c>
      <c r="R125" t="s">
        <v>1266</v>
      </c>
    </row>
    <row r="126" spans="1:18" x14ac:dyDescent="0.3">
      <c r="A126" t="s">
        <v>441</v>
      </c>
      <c r="B126">
        <v>18</v>
      </c>
      <c r="C126" t="s">
        <v>1</v>
      </c>
      <c r="D126" t="s">
        <v>441</v>
      </c>
      <c r="E126">
        <v>30</v>
      </c>
      <c r="F126" t="s">
        <v>440</v>
      </c>
      <c r="I126">
        <v>12</v>
      </c>
      <c r="J126" t="s">
        <v>419</v>
      </c>
      <c r="K126">
        <v>20</v>
      </c>
      <c r="L126" t="s">
        <v>1</v>
      </c>
      <c r="M126" t="s">
        <v>0</v>
      </c>
      <c r="N126" t="s">
        <v>1266</v>
      </c>
      <c r="O126" t="s">
        <v>1266</v>
      </c>
      <c r="P126" t="s">
        <v>1266</v>
      </c>
      <c r="Q126" t="s">
        <v>1266</v>
      </c>
      <c r="R126" t="s">
        <v>1266</v>
      </c>
    </row>
    <row r="127" spans="1:18" x14ac:dyDescent="0.3">
      <c r="A127" t="s">
        <v>430</v>
      </c>
      <c r="B127">
        <v>19</v>
      </c>
      <c r="C127" t="s">
        <v>1</v>
      </c>
      <c r="D127" t="s">
        <v>430</v>
      </c>
      <c r="E127">
        <v>30</v>
      </c>
      <c r="F127" t="s">
        <v>429</v>
      </c>
      <c r="I127">
        <v>12</v>
      </c>
      <c r="J127" t="s">
        <v>419</v>
      </c>
      <c r="K127">
        <v>21</v>
      </c>
      <c r="L127" t="s">
        <v>1</v>
      </c>
      <c r="M127" t="s">
        <v>0</v>
      </c>
      <c r="N127" t="s">
        <v>1266</v>
      </c>
      <c r="O127" t="s">
        <v>1266</v>
      </c>
      <c r="P127" t="s">
        <v>1266</v>
      </c>
      <c r="Q127" t="s">
        <v>1266</v>
      </c>
      <c r="R127" t="s">
        <v>1266</v>
      </c>
    </row>
    <row r="128" spans="1:18" x14ac:dyDescent="0.3">
      <c r="A128" t="s">
        <v>511</v>
      </c>
      <c r="B128">
        <v>20</v>
      </c>
      <c r="C128" t="s">
        <v>0</v>
      </c>
      <c r="D128" t="s">
        <v>511</v>
      </c>
      <c r="E128">
        <v>30</v>
      </c>
      <c r="F128" t="s">
        <v>511</v>
      </c>
      <c r="I128">
        <v>5</v>
      </c>
      <c r="J128" t="s">
        <v>419</v>
      </c>
      <c r="K128">
        <v>22</v>
      </c>
      <c r="L128" t="s">
        <v>1</v>
      </c>
      <c r="M128" t="s">
        <v>0</v>
      </c>
      <c r="N128" t="s">
        <v>1266</v>
      </c>
      <c r="O128" t="s">
        <v>1266</v>
      </c>
      <c r="P128" t="s">
        <v>1266</v>
      </c>
      <c r="Q128" t="s">
        <v>1266</v>
      </c>
      <c r="R128" t="s">
        <v>1266</v>
      </c>
    </row>
    <row r="129" spans="1:18" x14ac:dyDescent="0.3">
      <c r="A129" t="s">
        <v>703</v>
      </c>
      <c r="B129">
        <v>21</v>
      </c>
      <c r="C129" t="s">
        <v>0</v>
      </c>
      <c r="D129" t="s">
        <v>703</v>
      </c>
      <c r="E129">
        <v>30</v>
      </c>
      <c r="F129" t="s">
        <v>702</v>
      </c>
      <c r="I129">
        <v>19</v>
      </c>
      <c r="J129" t="s">
        <v>419</v>
      </c>
      <c r="K129">
        <v>23</v>
      </c>
      <c r="L129" t="s">
        <v>1</v>
      </c>
      <c r="M129" t="s">
        <v>0</v>
      </c>
      <c r="N129" t="s">
        <v>1266</v>
      </c>
      <c r="O129" t="s">
        <v>1266</v>
      </c>
      <c r="P129" t="s">
        <v>1266</v>
      </c>
      <c r="Q129" t="s">
        <v>1266</v>
      </c>
      <c r="R129" t="s">
        <v>1266</v>
      </c>
    </row>
    <row r="130" spans="1:18" x14ac:dyDescent="0.3">
      <c r="A130" t="s">
        <v>704</v>
      </c>
      <c r="B130">
        <v>22</v>
      </c>
      <c r="C130" t="s">
        <v>0</v>
      </c>
      <c r="E130">
        <v>30</v>
      </c>
      <c r="F130" t="s">
        <v>704</v>
      </c>
      <c r="I130">
        <v>19</v>
      </c>
      <c r="J130" t="s">
        <v>419</v>
      </c>
      <c r="K130">
        <v>24</v>
      </c>
      <c r="L130" t="s">
        <v>1</v>
      </c>
      <c r="M130" t="s">
        <v>0</v>
      </c>
      <c r="N130" t="s">
        <v>1266</v>
      </c>
      <c r="O130" t="s">
        <v>1266</v>
      </c>
      <c r="P130" t="s">
        <v>1266</v>
      </c>
      <c r="Q130" t="s">
        <v>1266</v>
      </c>
      <c r="R130" t="s">
        <v>1266</v>
      </c>
    </row>
    <row r="131" spans="1:18" x14ac:dyDescent="0.3">
      <c r="A131" t="s">
        <v>701</v>
      </c>
      <c r="B131">
        <v>23</v>
      </c>
      <c r="C131" t="s">
        <v>0</v>
      </c>
      <c r="D131" t="s">
        <v>701</v>
      </c>
      <c r="E131">
        <v>30</v>
      </c>
      <c r="F131" t="s">
        <v>444</v>
      </c>
      <c r="I131">
        <v>5</v>
      </c>
      <c r="J131" t="s">
        <v>419</v>
      </c>
      <c r="K131">
        <v>25</v>
      </c>
      <c r="L131" t="s">
        <v>1</v>
      </c>
      <c r="M131" t="s">
        <v>0</v>
      </c>
      <c r="N131" t="s">
        <v>1266</v>
      </c>
      <c r="O131" t="s">
        <v>1266</v>
      </c>
      <c r="P131" t="s">
        <v>1266</v>
      </c>
      <c r="Q131" t="s">
        <v>1266</v>
      </c>
      <c r="R131" t="s">
        <v>1266</v>
      </c>
    </row>
    <row r="132" spans="1:18" x14ac:dyDescent="0.3">
      <c r="A132" t="s">
        <v>708</v>
      </c>
      <c r="B132">
        <v>24</v>
      </c>
      <c r="C132" t="s">
        <v>1</v>
      </c>
      <c r="D132" t="s">
        <v>708</v>
      </c>
      <c r="E132">
        <v>30</v>
      </c>
      <c r="F132" t="s">
        <v>498</v>
      </c>
      <c r="I132">
        <v>5</v>
      </c>
      <c r="J132" t="s">
        <v>419</v>
      </c>
      <c r="K132">
        <v>26</v>
      </c>
      <c r="L132" t="s">
        <v>1</v>
      </c>
      <c r="M132" t="s">
        <v>0</v>
      </c>
      <c r="N132" t="s">
        <v>1266</v>
      </c>
      <c r="O132" t="s">
        <v>1266</v>
      </c>
      <c r="P132" t="s">
        <v>1266</v>
      </c>
      <c r="Q132" t="s">
        <v>1266</v>
      </c>
      <c r="R132" t="s">
        <v>1266</v>
      </c>
    </row>
    <row r="133" spans="1:18" x14ac:dyDescent="0.3">
      <c r="A133" t="s">
        <v>492</v>
      </c>
      <c r="B133">
        <v>25</v>
      </c>
      <c r="C133" t="s">
        <v>1</v>
      </c>
      <c r="D133" t="s">
        <v>492</v>
      </c>
      <c r="E133">
        <v>30</v>
      </c>
      <c r="F133" t="s">
        <v>492</v>
      </c>
      <c r="I133">
        <v>21</v>
      </c>
      <c r="J133" t="s">
        <v>419</v>
      </c>
      <c r="K133" t="s">
        <v>1593</v>
      </c>
      <c r="L133" t="s">
        <v>1</v>
      </c>
      <c r="M133" t="s">
        <v>0</v>
      </c>
      <c r="N133" t="s">
        <v>1266</v>
      </c>
      <c r="O133" t="s">
        <v>1266</v>
      </c>
      <c r="P133" t="s">
        <v>1266</v>
      </c>
      <c r="Q133" t="s">
        <v>1266</v>
      </c>
      <c r="R133" t="s">
        <v>1266</v>
      </c>
    </row>
    <row r="134" spans="1:18" x14ac:dyDescent="0.3">
      <c r="A134" t="s">
        <v>695</v>
      </c>
      <c r="B134">
        <v>1</v>
      </c>
      <c r="C134" t="s">
        <v>1</v>
      </c>
      <c r="D134" t="s">
        <v>695</v>
      </c>
      <c r="E134">
        <v>30</v>
      </c>
      <c r="F134" t="s">
        <v>585</v>
      </c>
      <c r="I134">
        <v>5</v>
      </c>
      <c r="J134" t="s">
        <v>405</v>
      </c>
      <c r="K134">
        <v>335</v>
      </c>
      <c r="L134" t="s">
        <v>0</v>
      </c>
      <c r="M134" t="s">
        <v>0</v>
      </c>
      <c r="N134" t="s">
        <v>1266</v>
      </c>
      <c r="O134" t="s">
        <v>1266</v>
      </c>
      <c r="P134" t="s">
        <v>1266</v>
      </c>
      <c r="Q134" t="s">
        <v>1266</v>
      </c>
      <c r="R134" t="s">
        <v>1266</v>
      </c>
    </row>
    <row r="135" spans="1:18" x14ac:dyDescent="0.3">
      <c r="A135" t="s">
        <v>775</v>
      </c>
      <c r="B135">
        <v>2</v>
      </c>
      <c r="C135" t="s">
        <v>1</v>
      </c>
      <c r="D135" t="s">
        <v>775</v>
      </c>
      <c r="E135">
        <v>30</v>
      </c>
      <c r="F135" t="s">
        <v>490</v>
      </c>
      <c r="I135">
        <v>5</v>
      </c>
      <c r="J135" t="s">
        <v>405</v>
      </c>
      <c r="K135">
        <v>336</v>
      </c>
      <c r="L135" t="s">
        <v>1</v>
      </c>
      <c r="M135" t="s">
        <v>0</v>
      </c>
      <c r="N135" t="s">
        <v>1266</v>
      </c>
      <c r="O135" t="s">
        <v>1266</v>
      </c>
      <c r="P135" t="s">
        <v>1266</v>
      </c>
      <c r="Q135" t="s">
        <v>1266</v>
      </c>
      <c r="R135" t="s">
        <v>1266</v>
      </c>
    </row>
    <row r="136" spans="1:18" x14ac:dyDescent="0.3">
      <c r="A136" t="s">
        <v>776</v>
      </c>
      <c r="B136">
        <v>3</v>
      </c>
      <c r="C136" t="s">
        <v>0</v>
      </c>
      <c r="D136" t="s">
        <v>776</v>
      </c>
      <c r="E136">
        <v>30</v>
      </c>
      <c r="F136" t="s">
        <v>579</v>
      </c>
      <c r="I136">
        <v>5</v>
      </c>
      <c r="J136" t="s">
        <v>405</v>
      </c>
      <c r="K136">
        <v>337</v>
      </c>
      <c r="L136" t="s">
        <v>1</v>
      </c>
      <c r="M136" t="s">
        <v>0</v>
      </c>
      <c r="N136" t="s">
        <v>1266</v>
      </c>
      <c r="O136" t="s">
        <v>1266</v>
      </c>
      <c r="P136" t="s">
        <v>1266</v>
      </c>
      <c r="Q136" t="s">
        <v>1266</v>
      </c>
      <c r="R136" t="s">
        <v>1266</v>
      </c>
    </row>
    <row r="137" spans="1:18" x14ac:dyDescent="0.3">
      <c r="A137" t="s">
        <v>441</v>
      </c>
      <c r="B137">
        <v>4</v>
      </c>
      <c r="C137" t="s">
        <v>1</v>
      </c>
      <c r="D137" t="s">
        <v>441</v>
      </c>
      <c r="E137">
        <v>30</v>
      </c>
      <c r="F137" t="s">
        <v>440</v>
      </c>
      <c r="I137">
        <v>12</v>
      </c>
      <c r="J137" t="s">
        <v>405</v>
      </c>
      <c r="K137">
        <v>338</v>
      </c>
      <c r="L137" t="s">
        <v>1</v>
      </c>
      <c r="M137" t="s">
        <v>0</v>
      </c>
      <c r="N137" t="s">
        <v>1266</v>
      </c>
      <c r="O137" t="s">
        <v>1266</v>
      </c>
      <c r="P137" t="s">
        <v>1266</v>
      </c>
      <c r="Q137" t="s">
        <v>1266</v>
      </c>
      <c r="R137" t="s">
        <v>1266</v>
      </c>
    </row>
    <row r="138" spans="1:18" x14ac:dyDescent="0.3">
      <c r="A138" t="s">
        <v>430</v>
      </c>
      <c r="B138">
        <v>5</v>
      </c>
      <c r="C138" t="s">
        <v>1</v>
      </c>
      <c r="D138" t="s">
        <v>430</v>
      </c>
      <c r="E138">
        <v>30</v>
      </c>
      <c r="F138" t="s">
        <v>429</v>
      </c>
      <c r="I138">
        <v>12</v>
      </c>
      <c r="J138" t="s">
        <v>405</v>
      </c>
      <c r="K138">
        <v>339</v>
      </c>
      <c r="L138" t="s">
        <v>1</v>
      </c>
      <c r="M138" t="s">
        <v>0</v>
      </c>
      <c r="N138" t="s">
        <v>1266</v>
      </c>
      <c r="O138" t="s">
        <v>1266</v>
      </c>
      <c r="P138" t="s">
        <v>1266</v>
      </c>
      <c r="Q138" t="s">
        <v>1266</v>
      </c>
      <c r="R138" t="s">
        <v>1266</v>
      </c>
    </row>
    <row r="139" spans="1:18" x14ac:dyDescent="0.3">
      <c r="A139" t="s">
        <v>708</v>
      </c>
      <c r="B139">
        <v>6</v>
      </c>
      <c r="C139" t="s">
        <v>1</v>
      </c>
      <c r="D139" t="s">
        <v>708</v>
      </c>
      <c r="E139">
        <v>30</v>
      </c>
      <c r="F139" t="s">
        <v>498</v>
      </c>
      <c r="I139">
        <v>5</v>
      </c>
      <c r="J139" t="s">
        <v>405</v>
      </c>
      <c r="K139">
        <v>340</v>
      </c>
      <c r="L139" t="s">
        <v>1</v>
      </c>
      <c r="M139" t="s">
        <v>0</v>
      </c>
      <c r="N139" t="s">
        <v>1266</v>
      </c>
      <c r="O139" t="s">
        <v>1266</v>
      </c>
      <c r="P139" t="s">
        <v>1266</v>
      </c>
      <c r="Q139" t="s">
        <v>1266</v>
      </c>
      <c r="R139" t="s">
        <v>1266</v>
      </c>
    </row>
    <row r="140" spans="1:18" x14ac:dyDescent="0.3">
      <c r="A140" t="s">
        <v>521</v>
      </c>
      <c r="B140">
        <v>7</v>
      </c>
      <c r="C140" t="s">
        <v>1</v>
      </c>
      <c r="D140" t="s">
        <v>521</v>
      </c>
      <c r="E140">
        <v>30</v>
      </c>
      <c r="F140" t="s">
        <v>492</v>
      </c>
      <c r="I140">
        <v>21</v>
      </c>
      <c r="J140" t="s">
        <v>405</v>
      </c>
      <c r="K140">
        <v>341</v>
      </c>
      <c r="L140" t="s">
        <v>1</v>
      </c>
      <c r="M140" t="s">
        <v>0</v>
      </c>
      <c r="N140" t="s">
        <v>1266</v>
      </c>
      <c r="O140" t="s">
        <v>1266</v>
      </c>
      <c r="P140" t="s">
        <v>1266</v>
      </c>
      <c r="Q140" t="s">
        <v>1266</v>
      </c>
      <c r="R140" t="s">
        <v>1266</v>
      </c>
    </row>
    <row r="141" spans="1:18" x14ac:dyDescent="0.3">
      <c r="A141" t="s">
        <v>785</v>
      </c>
      <c r="B141">
        <v>1</v>
      </c>
      <c r="C141" t="s">
        <v>1</v>
      </c>
      <c r="D141" t="s">
        <v>785</v>
      </c>
      <c r="E141">
        <v>30</v>
      </c>
      <c r="F141" t="s">
        <v>784</v>
      </c>
      <c r="I141">
        <v>5</v>
      </c>
      <c r="J141" t="s">
        <v>391</v>
      </c>
      <c r="K141">
        <v>27</v>
      </c>
      <c r="L141" t="s">
        <v>0</v>
      </c>
      <c r="M141" t="s">
        <v>0</v>
      </c>
      <c r="N141" t="s">
        <v>1266</v>
      </c>
      <c r="O141" t="s">
        <v>1266</v>
      </c>
      <c r="P141" t="s">
        <v>1266</v>
      </c>
      <c r="Q141" t="s">
        <v>1266</v>
      </c>
      <c r="R141" t="s">
        <v>1266</v>
      </c>
    </row>
    <row r="142" spans="1:18" x14ac:dyDescent="0.3">
      <c r="A142" t="s">
        <v>787</v>
      </c>
      <c r="B142">
        <v>2</v>
      </c>
      <c r="C142" t="s">
        <v>1</v>
      </c>
      <c r="D142" t="s">
        <v>787</v>
      </c>
      <c r="E142">
        <v>30</v>
      </c>
      <c r="F142" t="s">
        <v>786</v>
      </c>
      <c r="I142">
        <v>1</v>
      </c>
      <c r="J142" t="s">
        <v>391</v>
      </c>
      <c r="K142">
        <v>28</v>
      </c>
      <c r="L142" t="s">
        <v>1</v>
      </c>
      <c r="M142" t="s">
        <v>0</v>
      </c>
      <c r="N142" t="s">
        <v>1266</v>
      </c>
      <c r="O142" t="s">
        <v>1266</v>
      </c>
      <c r="P142" t="s">
        <v>1266</v>
      </c>
      <c r="Q142" t="s">
        <v>1266</v>
      </c>
      <c r="R142" t="s">
        <v>1266</v>
      </c>
    </row>
    <row r="143" spans="1:18" x14ac:dyDescent="0.3">
      <c r="A143" t="s">
        <v>783</v>
      </c>
      <c r="B143">
        <v>3</v>
      </c>
      <c r="C143" t="s">
        <v>1</v>
      </c>
      <c r="D143" t="s">
        <v>783</v>
      </c>
      <c r="E143">
        <v>30</v>
      </c>
      <c r="F143" t="s">
        <v>782</v>
      </c>
      <c r="I143">
        <v>5</v>
      </c>
      <c r="J143" t="s">
        <v>391</v>
      </c>
      <c r="K143">
        <v>29</v>
      </c>
      <c r="L143" t="s">
        <v>1</v>
      </c>
      <c r="M143" t="s">
        <v>0</v>
      </c>
      <c r="N143" t="s">
        <v>1266</v>
      </c>
      <c r="O143" t="s">
        <v>1266</v>
      </c>
      <c r="P143" t="s">
        <v>1266</v>
      </c>
      <c r="Q143" t="s">
        <v>1266</v>
      </c>
      <c r="R143" t="s">
        <v>1266</v>
      </c>
    </row>
    <row r="144" spans="1:18" x14ac:dyDescent="0.3">
      <c r="A144" t="s">
        <v>441</v>
      </c>
      <c r="B144">
        <v>4</v>
      </c>
      <c r="C144" t="s">
        <v>1</v>
      </c>
      <c r="D144" t="s">
        <v>441</v>
      </c>
      <c r="E144">
        <v>30</v>
      </c>
      <c r="F144" t="s">
        <v>440</v>
      </c>
      <c r="I144">
        <v>12</v>
      </c>
      <c r="J144" t="s">
        <v>391</v>
      </c>
      <c r="K144">
        <v>30</v>
      </c>
      <c r="L144" t="s">
        <v>1</v>
      </c>
      <c r="M144" t="s">
        <v>0</v>
      </c>
      <c r="N144" t="s">
        <v>1266</v>
      </c>
      <c r="O144" t="s">
        <v>1266</v>
      </c>
      <c r="P144" t="s">
        <v>1266</v>
      </c>
      <c r="Q144" t="s">
        <v>1266</v>
      </c>
      <c r="R144" t="s">
        <v>1266</v>
      </c>
    </row>
    <row r="145" spans="1:18" x14ac:dyDescent="0.3">
      <c r="A145" t="s">
        <v>430</v>
      </c>
      <c r="B145">
        <v>5</v>
      </c>
      <c r="C145" t="s">
        <v>1</v>
      </c>
      <c r="D145" t="s">
        <v>430</v>
      </c>
      <c r="E145">
        <v>30</v>
      </c>
      <c r="F145" t="s">
        <v>429</v>
      </c>
      <c r="I145">
        <v>12</v>
      </c>
      <c r="J145" t="s">
        <v>391</v>
      </c>
      <c r="K145">
        <v>31</v>
      </c>
      <c r="L145" t="s">
        <v>1</v>
      </c>
      <c r="M145" t="s">
        <v>0</v>
      </c>
      <c r="N145" t="s">
        <v>1266</v>
      </c>
      <c r="O145" t="s">
        <v>1266</v>
      </c>
      <c r="P145" t="s">
        <v>1266</v>
      </c>
      <c r="Q145" t="s">
        <v>1266</v>
      </c>
      <c r="R145" t="s">
        <v>1266</v>
      </c>
    </row>
    <row r="146" spans="1:18" x14ac:dyDescent="0.3">
      <c r="A146" t="s">
        <v>708</v>
      </c>
      <c r="B146">
        <v>6</v>
      </c>
      <c r="C146" t="s">
        <v>1</v>
      </c>
      <c r="D146" t="s">
        <v>708</v>
      </c>
      <c r="E146">
        <v>30</v>
      </c>
      <c r="F146" t="s">
        <v>498</v>
      </c>
      <c r="I146">
        <v>5</v>
      </c>
      <c r="J146" t="s">
        <v>391</v>
      </c>
      <c r="K146">
        <v>32</v>
      </c>
      <c r="L146" t="s">
        <v>1</v>
      </c>
      <c r="M146" t="s">
        <v>0</v>
      </c>
      <c r="N146" t="s">
        <v>1266</v>
      </c>
      <c r="O146" t="s">
        <v>1266</v>
      </c>
      <c r="P146" t="s">
        <v>1266</v>
      </c>
      <c r="Q146" t="s">
        <v>1266</v>
      </c>
      <c r="R146" t="s">
        <v>1266</v>
      </c>
    </row>
    <row r="147" spans="1:18" x14ac:dyDescent="0.3">
      <c r="A147" t="s">
        <v>521</v>
      </c>
      <c r="B147">
        <v>7</v>
      </c>
      <c r="C147" t="s">
        <v>1</v>
      </c>
      <c r="D147" t="s">
        <v>521</v>
      </c>
      <c r="E147">
        <v>30</v>
      </c>
      <c r="F147" t="s">
        <v>492</v>
      </c>
      <c r="I147">
        <v>21</v>
      </c>
      <c r="J147" t="s">
        <v>391</v>
      </c>
      <c r="K147">
        <v>33</v>
      </c>
      <c r="L147" t="s">
        <v>1</v>
      </c>
      <c r="M147" t="s">
        <v>0</v>
      </c>
      <c r="N147" t="s">
        <v>1266</v>
      </c>
      <c r="O147" t="s">
        <v>1266</v>
      </c>
      <c r="P147" t="s">
        <v>1266</v>
      </c>
      <c r="Q147" t="s">
        <v>1266</v>
      </c>
      <c r="R147" t="s">
        <v>1266</v>
      </c>
    </row>
    <row r="148" spans="1:18" x14ac:dyDescent="0.3">
      <c r="A148" t="s">
        <v>810</v>
      </c>
      <c r="B148">
        <v>1</v>
      </c>
      <c r="C148" t="s">
        <v>1</v>
      </c>
      <c r="D148" t="s">
        <v>810</v>
      </c>
      <c r="E148">
        <v>30</v>
      </c>
      <c r="F148" t="s">
        <v>490</v>
      </c>
      <c r="I148">
        <v>5</v>
      </c>
      <c r="J148" t="s">
        <v>389</v>
      </c>
      <c r="K148">
        <v>342</v>
      </c>
      <c r="L148" t="s">
        <v>0</v>
      </c>
      <c r="M148" t="s">
        <v>0</v>
      </c>
      <c r="N148" t="s">
        <v>1266</v>
      </c>
      <c r="O148" t="s">
        <v>1266</v>
      </c>
      <c r="P148" t="s">
        <v>1266</v>
      </c>
      <c r="Q148" t="s">
        <v>1266</v>
      </c>
      <c r="R148" t="s">
        <v>1266</v>
      </c>
    </row>
    <row r="149" spans="1:18" x14ac:dyDescent="0.3">
      <c r="A149" t="s">
        <v>811</v>
      </c>
      <c r="B149">
        <v>2</v>
      </c>
      <c r="C149" t="s">
        <v>0</v>
      </c>
      <c r="D149" t="s">
        <v>811</v>
      </c>
      <c r="E149">
        <v>30</v>
      </c>
      <c r="F149" t="s">
        <v>527</v>
      </c>
      <c r="I149">
        <v>5</v>
      </c>
      <c r="J149" t="s">
        <v>389</v>
      </c>
      <c r="K149">
        <v>343</v>
      </c>
      <c r="L149" t="s">
        <v>1</v>
      </c>
      <c r="M149" t="s">
        <v>0</v>
      </c>
      <c r="N149" t="s">
        <v>1266</v>
      </c>
      <c r="O149" t="s">
        <v>1266</v>
      </c>
      <c r="P149" t="s">
        <v>1266</v>
      </c>
      <c r="Q149" t="s">
        <v>1266</v>
      </c>
      <c r="R149" t="s">
        <v>1266</v>
      </c>
    </row>
    <row r="150" spans="1:18" x14ac:dyDescent="0.3">
      <c r="A150" t="s">
        <v>1632</v>
      </c>
      <c r="B150">
        <v>3</v>
      </c>
      <c r="C150" t="s">
        <v>1</v>
      </c>
      <c r="D150" t="s">
        <v>526</v>
      </c>
      <c r="E150">
        <v>30</v>
      </c>
      <c r="F150" t="s">
        <v>525</v>
      </c>
      <c r="I150">
        <v>6</v>
      </c>
      <c r="J150" t="s">
        <v>389</v>
      </c>
      <c r="K150">
        <v>344</v>
      </c>
      <c r="L150" t="s">
        <v>1</v>
      </c>
      <c r="M150" t="s">
        <v>0</v>
      </c>
      <c r="N150" t="s">
        <v>1266</v>
      </c>
      <c r="O150" t="s">
        <v>1266</v>
      </c>
      <c r="P150" t="s">
        <v>1266</v>
      </c>
      <c r="Q150" t="s">
        <v>1266</v>
      </c>
      <c r="R150" t="s">
        <v>1266</v>
      </c>
    </row>
    <row r="151" spans="1:18" x14ac:dyDescent="0.3">
      <c r="A151" t="s">
        <v>535</v>
      </c>
      <c r="B151">
        <v>4</v>
      </c>
      <c r="C151" t="s">
        <v>0</v>
      </c>
      <c r="D151" t="s">
        <v>535</v>
      </c>
      <c r="E151">
        <v>30</v>
      </c>
      <c r="F151" t="s">
        <v>535</v>
      </c>
      <c r="I151">
        <v>5</v>
      </c>
      <c r="J151" t="s">
        <v>389</v>
      </c>
      <c r="K151">
        <v>345</v>
      </c>
      <c r="L151" t="s">
        <v>1</v>
      </c>
      <c r="M151" t="s">
        <v>0</v>
      </c>
      <c r="N151" t="s">
        <v>1266</v>
      </c>
      <c r="O151" t="s">
        <v>1266</v>
      </c>
      <c r="P151" t="s">
        <v>1266</v>
      </c>
      <c r="Q151" t="s">
        <v>1266</v>
      </c>
      <c r="R151" t="s">
        <v>1266</v>
      </c>
    </row>
    <row r="152" spans="1:18" x14ac:dyDescent="0.3">
      <c r="A152" t="s">
        <v>1423</v>
      </c>
      <c r="B152">
        <v>1</v>
      </c>
      <c r="C152" t="s">
        <v>0</v>
      </c>
      <c r="D152" t="s">
        <v>1423</v>
      </c>
      <c r="E152">
        <v>30</v>
      </c>
      <c r="F152" t="s">
        <v>1423</v>
      </c>
      <c r="I152">
        <v>16</v>
      </c>
      <c r="J152" t="s">
        <v>398</v>
      </c>
      <c r="K152">
        <v>346</v>
      </c>
      <c r="L152" t="s">
        <v>1</v>
      </c>
      <c r="M152" t="s">
        <v>0</v>
      </c>
      <c r="N152" t="s">
        <v>1266</v>
      </c>
      <c r="O152" t="s">
        <v>1266</v>
      </c>
      <c r="P152" t="s">
        <v>1266</v>
      </c>
      <c r="Q152" t="s">
        <v>1266</v>
      </c>
      <c r="R152" t="s">
        <v>1266</v>
      </c>
    </row>
    <row r="153" spans="1:18" x14ac:dyDescent="0.3">
      <c r="A153" t="s">
        <v>500</v>
      </c>
      <c r="B153">
        <v>2</v>
      </c>
      <c r="C153" t="s">
        <v>0</v>
      </c>
      <c r="D153" t="s">
        <v>500</v>
      </c>
      <c r="E153">
        <v>30</v>
      </c>
      <c r="F153" t="s">
        <v>499</v>
      </c>
      <c r="I153">
        <v>16</v>
      </c>
      <c r="J153" t="s">
        <v>398</v>
      </c>
      <c r="K153">
        <v>347</v>
      </c>
      <c r="L153" t="s">
        <v>1</v>
      </c>
      <c r="M153" t="s">
        <v>0</v>
      </c>
      <c r="N153" t="s">
        <v>1266</v>
      </c>
      <c r="O153" t="s">
        <v>1266</v>
      </c>
      <c r="P153" t="s">
        <v>1266</v>
      </c>
      <c r="Q153" t="s">
        <v>1266</v>
      </c>
      <c r="R153" t="s">
        <v>1266</v>
      </c>
    </row>
    <row r="154" spans="1:18" x14ac:dyDescent="0.3">
      <c r="A154" t="s">
        <v>1503</v>
      </c>
      <c r="B154">
        <v>3</v>
      </c>
      <c r="C154" t="s">
        <v>0</v>
      </c>
      <c r="D154" t="s">
        <v>1503</v>
      </c>
      <c r="E154">
        <v>30</v>
      </c>
      <c r="F154" t="s">
        <v>1503</v>
      </c>
      <c r="I154">
        <v>19</v>
      </c>
      <c r="J154" t="s">
        <v>398</v>
      </c>
      <c r="K154">
        <v>348</v>
      </c>
      <c r="L154" t="s">
        <v>1</v>
      </c>
      <c r="M154" t="s">
        <v>0</v>
      </c>
      <c r="N154" t="s">
        <v>1266</v>
      </c>
      <c r="O154" t="s">
        <v>1266</v>
      </c>
      <c r="P154" t="s">
        <v>1266</v>
      </c>
      <c r="Q154" t="s">
        <v>1266</v>
      </c>
      <c r="R154" t="s">
        <v>1266</v>
      </c>
    </row>
    <row r="155" spans="1:18" x14ac:dyDescent="0.3">
      <c r="A155" t="s">
        <v>491</v>
      </c>
      <c r="B155">
        <v>4</v>
      </c>
      <c r="C155" t="s">
        <v>1</v>
      </c>
      <c r="D155" t="s">
        <v>491</v>
      </c>
      <c r="E155">
        <v>30</v>
      </c>
      <c r="F155" t="s">
        <v>490</v>
      </c>
      <c r="I155">
        <v>5</v>
      </c>
      <c r="J155" t="s">
        <v>398</v>
      </c>
      <c r="K155">
        <v>349</v>
      </c>
      <c r="L155" t="s">
        <v>0</v>
      </c>
      <c r="M155" t="s">
        <v>0</v>
      </c>
      <c r="N155" t="s">
        <v>1266</v>
      </c>
      <c r="O155" t="s">
        <v>1266</v>
      </c>
      <c r="P155" t="s">
        <v>1266</v>
      </c>
      <c r="Q155" t="s">
        <v>1266</v>
      </c>
      <c r="R155" t="s">
        <v>1266</v>
      </c>
    </row>
    <row r="156" spans="1:18" x14ac:dyDescent="0.3">
      <c r="A156" t="s">
        <v>497</v>
      </c>
      <c r="B156">
        <v>5</v>
      </c>
      <c r="C156" t="s">
        <v>0</v>
      </c>
      <c r="D156" t="s">
        <v>497</v>
      </c>
      <c r="E156">
        <v>30</v>
      </c>
      <c r="F156" t="s">
        <v>496</v>
      </c>
      <c r="I156">
        <v>5</v>
      </c>
      <c r="J156" t="s">
        <v>398</v>
      </c>
      <c r="K156">
        <v>350</v>
      </c>
      <c r="L156" t="s">
        <v>1</v>
      </c>
      <c r="M156" t="s">
        <v>0</v>
      </c>
      <c r="N156" t="s">
        <v>1266</v>
      </c>
      <c r="O156" t="s">
        <v>1266</v>
      </c>
      <c r="P156" t="s">
        <v>1266</v>
      </c>
      <c r="Q156" t="s">
        <v>1266</v>
      </c>
      <c r="R156" t="s">
        <v>1266</v>
      </c>
    </row>
    <row r="157" spans="1:18" x14ac:dyDescent="0.3">
      <c r="A157" t="s">
        <v>495</v>
      </c>
      <c r="B157">
        <v>6</v>
      </c>
      <c r="C157" t="s">
        <v>0</v>
      </c>
      <c r="D157" t="s">
        <v>495</v>
      </c>
      <c r="E157">
        <v>30</v>
      </c>
      <c r="F157" t="s">
        <v>494</v>
      </c>
      <c r="I157">
        <v>6</v>
      </c>
      <c r="J157" t="s">
        <v>398</v>
      </c>
      <c r="K157">
        <v>351</v>
      </c>
      <c r="L157" t="s">
        <v>1</v>
      </c>
      <c r="M157" t="s">
        <v>0</v>
      </c>
      <c r="N157" t="s">
        <v>1266</v>
      </c>
      <c r="O157" t="s">
        <v>1266</v>
      </c>
      <c r="P157" t="s">
        <v>1266</v>
      </c>
      <c r="Q157" t="s">
        <v>1266</v>
      </c>
      <c r="R157" t="s">
        <v>1266</v>
      </c>
    </row>
    <row r="158" spans="1:18" x14ac:dyDescent="0.3">
      <c r="A158" t="s">
        <v>1582</v>
      </c>
      <c r="B158">
        <v>7</v>
      </c>
      <c r="C158" t="s">
        <v>0</v>
      </c>
      <c r="D158" t="s">
        <v>1582</v>
      </c>
      <c r="E158">
        <v>30</v>
      </c>
      <c r="F158" t="s">
        <v>1582</v>
      </c>
      <c r="I158">
        <v>16</v>
      </c>
      <c r="J158" t="s">
        <v>398</v>
      </c>
      <c r="K158">
        <v>352</v>
      </c>
      <c r="L158" t="s">
        <v>1</v>
      </c>
      <c r="M158" t="s">
        <v>0</v>
      </c>
      <c r="N158" t="s">
        <v>1266</v>
      </c>
      <c r="O158" t="s">
        <v>1266</v>
      </c>
      <c r="P158" t="s">
        <v>1266</v>
      </c>
      <c r="Q158" t="s">
        <v>1266</v>
      </c>
      <c r="R158" t="s">
        <v>1266</v>
      </c>
    </row>
    <row r="159" spans="1:18" x14ac:dyDescent="0.3">
      <c r="A159" t="s">
        <v>1477</v>
      </c>
      <c r="B159">
        <v>8</v>
      </c>
      <c r="C159" t="s">
        <v>0</v>
      </c>
      <c r="D159" t="s">
        <v>1477</v>
      </c>
      <c r="E159">
        <v>30</v>
      </c>
      <c r="F159" t="s">
        <v>1477</v>
      </c>
      <c r="I159">
        <v>16</v>
      </c>
      <c r="J159" t="s">
        <v>398</v>
      </c>
      <c r="K159">
        <v>353</v>
      </c>
      <c r="L159" t="s">
        <v>1</v>
      </c>
      <c r="M159" t="s">
        <v>0</v>
      </c>
      <c r="N159" t="s">
        <v>1266</v>
      </c>
      <c r="O159" t="s">
        <v>1266</v>
      </c>
      <c r="P159" t="s">
        <v>1266</v>
      </c>
      <c r="Q159" t="s">
        <v>1266</v>
      </c>
      <c r="R159" t="s">
        <v>1266</v>
      </c>
    </row>
    <row r="160" spans="1:18" x14ac:dyDescent="0.3">
      <c r="A160" t="s">
        <v>614</v>
      </c>
      <c r="B160">
        <v>9</v>
      </c>
      <c r="C160" t="s">
        <v>0</v>
      </c>
      <c r="D160" t="s">
        <v>614</v>
      </c>
      <c r="E160">
        <v>30</v>
      </c>
      <c r="F160" t="s">
        <v>614</v>
      </c>
      <c r="I160">
        <v>5</v>
      </c>
      <c r="J160" t="s">
        <v>398</v>
      </c>
      <c r="K160">
        <v>354</v>
      </c>
      <c r="L160" t="s">
        <v>1</v>
      </c>
      <c r="M160" t="s">
        <v>0</v>
      </c>
      <c r="N160" t="s">
        <v>1266</v>
      </c>
      <c r="O160" t="s">
        <v>1266</v>
      </c>
      <c r="P160" t="s">
        <v>1266</v>
      </c>
      <c r="Q160" t="s">
        <v>1266</v>
      </c>
      <c r="R160" t="s">
        <v>1266</v>
      </c>
    </row>
    <row r="161" spans="1:18" x14ac:dyDescent="0.3">
      <c r="A161" t="s">
        <v>1540</v>
      </c>
      <c r="B161">
        <v>10</v>
      </c>
      <c r="C161" t="s">
        <v>0</v>
      </c>
      <c r="D161" t="s">
        <v>1540</v>
      </c>
      <c r="E161">
        <v>30</v>
      </c>
      <c r="F161" t="s">
        <v>1540</v>
      </c>
      <c r="I161">
        <v>6</v>
      </c>
      <c r="J161" t="s">
        <v>398</v>
      </c>
      <c r="K161">
        <v>355</v>
      </c>
      <c r="L161" t="s">
        <v>1</v>
      </c>
      <c r="M161" t="s">
        <v>0</v>
      </c>
      <c r="N161" t="s">
        <v>1266</v>
      </c>
      <c r="O161" t="s">
        <v>1266</v>
      </c>
      <c r="P161" t="s">
        <v>1266</v>
      </c>
      <c r="Q161" t="s">
        <v>1266</v>
      </c>
      <c r="R161" t="s">
        <v>1266</v>
      </c>
    </row>
    <row r="162" spans="1:18" x14ac:dyDescent="0.3">
      <c r="A162" t="s">
        <v>1409</v>
      </c>
      <c r="B162">
        <v>11</v>
      </c>
      <c r="C162" t="s">
        <v>0</v>
      </c>
      <c r="D162" t="s">
        <v>1409</v>
      </c>
      <c r="E162">
        <v>30</v>
      </c>
      <c r="F162" t="s">
        <v>1409</v>
      </c>
      <c r="I162">
        <v>16</v>
      </c>
      <c r="J162" t="s">
        <v>398</v>
      </c>
      <c r="K162">
        <v>356</v>
      </c>
      <c r="L162" t="s">
        <v>1</v>
      </c>
      <c r="M162" t="s">
        <v>0</v>
      </c>
      <c r="N162" t="s">
        <v>1266</v>
      </c>
      <c r="O162" t="s">
        <v>1266</v>
      </c>
      <c r="P162" t="s">
        <v>1266</v>
      </c>
      <c r="Q162" t="s">
        <v>1266</v>
      </c>
      <c r="R162" t="s">
        <v>1266</v>
      </c>
    </row>
    <row r="163" spans="1:18" x14ac:dyDescent="0.3">
      <c r="A163" t="s">
        <v>1528</v>
      </c>
      <c r="B163">
        <v>12</v>
      </c>
      <c r="C163" t="s">
        <v>0</v>
      </c>
      <c r="D163" t="s">
        <v>1528</v>
      </c>
      <c r="E163">
        <v>30</v>
      </c>
      <c r="F163" t="s">
        <v>1528</v>
      </c>
      <c r="I163">
        <v>21</v>
      </c>
      <c r="J163" t="s">
        <v>398</v>
      </c>
      <c r="K163">
        <v>357</v>
      </c>
      <c r="L163" t="s">
        <v>1</v>
      </c>
      <c r="M163" t="s">
        <v>0</v>
      </c>
      <c r="N163" t="s">
        <v>1266</v>
      </c>
      <c r="O163" t="s">
        <v>1266</v>
      </c>
      <c r="P163" t="s">
        <v>1266</v>
      </c>
      <c r="Q163" t="s">
        <v>1266</v>
      </c>
      <c r="R163" t="s">
        <v>1266</v>
      </c>
    </row>
    <row r="164" spans="1:18" x14ac:dyDescent="0.3">
      <c r="A164" t="s">
        <v>504</v>
      </c>
      <c r="B164">
        <v>13</v>
      </c>
      <c r="C164" t="s">
        <v>0</v>
      </c>
      <c r="D164" t="s">
        <v>504</v>
      </c>
      <c r="E164">
        <v>30</v>
      </c>
      <c r="F164" t="s">
        <v>503</v>
      </c>
      <c r="I164">
        <v>16</v>
      </c>
      <c r="J164" t="s">
        <v>398</v>
      </c>
      <c r="K164">
        <v>358</v>
      </c>
      <c r="L164" t="s">
        <v>1</v>
      </c>
      <c r="M164" t="s">
        <v>0</v>
      </c>
      <c r="N164" t="s">
        <v>1266</v>
      </c>
      <c r="O164" t="s">
        <v>1266</v>
      </c>
      <c r="P164" t="s">
        <v>1266</v>
      </c>
      <c r="Q164" t="s">
        <v>1266</v>
      </c>
      <c r="R164" t="s">
        <v>1266</v>
      </c>
    </row>
    <row r="165" spans="1:18" x14ac:dyDescent="0.3">
      <c r="A165" t="s">
        <v>502</v>
      </c>
      <c r="B165">
        <v>14</v>
      </c>
      <c r="C165" t="s">
        <v>0</v>
      </c>
      <c r="D165" t="s">
        <v>502</v>
      </c>
      <c r="E165">
        <v>30</v>
      </c>
      <c r="F165" t="s">
        <v>501</v>
      </c>
      <c r="I165">
        <v>5</v>
      </c>
      <c r="J165" t="s">
        <v>398</v>
      </c>
      <c r="K165">
        <v>359</v>
      </c>
      <c r="L165" t="s">
        <v>1</v>
      </c>
      <c r="M165" t="s">
        <v>0</v>
      </c>
      <c r="N165" t="s">
        <v>1266</v>
      </c>
      <c r="O165" t="s">
        <v>1266</v>
      </c>
      <c r="P165" t="s">
        <v>1266</v>
      </c>
      <c r="Q165" t="s">
        <v>1266</v>
      </c>
      <c r="R165" t="s">
        <v>1266</v>
      </c>
    </row>
    <row r="166" spans="1:18" x14ac:dyDescent="0.3">
      <c r="A166" t="s">
        <v>441</v>
      </c>
      <c r="B166">
        <v>15</v>
      </c>
      <c r="C166" t="s">
        <v>1</v>
      </c>
      <c r="D166" t="s">
        <v>441</v>
      </c>
      <c r="E166">
        <v>30</v>
      </c>
      <c r="F166" t="s">
        <v>440</v>
      </c>
      <c r="I166">
        <v>12</v>
      </c>
      <c r="J166" t="s">
        <v>398</v>
      </c>
      <c r="K166">
        <v>360</v>
      </c>
      <c r="L166" t="s">
        <v>1</v>
      </c>
      <c r="M166" t="s">
        <v>0</v>
      </c>
      <c r="N166" t="s">
        <v>1266</v>
      </c>
      <c r="O166" t="s">
        <v>1266</v>
      </c>
      <c r="P166" t="s">
        <v>1266</v>
      </c>
      <c r="Q166" t="s">
        <v>1266</v>
      </c>
      <c r="R166" t="s">
        <v>1266</v>
      </c>
    </row>
    <row r="167" spans="1:18" x14ac:dyDescent="0.3">
      <c r="A167" t="s">
        <v>430</v>
      </c>
      <c r="B167">
        <v>16</v>
      </c>
      <c r="C167" t="s">
        <v>1</v>
      </c>
      <c r="D167" t="s">
        <v>430</v>
      </c>
      <c r="E167">
        <v>30</v>
      </c>
      <c r="F167" t="s">
        <v>429</v>
      </c>
      <c r="I167">
        <v>12</v>
      </c>
      <c r="J167" t="s">
        <v>398</v>
      </c>
      <c r="K167">
        <v>361</v>
      </c>
      <c r="L167" t="s">
        <v>1</v>
      </c>
      <c r="M167" t="s">
        <v>0</v>
      </c>
      <c r="N167" t="s">
        <v>1266</v>
      </c>
      <c r="O167" t="s">
        <v>1266</v>
      </c>
      <c r="P167" t="s">
        <v>1266</v>
      </c>
      <c r="Q167" t="s">
        <v>1266</v>
      </c>
      <c r="R167" t="s">
        <v>1266</v>
      </c>
    </row>
    <row r="168" spans="1:18" x14ac:dyDescent="0.3">
      <c r="A168" t="s">
        <v>431</v>
      </c>
      <c r="B168">
        <v>17</v>
      </c>
      <c r="C168" t="s">
        <v>1</v>
      </c>
      <c r="D168" t="s">
        <v>431</v>
      </c>
      <c r="E168">
        <v>30</v>
      </c>
      <c r="F168" t="s">
        <v>498</v>
      </c>
      <c r="I168">
        <v>5</v>
      </c>
      <c r="J168" t="s">
        <v>398</v>
      </c>
      <c r="K168">
        <v>362</v>
      </c>
      <c r="L168" t="s">
        <v>1</v>
      </c>
      <c r="M168" t="s">
        <v>0</v>
      </c>
      <c r="N168" t="s">
        <v>1266</v>
      </c>
      <c r="O168" t="s">
        <v>1266</v>
      </c>
      <c r="P168" t="s">
        <v>1266</v>
      </c>
      <c r="Q168" t="s">
        <v>1266</v>
      </c>
      <c r="R168" t="s">
        <v>1266</v>
      </c>
    </row>
    <row r="169" spans="1:18" x14ac:dyDescent="0.3">
      <c r="A169" t="s">
        <v>493</v>
      </c>
      <c r="B169">
        <v>18</v>
      </c>
      <c r="C169" t="s">
        <v>1</v>
      </c>
      <c r="D169" t="s">
        <v>493</v>
      </c>
      <c r="E169">
        <v>30</v>
      </c>
      <c r="F169" t="s">
        <v>492</v>
      </c>
      <c r="I169">
        <v>21</v>
      </c>
      <c r="J169" t="s">
        <v>398</v>
      </c>
      <c r="K169">
        <v>363</v>
      </c>
      <c r="L169" t="s">
        <v>1</v>
      </c>
      <c r="M169" t="s">
        <v>0</v>
      </c>
      <c r="N169" t="s">
        <v>1266</v>
      </c>
      <c r="O169" t="s">
        <v>1266</v>
      </c>
      <c r="P169" t="s">
        <v>1266</v>
      </c>
      <c r="Q169" t="s">
        <v>1266</v>
      </c>
      <c r="R169" t="s">
        <v>1266</v>
      </c>
    </row>
    <row r="170" spans="1:18" x14ac:dyDescent="0.3">
      <c r="A170" t="s">
        <v>524</v>
      </c>
      <c r="B170">
        <v>1</v>
      </c>
      <c r="C170" t="s">
        <v>1</v>
      </c>
      <c r="D170" t="s">
        <v>524</v>
      </c>
      <c r="E170">
        <v>30</v>
      </c>
      <c r="F170" t="s">
        <v>523</v>
      </c>
      <c r="I170">
        <v>5</v>
      </c>
      <c r="J170" t="s">
        <v>397</v>
      </c>
      <c r="K170">
        <v>34</v>
      </c>
      <c r="L170" t="s">
        <v>0</v>
      </c>
      <c r="M170" t="s">
        <v>0</v>
      </c>
      <c r="N170" t="s">
        <v>1266</v>
      </c>
      <c r="O170" t="s">
        <v>1266</v>
      </c>
      <c r="P170" t="s">
        <v>1266</v>
      </c>
      <c r="Q170" t="s">
        <v>1266</v>
      </c>
      <c r="R170" t="s">
        <v>1266</v>
      </c>
    </row>
    <row r="171" spans="1:18" x14ac:dyDescent="0.3">
      <c r="A171" t="s">
        <v>440</v>
      </c>
      <c r="B171">
        <v>2</v>
      </c>
      <c r="C171" t="s">
        <v>1</v>
      </c>
      <c r="D171" t="s">
        <v>440</v>
      </c>
      <c r="E171">
        <v>30</v>
      </c>
      <c r="F171" t="s">
        <v>440</v>
      </c>
      <c r="I171">
        <v>12</v>
      </c>
      <c r="J171" t="s">
        <v>397</v>
      </c>
      <c r="K171">
        <v>35</v>
      </c>
      <c r="L171" t="s">
        <v>1</v>
      </c>
      <c r="M171" t="s">
        <v>0</v>
      </c>
      <c r="N171" t="s">
        <v>1266</v>
      </c>
      <c r="O171" t="s">
        <v>1266</v>
      </c>
      <c r="P171" t="s">
        <v>1266</v>
      </c>
      <c r="Q171" t="s">
        <v>1266</v>
      </c>
      <c r="R171" t="s">
        <v>1266</v>
      </c>
    </row>
    <row r="172" spans="1:18" x14ac:dyDescent="0.3">
      <c r="A172" t="s">
        <v>429</v>
      </c>
      <c r="B172">
        <v>3</v>
      </c>
      <c r="C172" t="s">
        <v>1</v>
      </c>
      <c r="D172" t="s">
        <v>429</v>
      </c>
      <c r="E172">
        <v>30</v>
      </c>
      <c r="F172" t="s">
        <v>429</v>
      </c>
      <c r="I172">
        <v>12</v>
      </c>
      <c r="J172" t="s">
        <v>397</v>
      </c>
      <c r="K172">
        <v>36</v>
      </c>
      <c r="L172" t="s">
        <v>1</v>
      </c>
      <c r="M172" t="s">
        <v>0</v>
      </c>
      <c r="N172" t="s">
        <v>1266</v>
      </c>
      <c r="O172" t="s">
        <v>1266</v>
      </c>
      <c r="P172" t="s">
        <v>1266</v>
      </c>
      <c r="Q172" t="s">
        <v>1266</v>
      </c>
      <c r="R172" t="s">
        <v>1266</v>
      </c>
    </row>
    <row r="173" spans="1:18" x14ac:dyDescent="0.3">
      <c r="A173" t="s">
        <v>528</v>
      </c>
      <c r="B173">
        <v>4</v>
      </c>
      <c r="C173" t="s">
        <v>1</v>
      </c>
      <c r="D173" t="s">
        <v>528</v>
      </c>
      <c r="E173">
        <v>30</v>
      </c>
      <c r="F173" t="s">
        <v>527</v>
      </c>
      <c r="I173">
        <v>5</v>
      </c>
      <c r="J173" t="s">
        <v>397</v>
      </c>
      <c r="K173">
        <v>37</v>
      </c>
      <c r="L173" t="s">
        <v>1</v>
      </c>
      <c r="M173" t="s">
        <v>0</v>
      </c>
      <c r="N173" t="s">
        <v>1266</v>
      </c>
      <c r="O173" t="s">
        <v>1266</v>
      </c>
      <c r="P173" t="s">
        <v>1266</v>
      </c>
      <c r="Q173" t="s">
        <v>1266</v>
      </c>
      <c r="R173" t="s">
        <v>1266</v>
      </c>
    </row>
    <row r="174" spans="1:18" x14ac:dyDescent="0.3">
      <c r="A174" t="s">
        <v>1632</v>
      </c>
      <c r="B174">
        <v>5</v>
      </c>
      <c r="C174" t="s">
        <v>0</v>
      </c>
      <c r="D174" t="s">
        <v>526</v>
      </c>
      <c r="E174">
        <v>30</v>
      </c>
      <c r="F174" t="s">
        <v>525</v>
      </c>
      <c r="I174">
        <v>6</v>
      </c>
      <c r="J174" t="s">
        <v>397</v>
      </c>
      <c r="K174">
        <v>38</v>
      </c>
      <c r="L174" t="s">
        <v>1</v>
      </c>
      <c r="M174" t="s">
        <v>0</v>
      </c>
      <c r="N174" t="s">
        <v>1266</v>
      </c>
      <c r="O174" t="s">
        <v>1266</v>
      </c>
      <c r="P174" t="s">
        <v>1266</v>
      </c>
      <c r="Q174" t="s">
        <v>1266</v>
      </c>
      <c r="R174" t="s">
        <v>1266</v>
      </c>
    </row>
    <row r="175" spans="1:18" x14ac:dyDescent="0.3">
      <c r="A175" t="s">
        <v>535</v>
      </c>
      <c r="B175">
        <v>6</v>
      </c>
      <c r="C175" t="s">
        <v>0</v>
      </c>
      <c r="D175" t="s">
        <v>535</v>
      </c>
      <c r="E175">
        <v>30</v>
      </c>
      <c r="F175" t="s">
        <v>535</v>
      </c>
      <c r="I175">
        <v>5</v>
      </c>
      <c r="J175" t="s">
        <v>397</v>
      </c>
      <c r="K175">
        <v>39</v>
      </c>
      <c r="L175" t="s">
        <v>1</v>
      </c>
      <c r="M175" t="s">
        <v>0</v>
      </c>
      <c r="N175" t="s">
        <v>1266</v>
      </c>
      <c r="O175" t="s">
        <v>1266</v>
      </c>
      <c r="P175" t="s">
        <v>1266</v>
      </c>
      <c r="Q175" t="s">
        <v>1266</v>
      </c>
      <c r="R175" t="s">
        <v>1266</v>
      </c>
    </row>
    <row r="176" spans="1:18" x14ac:dyDescent="0.3">
      <c r="A176" t="s">
        <v>832</v>
      </c>
      <c r="B176">
        <v>1</v>
      </c>
      <c r="C176" t="s">
        <v>0</v>
      </c>
      <c r="D176" t="s">
        <v>832</v>
      </c>
      <c r="E176">
        <v>30</v>
      </c>
      <c r="F176" t="s">
        <v>718</v>
      </c>
      <c r="I176">
        <v>5</v>
      </c>
      <c r="J176" t="s">
        <v>404</v>
      </c>
      <c r="K176">
        <v>364</v>
      </c>
      <c r="L176" t="s">
        <v>1</v>
      </c>
      <c r="M176" t="s">
        <v>0</v>
      </c>
      <c r="N176" t="s">
        <v>1266</v>
      </c>
      <c r="O176" t="s">
        <v>1266</v>
      </c>
      <c r="P176" t="s">
        <v>1266</v>
      </c>
      <c r="Q176" t="s">
        <v>1266</v>
      </c>
      <c r="R176" t="s">
        <v>1266</v>
      </c>
    </row>
    <row r="177" spans="1:18" x14ac:dyDescent="0.3">
      <c r="A177" t="s">
        <v>1433</v>
      </c>
      <c r="B177">
        <v>2</v>
      </c>
      <c r="C177" t="s">
        <v>0</v>
      </c>
      <c r="D177" t="s">
        <v>1433</v>
      </c>
      <c r="E177">
        <v>30</v>
      </c>
      <c r="F177" t="s">
        <v>1433</v>
      </c>
      <c r="I177">
        <v>6</v>
      </c>
      <c r="J177" t="s">
        <v>404</v>
      </c>
      <c r="K177">
        <v>365</v>
      </c>
      <c r="L177" t="s">
        <v>1</v>
      </c>
      <c r="M177" t="s">
        <v>0</v>
      </c>
      <c r="N177" t="s">
        <v>1266</v>
      </c>
      <c r="O177" t="s">
        <v>1266</v>
      </c>
      <c r="P177" t="s">
        <v>1266</v>
      </c>
      <c r="Q177" t="s">
        <v>1266</v>
      </c>
      <c r="R177" t="s">
        <v>1266</v>
      </c>
    </row>
    <row r="178" spans="1:18" x14ac:dyDescent="0.3">
      <c r="A178" t="s">
        <v>837</v>
      </c>
      <c r="B178">
        <v>3</v>
      </c>
      <c r="C178" t="s">
        <v>0</v>
      </c>
      <c r="D178" t="s">
        <v>837</v>
      </c>
      <c r="E178">
        <v>30</v>
      </c>
      <c r="F178" t="s">
        <v>836</v>
      </c>
      <c r="I178">
        <v>16</v>
      </c>
      <c r="J178" t="s">
        <v>404</v>
      </c>
      <c r="K178">
        <v>366</v>
      </c>
      <c r="L178" t="s">
        <v>1</v>
      </c>
      <c r="M178" t="s">
        <v>0</v>
      </c>
      <c r="N178" t="s">
        <v>1266</v>
      </c>
      <c r="O178" t="s">
        <v>1266</v>
      </c>
      <c r="P178" t="s">
        <v>1266</v>
      </c>
      <c r="Q178" t="s">
        <v>1266</v>
      </c>
      <c r="R178" t="s">
        <v>1266</v>
      </c>
    </row>
    <row r="179" spans="1:18" x14ac:dyDescent="0.3">
      <c r="A179" t="s">
        <v>843</v>
      </c>
      <c r="B179">
        <v>4</v>
      </c>
      <c r="C179" t="s">
        <v>0</v>
      </c>
      <c r="D179" t="s">
        <v>843</v>
      </c>
      <c r="E179">
        <v>30</v>
      </c>
      <c r="F179" t="s">
        <v>842</v>
      </c>
      <c r="I179">
        <v>5</v>
      </c>
      <c r="J179" t="s">
        <v>404</v>
      </c>
      <c r="K179">
        <v>367</v>
      </c>
      <c r="L179" t="s">
        <v>1</v>
      </c>
      <c r="M179" t="s">
        <v>0</v>
      </c>
      <c r="N179" t="s">
        <v>1266</v>
      </c>
      <c r="O179" t="s">
        <v>1266</v>
      </c>
      <c r="P179" t="s">
        <v>1266</v>
      </c>
      <c r="Q179" t="s">
        <v>1266</v>
      </c>
      <c r="R179" t="s">
        <v>1266</v>
      </c>
    </row>
    <row r="180" spans="1:18" x14ac:dyDescent="0.3">
      <c r="A180" t="s">
        <v>839</v>
      </c>
      <c r="B180">
        <v>5</v>
      </c>
      <c r="C180" t="s">
        <v>0</v>
      </c>
      <c r="D180" t="s">
        <v>839</v>
      </c>
      <c r="E180">
        <v>30</v>
      </c>
      <c r="F180" t="s">
        <v>838</v>
      </c>
      <c r="I180">
        <v>21</v>
      </c>
      <c r="J180" t="s">
        <v>404</v>
      </c>
      <c r="K180">
        <v>368</v>
      </c>
      <c r="L180" t="s">
        <v>1</v>
      </c>
      <c r="M180" t="s">
        <v>0</v>
      </c>
      <c r="N180" t="s">
        <v>1266</v>
      </c>
      <c r="O180" t="s">
        <v>1266</v>
      </c>
      <c r="P180" t="s">
        <v>1266</v>
      </c>
      <c r="Q180" t="s">
        <v>1266</v>
      </c>
      <c r="R180" t="s">
        <v>1266</v>
      </c>
    </row>
    <row r="181" spans="1:18" x14ac:dyDescent="0.3">
      <c r="A181" t="s">
        <v>841</v>
      </c>
      <c r="B181">
        <v>6</v>
      </c>
      <c r="C181" t="s">
        <v>0</v>
      </c>
      <c r="D181" t="s">
        <v>841</v>
      </c>
      <c r="E181">
        <v>30</v>
      </c>
      <c r="F181" t="s">
        <v>840</v>
      </c>
      <c r="I181">
        <v>21</v>
      </c>
      <c r="J181" t="s">
        <v>404</v>
      </c>
      <c r="K181">
        <v>369</v>
      </c>
      <c r="L181" t="s">
        <v>1</v>
      </c>
      <c r="M181" t="s">
        <v>0</v>
      </c>
      <c r="N181" t="s">
        <v>1266</v>
      </c>
      <c r="O181" t="s">
        <v>1266</v>
      </c>
      <c r="P181" t="s">
        <v>1266</v>
      </c>
      <c r="Q181" t="s">
        <v>1266</v>
      </c>
      <c r="R181" t="s">
        <v>1266</v>
      </c>
    </row>
    <row r="182" spans="1:18" x14ac:dyDescent="0.3">
      <c r="A182" t="s">
        <v>828</v>
      </c>
      <c r="B182">
        <v>7</v>
      </c>
      <c r="C182" t="s">
        <v>0</v>
      </c>
      <c r="D182" t="s">
        <v>828</v>
      </c>
      <c r="E182">
        <v>30</v>
      </c>
      <c r="F182" t="s">
        <v>827</v>
      </c>
      <c r="I182">
        <v>1</v>
      </c>
      <c r="J182" t="s">
        <v>404</v>
      </c>
      <c r="K182">
        <v>370</v>
      </c>
      <c r="L182" t="s">
        <v>1</v>
      </c>
      <c r="M182" t="s">
        <v>0</v>
      </c>
      <c r="N182" t="s">
        <v>1266</v>
      </c>
      <c r="O182" t="s">
        <v>1266</v>
      </c>
      <c r="P182" t="s">
        <v>1266</v>
      </c>
      <c r="Q182" t="s">
        <v>1266</v>
      </c>
      <c r="R182" t="s">
        <v>1266</v>
      </c>
    </row>
    <row r="183" spans="1:18" x14ac:dyDescent="0.3">
      <c r="A183" t="s">
        <v>524</v>
      </c>
      <c r="B183">
        <v>8</v>
      </c>
      <c r="C183" t="s">
        <v>1</v>
      </c>
      <c r="D183" t="s">
        <v>524</v>
      </c>
      <c r="E183">
        <v>30</v>
      </c>
      <c r="F183" t="s">
        <v>523</v>
      </c>
      <c r="I183">
        <v>5</v>
      </c>
      <c r="J183" t="s">
        <v>404</v>
      </c>
      <c r="K183">
        <v>371</v>
      </c>
      <c r="L183" t="s">
        <v>0</v>
      </c>
      <c r="M183" t="s">
        <v>0</v>
      </c>
      <c r="N183" t="s">
        <v>1266</v>
      </c>
      <c r="O183" t="s">
        <v>1266</v>
      </c>
      <c r="P183" t="s">
        <v>1266</v>
      </c>
      <c r="Q183" t="s">
        <v>1266</v>
      </c>
      <c r="R183" t="s">
        <v>1266</v>
      </c>
    </row>
    <row r="184" spans="1:18" x14ac:dyDescent="0.3">
      <c r="A184" t="s">
        <v>1644</v>
      </c>
      <c r="B184">
        <v>9</v>
      </c>
      <c r="C184" t="s">
        <v>1</v>
      </c>
      <c r="D184" t="s">
        <v>826</v>
      </c>
      <c r="E184">
        <v>30</v>
      </c>
      <c r="F184" t="s">
        <v>825</v>
      </c>
      <c r="I184">
        <v>5</v>
      </c>
      <c r="J184" t="s">
        <v>404</v>
      </c>
      <c r="K184">
        <v>372</v>
      </c>
      <c r="L184" t="s">
        <v>1</v>
      </c>
      <c r="M184" t="s">
        <v>0</v>
      </c>
      <c r="N184" t="s">
        <v>1266</v>
      </c>
      <c r="O184" t="s">
        <v>1266</v>
      </c>
      <c r="P184" t="s">
        <v>1266</v>
      </c>
      <c r="Q184" t="s">
        <v>1266</v>
      </c>
      <c r="R184" t="s">
        <v>1266</v>
      </c>
    </row>
    <row r="185" spans="1:18" x14ac:dyDescent="0.3">
      <c r="A185" t="s">
        <v>830</v>
      </c>
      <c r="B185">
        <v>10</v>
      </c>
      <c r="C185" t="s">
        <v>0</v>
      </c>
      <c r="D185" t="s">
        <v>830</v>
      </c>
      <c r="E185">
        <v>30</v>
      </c>
      <c r="F185" t="s">
        <v>829</v>
      </c>
      <c r="I185">
        <v>6</v>
      </c>
      <c r="J185" t="s">
        <v>404</v>
      </c>
      <c r="K185">
        <v>373</v>
      </c>
      <c r="L185" t="s">
        <v>1</v>
      </c>
      <c r="M185" t="s">
        <v>0</v>
      </c>
      <c r="N185" t="s">
        <v>1266</v>
      </c>
      <c r="O185" t="s">
        <v>1266</v>
      </c>
      <c r="P185" t="s">
        <v>1266</v>
      </c>
      <c r="Q185" t="s">
        <v>1266</v>
      </c>
      <c r="R185" t="s">
        <v>1266</v>
      </c>
    </row>
    <row r="186" spans="1:18" x14ac:dyDescent="0.3">
      <c r="A186" t="s">
        <v>1465</v>
      </c>
      <c r="B186">
        <v>11</v>
      </c>
      <c r="C186" t="s">
        <v>0</v>
      </c>
      <c r="D186" t="s">
        <v>1465</v>
      </c>
      <c r="E186">
        <v>30</v>
      </c>
      <c r="F186" t="s">
        <v>1465</v>
      </c>
      <c r="I186">
        <v>5</v>
      </c>
      <c r="J186" t="s">
        <v>404</v>
      </c>
      <c r="K186">
        <v>374</v>
      </c>
      <c r="L186" t="s">
        <v>1</v>
      </c>
      <c r="M186" t="s">
        <v>0</v>
      </c>
      <c r="N186" t="s">
        <v>1266</v>
      </c>
      <c r="O186" t="s">
        <v>1266</v>
      </c>
      <c r="P186" t="s">
        <v>1266</v>
      </c>
      <c r="Q186" t="s">
        <v>1266</v>
      </c>
      <c r="R186" t="s">
        <v>1266</v>
      </c>
    </row>
    <row r="187" spans="1:18" x14ac:dyDescent="0.3">
      <c r="A187" t="s">
        <v>833</v>
      </c>
      <c r="B187">
        <v>12</v>
      </c>
      <c r="C187" t="s">
        <v>0</v>
      </c>
      <c r="D187" t="s">
        <v>833</v>
      </c>
      <c r="E187">
        <v>30</v>
      </c>
      <c r="F187" t="s">
        <v>726</v>
      </c>
      <c r="I187">
        <v>1</v>
      </c>
      <c r="J187" t="s">
        <v>404</v>
      </c>
      <c r="K187">
        <v>375</v>
      </c>
      <c r="L187" t="s">
        <v>1</v>
      </c>
      <c r="M187" t="s">
        <v>0</v>
      </c>
      <c r="N187" t="s">
        <v>1266</v>
      </c>
      <c r="O187" t="s">
        <v>1266</v>
      </c>
      <c r="P187" t="s">
        <v>1266</v>
      </c>
      <c r="Q187" t="s">
        <v>1266</v>
      </c>
      <c r="R187" t="s">
        <v>1266</v>
      </c>
    </row>
    <row r="188" spans="1:18" x14ac:dyDescent="0.3">
      <c r="A188" t="s">
        <v>1641</v>
      </c>
      <c r="B188">
        <v>13</v>
      </c>
      <c r="C188" t="s">
        <v>0</v>
      </c>
      <c r="D188" t="s">
        <v>831</v>
      </c>
      <c r="E188">
        <v>30</v>
      </c>
      <c r="F188" t="s">
        <v>720</v>
      </c>
      <c r="I188">
        <v>5</v>
      </c>
      <c r="J188" t="s">
        <v>404</v>
      </c>
      <c r="K188">
        <v>376</v>
      </c>
      <c r="L188" t="s">
        <v>1</v>
      </c>
      <c r="M188" t="s">
        <v>0</v>
      </c>
      <c r="N188" t="s">
        <v>1266</v>
      </c>
      <c r="O188" t="s">
        <v>1266</v>
      </c>
      <c r="P188" t="s">
        <v>1266</v>
      </c>
      <c r="Q188" t="s">
        <v>1266</v>
      </c>
      <c r="R188" t="s">
        <v>1266</v>
      </c>
    </row>
    <row r="189" spans="1:18" x14ac:dyDescent="0.3">
      <c r="A189" t="s">
        <v>834</v>
      </c>
      <c r="B189">
        <v>14</v>
      </c>
      <c r="C189" t="s">
        <v>0</v>
      </c>
      <c r="D189" t="s">
        <v>834</v>
      </c>
      <c r="E189">
        <v>30</v>
      </c>
      <c r="F189" t="s">
        <v>538</v>
      </c>
      <c r="I189">
        <v>5</v>
      </c>
      <c r="J189" t="s">
        <v>404</v>
      </c>
      <c r="K189">
        <v>377</v>
      </c>
      <c r="L189" t="s">
        <v>1</v>
      </c>
      <c r="M189" t="s">
        <v>0</v>
      </c>
      <c r="N189" t="s">
        <v>1266</v>
      </c>
      <c r="O189" t="s">
        <v>1266</v>
      </c>
      <c r="P189" t="s">
        <v>1266</v>
      </c>
      <c r="Q189" t="s">
        <v>1266</v>
      </c>
      <c r="R189" t="s">
        <v>1266</v>
      </c>
    </row>
    <row r="190" spans="1:18" x14ac:dyDescent="0.3">
      <c r="A190" t="s">
        <v>835</v>
      </c>
      <c r="B190">
        <v>15</v>
      </c>
      <c r="C190" t="s">
        <v>0</v>
      </c>
      <c r="D190" t="s">
        <v>835</v>
      </c>
      <c r="E190">
        <v>30</v>
      </c>
      <c r="F190" t="s">
        <v>736</v>
      </c>
      <c r="I190">
        <v>6</v>
      </c>
      <c r="J190" t="s">
        <v>404</v>
      </c>
      <c r="K190">
        <v>378</v>
      </c>
      <c r="L190" t="s">
        <v>1</v>
      </c>
      <c r="M190" t="s">
        <v>0</v>
      </c>
      <c r="N190" t="s">
        <v>1266</v>
      </c>
      <c r="O190" t="s">
        <v>1266</v>
      </c>
      <c r="P190" t="s">
        <v>1266</v>
      </c>
      <c r="Q190" t="s">
        <v>1266</v>
      </c>
      <c r="R190" t="s">
        <v>1266</v>
      </c>
    </row>
    <row r="191" spans="1:18" x14ac:dyDescent="0.3">
      <c r="A191" t="s">
        <v>439</v>
      </c>
      <c r="B191">
        <v>16</v>
      </c>
      <c r="C191" t="s">
        <v>1</v>
      </c>
      <c r="D191" t="s">
        <v>439</v>
      </c>
      <c r="E191">
        <v>30</v>
      </c>
      <c r="F191" t="s">
        <v>438</v>
      </c>
      <c r="I191">
        <v>12</v>
      </c>
      <c r="J191" t="s">
        <v>404</v>
      </c>
      <c r="K191">
        <v>379</v>
      </c>
      <c r="L191" t="s">
        <v>1</v>
      </c>
      <c r="M191" t="s">
        <v>0</v>
      </c>
      <c r="N191" t="s">
        <v>1266</v>
      </c>
      <c r="O191" t="s">
        <v>1266</v>
      </c>
      <c r="P191" t="s">
        <v>1266</v>
      </c>
      <c r="Q191" t="s">
        <v>1266</v>
      </c>
      <c r="R191" t="s">
        <v>1266</v>
      </c>
    </row>
    <row r="192" spans="1:18" x14ac:dyDescent="0.3">
      <c r="A192" t="s">
        <v>441</v>
      </c>
      <c r="B192">
        <v>17</v>
      </c>
      <c r="C192" t="s">
        <v>1</v>
      </c>
      <c r="D192" t="s">
        <v>441</v>
      </c>
      <c r="E192">
        <v>30</v>
      </c>
      <c r="F192" t="s">
        <v>440</v>
      </c>
      <c r="I192">
        <v>12</v>
      </c>
      <c r="J192" t="s">
        <v>404</v>
      </c>
      <c r="K192">
        <v>380</v>
      </c>
      <c r="L192" t="s">
        <v>1</v>
      </c>
      <c r="M192" t="s">
        <v>0</v>
      </c>
      <c r="N192" t="s">
        <v>1266</v>
      </c>
      <c r="O192" t="s">
        <v>1266</v>
      </c>
      <c r="P192" t="s">
        <v>1266</v>
      </c>
      <c r="Q192" t="s">
        <v>1266</v>
      </c>
      <c r="R192" t="s">
        <v>1266</v>
      </c>
    </row>
    <row r="193" spans="1:18" x14ac:dyDescent="0.3">
      <c r="A193" t="s">
        <v>430</v>
      </c>
      <c r="B193">
        <v>18</v>
      </c>
      <c r="C193" t="s">
        <v>1</v>
      </c>
      <c r="D193" t="s">
        <v>430</v>
      </c>
      <c r="E193">
        <v>30</v>
      </c>
      <c r="F193" t="s">
        <v>429</v>
      </c>
      <c r="I193">
        <v>12</v>
      </c>
      <c r="J193" t="s">
        <v>404</v>
      </c>
      <c r="K193">
        <v>381</v>
      </c>
      <c r="L193" t="s">
        <v>1</v>
      </c>
      <c r="M193" t="s">
        <v>0</v>
      </c>
      <c r="N193" t="s">
        <v>1266</v>
      </c>
      <c r="O193" t="s">
        <v>1266</v>
      </c>
      <c r="P193" t="s">
        <v>1266</v>
      </c>
      <c r="Q193" t="s">
        <v>1266</v>
      </c>
      <c r="R193" t="s">
        <v>1266</v>
      </c>
    </row>
    <row r="194" spans="1:18" x14ac:dyDescent="0.3">
      <c r="A194" t="s">
        <v>708</v>
      </c>
      <c r="B194">
        <v>19</v>
      </c>
      <c r="C194" t="s">
        <v>1</v>
      </c>
      <c r="D194" t="s">
        <v>708</v>
      </c>
      <c r="E194">
        <v>30</v>
      </c>
      <c r="F194" t="s">
        <v>498</v>
      </c>
      <c r="I194">
        <v>5</v>
      </c>
      <c r="J194" t="s">
        <v>404</v>
      </c>
      <c r="K194">
        <v>382</v>
      </c>
      <c r="L194" t="s">
        <v>1</v>
      </c>
      <c r="M194" t="s">
        <v>0</v>
      </c>
      <c r="N194" t="s">
        <v>1266</v>
      </c>
      <c r="O194" t="s">
        <v>1266</v>
      </c>
      <c r="P194" t="s">
        <v>1266</v>
      </c>
      <c r="Q194" t="s">
        <v>1266</v>
      </c>
      <c r="R194" t="s">
        <v>1266</v>
      </c>
    </row>
    <row r="195" spans="1:18" x14ac:dyDescent="0.3">
      <c r="A195" t="s">
        <v>493</v>
      </c>
      <c r="B195">
        <v>20</v>
      </c>
      <c r="C195" t="s">
        <v>1</v>
      </c>
      <c r="D195" t="s">
        <v>493</v>
      </c>
      <c r="E195">
        <v>30</v>
      </c>
      <c r="F195" t="s">
        <v>492</v>
      </c>
      <c r="I195">
        <v>21</v>
      </c>
      <c r="J195" t="s">
        <v>404</v>
      </c>
      <c r="K195">
        <v>383</v>
      </c>
      <c r="L195" t="s">
        <v>1</v>
      </c>
      <c r="M195" t="s">
        <v>0</v>
      </c>
      <c r="N195" t="s">
        <v>1266</v>
      </c>
      <c r="O195" t="s">
        <v>1266</v>
      </c>
      <c r="P195" t="s">
        <v>1266</v>
      </c>
      <c r="Q195" t="s">
        <v>1266</v>
      </c>
      <c r="R195" t="s">
        <v>1266</v>
      </c>
    </row>
    <row r="196" spans="1:18" x14ac:dyDescent="0.3">
      <c r="A196" t="s">
        <v>1449</v>
      </c>
      <c r="B196">
        <v>1</v>
      </c>
      <c r="C196" t="s">
        <v>0</v>
      </c>
      <c r="D196" t="s">
        <v>1449</v>
      </c>
      <c r="E196">
        <v>30</v>
      </c>
      <c r="F196" t="s">
        <v>1449</v>
      </c>
      <c r="I196">
        <v>16</v>
      </c>
      <c r="J196" t="s">
        <v>1373</v>
      </c>
      <c r="K196">
        <v>384</v>
      </c>
      <c r="L196" t="s">
        <v>1</v>
      </c>
      <c r="M196" t="s">
        <v>0</v>
      </c>
      <c r="N196" t="s">
        <v>1266</v>
      </c>
      <c r="O196" t="s">
        <v>1266</v>
      </c>
      <c r="P196" t="s">
        <v>1266</v>
      </c>
      <c r="Q196" t="s">
        <v>1266</v>
      </c>
      <c r="R196" t="s">
        <v>1266</v>
      </c>
    </row>
    <row r="197" spans="1:18" x14ac:dyDescent="0.3">
      <c r="A197" t="s">
        <v>1471</v>
      </c>
      <c r="B197">
        <v>2</v>
      </c>
      <c r="C197" t="s">
        <v>0</v>
      </c>
      <c r="D197" t="s">
        <v>1471</v>
      </c>
      <c r="E197">
        <v>30</v>
      </c>
      <c r="F197" t="s">
        <v>1471</v>
      </c>
      <c r="I197">
        <v>5</v>
      </c>
      <c r="J197" t="s">
        <v>1373</v>
      </c>
      <c r="K197">
        <v>385</v>
      </c>
      <c r="L197" t="s">
        <v>1</v>
      </c>
      <c r="M197" t="s">
        <v>0</v>
      </c>
      <c r="N197" t="s">
        <v>1266</v>
      </c>
      <c r="O197" t="s">
        <v>1266</v>
      </c>
      <c r="P197" t="s">
        <v>1266</v>
      </c>
      <c r="Q197" t="s">
        <v>1266</v>
      </c>
      <c r="R197" t="s">
        <v>1266</v>
      </c>
    </row>
    <row r="198" spans="1:18" x14ac:dyDescent="0.3">
      <c r="A198" t="s">
        <v>711</v>
      </c>
      <c r="B198">
        <v>3</v>
      </c>
      <c r="C198" t="s">
        <v>0</v>
      </c>
      <c r="D198" t="s">
        <v>711</v>
      </c>
      <c r="E198">
        <v>30</v>
      </c>
      <c r="F198" t="s">
        <v>711</v>
      </c>
      <c r="I198">
        <v>16</v>
      </c>
      <c r="J198" t="s">
        <v>1373</v>
      </c>
      <c r="K198">
        <v>386</v>
      </c>
      <c r="L198" t="s">
        <v>1</v>
      </c>
      <c r="M198" t="s">
        <v>0</v>
      </c>
      <c r="N198" t="s">
        <v>1266</v>
      </c>
      <c r="O198" t="s">
        <v>1266</v>
      </c>
      <c r="P198" t="s">
        <v>1266</v>
      </c>
      <c r="Q198" t="s">
        <v>1266</v>
      </c>
      <c r="R198" t="s">
        <v>1266</v>
      </c>
    </row>
    <row r="199" spans="1:18" x14ac:dyDescent="0.3">
      <c r="A199" t="s">
        <v>523</v>
      </c>
      <c r="B199">
        <v>4</v>
      </c>
      <c r="C199" t="s">
        <v>1</v>
      </c>
      <c r="D199" t="s">
        <v>523</v>
      </c>
      <c r="E199">
        <v>30</v>
      </c>
      <c r="F199" t="s">
        <v>523</v>
      </c>
      <c r="I199">
        <v>5</v>
      </c>
      <c r="J199" t="s">
        <v>1373</v>
      </c>
      <c r="K199">
        <v>387</v>
      </c>
      <c r="L199" t="s">
        <v>0</v>
      </c>
      <c r="M199" t="s">
        <v>0</v>
      </c>
      <c r="N199" t="s">
        <v>1266</v>
      </c>
      <c r="O199" t="s">
        <v>1266</v>
      </c>
      <c r="P199" t="s">
        <v>1266</v>
      </c>
      <c r="Q199" t="s">
        <v>1266</v>
      </c>
      <c r="R199" t="s">
        <v>1266</v>
      </c>
    </row>
    <row r="200" spans="1:18" x14ac:dyDescent="0.3">
      <c r="A200" t="s">
        <v>1425</v>
      </c>
      <c r="B200">
        <v>5</v>
      </c>
      <c r="C200" t="s">
        <v>1</v>
      </c>
      <c r="D200" t="s">
        <v>1425</v>
      </c>
      <c r="E200">
        <v>30</v>
      </c>
      <c r="F200" t="s">
        <v>1425</v>
      </c>
      <c r="I200">
        <v>5</v>
      </c>
      <c r="J200" t="s">
        <v>1373</v>
      </c>
      <c r="K200">
        <v>388</v>
      </c>
      <c r="L200" t="s">
        <v>1</v>
      </c>
      <c r="M200" t="s">
        <v>0</v>
      </c>
      <c r="N200" t="s">
        <v>1266</v>
      </c>
      <c r="O200" t="s">
        <v>1266</v>
      </c>
      <c r="P200" t="s">
        <v>1266</v>
      </c>
      <c r="Q200" t="s">
        <v>1266</v>
      </c>
      <c r="R200" t="s">
        <v>1266</v>
      </c>
    </row>
    <row r="201" spans="1:18" x14ac:dyDescent="0.3">
      <c r="A201" t="s">
        <v>438</v>
      </c>
      <c r="B201">
        <v>6</v>
      </c>
      <c r="C201" t="s">
        <v>1</v>
      </c>
      <c r="D201" t="s">
        <v>438</v>
      </c>
      <c r="E201">
        <v>30</v>
      </c>
      <c r="F201" t="s">
        <v>438</v>
      </c>
      <c r="I201">
        <v>12</v>
      </c>
      <c r="J201" t="s">
        <v>1373</v>
      </c>
      <c r="K201">
        <v>389</v>
      </c>
      <c r="L201" t="s">
        <v>1</v>
      </c>
      <c r="M201" t="s">
        <v>0</v>
      </c>
      <c r="N201" t="s">
        <v>1266</v>
      </c>
      <c r="O201" t="s">
        <v>1266</v>
      </c>
      <c r="P201" t="s">
        <v>1266</v>
      </c>
      <c r="Q201" t="s">
        <v>1266</v>
      </c>
      <c r="R201" t="s">
        <v>1266</v>
      </c>
    </row>
    <row r="202" spans="1:18" x14ac:dyDescent="0.3">
      <c r="A202" t="s">
        <v>440</v>
      </c>
      <c r="B202">
        <v>7</v>
      </c>
      <c r="C202" t="s">
        <v>1</v>
      </c>
      <c r="D202" t="s">
        <v>440</v>
      </c>
      <c r="E202">
        <v>30</v>
      </c>
      <c r="F202" t="s">
        <v>440</v>
      </c>
      <c r="I202">
        <v>12</v>
      </c>
      <c r="J202" t="s">
        <v>1373</v>
      </c>
      <c r="K202">
        <v>390</v>
      </c>
      <c r="L202" t="s">
        <v>1</v>
      </c>
      <c r="M202" t="s">
        <v>0</v>
      </c>
      <c r="N202" t="s">
        <v>1266</v>
      </c>
      <c r="O202" t="s">
        <v>1266</v>
      </c>
      <c r="P202" t="s">
        <v>1266</v>
      </c>
      <c r="Q202" t="s">
        <v>1266</v>
      </c>
      <c r="R202" t="s">
        <v>1266</v>
      </c>
    </row>
    <row r="203" spans="1:18" x14ac:dyDescent="0.3">
      <c r="A203" t="s">
        <v>429</v>
      </c>
      <c r="B203">
        <v>8</v>
      </c>
      <c r="C203" t="s">
        <v>1</v>
      </c>
      <c r="D203" t="s">
        <v>429</v>
      </c>
      <c r="E203">
        <v>30</v>
      </c>
      <c r="F203" t="s">
        <v>429</v>
      </c>
      <c r="I203">
        <v>12</v>
      </c>
      <c r="J203" t="s">
        <v>1373</v>
      </c>
      <c r="K203">
        <v>391</v>
      </c>
      <c r="L203" t="s">
        <v>1</v>
      </c>
      <c r="M203" t="s">
        <v>0</v>
      </c>
      <c r="N203" t="s">
        <v>1266</v>
      </c>
      <c r="O203" t="s">
        <v>1266</v>
      </c>
      <c r="P203" t="s">
        <v>1266</v>
      </c>
      <c r="Q203" t="s">
        <v>1266</v>
      </c>
      <c r="R203" t="s">
        <v>1266</v>
      </c>
    </row>
    <row r="204" spans="1:18" x14ac:dyDescent="0.3">
      <c r="A204" t="s">
        <v>498</v>
      </c>
      <c r="B204">
        <v>9</v>
      </c>
      <c r="C204" t="s">
        <v>1</v>
      </c>
      <c r="D204" t="s">
        <v>498</v>
      </c>
      <c r="E204">
        <v>30</v>
      </c>
      <c r="F204" t="s">
        <v>498</v>
      </c>
      <c r="I204">
        <v>5</v>
      </c>
      <c r="J204" t="s">
        <v>1373</v>
      </c>
      <c r="K204">
        <v>392</v>
      </c>
      <c r="L204" t="s">
        <v>1</v>
      </c>
      <c r="M204" t="s">
        <v>0</v>
      </c>
      <c r="N204" t="s">
        <v>1266</v>
      </c>
      <c r="O204" t="s">
        <v>1266</v>
      </c>
      <c r="P204" t="s">
        <v>1266</v>
      </c>
      <c r="Q204" t="s">
        <v>1266</v>
      </c>
      <c r="R204" t="s">
        <v>1266</v>
      </c>
    </row>
    <row r="205" spans="1:18" x14ac:dyDescent="0.3">
      <c r="A205" t="s">
        <v>1391</v>
      </c>
      <c r="B205">
        <v>10</v>
      </c>
      <c r="C205" t="s">
        <v>0</v>
      </c>
      <c r="D205" t="s">
        <v>1391</v>
      </c>
      <c r="E205">
        <v>30</v>
      </c>
      <c r="F205" t="s">
        <v>1391</v>
      </c>
      <c r="I205">
        <v>16</v>
      </c>
      <c r="J205" t="s">
        <v>1373</v>
      </c>
      <c r="K205">
        <v>393</v>
      </c>
      <c r="L205" t="s">
        <v>1</v>
      </c>
      <c r="M205" t="s">
        <v>0</v>
      </c>
      <c r="N205" t="s">
        <v>1266</v>
      </c>
      <c r="O205" t="s">
        <v>1266</v>
      </c>
      <c r="P205" t="s">
        <v>1266</v>
      </c>
      <c r="Q205" t="s">
        <v>1266</v>
      </c>
      <c r="R205" t="s">
        <v>1266</v>
      </c>
    </row>
    <row r="206" spans="1:18" x14ac:dyDescent="0.3">
      <c r="A206" t="s">
        <v>1382</v>
      </c>
      <c r="B206">
        <v>11</v>
      </c>
      <c r="C206" t="s">
        <v>0</v>
      </c>
      <c r="D206" t="s">
        <v>1382</v>
      </c>
      <c r="E206">
        <v>30</v>
      </c>
      <c r="F206" t="s">
        <v>1382</v>
      </c>
      <c r="I206">
        <v>5</v>
      </c>
      <c r="J206" t="s">
        <v>1373</v>
      </c>
      <c r="K206">
        <v>394</v>
      </c>
      <c r="L206" t="s">
        <v>1</v>
      </c>
      <c r="M206" t="s">
        <v>0</v>
      </c>
      <c r="N206" t="s">
        <v>1266</v>
      </c>
      <c r="O206" t="s">
        <v>1266</v>
      </c>
      <c r="P206" t="s">
        <v>1266</v>
      </c>
      <c r="Q206" t="s">
        <v>1266</v>
      </c>
      <c r="R206" t="s">
        <v>1266</v>
      </c>
    </row>
    <row r="207" spans="1:18" x14ac:dyDescent="0.3">
      <c r="A207" t="s">
        <v>715</v>
      </c>
      <c r="B207">
        <v>12</v>
      </c>
      <c r="C207" t="s">
        <v>0</v>
      </c>
      <c r="D207" t="s">
        <v>715</v>
      </c>
      <c r="E207">
        <v>30</v>
      </c>
      <c r="F207" t="s">
        <v>715</v>
      </c>
      <c r="I207">
        <v>16</v>
      </c>
      <c r="J207" t="s">
        <v>1373</v>
      </c>
      <c r="K207">
        <v>395</v>
      </c>
      <c r="L207" t="s">
        <v>1</v>
      </c>
      <c r="M207" t="s">
        <v>0</v>
      </c>
      <c r="N207" t="s">
        <v>1266</v>
      </c>
      <c r="O207" t="s">
        <v>1266</v>
      </c>
      <c r="P207" t="s">
        <v>1266</v>
      </c>
      <c r="Q207" t="s">
        <v>1266</v>
      </c>
      <c r="R207" t="s">
        <v>1266</v>
      </c>
    </row>
    <row r="208" spans="1:18" x14ac:dyDescent="0.3">
      <c r="A208" t="s">
        <v>492</v>
      </c>
      <c r="B208">
        <v>13</v>
      </c>
      <c r="C208" t="s">
        <v>1</v>
      </c>
      <c r="D208" t="s">
        <v>492</v>
      </c>
      <c r="E208">
        <v>30</v>
      </c>
      <c r="F208" t="s">
        <v>492</v>
      </c>
      <c r="I208">
        <v>21</v>
      </c>
      <c r="J208" t="s">
        <v>1373</v>
      </c>
      <c r="K208">
        <v>396</v>
      </c>
      <c r="L208" t="s">
        <v>1</v>
      </c>
      <c r="M208" t="s">
        <v>0</v>
      </c>
      <c r="N208" t="s">
        <v>1266</v>
      </c>
      <c r="O208" t="s">
        <v>1266</v>
      </c>
      <c r="P208" t="s">
        <v>1266</v>
      </c>
      <c r="Q208" t="s">
        <v>1266</v>
      </c>
      <c r="R208" t="s">
        <v>1266</v>
      </c>
    </row>
    <row r="209" spans="1:18" x14ac:dyDescent="0.3">
      <c r="A209" t="s">
        <v>856</v>
      </c>
      <c r="B209">
        <v>1</v>
      </c>
      <c r="C209" t="s">
        <v>1</v>
      </c>
      <c r="D209" t="s">
        <v>856</v>
      </c>
      <c r="E209">
        <v>30</v>
      </c>
      <c r="F209" t="s">
        <v>581</v>
      </c>
      <c r="I209">
        <v>5</v>
      </c>
      <c r="J209" t="s">
        <v>401</v>
      </c>
      <c r="K209">
        <v>397</v>
      </c>
      <c r="L209" t="s">
        <v>0</v>
      </c>
      <c r="M209" t="s">
        <v>0</v>
      </c>
      <c r="N209" t="s">
        <v>1266</v>
      </c>
      <c r="O209" t="s">
        <v>1266</v>
      </c>
      <c r="P209" t="s">
        <v>1266</v>
      </c>
      <c r="Q209" t="s">
        <v>1266</v>
      </c>
      <c r="R209" t="s">
        <v>1266</v>
      </c>
    </row>
    <row r="210" spans="1:18" x14ac:dyDescent="0.3">
      <c r="A210" t="s">
        <v>440</v>
      </c>
      <c r="B210">
        <v>2</v>
      </c>
      <c r="C210" t="s">
        <v>1</v>
      </c>
      <c r="D210" t="s">
        <v>440</v>
      </c>
      <c r="E210">
        <v>30</v>
      </c>
      <c r="F210" t="s">
        <v>440</v>
      </c>
      <c r="I210">
        <v>12</v>
      </c>
      <c r="J210" t="s">
        <v>401</v>
      </c>
      <c r="K210">
        <v>398</v>
      </c>
      <c r="L210" t="s">
        <v>1</v>
      </c>
      <c r="M210" t="s">
        <v>0</v>
      </c>
      <c r="N210" t="s">
        <v>1266</v>
      </c>
      <c r="O210" t="s">
        <v>1266</v>
      </c>
      <c r="P210" t="s">
        <v>1266</v>
      </c>
      <c r="Q210" t="s">
        <v>1266</v>
      </c>
      <c r="R210" t="s">
        <v>1266</v>
      </c>
    </row>
    <row r="211" spans="1:18" x14ac:dyDescent="0.3">
      <c r="A211" t="s">
        <v>430</v>
      </c>
      <c r="B211">
        <v>3</v>
      </c>
      <c r="C211" t="s">
        <v>1</v>
      </c>
      <c r="D211" t="s">
        <v>430</v>
      </c>
      <c r="E211">
        <v>30</v>
      </c>
      <c r="F211" t="s">
        <v>429</v>
      </c>
      <c r="I211">
        <v>12</v>
      </c>
      <c r="J211" t="s">
        <v>401</v>
      </c>
      <c r="K211">
        <v>399</v>
      </c>
      <c r="L211" t="s">
        <v>1</v>
      </c>
      <c r="M211" t="s">
        <v>0</v>
      </c>
      <c r="N211" t="s">
        <v>1266</v>
      </c>
      <c r="O211" t="s">
        <v>1266</v>
      </c>
      <c r="P211" t="s">
        <v>1266</v>
      </c>
      <c r="Q211" t="s">
        <v>1266</v>
      </c>
      <c r="R211" t="s">
        <v>1266</v>
      </c>
    </row>
    <row r="212" spans="1:18" x14ac:dyDescent="0.3">
      <c r="A212" t="s">
        <v>708</v>
      </c>
      <c r="B212">
        <v>4</v>
      </c>
      <c r="C212" t="s">
        <v>1</v>
      </c>
      <c r="D212" t="s">
        <v>708</v>
      </c>
      <c r="E212">
        <v>30</v>
      </c>
      <c r="F212" t="s">
        <v>498</v>
      </c>
      <c r="I212">
        <v>5</v>
      </c>
      <c r="J212" t="s">
        <v>401</v>
      </c>
      <c r="K212">
        <v>400</v>
      </c>
      <c r="L212" t="s">
        <v>1</v>
      </c>
      <c r="M212" t="s">
        <v>0</v>
      </c>
      <c r="N212" t="s">
        <v>1266</v>
      </c>
      <c r="O212" t="s">
        <v>1266</v>
      </c>
      <c r="P212" t="s">
        <v>1266</v>
      </c>
      <c r="Q212" t="s">
        <v>1266</v>
      </c>
      <c r="R212" t="s">
        <v>1266</v>
      </c>
    </row>
    <row r="213" spans="1:18" x14ac:dyDescent="0.3">
      <c r="A213" t="s">
        <v>528</v>
      </c>
      <c r="B213">
        <v>5</v>
      </c>
      <c r="C213" t="s">
        <v>1</v>
      </c>
      <c r="D213" t="s">
        <v>528</v>
      </c>
      <c r="E213">
        <v>30</v>
      </c>
      <c r="F213" t="s">
        <v>527</v>
      </c>
      <c r="I213">
        <v>5</v>
      </c>
      <c r="J213" t="s">
        <v>401</v>
      </c>
      <c r="K213">
        <v>401</v>
      </c>
      <c r="L213" t="s">
        <v>1</v>
      </c>
      <c r="M213" t="s">
        <v>0</v>
      </c>
      <c r="N213" t="s">
        <v>1266</v>
      </c>
      <c r="O213" t="s">
        <v>1266</v>
      </c>
      <c r="P213" t="s">
        <v>1266</v>
      </c>
      <c r="Q213" t="s">
        <v>1266</v>
      </c>
      <c r="R213" t="s">
        <v>1266</v>
      </c>
    </row>
    <row r="214" spans="1:18" x14ac:dyDescent="0.3">
      <c r="A214" t="s">
        <v>1658</v>
      </c>
      <c r="B214">
        <v>6</v>
      </c>
      <c r="C214" t="s">
        <v>0</v>
      </c>
      <c r="D214" t="s">
        <v>857</v>
      </c>
      <c r="E214">
        <v>30</v>
      </c>
      <c r="F214" t="s">
        <v>525</v>
      </c>
      <c r="I214">
        <v>6</v>
      </c>
      <c r="J214" t="s">
        <v>401</v>
      </c>
      <c r="K214">
        <v>402</v>
      </c>
      <c r="L214" t="s">
        <v>1</v>
      </c>
      <c r="M214" t="s">
        <v>0</v>
      </c>
      <c r="N214" t="s">
        <v>1266</v>
      </c>
      <c r="O214" t="s">
        <v>1266</v>
      </c>
      <c r="P214" t="s">
        <v>1266</v>
      </c>
      <c r="Q214" t="s">
        <v>1266</v>
      </c>
      <c r="R214" t="s">
        <v>1266</v>
      </c>
    </row>
    <row r="215" spans="1:18" x14ac:dyDescent="0.3">
      <c r="A215" t="s">
        <v>1635</v>
      </c>
      <c r="B215">
        <v>7</v>
      </c>
      <c r="C215" t="s">
        <v>0</v>
      </c>
      <c r="D215" t="s">
        <v>858</v>
      </c>
      <c r="E215">
        <v>30</v>
      </c>
      <c r="F215" t="s">
        <v>535</v>
      </c>
      <c r="I215">
        <v>5</v>
      </c>
      <c r="J215" t="s">
        <v>401</v>
      </c>
      <c r="K215">
        <v>403</v>
      </c>
      <c r="L215" t="s">
        <v>1</v>
      </c>
      <c r="M215" t="s">
        <v>0</v>
      </c>
      <c r="N215" t="s">
        <v>1266</v>
      </c>
      <c r="O215" t="s">
        <v>1266</v>
      </c>
      <c r="P215" t="s">
        <v>1266</v>
      </c>
      <c r="Q215" t="s">
        <v>1266</v>
      </c>
      <c r="R215" t="s">
        <v>1266</v>
      </c>
    </row>
    <row r="216" spans="1:18" x14ac:dyDescent="0.3">
      <c r="A216" t="s">
        <v>1449</v>
      </c>
      <c r="B216">
        <v>1</v>
      </c>
      <c r="C216" t="s">
        <v>0</v>
      </c>
      <c r="D216" t="s">
        <v>1449</v>
      </c>
      <c r="E216">
        <v>30</v>
      </c>
      <c r="F216" t="s">
        <v>1449</v>
      </c>
      <c r="I216">
        <v>16</v>
      </c>
      <c r="J216" t="s">
        <v>411</v>
      </c>
      <c r="K216">
        <v>40</v>
      </c>
      <c r="L216" t="s">
        <v>1</v>
      </c>
      <c r="M216" t="s">
        <v>0</v>
      </c>
      <c r="N216" t="s">
        <v>1266</v>
      </c>
      <c r="O216" t="s">
        <v>1266</v>
      </c>
      <c r="P216" t="s">
        <v>1266</v>
      </c>
      <c r="Q216" t="s">
        <v>1266</v>
      </c>
      <c r="R216" t="s">
        <v>1266</v>
      </c>
    </row>
    <row r="217" spans="1:18" x14ac:dyDescent="0.3">
      <c r="A217" t="s">
        <v>1471</v>
      </c>
      <c r="B217">
        <v>2</v>
      </c>
      <c r="C217" t="s">
        <v>0</v>
      </c>
      <c r="D217" t="s">
        <v>1471</v>
      </c>
      <c r="E217">
        <v>30</v>
      </c>
      <c r="F217" t="s">
        <v>1471</v>
      </c>
      <c r="I217">
        <v>5</v>
      </c>
      <c r="J217" t="s">
        <v>411</v>
      </c>
      <c r="K217">
        <v>41</v>
      </c>
      <c r="L217" t="s">
        <v>1</v>
      </c>
      <c r="M217" t="s">
        <v>0</v>
      </c>
      <c r="N217" t="s">
        <v>1266</v>
      </c>
      <c r="O217" t="s">
        <v>1266</v>
      </c>
      <c r="P217" t="s">
        <v>1266</v>
      </c>
      <c r="Q217" t="s">
        <v>1266</v>
      </c>
      <c r="R217" t="s">
        <v>1266</v>
      </c>
    </row>
    <row r="218" spans="1:18" x14ac:dyDescent="0.3">
      <c r="A218" t="s">
        <v>1499</v>
      </c>
      <c r="B218">
        <v>3</v>
      </c>
      <c r="C218" t="s">
        <v>0</v>
      </c>
      <c r="D218" t="s">
        <v>1499</v>
      </c>
      <c r="E218">
        <v>30</v>
      </c>
      <c r="F218" t="s">
        <v>1499</v>
      </c>
      <c r="I218">
        <v>21</v>
      </c>
      <c r="J218" t="s">
        <v>411</v>
      </c>
      <c r="K218">
        <v>42</v>
      </c>
      <c r="L218" t="s">
        <v>1</v>
      </c>
      <c r="M218" t="s">
        <v>0</v>
      </c>
      <c r="N218" t="s">
        <v>1266</v>
      </c>
      <c r="O218" t="s">
        <v>1266</v>
      </c>
      <c r="P218" t="s">
        <v>1266</v>
      </c>
      <c r="Q218" t="s">
        <v>1266</v>
      </c>
      <c r="R218" t="s">
        <v>1266</v>
      </c>
    </row>
    <row r="219" spans="1:18" x14ac:dyDescent="0.3">
      <c r="A219" t="s">
        <v>899</v>
      </c>
      <c r="B219">
        <v>4</v>
      </c>
      <c r="C219" t="s">
        <v>0</v>
      </c>
      <c r="D219" t="s">
        <v>899</v>
      </c>
      <c r="E219">
        <v>30</v>
      </c>
      <c r="F219" t="s">
        <v>743</v>
      </c>
      <c r="I219">
        <v>14</v>
      </c>
      <c r="J219" t="s">
        <v>411</v>
      </c>
      <c r="K219">
        <v>43</v>
      </c>
      <c r="L219" t="s">
        <v>1</v>
      </c>
      <c r="M219" t="s">
        <v>0</v>
      </c>
      <c r="N219" t="s">
        <v>1266</v>
      </c>
      <c r="O219" t="s">
        <v>1266</v>
      </c>
      <c r="P219" t="s">
        <v>1266</v>
      </c>
      <c r="Q219" t="s">
        <v>1266</v>
      </c>
      <c r="R219" t="s">
        <v>1266</v>
      </c>
    </row>
    <row r="220" spans="1:18" x14ac:dyDescent="0.3">
      <c r="A220" t="s">
        <v>883</v>
      </c>
      <c r="B220">
        <v>5</v>
      </c>
      <c r="C220" t="s">
        <v>0</v>
      </c>
      <c r="D220" t="s">
        <v>883</v>
      </c>
      <c r="E220">
        <v>30</v>
      </c>
      <c r="F220" t="s">
        <v>717</v>
      </c>
      <c r="I220">
        <v>14</v>
      </c>
      <c r="J220" t="s">
        <v>411</v>
      </c>
      <c r="K220">
        <v>44</v>
      </c>
      <c r="L220" t="s">
        <v>1</v>
      </c>
      <c r="M220" t="s">
        <v>0</v>
      </c>
      <c r="N220" t="s">
        <v>1266</v>
      </c>
      <c r="O220" t="s">
        <v>1266</v>
      </c>
      <c r="P220" t="s">
        <v>1266</v>
      </c>
      <c r="Q220" t="s">
        <v>1266</v>
      </c>
      <c r="R220" t="s">
        <v>1266</v>
      </c>
    </row>
    <row r="221" spans="1:18" x14ac:dyDescent="0.3">
      <c r="A221" t="s">
        <v>884</v>
      </c>
      <c r="B221">
        <v>6</v>
      </c>
      <c r="C221" t="s">
        <v>0</v>
      </c>
      <c r="D221" t="s">
        <v>884</v>
      </c>
      <c r="E221">
        <v>30</v>
      </c>
      <c r="F221" t="s">
        <v>718</v>
      </c>
      <c r="I221">
        <v>5</v>
      </c>
      <c r="J221" t="s">
        <v>411</v>
      </c>
      <c r="K221">
        <v>45</v>
      </c>
      <c r="L221" t="s">
        <v>1</v>
      </c>
      <c r="M221" t="s">
        <v>0</v>
      </c>
      <c r="N221" t="s">
        <v>1266</v>
      </c>
      <c r="O221" t="s">
        <v>1266</v>
      </c>
      <c r="P221" t="s">
        <v>1266</v>
      </c>
      <c r="Q221" t="s">
        <v>1266</v>
      </c>
      <c r="R221" t="s">
        <v>1266</v>
      </c>
    </row>
    <row r="222" spans="1:18" x14ac:dyDescent="0.3">
      <c r="A222" t="s">
        <v>1622</v>
      </c>
      <c r="B222">
        <v>7</v>
      </c>
      <c r="C222" t="s">
        <v>0</v>
      </c>
      <c r="D222" t="s">
        <v>889</v>
      </c>
      <c r="E222">
        <v>30</v>
      </c>
      <c r="F222" t="s">
        <v>725</v>
      </c>
      <c r="I222">
        <v>5</v>
      </c>
      <c r="J222" t="s">
        <v>411</v>
      </c>
      <c r="K222">
        <v>46</v>
      </c>
      <c r="L222" t="s">
        <v>1</v>
      </c>
      <c r="M222" t="s">
        <v>0</v>
      </c>
      <c r="N222" t="s">
        <v>1266</v>
      </c>
      <c r="O222" t="s">
        <v>1266</v>
      </c>
      <c r="P222" t="s">
        <v>1266</v>
      </c>
      <c r="Q222" t="s">
        <v>1266</v>
      </c>
      <c r="R222" t="s">
        <v>1266</v>
      </c>
    </row>
    <row r="223" spans="1:18" x14ac:dyDescent="0.3">
      <c r="A223" t="s">
        <v>722</v>
      </c>
      <c r="B223">
        <v>8</v>
      </c>
      <c r="C223" t="s">
        <v>0</v>
      </c>
      <c r="D223" t="s">
        <v>722</v>
      </c>
      <c r="E223">
        <v>30</v>
      </c>
      <c r="F223" t="s">
        <v>523</v>
      </c>
      <c r="I223">
        <v>5</v>
      </c>
      <c r="J223" t="s">
        <v>411</v>
      </c>
      <c r="K223">
        <v>47</v>
      </c>
      <c r="L223" t="s">
        <v>1</v>
      </c>
      <c r="M223" t="s">
        <v>0</v>
      </c>
      <c r="N223" t="s">
        <v>1266</v>
      </c>
      <c r="O223" t="s">
        <v>1266</v>
      </c>
      <c r="P223" t="s">
        <v>1266</v>
      </c>
      <c r="Q223" t="s">
        <v>1266</v>
      </c>
      <c r="R223" t="s">
        <v>1266</v>
      </c>
    </row>
    <row r="224" spans="1:18" x14ac:dyDescent="0.3">
      <c r="A224" t="s">
        <v>890</v>
      </c>
      <c r="B224">
        <v>9</v>
      </c>
      <c r="C224" t="s">
        <v>0</v>
      </c>
      <c r="D224" t="s">
        <v>890</v>
      </c>
      <c r="E224">
        <v>30</v>
      </c>
      <c r="F224" t="s">
        <v>728</v>
      </c>
      <c r="I224">
        <v>6</v>
      </c>
      <c r="J224" t="s">
        <v>411</v>
      </c>
      <c r="K224">
        <v>48</v>
      </c>
      <c r="L224" t="s">
        <v>1</v>
      </c>
      <c r="M224" t="s">
        <v>0</v>
      </c>
      <c r="N224" t="s">
        <v>1266</v>
      </c>
      <c r="O224" t="s">
        <v>1266</v>
      </c>
      <c r="P224" t="s">
        <v>1266</v>
      </c>
      <c r="Q224" t="s">
        <v>1266</v>
      </c>
      <c r="R224" t="s">
        <v>1266</v>
      </c>
    </row>
    <row r="225" spans="1:18" x14ac:dyDescent="0.3">
      <c r="A225" t="s">
        <v>1445</v>
      </c>
      <c r="B225">
        <v>10</v>
      </c>
      <c r="C225" t="s">
        <v>0</v>
      </c>
      <c r="D225" t="s">
        <v>1445</v>
      </c>
      <c r="E225">
        <v>30</v>
      </c>
      <c r="F225" t="s">
        <v>1445</v>
      </c>
      <c r="I225">
        <v>6</v>
      </c>
      <c r="J225" t="s">
        <v>411</v>
      </c>
      <c r="K225">
        <v>49</v>
      </c>
      <c r="L225" t="s">
        <v>1</v>
      </c>
      <c r="M225" t="s">
        <v>0</v>
      </c>
      <c r="N225" t="s">
        <v>1266</v>
      </c>
      <c r="O225" t="s">
        <v>1266</v>
      </c>
      <c r="P225" t="s">
        <v>1266</v>
      </c>
      <c r="Q225" t="s">
        <v>1266</v>
      </c>
      <c r="R225" t="s">
        <v>1266</v>
      </c>
    </row>
    <row r="226" spans="1:18" x14ac:dyDescent="0.3">
      <c r="A226" t="s">
        <v>891</v>
      </c>
      <c r="B226">
        <v>11</v>
      </c>
      <c r="C226" t="s">
        <v>0</v>
      </c>
      <c r="D226" t="s">
        <v>891</v>
      </c>
      <c r="E226">
        <v>30</v>
      </c>
      <c r="F226" t="s">
        <v>730</v>
      </c>
      <c r="I226">
        <v>14</v>
      </c>
      <c r="J226" t="s">
        <v>411</v>
      </c>
      <c r="K226">
        <v>50</v>
      </c>
      <c r="L226" t="s">
        <v>1</v>
      </c>
      <c r="M226" t="s">
        <v>0</v>
      </c>
      <c r="N226" t="s">
        <v>1266</v>
      </c>
      <c r="O226" t="s">
        <v>1266</v>
      </c>
      <c r="P226" t="s">
        <v>1266</v>
      </c>
      <c r="Q226" t="s">
        <v>1266</v>
      </c>
      <c r="R226" t="s">
        <v>1266</v>
      </c>
    </row>
    <row r="227" spans="1:18" x14ac:dyDescent="0.3">
      <c r="A227" t="s">
        <v>733</v>
      </c>
      <c r="B227">
        <v>12</v>
      </c>
      <c r="C227" t="s">
        <v>0</v>
      </c>
      <c r="D227" t="s">
        <v>733</v>
      </c>
      <c r="E227">
        <v>30</v>
      </c>
      <c r="F227" t="s">
        <v>732</v>
      </c>
      <c r="I227">
        <v>6</v>
      </c>
      <c r="J227" t="s">
        <v>411</v>
      </c>
      <c r="K227">
        <v>51</v>
      </c>
      <c r="L227" t="s">
        <v>1</v>
      </c>
      <c r="M227" t="s">
        <v>0</v>
      </c>
      <c r="N227" t="s">
        <v>1266</v>
      </c>
      <c r="O227" t="s">
        <v>1266</v>
      </c>
      <c r="P227" t="s">
        <v>1266</v>
      </c>
      <c r="Q227" t="s">
        <v>1266</v>
      </c>
      <c r="R227" t="s">
        <v>1266</v>
      </c>
    </row>
    <row r="228" spans="1:18" x14ac:dyDescent="0.3">
      <c r="A228" t="s">
        <v>893</v>
      </c>
      <c r="B228">
        <v>13</v>
      </c>
      <c r="C228" t="s">
        <v>0</v>
      </c>
      <c r="D228" t="s">
        <v>893</v>
      </c>
      <c r="E228">
        <v>30</v>
      </c>
      <c r="F228" t="s">
        <v>738</v>
      </c>
      <c r="I228">
        <v>16</v>
      </c>
      <c r="J228" t="s">
        <v>411</v>
      </c>
      <c r="K228">
        <v>52</v>
      </c>
      <c r="L228" t="s">
        <v>1</v>
      </c>
      <c r="M228" t="s">
        <v>0</v>
      </c>
      <c r="N228" t="s">
        <v>1266</v>
      </c>
      <c r="O228" t="s">
        <v>1266</v>
      </c>
      <c r="P228" t="s">
        <v>1266</v>
      </c>
      <c r="Q228" t="s">
        <v>1266</v>
      </c>
      <c r="R228" t="s">
        <v>1266</v>
      </c>
    </row>
    <row r="229" spans="1:18" x14ac:dyDescent="0.3">
      <c r="A229" t="s">
        <v>843</v>
      </c>
      <c r="B229">
        <v>14</v>
      </c>
      <c r="C229" t="s">
        <v>0</v>
      </c>
      <c r="D229" t="s">
        <v>843</v>
      </c>
      <c r="E229">
        <v>30</v>
      </c>
      <c r="F229" t="s">
        <v>721</v>
      </c>
      <c r="I229">
        <v>5</v>
      </c>
      <c r="J229" t="s">
        <v>411</v>
      </c>
      <c r="K229">
        <v>53</v>
      </c>
      <c r="L229" t="s">
        <v>1</v>
      </c>
      <c r="M229" t="s">
        <v>0</v>
      </c>
      <c r="N229" t="s">
        <v>1266</v>
      </c>
      <c r="O229" t="s">
        <v>1266</v>
      </c>
      <c r="P229" t="s">
        <v>1266</v>
      </c>
      <c r="Q229" t="s">
        <v>1266</v>
      </c>
      <c r="R229" t="s">
        <v>1266</v>
      </c>
    </row>
    <row r="230" spans="1:18" x14ac:dyDescent="0.3">
      <c r="A230" t="s">
        <v>894</v>
      </c>
      <c r="B230">
        <v>15</v>
      </c>
      <c r="C230" t="s">
        <v>0</v>
      </c>
      <c r="D230" t="s">
        <v>894</v>
      </c>
      <c r="E230">
        <v>30</v>
      </c>
      <c r="F230" t="s">
        <v>739</v>
      </c>
      <c r="I230">
        <v>21</v>
      </c>
      <c r="J230" t="s">
        <v>411</v>
      </c>
      <c r="K230">
        <v>54</v>
      </c>
      <c r="L230" t="s">
        <v>1</v>
      </c>
      <c r="M230" t="s">
        <v>0</v>
      </c>
      <c r="N230" t="s">
        <v>1266</v>
      </c>
      <c r="O230" t="s">
        <v>1266</v>
      </c>
      <c r="P230" t="s">
        <v>1266</v>
      </c>
      <c r="Q230" t="s">
        <v>1266</v>
      </c>
      <c r="R230" t="s">
        <v>1266</v>
      </c>
    </row>
    <row r="231" spans="1:18" x14ac:dyDescent="0.3">
      <c r="A231" t="s">
        <v>895</v>
      </c>
      <c r="B231">
        <v>16</v>
      </c>
      <c r="C231" t="s">
        <v>0</v>
      </c>
      <c r="D231" t="s">
        <v>895</v>
      </c>
      <c r="E231">
        <v>30</v>
      </c>
      <c r="F231" t="s">
        <v>740</v>
      </c>
      <c r="I231">
        <v>21</v>
      </c>
      <c r="J231" t="s">
        <v>411</v>
      </c>
      <c r="K231">
        <v>55</v>
      </c>
      <c r="L231" t="s">
        <v>1</v>
      </c>
      <c r="M231" t="s">
        <v>0</v>
      </c>
      <c r="N231" t="s">
        <v>1266</v>
      </c>
      <c r="O231" t="s">
        <v>1266</v>
      </c>
      <c r="P231" t="s">
        <v>1266</v>
      </c>
      <c r="Q231" t="s">
        <v>1266</v>
      </c>
      <c r="R231" t="s">
        <v>1266</v>
      </c>
    </row>
    <row r="232" spans="1:18" x14ac:dyDescent="0.3">
      <c r="A232" t="s">
        <v>1627</v>
      </c>
      <c r="B232">
        <v>17</v>
      </c>
      <c r="C232" t="s">
        <v>0</v>
      </c>
      <c r="D232" t="s">
        <v>877</v>
      </c>
      <c r="E232">
        <v>30</v>
      </c>
      <c r="F232" t="s">
        <v>712</v>
      </c>
      <c r="I232">
        <v>6</v>
      </c>
      <c r="J232" t="s">
        <v>411</v>
      </c>
      <c r="K232">
        <v>56</v>
      </c>
      <c r="L232" t="s">
        <v>1</v>
      </c>
      <c r="M232" t="s">
        <v>0</v>
      </c>
      <c r="N232" t="s">
        <v>1266</v>
      </c>
      <c r="O232" t="s">
        <v>1266</v>
      </c>
      <c r="P232" t="s">
        <v>1266</v>
      </c>
      <c r="Q232" t="s">
        <v>1266</v>
      </c>
      <c r="R232" t="s">
        <v>1266</v>
      </c>
    </row>
    <row r="233" spans="1:18" x14ac:dyDescent="0.3">
      <c r="A233" t="s">
        <v>714</v>
      </c>
      <c r="B233">
        <v>18</v>
      </c>
      <c r="C233" t="s">
        <v>0</v>
      </c>
      <c r="D233" t="s">
        <v>714</v>
      </c>
      <c r="E233">
        <v>30</v>
      </c>
      <c r="F233" t="s">
        <v>713</v>
      </c>
      <c r="I233">
        <v>1</v>
      </c>
      <c r="J233" t="s">
        <v>411</v>
      </c>
      <c r="K233">
        <v>57</v>
      </c>
      <c r="L233" t="s">
        <v>1</v>
      </c>
      <c r="M233" t="s">
        <v>0</v>
      </c>
      <c r="N233" t="s">
        <v>1266</v>
      </c>
      <c r="O233" t="s">
        <v>1266</v>
      </c>
      <c r="P233" t="s">
        <v>1266</v>
      </c>
      <c r="Q233" t="s">
        <v>1266</v>
      </c>
      <c r="R233" t="s">
        <v>1266</v>
      </c>
    </row>
    <row r="234" spans="1:18" x14ac:dyDescent="0.3">
      <c r="A234" t="s">
        <v>875</v>
      </c>
      <c r="B234">
        <v>19</v>
      </c>
      <c r="C234" t="s">
        <v>1</v>
      </c>
      <c r="D234" t="s">
        <v>875</v>
      </c>
      <c r="E234">
        <v>30</v>
      </c>
      <c r="F234" t="s">
        <v>581</v>
      </c>
      <c r="I234">
        <v>5</v>
      </c>
      <c r="J234" t="s">
        <v>411</v>
      </c>
      <c r="K234" t="s">
        <v>1502</v>
      </c>
      <c r="L234" t="s">
        <v>0</v>
      </c>
      <c r="M234" t="s">
        <v>0</v>
      </c>
      <c r="N234" t="s">
        <v>1266</v>
      </c>
      <c r="O234" t="s">
        <v>1266</v>
      </c>
      <c r="P234" t="s">
        <v>1266</v>
      </c>
      <c r="Q234" t="s">
        <v>1266</v>
      </c>
      <c r="R234" t="s">
        <v>1266</v>
      </c>
    </row>
    <row r="235" spans="1:18" x14ac:dyDescent="0.3">
      <c r="A235" t="s">
        <v>1517</v>
      </c>
      <c r="B235">
        <v>20</v>
      </c>
      <c r="C235" t="s">
        <v>0</v>
      </c>
      <c r="D235" t="s">
        <v>1517</v>
      </c>
      <c r="E235">
        <v>30</v>
      </c>
      <c r="F235" t="s">
        <v>1517</v>
      </c>
      <c r="I235">
        <v>19</v>
      </c>
      <c r="J235" t="s">
        <v>411</v>
      </c>
      <c r="K235">
        <v>58</v>
      </c>
      <c r="L235" t="s">
        <v>1</v>
      </c>
      <c r="M235" t="s">
        <v>0</v>
      </c>
      <c r="N235" t="s">
        <v>1266</v>
      </c>
      <c r="O235" t="s">
        <v>1266</v>
      </c>
      <c r="P235" t="s">
        <v>1266</v>
      </c>
      <c r="Q235" t="s">
        <v>1266</v>
      </c>
      <c r="R235" t="s">
        <v>1266</v>
      </c>
    </row>
    <row r="236" spans="1:18" x14ac:dyDescent="0.3">
      <c r="A236" t="s">
        <v>1621</v>
      </c>
      <c r="B236">
        <v>21</v>
      </c>
      <c r="C236" t="s">
        <v>0</v>
      </c>
      <c r="D236" t="s">
        <v>887</v>
      </c>
      <c r="E236">
        <v>30</v>
      </c>
      <c r="F236" t="s">
        <v>723</v>
      </c>
      <c r="I236">
        <v>5</v>
      </c>
      <c r="J236" t="s">
        <v>411</v>
      </c>
      <c r="K236">
        <v>59</v>
      </c>
      <c r="L236" t="s">
        <v>1</v>
      </c>
      <c r="M236" t="s">
        <v>0</v>
      </c>
      <c r="N236" t="s">
        <v>1266</v>
      </c>
      <c r="O236" t="s">
        <v>1266</v>
      </c>
      <c r="P236" t="s">
        <v>1266</v>
      </c>
      <c r="Q236" t="s">
        <v>1266</v>
      </c>
      <c r="R236" t="s">
        <v>1266</v>
      </c>
    </row>
    <row r="237" spans="1:18" x14ac:dyDescent="0.3">
      <c r="A237" t="s">
        <v>1494</v>
      </c>
      <c r="B237">
        <v>22</v>
      </c>
      <c r="C237" t="s">
        <v>0</v>
      </c>
      <c r="D237" t="s">
        <v>1494</v>
      </c>
      <c r="E237">
        <v>30</v>
      </c>
      <c r="F237" t="s">
        <v>1494</v>
      </c>
      <c r="I237">
        <v>5</v>
      </c>
      <c r="J237" t="s">
        <v>411</v>
      </c>
      <c r="K237">
        <v>60</v>
      </c>
      <c r="L237" t="s">
        <v>1</v>
      </c>
      <c r="M237" t="s">
        <v>0</v>
      </c>
      <c r="N237" t="s">
        <v>1266</v>
      </c>
      <c r="O237" t="s">
        <v>1266</v>
      </c>
      <c r="P237" t="s">
        <v>1266</v>
      </c>
      <c r="Q237" t="s">
        <v>1266</v>
      </c>
      <c r="R237" t="s">
        <v>1266</v>
      </c>
    </row>
    <row r="238" spans="1:18" x14ac:dyDescent="0.3">
      <c r="A238" t="s">
        <v>1465</v>
      </c>
      <c r="B238">
        <v>23</v>
      </c>
      <c r="C238" t="s">
        <v>0</v>
      </c>
      <c r="D238" t="s">
        <v>1465</v>
      </c>
      <c r="E238">
        <v>30</v>
      </c>
      <c r="F238" t="s">
        <v>1465</v>
      </c>
      <c r="I238">
        <v>5</v>
      </c>
      <c r="J238" t="s">
        <v>411</v>
      </c>
      <c r="K238">
        <v>61</v>
      </c>
      <c r="L238" t="s">
        <v>1</v>
      </c>
      <c r="M238" t="s">
        <v>0</v>
      </c>
      <c r="N238" t="s">
        <v>1266</v>
      </c>
      <c r="O238" t="s">
        <v>1266</v>
      </c>
      <c r="P238" t="s">
        <v>1266</v>
      </c>
      <c r="Q238" t="s">
        <v>1266</v>
      </c>
      <c r="R238" t="s">
        <v>1266</v>
      </c>
    </row>
    <row r="239" spans="1:18" x14ac:dyDescent="0.3">
      <c r="A239" t="s">
        <v>748</v>
      </c>
      <c r="B239">
        <v>24</v>
      </c>
      <c r="C239" t="s">
        <v>0</v>
      </c>
      <c r="E239">
        <v>30</v>
      </c>
      <c r="F239" t="s">
        <v>748</v>
      </c>
      <c r="I239">
        <v>1</v>
      </c>
      <c r="J239" t="s">
        <v>411</v>
      </c>
      <c r="K239">
        <v>62</v>
      </c>
      <c r="L239" t="s">
        <v>1</v>
      </c>
      <c r="M239" t="s">
        <v>0</v>
      </c>
      <c r="N239" t="s">
        <v>1266</v>
      </c>
      <c r="O239" t="s">
        <v>1266</v>
      </c>
      <c r="P239" t="s">
        <v>1266</v>
      </c>
      <c r="Q239" t="s">
        <v>1266</v>
      </c>
      <c r="R239" t="s">
        <v>1266</v>
      </c>
    </row>
    <row r="240" spans="1:18" x14ac:dyDescent="0.3">
      <c r="A240" t="s">
        <v>1633</v>
      </c>
      <c r="B240">
        <v>25</v>
      </c>
      <c r="C240" t="s">
        <v>0</v>
      </c>
      <c r="D240" t="s">
        <v>724</v>
      </c>
      <c r="E240">
        <v>30</v>
      </c>
      <c r="F240" t="s">
        <v>569</v>
      </c>
      <c r="I240">
        <v>5</v>
      </c>
      <c r="J240" t="s">
        <v>411</v>
      </c>
      <c r="K240">
        <v>63</v>
      </c>
      <c r="L240" t="s">
        <v>1</v>
      </c>
      <c r="M240" t="s">
        <v>0</v>
      </c>
      <c r="N240" t="s">
        <v>1266</v>
      </c>
      <c r="O240" t="s">
        <v>1266</v>
      </c>
      <c r="P240" t="s">
        <v>1266</v>
      </c>
      <c r="Q240" t="s">
        <v>1266</v>
      </c>
      <c r="R240" t="s">
        <v>1266</v>
      </c>
    </row>
    <row r="241" spans="1:18" x14ac:dyDescent="0.3">
      <c r="A241" t="s">
        <v>1650</v>
      </c>
      <c r="B241">
        <v>26</v>
      </c>
      <c r="C241" t="s">
        <v>0</v>
      </c>
      <c r="D241" t="s">
        <v>888</v>
      </c>
      <c r="E241">
        <v>30</v>
      </c>
      <c r="F241" t="s">
        <v>473</v>
      </c>
      <c r="I241">
        <v>5</v>
      </c>
      <c r="J241" t="s">
        <v>411</v>
      </c>
      <c r="K241">
        <v>64</v>
      </c>
      <c r="L241" t="s">
        <v>1</v>
      </c>
      <c r="M241" t="s">
        <v>0</v>
      </c>
      <c r="N241" t="s">
        <v>1266</v>
      </c>
      <c r="O241" t="s">
        <v>1266</v>
      </c>
      <c r="P241" t="s">
        <v>1266</v>
      </c>
      <c r="Q241" t="s">
        <v>1266</v>
      </c>
      <c r="R241" t="s">
        <v>1266</v>
      </c>
    </row>
    <row r="242" spans="1:18" x14ac:dyDescent="0.3">
      <c r="A242" t="s">
        <v>833</v>
      </c>
      <c r="B242">
        <v>27</v>
      </c>
      <c r="C242" t="s">
        <v>0</v>
      </c>
      <c r="D242" t="s">
        <v>833</v>
      </c>
      <c r="E242">
        <v>30</v>
      </c>
      <c r="F242" t="s">
        <v>726</v>
      </c>
      <c r="I242">
        <v>1</v>
      </c>
      <c r="J242" t="s">
        <v>411</v>
      </c>
      <c r="K242">
        <v>65</v>
      </c>
      <c r="L242" t="s">
        <v>1</v>
      </c>
      <c r="M242" t="s">
        <v>0</v>
      </c>
      <c r="N242" t="s">
        <v>1266</v>
      </c>
      <c r="O242" t="s">
        <v>1266</v>
      </c>
      <c r="P242" t="s">
        <v>1266</v>
      </c>
      <c r="Q242" t="s">
        <v>1266</v>
      </c>
      <c r="R242" t="s">
        <v>1266</v>
      </c>
    </row>
    <row r="243" spans="1:18" x14ac:dyDescent="0.3">
      <c r="A243" t="s">
        <v>885</v>
      </c>
      <c r="B243">
        <v>28</v>
      </c>
      <c r="C243" t="s">
        <v>0</v>
      </c>
      <c r="D243" t="s">
        <v>885</v>
      </c>
      <c r="E243">
        <v>30</v>
      </c>
      <c r="F243" t="s">
        <v>720</v>
      </c>
      <c r="I243">
        <v>5</v>
      </c>
      <c r="J243" t="s">
        <v>411</v>
      </c>
      <c r="K243">
        <v>66</v>
      </c>
      <c r="L243" t="s">
        <v>1</v>
      </c>
      <c r="M243" t="s">
        <v>0</v>
      </c>
      <c r="N243" t="s">
        <v>1266</v>
      </c>
      <c r="O243" t="s">
        <v>1266</v>
      </c>
      <c r="P243" t="s">
        <v>1266</v>
      </c>
      <c r="Q243" t="s">
        <v>1266</v>
      </c>
      <c r="R243" t="s">
        <v>1266</v>
      </c>
    </row>
    <row r="244" spans="1:18" x14ac:dyDescent="0.3">
      <c r="A244" t="s">
        <v>1421</v>
      </c>
      <c r="B244">
        <v>29</v>
      </c>
      <c r="C244" t="s">
        <v>0</v>
      </c>
      <c r="D244" t="s">
        <v>1421</v>
      </c>
      <c r="E244">
        <v>30</v>
      </c>
      <c r="F244" t="s">
        <v>1421</v>
      </c>
      <c r="I244">
        <v>9</v>
      </c>
      <c r="J244" t="s">
        <v>411</v>
      </c>
      <c r="K244">
        <v>67</v>
      </c>
      <c r="L244" t="s">
        <v>1</v>
      </c>
      <c r="M244" t="s">
        <v>0</v>
      </c>
      <c r="N244" t="s">
        <v>1266</v>
      </c>
      <c r="O244" t="s">
        <v>1266</v>
      </c>
      <c r="P244" t="s">
        <v>1266</v>
      </c>
      <c r="Q244" t="s">
        <v>1266</v>
      </c>
      <c r="R244" t="s">
        <v>1266</v>
      </c>
    </row>
    <row r="245" spans="1:18" x14ac:dyDescent="0.3">
      <c r="A245" t="s">
        <v>1386</v>
      </c>
      <c r="B245">
        <v>30</v>
      </c>
      <c r="C245" t="s">
        <v>0</v>
      </c>
      <c r="D245" t="s">
        <v>1386</v>
      </c>
      <c r="E245">
        <v>30</v>
      </c>
      <c r="F245" t="s">
        <v>1386</v>
      </c>
      <c r="I245">
        <v>5</v>
      </c>
      <c r="J245" t="s">
        <v>411</v>
      </c>
      <c r="K245">
        <v>68</v>
      </c>
      <c r="L245" t="s">
        <v>1</v>
      </c>
      <c r="M245" t="s">
        <v>0</v>
      </c>
      <c r="N245" t="s">
        <v>1266</v>
      </c>
      <c r="O245" t="s">
        <v>1266</v>
      </c>
      <c r="P245" t="s">
        <v>1266</v>
      </c>
      <c r="Q245" t="s">
        <v>1266</v>
      </c>
      <c r="R245" t="s">
        <v>1266</v>
      </c>
    </row>
    <row r="246" spans="1:18" x14ac:dyDescent="0.3">
      <c r="A246" t="s">
        <v>1422</v>
      </c>
      <c r="B246">
        <v>31</v>
      </c>
      <c r="C246" t="s">
        <v>0</v>
      </c>
      <c r="D246" t="s">
        <v>1422</v>
      </c>
      <c r="E246">
        <v>30</v>
      </c>
      <c r="F246" t="s">
        <v>1422</v>
      </c>
      <c r="I246">
        <v>6</v>
      </c>
      <c r="J246" t="s">
        <v>411</v>
      </c>
      <c r="K246">
        <v>69</v>
      </c>
      <c r="L246" t="s">
        <v>1</v>
      </c>
      <c r="M246" t="s">
        <v>0</v>
      </c>
      <c r="N246" t="s">
        <v>1266</v>
      </c>
      <c r="O246" t="s">
        <v>1266</v>
      </c>
      <c r="P246" t="s">
        <v>1266</v>
      </c>
      <c r="Q246" t="s">
        <v>1266</v>
      </c>
      <c r="R246" t="s">
        <v>1266</v>
      </c>
    </row>
    <row r="247" spans="1:18" x14ac:dyDescent="0.3">
      <c r="A247" t="s">
        <v>882</v>
      </c>
      <c r="B247">
        <v>32</v>
      </c>
      <c r="C247" t="s">
        <v>0</v>
      </c>
      <c r="D247" t="s">
        <v>882</v>
      </c>
      <c r="E247">
        <v>30</v>
      </c>
      <c r="F247" t="s">
        <v>595</v>
      </c>
      <c r="I247">
        <v>14</v>
      </c>
      <c r="J247" t="s">
        <v>411</v>
      </c>
      <c r="K247">
        <v>70</v>
      </c>
      <c r="L247" t="s">
        <v>1</v>
      </c>
      <c r="M247" t="s">
        <v>0</v>
      </c>
      <c r="N247" t="s">
        <v>1266</v>
      </c>
      <c r="O247" t="s">
        <v>1266</v>
      </c>
      <c r="P247" t="s">
        <v>1266</v>
      </c>
      <c r="Q247" t="s">
        <v>1266</v>
      </c>
      <c r="R247" t="s">
        <v>1266</v>
      </c>
    </row>
    <row r="248" spans="1:18" x14ac:dyDescent="0.3">
      <c r="A248" t="s">
        <v>901</v>
      </c>
      <c r="B248">
        <v>33</v>
      </c>
      <c r="C248" t="s">
        <v>0</v>
      </c>
      <c r="D248" t="s">
        <v>901</v>
      </c>
      <c r="E248">
        <v>30</v>
      </c>
      <c r="F248" t="s">
        <v>340</v>
      </c>
      <c r="I248">
        <v>1</v>
      </c>
      <c r="J248" t="s">
        <v>411</v>
      </c>
      <c r="K248">
        <v>71</v>
      </c>
      <c r="L248" t="s">
        <v>1</v>
      </c>
      <c r="M248" t="s">
        <v>0</v>
      </c>
      <c r="N248" t="s">
        <v>1266</v>
      </c>
      <c r="O248" t="s">
        <v>1266</v>
      </c>
      <c r="P248" t="s">
        <v>1266</v>
      </c>
      <c r="Q248" t="s">
        <v>1266</v>
      </c>
      <c r="R248" t="s">
        <v>1266</v>
      </c>
    </row>
    <row r="249" spans="1:18" x14ac:dyDescent="0.3">
      <c r="A249" t="s">
        <v>902</v>
      </c>
      <c r="B249">
        <v>34</v>
      </c>
      <c r="C249" t="s">
        <v>0</v>
      </c>
      <c r="D249" t="s">
        <v>902</v>
      </c>
      <c r="E249">
        <v>30</v>
      </c>
      <c r="F249" t="s">
        <v>339</v>
      </c>
      <c r="I249">
        <v>1</v>
      </c>
      <c r="J249" t="s">
        <v>411</v>
      </c>
      <c r="K249">
        <v>72</v>
      </c>
      <c r="L249" t="s">
        <v>1</v>
      </c>
      <c r="M249" t="s">
        <v>0</v>
      </c>
      <c r="N249" t="s">
        <v>1266</v>
      </c>
      <c r="O249" t="s">
        <v>1266</v>
      </c>
      <c r="P249" t="s">
        <v>1266</v>
      </c>
      <c r="Q249" t="s">
        <v>1266</v>
      </c>
      <c r="R249" t="s">
        <v>1266</v>
      </c>
    </row>
    <row r="250" spans="1:18" x14ac:dyDescent="0.3">
      <c r="A250" t="s">
        <v>896</v>
      </c>
      <c r="B250">
        <v>35</v>
      </c>
      <c r="C250" t="s">
        <v>0</v>
      </c>
      <c r="D250" t="s">
        <v>896</v>
      </c>
      <c r="E250">
        <v>30</v>
      </c>
      <c r="F250" t="s">
        <v>538</v>
      </c>
      <c r="I250">
        <v>5</v>
      </c>
      <c r="J250" t="s">
        <v>411</v>
      </c>
      <c r="K250">
        <v>73</v>
      </c>
      <c r="L250" t="s">
        <v>1</v>
      </c>
      <c r="M250" t="s">
        <v>0</v>
      </c>
      <c r="N250" t="s">
        <v>1266</v>
      </c>
      <c r="O250" t="s">
        <v>1266</v>
      </c>
      <c r="P250" t="s">
        <v>1266</v>
      </c>
      <c r="Q250" t="s">
        <v>1266</v>
      </c>
      <c r="R250" t="s">
        <v>1266</v>
      </c>
    </row>
    <row r="251" spans="1:18" x14ac:dyDescent="0.3">
      <c r="A251" t="s">
        <v>508</v>
      </c>
      <c r="B251">
        <v>36</v>
      </c>
      <c r="C251" t="s">
        <v>0</v>
      </c>
      <c r="D251" t="s">
        <v>508</v>
      </c>
      <c r="E251">
        <v>30</v>
      </c>
      <c r="F251" t="s">
        <v>507</v>
      </c>
      <c r="I251">
        <v>5</v>
      </c>
      <c r="J251" t="s">
        <v>411</v>
      </c>
      <c r="K251">
        <v>74</v>
      </c>
      <c r="L251" t="s">
        <v>1</v>
      </c>
      <c r="M251" t="s">
        <v>0</v>
      </c>
      <c r="N251" t="s">
        <v>1266</v>
      </c>
      <c r="O251" t="s">
        <v>1266</v>
      </c>
      <c r="P251" t="s">
        <v>1266</v>
      </c>
      <c r="Q251" t="s">
        <v>1266</v>
      </c>
      <c r="R251" t="s">
        <v>1266</v>
      </c>
    </row>
    <row r="252" spans="1:18" x14ac:dyDescent="0.3">
      <c r="A252" t="s">
        <v>835</v>
      </c>
      <c r="B252">
        <v>37</v>
      </c>
      <c r="C252" t="s">
        <v>0</v>
      </c>
      <c r="D252" t="s">
        <v>835</v>
      </c>
      <c r="E252">
        <v>30</v>
      </c>
      <c r="F252" t="s">
        <v>736</v>
      </c>
      <c r="I252">
        <v>6</v>
      </c>
      <c r="J252" t="s">
        <v>411</v>
      </c>
      <c r="K252">
        <v>75</v>
      </c>
      <c r="L252" t="s">
        <v>1</v>
      </c>
      <c r="M252" t="s">
        <v>0</v>
      </c>
      <c r="N252" t="s">
        <v>1266</v>
      </c>
      <c r="O252" t="s">
        <v>1266</v>
      </c>
      <c r="P252" t="s">
        <v>1266</v>
      </c>
      <c r="Q252" t="s">
        <v>1266</v>
      </c>
      <c r="R252" t="s">
        <v>1266</v>
      </c>
    </row>
    <row r="253" spans="1:18" x14ac:dyDescent="0.3">
      <c r="A253" t="s">
        <v>1625</v>
      </c>
      <c r="B253">
        <v>38</v>
      </c>
      <c r="C253" t="s">
        <v>0</v>
      </c>
      <c r="D253" t="s">
        <v>903</v>
      </c>
      <c r="E253">
        <v>30</v>
      </c>
      <c r="F253" t="s">
        <v>630</v>
      </c>
      <c r="I253">
        <v>9</v>
      </c>
      <c r="J253" t="s">
        <v>411</v>
      </c>
      <c r="K253">
        <v>76</v>
      </c>
      <c r="L253" t="s">
        <v>1</v>
      </c>
      <c r="M253" t="s">
        <v>0</v>
      </c>
      <c r="N253" t="s">
        <v>1266</v>
      </c>
      <c r="O253" t="s">
        <v>1266</v>
      </c>
      <c r="P253" t="s">
        <v>1266</v>
      </c>
      <c r="Q253" t="s">
        <v>1266</v>
      </c>
      <c r="R253" t="s">
        <v>1266</v>
      </c>
    </row>
    <row r="254" spans="1:18" x14ac:dyDescent="0.3">
      <c r="A254" t="s">
        <v>1461</v>
      </c>
      <c r="B254">
        <v>39</v>
      </c>
      <c r="C254" t="s">
        <v>0</v>
      </c>
      <c r="D254" t="s">
        <v>1461</v>
      </c>
      <c r="E254">
        <v>30</v>
      </c>
      <c r="F254" t="s">
        <v>1461</v>
      </c>
      <c r="I254">
        <v>5</v>
      </c>
      <c r="J254" t="s">
        <v>411</v>
      </c>
      <c r="K254">
        <v>77</v>
      </c>
      <c r="L254" t="s">
        <v>1</v>
      </c>
      <c r="M254" t="s">
        <v>0</v>
      </c>
      <c r="N254" t="s">
        <v>1266</v>
      </c>
      <c r="O254" t="s">
        <v>1266</v>
      </c>
      <c r="P254" t="s">
        <v>1266</v>
      </c>
      <c r="Q254" t="s">
        <v>1266</v>
      </c>
      <c r="R254" t="s">
        <v>1266</v>
      </c>
    </row>
    <row r="255" spans="1:18" x14ac:dyDescent="0.3">
      <c r="A255" t="s">
        <v>880</v>
      </c>
      <c r="B255">
        <v>40</v>
      </c>
      <c r="C255" t="s">
        <v>0</v>
      </c>
      <c r="D255" t="s">
        <v>880</v>
      </c>
      <c r="E255">
        <v>30</v>
      </c>
      <c r="F255" t="s">
        <v>697</v>
      </c>
      <c r="I255">
        <v>19</v>
      </c>
      <c r="J255" t="s">
        <v>411</v>
      </c>
      <c r="K255">
        <v>78</v>
      </c>
      <c r="L255" t="s">
        <v>1</v>
      </c>
      <c r="M255" t="s">
        <v>0</v>
      </c>
      <c r="N255" t="s">
        <v>1266</v>
      </c>
      <c r="O255" t="s">
        <v>1266</v>
      </c>
      <c r="P255" t="s">
        <v>1266</v>
      </c>
      <c r="Q255" t="s">
        <v>1266</v>
      </c>
      <c r="R255" t="s">
        <v>1266</v>
      </c>
    </row>
    <row r="256" spans="1:18" x14ac:dyDescent="0.3">
      <c r="A256" t="s">
        <v>879</v>
      </c>
      <c r="B256">
        <v>41</v>
      </c>
      <c r="C256" t="s">
        <v>0</v>
      </c>
      <c r="D256" t="s">
        <v>879</v>
      </c>
      <c r="E256">
        <v>30</v>
      </c>
      <c r="F256" t="s">
        <v>437</v>
      </c>
      <c r="I256">
        <v>19</v>
      </c>
      <c r="J256" t="s">
        <v>411</v>
      </c>
      <c r="K256">
        <v>79</v>
      </c>
      <c r="L256" t="s">
        <v>1</v>
      </c>
      <c r="M256" t="s">
        <v>0</v>
      </c>
      <c r="N256" t="s">
        <v>1266</v>
      </c>
      <c r="O256" t="s">
        <v>1266</v>
      </c>
      <c r="P256" t="s">
        <v>1266</v>
      </c>
      <c r="Q256" t="s">
        <v>1266</v>
      </c>
      <c r="R256" t="s">
        <v>1266</v>
      </c>
    </row>
    <row r="257" spans="1:18" x14ac:dyDescent="0.3">
      <c r="A257" t="s">
        <v>683</v>
      </c>
      <c r="B257">
        <v>42</v>
      </c>
      <c r="C257" t="s">
        <v>0</v>
      </c>
      <c r="D257" t="s">
        <v>683</v>
      </c>
      <c r="E257">
        <v>30</v>
      </c>
      <c r="F257" t="s">
        <v>682</v>
      </c>
      <c r="I257">
        <v>9</v>
      </c>
      <c r="J257" t="s">
        <v>411</v>
      </c>
      <c r="K257">
        <v>80</v>
      </c>
      <c r="L257" t="s">
        <v>1</v>
      </c>
      <c r="M257" t="s">
        <v>0</v>
      </c>
      <c r="N257" t="s">
        <v>1266</v>
      </c>
      <c r="O257" t="s">
        <v>1266</v>
      </c>
      <c r="P257" t="s">
        <v>1266</v>
      </c>
      <c r="Q257" t="s">
        <v>1266</v>
      </c>
      <c r="R257" t="s">
        <v>1266</v>
      </c>
    </row>
    <row r="258" spans="1:18" x14ac:dyDescent="0.3">
      <c r="A258" t="s">
        <v>706</v>
      </c>
      <c r="B258">
        <v>43</v>
      </c>
      <c r="C258" t="s">
        <v>0</v>
      </c>
      <c r="D258" t="s">
        <v>706</v>
      </c>
      <c r="E258">
        <v>30</v>
      </c>
      <c r="F258" t="s">
        <v>747</v>
      </c>
      <c r="I258">
        <v>21</v>
      </c>
      <c r="J258" t="s">
        <v>411</v>
      </c>
      <c r="K258">
        <v>81</v>
      </c>
      <c r="L258" t="s">
        <v>1</v>
      </c>
      <c r="M258" t="s">
        <v>0</v>
      </c>
      <c r="N258" t="s">
        <v>1266</v>
      </c>
      <c r="O258" t="s">
        <v>1266</v>
      </c>
      <c r="P258" t="s">
        <v>1266</v>
      </c>
      <c r="Q258" t="s">
        <v>1266</v>
      </c>
      <c r="R258" t="s">
        <v>1266</v>
      </c>
    </row>
    <row r="259" spans="1:18" x14ac:dyDescent="0.3">
      <c r="A259" t="s">
        <v>816</v>
      </c>
      <c r="B259">
        <v>44</v>
      </c>
      <c r="C259" t="s">
        <v>0</v>
      </c>
      <c r="D259" t="s">
        <v>816</v>
      </c>
      <c r="E259">
        <v>30</v>
      </c>
      <c r="F259" t="s">
        <v>611</v>
      </c>
      <c r="I259">
        <v>9</v>
      </c>
      <c r="J259" t="s">
        <v>411</v>
      </c>
      <c r="K259">
        <v>82</v>
      </c>
      <c r="L259" t="s">
        <v>1</v>
      </c>
      <c r="M259" t="s">
        <v>0</v>
      </c>
      <c r="N259" t="s">
        <v>1266</v>
      </c>
      <c r="O259" t="s">
        <v>1266</v>
      </c>
      <c r="P259" t="s">
        <v>1266</v>
      </c>
      <c r="Q259" t="s">
        <v>1266</v>
      </c>
      <c r="R259" t="s">
        <v>1266</v>
      </c>
    </row>
    <row r="260" spans="1:18" x14ac:dyDescent="0.3">
      <c r="A260" t="s">
        <v>897</v>
      </c>
      <c r="B260">
        <v>45</v>
      </c>
      <c r="C260" t="s">
        <v>0</v>
      </c>
      <c r="D260" t="s">
        <v>897</v>
      </c>
      <c r="E260">
        <v>30</v>
      </c>
      <c r="F260" t="s">
        <v>658</v>
      </c>
      <c r="I260">
        <v>21</v>
      </c>
      <c r="J260" t="s">
        <v>411</v>
      </c>
      <c r="K260">
        <v>83</v>
      </c>
      <c r="L260" t="s">
        <v>1</v>
      </c>
      <c r="M260" t="s">
        <v>0</v>
      </c>
      <c r="N260" t="s">
        <v>1266</v>
      </c>
      <c r="O260" t="s">
        <v>1266</v>
      </c>
      <c r="P260" t="s">
        <v>1266</v>
      </c>
      <c r="Q260" t="s">
        <v>1266</v>
      </c>
      <c r="R260" t="s">
        <v>1266</v>
      </c>
    </row>
    <row r="261" spans="1:18" x14ac:dyDescent="0.3">
      <c r="A261" t="s">
        <v>1444</v>
      </c>
      <c r="B261">
        <v>46</v>
      </c>
      <c r="C261" t="s">
        <v>0</v>
      </c>
      <c r="D261" t="s">
        <v>1444</v>
      </c>
      <c r="E261">
        <v>30</v>
      </c>
      <c r="F261" t="s">
        <v>1444</v>
      </c>
      <c r="I261">
        <v>1</v>
      </c>
      <c r="J261" t="s">
        <v>411</v>
      </c>
      <c r="K261">
        <v>84</v>
      </c>
      <c r="L261" t="s">
        <v>1</v>
      </c>
      <c r="M261" t="s">
        <v>0</v>
      </c>
      <c r="N261" t="s">
        <v>1266</v>
      </c>
      <c r="O261" t="s">
        <v>1266</v>
      </c>
      <c r="P261" t="s">
        <v>1266</v>
      </c>
      <c r="Q261" t="s">
        <v>1266</v>
      </c>
      <c r="R261" t="s">
        <v>1266</v>
      </c>
    </row>
    <row r="262" spans="1:18" x14ac:dyDescent="0.3">
      <c r="A262" t="s">
        <v>441</v>
      </c>
      <c r="B262">
        <v>47</v>
      </c>
      <c r="C262" t="s">
        <v>1</v>
      </c>
      <c r="D262" t="s">
        <v>441</v>
      </c>
      <c r="E262">
        <v>30</v>
      </c>
      <c r="F262" t="s">
        <v>440</v>
      </c>
      <c r="I262">
        <v>12</v>
      </c>
      <c r="J262" t="s">
        <v>411</v>
      </c>
      <c r="K262">
        <v>85</v>
      </c>
      <c r="L262" t="s">
        <v>1</v>
      </c>
      <c r="M262" t="s">
        <v>0</v>
      </c>
      <c r="N262" t="s">
        <v>1266</v>
      </c>
      <c r="O262" t="s">
        <v>1266</v>
      </c>
      <c r="P262" t="s">
        <v>1266</v>
      </c>
      <c r="Q262" t="s">
        <v>1266</v>
      </c>
      <c r="R262" t="s">
        <v>1266</v>
      </c>
    </row>
    <row r="263" spans="1:18" x14ac:dyDescent="0.3">
      <c r="A263" t="s">
        <v>430</v>
      </c>
      <c r="B263">
        <v>48</v>
      </c>
      <c r="C263" t="s">
        <v>1</v>
      </c>
      <c r="D263" t="s">
        <v>430</v>
      </c>
      <c r="E263">
        <v>30</v>
      </c>
      <c r="F263" t="s">
        <v>429</v>
      </c>
      <c r="I263">
        <v>12</v>
      </c>
      <c r="J263" t="s">
        <v>411</v>
      </c>
      <c r="K263">
        <v>86</v>
      </c>
      <c r="L263" t="s">
        <v>1</v>
      </c>
      <c r="M263" t="s">
        <v>0</v>
      </c>
      <c r="N263" t="s">
        <v>1266</v>
      </c>
      <c r="O263" t="s">
        <v>1266</v>
      </c>
      <c r="P263" t="s">
        <v>1266</v>
      </c>
      <c r="Q263" t="s">
        <v>1266</v>
      </c>
      <c r="R263" t="s">
        <v>1266</v>
      </c>
    </row>
    <row r="264" spans="1:18" x14ac:dyDescent="0.3">
      <c r="A264" t="s">
        <v>705</v>
      </c>
      <c r="B264">
        <v>49</v>
      </c>
      <c r="C264" t="s">
        <v>0</v>
      </c>
      <c r="D264" t="s">
        <v>705</v>
      </c>
      <c r="E264">
        <v>30</v>
      </c>
      <c r="F264" t="s">
        <v>704</v>
      </c>
      <c r="I264">
        <v>19</v>
      </c>
      <c r="J264" t="s">
        <v>411</v>
      </c>
      <c r="K264">
        <v>87</v>
      </c>
      <c r="L264" t="s">
        <v>1</v>
      </c>
      <c r="M264" t="s">
        <v>0</v>
      </c>
      <c r="N264" t="s">
        <v>1266</v>
      </c>
      <c r="O264" t="s">
        <v>1266</v>
      </c>
      <c r="P264" t="s">
        <v>1266</v>
      </c>
      <c r="Q264" t="s">
        <v>1266</v>
      </c>
      <c r="R264" t="s">
        <v>1266</v>
      </c>
    </row>
    <row r="265" spans="1:18" x14ac:dyDescent="0.3">
      <c r="A265" t="s">
        <v>900</v>
      </c>
      <c r="B265">
        <v>50</v>
      </c>
      <c r="C265" t="s">
        <v>0</v>
      </c>
      <c r="D265" t="s">
        <v>900</v>
      </c>
      <c r="E265">
        <v>30</v>
      </c>
      <c r="F265" t="s">
        <v>745</v>
      </c>
      <c r="I265">
        <v>14</v>
      </c>
      <c r="J265" t="s">
        <v>411</v>
      </c>
      <c r="K265">
        <v>88</v>
      </c>
      <c r="L265" t="s">
        <v>1</v>
      </c>
      <c r="M265" t="s">
        <v>0</v>
      </c>
      <c r="N265" t="s">
        <v>1266</v>
      </c>
      <c r="O265" t="s">
        <v>1266</v>
      </c>
      <c r="P265" t="s">
        <v>1266</v>
      </c>
      <c r="Q265" t="s">
        <v>1266</v>
      </c>
      <c r="R265" t="s">
        <v>1266</v>
      </c>
    </row>
    <row r="266" spans="1:18" x14ac:dyDescent="0.3">
      <c r="A266" t="s">
        <v>708</v>
      </c>
      <c r="B266">
        <v>51</v>
      </c>
      <c r="C266" t="s">
        <v>1</v>
      </c>
      <c r="D266" t="s">
        <v>708</v>
      </c>
      <c r="E266">
        <v>30</v>
      </c>
      <c r="F266" t="s">
        <v>498</v>
      </c>
      <c r="I266">
        <v>5</v>
      </c>
      <c r="J266" t="s">
        <v>411</v>
      </c>
      <c r="K266">
        <v>89</v>
      </c>
      <c r="L266" t="s">
        <v>1</v>
      </c>
      <c r="M266" t="s">
        <v>0</v>
      </c>
      <c r="N266" t="s">
        <v>1266</v>
      </c>
      <c r="O266" t="s">
        <v>1266</v>
      </c>
      <c r="P266" t="s">
        <v>1266</v>
      </c>
      <c r="Q266" t="s">
        <v>1266</v>
      </c>
      <c r="R266" t="s">
        <v>1266</v>
      </c>
    </row>
    <row r="267" spans="1:18" x14ac:dyDescent="0.3">
      <c r="A267" t="s">
        <v>892</v>
      </c>
      <c r="B267">
        <v>52</v>
      </c>
      <c r="C267" t="s">
        <v>0</v>
      </c>
      <c r="D267" t="s">
        <v>892</v>
      </c>
      <c r="E267">
        <v>30</v>
      </c>
      <c r="F267" t="s">
        <v>734</v>
      </c>
      <c r="I267">
        <v>14</v>
      </c>
      <c r="J267" t="s">
        <v>411</v>
      </c>
      <c r="K267">
        <v>90</v>
      </c>
      <c r="L267" t="s">
        <v>1</v>
      </c>
      <c r="M267" t="s">
        <v>0</v>
      </c>
      <c r="N267" t="s">
        <v>1266</v>
      </c>
      <c r="O267" t="s">
        <v>1266</v>
      </c>
      <c r="P267" t="s">
        <v>1266</v>
      </c>
      <c r="Q267" t="s">
        <v>1266</v>
      </c>
      <c r="R267" t="s">
        <v>1266</v>
      </c>
    </row>
    <row r="268" spans="1:18" x14ac:dyDescent="0.3">
      <c r="A268" t="s">
        <v>904</v>
      </c>
      <c r="B268">
        <v>53</v>
      </c>
      <c r="C268" t="s">
        <v>0</v>
      </c>
      <c r="D268" t="s">
        <v>904</v>
      </c>
      <c r="E268">
        <v>30</v>
      </c>
      <c r="F268" t="s">
        <v>746</v>
      </c>
      <c r="I268">
        <v>14</v>
      </c>
      <c r="J268" t="s">
        <v>411</v>
      </c>
      <c r="K268">
        <v>91</v>
      </c>
      <c r="L268" t="s">
        <v>1</v>
      </c>
      <c r="M268" t="s">
        <v>0</v>
      </c>
      <c r="N268" t="s">
        <v>1266</v>
      </c>
      <c r="O268" t="s">
        <v>1266</v>
      </c>
      <c r="P268" t="s">
        <v>1266</v>
      </c>
      <c r="Q268" t="s">
        <v>1266</v>
      </c>
      <c r="R268" t="s">
        <v>1266</v>
      </c>
    </row>
    <row r="269" spans="1:18" x14ac:dyDescent="0.3">
      <c r="A269" t="s">
        <v>881</v>
      </c>
      <c r="B269">
        <v>54</v>
      </c>
      <c r="C269" t="s">
        <v>0</v>
      </c>
      <c r="D269" t="s">
        <v>881</v>
      </c>
      <c r="E269">
        <v>30</v>
      </c>
      <c r="F269" t="s">
        <v>716</v>
      </c>
      <c r="I269">
        <v>14</v>
      </c>
      <c r="J269" t="s">
        <v>411</v>
      </c>
      <c r="K269">
        <v>92</v>
      </c>
      <c r="L269" t="s">
        <v>1</v>
      </c>
      <c r="M269" t="s">
        <v>0</v>
      </c>
      <c r="N269" t="s">
        <v>1266</v>
      </c>
      <c r="O269" t="s">
        <v>1266</v>
      </c>
      <c r="P269" t="s">
        <v>1266</v>
      </c>
      <c r="Q269" t="s">
        <v>1266</v>
      </c>
      <c r="R269" t="s">
        <v>1266</v>
      </c>
    </row>
    <row r="270" spans="1:18" x14ac:dyDescent="0.3">
      <c r="A270" t="s">
        <v>1391</v>
      </c>
      <c r="B270">
        <v>55</v>
      </c>
      <c r="C270" t="s">
        <v>0</v>
      </c>
      <c r="D270" t="s">
        <v>1391</v>
      </c>
      <c r="E270">
        <v>30</v>
      </c>
      <c r="F270" t="s">
        <v>1391</v>
      </c>
      <c r="I270">
        <v>16</v>
      </c>
      <c r="J270" t="s">
        <v>411</v>
      </c>
      <c r="K270">
        <v>93</v>
      </c>
      <c r="L270" t="s">
        <v>1</v>
      </c>
      <c r="M270" t="s">
        <v>0</v>
      </c>
      <c r="N270" t="s">
        <v>1266</v>
      </c>
      <c r="O270" t="s">
        <v>1266</v>
      </c>
      <c r="P270" t="s">
        <v>1266</v>
      </c>
      <c r="Q270" t="s">
        <v>1266</v>
      </c>
      <c r="R270" t="s">
        <v>1266</v>
      </c>
    </row>
    <row r="271" spans="1:18" x14ac:dyDescent="0.3">
      <c r="A271" t="s">
        <v>1382</v>
      </c>
      <c r="B271">
        <v>56</v>
      </c>
      <c r="C271" t="s">
        <v>0</v>
      </c>
      <c r="D271" t="s">
        <v>1382</v>
      </c>
      <c r="E271">
        <v>30</v>
      </c>
      <c r="F271" t="s">
        <v>1382</v>
      </c>
      <c r="I271">
        <v>5</v>
      </c>
      <c r="J271" t="s">
        <v>411</v>
      </c>
      <c r="K271">
        <v>94</v>
      </c>
      <c r="L271" t="s">
        <v>1</v>
      </c>
      <c r="M271" t="s">
        <v>0</v>
      </c>
      <c r="N271" t="s">
        <v>1266</v>
      </c>
      <c r="O271" t="s">
        <v>1266</v>
      </c>
      <c r="P271" t="s">
        <v>1266</v>
      </c>
      <c r="Q271" t="s">
        <v>1266</v>
      </c>
      <c r="R271" t="s">
        <v>1266</v>
      </c>
    </row>
    <row r="272" spans="1:18" x14ac:dyDescent="0.3">
      <c r="A272" t="s">
        <v>1454</v>
      </c>
      <c r="B272">
        <v>57</v>
      </c>
      <c r="C272" t="s">
        <v>0</v>
      </c>
      <c r="D272" t="s">
        <v>1454</v>
      </c>
      <c r="E272">
        <v>30</v>
      </c>
      <c r="F272" t="s">
        <v>1454</v>
      </c>
      <c r="I272">
        <v>21</v>
      </c>
      <c r="J272" t="s">
        <v>411</v>
      </c>
      <c r="K272">
        <v>95</v>
      </c>
      <c r="L272" t="s">
        <v>1</v>
      </c>
      <c r="M272" t="s">
        <v>0</v>
      </c>
      <c r="N272" t="s">
        <v>1266</v>
      </c>
      <c r="O272" t="s">
        <v>1266</v>
      </c>
      <c r="P272" t="s">
        <v>1266</v>
      </c>
      <c r="Q272" t="s">
        <v>1266</v>
      </c>
      <c r="R272" t="s">
        <v>1266</v>
      </c>
    </row>
    <row r="273" spans="1:18" x14ac:dyDescent="0.3">
      <c r="A273" t="s">
        <v>1651</v>
      </c>
      <c r="B273">
        <v>58</v>
      </c>
      <c r="C273" t="s">
        <v>0</v>
      </c>
      <c r="D273" t="s">
        <v>898</v>
      </c>
      <c r="E273">
        <v>30</v>
      </c>
      <c r="F273" t="s">
        <v>570</v>
      </c>
      <c r="I273">
        <v>14</v>
      </c>
      <c r="J273" t="s">
        <v>411</v>
      </c>
      <c r="K273">
        <v>96</v>
      </c>
      <c r="L273" t="s">
        <v>1</v>
      </c>
      <c r="M273" t="s">
        <v>0</v>
      </c>
      <c r="N273" t="s">
        <v>1266</v>
      </c>
      <c r="O273" t="s">
        <v>1266</v>
      </c>
      <c r="P273" t="s">
        <v>1266</v>
      </c>
      <c r="Q273" t="s">
        <v>1266</v>
      </c>
      <c r="R273" t="s">
        <v>1266</v>
      </c>
    </row>
    <row r="274" spans="1:18" x14ac:dyDescent="0.3">
      <c r="A274" t="s">
        <v>493</v>
      </c>
      <c r="B274">
        <v>59</v>
      </c>
      <c r="C274" t="s">
        <v>1</v>
      </c>
      <c r="D274" t="s">
        <v>493</v>
      </c>
      <c r="E274">
        <v>30</v>
      </c>
      <c r="F274" t="s">
        <v>492</v>
      </c>
      <c r="I274">
        <v>21</v>
      </c>
      <c r="J274" t="s">
        <v>411</v>
      </c>
      <c r="K274">
        <v>97</v>
      </c>
      <c r="L274" t="s">
        <v>1</v>
      </c>
      <c r="M274" t="s">
        <v>0</v>
      </c>
      <c r="N274" t="s">
        <v>1266</v>
      </c>
      <c r="O274" t="s">
        <v>1266</v>
      </c>
      <c r="P274" t="s">
        <v>1266</v>
      </c>
      <c r="Q274" t="s">
        <v>1266</v>
      </c>
      <c r="R274" t="s">
        <v>1266</v>
      </c>
    </row>
    <row r="275" spans="1:18" x14ac:dyDescent="0.3">
      <c r="A275" t="s">
        <v>582</v>
      </c>
      <c r="B275">
        <v>1</v>
      </c>
      <c r="C275" t="s">
        <v>1</v>
      </c>
      <c r="D275" t="s">
        <v>582</v>
      </c>
      <c r="E275">
        <v>30</v>
      </c>
      <c r="F275" t="s">
        <v>581</v>
      </c>
      <c r="I275">
        <v>5</v>
      </c>
      <c r="J275" t="s">
        <v>425</v>
      </c>
      <c r="K275">
        <v>404</v>
      </c>
      <c r="L275" t="s">
        <v>0</v>
      </c>
      <c r="M275" t="s">
        <v>0</v>
      </c>
      <c r="N275" t="s">
        <v>1266</v>
      </c>
      <c r="O275" t="s">
        <v>1266</v>
      </c>
      <c r="P275" t="s">
        <v>1266</v>
      </c>
      <c r="Q275" t="s">
        <v>1266</v>
      </c>
      <c r="R275" t="s">
        <v>1266</v>
      </c>
    </row>
    <row r="276" spans="1:18" x14ac:dyDescent="0.3">
      <c r="A276" t="s">
        <v>550</v>
      </c>
      <c r="B276">
        <v>2</v>
      </c>
      <c r="C276" t="s">
        <v>1</v>
      </c>
      <c r="D276" t="s">
        <v>550</v>
      </c>
      <c r="E276">
        <v>30</v>
      </c>
      <c r="F276" t="s">
        <v>583</v>
      </c>
      <c r="I276">
        <v>5</v>
      </c>
      <c r="J276" t="s">
        <v>425</v>
      </c>
      <c r="K276">
        <v>405</v>
      </c>
      <c r="L276" t="s">
        <v>1</v>
      </c>
      <c r="M276" t="s">
        <v>0</v>
      </c>
      <c r="N276" t="s">
        <v>1266</v>
      </c>
      <c r="O276" t="s">
        <v>1266</v>
      </c>
      <c r="P276" t="s">
        <v>1266</v>
      </c>
      <c r="Q276" t="s">
        <v>1266</v>
      </c>
      <c r="R276" t="s">
        <v>1266</v>
      </c>
    </row>
    <row r="277" spans="1:18" x14ac:dyDescent="0.3">
      <c r="A277" t="s">
        <v>441</v>
      </c>
      <c r="B277">
        <v>3</v>
      </c>
      <c r="C277" t="s">
        <v>1</v>
      </c>
      <c r="D277" t="s">
        <v>441</v>
      </c>
      <c r="E277">
        <v>30</v>
      </c>
      <c r="F277" t="s">
        <v>440</v>
      </c>
      <c r="I277">
        <v>12</v>
      </c>
      <c r="J277" t="s">
        <v>425</v>
      </c>
      <c r="K277">
        <v>406</v>
      </c>
      <c r="L277" t="s">
        <v>1</v>
      </c>
      <c r="M277" t="s">
        <v>0</v>
      </c>
      <c r="N277" t="s">
        <v>1266</v>
      </c>
      <c r="O277" t="s">
        <v>1266</v>
      </c>
      <c r="P277" t="s">
        <v>1266</v>
      </c>
      <c r="Q277" t="s">
        <v>1266</v>
      </c>
      <c r="R277" t="s">
        <v>1266</v>
      </c>
    </row>
    <row r="278" spans="1:18" x14ac:dyDescent="0.3">
      <c r="A278" t="s">
        <v>430</v>
      </c>
      <c r="B278">
        <v>4</v>
      </c>
      <c r="C278" t="s">
        <v>1</v>
      </c>
      <c r="D278" t="s">
        <v>430</v>
      </c>
      <c r="E278">
        <v>30</v>
      </c>
      <c r="F278" t="s">
        <v>429</v>
      </c>
      <c r="I278">
        <v>12</v>
      </c>
      <c r="J278" t="s">
        <v>425</v>
      </c>
      <c r="K278">
        <v>407</v>
      </c>
      <c r="L278" t="s">
        <v>1</v>
      </c>
      <c r="M278" t="s">
        <v>0</v>
      </c>
      <c r="N278" t="s">
        <v>1266</v>
      </c>
      <c r="O278" t="s">
        <v>1266</v>
      </c>
      <c r="P278" t="s">
        <v>1266</v>
      </c>
      <c r="Q278" t="s">
        <v>1266</v>
      </c>
      <c r="R278" t="s">
        <v>1266</v>
      </c>
    </row>
    <row r="279" spans="1:18" x14ac:dyDescent="0.3">
      <c r="A279" t="s">
        <v>584</v>
      </c>
      <c r="B279">
        <v>5</v>
      </c>
      <c r="C279" t="s">
        <v>1</v>
      </c>
      <c r="D279" t="s">
        <v>584</v>
      </c>
      <c r="E279">
        <v>30</v>
      </c>
      <c r="F279" t="s">
        <v>498</v>
      </c>
      <c r="I279">
        <v>5</v>
      </c>
      <c r="J279" t="s">
        <v>425</v>
      </c>
      <c r="K279">
        <v>408</v>
      </c>
      <c r="L279" t="s">
        <v>1</v>
      </c>
      <c r="M279" t="s">
        <v>0</v>
      </c>
      <c r="N279" t="s">
        <v>1266</v>
      </c>
      <c r="O279" t="s">
        <v>1266</v>
      </c>
      <c r="P279" t="s">
        <v>1266</v>
      </c>
      <c r="Q279" t="s">
        <v>1266</v>
      </c>
      <c r="R279" t="s">
        <v>1266</v>
      </c>
    </row>
    <row r="280" spans="1:18" x14ac:dyDescent="0.3">
      <c r="A280" t="s">
        <v>493</v>
      </c>
      <c r="B280">
        <v>6</v>
      </c>
      <c r="C280" t="s">
        <v>1</v>
      </c>
      <c r="D280" t="s">
        <v>493</v>
      </c>
      <c r="E280">
        <v>30</v>
      </c>
      <c r="F280" t="s">
        <v>492</v>
      </c>
      <c r="I280">
        <v>21</v>
      </c>
      <c r="J280" t="s">
        <v>425</v>
      </c>
      <c r="K280">
        <v>409</v>
      </c>
      <c r="L280" t="s">
        <v>1</v>
      </c>
      <c r="M280" t="s">
        <v>0</v>
      </c>
      <c r="N280" t="s">
        <v>1266</v>
      </c>
      <c r="O280" t="s">
        <v>1266</v>
      </c>
      <c r="P280" t="s">
        <v>1266</v>
      </c>
      <c r="Q280" t="s">
        <v>1266</v>
      </c>
      <c r="R280" t="s">
        <v>1266</v>
      </c>
    </row>
    <row r="281" spans="1:18" x14ac:dyDescent="0.3">
      <c r="A281" t="s">
        <v>581</v>
      </c>
      <c r="B281">
        <v>1</v>
      </c>
      <c r="C281" t="s">
        <v>1</v>
      </c>
      <c r="D281" t="s">
        <v>581</v>
      </c>
      <c r="E281">
        <v>30</v>
      </c>
      <c r="F281" t="s">
        <v>581</v>
      </c>
      <c r="I281">
        <v>5</v>
      </c>
      <c r="J281" t="s">
        <v>1340</v>
      </c>
      <c r="K281">
        <v>410</v>
      </c>
      <c r="L281" t="s">
        <v>0</v>
      </c>
      <c r="M281" t="s">
        <v>0</v>
      </c>
      <c r="N281" t="s">
        <v>1266</v>
      </c>
      <c r="O281" t="s">
        <v>1266</v>
      </c>
      <c r="P281" t="s">
        <v>1266</v>
      </c>
      <c r="Q281" t="s">
        <v>1266</v>
      </c>
      <c r="R281" t="s">
        <v>1266</v>
      </c>
    </row>
    <row r="282" spans="1:18" x14ac:dyDescent="0.3">
      <c r="A282" t="s">
        <v>1408</v>
      </c>
      <c r="B282">
        <v>2</v>
      </c>
      <c r="C282" t="s">
        <v>1</v>
      </c>
      <c r="D282" t="s">
        <v>1408</v>
      </c>
      <c r="E282">
        <v>30</v>
      </c>
      <c r="F282" t="s">
        <v>1408</v>
      </c>
      <c r="I282">
        <v>5</v>
      </c>
      <c r="J282" t="s">
        <v>1340</v>
      </c>
      <c r="K282">
        <v>411</v>
      </c>
      <c r="L282" t="s">
        <v>1</v>
      </c>
      <c r="M282" t="s">
        <v>0</v>
      </c>
      <c r="N282" t="s">
        <v>1266</v>
      </c>
      <c r="O282" t="s">
        <v>1266</v>
      </c>
      <c r="P282" t="s">
        <v>1266</v>
      </c>
      <c r="Q282" t="s">
        <v>1266</v>
      </c>
      <c r="R282" t="s">
        <v>1266</v>
      </c>
    </row>
    <row r="283" spans="1:18" x14ac:dyDescent="0.3">
      <c r="A283" t="s">
        <v>1527</v>
      </c>
      <c r="B283">
        <v>3</v>
      </c>
      <c r="C283" t="s">
        <v>0</v>
      </c>
      <c r="D283" t="s">
        <v>1527</v>
      </c>
      <c r="E283">
        <v>30</v>
      </c>
      <c r="F283" t="s">
        <v>1527</v>
      </c>
      <c r="I283">
        <v>5</v>
      </c>
      <c r="J283" t="s">
        <v>1340</v>
      </c>
      <c r="K283">
        <v>412</v>
      </c>
      <c r="L283" t="s">
        <v>1</v>
      </c>
      <c r="M283" t="s">
        <v>0</v>
      </c>
      <c r="N283" t="s">
        <v>1266</v>
      </c>
      <c r="O283" t="s">
        <v>1266</v>
      </c>
      <c r="P283" t="s">
        <v>1266</v>
      </c>
      <c r="Q283" t="s">
        <v>1266</v>
      </c>
      <c r="R283" t="s">
        <v>1266</v>
      </c>
    </row>
    <row r="284" spans="1:18" x14ac:dyDescent="0.3">
      <c r="A284" t="s">
        <v>440</v>
      </c>
      <c r="B284">
        <v>4</v>
      </c>
      <c r="C284" t="s">
        <v>1</v>
      </c>
      <c r="D284" t="s">
        <v>440</v>
      </c>
      <c r="E284">
        <v>30</v>
      </c>
      <c r="F284" t="s">
        <v>440</v>
      </c>
      <c r="I284">
        <v>12</v>
      </c>
      <c r="J284" t="s">
        <v>1340</v>
      </c>
      <c r="K284">
        <v>413</v>
      </c>
      <c r="L284" t="s">
        <v>1</v>
      </c>
      <c r="M284" t="s">
        <v>0</v>
      </c>
      <c r="N284" t="s">
        <v>1266</v>
      </c>
      <c r="O284" t="s">
        <v>1266</v>
      </c>
      <c r="P284" t="s">
        <v>1266</v>
      </c>
      <c r="Q284" t="s">
        <v>1266</v>
      </c>
      <c r="R284" t="s">
        <v>1266</v>
      </c>
    </row>
    <row r="285" spans="1:18" x14ac:dyDescent="0.3">
      <c r="A285" t="s">
        <v>429</v>
      </c>
      <c r="B285">
        <v>5</v>
      </c>
      <c r="C285" t="s">
        <v>1</v>
      </c>
      <c r="D285" t="s">
        <v>429</v>
      </c>
      <c r="E285">
        <v>30</v>
      </c>
      <c r="F285" t="s">
        <v>429</v>
      </c>
      <c r="I285">
        <v>12</v>
      </c>
      <c r="J285" t="s">
        <v>1340</v>
      </c>
      <c r="K285">
        <v>414</v>
      </c>
      <c r="L285" t="s">
        <v>1</v>
      </c>
      <c r="M285" t="s">
        <v>0</v>
      </c>
      <c r="N285" t="s">
        <v>1266</v>
      </c>
      <c r="O285" t="s">
        <v>1266</v>
      </c>
      <c r="P285" t="s">
        <v>1266</v>
      </c>
      <c r="Q285" t="s">
        <v>1266</v>
      </c>
      <c r="R285" t="s">
        <v>1266</v>
      </c>
    </row>
    <row r="286" spans="1:18" x14ac:dyDescent="0.3">
      <c r="A286" t="s">
        <v>492</v>
      </c>
      <c r="B286">
        <v>6</v>
      </c>
      <c r="C286" t="s">
        <v>1</v>
      </c>
      <c r="D286" t="s">
        <v>492</v>
      </c>
      <c r="E286">
        <v>30</v>
      </c>
      <c r="F286" t="s">
        <v>492</v>
      </c>
      <c r="I286">
        <v>21</v>
      </c>
      <c r="J286" t="s">
        <v>1340</v>
      </c>
      <c r="K286">
        <v>415</v>
      </c>
      <c r="L286" t="s">
        <v>1</v>
      </c>
      <c r="M286" t="s">
        <v>0</v>
      </c>
      <c r="N286" t="s">
        <v>1266</v>
      </c>
      <c r="O286" t="s">
        <v>1266</v>
      </c>
      <c r="P286" t="s">
        <v>1266</v>
      </c>
      <c r="Q286" t="s">
        <v>1266</v>
      </c>
      <c r="R286" t="s">
        <v>1266</v>
      </c>
    </row>
    <row r="287" spans="1:18" x14ac:dyDescent="0.3">
      <c r="A287" t="s">
        <v>1449</v>
      </c>
      <c r="B287">
        <v>1</v>
      </c>
      <c r="C287" t="s">
        <v>0</v>
      </c>
      <c r="D287" t="s">
        <v>1449</v>
      </c>
      <c r="E287">
        <v>30</v>
      </c>
      <c r="F287" t="s">
        <v>1449</v>
      </c>
      <c r="I287">
        <v>16</v>
      </c>
      <c r="J287" t="s">
        <v>388</v>
      </c>
      <c r="K287">
        <v>416</v>
      </c>
      <c r="L287" t="s">
        <v>1</v>
      </c>
      <c r="M287" t="s">
        <v>0</v>
      </c>
      <c r="N287" t="s">
        <v>1266</v>
      </c>
      <c r="O287" t="s">
        <v>1266</v>
      </c>
      <c r="P287" t="s">
        <v>1266</v>
      </c>
      <c r="Q287" t="s">
        <v>1266</v>
      </c>
      <c r="R287" t="s">
        <v>1266</v>
      </c>
    </row>
    <row r="288" spans="1:18" x14ac:dyDescent="0.3">
      <c r="A288" t="s">
        <v>1471</v>
      </c>
      <c r="B288">
        <v>2</v>
      </c>
      <c r="C288" t="s">
        <v>0</v>
      </c>
      <c r="D288" t="s">
        <v>1471</v>
      </c>
      <c r="E288">
        <v>30</v>
      </c>
      <c r="F288" t="s">
        <v>1471</v>
      </c>
      <c r="I288">
        <v>5</v>
      </c>
      <c r="J288" t="s">
        <v>388</v>
      </c>
      <c r="K288">
        <v>417</v>
      </c>
      <c r="L288" t="s">
        <v>1</v>
      </c>
      <c r="M288" t="s">
        <v>0</v>
      </c>
      <c r="N288" t="s">
        <v>1266</v>
      </c>
      <c r="O288" t="s">
        <v>1266</v>
      </c>
      <c r="P288" t="s">
        <v>1266</v>
      </c>
      <c r="Q288" t="s">
        <v>1266</v>
      </c>
      <c r="R288" t="s">
        <v>1266</v>
      </c>
    </row>
    <row r="289" spans="1:18" x14ac:dyDescent="0.3">
      <c r="A289" t="s">
        <v>1499</v>
      </c>
      <c r="B289">
        <v>3</v>
      </c>
      <c r="C289" t="s">
        <v>0</v>
      </c>
      <c r="D289" t="s">
        <v>1499</v>
      </c>
      <c r="E289">
        <v>30</v>
      </c>
      <c r="F289" t="s">
        <v>1499</v>
      </c>
      <c r="I289">
        <v>21</v>
      </c>
      <c r="J289" t="s">
        <v>388</v>
      </c>
      <c r="K289">
        <v>418</v>
      </c>
      <c r="L289" t="s">
        <v>1</v>
      </c>
      <c r="M289" t="s">
        <v>0</v>
      </c>
      <c r="N289" t="s">
        <v>1266</v>
      </c>
      <c r="O289" t="s">
        <v>1266</v>
      </c>
      <c r="P289" t="s">
        <v>1266</v>
      </c>
      <c r="Q289" t="s">
        <v>1266</v>
      </c>
      <c r="R289" t="s">
        <v>1266</v>
      </c>
    </row>
    <row r="290" spans="1:18" x14ac:dyDescent="0.3">
      <c r="A290" t="s">
        <v>876</v>
      </c>
      <c r="B290">
        <v>4</v>
      </c>
      <c r="C290" t="s">
        <v>0</v>
      </c>
      <c r="D290" t="s">
        <v>876</v>
      </c>
      <c r="E290">
        <v>30</v>
      </c>
      <c r="F290" t="s">
        <v>711</v>
      </c>
      <c r="I290">
        <v>16</v>
      </c>
      <c r="J290" t="s">
        <v>388</v>
      </c>
      <c r="K290">
        <v>419</v>
      </c>
      <c r="L290" t="s">
        <v>1</v>
      </c>
      <c r="M290" t="s">
        <v>0</v>
      </c>
      <c r="N290" t="s">
        <v>1266</v>
      </c>
      <c r="O290" t="s">
        <v>1266</v>
      </c>
      <c r="P290" t="s">
        <v>1266</v>
      </c>
      <c r="Q290" t="s">
        <v>1266</v>
      </c>
      <c r="R290" t="s">
        <v>1266</v>
      </c>
    </row>
    <row r="291" spans="1:18" x14ac:dyDescent="0.3">
      <c r="A291" t="s">
        <v>744</v>
      </c>
      <c r="B291">
        <v>5</v>
      </c>
      <c r="C291" t="s">
        <v>0</v>
      </c>
      <c r="D291" t="s">
        <v>744</v>
      </c>
      <c r="E291">
        <v>30</v>
      </c>
      <c r="F291" t="s">
        <v>743</v>
      </c>
      <c r="I291">
        <v>14</v>
      </c>
      <c r="J291" t="s">
        <v>388</v>
      </c>
      <c r="K291">
        <v>420</v>
      </c>
      <c r="L291" t="s">
        <v>1</v>
      </c>
      <c r="M291" t="s">
        <v>0</v>
      </c>
      <c r="N291" t="s">
        <v>1266</v>
      </c>
      <c r="O291" t="s">
        <v>1266</v>
      </c>
      <c r="P291" t="s">
        <v>1266</v>
      </c>
      <c r="Q291" t="s">
        <v>1266</v>
      </c>
      <c r="R291" t="s">
        <v>1266</v>
      </c>
    </row>
    <row r="292" spans="1:18" x14ac:dyDescent="0.3">
      <c r="A292" t="s">
        <v>883</v>
      </c>
      <c r="B292">
        <v>6</v>
      </c>
      <c r="C292" t="s">
        <v>0</v>
      </c>
      <c r="D292" t="s">
        <v>883</v>
      </c>
      <c r="E292">
        <v>30</v>
      </c>
      <c r="F292" t="s">
        <v>717</v>
      </c>
      <c r="I292">
        <v>14</v>
      </c>
      <c r="J292" t="s">
        <v>388</v>
      </c>
      <c r="K292">
        <v>421</v>
      </c>
      <c r="L292" t="s">
        <v>1</v>
      </c>
      <c r="M292" t="s">
        <v>0</v>
      </c>
      <c r="N292" t="s">
        <v>1266</v>
      </c>
      <c r="O292" t="s">
        <v>1266</v>
      </c>
      <c r="P292" t="s">
        <v>1266</v>
      </c>
      <c r="Q292" t="s">
        <v>1266</v>
      </c>
      <c r="R292" t="s">
        <v>1266</v>
      </c>
    </row>
    <row r="293" spans="1:18" x14ac:dyDescent="0.3">
      <c r="A293" t="s">
        <v>884</v>
      </c>
      <c r="B293">
        <v>7</v>
      </c>
      <c r="C293" t="s">
        <v>0</v>
      </c>
      <c r="D293" t="s">
        <v>884</v>
      </c>
      <c r="E293">
        <v>30</v>
      </c>
      <c r="F293" t="s">
        <v>718</v>
      </c>
      <c r="I293">
        <v>5</v>
      </c>
      <c r="J293" t="s">
        <v>388</v>
      </c>
      <c r="K293">
        <v>422</v>
      </c>
      <c r="L293" t="s">
        <v>1</v>
      </c>
      <c r="M293" t="s">
        <v>0</v>
      </c>
      <c r="N293" t="s">
        <v>1266</v>
      </c>
      <c r="O293" t="s">
        <v>1266</v>
      </c>
      <c r="P293" t="s">
        <v>1266</v>
      </c>
      <c r="Q293" t="s">
        <v>1266</v>
      </c>
      <c r="R293" t="s">
        <v>1266</v>
      </c>
    </row>
    <row r="294" spans="1:18" x14ac:dyDescent="0.3">
      <c r="A294" t="s">
        <v>1657</v>
      </c>
      <c r="B294">
        <v>8</v>
      </c>
      <c r="C294" t="s">
        <v>0</v>
      </c>
      <c r="D294" t="s">
        <v>951</v>
      </c>
      <c r="E294">
        <v>30</v>
      </c>
      <c r="F294" t="s">
        <v>725</v>
      </c>
      <c r="I294">
        <v>5</v>
      </c>
      <c r="J294" t="s">
        <v>388</v>
      </c>
      <c r="K294">
        <v>423</v>
      </c>
      <c r="L294" t="s">
        <v>1</v>
      </c>
      <c r="M294" t="s">
        <v>0</v>
      </c>
      <c r="N294" t="s">
        <v>1266</v>
      </c>
      <c r="O294" t="s">
        <v>1266</v>
      </c>
      <c r="P294" t="s">
        <v>1266</v>
      </c>
      <c r="Q294" t="s">
        <v>1266</v>
      </c>
      <c r="R294" t="s">
        <v>1266</v>
      </c>
    </row>
    <row r="295" spans="1:18" x14ac:dyDescent="0.3">
      <c r="A295" t="s">
        <v>722</v>
      </c>
      <c r="B295">
        <v>9</v>
      </c>
      <c r="C295" t="s">
        <v>0</v>
      </c>
      <c r="D295" t="s">
        <v>722</v>
      </c>
      <c r="E295">
        <v>30</v>
      </c>
      <c r="F295" t="s">
        <v>523</v>
      </c>
      <c r="I295">
        <v>5</v>
      </c>
      <c r="J295" t="s">
        <v>388</v>
      </c>
      <c r="K295">
        <v>424</v>
      </c>
      <c r="L295" t="s">
        <v>1</v>
      </c>
      <c r="M295" t="s">
        <v>0</v>
      </c>
      <c r="N295" t="s">
        <v>1266</v>
      </c>
      <c r="O295" t="s">
        <v>1266</v>
      </c>
      <c r="P295" t="s">
        <v>1266</v>
      </c>
      <c r="Q295" t="s">
        <v>1266</v>
      </c>
      <c r="R295" t="s">
        <v>1266</v>
      </c>
    </row>
    <row r="296" spans="1:18" x14ac:dyDescent="0.3">
      <c r="A296" t="s">
        <v>729</v>
      </c>
      <c r="B296">
        <v>10</v>
      </c>
      <c r="C296" t="s">
        <v>0</v>
      </c>
      <c r="D296" t="s">
        <v>729</v>
      </c>
      <c r="E296">
        <v>30</v>
      </c>
      <c r="F296" t="s">
        <v>728</v>
      </c>
      <c r="I296">
        <v>6</v>
      </c>
      <c r="J296" t="s">
        <v>388</v>
      </c>
      <c r="K296">
        <v>425</v>
      </c>
      <c r="L296" t="s">
        <v>1</v>
      </c>
      <c r="M296" t="s">
        <v>0</v>
      </c>
      <c r="N296" t="s">
        <v>1266</v>
      </c>
      <c r="O296" t="s">
        <v>1266</v>
      </c>
      <c r="P296" t="s">
        <v>1266</v>
      </c>
      <c r="Q296" t="s">
        <v>1266</v>
      </c>
      <c r="R296" t="s">
        <v>1266</v>
      </c>
    </row>
    <row r="297" spans="1:18" x14ac:dyDescent="0.3">
      <c r="A297" t="s">
        <v>1445</v>
      </c>
      <c r="B297">
        <v>11</v>
      </c>
      <c r="C297" t="s">
        <v>0</v>
      </c>
      <c r="D297" t="s">
        <v>1445</v>
      </c>
      <c r="E297">
        <v>30</v>
      </c>
      <c r="F297" t="s">
        <v>1445</v>
      </c>
      <c r="I297">
        <v>6</v>
      </c>
      <c r="J297" t="s">
        <v>388</v>
      </c>
      <c r="K297">
        <v>426</v>
      </c>
      <c r="L297" t="s">
        <v>1</v>
      </c>
      <c r="M297" t="s">
        <v>0</v>
      </c>
      <c r="N297" t="s">
        <v>1266</v>
      </c>
      <c r="O297" t="s">
        <v>1266</v>
      </c>
      <c r="P297" t="s">
        <v>1266</v>
      </c>
      <c r="Q297" t="s">
        <v>1266</v>
      </c>
      <c r="R297" t="s">
        <v>1266</v>
      </c>
    </row>
    <row r="298" spans="1:18" x14ac:dyDescent="0.3">
      <c r="A298" t="s">
        <v>731</v>
      </c>
      <c r="B298">
        <v>12</v>
      </c>
      <c r="C298" t="s">
        <v>0</v>
      </c>
      <c r="D298" t="s">
        <v>731</v>
      </c>
      <c r="E298">
        <v>30</v>
      </c>
      <c r="F298" t="s">
        <v>730</v>
      </c>
      <c r="I298">
        <v>14</v>
      </c>
      <c r="J298" t="s">
        <v>388</v>
      </c>
      <c r="K298">
        <v>427</v>
      </c>
      <c r="L298" t="s">
        <v>1</v>
      </c>
      <c r="M298" t="s">
        <v>0</v>
      </c>
      <c r="N298" t="s">
        <v>1266</v>
      </c>
      <c r="O298" t="s">
        <v>1266</v>
      </c>
      <c r="P298" t="s">
        <v>1266</v>
      </c>
      <c r="Q298" t="s">
        <v>1266</v>
      </c>
      <c r="R298" t="s">
        <v>1266</v>
      </c>
    </row>
    <row r="299" spans="1:18" x14ac:dyDescent="0.3">
      <c r="A299" t="s">
        <v>733</v>
      </c>
      <c r="B299">
        <v>13</v>
      </c>
      <c r="C299" t="s">
        <v>0</v>
      </c>
      <c r="D299" t="s">
        <v>733</v>
      </c>
      <c r="E299">
        <v>30</v>
      </c>
      <c r="F299" t="s">
        <v>732</v>
      </c>
      <c r="I299">
        <v>6</v>
      </c>
      <c r="J299" t="s">
        <v>388</v>
      </c>
      <c r="K299">
        <v>428</v>
      </c>
      <c r="L299" t="s">
        <v>1</v>
      </c>
      <c r="M299" t="s">
        <v>0</v>
      </c>
      <c r="N299" t="s">
        <v>1266</v>
      </c>
      <c r="O299" t="s">
        <v>1266</v>
      </c>
      <c r="P299" t="s">
        <v>1266</v>
      </c>
      <c r="Q299" t="s">
        <v>1266</v>
      </c>
      <c r="R299" t="s">
        <v>1266</v>
      </c>
    </row>
    <row r="300" spans="1:18" x14ac:dyDescent="0.3">
      <c r="A300" t="s">
        <v>738</v>
      </c>
      <c r="B300">
        <v>14</v>
      </c>
      <c r="C300" t="s">
        <v>0</v>
      </c>
      <c r="D300" t="s">
        <v>738</v>
      </c>
      <c r="E300">
        <v>30</v>
      </c>
      <c r="F300" t="s">
        <v>738</v>
      </c>
      <c r="I300">
        <v>16</v>
      </c>
      <c r="J300" t="s">
        <v>388</v>
      </c>
      <c r="K300">
        <v>429</v>
      </c>
      <c r="L300" t="s">
        <v>1</v>
      </c>
      <c r="M300" t="s">
        <v>0</v>
      </c>
      <c r="N300" t="s">
        <v>1266</v>
      </c>
      <c r="O300" t="s">
        <v>1266</v>
      </c>
      <c r="P300" t="s">
        <v>1266</v>
      </c>
      <c r="Q300" t="s">
        <v>1266</v>
      </c>
      <c r="R300" t="s">
        <v>1266</v>
      </c>
    </row>
    <row r="301" spans="1:18" x14ac:dyDescent="0.3">
      <c r="A301" t="s">
        <v>721</v>
      </c>
      <c r="B301">
        <v>15</v>
      </c>
      <c r="C301" t="s">
        <v>0</v>
      </c>
      <c r="D301" t="s">
        <v>721</v>
      </c>
      <c r="E301">
        <v>30</v>
      </c>
      <c r="F301" t="s">
        <v>721</v>
      </c>
      <c r="I301">
        <v>5</v>
      </c>
      <c r="J301" t="s">
        <v>388</v>
      </c>
      <c r="K301">
        <v>430</v>
      </c>
      <c r="L301" t="s">
        <v>1</v>
      </c>
      <c r="M301" t="s">
        <v>0</v>
      </c>
      <c r="N301" t="s">
        <v>1266</v>
      </c>
      <c r="O301" t="s">
        <v>1266</v>
      </c>
      <c r="P301" t="s">
        <v>1266</v>
      </c>
      <c r="Q301" t="s">
        <v>1266</v>
      </c>
      <c r="R301" t="s">
        <v>1266</v>
      </c>
    </row>
    <row r="302" spans="1:18" x14ac:dyDescent="0.3">
      <c r="A302" t="s">
        <v>739</v>
      </c>
      <c r="B302">
        <v>16</v>
      </c>
      <c r="C302" t="s">
        <v>0</v>
      </c>
      <c r="D302" t="s">
        <v>739</v>
      </c>
      <c r="E302">
        <v>30</v>
      </c>
      <c r="F302" t="s">
        <v>739</v>
      </c>
      <c r="I302">
        <v>21</v>
      </c>
      <c r="J302" t="s">
        <v>388</v>
      </c>
      <c r="K302">
        <v>431</v>
      </c>
      <c r="L302" t="s">
        <v>1</v>
      </c>
      <c r="M302" t="s">
        <v>0</v>
      </c>
      <c r="N302" t="s">
        <v>1266</v>
      </c>
      <c r="O302" t="s">
        <v>1266</v>
      </c>
      <c r="P302" t="s">
        <v>1266</v>
      </c>
      <c r="Q302" t="s">
        <v>1266</v>
      </c>
      <c r="R302" t="s">
        <v>1266</v>
      </c>
    </row>
    <row r="303" spans="1:18" x14ac:dyDescent="0.3">
      <c r="A303" t="s">
        <v>740</v>
      </c>
      <c r="B303">
        <v>17</v>
      </c>
      <c r="C303" t="s">
        <v>0</v>
      </c>
      <c r="D303" t="s">
        <v>740</v>
      </c>
      <c r="E303">
        <v>30</v>
      </c>
      <c r="F303" t="s">
        <v>740</v>
      </c>
      <c r="I303">
        <v>21</v>
      </c>
      <c r="J303" t="s">
        <v>388</v>
      </c>
      <c r="K303">
        <v>432</v>
      </c>
      <c r="L303" t="s">
        <v>1</v>
      </c>
      <c r="M303" t="s">
        <v>0</v>
      </c>
      <c r="N303" t="s">
        <v>1266</v>
      </c>
      <c r="O303" t="s">
        <v>1266</v>
      </c>
      <c r="P303" t="s">
        <v>1266</v>
      </c>
      <c r="Q303" t="s">
        <v>1266</v>
      </c>
      <c r="R303" t="s">
        <v>1266</v>
      </c>
    </row>
    <row r="304" spans="1:18" x14ac:dyDescent="0.3">
      <c r="A304" t="s">
        <v>1627</v>
      </c>
      <c r="B304">
        <v>18</v>
      </c>
      <c r="C304" t="s">
        <v>0</v>
      </c>
      <c r="D304" t="s">
        <v>877</v>
      </c>
      <c r="E304">
        <v>30</v>
      </c>
      <c r="F304" t="s">
        <v>712</v>
      </c>
      <c r="I304">
        <v>6</v>
      </c>
      <c r="J304" t="s">
        <v>388</v>
      </c>
      <c r="K304">
        <v>433</v>
      </c>
      <c r="L304" t="s">
        <v>1</v>
      </c>
      <c r="M304" t="s">
        <v>0</v>
      </c>
      <c r="N304" t="s">
        <v>1266</v>
      </c>
      <c r="O304" t="s">
        <v>1266</v>
      </c>
      <c r="P304" t="s">
        <v>1266</v>
      </c>
      <c r="Q304" t="s">
        <v>1266</v>
      </c>
      <c r="R304" t="s">
        <v>1266</v>
      </c>
    </row>
    <row r="305" spans="1:18" x14ac:dyDescent="0.3">
      <c r="A305" t="s">
        <v>714</v>
      </c>
      <c r="B305">
        <v>19</v>
      </c>
      <c r="C305" t="s">
        <v>0</v>
      </c>
      <c r="D305" t="s">
        <v>714</v>
      </c>
      <c r="E305">
        <v>30</v>
      </c>
      <c r="F305" t="s">
        <v>713</v>
      </c>
      <c r="I305">
        <v>1</v>
      </c>
      <c r="J305" t="s">
        <v>388</v>
      </c>
      <c r="K305">
        <v>434</v>
      </c>
      <c r="L305" t="s">
        <v>1</v>
      </c>
      <c r="M305" t="s">
        <v>0</v>
      </c>
      <c r="N305" t="s">
        <v>1266</v>
      </c>
      <c r="O305" t="s">
        <v>1266</v>
      </c>
      <c r="P305" t="s">
        <v>1266</v>
      </c>
      <c r="Q305" t="s">
        <v>1266</v>
      </c>
      <c r="R305" t="s">
        <v>1266</v>
      </c>
    </row>
    <row r="306" spans="1:18" x14ac:dyDescent="0.3">
      <c r="A306" t="s">
        <v>1517</v>
      </c>
      <c r="B306">
        <v>20</v>
      </c>
      <c r="C306" t="s">
        <v>0</v>
      </c>
      <c r="D306" t="s">
        <v>1517</v>
      </c>
      <c r="E306">
        <v>30</v>
      </c>
      <c r="F306" t="s">
        <v>1517</v>
      </c>
      <c r="I306">
        <v>19</v>
      </c>
      <c r="J306" t="s">
        <v>388</v>
      </c>
      <c r="K306">
        <v>435</v>
      </c>
      <c r="L306" t="s">
        <v>1</v>
      </c>
      <c r="M306" t="s">
        <v>0</v>
      </c>
      <c r="N306" t="s">
        <v>1266</v>
      </c>
      <c r="O306" t="s">
        <v>1266</v>
      </c>
      <c r="P306" t="s">
        <v>1266</v>
      </c>
      <c r="Q306" t="s">
        <v>1266</v>
      </c>
      <c r="R306" t="s">
        <v>1266</v>
      </c>
    </row>
    <row r="307" spans="1:18" x14ac:dyDescent="0.3">
      <c r="A307" t="s">
        <v>952</v>
      </c>
      <c r="B307">
        <v>21</v>
      </c>
      <c r="C307" t="s">
        <v>0</v>
      </c>
      <c r="D307" t="s">
        <v>952</v>
      </c>
      <c r="E307">
        <v>30</v>
      </c>
      <c r="F307" t="s">
        <v>723</v>
      </c>
      <c r="I307">
        <v>5</v>
      </c>
      <c r="J307" t="s">
        <v>388</v>
      </c>
      <c r="K307">
        <v>436</v>
      </c>
      <c r="L307" t="s">
        <v>1</v>
      </c>
      <c r="M307" t="s">
        <v>0</v>
      </c>
      <c r="N307" t="s">
        <v>1266</v>
      </c>
      <c r="O307" t="s">
        <v>1266</v>
      </c>
      <c r="P307" t="s">
        <v>1266</v>
      </c>
      <c r="Q307" t="s">
        <v>1266</v>
      </c>
      <c r="R307" t="s">
        <v>1266</v>
      </c>
    </row>
    <row r="308" spans="1:18" x14ac:dyDescent="0.3">
      <c r="A308" t="s">
        <v>550</v>
      </c>
      <c r="B308">
        <v>22</v>
      </c>
      <c r="C308" t="s">
        <v>1</v>
      </c>
      <c r="D308" t="s">
        <v>550</v>
      </c>
      <c r="E308">
        <v>30</v>
      </c>
      <c r="F308" t="s">
        <v>583</v>
      </c>
      <c r="I308">
        <v>9</v>
      </c>
      <c r="J308" t="s">
        <v>388</v>
      </c>
      <c r="K308">
        <v>437</v>
      </c>
      <c r="L308" t="s">
        <v>0</v>
      </c>
      <c r="M308" t="s">
        <v>0</v>
      </c>
      <c r="N308" t="s">
        <v>1266</v>
      </c>
      <c r="O308" t="s">
        <v>1266</v>
      </c>
      <c r="P308" t="s">
        <v>1266</v>
      </c>
      <c r="Q308" t="s">
        <v>1266</v>
      </c>
      <c r="R308" t="s">
        <v>1266</v>
      </c>
    </row>
    <row r="309" spans="1:18" x14ac:dyDescent="0.3">
      <c r="A309" t="s">
        <v>948</v>
      </c>
      <c r="B309">
        <v>23</v>
      </c>
      <c r="C309" t="s">
        <v>1</v>
      </c>
      <c r="D309" t="s">
        <v>948</v>
      </c>
      <c r="E309">
        <v>30</v>
      </c>
      <c r="F309" t="s">
        <v>707</v>
      </c>
      <c r="I309">
        <v>5</v>
      </c>
      <c r="J309" t="s">
        <v>388</v>
      </c>
      <c r="K309">
        <v>438</v>
      </c>
      <c r="L309" t="s">
        <v>1</v>
      </c>
      <c r="M309" t="s">
        <v>0</v>
      </c>
      <c r="N309" t="s">
        <v>1266</v>
      </c>
      <c r="O309" t="s">
        <v>1266</v>
      </c>
      <c r="P309" t="s">
        <v>1266</v>
      </c>
      <c r="Q309" t="s">
        <v>1266</v>
      </c>
      <c r="R309" t="s">
        <v>1266</v>
      </c>
    </row>
    <row r="310" spans="1:18" x14ac:dyDescent="0.3">
      <c r="A310" t="s">
        <v>1494</v>
      </c>
      <c r="B310">
        <v>24</v>
      </c>
      <c r="C310" t="s">
        <v>0</v>
      </c>
      <c r="D310" t="s">
        <v>1494</v>
      </c>
      <c r="E310">
        <v>30</v>
      </c>
      <c r="F310" t="s">
        <v>1494</v>
      </c>
      <c r="I310">
        <v>5</v>
      </c>
      <c r="J310" t="s">
        <v>388</v>
      </c>
      <c r="K310">
        <v>439</v>
      </c>
      <c r="L310" t="s">
        <v>1</v>
      </c>
      <c r="M310" t="s">
        <v>0</v>
      </c>
      <c r="N310" t="s">
        <v>1266</v>
      </c>
      <c r="O310" t="s">
        <v>1266</v>
      </c>
      <c r="P310" t="s">
        <v>1266</v>
      </c>
      <c r="Q310" t="s">
        <v>1266</v>
      </c>
      <c r="R310" t="s">
        <v>1266</v>
      </c>
    </row>
    <row r="311" spans="1:18" x14ac:dyDescent="0.3">
      <c r="A311" t="s">
        <v>1465</v>
      </c>
      <c r="B311">
        <v>25</v>
      </c>
      <c r="C311" t="s">
        <v>0</v>
      </c>
      <c r="D311" t="s">
        <v>1465</v>
      </c>
      <c r="E311">
        <v>30</v>
      </c>
      <c r="F311" t="s">
        <v>1465</v>
      </c>
      <c r="I311">
        <v>5</v>
      </c>
      <c r="J311" t="s">
        <v>388</v>
      </c>
      <c r="K311">
        <v>440</v>
      </c>
      <c r="L311" t="s">
        <v>1</v>
      </c>
      <c r="M311" t="s">
        <v>0</v>
      </c>
      <c r="N311" t="s">
        <v>1266</v>
      </c>
      <c r="O311" t="s">
        <v>1266</v>
      </c>
      <c r="P311" t="s">
        <v>1266</v>
      </c>
      <c r="Q311" t="s">
        <v>1266</v>
      </c>
      <c r="R311" t="s">
        <v>1266</v>
      </c>
    </row>
    <row r="312" spans="1:18" x14ac:dyDescent="0.3">
      <c r="A312" t="s">
        <v>748</v>
      </c>
      <c r="B312">
        <v>26</v>
      </c>
      <c r="C312" t="s">
        <v>0</v>
      </c>
      <c r="E312">
        <v>30</v>
      </c>
      <c r="F312" t="s">
        <v>748</v>
      </c>
      <c r="I312">
        <v>1</v>
      </c>
      <c r="J312" t="s">
        <v>388</v>
      </c>
      <c r="K312">
        <v>441</v>
      </c>
      <c r="L312" t="s">
        <v>1</v>
      </c>
      <c r="M312" t="s">
        <v>0</v>
      </c>
      <c r="N312" t="s">
        <v>1266</v>
      </c>
      <c r="O312" t="s">
        <v>1266</v>
      </c>
      <c r="P312" t="s">
        <v>1266</v>
      </c>
      <c r="Q312" t="s">
        <v>1266</v>
      </c>
      <c r="R312" t="s">
        <v>1266</v>
      </c>
    </row>
    <row r="313" spans="1:18" x14ac:dyDescent="0.3">
      <c r="A313" t="s">
        <v>886</v>
      </c>
      <c r="B313">
        <v>27</v>
      </c>
      <c r="C313" t="s">
        <v>0</v>
      </c>
      <c r="D313" t="s">
        <v>886</v>
      </c>
      <c r="E313">
        <v>30</v>
      </c>
      <c r="F313" t="s">
        <v>614</v>
      </c>
      <c r="I313">
        <v>5</v>
      </c>
      <c r="J313" t="s">
        <v>388</v>
      </c>
      <c r="K313">
        <v>442</v>
      </c>
      <c r="L313" t="s">
        <v>1</v>
      </c>
      <c r="M313" t="s">
        <v>0</v>
      </c>
      <c r="N313" t="s">
        <v>1266</v>
      </c>
      <c r="O313" t="s">
        <v>1266</v>
      </c>
      <c r="P313" t="s">
        <v>1266</v>
      </c>
      <c r="Q313" t="s">
        <v>1266</v>
      </c>
      <c r="R313" t="s">
        <v>1266</v>
      </c>
    </row>
    <row r="314" spans="1:18" x14ac:dyDescent="0.3">
      <c r="A314" t="s">
        <v>1633</v>
      </c>
      <c r="B314">
        <v>28</v>
      </c>
      <c r="C314" t="s">
        <v>0</v>
      </c>
      <c r="D314" t="s">
        <v>724</v>
      </c>
      <c r="E314">
        <v>30</v>
      </c>
      <c r="F314" t="s">
        <v>569</v>
      </c>
      <c r="I314">
        <v>5</v>
      </c>
      <c r="J314" t="s">
        <v>388</v>
      </c>
      <c r="K314">
        <v>443</v>
      </c>
      <c r="L314" t="s">
        <v>1</v>
      </c>
      <c r="M314" t="s">
        <v>0</v>
      </c>
      <c r="N314" t="s">
        <v>1266</v>
      </c>
      <c r="O314" t="s">
        <v>1266</v>
      </c>
      <c r="P314" t="s">
        <v>1266</v>
      </c>
      <c r="Q314" t="s">
        <v>1266</v>
      </c>
      <c r="R314" t="s">
        <v>1266</v>
      </c>
    </row>
    <row r="315" spans="1:18" x14ac:dyDescent="0.3">
      <c r="A315" t="s">
        <v>1650</v>
      </c>
      <c r="B315">
        <v>29</v>
      </c>
      <c r="C315" t="s">
        <v>0</v>
      </c>
      <c r="D315" t="s">
        <v>888</v>
      </c>
      <c r="E315">
        <v>30</v>
      </c>
      <c r="F315" t="s">
        <v>473</v>
      </c>
      <c r="I315">
        <v>5</v>
      </c>
      <c r="J315" t="s">
        <v>388</v>
      </c>
      <c r="K315">
        <v>444</v>
      </c>
      <c r="L315" t="s">
        <v>1</v>
      </c>
      <c r="M315" t="s">
        <v>0</v>
      </c>
      <c r="N315" t="s">
        <v>1266</v>
      </c>
      <c r="O315" t="s">
        <v>1266</v>
      </c>
      <c r="P315" t="s">
        <v>1266</v>
      </c>
      <c r="Q315" t="s">
        <v>1266</v>
      </c>
      <c r="R315" t="s">
        <v>1266</v>
      </c>
    </row>
    <row r="316" spans="1:18" x14ac:dyDescent="0.3">
      <c r="A316" t="s">
        <v>727</v>
      </c>
      <c r="B316">
        <v>30</v>
      </c>
      <c r="C316" t="s">
        <v>0</v>
      </c>
      <c r="D316" t="s">
        <v>727</v>
      </c>
      <c r="E316">
        <v>30</v>
      </c>
      <c r="F316" t="s">
        <v>726</v>
      </c>
      <c r="I316">
        <v>1</v>
      </c>
      <c r="J316" t="s">
        <v>388</v>
      </c>
      <c r="K316">
        <v>445</v>
      </c>
      <c r="L316" t="s">
        <v>1</v>
      </c>
      <c r="M316" t="s">
        <v>0</v>
      </c>
      <c r="N316" t="s">
        <v>1266</v>
      </c>
      <c r="O316" t="s">
        <v>1266</v>
      </c>
      <c r="P316" t="s">
        <v>1266</v>
      </c>
      <c r="Q316" t="s">
        <v>1266</v>
      </c>
      <c r="R316" t="s">
        <v>1266</v>
      </c>
    </row>
    <row r="317" spans="1:18" x14ac:dyDescent="0.3">
      <c r="A317" t="s">
        <v>950</v>
      </c>
      <c r="B317">
        <v>31</v>
      </c>
      <c r="C317" t="s">
        <v>0</v>
      </c>
      <c r="D317" t="s">
        <v>950</v>
      </c>
      <c r="E317">
        <v>30</v>
      </c>
      <c r="F317" t="s">
        <v>720</v>
      </c>
      <c r="I317">
        <v>5</v>
      </c>
      <c r="J317" t="s">
        <v>388</v>
      </c>
      <c r="K317">
        <v>446</v>
      </c>
      <c r="L317" t="s">
        <v>1</v>
      </c>
      <c r="M317" t="s">
        <v>0</v>
      </c>
      <c r="N317" t="s">
        <v>1266</v>
      </c>
      <c r="O317" t="s">
        <v>1266</v>
      </c>
      <c r="P317" t="s">
        <v>1266</v>
      </c>
      <c r="Q317" t="s">
        <v>1266</v>
      </c>
      <c r="R317" t="s">
        <v>1266</v>
      </c>
    </row>
    <row r="318" spans="1:18" x14ac:dyDescent="0.3">
      <c r="A318" t="s">
        <v>1421</v>
      </c>
      <c r="B318">
        <v>32</v>
      </c>
      <c r="C318" t="s">
        <v>0</v>
      </c>
      <c r="D318" t="s">
        <v>1421</v>
      </c>
      <c r="E318">
        <v>30</v>
      </c>
      <c r="F318" t="s">
        <v>1421</v>
      </c>
      <c r="I318">
        <v>9</v>
      </c>
      <c r="J318" t="s">
        <v>388</v>
      </c>
      <c r="K318">
        <v>447</v>
      </c>
      <c r="L318" t="s">
        <v>1</v>
      </c>
      <c r="M318" t="s">
        <v>0</v>
      </c>
      <c r="N318" t="s">
        <v>1266</v>
      </c>
      <c r="O318" t="s">
        <v>1266</v>
      </c>
      <c r="P318" t="s">
        <v>1266</v>
      </c>
      <c r="Q318" t="s">
        <v>1266</v>
      </c>
      <c r="R318" t="s">
        <v>1266</v>
      </c>
    </row>
    <row r="319" spans="1:18" x14ac:dyDescent="0.3">
      <c r="A319" t="s">
        <v>1386</v>
      </c>
      <c r="B319">
        <v>33</v>
      </c>
      <c r="C319" t="s">
        <v>0</v>
      </c>
      <c r="D319" t="s">
        <v>1386</v>
      </c>
      <c r="E319">
        <v>30</v>
      </c>
      <c r="F319" t="s">
        <v>1386</v>
      </c>
      <c r="I319">
        <v>5</v>
      </c>
      <c r="J319" t="s">
        <v>388</v>
      </c>
      <c r="K319">
        <v>448</v>
      </c>
      <c r="L319" t="s">
        <v>1</v>
      </c>
      <c r="M319" t="s">
        <v>0</v>
      </c>
      <c r="N319" t="s">
        <v>1266</v>
      </c>
      <c r="O319" t="s">
        <v>1266</v>
      </c>
      <c r="P319" t="s">
        <v>1266</v>
      </c>
      <c r="Q319" t="s">
        <v>1266</v>
      </c>
      <c r="R319" t="s">
        <v>1266</v>
      </c>
    </row>
    <row r="320" spans="1:18" x14ac:dyDescent="0.3">
      <c r="A320" t="s">
        <v>1422</v>
      </c>
      <c r="B320">
        <v>34</v>
      </c>
      <c r="C320" t="s">
        <v>0</v>
      </c>
      <c r="D320" t="s">
        <v>1422</v>
      </c>
      <c r="E320">
        <v>30</v>
      </c>
      <c r="F320" t="s">
        <v>1422</v>
      </c>
      <c r="I320">
        <v>6</v>
      </c>
      <c r="J320" t="s">
        <v>388</v>
      </c>
      <c r="K320">
        <v>449</v>
      </c>
      <c r="L320" t="s">
        <v>1</v>
      </c>
      <c r="M320" t="s">
        <v>0</v>
      </c>
      <c r="N320" t="s">
        <v>1266</v>
      </c>
      <c r="O320" t="s">
        <v>1266</v>
      </c>
      <c r="P320" t="s">
        <v>1266</v>
      </c>
      <c r="Q320" t="s">
        <v>1266</v>
      </c>
      <c r="R320" t="s">
        <v>1266</v>
      </c>
    </row>
    <row r="321" spans="1:18" x14ac:dyDescent="0.3">
      <c r="A321" t="s">
        <v>882</v>
      </c>
      <c r="B321">
        <v>35</v>
      </c>
      <c r="C321" t="s">
        <v>0</v>
      </c>
      <c r="D321" t="s">
        <v>882</v>
      </c>
      <c r="E321">
        <v>30</v>
      </c>
      <c r="F321" t="s">
        <v>595</v>
      </c>
      <c r="I321">
        <v>14</v>
      </c>
      <c r="J321" t="s">
        <v>388</v>
      </c>
      <c r="K321">
        <v>450</v>
      </c>
      <c r="L321" t="s">
        <v>1</v>
      </c>
      <c r="M321" t="s">
        <v>0</v>
      </c>
      <c r="N321" t="s">
        <v>1266</v>
      </c>
      <c r="O321" t="s">
        <v>1266</v>
      </c>
      <c r="P321" t="s">
        <v>1266</v>
      </c>
      <c r="Q321" t="s">
        <v>1266</v>
      </c>
      <c r="R321" t="s">
        <v>1266</v>
      </c>
    </row>
    <row r="322" spans="1:18" x14ac:dyDescent="0.3">
      <c r="A322" t="s">
        <v>1626</v>
      </c>
      <c r="B322">
        <v>36</v>
      </c>
      <c r="C322" t="s">
        <v>0</v>
      </c>
      <c r="D322" t="s">
        <v>953</v>
      </c>
      <c r="E322">
        <v>30</v>
      </c>
      <c r="F322" t="s">
        <v>340</v>
      </c>
      <c r="I322">
        <v>1</v>
      </c>
      <c r="J322" t="s">
        <v>388</v>
      </c>
      <c r="K322">
        <v>451</v>
      </c>
      <c r="L322" t="s">
        <v>1</v>
      </c>
      <c r="M322" t="s">
        <v>0</v>
      </c>
      <c r="N322" t="s">
        <v>1266</v>
      </c>
      <c r="O322" t="s">
        <v>1266</v>
      </c>
      <c r="P322" t="s">
        <v>1266</v>
      </c>
      <c r="Q322" t="s">
        <v>1266</v>
      </c>
      <c r="R322" t="s">
        <v>1266</v>
      </c>
    </row>
    <row r="323" spans="1:18" x14ac:dyDescent="0.3">
      <c r="A323" t="s">
        <v>1626</v>
      </c>
      <c r="B323">
        <v>37</v>
      </c>
      <c r="C323" t="s">
        <v>0</v>
      </c>
      <c r="D323" t="s">
        <v>953</v>
      </c>
      <c r="E323">
        <v>30</v>
      </c>
      <c r="F323" t="s">
        <v>339</v>
      </c>
      <c r="I323">
        <v>1</v>
      </c>
      <c r="J323" t="s">
        <v>388</v>
      </c>
      <c r="K323">
        <v>452</v>
      </c>
      <c r="L323" t="s">
        <v>1</v>
      </c>
      <c r="M323" t="s">
        <v>0</v>
      </c>
      <c r="N323" t="s">
        <v>1266</v>
      </c>
      <c r="O323" t="s">
        <v>1266</v>
      </c>
      <c r="P323" t="s">
        <v>1266</v>
      </c>
      <c r="Q323" t="s">
        <v>1266</v>
      </c>
      <c r="R323" t="s">
        <v>1266</v>
      </c>
    </row>
    <row r="324" spans="1:18" x14ac:dyDescent="0.3">
      <c r="A324" t="s">
        <v>741</v>
      </c>
      <c r="B324">
        <v>38</v>
      </c>
      <c r="C324" t="s">
        <v>0</v>
      </c>
      <c r="D324" t="s">
        <v>741</v>
      </c>
      <c r="E324">
        <v>30</v>
      </c>
      <c r="F324" t="s">
        <v>538</v>
      </c>
      <c r="I324">
        <v>5</v>
      </c>
      <c r="J324" t="s">
        <v>388</v>
      </c>
      <c r="K324">
        <v>453</v>
      </c>
      <c r="L324" t="s">
        <v>1</v>
      </c>
      <c r="M324" t="s">
        <v>0</v>
      </c>
      <c r="N324" t="s">
        <v>1266</v>
      </c>
      <c r="O324" t="s">
        <v>1266</v>
      </c>
      <c r="P324" t="s">
        <v>1266</v>
      </c>
      <c r="Q324" t="s">
        <v>1266</v>
      </c>
      <c r="R324" t="s">
        <v>1266</v>
      </c>
    </row>
    <row r="325" spans="1:18" x14ac:dyDescent="0.3">
      <c r="A325" t="s">
        <v>508</v>
      </c>
      <c r="B325">
        <v>39</v>
      </c>
      <c r="C325" t="s">
        <v>0</v>
      </c>
      <c r="D325" t="s">
        <v>508</v>
      </c>
      <c r="E325">
        <v>30</v>
      </c>
      <c r="F325" t="s">
        <v>507</v>
      </c>
      <c r="I325">
        <v>5</v>
      </c>
      <c r="J325" t="s">
        <v>388</v>
      </c>
      <c r="K325">
        <v>454</v>
      </c>
      <c r="L325" t="s">
        <v>1</v>
      </c>
      <c r="M325" t="s">
        <v>0</v>
      </c>
      <c r="N325" t="s">
        <v>1266</v>
      </c>
      <c r="O325" t="s">
        <v>1266</v>
      </c>
      <c r="P325" t="s">
        <v>1266</v>
      </c>
      <c r="Q325" t="s">
        <v>1266</v>
      </c>
      <c r="R325" t="s">
        <v>1266</v>
      </c>
    </row>
    <row r="326" spans="1:18" x14ac:dyDescent="0.3">
      <c r="A326" t="s">
        <v>737</v>
      </c>
      <c r="B326">
        <v>40</v>
      </c>
      <c r="C326" t="s">
        <v>0</v>
      </c>
      <c r="D326" t="s">
        <v>737</v>
      </c>
      <c r="E326">
        <v>30</v>
      </c>
      <c r="F326" t="s">
        <v>736</v>
      </c>
      <c r="I326">
        <v>6</v>
      </c>
      <c r="J326" t="s">
        <v>388</v>
      </c>
      <c r="K326">
        <v>455</v>
      </c>
      <c r="L326" t="s">
        <v>1</v>
      </c>
      <c r="M326" t="s">
        <v>0</v>
      </c>
      <c r="N326" t="s">
        <v>1266</v>
      </c>
      <c r="O326" t="s">
        <v>1266</v>
      </c>
      <c r="P326" t="s">
        <v>1266</v>
      </c>
      <c r="Q326" t="s">
        <v>1266</v>
      </c>
      <c r="R326" t="s">
        <v>1266</v>
      </c>
    </row>
    <row r="327" spans="1:18" x14ac:dyDescent="0.3">
      <c r="A327" t="s">
        <v>699</v>
      </c>
      <c r="B327">
        <v>41</v>
      </c>
      <c r="C327" t="s">
        <v>0</v>
      </c>
      <c r="D327" t="s">
        <v>699</v>
      </c>
      <c r="E327">
        <v>30</v>
      </c>
      <c r="F327" t="s">
        <v>630</v>
      </c>
      <c r="I327">
        <v>9</v>
      </c>
      <c r="J327" t="s">
        <v>388</v>
      </c>
      <c r="K327">
        <v>456</v>
      </c>
      <c r="L327" t="s">
        <v>1</v>
      </c>
      <c r="M327" t="s">
        <v>0</v>
      </c>
      <c r="N327" t="s">
        <v>1266</v>
      </c>
      <c r="O327" t="s">
        <v>1266</v>
      </c>
      <c r="P327" t="s">
        <v>1266</v>
      </c>
      <c r="Q327" t="s">
        <v>1266</v>
      </c>
      <c r="R327" t="s">
        <v>1266</v>
      </c>
    </row>
    <row r="328" spans="1:18" x14ac:dyDescent="0.3">
      <c r="A328" t="s">
        <v>1461</v>
      </c>
      <c r="B328">
        <v>42</v>
      </c>
      <c r="C328" t="s">
        <v>0</v>
      </c>
      <c r="D328" t="s">
        <v>1461</v>
      </c>
      <c r="E328">
        <v>30</v>
      </c>
      <c r="F328" t="s">
        <v>1461</v>
      </c>
      <c r="I328">
        <v>5</v>
      </c>
      <c r="J328" t="s">
        <v>388</v>
      </c>
      <c r="K328">
        <v>457</v>
      </c>
      <c r="L328" t="s">
        <v>1</v>
      </c>
      <c r="M328" t="s">
        <v>0</v>
      </c>
      <c r="N328" t="s">
        <v>1266</v>
      </c>
      <c r="O328" t="s">
        <v>1266</v>
      </c>
      <c r="P328" t="s">
        <v>1266</v>
      </c>
      <c r="Q328" t="s">
        <v>1266</v>
      </c>
      <c r="R328" t="s">
        <v>1266</v>
      </c>
    </row>
    <row r="329" spans="1:18" x14ac:dyDescent="0.3">
      <c r="A329" t="s">
        <v>949</v>
      </c>
      <c r="B329">
        <v>43</v>
      </c>
      <c r="C329" t="s">
        <v>0</v>
      </c>
      <c r="D329" t="s">
        <v>949</v>
      </c>
      <c r="E329">
        <v>30</v>
      </c>
      <c r="F329" t="s">
        <v>697</v>
      </c>
      <c r="I329">
        <v>19</v>
      </c>
      <c r="J329" t="s">
        <v>388</v>
      </c>
      <c r="K329">
        <v>458</v>
      </c>
      <c r="L329" t="s">
        <v>1</v>
      </c>
      <c r="M329" t="s">
        <v>0</v>
      </c>
      <c r="N329" t="s">
        <v>1266</v>
      </c>
      <c r="O329" t="s">
        <v>1266</v>
      </c>
      <c r="P329" t="s">
        <v>1266</v>
      </c>
      <c r="Q329" t="s">
        <v>1266</v>
      </c>
      <c r="R329" t="s">
        <v>1266</v>
      </c>
    </row>
    <row r="330" spans="1:18" x14ac:dyDescent="0.3">
      <c r="A330" t="s">
        <v>879</v>
      </c>
      <c r="B330">
        <v>44</v>
      </c>
      <c r="C330" t="s">
        <v>0</v>
      </c>
      <c r="D330" t="s">
        <v>879</v>
      </c>
      <c r="E330">
        <v>30</v>
      </c>
      <c r="F330" t="s">
        <v>437</v>
      </c>
      <c r="I330">
        <v>19</v>
      </c>
      <c r="J330" t="s">
        <v>388</v>
      </c>
      <c r="K330">
        <v>656</v>
      </c>
      <c r="L330" t="s">
        <v>1</v>
      </c>
      <c r="M330" t="s">
        <v>0</v>
      </c>
      <c r="N330" t="s">
        <v>1266</v>
      </c>
      <c r="O330" t="s">
        <v>1266</v>
      </c>
      <c r="P330" t="s">
        <v>1266</v>
      </c>
      <c r="Q330" t="s">
        <v>1266</v>
      </c>
      <c r="R330" t="s">
        <v>1266</v>
      </c>
    </row>
    <row r="331" spans="1:18" x14ac:dyDescent="0.3">
      <c r="A331" t="s">
        <v>683</v>
      </c>
      <c r="B331">
        <v>45</v>
      </c>
      <c r="C331" t="s">
        <v>0</v>
      </c>
      <c r="D331" t="s">
        <v>683</v>
      </c>
      <c r="E331">
        <v>30</v>
      </c>
      <c r="F331" t="s">
        <v>682</v>
      </c>
      <c r="I331">
        <v>9</v>
      </c>
      <c r="J331" t="s">
        <v>388</v>
      </c>
      <c r="K331">
        <v>657</v>
      </c>
      <c r="L331" t="s">
        <v>1</v>
      </c>
      <c r="M331" t="s">
        <v>0</v>
      </c>
      <c r="N331" t="s">
        <v>1266</v>
      </c>
      <c r="O331" t="s">
        <v>1266</v>
      </c>
      <c r="P331" t="s">
        <v>1266</v>
      </c>
      <c r="Q331" t="s">
        <v>1266</v>
      </c>
      <c r="R331" t="s">
        <v>1266</v>
      </c>
    </row>
    <row r="332" spans="1:18" x14ac:dyDescent="0.3">
      <c r="A332" t="s">
        <v>706</v>
      </c>
      <c r="B332">
        <v>46</v>
      </c>
      <c r="C332" t="s">
        <v>0</v>
      </c>
      <c r="D332" t="s">
        <v>706</v>
      </c>
      <c r="E332">
        <v>30</v>
      </c>
      <c r="F332" t="s">
        <v>747</v>
      </c>
      <c r="I332">
        <v>21</v>
      </c>
      <c r="J332" t="s">
        <v>388</v>
      </c>
      <c r="K332">
        <v>658</v>
      </c>
      <c r="L332" t="s">
        <v>1</v>
      </c>
      <c r="M332" t="s">
        <v>0</v>
      </c>
      <c r="N332" t="s">
        <v>1266</v>
      </c>
      <c r="O332" t="s">
        <v>1266</v>
      </c>
      <c r="P332" t="s">
        <v>1266</v>
      </c>
      <c r="Q332" t="s">
        <v>1266</v>
      </c>
      <c r="R332" t="s">
        <v>1266</v>
      </c>
    </row>
    <row r="333" spans="1:18" x14ac:dyDescent="0.3">
      <c r="A333" t="s">
        <v>816</v>
      </c>
      <c r="B333">
        <v>47</v>
      </c>
      <c r="C333" t="s">
        <v>0</v>
      </c>
      <c r="D333" t="s">
        <v>816</v>
      </c>
      <c r="E333">
        <v>30</v>
      </c>
      <c r="F333" t="s">
        <v>611</v>
      </c>
      <c r="I333">
        <v>9</v>
      </c>
      <c r="J333" t="s">
        <v>388</v>
      </c>
      <c r="K333">
        <v>659</v>
      </c>
      <c r="L333" t="s">
        <v>1</v>
      </c>
      <c r="M333" t="s">
        <v>0</v>
      </c>
      <c r="N333" t="s">
        <v>1266</v>
      </c>
      <c r="O333" t="s">
        <v>1266</v>
      </c>
      <c r="P333" t="s">
        <v>1266</v>
      </c>
      <c r="Q333" t="s">
        <v>1266</v>
      </c>
      <c r="R333" t="s">
        <v>1266</v>
      </c>
    </row>
    <row r="334" spans="1:18" x14ac:dyDescent="0.3">
      <c r="A334" t="s">
        <v>700</v>
      </c>
      <c r="B334">
        <v>48</v>
      </c>
      <c r="C334" t="s">
        <v>0</v>
      </c>
      <c r="D334" t="s">
        <v>700</v>
      </c>
      <c r="E334">
        <v>30</v>
      </c>
      <c r="F334" t="s">
        <v>658</v>
      </c>
      <c r="I334">
        <v>21</v>
      </c>
      <c r="J334" t="s">
        <v>388</v>
      </c>
      <c r="K334">
        <v>660</v>
      </c>
      <c r="L334" t="s">
        <v>1</v>
      </c>
      <c r="M334" t="s">
        <v>0</v>
      </c>
      <c r="N334" t="s">
        <v>1266</v>
      </c>
      <c r="O334" t="s">
        <v>1266</v>
      </c>
      <c r="P334" t="s">
        <v>1266</v>
      </c>
      <c r="Q334" t="s">
        <v>1266</v>
      </c>
      <c r="R334" t="s">
        <v>1266</v>
      </c>
    </row>
    <row r="335" spans="1:18" x14ac:dyDescent="0.3">
      <c r="A335" t="s">
        <v>1444</v>
      </c>
      <c r="B335">
        <v>49</v>
      </c>
      <c r="C335" t="s">
        <v>0</v>
      </c>
      <c r="D335" t="s">
        <v>1444</v>
      </c>
      <c r="E335">
        <v>30</v>
      </c>
      <c r="F335" t="s">
        <v>1444</v>
      </c>
      <c r="I335">
        <v>1</v>
      </c>
      <c r="J335" t="s">
        <v>388</v>
      </c>
      <c r="K335">
        <v>661</v>
      </c>
      <c r="L335" t="s">
        <v>1</v>
      </c>
      <c r="M335" t="s">
        <v>0</v>
      </c>
      <c r="N335" t="s">
        <v>1266</v>
      </c>
      <c r="O335" t="s">
        <v>1266</v>
      </c>
      <c r="P335" t="s">
        <v>1266</v>
      </c>
      <c r="Q335" t="s">
        <v>1266</v>
      </c>
      <c r="R335" t="s">
        <v>1266</v>
      </c>
    </row>
    <row r="336" spans="1:18" x14ac:dyDescent="0.3">
      <c r="A336" t="s">
        <v>439</v>
      </c>
      <c r="B336">
        <v>50</v>
      </c>
      <c r="C336" t="s">
        <v>1</v>
      </c>
      <c r="D336" t="s">
        <v>439</v>
      </c>
      <c r="E336">
        <v>30</v>
      </c>
      <c r="F336" t="s">
        <v>438</v>
      </c>
      <c r="I336">
        <v>12</v>
      </c>
      <c r="J336" t="s">
        <v>388</v>
      </c>
      <c r="K336">
        <v>662</v>
      </c>
      <c r="L336" t="s">
        <v>1</v>
      </c>
      <c r="M336" t="s">
        <v>0</v>
      </c>
      <c r="N336" t="s">
        <v>1266</v>
      </c>
      <c r="O336" t="s">
        <v>1266</v>
      </c>
      <c r="P336" t="s">
        <v>1266</v>
      </c>
      <c r="Q336" t="s">
        <v>1266</v>
      </c>
      <c r="R336" t="s">
        <v>1266</v>
      </c>
    </row>
    <row r="337" spans="1:18" x14ac:dyDescent="0.3">
      <c r="A337" t="s">
        <v>441</v>
      </c>
      <c r="B337">
        <v>51</v>
      </c>
      <c r="C337" t="s">
        <v>1</v>
      </c>
      <c r="D337" t="s">
        <v>441</v>
      </c>
      <c r="E337">
        <v>30</v>
      </c>
      <c r="F337" t="s">
        <v>440</v>
      </c>
      <c r="I337">
        <v>12</v>
      </c>
      <c r="J337" t="s">
        <v>388</v>
      </c>
      <c r="K337">
        <v>663</v>
      </c>
      <c r="L337" t="s">
        <v>1</v>
      </c>
      <c r="M337" t="s">
        <v>0</v>
      </c>
      <c r="N337" t="s">
        <v>1266</v>
      </c>
      <c r="O337" t="s">
        <v>1266</v>
      </c>
      <c r="P337" t="s">
        <v>1266</v>
      </c>
      <c r="Q337" t="s">
        <v>1266</v>
      </c>
      <c r="R337" t="s">
        <v>1266</v>
      </c>
    </row>
    <row r="338" spans="1:18" x14ac:dyDescent="0.3">
      <c r="A338" t="s">
        <v>430</v>
      </c>
      <c r="B338">
        <v>52</v>
      </c>
      <c r="C338" t="s">
        <v>1</v>
      </c>
      <c r="D338" t="s">
        <v>430</v>
      </c>
      <c r="E338">
        <v>30</v>
      </c>
      <c r="F338" t="s">
        <v>429</v>
      </c>
      <c r="I338">
        <v>12</v>
      </c>
      <c r="J338" t="s">
        <v>388</v>
      </c>
      <c r="K338">
        <v>664</v>
      </c>
      <c r="L338" t="s">
        <v>1</v>
      </c>
      <c r="M338" t="s">
        <v>0</v>
      </c>
      <c r="N338" t="s">
        <v>1266</v>
      </c>
      <c r="O338" t="s">
        <v>1266</v>
      </c>
      <c r="P338" t="s">
        <v>1266</v>
      </c>
      <c r="Q338" t="s">
        <v>1266</v>
      </c>
      <c r="R338" t="s">
        <v>1266</v>
      </c>
    </row>
    <row r="339" spans="1:18" x14ac:dyDescent="0.3">
      <c r="A339" t="s">
        <v>705</v>
      </c>
      <c r="B339">
        <v>53</v>
      </c>
      <c r="C339" t="s">
        <v>0</v>
      </c>
      <c r="D339" t="s">
        <v>705</v>
      </c>
      <c r="E339">
        <v>30</v>
      </c>
      <c r="F339" t="s">
        <v>704</v>
      </c>
      <c r="I339">
        <v>19</v>
      </c>
      <c r="J339" t="s">
        <v>388</v>
      </c>
      <c r="K339">
        <v>665</v>
      </c>
      <c r="L339" t="s">
        <v>1</v>
      </c>
      <c r="M339" t="s">
        <v>0</v>
      </c>
      <c r="N339" t="s">
        <v>1266</v>
      </c>
      <c r="O339" t="s">
        <v>1266</v>
      </c>
      <c r="P339" t="s">
        <v>1266</v>
      </c>
      <c r="Q339" t="s">
        <v>1266</v>
      </c>
      <c r="R339" t="s">
        <v>1266</v>
      </c>
    </row>
    <row r="340" spans="1:18" x14ac:dyDescent="0.3">
      <c r="A340" t="s">
        <v>698</v>
      </c>
      <c r="B340">
        <v>54</v>
      </c>
      <c r="C340" t="s">
        <v>0</v>
      </c>
      <c r="D340" t="s">
        <v>698</v>
      </c>
      <c r="E340">
        <v>30</v>
      </c>
      <c r="F340" t="s">
        <v>745</v>
      </c>
      <c r="I340">
        <v>14</v>
      </c>
      <c r="J340" t="s">
        <v>388</v>
      </c>
      <c r="K340">
        <v>666</v>
      </c>
      <c r="L340" t="s">
        <v>1</v>
      </c>
      <c r="M340" t="s">
        <v>0</v>
      </c>
      <c r="N340" t="s">
        <v>1266</v>
      </c>
      <c r="O340" t="s">
        <v>1266</v>
      </c>
      <c r="P340" t="s">
        <v>1266</v>
      </c>
      <c r="Q340" t="s">
        <v>1266</v>
      </c>
      <c r="R340" t="s">
        <v>1266</v>
      </c>
    </row>
    <row r="341" spans="1:18" x14ac:dyDescent="0.3">
      <c r="A341" t="s">
        <v>708</v>
      </c>
      <c r="B341">
        <v>55</v>
      </c>
      <c r="C341" t="s">
        <v>1</v>
      </c>
      <c r="D341" t="s">
        <v>708</v>
      </c>
      <c r="E341">
        <v>30</v>
      </c>
      <c r="F341" t="s">
        <v>498</v>
      </c>
      <c r="I341">
        <v>5</v>
      </c>
      <c r="J341" t="s">
        <v>388</v>
      </c>
      <c r="K341">
        <v>667</v>
      </c>
      <c r="L341" t="s">
        <v>1</v>
      </c>
      <c r="M341" t="s">
        <v>0</v>
      </c>
      <c r="N341" t="s">
        <v>1266</v>
      </c>
      <c r="O341" t="s">
        <v>1266</v>
      </c>
      <c r="P341" t="s">
        <v>1266</v>
      </c>
      <c r="Q341" t="s">
        <v>1266</v>
      </c>
      <c r="R341" t="s">
        <v>1266</v>
      </c>
    </row>
    <row r="342" spans="1:18" x14ac:dyDescent="0.3">
      <c r="A342" t="s">
        <v>735</v>
      </c>
      <c r="B342">
        <v>56</v>
      </c>
      <c r="C342" t="s">
        <v>0</v>
      </c>
      <c r="D342" t="s">
        <v>735</v>
      </c>
      <c r="E342">
        <v>30</v>
      </c>
      <c r="F342" t="s">
        <v>734</v>
      </c>
      <c r="I342">
        <v>14</v>
      </c>
      <c r="J342" t="s">
        <v>388</v>
      </c>
      <c r="K342">
        <v>668</v>
      </c>
      <c r="L342" t="s">
        <v>1</v>
      </c>
      <c r="M342" t="s">
        <v>0</v>
      </c>
      <c r="N342" t="s">
        <v>1266</v>
      </c>
      <c r="O342" t="s">
        <v>1266</v>
      </c>
      <c r="P342" t="s">
        <v>1266</v>
      </c>
      <c r="Q342" t="s">
        <v>1266</v>
      </c>
      <c r="R342" t="s">
        <v>1266</v>
      </c>
    </row>
    <row r="343" spans="1:18" x14ac:dyDescent="0.3">
      <c r="A343" t="s">
        <v>904</v>
      </c>
      <c r="B343">
        <v>57</v>
      </c>
      <c r="C343" t="s">
        <v>0</v>
      </c>
      <c r="D343" t="s">
        <v>904</v>
      </c>
      <c r="E343">
        <v>30</v>
      </c>
      <c r="F343" t="s">
        <v>746</v>
      </c>
      <c r="I343">
        <v>14</v>
      </c>
      <c r="J343" t="s">
        <v>388</v>
      </c>
      <c r="K343">
        <v>669</v>
      </c>
      <c r="L343" t="s">
        <v>1</v>
      </c>
      <c r="M343" t="s">
        <v>0</v>
      </c>
      <c r="N343" t="s">
        <v>1266</v>
      </c>
      <c r="O343" t="s">
        <v>1266</v>
      </c>
      <c r="P343" t="s">
        <v>1266</v>
      </c>
      <c r="Q343" t="s">
        <v>1266</v>
      </c>
      <c r="R343" t="s">
        <v>1266</v>
      </c>
    </row>
    <row r="344" spans="1:18" x14ac:dyDescent="0.3">
      <c r="A344" t="s">
        <v>881</v>
      </c>
      <c r="B344">
        <v>58</v>
      </c>
      <c r="C344" t="s">
        <v>0</v>
      </c>
      <c r="D344" t="s">
        <v>881</v>
      </c>
      <c r="E344">
        <v>30</v>
      </c>
      <c r="F344" t="s">
        <v>716</v>
      </c>
      <c r="I344">
        <v>14</v>
      </c>
      <c r="J344" t="s">
        <v>388</v>
      </c>
      <c r="K344">
        <v>670</v>
      </c>
      <c r="L344" t="s">
        <v>1</v>
      </c>
      <c r="M344" t="s">
        <v>0</v>
      </c>
      <c r="N344" t="s">
        <v>1266</v>
      </c>
      <c r="O344" t="s">
        <v>1266</v>
      </c>
      <c r="P344" t="s">
        <v>1266</v>
      </c>
      <c r="Q344" t="s">
        <v>1266</v>
      </c>
      <c r="R344" t="s">
        <v>1266</v>
      </c>
    </row>
    <row r="345" spans="1:18" x14ac:dyDescent="0.3">
      <c r="A345" t="s">
        <v>1391</v>
      </c>
      <c r="B345">
        <v>59</v>
      </c>
      <c r="C345" t="s">
        <v>0</v>
      </c>
      <c r="D345" t="s">
        <v>1391</v>
      </c>
      <c r="E345">
        <v>30</v>
      </c>
      <c r="F345" t="s">
        <v>1391</v>
      </c>
      <c r="I345">
        <v>16</v>
      </c>
      <c r="J345" t="s">
        <v>388</v>
      </c>
      <c r="K345">
        <v>671</v>
      </c>
      <c r="L345" t="s">
        <v>1</v>
      </c>
      <c r="M345" t="s">
        <v>0</v>
      </c>
      <c r="N345" t="s">
        <v>1266</v>
      </c>
      <c r="O345" t="s">
        <v>1266</v>
      </c>
      <c r="P345" t="s">
        <v>1266</v>
      </c>
      <c r="Q345" t="s">
        <v>1266</v>
      </c>
      <c r="R345" t="s">
        <v>1266</v>
      </c>
    </row>
    <row r="346" spans="1:18" x14ac:dyDescent="0.3">
      <c r="A346" t="s">
        <v>1382</v>
      </c>
      <c r="B346">
        <v>60</v>
      </c>
      <c r="C346" t="s">
        <v>0</v>
      </c>
      <c r="D346" t="s">
        <v>1382</v>
      </c>
      <c r="E346">
        <v>30</v>
      </c>
      <c r="F346" t="s">
        <v>1382</v>
      </c>
      <c r="I346">
        <v>5</v>
      </c>
      <c r="J346" t="s">
        <v>388</v>
      </c>
      <c r="K346">
        <v>672</v>
      </c>
      <c r="L346" t="s">
        <v>1</v>
      </c>
      <c r="M346" t="s">
        <v>0</v>
      </c>
      <c r="N346" t="s">
        <v>1266</v>
      </c>
      <c r="O346" t="s">
        <v>1266</v>
      </c>
      <c r="P346" t="s">
        <v>1266</v>
      </c>
      <c r="Q346" t="s">
        <v>1266</v>
      </c>
      <c r="R346" t="s">
        <v>1266</v>
      </c>
    </row>
    <row r="347" spans="1:18" x14ac:dyDescent="0.3">
      <c r="A347" t="s">
        <v>1454</v>
      </c>
      <c r="B347">
        <v>61</v>
      </c>
      <c r="C347" t="s">
        <v>0</v>
      </c>
      <c r="D347" t="s">
        <v>1454</v>
      </c>
      <c r="E347">
        <v>30</v>
      </c>
      <c r="F347" t="s">
        <v>1454</v>
      </c>
      <c r="I347">
        <v>21</v>
      </c>
      <c r="J347" t="s">
        <v>388</v>
      </c>
      <c r="K347">
        <v>673</v>
      </c>
      <c r="L347" t="s">
        <v>1</v>
      </c>
      <c r="M347" t="s">
        <v>0</v>
      </c>
      <c r="N347" t="s">
        <v>1266</v>
      </c>
      <c r="O347" t="s">
        <v>1266</v>
      </c>
      <c r="P347" t="s">
        <v>1266</v>
      </c>
      <c r="Q347" t="s">
        <v>1266</v>
      </c>
      <c r="R347" t="s">
        <v>1266</v>
      </c>
    </row>
    <row r="348" spans="1:18" x14ac:dyDescent="0.3">
      <c r="A348" t="s">
        <v>878</v>
      </c>
      <c r="B348">
        <v>62</v>
      </c>
      <c r="C348" t="s">
        <v>0</v>
      </c>
      <c r="D348" t="s">
        <v>878</v>
      </c>
      <c r="E348">
        <v>30</v>
      </c>
      <c r="F348" t="s">
        <v>715</v>
      </c>
      <c r="I348">
        <v>16</v>
      </c>
      <c r="J348" t="s">
        <v>388</v>
      </c>
      <c r="K348">
        <v>674</v>
      </c>
      <c r="L348" t="s">
        <v>1</v>
      </c>
      <c r="M348" t="s">
        <v>0</v>
      </c>
      <c r="N348" t="s">
        <v>1266</v>
      </c>
      <c r="O348" t="s">
        <v>1266</v>
      </c>
      <c r="P348" t="s">
        <v>1266</v>
      </c>
      <c r="Q348" t="s">
        <v>1266</v>
      </c>
      <c r="R348" t="s">
        <v>1266</v>
      </c>
    </row>
    <row r="349" spans="1:18" x14ac:dyDescent="0.3">
      <c r="A349" t="s">
        <v>1663</v>
      </c>
      <c r="B349">
        <v>63</v>
      </c>
      <c r="C349" t="s">
        <v>0</v>
      </c>
      <c r="D349" t="s">
        <v>742</v>
      </c>
      <c r="E349">
        <v>30</v>
      </c>
      <c r="F349" t="s">
        <v>570</v>
      </c>
      <c r="I349">
        <v>14</v>
      </c>
      <c r="J349" t="s">
        <v>388</v>
      </c>
      <c r="K349">
        <v>675</v>
      </c>
      <c r="L349" t="s">
        <v>1</v>
      </c>
      <c r="M349" t="s">
        <v>0</v>
      </c>
      <c r="N349" t="s">
        <v>1266</v>
      </c>
      <c r="O349" t="s">
        <v>1266</v>
      </c>
      <c r="P349" t="s">
        <v>1266</v>
      </c>
      <c r="Q349" t="s">
        <v>1266</v>
      </c>
      <c r="R349" t="s">
        <v>1266</v>
      </c>
    </row>
    <row r="350" spans="1:18" x14ac:dyDescent="0.3">
      <c r="A350" t="s">
        <v>493</v>
      </c>
      <c r="B350">
        <v>64</v>
      </c>
      <c r="C350" t="s">
        <v>1</v>
      </c>
      <c r="D350" t="s">
        <v>493</v>
      </c>
      <c r="E350">
        <v>30</v>
      </c>
      <c r="F350" t="s">
        <v>492</v>
      </c>
      <c r="I350">
        <v>21</v>
      </c>
      <c r="J350" t="s">
        <v>388</v>
      </c>
      <c r="K350">
        <v>676</v>
      </c>
      <c r="L350" t="s">
        <v>1</v>
      </c>
      <c r="M350" t="s">
        <v>0</v>
      </c>
      <c r="N350" t="s">
        <v>1266</v>
      </c>
      <c r="O350" t="s">
        <v>1266</v>
      </c>
      <c r="P350" t="s">
        <v>1266</v>
      </c>
      <c r="Q350" t="s">
        <v>1266</v>
      </c>
      <c r="R350" t="s">
        <v>1266</v>
      </c>
    </row>
    <row r="351" spans="1:18" x14ac:dyDescent="0.3">
      <c r="A351" t="s">
        <v>1383</v>
      </c>
      <c r="B351">
        <v>1</v>
      </c>
      <c r="C351" t="s">
        <v>0</v>
      </c>
      <c r="D351" t="s">
        <v>1383</v>
      </c>
      <c r="E351">
        <v>30</v>
      </c>
      <c r="F351" t="s">
        <v>1383</v>
      </c>
      <c r="I351">
        <v>16</v>
      </c>
      <c r="J351" t="s">
        <v>1328</v>
      </c>
      <c r="K351">
        <v>98</v>
      </c>
      <c r="L351" t="s">
        <v>1</v>
      </c>
      <c r="M351" t="s">
        <v>0</v>
      </c>
      <c r="N351" t="s">
        <v>1266</v>
      </c>
      <c r="O351" t="s">
        <v>1266</v>
      </c>
      <c r="P351" t="s">
        <v>1266</v>
      </c>
      <c r="Q351" t="s">
        <v>1266</v>
      </c>
      <c r="R351" t="s">
        <v>1266</v>
      </c>
    </row>
    <row r="352" spans="1:18" x14ac:dyDescent="0.3">
      <c r="A352" t="s">
        <v>779</v>
      </c>
      <c r="B352">
        <v>2</v>
      </c>
      <c r="C352" t="s">
        <v>1</v>
      </c>
      <c r="D352" t="s">
        <v>779</v>
      </c>
      <c r="E352">
        <v>30</v>
      </c>
      <c r="F352" t="s">
        <v>779</v>
      </c>
      <c r="I352">
        <v>21</v>
      </c>
      <c r="J352" t="s">
        <v>1328</v>
      </c>
      <c r="K352">
        <v>99</v>
      </c>
      <c r="L352" t="s">
        <v>1</v>
      </c>
      <c r="M352" t="s">
        <v>0</v>
      </c>
      <c r="N352" t="s">
        <v>1266</v>
      </c>
      <c r="O352" t="s">
        <v>1266</v>
      </c>
      <c r="P352" t="s">
        <v>1266</v>
      </c>
      <c r="Q352" t="s">
        <v>1266</v>
      </c>
      <c r="R352" t="s">
        <v>1266</v>
      </c>
    </row>
    <row r="353" spans="1:18" x14ac:dyDescent="0.3">
      <c r="A353" t="s">
        <v>781</v>
      </c>
      <c r="B353">
        <v>3</v>
      </c>
      <c r="C353" t="s">
        <v>0</v>
      </c>
      <c r="D353" t="s">
        <v>781</v>
      </c>
      <c r="E353">
        <v>30</v>
      </c>
      <c r="F353" t="s">
        <v>781</v>
      </c>
      <c r="I353">
        <v>9</v>
      </c>
      <c r="J353" t="s">
        <v>1328</v>
      </c>
      <c r="K353">
        <v>100</v>
      </c>
      <c r="L353" t="s">
        <v>1</v>
      </c>
      <c r="M353" t="s">
        <v>0</v>
      </c>
      <c r="N353" t="s">
        <v>1266</v>
      </c>
      <c r="O353" t="s">
        <v>1266</v>
      </c>
      <c r="P353" t="s">
        <v>1266</v>
      </c>
      <c r="Q353" t="s">
        <v>1266</v>
      </c>
      <c r="R353" t="s">
        <v>1266</v>
      </c>
    </row>
    <row r="354" spans="1:18" x14ac:dyDescent="0.3">
      <c r="A354" t="s">
        <v>780</v>
      </c>
      <c r="B354">
        <v>4</v>
      </c>
      <c r="C354" t="s">
        <v>0</v>
      </c>
      <c r="D354" t="s">
        <v>780</v>
      </c>
      <c r="E354">
        <v>30</v>
      </c>
      <c r="F354" t="s">
        <v>780</v>
      </c>
      <c r="I354">
        <v>16</v>
      </c>
      <c r="J354" t="s">
        <v>1328</v>
      </c>
      <c r="K354">
        <v>101</v>
      </c>
      <c r="L354" t="s">
        <v>1</v>
      </c>
      <c r="M354" t="s">
        <v>0</v>
      </c>
      <c r="N354" t="s">
        <v>1266</v>
      </c>
      <c r="O354" t="s">
        <v>1266</v>
      </c>
      <c r="P354" t="s">
        <v>1266</v>
      </c>
      <c r="Q354" t="s">
        <v>1266</v>
      </c>
      <c r="R354" t="s">
        <v>1266</v>
      </c>
    </row>
    <row r="355" spans="1:18" x14ac:dyDescent="0.3">
      <c r="A355" t="s">
        <v>585</v>
      </c>
      <c r="B355">
        <v>5</v>
      </c>
      <c r="C355" t="s">
        <v>1</v>
      </c>
      <c r="D355" t="s">
        <v>585</v>
      </c>
      <c r="E355">
        <v>30</v>
      </c>
      <c r="F355" t="s">
        <v>585</v>
      </c>
      <c r="I355">
        <v>5</v>
      </c>
      <c r="J355" t="s">
        <v>1328</v>
      </c>
      <c r="K355">
        <v>102</v>
      </c>
      <c r="L355" t="s">
        <v>0</v>
      </c>
      <c r="M355" t="s">
        <v>0</v>
      </c>
      <c r="N355" t="s">
        <v>1266</v>
      </c>
      <c r="O355" t="s">
        <v>1266</v>
      </c>
      <c r="P355" t="s">
        <v>1266</v>
      </c>
      <c r="Q355" t="s">
        <v>1266</v>
      </c>
      <c r="R355" t="s">
        <v>1266</v>
      </c>
    </row>
    <row r="356" spans="1:18" x14ac:dyDescent="0.3">
      <c r="A356" t="s">
        <v>614</v>
      </c>
      <c r="B356">
        <v>6</v>
      </c>
      <c r="C356" t="s">
        <v>0</v>
      </c>
      <c r="D356" t="s">
        <v>614</v>
      </c>
      <c r="E356">
        <v>30</v>
      </c>
      <c r="F356" t="s">
        <v>614</v>
      </c>
      <c r="I356">
        <v>5</v>
      </c>
      <c r="J356" t="s">
        <v>1328</v>
      </c>
      <c r="K356">
        <v>103</v>
      </c>
      <c r="L356" t="s">
        <v>1</v>
      </c>
      <c r="M356" t="s">
        <v>0</v>
      </c>
      <c r="N356" t="s">
        <v>1266</v>
      </c>
      <c r="O356" t="s">
        <v>1266</v>
      </c>
      <c r="P356" t="s">
        <v>1266</v>
      </c>
      <c r="Q356" t="s">
        <v>1266</v>
      </c>
      <c r="R356" t="s">
        <v>1266</v>
      </c>
    </row>
    <row r="357" spans="1:18" x14ac:dyDescent="0.3">
      <c r="A357" t="s">
        <v>531</v>
      </c>
      <c r="B357">
        <v>7</v>
      </c>
      <c r="C357" t="s">
        <v>1</v>
      </c>
      <c r="D357" t="s">
        <v>531</v>
      </c>
      <c r="E357">
        <v>30</v>
      </c>
      <c r="F357" t="s">
        <v>531</v>
      </c>
      <c r="I357">
        <v>5</v>
      </c>
      <c r="J357" t="s">
        <v>1328</v>
      </c>
      <c r="K357">
        <v>104</v>
      </c>
      <c r="L357" t="s">
        <v>1</v>
      </c>
      <c r="M357" t="s">
        <v>0</v>
      </c>
      <c r="N357" t="s">
        <v>1266</v>
      </c>
      <c r="O357" t="s">
        <v>1266</v>
      </c>
      <c r="P357" t="s">
        <v>1266</v>
      </c>
      <c r="Q357" t="s">
        <v>1266</v>
      </c>
      <c r="R357" t="s">
        <v>1266</v>
      </c>
    </row>
    <row r="358" spans="1:18" x14ac:dyDescent="0.3">
      <c r="A358" t="s">
        <v>438</v>
      </c>
      <c r="B358">
        <v>8</v>
      </c>
      <c r="C358" t="s">
        <v>1</v>
      </c>
      <c r="D358" t="s">
        <v>438</v>
      </c>
      <c r="E358">
        <v>30</v>
      </c>
      <c r="F358" t="s">
        <v>438</v>
      </c>
      <c r="I358">
        <v>12</v>
      </c>
      <c r="J358" t="s">
        <v>1328</v>
      </c>
      <c r="K358">
        <v>105</v>
      </c>
      <c r="L358" t="s">
        <v>1</v>
      </c>
      <c r="M358" t="s">
        <v>0</v>
      </c>
      <c r="N358" t="s">
        <v>1266</v>
      </c>
      <c r="O358" t="s">
        <v>1266</v>
      </c>
      <c r="P358" t="s">
        <v>1266</v>
      </c>
      <c r="Q358" t="s">
        <v>1266</v>
      </c>
      <c r="R358" t="s">
        <v>1266</v>
      </c>
    </row>
    <row r="359" spans="1:18" x14ac:dyDescent="0.3">
      <c r="A359" t="s">
        <v>440</v>
      </c>
      <c r="B359">
        <v>9</v>
      </c>
      <c r="C359" t="s">
        <v>1</v>
      </c>
      <c r="D359" t="s">
        <v>440</v>
      </c>
      <c r="E359">
        <v>30</v>
      </c>
      <c r="F359" t="s">
        <v>440</v>
      </c>
      <c r="I359">
        <v>12</v>
      </c>
      <c r="J359" t="s">
        <v>1328</v>
      </c>
      <c r="K359">
        <v>106</v>
      </c>
      <c r="L359" t="s">
        <v>1</v>
      </c>
      <c r="M359" t="s">
        <v>0</v>
      </c>
      <c r="N359" t="s">
        <v>1266</v>
      </c>
      <c r="O359" t="s">
        <v>1266</v>
      </c>
      <c r="P359" t="s">
        <v>1266</v>
      </c>
      <c r="Q359" t="s">
        <v>1266</v>
      </c>
      <c r="R359" t="s">
        <v>1266</v>
      </c>
    </row>
    <row r="360" spans="1:18" x14ac:dyDescent="0.3">
      <c r="A360" t="s">
        <v>429</v>
      </c>
      <c r="B360">
        <v>10</v>
      </c>
      <c r="C360" t="s">
        <v>1</v>
      </c>
      <c r="D360" t="s">
        <v>429</v>
      </c>
      <c r="E360">
        <v>30</v>
      </c>
      <c r="F360" t="s">
        <v>429</v>
      </c>
      <c r="I360">
        <v>12</v>
      </c>
      <c r="J360" t="s">
        <v>1328</v>
      </c>
      <c r="K360">
        <v>107</v>
      </c>
      <c r="L360" t="s">
        <v>1</v>
      </c>
      <c r="M360" t="s">
        <v>0</v>
      </c>
      <c r="N360" t="s">
        <v>1266</v>
      </c>
      <c r="O360" t="s">
        <v>1266</v>
      </c>
      <c r="P360" t="s">
        <v>1266</v>
      </c>
      <c r="Q360" t="s">
        <v>1266</v>
      </c>
      <c r="R360" t="s">
        <v>1266</v>
      </c>
    </row>
    <row r="361" spans="1:18" x14ac:dyDescent="0.3">
      <c r="A361" t="s">
        <v>498</v>
      </c>
      <c r="B361">
        <v>11</v>
      </c>
      <c r="C361" t="s">
        <v>1</v>
      </c>
      <c r="D361" t="s">
        <v>498</v>
      </c>
      <c r="E361">
        <v>30</v>
      </c>
      <c r="F361" t="s">
        <v>498</v>
      </c>
      <c r="I361">
        <v>5</v>
      </c>
      <c r="J361" t="s">
        <v>1328</v>
      </c>
      <c r="K361">
        <v>108</v>
      </c>
      <c r="L361" t="s">
        <v>1</v>
      </c>
      <c r="M361" t="s">
        <v>0</v>
      </c>
      <c r="N361" t="s">
        <v>1266</v>
      </c>
      <c r="O361" t="s">
        <v>1266</v>
      </c>
      <c r="P361" t="s">
        <v>1266</v>
      </c>
      <c r="Q361" t="s">
        <v>1266</v>
      </c>
      <c r="R361" t="s">
        <v>1266</v>
      </c>
    </row>
    <row r="362" spans="1:18" x14ac:dyDescent="0.3">
      <c r="A362" t="s">
        <v>492</v>
      </c>
      <c r="B362">
        <v>12</v>
      </c>
      <c r="C362" t="s">
        <v>1</v>
      </c>
      <c r="D362" t="s">
        <v>492</v>
      </c>
      <c r="E362">
        <v>30</v>
      </c>
      <c r="F362" t="s">
        <v>492</v>
      </c>
      <c r="I362">
        <v>21</v>
      </c>
      <c r="J362" t="s">
        <v>1328</v>
      </c>
      <c r="K362">
        <v>109</v>
      </c>
      <c r="L362" t="s">
        <v>1</v>
      </c>
      <c r="M362" t="s">
        <v>0</v>
      </c>
      <c r="N362" t="s">
        <v>1266</v>
      </c>
      <c r="O362" t="s">
        <v>1266</v>
      </c>
      <c r="P362" t="s">
        <v>1266</v>
      </c>
      <c r="Q362" t="s">
        <v>1266</v>
      </c>
      <c r="R362" t="s">
        <v>1266</v>
      </c>
    </row>
    <row r="363" spans="1:18" x14ac:dyDescent="0.3">
      <c r="A363" t="s">
        <v>581</v>
      </c>
      <c r="B363">
        <v>1</v>
      </c>
      <c r="C363" t="s">
        <v>1</v>
      </c>
      <c r="D363" t="s">
        <v>581</v>
      </c>
      <c r="E363">
        <v>30</v>
      </c>
      <c r="F363" t="s">
        <v>581</v>
      </c>
      <c r="I363">
        <v>5</v>
      </c>
      <c r="J363" t="s">
        <v>1331</v>
      </c>
      <c r="K363">
        <v>677</v>
      </c>
      <c r="L363" t="s">
        <v>1</v>
      </c>
      <c r="M363" t="s">
        <v>0</v>
      </c>
      <c r="N363" t="s">
        <v>1266</v>
      </c>
      <c r="O363" t="s">
        <v>1266</v>
      </c>
      <c r="P363" t="s">
        <v>1266</v>
      </c>
      <c r="Q363" t="s">
        <v>1266</v>
      </c>
      <c r="R363" t="s">
        <v>1266</v>
      </c>
    </row>
    <row r="364" spans="1:18" x14ac:dyDescent="0.3">
      <c r="A364" t="s">
        <v>1484</v>
      </c>
      <c r="B364">
        <v>2</v>
      </c>
      <c r="C364" t="s">
        <v>1</v>
      </c>
      <c r="D364" t="s">
        <v>1484</v>
      </c>
      <c r="E364">
        <v>30</v>
      </c>
      <c r="F364" t="s">
        <v>1484</v>
      </c>
      <c r="I364">
        <v>5</v>
      </c>
      <c r="J364" t="s">
        <v>1331</v>
      </c>
      <c r="K364">
        <v>678</v>
      </c>
      <c r="L364" t="s">
        <v>1</v>
      </c>
      <c r="M364" t="s">
        <v>0</v>
      </c>
      <c r="N364" t="s">
        <v>1266</v>
      </c>
      <c r="O364" t="s">
        <v>1266</v>
      </c>
      <c r="P364" t="s">
        <v>1266</v>
      </c>
      <c r="Q364" t="s">
        <v>1266</v>
      </c>
      <c r="R364" t="s">
        <v>1266</v>
      </c>
    </row>
    <row r="365" spans="1:18" x14ac:dyDescent="0.3">
      <c r="A365" t="s">
        <v>438</v>
      </c>
      <c r="B365">
        <v>3</v>
      </c>
      <c r="C365" t="s">
        <v>1</v>
      </c>
      <c r="D365" t="s">
        <v>438</v>
      </c>
      <c r="E365">
        <v>30</v>
      </c>
      <c r="F365" t="s">
        <v>438</v>
      </c>
      <c r="I365">
        <v>12</v>
      </c>
      <c r="J365" t="s">
        <v>1331</v>
      </c>
      <c r="K365">
        <v>679</v>
      </c>
      <c r="L365" t="s">
        <v>1</v>
      </c>
      <c r="M365" t="s">
        <v>0</v>
      </c>
      <c r="N365" t="s">
        <v>1266</v>
      </c>
      <c r="O365" t="s">
        <v>1266</v>
      </c>
      <c r="P365" t="s">
        <v>1266</v>
      </c>
      <c r="Q365" t="s">
        <v>1266</v>
      </c>
      <c r="R365" t="s">
        <v>1266</v>
      </c>
    </row>
    <row r="366" spans="1:18" x14ac:dyDescent="0.3">
      <c r="A366" t="s">
        <v>440</v>
      </c>
      <c r="B366">
        <v>4</v>
      </c>
      <c r="C366" t="s">
        <v>1</v>
      </c>
      <c r="D366" t="s">
        <v>440</v>
      </c>
      <c r="E366">
        <v>30</v>
      </c>
      <c r="F366" t="s">
        <v>440</v>
      </c>
      <c r="I366">
        <v>12</v>
      </c>
      <c r="J366" t="s">
        <v>1331</v>
      </c>
      <c r="K366">
        <v>680</v>
      </c>
      <c r="L366" t="s">
        <v>1</v>
      </c>
      <c r="M366" t="s">
        <v>0</v>
      </c>
      <c r="N366" t="s">
        <v>1266</v>
      </c>
      <c r="O366" t="s">
        <v>1266</v>
      </c>
      <c r="P366" t="s">
        <v>1266</v>
      </c>
      <c r="Q366" t="s">
        <v>1266</v>
      </c>
      <c r="R366" t="s">
        <v>1266</v>
      </c>
    </row>
    <row r="367" spans="1:18" x14ac:dyDescent="0.3">
      <c r="A367" t="s">
        <v>429</v>
      </c>
      <c r="B367">
        <v>5</v>
      </c>
      <c r="C367" t="s">
        <v>1</v>
      </c>
      <c r="D367" t="s">
        <v>429</v>
      </c>
      <c r="E367">
        <v>30</v>
      </c>
      <c r="F367" t="s">
        <v>429</v>
      </c>
      <c r="I367">
        <v>12</v>
      </c>
      <c r="J367" t="s">
        <v>1331</v>
      </c>
      <c r="K367">
        <v>681</v>
      </c>
      <c r="L367" t="s">
        <v>1</v>
      </c>
      <c r="M367" t="s">
        <v>0</v>
      </c>
      <c r="N367" t="s">
        <v>1266</v>
      </c>
      <c r="O367" t="s">
        <v>1266</v>
      </c>
      <c r="P367" t="s">
        <v>1266</v>
      </c>
      <c r="Q367" t="s">
        <v>1266</v>
      </c>
      <c r="R367" t="s">
        <v>1266</v>
      </c>
    </row>
    <row r="368" spans="1:18" x14ac:dyDescent="0.3">
      <c r="A368" t="s">
        <v>1405</v>
      </c>
      <c r="B368">
        <v>6</v>
      </c>
      <c r="C368" t="s">
        <v>1</v>
      </c>
      <c r="D368" t="s">
        <v>1405</v>
      </c>
      <c r="E368">
        <v>30</v>
      </c>
      <c r="F368" t="s">
        <v>1405</v>
      </c>
      <c r="I368">
        <v>5</v>
      </c>
      <c r="J368" t="s">
        <v>1331</v>
      </c>
      <c r="K368">
        <v>682</v>
      </c>
      <c r="L368" t="s">
        <v>0</v>
      </c>
      <c r="M368" t="s">
        <v>0</v>
      </c>
      <c r="N368" t="s">
        <v>1266</v>
      </c>
      <c r="O368" t="s">
        <v>1266</v>
      </c>
      <c r="P368" t="s">
        <v>1266</v>
      </c>
      <c r="Q368" t="s">
        <v>1266</v>
      </c>
      <c r="R368" t="s">
        <v>1266</v>
      </c>
    </row>
    <row r="369" spans="1:18" x14ac:dyDescent="0.3">
      <c r="A369" t="s">
        <v>498</v>
      </c>
      <c r="B369">
        <v>7</v>
      </c>
      <c r="C369" t="s">
        <v>1</v>
      </c>
      <c r="D369" t="s">
        <v>498</v>
      </c>
      <c r="E369">
        <v>30</v>
      </c>
      <c r="F369" t="s">
        <v>498</v>
      </c>
      <c r="I369">
        <v>5</v>
      </c>
      <c r="J369" t="s">
        <v>1331</v>
      </c>
      <c r="K369">
        <v>683</v>
      </c>
      <c r="L369" t="s">
        <v>1</v>
      </c>
      <c r="M369" t="s">
        <v>0</v>
      </c>
      <c r="N369" t="s">
        <v>1266</v>
      </c>
      <c r="O369" t="s">
        <v>1266</v>
      </c>
      <c r="P369" t="s">
        <v>1266</v>
      </c>
      <c r="Q369" t="s">
        <v>1266</v>
      </c>
      <c r="R369" t="s">
        <v>1266</v>
      </c>
    </row>
    <row r="370" spans="1:18" x14ac:dyDescent="0.3">
      <c r="A370" t="s">
        <v>492</v>
      </c>
      <c r="B370">
        <v>8</v>
      </c>
      <c r="C370" t="s">
        <v>1</v>
      </c>
      <c r="D370" t="s">
        <v>492</v>
      </c>
      <c r="E370">
        <v>30</v>
      </c>
      <c r="F370" t="s">
        <v>492</v>
      </c>
      <c r="I370">
        <v>21</v>
      </c>
      <c r="J370" t="s">
        <v>1331</v>
      </c>
      <c r="K370">
        <v>684</v>
      </c>
      <c r="L370" t="s">
        <v>1</v>
      </c>
      <c r="M370" t="s">
        <v>0</v>
      </c>
      <c r="N370" t="s">
        <v>1266</v>
      </c>
      <c r="O370" t="s">
        <v>1266</v>
      </c>
      <c r="P370" t="s">
        <v>1266</v>
      </c>
      <c r="Q370" t="s">
        <v>1266</v>
      </c>
      <c r="R370" t="s">
        <v>1266</v>
      </c>
    </row>
    <row r="371" spans="1:18" x14ac:dyDescent="0.3">
      <c r="A371" t="s">
        <v>581</v>
      </c>
      <c r="B371">
        <v>1</v>
      </c>
      <c r="C371" t="s">
        <v>1</v>
      </c>
      <c r="D371" t="s">
        <v>581</v>
      </c>
      <c r="E371">
        <v>30</v>
      </c>
      <c r="F371" t="s">
        <v>581</v>
      </c>
      <c r="I371">
        <v>5</v>
      </c>
      <c r="J371" t="s">
        <v>1310</v>
      </c>
      <c r="K371">
        <v>110</v>
      </c>
      <c r="L371" t="s">
        <v>1</v>
      </c>
      <c r="M371" t="s">
        <v>0</v>
      </c>
      <c r="N371" t="s">
        <v>1266</v>
      </c>
      <c r="O371" t="s">
        <v>1266</v>
      </c>
      <c r="P371" t="s">
        <v>1266</v>
      </c>
      <c r="Q371" t="s">
        <v>1266</v>
      </c>
      <c r="R371" t="s">
        <v>1266</v>
      </c>
    </row>
    <row r="372" spans="1:18" x14ac:dyDescent="0.3">
      <c r="A372" t="s">
        <v>1408</v>
      </c>
      <c r="B372">
        <v>2</v>
      </c>
      <c r="C372" t="s">
        <v>1</v>
      </c>
      <c r="D372" t="s">
        <v>1408</v>
      </c>
      <c r="E372">
        <v>30</v>
      </c>
      <c r="F372" t="s">
        <v>1408</v>
      </c>
      <c r="I372">
        <v>5</v>
      </c>
      <c r="J372" t="s">
        <v>1310</v>
      </c>
      <c r="K372">
        <v>111</v>
      </c>
      <c r="L372" t="s">
        <v>0</v>
      </c>
      <c r="M372" t="s">
        <v>0</v>
      </c>
      <c r="N372" t="s">
        <v>1266</v>
      </c>
      <c r="O372" t="s">
        <v>1266</v>
      </c>
      <c r="P372" t="s">
        <v>1266</v>
      </c>
      <c r="Q372" t="s">
        <v>1266</v>
      </c>
      <c r="R372" t="s">
        <v>1266</v>
      </c>
    </row>
    <row r="373" spans="1:18" x14ac:dyDescent="0.3">
      <c r="A373" t="s">
        <v>1469</v>
      </c>
      <c r="B373">
        <v>3</v>
      </c>
      <c r="C373" t="s">
        <v>1</v>
      </c>
      <c r="D373" t="s">
        <v>1469</v>
      </c>
      <c r="E373">
        <v>30</v>
      </c>
      <c r="F373" t="s">
        <v>1469</v>
      </c>
      <c r="I373">
        <v>14</v>
      </c>
      <c r="J373" t="s">
        <v>1310</v>
      </c>
      <c r="K373">
        <v>112</v>
      </c>
      <c r="L373" t="s">
        <v>1</v>
      </c>
      <c r="M373" t="s">
        <v>0</v>
      </c>
      <c r="N373" t="s">
        <v>1266</v>
      </c>
      <c r="O373" t="s">
        <v>1266</v>
      </c>
      <c r="P373" t="s">
        <v>1266</v>
      </c>
      <c r="Q373" t="s">
        <v>1266</v>
      </c>
      <c r="R373" t="s">
        <v>1266</v>
      </c>
    </row>
    <row r="374" spans="1:18" x14ac:dyDescent="0.3">
      <c r="A374" t="s">
        <v>440</v>
      </c>
      <c r="B374">
        <v>4</v>
      </c>
      <c r="C374" t="s">
        <v>1</v>
      </c>
      <c r="D374" t="s">
        <v>440</v>
      </c>
      <c r="E374">
        <v>30</v>
      </c>
      <c r="F374" t="s">
        <v>440</v>
      </c>
      <c r="I374">
        <v>12</v>
      </c>
      <c r="J374" t="s">
        <v>1310</v>
      </c>
      <c r="K374">
        <v>113</v>
      </c>
      <c r="L374" t="s">
        <v>1</v>
      </c>
      <c r="M374" t="s">
        <v>0</v>
      </c>
      <c r="N374" t="s">
        <v>1266</v>
      </c>
      <c r="O374" t="s">
        <v>1266</v>
      </c>
      <c r="P374" t="s">
        <v>1266</v>
      </c>
      <c r="Q374" t="s">
        <v>1266</v>
      </c>
      <c r="R374" t="s">
        <v>1266</v>
      </c>
    </row>
    <row r="375" spans="1:18" x14ac:dyDescent="0.3">
      <c r="A375" t="s">
        <v>429</v>
      </c>
      <c r="B375">
        <v>5</v>
      </c>
      <c r="C375" t="s">
        <v>1</v>
      </c>
      <c r="D375" t="s">
        <v>429</v>
      </c>
      <c r="E375">
        <v>30</v>
      </c>
      <c r="F375" t="s">
        <v>429</v>
      </c>
      <c r="I375">
        <v>12</v>
      </c>
      <c r="J375" t="s">
        <v>1310</v>
      </c>
      <c r="K375">
        <v>114</v>
      </c>
      <c r="L375" t="s">
        <v>1</v>
      </c>
      <c r="M375" t="s">
        <v>0</v>
      </c>
      <c r="N375" t="s">
        <v>1266</v>
      </c>
      <c r="O375" t="s">
        <v>1266</v>
      </c>
      <c r="P375" t="s">
        <v>1266</v>
      </c>
      <c r="Q375" t="s">
        <v>1266</v>
      </c>
      <c r="R375" t="s">
        <v>1266</v>
      </c>
    </row>
    <row r="376" spans="1:18" x14ac:dyDescent="0.3">
      <c r="A376" t="s">
        <v>498</v>
      </c>
      <c r="B376">
        <v>6</v>
      </c>
      <c r="C376" t="s">
        <v>0</v>
      </c>
      <c r="D376" t="s">
        <v>498</v>
      </c>
      <c r="E376">
        <v>30</v>
      </c>
      <c r="F376" t="s">
        <v>498</v>
      </c>
      <c r="I376">
        <v>5</v>
      </c>
      <c r="J376" t="s">
        <v>1310</v>
      </c>
      <c r="K376">
        <v>115</v>
      </c>
      <c r="L376" t="s">
        <v>1</v>
      </c>
      <c r="M376" t="s">
        <v>0</v>
      </c>
      <c r="N376" t="s">
        <v>1266</v>
      </c>
      <c r="O376" t="s">
        <v>1266</v>
      </c>
      <c r="P376" t="s">
        <v>1266</v>
      </c>
      <c r="Q376" t="s">
        <v>1266</v>
      </c>
      <c r="R376" t="s">
        <v>1266</v>
      </c>
    </row>
    <row r="377" spans="1:18" x14ac:dyDescent="0.3">
      <c r="A377" t="s">
        <v>492</v>
      </c>
      <c r="B377">
        <v>7</v>
      </c>
      <c r="C377" t="s">
        <v>1</v>
      </c>
      <c r="D377" t="s">
        <v>492</v>
      </c>
      <c r="E377">
        <v>30</v>
      </c>
      <c r="F377" t="s">
        <v>492</v>
      </c>
      <c r="I377">
        <v>21</v>
      </c>
      <c r="J377" t="s">
        <v>1310</v>
      </c>
      <c r="K377">
        <v>116</v>
      </c>
      <c r="L377" t="s">
        <v>1</v>
      </c>
      <c r="M377" t="s">
        <v>0</v>
      </c>
      <c r="N377" t="s">
        <v>1266</v>
      </c>
      <c r="O377" t="s">
        <v>1266</v>
      </c>
      <c r="P377" t="s">
        <v>1266</v>
      </c>
      <c r="Q377" t="s">
        <v>1266</v>
      </c>
      <c r="R377" t="s">
        <v>1266</v>
      </c>
    </row>
    <row r="378" spans="1:18" x14ac:dyDescent="0.3">
      <c r="A378" t="s">
        <v>52</v>
      </c>
      <c r="B378">
        <v>1</v>
      </c>
      <c r="C378" t="s">
        <v>1</v>
      </c>
      <c r="D378" t="s">
        <v>52</v>
      </c>
      <c r="E378">
        <v>30</v>
      </c>
      <c r="F378" t="s">
        <v>52</v>
      </c>
      <c r="I378">
        <v>21</v>
      </c>
      <c r="J378" t="s">
        <v>1351</v>
      </c>
      <c r="K378">
        <v>117</v>
      </c>
      <c r="L378" t="s">
        <v>1</v>
      </c>
      <c r="M378" t="s">
        <v>0</v>
      </c>
      <c r="N378" t="s">
        <v>1266</v>
      </c>
      <c r="O378" t="s">
        <v>1266</v>
      </c>
      <c r="P378" t="s">
        <v>1266</v>
      </c>
      <c r="Q378" t="s">
        <v>1266</v>
      </c>
      <c r="R378" t="s">
        <v>1266</v>
      </c>
    </row>
    <row r="379" spans="1:18" x14ac:dyDescent="0.3">
      <c r="A379" t="s">
        <v>1405</v>
      </c>
      <c r="B379">
        <v>2</v>
      </c>
      <c r="C379" t="s">
        <v>1</v>
      </c>
      <c r="D379" t="s">
        <v>1405</v>
      </c>
      <c r="E379">
        <v>30</v>
      </c>
      <c r="F379" t="s">
        <v>1405</v>
      </c>
      <c r="I379">
        <v>9</v>
      </c>
      <c r="J379" t="s">
        <v>1351</v>
      </c>
      <c r="K379">
        <v>118</v>
      </c>
      <c r="L379" t="s">
        <v>0</v>
      </c>
      <c r="M379" t="s">
        <v>0</v>
      </c>
      <c r="N379" t="s">
        <v>1266</v>
      </c>
      <c r="O379" t="s">
        <v>1266</v>
      </c>
      <c r="P379" t="s">
        <v>1266</v>
      </c>
      <c r="Q379" t="s">
        <v>1266</v>
      </c>
      <c r="R379" t="s">
        <v>1266</v>
      </c>
    </row>
    <row r="380" spans="1:18" x14ac:dyDescent="0.3">
      <c r="A380" t="s">
        <v>1550</v>
      </c>
      <c r="B380">
        <v>3</v>
      </c>
      <c r="C380" t="s">
        <v>1</v>
      </c>
      <c r="D380" t="s">
        <v>1550</v>
      </c>
      <c r="E380">
        <v>30</v>
      </c>
      <c r="F380" t="s">
        <v>1550</v>
      </c>
      <c r="I380">
        <v>10</v>
      </c>
      <c r="J380" t="s">
        <v>1351</v>
      </c>
      <c r="K380">
        <v>119</v>
      </c>
      <c r="L380" t="s">
        <v>1</v>
      </c>
      <c r="M380" t="s">
        <v>0</v>
      </c>
      <c r="N380" t="s">
        <v>1266</v>
      </c>
      <c r="O380" t="s">
        <v>1266</v>
      </c>
      <c r="P380" t="s">
        <v>1266</v>
      </c>
      <c r="Q380" t="s">
        <v>1266</v>
      </c>
      <c r="R380" t="s">
        <v>1266</v>
      </c>
    </row>
    <row r="381" spans="1:18" x14ac:dyDescent="0.3">
      <c r="A381" t="s">
        <v>51</v>
      </c>
      <c r="B381">
        <v>4</v>
      </c>
      <c r="C381" t="s">
        <v>1</v>
      </c>
      <c r="D381" t="s">
        <v>51</v>
      </c>
      <c r="E381">
        <v>30</v>
      </c>
      <c r="F381" t="s">
        <v>51</v>
      </c>
      <c r="I381">
        <v>21</v>
      </c>
      <c r="J381" t="s">
        <v>1351</v>
      </c>
      <c r="K381">
        <v>120</v>
      </c>
      <c r="L381" t="s">
        <v>1</v>
      </c>
      <c r="M381" t="s">
        <v>0</v>
      </c>
      <c r="N381" t="s">
        <v>1266</v>
      </c>
      <c r="O381" t="s">
        <v>1266</v>
      </c>
      <c r="P381" t="s">
        <v>1266</v>
      </c>
      <c r="Q381" t="s">
        <v>1266</v>
      </c>
      <c r="R381" t="s">
        <v>1266</v>
      </c>
    </row>
    <row r="382" spans="1:18" x14ac:dyDescent="0.3">
      <c r="A382" t="s">
        <v>1438</v>
      </c>
      <c r="B382">
        <v>1</v>
      </c>
      <c r="C382" t="s">
        <v>1</v>
      </c>
      <c r="D382" t="s">
        <v>1438</v>
      </c>
      <c r="E382">
        <v>30</v>
      </c>
      <c r="F382" t="s">
        <v>1438</v>
      </c>
      <c r="I382">
        <v>6</v>
      </c>
      <c r="J382" t="s">
        <v>1362</v>
      </c>
      <c r="K382">
        <v>685</v>
      </c>
      <c r="L382" t="s">
        <v>0</v>
      </c>
      <c r="M382" t="s">
        <v>0</v>
      </c>
      <c r="N382" t="s">
        <v>1266</v>
      </c>
      <c r="O382" t="s">
        <v>1266</v>
      </c>
      <c r="P382" t="s">
        <v>1266</v>
      </c>
      <c r="Q382" t="s">
        <v>1266</v>
      </c>
      <c r="R382" t="s">
        <v>1266</v>
      </c>
    </row>
    <row r="383" spans="1:18" x14ac:dyDescent="0.3">
      <c r="A383" t="s">
        <v>1432</v>
      </c>
      <c r="B383">
        <v>2</v>
      </c>
      <c r="C383" t="s">
        <v>1</v>
      </c>
      <c r="D383" t="s">
        <v>1432</v>
      </c>
      <c r="E383">
        <v>30</v>
      </c>
      <c r="F383" t="s">
        <v>1432</v>
      </c>
      <c r="I383">
        <v>14</v>
      </c>
      <c r="J383" t="s">
        <v>1362</v>
      </c>
      <c r="K383">
        <v>686</v>
      </c>
      <c r="L383" t="s">
        <v>1</v>
      </c>
      <c r="M383" t="s">
        <v>0</v>
      </c>
      <c r="N383" t="s">
        <v>1266</v>
      </c>
      <c r="O383" t="s">
        <v>1266</v>
      </c>
      <c r="P383" t="s">
        <v>1266</v>
      </c>
      <c r="Q383" t="s">
        <v>1266</v>
      </c>
      <c r="R383" t="s">
        <v>1266</v>
      </c>
    </row>
    <row r="384" spans="1:18" x14ac:dyDescent="0.3">
      <c r="A384" t="s">
        <v>52</v>
      </c>
      <c r="B384">
        <v>3</v>
      </c>
      <c r="C384" t="s">
        <v>1</v>
      </c>
      <c r="D384" t="s">
        <v>52</v>
      </c>
      <c r="E384">
        <v>30</v>
      </c>
      <c r="F384" t="s">
        <v>52</v>
      </c>
      <c r="I384">
        <v>21</v>
      </c>
      <c r="J384" t="s">
        <v>1362</v>
      </c>
      <c r="K384">
        <v>687</v>
      </c>
      <c r="L384" t="s">
        <v>1</v>
      </c>
      <c r="M384" t="s">
        <v>0</v>
      </c>
      <c r="N384" t="s">
        <v>1266</v>
      </c>
      <c r="O384" t="s">
        <v>1266</v>
      </c>
      <c r="P384" t="s">
        <v>1266</v>
      </c>
      <c r="Q384" t="s">
        <v>1266</v>
      </c>
      <c r="R384" t="s">
        <v>1266</v>
      </c>
    </row>
    <row r="385" spans="1:18" x14ac:dyDescent="0.3">
      <c r="A385" t="s">
        <v>1405</v>
      </c>
      <c r="B385">
        <v>4</v>
      </c>
      <c r="C385" t="s">
        <v>1</v>
      </c>
      <c r="D385" t="s">
        <v>1405</v>
      </c>
      <c r="E385">
        <v>30</v>
      </c>
      <c r="F385" t="s">
        <v>1405</v>
      </c>
      <c r="I385">
        <v>9</v>
      </c>
      <c r="J385" t="s">
        <v>1362</v>
      </c>
      <c r="K385">
        <v>688</v>
      </c>
      <c r="L385" t="s">
        <v>0</v>
      </c>
      <c r="M385" t="s">
        <v>0</v>
      </c>
      <c r="N385" t="s">
        <v>1266</v>
      </c>
      <c r="O385" t="s">
        <v>1266</v>
      </c>
      <c r="P385" t="s">
        <v>1266</v>
      </c>
      <c r="Q385" t="s">
        <v>1266</v>
      </c>
      <c r="R385" t="s">
        <v>1266</v>
      </c>
    </row>
    <row r="386" spans="1:18" x14ac:dyDescent="0.3">
      <c r="A386" t="s">
        <v>51</v>
      </c>
      <c r="B386">
        <v>5</v>
      </c>
      <c r="C386" t="s">
        <v>1</v>
      </c>
      <c r="D386" t="s">
        <v>51</v>
      </c>
      <c r="E386">
        <v>30</v>
      </c>
      <c r="F386" t="s">
        <v>51</v>
      </c>
      <c r="I386">
        <v>21</v>
      </c>
      <c r="J386" t="s">
        <v>1362</v>
      </c>
      <c r="K386">
        <v>689</v>
      </c>
      <c r="L386" t="s">
        <v>1</v>
      </c>
      <c r="M386" t="s">
        <v>0</v>
      </c>
      <c r="N386" t="s">
        <v>1266</v>
      </c>
      <c r="O386" t="s">
        <v>1266</v>
      </c>
      <c r="P386" t="s">
        <v>1266</v>
      </c>
      <c r="Q386" t="s">
        <v>1266</v>
      </c>
      <c r="R386" t="s">
        <v>1266</v>
      </c>
    </row>
    <row r="387" spans="1:18" x14ac:dyDescent="0.3">
      <c r="A387" t="s">
        <v>1404</v>
      </c>
      <c r="B387">
        <v>1</v>
      </c>
      <c r="C387" t="s">
        <v>0</v>
      </c>
      <c r="D387" t="s">
        <v>1404</v>
      </c>
      <c r="E387">
        <v>30</v>
      </c>
      <c r="F387" t="s">
        <v>1404</v>
      </c>
      <c r="I387">
        <v>14</v>
      </c>
      <c r="J387" t="s">
        <v>1308</v>
      </c>
      <c r="K387">
        <v>690</v>
      </c>
      <c r="L387" t="s">
        <v>1</v>
      </c>
      <c r="M387" t="s">
        <v>0</v>
      </c>
      <c r="N387" t="s">
        <v>1266</v>
      </c>
      <c r="O387" t="s">
        <v>1266</v>
      </c>
      <c r="P387" t="s">
        <v>1266</v>
      </c>
      <c r="Q387" t="s">
        <v>1266</v>
      </c>
      <c r="R387" t="s">
        <v>1266</v>
      </c>
    </row>
    <row r="388" spans="1:18" x14ac:dyDescent="0.3">
      <c r="A388" t="s">
        <v>1408</v>
      </c>
      <c r="B388">
        <v>2</v>
      </c>
      <c r="C388" t="s">
        <v>1</v>
      </c>
      <c r="D388" t="s">
        <v>1408</v>
      </c>
      <c r="E388">
        <v>30</v>
      </c>
      <c r="F388" t="s">
        <v>1408</v>
      </c>
      <c r="I388">
        <v>5</v>
      </c>
      <c r="J388" t="s">
        <v>1308</v>
      </c>
      <c r="K388">
        <v>691</v>
      </c>
      <c r="L388" t="s">
        <v>0</v>
      </c>
      <c r="M388" t="s">
        <v>0</v>
      </c>
      <c r="N388" t="s">
        <v>1266</v>
      </c>
      <c r="O388" t="s">
        <v>1266</v>
      </c>
      <c r="P388" t="s">
        <v>1266</v>
      </c>
      <c r="Q388" t="s">
        <v>1266</v>
      </c>
      <c r="R388" t="s">
        <v>1266</v>
      </c>
    </row>
    <row r="389" spans="1:18" x14ac:dyDescent="0.3">
      <c r="A389" t="s">
        <v>440</v>
      </c>
      <c r="B389">
        <v>3</v>
      </c>
      <c r="C389" t="s">
        <v>1</v>
      </c>
      <c r="D389" t="s">
        <v>440</v>
      </c>
      <c r="E389">
        <v>30</v>
      </c>
      <c r="F389" t="s">
        <v>440</v>
      </c>
      <c r="I389">
        <v>12</v>
      </c>
      <c r="J389" t="s">
        <v>1308</v>
      </c>
      <c r="K389">
        <v>692</v>
      </c>
      <c r="L389" t="s">
        <v>1</v>
      </c>
      <c r="M389" t="s">
        <v>0</v>
      </c>
      <c r="N389" t="s">
        <v>1266</v>
      </c>
      <c r="O389" t="s">
        <v>1266</v>
      </c>
      <c r="P389" t="s">
        <v>1266</v>
      </c>
      <c r="Q389" t="s">
        <v>1266</v>
      </c>
      <c r="R389" t="s">
        <v>1266</v>
      </c>
    </row>
    <row r="390" spans="1:18" x14ac:dyDescent="0.3">
      <c r="A390" t="s">
        <v>429</v>
      </c>
      <c r="B390">
        <v>4</v>
      </c>
      <c r="C390" t="s">
        <v>1</v>
      </c>
      <c r="D390" t="s">
        <v>429</v>
      </c>
      <c r="E390">
        <v>30</v>
      </c>
      <c r="F390" t="s">
        <v>429</v>
      </c>
      <c r="I390">
        <v>12</v>
      </c>
      <c r="J390" t="s">
        <v>1308</v>
      </c>
      <c r="K390">
        <v>693</v>
      </c>
      <c r="L390" t="s">
        <v>1</v>
      </c>
      <c r="M390" t="s">
        <v>0</v>
      </c>
      <c r="N390" t="s">
        <v>1266</v>
      </c>
      <c r="O390" t="s">
        <v>1266</v>
      </c>
      <c r="P390" t="s">
        <v>1266</v>
      </c>
      <c r="Q390" t="s">
        <v>1266</v>
      </c>
      <c r="R390" t="s">
        <v>1266</v>
      </c>
    </row>
    <row r="391" spans="1:18" x14ac:dyDescent="0.3">
      <c r="A391" t="s">
        <v>498</v>
      </c>
      <c r="B391">
        <v>5</v>
      </c>
      <c r="C391" t="s">
        <v>1</v>
      </c>
      <c r="D391" t="s">
        <v>498</v>
      </c>
      <c r="E391">
        <v>30</v>
      </c>
      <c r="F391" t="s">
        <v>498</v>
      </c>
      <c r="I391">
        <v>5</v>
      </c>
      <c r="J391" t="s">
        <v>1308</v>
      </c>
      <c r="K391">
        <v>694</v>
      </c>
      <c r="L391" t="s">
        <v>1</v>
      </c>
      <c r="M391" t="s">
        <v>0</v>
      </c>
      <c r="N391" t="s">
        <v>1266</v>
      </c>
      <c r="O391" t="s">
        <v>1266</v>
      </c>
      <c r="P391" t="s">
        <v>1266</v>
      </c>
      <c r="Q391" t="s">
        <v>1266</v>
      </c>
      <c r="R391" t="s">
        <v>1266</v>
      </c>
    </row>
    <row r="392" spans="1:18" x14ac:dyDescent="0.3">
      <c r="A392" t="s">
        <v>492</v>
      </c>
      <c r="B392">
        <v>6</v>
      </c>
      <c r="C392" t="s">
        <v>1</v>
      </c>
      <c r="D392" t="s">
        <v>492</v>
      </c>
      <c r="E392">
        <v>30</v>
      </c>
      <c r="F392" t="s">
        <v>492</v>
      </c>
      <c r="I392">
        <v>21</v>
      </c>
      <c r="J392" t="s">
        <v>1308</v>
      </c>
      <c r="K392">
        <v>695</v>
      </c>
      <c r="L392" t="s">
        <v>1</v>
      </c>
      <c r="M392" t="s">
        <v>0</v>
      </c>
      <c r="N392" t="s">
        <v>1266</v>
      </c>
      <c r="O392" t="s">
        <v>1266</v>
      </c>
      <c r="P392" t="s">
        <v>1266</v>
      </c>
      <c r="Q392" t="s">
        <v>1266</v>
      </c>
      <c r="R392" t="s">
        <v>1266</v>
      </c>
    </row>
    <row r="393" spans="1:18" x14ac:dyDescent="0.3">
      <c r="A393" t="s">
        <v>1484</v>
      </c>
      <c r="B393">
        <v>1</v>
      </c>
      <c r="C393" t="s">
        <v>1</v>
      </c>
      <c r="D393" t="s">
        <v>1484</v>
      </c>
      <c r="E393">
        <v>30</v>
      </c>
      <c r="F393" t="s">
        <v>1484</v>
      </c>
      <c r="I393">
        <v>5</v>
      </c>
      <c r="J393" t="s">
        <v>1334</v>
      </c>
      <c r="K393">
        <v>696</v>
      </c>
      <c r="L393" t="s">
        <v>0</v>
      </c>
      <c r="M393" t="s">
        <v>0</v>
      </c>
      <c r="N393" t="s">
        <v>1266</v>
      </c>
      <c r="O393" t="s">
        <v>1266</v>
      </c>
      <c r="P393" t="s">
        <v>1266</v>
      </c>
      <c r="Q393" t="s">
        <v>1266</v>
      </c>
      <c r="R393" t="s">
        <v>1266</v>
      </c>
    </row>
    <row r="394" spans="1:18" x14ac:dyDescent="0.3">
      <c r="A394" t="s">
        <v>1408</v>
      </c>
      <c r="B394">
        <v>2</v>
      </c>
      <c r="C394" t="s">
        <v>1</v>
      </c>
      <c r="D394" t="s">
        <v>1408</v>
      </c>
      <c r="E394">
        <v>30</v>
      </c>
      <c r="F394" t="s">
        <v>1408</v>
      </c>
      <c r="I394">
        <v>5</v>
      </c>
      <c r="J394" t="s">
        <v>1334</v>
      </c>
      <c r="K394">
        <v>697</v>
      </c>
      <c r="L394" t="s">
        <v>1</v>
      </c>
      <c r="M394" t="s">
        <v>0</v>
      </c>
      <c r="N394" t="s">
        <v>1266</v>
      </c>
      <c r="O394" t="s">
        <v>1266</v>
      </c>
      <c r="P394" t="s">
        <v>1266</v>
      </c>
      <c r="Q394" t="s">
        <v>1266</v>
      </c>
      <c r="R394" t="s">
        <v>1266</v>
      </c>
    </row>
    <row r="395" spans="1:18" x14ac:dyDescent="0.3">
      <c r="A395" t="s">
        <v>438</v>
      </c>
      <c r="B395">
        <v>3</v>
      </c>
      <c r="C395" t="s">
        <v>1</v>
      </c>
      <c r="D395" t="s">
        <v>438</v>
      </c>
      <c r="E395">
        <v>30</v>
      </c>
      <c r="F395" t="s">
        <v>438</v>
      </c>
      <c r="I395">
        <v>12</v>
      </c>
      <c r="J395" t="s">
        <v>1334</v>
      </c>
      <c r="K395">
        <v>698</v>
      </c>
      <c r="L395" t="s">
        <v>1</v>
      </c>
      <c r="M395" t="s">
        <v>0</v>
      </c>
      <c r="N395" t="s">
        <v>1266</v>
      </c>
      <c r="O395" t="s">
        <v>1266</v>
      </c>
      <c r="P395" t="s">
        <v>1266</v>
      </c>
      <c r="Q395" t="s">
        <v>1266</v>
      </c>
      <c r="R395" t="s">
        <v>1266</v>
      </c>
    </row>
    <row r="396" spans="1:18" x14ac:dyDescent="0.3">
      <c r="A396" t="s">
        <v>440</v>
      </c>
      <c r="B396">
        <v>4</v>
      </c>
      <c r="C396" t="s">
        <v>1</v>
      </c>
      <c r="D396" t="s">
        <v>440</v>
      </c>
      <c r="E396">
        <v>30</v>
      </c>
      <c r="F396" t="s">
        <v>440</v>
      </c>
      <c r="I396">
        <v>12</v>
      </c>
      <c r="J396" t="s">
        <v>1334</v>
      </c>
      <c r="K396">
        <v>699</v>
      </c>
      <c r="L396" t="s">
        <v>1</v>
      </c>
      <c r="M396" t="s">
        <v>0</v>
      </c>
      <c r="N396" t="s">
        <v>1266</v>
      </c>
      <c r="O396" t="s">
        <v>1266</v>
      </c>
      <c r="P396" t="s">
        <v>1266</v>
      </c>
      <c r="Q396" t="s">
        <v>1266</v>
      </c>
      <c r="R396" t="s">
        <v>1266</v>
      </c>
    </row>
    <row r="397" spans="1:18" x14ac:dyDescent="0.3">
      <c r="A397" t="s">
        <v>429</v>
      </c>
      <c r="B397">
        <v>5</v>
      </c>
      <c r="C397" t="s">
        <v>1</v>
      </c>
      <c r="D397" t="s">
        <v>429</v>
      </c>
      <c r="E397">
        <v>30</v>
      </c>
      <c r="F397" t="s">
        <v>429</v>
      </c>
      <c r="I397">
        <v>12</v>
      </c>
      <c r="J397" t="s">
        <v>1334</v>
      </c>
      <c r="K397">
        <v>700</v>
      </c>
      <c r="L397" t="s">
        <v>1</v>
      </c>
      <c r="M397" t="s">
        <v>0</v>
      </c>
      <c r="N397" t="s">
        <v>1266</v>
      </c>
      <c r="O397" t="s">
        <v>1266</v>
      </c>
      <c r="P397" t="s">
        <v>1266</v>
      </c>
      <c r="Q397" t="s">
        <v>1266</v>
      </c>
      <c r="R397" t="s">
        <v>1266</v>
      </c>
    </row>
    <row r="398" spans="1:18" x14ac:dyDescent="0.3">
      <c r="A398" t="s">
        <v>498</v>
      </c>
      <c r="B398">
        <v>6</v>
      </c>
      <c r="C398" t="s">
        <v>1</v>
      </c>
      <c r="D398" t="s">
        <v>498</v>
      </c>
      <c r="E398">
        <v>30</v>
      </c>
      <c r="F398" t="s">
        <v>498</v>
      </c>
      <c r="I398">
        <v>5</v>
      </c>
      <c r="J398" t="s">
        <v>1334</v>
      </c>
      <c r="K398">
        <v>701</v>
      </c>
      <c r="L398" t="s">
        <v>1</v>
      </c>
      <c r="M398" t="s">
        <v>0</v>
      </c>
      <c r="N398" t="s">
        <v>1266</v>
      </c>
      <c r="O398" t="s">
        <v>1266</v>
      </c>
      <c r="P398" t="s">
        <v>1266</v>
      </c>
      <c r="Q398" t="s">
        <v>1266</v>
      </c>
      <c r="R398" t="s">
        <v>1266</v>
      </c>
    </row>
    <row r="399" spans="1:18" x14ac:dyDescent="0.3">
      <c r="A399" t="s">
        <v>492</v>
      </c>
      <c r="B399">
        <v>7</v>
      </c>
      <c r="C399" t="s">
        <v>1</v>
      </c>
      <c r="D399" t="s">
        <v>492</v>
      </c>
      <c r="E399">
        <v>30</v>
      </c>
      <c r="F399" t="s">
        <v>492</v>
      </c>
      <c r="I399">
        <v>21</v>
      </c>
      <c r="J399" t="s">
        <v>1334</v>
      </c>
      <c r="K399">
        <v>702</v>
      </c>
      <c r="L399" t="s">
        <v>1</v>
      </c>
      <c r="M399" t="s">
        <v>0</v>
      </c>
      <c r="N399" t="s">
        <v>1266</v>
      </c>
      <c r="O399" t="s">
        <v>1266</v>
      </c>
      <c r="P399" t="s">
        <v>1266</v>
      </c>
      <c r="Q399" t="s">
        <v>1266</v>
      </c>
      <c r="R399" t="s">
        <v>1266</v>
      </c>
    </row>
    <row r="400" spans="1:18" x14ac:dyDescent="0.3">
      <c r="A400" t="s">
        <v>581</v>
      </c>
      <c r="B400">
        <v>1</v>
      </c>
      <c r="C400" t="s">
        <v>1</v>
      </c>
      <c r="D400" t="s">
        <v>581</v>
      </c>
      <c r="E400">
        <v>30</v>
      </c>
      <c r="F400" t="s">
        <v>581</v>
      </c>
      <c r="I400">
        <v>5</v>
      </c>
      <c r="J400" t="s">
        <v>1320</v>
      </c>
      <c r="K400">
        <v>703</v>
      </c>
      <c r="L400" t="s">
        <v>0</v>
      </c>
      <c r="M400" t="s">
        <v>0</v>
      </c>
      <c r="N400" t="s">
        <v>1266</v>
      </c>
      <c r="O400" t="s">
        <v>1266</v>
      </c>
      <c r="P400" t="s">
        <v>1266</v>
      </c>
      <c r="Q400" t="s">
        <v>1266</v>
      </c>
      <c r="R400" t="s">
        <v>1266</v>
      </c>
    </row>
    <row r="401" spans="1:18" x14ac:dyDescent="0.3">
      <c r="A401" t="s">
        <v>1408</v>
      </c>
      <c r="B401">
        <v>2</v>
      </c>
      <c r="C401" t="s">
        <v>1</v>
      </c>
      <c r="D401" t="s">
        <v>1408</v>
      </c>
      <c r="E401">
        <v>30</v>
      </c>
      <c r="F401" t="s">
        <v>1408</v>
      </c>
      <c r="I401">
        <v>5</v>
      </c>
      <c r="J401" t="s">
        <v>1320</v>
      </c>
      <c r="K401">
        <v>704</v>
      </c>
      <c r="L401" t="s">
        <v>0</v>
      </c>
      <c r="M401" t="s">
        <v>0</v>
      </c>
      <c r="N401" t="s">
        <v>1266</v>
      </c>
      <c r="O401" t="s">
        <v>1266</v>
      </c>
      <c r="P401" t="s">
        <v>1266</v>
      </c>
      <c r="Q401" t="s">
        <v>1266</v>
      </c>
      <c r="R401" t="s">
        <v>1266</v>
      </c>
    </row>
    <row r="402" spans="1:18" x14ac:dyDescent="0.3">
      <c r="A402" t="s">
        <v>438</v>
      </c>
      <c r="B402">
        <v>3</v>
      </c>
      <c r="C402" t="s">
        <v>1</v>
      </c>
      <c r="D402" t="s">
        <v>438</v>
      </c>
      <c r="E402">
        <v>30</v>
      </c>
      <c r="F402" t="s">
        <v>438</v>
      </c>
      <c r="I402">
        <v>12</v>
      </c>
      <c r="J402" t="s">
        <v>1320</v>
      </c>
      <c r="K402">
        <v>705</v>
      </c>
      <c r="L402" t="s">
        <v>1</v>
      </c>
      <c r="M402" t="s">
        <v>0</v>
      </c>
      <c r="N402" t="s">
        <v>1266</v>
      </c>
      <c r="O402" t="s">
        <v>1266</v>
      </c>
      <c r="P402" t="s">
        <v>1266</v>
      </c>
      <c r="Q402" t="s">
        <v>1266</v>
      </c>
      <c r="R402" t="s">
        <v>1266</v>
      </c>
    </row>
    <row r="403" spans="1:18" x14ac:dyDescent="0.3">
      <c r="A403" t="s">
        <v>440</v>
      </c>
      <c r="B403">
        <v>4</v>
      </c>
      <c r="C403" t="s">
        <v>1</v>
      </c>
      <c r="D403" t="s">
        <v>440</v>
      </c>
      <c r="E403">
        <v>30</v>
      </c>
      <c r="F403" t="s">
        <v>440</v>
      </c>
      <c r="I403">
        <v>12</v>
      </c>
      <c r="J403" t="s">
        <v>1320</v>
      </c>
      <c r="K403">
        <v>706</v>
      </c>
      <c r="L403" t="s">
        <v>1</v>
      </c>
      <c r="M403" t="s">
        <v>0</v>
      </c>
      <c r="N403" t="s">
        <v>1266</v>
      </c>
      <c r="O403" t="s">
        <v>1266</v>
      </c>
      <c r="P403" t="s">
        <v>1266</v>
      </c>
      <c r="Q403" t="s">
        <v>1266</v>
      </c>
      <c r="R403" t="s">
        <v>1266</v>
      </c>
    </row>
    <row r="404" spans="1:18" x14ac:dyDescent="0.3">
      <c r="A404" t="s">
        <v>429</v>
      </c>
      <c r="B404">
        <v>5</v>
      </c>
      <c r="C404" t="s">
        <v>1</v>
      </c>
      <c r="D404" t="s">
        <v>429</v>
      </c>
      <c r="E404">
        <v>30</v>
      </c>
      <c r="F404" t="s">
        <v>429</v>
      </c>
      <c r="I404">
        <v>12</v>
      </c>
      <c r="J404" t="s">
        <v>1320</v>
      </c>
      <c r="K404">
        <v>707</v>
      </c>
      <c r="L404" t="s">
        <v>1</v>
      </c>
      <c r="M404" t="s">
        <v>0</v>
      </c>
      <c r="N404" t="s">
        <v>1266</v>
      </c>
      <c r="O404" t="s">
        <v>1266</v>
      </c>
      <c r="P404" t="s">
        <v>1266</v>
      </c>
      <c r="Q404" t="s">
        <v>1266</v>
      </c>
      <c r="R404" t="s">
        <v>1266</v>
      </c>
    </row>
    <row r="405" spans="1:18" x14ac:dyDescent="0.3">
      <c r="A405" t="s">
        <v>498</v>
      </c>
      <c r="B405">
        <v>6</v>
      </c>
      <c r="C405" t="s">
        <v>1</v>
      </c>
      <c r="D405" t="s">
        <v>498</v>
      </c>
      <c r="E405">
        <v>30</v>
      </c>
      <c r="F405" t="s">
        <v>498</v>
      </c>
      <c r="I405">
        <v>5</v>
      </c>
      <c r="J405" t="s">
        <v>1320</v>
      </c>
      <c r="K405">
        <v>708</v>
      </c>
      <c r="L405" t="s">
        <v>1</v>
      </c>
      <c r="M405" t="s">
        <v>0</v>
      </c>
      <c r="N405" t="s">
        <v>1266</v>
      </c>
      <c r="O405" t="s">
        <v>1266</v>
      </c>
      <c r="P405" t="s">
        <v>1266</v>
      </c>
      <c r="Q405" t="s">
        <v>1266</v>
      </c>
      <c r="R405" t="s">
        <v>1266</v>
      </c>
    </row>
    <row r="406" spans="1:18" x14ac:dyDescent="0.3">
      <c r="A406" t="s">
        <v>492</v>
      </c>
      <c r="B406">
        <v>7</v>
      </c>
      <c r="C406" t="s">
        <v>1</v>
      </c>
      <c r="D406" t="s">
        <v>492</v>
      </c>
      <c r="E406">
        <v>30</v>
      </c>
      <c r="F406" t="s">
        <v>492</v>
      </c>
      <c r="I406">
        <v>21</v>
      </c>
      <c r="J406" t="s">
        <v>1320</v>
      </c>
      <c r="K406">
        <v>709</v>
      </c>
      <c r="L406" t="s">
        <v>1</v>
      </c>
      <c r="M406" t="s">
        <v>0</v>
      </c>
      <c r="N406" t="s">
        <v>1266</v>
      </c>
      <c r="O406" t="s">
        <v>1266</v>
      </c>
      <c r="P406" t="s">
        <v>1266</v>
      </c>
      <c r="Q406" t="s">
        <v>1266</v>
      </c>
      <c r="R406" t="s">
        <v>1266</v>
      </c>
    </row>
    <row r="407" spans="1:18" x14ac:dyDescent="0.3">
      <c r="A407" t="s">
        <v>1597</v>
      </c>
      <c r="B407">
        <v>1</v>
      </c>
      <c r="C407" t="s">
        <v>0</v>
      </c>
      <c r="D407" t="s">
        <v>1597</v>
      </c>
      <c r="E407">
        <v>30</v>
      </c>
      <c r="F407" t="s">
        <v>1597</v>
      </c>
      <c r="I407">
        <v>6</v>
      </c>
      <c r="J407" t="s">
        <v>1345</v>
      </c>
      <c r="K407" t="s">
        <v>1612</v>
      </c>
      <c r="L407" t="s">
        <v>1</v>
      </c>
      <c r="M407" t="s">
        <v>0</v>
      </c>
      <c r="N407" t="s">
        <v>1266</v>
      </c>
      <c r="O407" t="s">
        <v>1266</v>
      </c>
      <c r="P407" t="s">
        <v>1266</v>
      </c>
      <c r="Q407" t="s">
        <v>1266</v>
      </c>
      <c r="R407" t="s">
        <v>1266</v>
      </c>
    </row>
    <row r="408" spans="1:18" x14ac:dyDescent="0.3">
      <c r="A408" t="s">
        <v>1420</v>
      </c>
      <c r="B408">
        <v>2</v>
      </c>
      <c r="C408" t="s">
        <v>1</v>
      </c>
      <c r="D408" t="s">
        <v>1420</v>
      </c>
      <c r="E408">
        <v>30</v>
      </c>
      <c r="F408" t="s">
        <v>1420</v>
      </c>
      <c r="I408">
        <v>5</v>
      </c>
      <c r="J408" t="s">
        <v>1345</v>
      </c>
      <c r="K408">
        <v>121</v>
      </c>
      <c r="L408" t="s">
        <v>0</v>
      </c>
      <c r="M408" t="s">
        <v>0</v>
      </c>
      <c r="N408" t="s">
        <v>1266</v>
      </c>
      <c r="O408" t="s">
        <v>1266</v>
      </c>
      <c r="P408" t="s">
        <v>1266</v>
      </c>
      <c r="Q408" t="s">
        <v>1266</v>
      </c>
      <c r="R408" t="s">
        <v>1266</v>
      </c>
    </row>
    <row r="409" spans="1:18" x14ac:dyDescent="0.3">
      <c r="A409" t="s">
        <v>1584</v>
      </c>
      <c r="B409">
        <v>3</v>
      </c>
      <c r="C409" t="s">
        <v>0</v>
      </c>
      <c r="D409" t="s">
        <v>1584</v>
      </c>
      <c r="E409">
        <v>30</v>
      </c>
      <c r="F409" t="s">
        <v>1584</v>
      </c>
      <c r="I409">
        <v>1</v>
      </c>
      <c r="J409" t="s">
        <v>1345</v>
      </c>
      <c r="K409">
        <v>122</v>
      </c>
      <c r="L409" t="s">
        <v>1</v>
      </c>
      <c r="M409" t="s">
        <v>0</v>
      </c>
      <c r="N409" t="s">
        <v>1266</v>
      </c>
      <c r="O409" t="s">
        <v>1266</v>
      </c>
      <c r="P409" t="s">
        <v>1266</v>
      </c>
      <c r="Q409" t="s">
        <v>1266</v>
      </c>
      <c r="R409" t="s">
        <v>1266</v>
      </c>
    </row>
    <row r="410" spans="1:18" x14ac:dyDescent="0.3">
      <c r="A410" t="s">
        <v>1481</v>
      </c>
      <c r="B410">
        <v>4</v>
      </c>
      <c r="C410" t="s">
        <v>0</v>
      </c>
      <c r="D410" t="s">
        <v>1481</v>
      </c>
      <c r="E410">
        <v>30</v>
      </c>
      <c r="F410" t="s">
        <v>1481</v>
      </c>
      <c r="I410">
        <v>1</v>
      </c>
      <c r="J410" t="s">
        <v>1345</v>
      </c>
      <c r="K410">
        <v>123</v>
      </c>
      <c r="L410" t="s">
        <v>1</v>
      </c>
      <c r="M410" t="s">
        <v>0</v>
      </c>
      <c r="N410" t="s">
        <v>1266</v>
      </c>
      <c r="O410" t="s">
        <v>1266</v>
      </c>
      <c r="P410" t="s">
        <v>1266</v>
      </c>
      <c r="Q410" t="s">
        <v>1266</v>
      </c>
      <c r="R410" t="s">
        <v>1266</v>
      </c>
    </row>
    <row r="411" spans="1:18" x14ac:dyDescent="0.3">
      <c r="A411" t="s">
        <v>452</v>
      </c>
      <c r="B411">
        <v>5</v>
      </c>
      <c r="C411" t="s">
        <v>0</v>
      </c>
      <c r="D411" t="s">
        <v>452</v>
      </c>
      <c r="E411">
        <v>30</v>
      </c>
      <c r="F411" t="s">
        <v>452</v>
      </c>
      <c r="I411">
        <v>6</v>
      </c>
      <c r="J411" t="s">
        <v>1345</v>
      </c>
      <c r="K411">
        <v>124</v>
      </c>
      <c r="L411" t="s">
        <v>1</v>
      </c>
      <c r="M411" t="s">
        <v>0</v>
      </c>
      <c r="N411" t="s">
        <v>1266</v>
      </c>
      <c r="O411" t="s">
        <v>1266</v>
      </c>
      <c r="P411" t="s">
        <v>1266</v>
      </c>
      <c r="Q411" t="s">
        <v>1266</v>
      </c>
      <c r="R411" t="s">
        <v>1266</v>
      </c>
    </row>
    <row r="412" spans="1:18" x14ac:dyDescent="0.3">
      <c r="A412" t="s">
        <v>52</v>
      </c>
      <c r="B412">
        <v>6</v>
      </c>
      <c r="C412" t="s">
        <v>1</v>
      </c>
      <c r="D412" t="s">
        <v>52</v>
      </c>
      <c r="E412">
        <v>30</v>
      </c>
      <c r="F412" t="s">
        <v>52</v>
      </c>
      <c r="I412">
        <v>21</v>
      </c>
      <c r="J412" t="s">
        <v>1345</v>
      </c>
      <c r="K412">
        <v>125</v>
      </c>
      <c r="L412" t="s">
        <v>1</v>
      </c>
      <c r="M412" t="s">
        <v>0</v>
      </c>
      <c r="N412" t="s">
        <v>1266</v>
      </c>
      <c r="O412" t="s">
        <v>1266</v>
      </c>
      <c r="P412" t="s">
        <v>1266</v>
      </c>
      <c r="Q412" t="s">
        <v>1266</v>
      </c>
      <c r="R412" t="s">
        <v>1266</v>
      </c>
    </row>
    <row r="413" spans="1:18" x14ac:dyDescent="0.3">
      <c r="A413" t="s">
        <v>51</v>
      </c>
      <c r="B413">
        <v>7</v>
      </c>
      <c r="C413" t="s">
        <v>1</v>
      </c>
      <c r="D413" t="s">
        <v>51</v>
      </c>
      <c r="E413">
        <v>30</v>
      </c>
      <c r="F413" t="s">
        <v>51</v>
      </c>
      <c r="I413">
        <v>21</v>
      </c>
      <c r="J413" t="s">
        <v>1345</v>
      </c>
      <c r="K413">
        <v>126</v>
      </c>
      <c r="L413" t="s">
        <v>1</v>
      </c>
      <c r="M413" t="s">
        <v>0</v>
      </c>
      <c r="N413" t="s">
        <v>1266</v>
      </c>
      <c r="O413" t="s">
        <v>1266</v>
      </c>
      <c r="P413" t="s">
        <v>1266</v>
      </c>
      <c r="Q413" t="s">
        <v>1266</v>
      </c>
      <c r="R413" t="s">
        <v>1266</v>
      </c>
    </row>
    <row r="414" spans="1:18" x14ac:dyDescent="0.3">
      <c r="A414" t="s">
        <v>1533</v>
      </c>
      <c r="B414">
        <v>1</v>
      </c>
      <c r="C414" t="s">
        <v>1</v>
      </c>
      <c r="D414" t="s">
        <v>1533</v>
      </c>
      <c r="E414">
        <v>30</v>
      </c>
      <c r="F414" t="s">
        <v>1533</v>
      </c>
      <c r="I414">
        <v>6</v>
      </c>
      <c r="J414" t="s">
        <v>396</v>
      </c>
      <c r="K414">
        <v>127</v>
      </c>
      <c r="L414" t="s">
        <v>1</v>
      </c>
      <c r="M414" t="s">
        <v>0</v>
      </c>
      <c r="N414" t="s">
        <v>1266</v>
      </c>
      <c r="O414" t="s">
        <v>1266</v>
      </c>
      <c r="P414" t="s">
        <v>1266</v>
      </c>
      <c r="Q414" t="s">
        <v>1266</v>
      </c>
      <c r="R414" t="s">
        <v>1266</v>
      </c>
    </row>
    <row r="415" spans="1:18" x14ac:dyDescent="0.3">
      <c r="A415" t="s">
        <v>1398</v>
      </c>
      <c r="B415">
        <v>2</v>
      </c>
      <c r="C415" t="s">
        <v>0</v>
      </c>
      <c r="D415" t="s">
        <v>1398</v>
      </c>
      <c r="E415">
        <v>30</v>
      </c>
      <c r="F415" t="s">
        <v>1398</v>
      </c>
      <c r="I415">
        <v>1</v>
      </c>
      <c r="J415" t="s">
        <v>396</v>
      </c>
      <c r="K415">
        <v>128</v>
      </c>
      <c r="L415" t="s">
        <v>1</v>
      </c>
      <c r="M415" t="s">
        <v>0</v>
      </c>
      <c r="N415" t="s">
        <v>1266</v>
      </c>
      <c r="O415" t="s">
        <v>1266</v>
      </c>
      <c r="P415" t="s">
        <v>1266</v>
      </c>
      <c r="Q415" t="s">
        <v>1266</v>
      </c>
      <c r="R415" t="s">
        <v>1266</v>
      </c>
    </row>
    <row r="416" spans="1:18" x14ac:dyDescent="0.3">
      <c r="A416" t="s">
        <v>855</v>
      </c>
      <c r="B416">
        <v>3</v>
      </c>
      <c r="C416" t="s">
        <v>1</v>
      </c>
      <c r="D416" t="s">
        <v>855</v>
      </c>
      <c r="E416">
        <v>30</v>
      </c>
      <c r="F416" t="s">
        <v>686</v>
      </c>
      <c r="I416">
        <v>5</v>
      </c>
      <c r="J416" t="s">
        <v>396</v>
      </c>
      <c r="K416">
        <v>129</v>
      </c>
      <c r="L416" t="s">
        <v>0</v>
      </c>
      <c r="M416" t="s">
        <v>0</v>
      </c>
      <c r="N416" t="s">
        <v>1266</v>
      </c>
      <c r="O416" t="s">
        <v>1266</v>
      </c>
      <c r="P416" t="s">
        <v>1266</v>
      </c>
      <c r="Q416" t="s">
        <v>1266</v>
      </c>
      <c r="R416" t="s">
        <v>1266</v>
      </c>
    </row>
    <row r="417" spans="1:18" x14ac:dyDescent="0.3">
      <c r="A417" t="s">
        <v>1385</v>
      </c>
      <c r="B417">
        <v>4</v>
      </c>
      <c r="C417" t="s">
        <v>1</v>
      </c>
      <c r="D417" t="s">
        <v>1385</v>
      </c>
      <c r="E417">
        <v>30</v>
      </c>
      <c r="F417" t="s">
        <v>1385</v>
      </c>
      <c r="I417">
        <v>1</v>
      </c>
      <c r="J417" t="s">
        <v>396</v>
      </c>
      <c r="K417">
        <v>130</v>
      </c>
      <c r="L417" t="s">
        <v>1</v>
      </c>
      <c r="M417" t="s">
        <v>0</v>
      </c>
      <c r="N417" t="s">
        <v>1266</v>
      </c>
      <c r="O417" t="s">
        <v>1266</v>
      </c>
      <c r="P417" t="s">
        <v>1266</v>
      </c>
      <c r="Q417" t="s">
        <v>1266</v>
      </c>
      <c r="R417" t="s">
        <v>1266</v>
      </c>
    </row>
    <row r="418" spans="1:18" x14ac:dyDescent="0.3">
      <c r="A418" t="s">
        <v>426</v>
      </c>
      <c r="B418">
        <v>5</v>
      </c>
      <c r="C418" t="s">
        <v>1</v>
      </c>
      <c r="D418" t="s">
        <v>426</v>
      </c>
      <c r="E418">
        <v>30</v>
      </c>
      <c r="F418" t="s">
        <v>52</v>
      </c>
      <c r="I418">
        <v>21</v>
      </c>
      <c r="J418" t="s">
        <v>396</v>
      </c>
      <c r="K418">
        <v>131</v>
      </c>
      <c r="L418" t="s">
        <v>1</v>
      </c>
      <c r="M418" t="s">
        <v>0</v>
      </c>
      <c r="N418" t="s">
        <v>1266</v>
      </c>
      <c r="O418" t="s">
        <v>1266</v>
      </c>
      <c r="P418" t="s">
        <v>1266</v>
      </c>
      <c r="Q418" t="s">
        <v>1266</v>
      </c>
      <c r="R418" t="s">
        <v>1266</v>
      </c>
    </row>
    <row r="419" spans="1:18" x14ac:dyDescent="0.3">
      <c r="A419" t="s">
        <v>432</v>
      </c>
      <c r="B419">
        <v>6</v>
      </c>
      <c r="C419" t="s">
        <v>1</v>
      </c>
      <c r="D419" t="s">
        <v>432</v>
      </c>
      <c r="E419">
        <v>30</v>
      </c>
      <c r="F419" t="s">
        <v>51</v>
      </c>
      <c r="I419">
        <v>21</v>
      </c>
      <c r="J419" t="s">
        <v>396</v>
      </c>
      <c r="K419">
        <v>132</v>
      </c>
      <c r="L419" t="s">
        <v>1</v>
      </c>
      <c r="M419" t="s">
        <v>0</v>
      </c>
      <c r="N419" t="s">
        <v>1266</v>
      </c>
      <c r="O419" t="s">
        <v>1266</v>
      </c>
      <c r="P419" t="s">
        <v>1266</v>
      </c>
      <c r="Q419" t="s">
        <v>1266</v>
      </c>
      <c r="R419" t="s">
        <v>1266</v>
      </c>
    </row>
    <row r="420" spans="1:18" x14ac:dyDescent="0.3">
      <c r="A420" t="s">
        <v>453</v>
      </c>
      <c r="B420">
        <v>1</v>
      </c>
      <c r="C420" t="s">
        <v>0</v>
      </c>
      <c r="D420" t="s">
        <v>453</v>
      </c>
      <c r="E420">
        <v>30</v>
      </c>
      <c r="F420" t="s">
        <v>561</v>
      </c>
      <c r="I420">
        <v>6</v>
      </c>
      <c r="J420" t="s">
        <v>418</v>
      </c>
      <c r="K420">
        <v>710</v>
      </c>
      <c r="L420" t="s">
        <v>1</v>
      </c>
      <c r="M420" t="s">
        <v>0</v>
      </c>
      <c r="N420" t="s">
        <v>1266</v>
      </c>
      <c r="O420" t="s">
        <v>1266</v>
      </c>
      <c r="P420" t="s">
        <v>1266</v>
      </c>
      <c r="Q420" t="s">
        <v>1266</v>
      </c>
      <c r="R420" t="s">
        <v>1266</v>
      </c>
    </row>
    <row r="421" spans="1:18" x14ac:dyDescent="0.3">
      <c r="A421" t="s">
        <v>558</v>
      </c>
      <c r="B421">
        <v>2</v>
      </c>
      <c r="C421" t="s">
        <v>1</v>
      </c>
      <c r="D421" t="s">
        <v>558</v>
      </c>
      <c r="E421">
        <v>30</v>
      </c>
      <c r="F421" t="s">
        <v>557</v>
      </c>
      <c r="I421">
        <v>6</v>
      </c>
      <c r="J421" t="s">
        <v>418</v>
      </c>
      <c r="K421">
        <v>711</v>
      </c>
      <c r="L421" t="s">
        <v>1</v>
      </c>
      <c r="M421" t="s">
        <v>0</v>
      </c>
      <c r="N421" t="s">
        <v>1266</v>
      </c>
      <c r="O421" t="s">
        <v>1266</v>
      </c>
      <c r="P421" t="s">
        <v>1266</v>
      </c>
      <c r="Q421" t="s">
        <v>1266</v>
      </c>
      <c r="R421" t="s">
        <v>1266</v>
      </c>
    </row>
    <row r="422" spans="1:18" x14ac:dyDescent="0.3">
      <c r="A422" t="s">
        <v>560</v>
      </c>
      <c r="B422">
        <v>3</v>
      </c>
      <c r="C422" t="s">
        <v>0</v>
      </c>
      <c r="D422" t="s">
        <v>560</v>
      </c>
      <c r="E422">
        <v>30</v>
      </c>
      <c r="F422" t="s">
        <v>559</v>
      </c>
      <c r="I422">
        <v>1</v>
      </c>
      <c r="J422" t="s">
        <v>418</v>
      </c>
      <c r="K422">
        <v>712</v>
      </c>
      <c r="L422" t="s">
        <v>1</v>
      </c>
      <c r="M422" t="s">
        <v>0</v>
      </c>
      <c r="N422" t="s">
        <v>1266</v>
      </c>
      <c r="O422" t="s">
        <v>1266</v>
      </c>
      <c r="P422" t="s">
        <v>1266</v>
      </c>
      <c r="Q422" t="s">
        <v>1266</v>
      </c>
      <c r="R422" t="s">
        <v>1266</v>
      </c>
    </row>
    <row r="423" spans="1:18" x14ac:dyDescent="0.3">
      <c r="A423" t="s">
        <v>869</v>
      </c>
      <c r="B423">
        <v>4</v>
      </c>
      <c r="C423" t="s">
        <v>1</v>
      </c>
      <c r="D423" t="s">
        <v>869</v>
      </c>
      <c r="E423">
        <v>30</v>
      </c>
      <c r="F423" t="s">
        <v>869</v>
      </c>
      <c r="I423">
        <v>5</v>
      </c>
      <c r="J423" t="s">
        <v>418</v>
      </c>
      <c r="K423">
        <v>713</v>
      </c>
      <c r="L423" t="s">
        <v>0</v>
      </c>
      <c r="M423" t="s">
        <v>0</v>
      </c>
      <c r="N423" t="s">
        <v>1266</v>
      </c>
      <c r="O423" t="s">
        <v>1266</v>
      </c>
      <c r="P423" t="s">
        <v>1266</v>
      </c>
      <c r="Q423" t="s">
        <v>1266</v>
      </c>
      <c r="R423" t="s">
        <v>1266</v>
      </c>
    </row>
    <row r="424" spans="1:18" x14ac:dyDescent="0.3">
      <c r="A424" t="s">
        <v>563</v>
      </c>
      <c r="B424">
        <v>5</v>
      </c>
      <c r="C424" t="s">
        <v>0</v>
      </c>
      <c r="D424" t="s">
        <v>563</v>
      </c>
      <c r="E424">
        <v>30</v>
      </c>
      <c r="F424" t="s">
        <v>562</v>
      </c>
      <c r="I424">
        <v>6</v>
      </c>
      <c r="J424" t="s">
        <v>418</v>
      </c>
      <c r="K424">
        <v>714</v>
      </c>
      <c r="L424" t="s">
        <v>1</v>
      </c>
      <c r="M424" t="s">
        <v>0</v>
      </c>
      <c r="N424" t="s">
        <v>1266</v>
      </c>
      <c r="O424" t="s">
        <v>1266</v>
      </c>
      <c r="P424" t="s">
        <v>1266</v>
      </c>
      <c r="Q424" t="s">
        <v>1266</v>
      </c>
      <c r="R424" t="s">
        <v>1266</v>
      </c>
    </row>
    <row r="425" spans="1:18" x14ac:dyDescent="0.3">
      <c r="A425" t="s">
        <v>1607</v>
      </c>
      <c r="B425">
        <v>6</v>
      </c>
      <c r="C425" t="s">
        <v>0</v>
      </c>
      <c r="D425" t="s">
        <v>1607</v>
      </c>
      <c r="E425">
        <v>30</v>
      </c>
      <c r="F425" t="s">
        <v>1607</v>
      </c>
      <c r="I425">
        <v>1</v>
      </c>
      <c r="J425" t="s">
        <v>418</v>
      </c>
      <c r="K425">
        <v>715</v>
      </c>
      <c r="L425" t="s">
        <v>1</v>
      </c>
      <c r="M425" t="s">
        <v>0</v>
      </c>
      <c r="N425" t="s">
        <v>1266</v>
      </c>
      <c r="O425" t="s">
        <v>1266</v>
      </c>
      <c r="P425" t="s">
        <v>1266</v>
      </c>
      <c r="Q425" t="s">
        <v>1266</v>
      </c>
      <c r="R425" t="s">
        <v>1266</v>
      </c>
    </row>
    <row r="426" spans="1:18" x14ac:dyDescent="0.3">
      <c r="A426" t="s">
        <v>1504</v>
      </c>
      <c r="B426">
        <v>7</v>
      </c>
      <c r="C426" t="s">
        <v>0</v>
      </c>
      <c r="D426" t="s">
        <v>1504</v>
      </c>
      <c r="E426">
        <v>30</v>
      </c>
      <c r="F426" t="s">
        <v>1504</v>
      </c>
      <c r="I426">
        <v>3</v>
      </c>
      <c r="J426" t="s">
        <v>418</v>
      </c>
      <c r="K426">
        <v>716</v>
      </c>
      <c r="L426" t="s">
        <v>1</v>
      </c>
      <c r="M426" t="s">
        <v>0</v>
      </c>
      <c r="N426" t="s">
        <v>1266</v>
      </c>
      <c r="O426" t="s">
        <v>1266</v>
      </c>
      <c r="P426" t="s">
        <v>1266</v>
      </c>
      <c r="Q426" t="s">
        <v>1266</v>
      </c>
      <c r="R426" t="s">
        <v>1266</v>
      </c>
    </row>
    <row r="427" spans="1:18" x14ac:dyDescent="0.3">
      <c r="A427" t="s">
        <v>1662</v>
      </c>
      <c r="B427">
        <v>8</v>
      </c>
      <c r="C427" t="s">
        <v>0</v>
      </c>
      <c r="D427" t="s">
        <v>565</v>
      </c>
      <c r="E427">
        <v>30</v>
      </c>
      <c r="F427" t="s">
        <v>564</v>
      </c>
      <c r="I427">
        <v>19</v>
      </c>
      <c r="J427" t="s">
        <v>418</v>
      </c>
      <c r="K427">
        <v>717</v>
      </c>
      <c r="L427" t="s">
        <v>1</v>
      </c>
      <c r="M427" t="s">
        <v>0</v>
      </c>
      <c r="N427" t="s">
        <v>1266</v>
      </c>
      <c r="O427" t="s">
        <v>1266</v>
      </c>
      <c r="P427" t="s">
        <v>1266</v>
      </c>
      <c r="Q427" t="s">
        <v>1266</v>
      </c>
      <c r="R427" t="s">
        <v>1266</v>
      </c>
    </row>
    <row r="428" spans="1:18" x14ac:dyDescent="0.3">
      <c r="A428" t="s">
        <v>52</v>
      </c>
      <c r="B428">
        <v>9</v>
      </c>
      <c r="C428" t="s">
        <v>1</v>
      </c>
      <c r="E428">
        <v>30</v>
      </c>
      <c r="F428" t="s">
        <v>52</v>
      </c>
      <c r="I428">
        <v>21</v>
      </c>
      <c r="J428" t="s">
        <v>418</v>
      </c>
      <c r="K428">
        <v>718</v>
      </c>
      <c r="L428" t="s">
        <v>1</v>
      </c>
      <c r="M428" t="s">
        <v>0</v>
      </c>
      <c r="N428" t="s">
        <v>1266</v>
      </c>
      <c r="O428" t="s">
        <v>1266</v>
      </c>
      <c r="P428" t="s">
        <v>1266</v>
      </c>
      <c r="Q428" t="s">
        <v>1266</v>
      </c>
      <c r="R428" t="s">
        <v>1266</v>
      </c>
    </row>
    <row r="429" spans="1:18" x14ac:dyDescent="0.3">
      <c r="A429" t="s">
        <v>51</v>
      </c>
      <c r="B429">
        <v>10</v>
      </c>
      <c r="C429" t="s">
        <v>1</v>
      </c>
      <c r="E429">
        <v>30</v>
      </c>
      <c r="F429" t="s">
        <v>51</v>
      </c>
      <c r="I429">
        <v>21</v>
      </c>
      <c r="J429" t="s">
        <v>418</v>
      </c>
      <c r="K429">
        <v>719</v>
      </c>
      <c r="L429" t="s">
        <v>1</v>
      </c>
      <c r="M429" t="s">
        <v>0</v>
      </c>
      <c r="N429" t="s">
        <v>1266</v>
      </c>
      <c r="O429" t="s">
        <v>1266</v>
      </c>
      <c r="P429" t="s">
        <v>1266</v>
      </c>
      <c r="Q429" t="s">
        <v>1266</v>
      </c>
      <c r="R429" t="s">
        <v>1266</v>
      </c>
    </row>
    <row r="430" spans="1:18" x14ac:dyDescent="0.3">
      <c r="A430" t="s">
        <v>578</v>
      </c>
      <c r="B430">
        <v>1</v>
      </c>
      <c r="C430" t="s">
        <v>1</v>
      </c>
      <c r="E430">
        <v>30</v>
      </c>
      <c r="F430" t="s">
        <v>578</v>
      </c>
      <c r="I430">
        <v>6</v>
      </c>
      <c r="J430" t="s">
        <v>409</v>
      </c>
      <c r="K430">
        <v>720</v>
      </c>
      <c r="L430" t="s">
        <v>1</v>
      </c>
      <c r="M430" t="s">
        <v>0</v>
      </c>
      <c r="N430" t="s">
        <v>1266</v>
      </c>
      <c r="O430" t="s">
        <v>1266</v>
      </c>
      <c r="P430" t="s">
        <v>1266</v>
      </c>
      <c r="Q430" t="s">
        <v>1266</v>
      </c>
      <c r="R430" t="s">
        <v>1266</v>
      </c>
    </row>
    <row r="431" spans="1:18" x14ac:dyDescent="0.3">
      <c r="A431" t="s">
        <v>580</v>
      </c>
      <c r="B431">
        <v>2</v>
      </c>
      <c r="C431" t="s">
        <v>1</v>
      </c>
      <c r="D431" t="s">
        <v>580</v>
      </c>
      <c r="E431">
        <v>30</v>
      </c>
      <c r="F431" t="s">
        <v>579</v>
      </c>
      <c r="I431">
        <v>5</v>
      </c>
      <c r="J431" t="s">
        <v>409</v>
      </c>
      <c r="K431">
        <v>721</v>
      </c>
      <c r="L431" t="s">
        <v>0</v>
      </c>
      <c r="M431" t="s">
        <v>0</v>
      </c>
      <c r="N431" t="s">
        <v>1266</v>
      </c>
      <c r="O431" t="s">
        <v>1266</v>
      </c>
      <c r="P431" t="s">
        <v>1266</v>
      </c>
      <c r="Q431" t="s">
        <v>1266</v>
      </c>
      <c r="R431" t="s">
        <v>1266</v>
      </c>
    </row>
    <row r="432" spans="1:18" x14ac:dyDescent="0.3">
      <c r="A432" t="s">
        <v>426</v>
      </c>
      <c r="B432">
        <v>3</v>
      </c>
      <c r="C432" t="s">
        <v>1</v>
      </c>
      <c r="D432" t="s">
        <v>426</v>
      </c>
      <c r="E432">
        <v>30</v>
      </c>
      <c r="F432" t="s">
        <v>52</v>
      </c>
      <c r="I432">
        <v>21</v>
      </c>
      <c r="J432" t="s">
        <v>409</v>
      </c>
      <c r="K432">
        <v>722</v>
      </c>
      <c r="L432" t="s">
        <v>1</v>
      </c>
      <c r="M432" t="s">
        <v>0</v>
      </c>
      <c r="N432" t="s">
        <v>1266</v>
      </c>
      <c r="O432" t="s">
        <v>1266</v>
      </c>
      <c r="P432" t="s">
        <v>1266</v>
      </c>
      <c r="Q432" t="s">
        <v>1266</v>
      </c>
      <c r="R432" t="s">
        <v>1266</v>
      </c>
    </row>
    <row r="433" spans="1:18" x14ac:dyDescent="0.3">
      <c r="A433" t="s">
        <v>432</v>
      </c>
      <c r="B433">
        <v>4</v>
      </c>
      <c r="C433" t="s">
        <v>1</v>
      </c>
      <c r="D433" t="s">
        <v>432</v>
      </c>
      <c r="E433">
        <v>30</v>
      </c>
      <c r="F433" t="s">
        <v>51</v>
      </c>
      <c r="I433">
        <v>21</v>
      </c>
      <c r="J433" t="s">
        <v>409</v>
      </c>
      <c r="K433">
        <v>723</v>
      </c>
      <c r="L433" t="s">
        <v>1</v>
      </c>
      <c r="M433" t="s">
        <v>0</v>
      </c>
      <c r="N433" t="s">
        <v>1266</v>
      </c>
      <c r="O433" t="s">
        <v>1266</v>
      </c>
      <c r="P433" t="s">
        <v>1266</v>
      </c>
      <c r="Q433" t="s">
        <v>1266</v>
      </c>
      <c r="R433" t="s">
        <v>1266</v>
      </c>
    </row>
    <row r="434" spans="1:18" x14ac:dyDescent="0.3">
      <c r="A434" t="s">
        <v>956</v>
      </c>
      <c r="B434">
        <v>1</v>
      </c>
      <c r="C434" t="s">
        <v>1</v>
      </c>
      <c r="D434" t="s">
        <v>956</v>
      </c>
      <c r="E434">
        <v>30</v>
      </c>
      <c r="F434" t="s">
        <v>718</v>
      </c>
      <c r="I434">
        <v>5</v>
      </c>
      <c r="J434" t="s">
        <v>413</v>
      </c>
      <c r="K434">
        <v>724</v>
      </c>
      <c r="L434" t="s">
        <v>0</v>
      </c>
      <c r="M434" t="s">
        <v>0</v>
      </c>
      <c r="N434" t="s">
        <v>1266</v>
      </c>
      <c r="O434" t="s">
        <v>1266</v>
      </c>
      <c r="P434" t="s">
        <v>1266</v>
      </c>
      <c r="Q434" t="s">
        <v>1266</v>
      </c>
      <c r="R434" t="s">
        <v>1266</v>
      </c>
    </row>
    <row r="435" spans="1:18" x14ac:dyDescent="0.3">
      <c r="A435" t="s">
        <v>958</v>
      </c>
      <c r="B435">
        <v>2</v>
      </c>
      <c r="C435" t="s">
        <v>0</v>
      </c>
      <c r="D435" t="s">
        <v>958</v>
      </c>
      <c r="E435">
        <v>30</v>
      </c>
      <c r="F435" t="s">
        <v>957</v>
      </c>
      <c r="I435">
        <v>1</v>
      </c>
      <c r="J435" t="s">
        <v>413</v>
      </c>
      <c r="K435">
        <v>725</v>
      </c>
      <c r="L435" t="s">
        <v>1</v>
      </c>
      <c r="M435" t="s">
        <v>0</v>
      </c>
      <c r="N435" t="s">
        <v>1266</v>
      </c>
      <c r="O435" t="s">
        <v>1266</v>
      </c>
      <c r="P435" t="s">
        <v>1266</v>
      </c>
      <c r="Q435" t="s">
        <v>1266</v>
      </c>
      <c r="R435" t="s">
        <v>1266</v>
      </c>
    </row>
    <row r="436" spans="1:18" x14ac:dyDescent="0.3">
      <c r="A436" t="s">
        <v>819</v>
      </c>
      <c r="B436">
        <v>3</v>
      </c>
      <c r="C436" t="s">
        <v>1</v>
      </c>
      <c r="D436" t="s">
        <v>819</v>
      </c>
      <c r="E436">
        <v>30</v>
      </c>
      <c r="F436" t="s">
        <v>475</v>
      </c>
      <c r="I436">
        <v>5</v>
      </c>
      <c r="J436" t="s">
        <v>413</v>
      </c>
      <c r="K436">
        <v>726</v>
      </c>
      <c r="L436" t="s">
        <v>1</v>
      </c>
      <c r="M436" t="s">
        <v>0</v>
      </c>
      <c r="N436" t="s">
        <v>1266</v>
      </c>
      <c r="O436" t="s">
        <v>1266</v>
      </c>
      <c r="P436" t="s">
        <v>1266</v>
      </c>
      <c r="Q436" t="s">
        <v>1266</v>
      </c>
      <c r="R436" t="s">
        <v>1266</v>
      </c>
    </row>
    <row r="437" spans="1:18" x14ac:dyDescent="0.3">
      <c r="A437" t="s">
        <v>820</v>
      </c>
      <c r="B437">
        <v>4</v>
      </c>
      <c r="C437" t="s">
        <v>1</v>
      </c>
      <c r="D437" t="s">
        <v>820</v>
      </c>
      <c r="E437">
        <v>30</v>
      </c>
      <c r="F437" t="s">
        <v>461</v>
      </c>
      <c r="I437">
        <v>5</v>
      </c>
      <c r="J437" t="s">
        <v>413</v>
      </c>
      <c r="K437">
        <v>727</v>
      </c>
      <c r="L437" t="s">
        <v>1</v>
      </c>
      <c r="M437" t="s">
        <v>0</v>
      </c>
      <c r="N437" t="s">
        <v>1266</v>
      </c>
      <c r="O437" t="s">
        <v>1266</v>
      </c>
      <c r="P437" t="s">
        <v>1266</v>
      </c>
      <c r="Q437" t="s">
        <v>1266</v>
      </c>
      <c r="R437" t="s">
        <v>1266</v>
      </c>
    </row>
    <row r="438" spans="1:18" x14ac:dyDescent="0.3">
      <c r="A438" t="s">
        <v>426</v>
      </c>
      <c r="B438">
        <v>5</v>
      </c>
      <c r="C438" t="s">
        <v>1</v>
      </c>
      <c r="D438" t="s">
        <v>426</v>
      </c>
      <c r="E438">
        <v>30</v>
      </c>
      <c r="F438" t="s">
        <v>52</v>
      </c>
      <c r="I438">
        <v>21</v>
      </c>
      <c r="J438" t="s">
        <v>413</v>
      </c>
      <c r="K438">
        <v>728</v>
      </c>
      <c r="L438" t="s">
        <v>1</v>
      </c>
      <c r="M438" t="s">
        <v>0</v>
      </c>
      <c r="N438" t="s">
        <v>1266</v>
      </c>
      <c r="O438" t="s">
        <v>1266</v>
      </c>
      <c r="P438" t="s">
        <v>1266</v>
      </c>
      <c r="Q438" t="s">
        <v>1266</v>
      </c>
      <c r="R438" t="s">
        <v>1266</v>
      </c>
    </row>
    <row r="439" spans="1:18" x14ac:dyDescent="0.3">
      <c r="A439" t="s">
        <v>1539</v>
      </c>
      <c r="B439">
        <v>6</v>
      </c>
      <c r="C439" t="s">
        <v>0</v>
      </c>
      <c r="D439" t="s">
        <v>1539</v>
      </c>
      <c r="E439">
        <v>30</v>
      </c>
      <c r="F439" t="s">
        <v>1539</v>
      </c>
      <c r="I439">
        <v>1</v>
      </c>
      <c r="J439" t="s">
        <v>413</v>
      </c>
      <c r="K439">
        <v>729</v>
      </c>
      <c r="L439" t="s">
        <v>1</v>
      </c>
      <c r="M439" t="s">
        <v>0</v>
      </c>
      <c r="N439" t="s">
        <v>1266</v>
      </c>
      <c r="O439" t="s">
        <v>1266</v>
      </c>
      <c r="P439" t="s">
        <v>1266</v>
      </c>
      <c r="Q439" t="s">
        <v>1266</v>
      </c>
      <c r="R439" t="s">
        <v>1266</v>
      </c>
    </row>
    <row r="440" spans="1:18" x14ac:dyDescent="0.3">
      <c r="A440" t="s">
        <v>432</v>
      </c>
      <c r="B440">
        <v>7</v>
      </c>
      <c r="C440" t="s">
        <v>1</v>
      </c>
      <c r="D440" t="s">
        <v>432</v>
      </c>
      <c r="E440">
        <v>30</v>
      </c>
      <c r="F440" t="s">
        <v>51</v>
      </c>
      <c r="I440">
        <v>21</v>
      </c>
      <c r="J440" t="s">
        <v>413</v>
      </c>
      <c r="K440">
        <v>730</v>
      </c>
      <c r="L440" t="s">
        <v>1</v>
      </c>
      <c r="M440" t="s">
        <v>0</v>
      </c>
      <c r="N440" t="s">
        <v>1266</v>
      </c>
      <c r="O440" t="s">
        <v>1266</v>
      </c>
      <c r="P440" t="s">
        <v>1266</v>
      </c>
      <c r="Q440" t="s">
        <v>1266</v>
      </c>
      <c r="R440" t="s">
        <v>1266</v>
      </c>
    </row>
    <row r="441" spans="1:18" x14ac:dyDescent="0.3">
      <c r="A441" t="s">
        <v>462</v>
      </c>
      <c r="B441">
        <v>1</v>
      </c>
      <c r="C441" t="s">
        <v>1</v>
      </c>
      <c r="D441" t="s">
        <v>462</v>
      </c>
      <c r="E441">
        <v>30</v>
      </c>
      <c r="F441" t="s">
        <v>462</v>
      </c>
      <c r="I441">
        <v>1</v>
      </c>
      <c r="J441" t="s">
        <v>1316</v>
      </c>
      <c r="K441">
        <v>731</v>
      </c>
      <c r="L441" t="s">
        <v>1</v>
      </c>
      <c r="M441" t="s">
        <v>0</v>
      </c>
      <c r="N441" t="s">
        <v>1266</v>
      </c>
      <c r="O441" t="s">
        <v>1266</v>
      </c>
      <c r="P441" t="s">
        <v>1266</v>
      </c>
      <c r="Q441" t="s">
        <v>1266</v>
      </c>
      <c r="R441" t="s">
        <v>1266</v>
      </c>
    </row>
    <row r="442" spans="1:18" x14ac:dyDescent="0.3">
      <c r="A442" t="s">
        <v>461</v>
      </c>
      <c r="B442">
        <v>2</v>
      </c>
      <c r="C442" t="s">
        <v>1</v>
      </c>
      <c r="D442" t="s">
        <v>461</v>
      </c>
      <c r="E442">
        <v>30</v>
      </c>
      <c r="F442" t="s">
        <v>461</v>
      </c>
      <c r="I442">
        <v>5</v>
      </c>
      <c r="J442" t="s">
        <v>1316</v>
      </c>
      <c r="K442">
        <v>732</v>
      </c>
      <c r="L442" t="s">
        <v>0</v>
      </c>
      <c r="M442" t="s">
        <v>0</v>
      </c>
      <c r="N442" t="s">
        <v>1266</v>
      </c>
      <c r="O442" t="s">
        <v>1266</v>
      </c>
      <c r="P442" t="s">
        <v>1266</v>
      </c>
      <c r="Q442" t="s">
        <v>1266</v>
      </c>
      <c r="R442" t="s">
        <v>1266</v>
      </c>
    </row>
    <row r="443" spans="1:18" x14ac:dyDescent="0.3">
      <c r="A443" t="s">
        <v>463</v>
      </c>
      <c r="B443">
        <v>3</v>
      </c>
      <c r="C443" t="s">
        <v>1</v>
      </c>
      <c r="D443" t="s">
        <v>463</v>
      </c>
      <c r="E443">
        <v>30</v>
      </c>
      <c r="F443" t="s">
        <v>463</v>
      </c>
      <c r="I443">
        <v>1</v>
      </c>
      <c r="J443" t="s">
        <v>1316</v>
      </c>
      <c r="K443">
        <v>733</v>
      </c>
      <c r="L443" t="s">
        <v>1</v>
      </c>
      <c r="M443" t="s">
        <v>0</v>
      </c>
      <c r="N443" t="s">
        <v>1266</v>
      </c>
      <c r="O443" t="s">
        <v>1266</v>
      </c>
      <c r="P443" t="s">
        <v>1266</v>
      </c>
      <c r="Q443" t="s">
        <v>1266</v>
      </c>
      <c r="R443" t="s">
        <v>1266</v>
      </c>
    </row>
    <row r="444" spans="1:18" x14ac:dyDescent="0.3">
      <c r="A444" t="s">
        <v>464</v>
      </c>
      <c r="B444">
        <v>4</v>
      </c>
      <c r="C444" t="s">
        <v>0</v>
      </c>
      <c r="D444" t="s">
        <v>464</v>
      </c>
      <c r="E444">
        <v>30</v>
      </c>
      <c r="F444" t="s">
        <v>464</v>
      </c>
      <c r="I444">
        <v>1</v>
      </c>
      <c r="J444" t="s">
        <v>1316</v>
      </c>
      <c r="K444">
        <v>734</v>
      </c>
      <c r="L444" t="s">
        <v>1</v>
      </c>
      <c r="M444" t="s">
        <v>0</v>
      </c>
      <c r="N444" t="s">
        <v>1266</v>
      </c>
      <c r="O444" t="s">
        <v>1266</v>
      </c>
      <c r="P444" t="s">
        <v>1266</v>
      </c>
      <c r="Q444" t="s">
        <v>1266</v>
      </c>
      <c r="R444" t="s">
        <v>1266</v>
      </c>
    </row>
    <row r="445" spans="1:18" x14ac:dyDescent="0.3">
      <c r="A445" t="s">
        <v>52</v>
      </c>
      <c r="B445">
        <v>5</v>
      </c>
      <c r="C445" t="s">
        <v>1</v>
      </c>
      <c r="D445" t="s">
        <v>52</v>
      </c>
      <c r="E445">
        <v>30</v>
      </c>
      <c r="F445" t="s">
        <v>52</v>
      </c>
      <c r="I445">
        <v>21</v>
      </c>
      <c r="J445" t="s">
        <v>1316</v>
      </c>
      <c r="K445">
        <v>735</v>
      </c>
      <c r="L445" t="s">
        <v>1</v>
      </c>
      <c r="M445" t="s">
        <v>0</v>
      </c>
      <c r="N445" t="s">
        <v>1266</v>
      </c>
      <c r="O445" t="s">
        <v>1266</v>
      </c>
      <c r="P445" t="s">
        <v>1266</v>
      </c>
      <c r="Q445" t="s">
        <v>1266</v>
      </c>
      <c r="R445" t="s">
        <v>1266</v>
      </c>
    </row>
    <row r="446" spans="1:18" x14ac:dyDescent="0.3">
      <c r="A446" t="s">
        <v>51</v>
      </c>
      <c r="B446">
        <v>6</v>
      </c>
      <c r="C446" t="s">
        <v>1</v>
      </c>
      <c r="D446" t="s">
        <v>51</v>
      </c>
      <c r="E446">
        <v>30</v>
      </c>
      <c r="F446" t="s">
        <v>51</v>
      </c>
      <c r="I446">
        <v>21</v>
      </c>
      <c r="J446" t="s">
        <v>1316</v>
      </c>
      <c r="K446">
        <v>736</v>
      </c>
      <c r="L446" t="s">
        <v>1</v>
      </c>
      <c r="M446" t="s">
        <v>0</v>
      </c>
      <c r="N446" t="s">
        <v>1266</v>
      </c>
      <c r="O446" t="s">
        <v>1266</v>
      </c>
      <c r="P446" t="s">
        <v>1266</v>
      </c>
      <c r="Q446" t="s">
        <v>1266</v>
      </c>
      <c r="R446" t="s">
        <v>1266</v>
      </c>
    </row>
    <row r="447" spans="1:18" x14ac:dyDescent="0.3">
      <c r="A447" t="s">
        <v>482</v>
      </c>
      <c r="B447">
        <v>1</v>
      </c>
      <c r="C447" t="s">
        <v>1</v>
      </c>
      <c r="D447" t="s">
        <v>482</v>
      </c>
      <c r="E447">
        <v>30</v>
      </c>
      <c r="F447" t="s">
        <v>481</v>
      </c>
      <c r="I447">
        <v>1</v>
      </c>
      <c r="J447" t="s">
        <v>414</v>
      </c>
      <c r="K447">
        <v>737</v>
      </c>
      <c r="L447" t="s">
        <v>1</v>
      </c>
      <c r="M447" t="s">
        <v>0</v>
      </c>
      <c r="N447" t="s">
        <v>1266</v>
      </c>
      <c r="O447" t="s">
        <v>1266</v>
      </c>
      <c r="P447" t="s">
        <v>1266</v>
      </c>
      <c r="Q447" t="s">
        <v>1266</v>
      </c>
      <c r="R447" t="s">
        <v>1266</v>
      </c>
    </row>
    <row r="448" spans="1:18" x14ac:dyDescent="0.3">
      <c r="A448" t="s">
        <v>476</v>
      </c>
      <c r="B448">
        <v>2</v>
      </c>
      <c r="C448" t="s">
        <v>1</v>
      </c>
      <c r="D448" t="s">
        <v>476</v>
      </c>
      <c r="E448">
        <v>30</v>
      </c>
      <c r="F448" t="s">
        <v>475</v>
      </c>
      <c r="I448">
        <v>5</v>
      </c>
      <c r="J448" t="s">
        <v>414</v>
      </c>
      <c r="K448">
        <v>738</v>
      </c>
      <c r="L448" t="s">
        <v>0</v>
      </c>
      <c r="M448" t="s">
        <v>0</v>
      </c>
      <c r="N448" t="s">
        <v>1266</v>
      </c>
      <c r="O448" t="s">
        <v>1266</v>
      </c>
      <c r="P448" t="s">
        <v>1266</v>
      </c>
      <c r="Q448" t="s">
        <v>1266</v>
      </c>
      <c r="R448" t="s">
        <v>1266</v>
      </c>
    </row>
    <row r="449" spans="1:18" x14ac:dyDescent="0.3">
      <c r="A449" t="s">
        <v>478</v>
      </c>
      <c r="B449">
        <v>3</v>
      </c>
      <c r="C449" t="s">
        <v>0</v>
      </c>
      <c r="D449" t="s">
        <v>478</v>
      </c>
      <c r="E449">
        <v>30</v>
      </c>
      <c r="F449" t="s">
        <v>477</v>
      </c>
      <c r="I449">
        <v>1</v>
      </c>
      <c r="J449" t="s">
        <v>414</v>
      </c>
      <c r="K449">
        <v>739</v>
      </c>
      <c r="L449" t="s">
        <v>1</v>
      </c>
      <c r="M449" t="s">
        <v>0</v>
      </c>
      <c r="N449" t="s">
        <v>1266</v>
      </c>
      <c r="O449" t="s">
        <v>1266</v>
      </c>
      <c r="P449" t="s">
        <v>1266</v>
      </c>
      <c r="Q449" t="s">
        <v>1266</v>
      </c>
      <c r="R449" t="s">
        <v>1266</v>
      </c>
    </row>
    <row r="450" spans="1:18" x14ac:dyDescent="0.3">
      <c r="A450" t="s">
        <v>480</v>
      </c>
      <c r="B450">
        <v>4</v>
      </c>
      <c r="C450" t="s">
        <v>0</v>
      </c>
      <c r="D450" t="s">
        <v>480</v>
      </c>
      <c r="E450">
        <v>30</v>
      </c>
      <c r="F450" t="s">
        <v>479</v>
      </c>
      <c r="I450">
        <v>1</v>
      </c>
      <c r="J450" t="s">
        <v>414</v>
      </c>
      <c r="K450">
        <v>740</v>
      </c>
      <c r="L450" t="s">
        <v>1</v>
      </c>
      <c r="M450" t="s">
        <v>0</v>
      </c>
      <c r="N450" t="s">
        <v>1266</v>
      </c>
      <c r="O450" t="s">
        <v>1266</v>
      </c>
      <c r="P450" t="s">
        <v>1266</v>
      </c>
      <c r="Q450" t="s">
        <v>1266</v>
      </c>
      <c r="R450" t="s">
        <v>1266</v>
      </c>
    </row>
    <row r="451" spans="1:18" x14ac:dyDescent="0.3">
      <c r="A451" t="s">
        <v>426</v>
      </c>
      <c r="B451">
        <v>5</v>
      </c>
      <c r="C451" t="s">
        <v>1</v>
      </c>
      <c r="D451" t="s">
        <v>426</v>
      </c>
      <c r="E451">
        <v>30</v>
      </c>
      <c r="F451" t="s">
        <v>52</v>
      </c>
      <c r="I451">
        <v>21</v>
      </c>
      <c r="J451" t="s">
        <v>414</v>
      </c>
      <c r="K451">
        <v>741</v>
      </c>
      <c r="L451" t="s">
        <v>1</v>
      </c>
      <c r="M451" t="s">
        <v>0</v>
      </c>
      <c r="N451" t="s">
        <v>1266</v>
      </c>
      <c r="O451" t="s">
        <v>1266</v>
      </c>
      <c r="P451" t="s">
        <v>1266</v>
      </c>
      <c r="Q451" t="s">
        <v>1266</v>
      </c>
      <c r="R451" t="s">
        <v>1266</v>
      </c>
    </row>
    <row r="452" spans="1:18" x14ac:dyDescent="0.3">
      <c r="A452" t="s">
        <v>432</v>
      </c>
      <c r="B452">
        <v>6</v>
      </c>
      <c r="C452" t="s">
        <v>1</v>
      </c>
      <c r="D452" t="s">
        <v>432</v>
      </c>
      <c r="E452">
        <v>30</v>
      </c>
      <c r="F452" t="s">
        <v>51</v>
      </c>
      <c r="I452">
        <v>21</v>
      </c>
      <c r="J452" t="s">
        <v>414</v>
      </c>
      <c r="K452">
        <v>742</v>
      </c>
      <c r="L452" t="s">
        <v>1</v>
      </c>
      <c r="M452" t="s">
        <v>0</v>
      </c>
      <c r="N452" t="s">
        <v>1266</v>
      </c>
      <c r="O452" t="s">
        <v>1266</v>
      </c>
      <c r="P452" t="s">
        <v>1266</v>
      </c>
      <c r="Q452" t="s">
        <v>1266</v>
      </c>
      <c r="R452" t="s">
        <v>1266</v>
      </c>
    </row>
    <row r="453" spans="1:18" x14ac:dyDescent="0.3">
      <c r="A453" t="s">
        <v>452</v>
      </c>
      <c r="B453">
        <v>1</v>
      </c>
      <c r="C453" t="s">
        <v>0</v>
      </c>
      <c r="D453" t="s">
        <v>452</v>
      </c>
      <c r="E453">
        <v>30</v>
      </c>
      <c r="F453" t="s">
        <v>452</v>
      </c>
      <c r="I453">
        <v>6</v>
      </c>
      <c r="J453" t="s">
        <v>1367</v>
      </c>
      <c r="K453">
        <v>743</v>
      </c>
      <c r="L453" t="s">
        <v>1</v>
      </c>
      <c r="M453" t="s">
        <v>0</v>
      </c>
      <c r="N453" t="s">
        <v>1266</v>
      </c>
      <c r="O453" t="s">
        <v>1266</v>
      </c>
      <c r="P453" t="s">
        <v>1266</v>
      </c>
      <c r="Q453" t="s">
        <v>1266</v>
      </c>
      <c r="R453" t="s">
        <v>1266</v>
      </c>
    </row>
    <row r="454" spans="1:18" x14ac:dyDescent="0.3">
      <c r="A454" t="s">
        <v>944</v>
      </c>
      <c r="B454">
        <v>2</v>
      </c>
      <c r="C454" t="s">
        <v>1</v>
      </c>
      <c r="D454" t="s">
        <v>944</v>
      </c>
      <c r="E454">
        <v>30</v>
      </c>
      <c r="F454" t="s">
        <v>944</v>
      </c>
      <c r="I454">
        <v>6</v>
      </c>
      <c r="J454" t="s">
        <v>1367</v>
      </c>
      <c r="K454">
        <v>744</v>
      </c>
      <c r="L454" t="s">
        <v>1</v>
      </c>
      <c r="M454" t="s">
        <v>0</v>
      </c>
      <c r="N454" t="s">
        <v>1266</v>
      </c>
      <c r="O454" t="s">
        <v>1266</v>
      </c>
      <c r="P454" t="s">
        <v>1266</v>
      </c>
      <c r="Q454" t="s">
        <v>1266</v>
      </c>
      <c r="R454" t="s">
        <v>1266</v>
      </c>
    </row>
    <row r="455" spans="1:18" x14ac:dyDescent="0.3">
      <c r="A455" t="s">
        <v>946</v>
      </c>
      <c r="B455">
        <v>3</v>
      </c>
      <c r="C455" t="s">
        <v>0</v>
      </c>
      <c r="D455" t="s">
        <v>946</v>
      </c>
      <c r="E455">
        <v>30</v>
      </c>
      <c r="F455" t="s">
        <v>946</v>
      </c>
      <c r="I455">
        <v>1</v>
      </c>
      <c r="J455" t="s">
        <v>1367</v>
      </c>
      <c r="K455">
        <v>745</v>
      </c>
      <c r="L455" t="s">
        <v>1</v>
      </c>
      <c r="M455" t="s">
        <v>0</v>
      </c>
      <c r="N455" t="s">
        <v>1266</v>
      </c>
      <c r="O455" t="s">
        <v>1266</v>
      </c>
      <c r="P455" t="s">
        <v>1266</v>
      </c>
      <c r="Q455" t="s">
        <v>1266</v>
      </c>
      <c r="R455" t="s">
        <v>1266</v>
      </c>
    </row>
    <row r="456" spans="1:18" x14ac:dyDescent="0.3">
      <c r="A456" t="s">
        <v>723</v>
      </c>
      <c r="B456">
        <v>4</v>
      </c>
      <c r="C456" t="s">
        <v>1</v>
      </c>
      <c r="D456" t="s">
        <v>723</v>
      </c>
      <c r="E456">
        <v>30</v>
      </c>
      <c r="F456" t="s">
        <v>723</v>
      </c>
      <c r="I456">
        <v>5</v>
      </c>
      <c r="J456" t="s">
        <v>1367</v>
      </c>
      <c r="K456">
        <v>746</v>
      </c>
      <c r="L456" t="s">
        <v>0</v>
      </c>
      <c r="M456" t="s">
        <v>0</v>
      </c>
      <c r="N456" t="s">
        <v>1266</v>
      </c>
      <c r="O456" t="s">
        <v>1266</v>
      </c>
      <c r="P456" t="s">
        <v>1266</v>
      </c>
      <c r="Q456" t="s">
        <v>1266</v>
      </c>
      <c r="R456" t="s">
        <v>1266</v>
      </c>
    </row>
    <row r="457" spans="1:18" x14ac:dyDescent="0.3">
      <c r="A457" t="s">
        <v>945</v>
      </c>
      <c r="B457">
        <v>5</v>
      </c>
      <c r="C457" t="s">
        <v>1</v>
      </c>
      <c r="D457" t="s">
        <v>945</v>
      </c>
      <c r="E457">
        <v>30</v>
      </c>
      <c r="F457" t="s">
        <v>945</v>
      </c>
      <c r="I457">
        <v>6</v>
      </c>
      <c r="J457" t="s">
        <v>1367</v>
      </c>
      <c r="K457">
        <v>747</v>
      </c>
      <c r="L457" t="s">
        <v>1</v>
      </c>
      <c r="M457" t="s">
        <v>0</v>
      </c>
      <c r="N457" t="s">
        <v>1266</v>
      </c>
      <c r="O457" t="s">
        <v>1266</v>
      </c>
      <c r="P457" t="s">
        <v>1266</v>
      </c>
      <c r="Q457" t="s">
        <v>1266</v>
      </c>
      <c r="R457" t="s">
        <v>1266</v>
      </c>
    </row>
    <row r="458" spans="1:18" x14ac:dyDescent="0.3">
      <c r="A458" t="s">
        <v>947</v>
      </c>
      <c r="B458">
        <v>6</v>
      </c>
      <c r="C458" t="s">
        <v>0</v>
      </c>
      <c r="D458" t="s">
        <v>947</v>
      </c>
      <c r="E458">
        <v>30</v>
      </c>
      <c r="F458" t="s">
        <v>947</v>
      </c>
      <c r="I458">
        <v>1</v>
      </c>
      <c r="J458" t="s">
        <v>1367</v>
      </c>
      <c r="K458">
        <v>748</v>
      </c>
      <c r="L458" t="s">
        <v>1</v>
      </c>
      <c r="M458" t="s">
        <v>0</v>
      </c>
      <c r="N458" t="s">
        <v>1266</v>
      </c>
      <c r="O458" t="s">
        <v>1266</v>
      </c>
      <c r="P458" t="s">
        <v>1266</v>
      </c>
      <c r="Q458" t="s">
        <v>1266</v>
      </c>
      <c r="R458" t="s">
        <v>1266</v>
      </c>
    </row>
    <row r="459" spans="1:18" x14ac:dyDescent="0.3">
      <c r="A459" t="s">
        <v>52</v>
      </c>
      <c r="B459">
        <v>7</v>
      </c>
      <c r="C459" t="s">
        <v>1</v>
      </c>
      <c r="D459" t="s">
        <v>52</v>
      </c>
      <c r="E459">
        <v>30</v>
      </c>
      <c r="F459" t="s">
        <v>52</v>
      </c>
      <c r="I459">
        <v>21</v>
      </c>
      <c r="J459" t="s">
        <v>1367</v>
      </c>
      <c r="K459">
        <v>749</v>
      </c>
      <c r="L459" t="s">
        <v>1</v>
      </c>
      <c r="M459" t="s">
        <v>0</v>
      </c>
      <c r="N459" t="s">
        <v>1266</v>
      </c>
      <c r="O459" t="s">
        <v>1266</v>
      </c>
      <c r="P459" t="s">
        <v>1266</v>
      </c>
      <c r="Q459" t="s">
        <v>1266</v>
      </c>
      <c r="R459" t="s">
        <v>1266</v>
      </c>
    </row>
    <row r="460" spans="1:18" x14ac:dyDescent="0.3">
      <c r="A460" t="s">
        <v>51</v>
      </c>
      <c r="B460">
        <v>8</v>
      </c>
      <c r="C460" t="s">
        <v>1</v>
      </c>
      <c r="D460" t="s">
        <v>51</v>
      </c>
      <c r="E460">
        <v>30</v>
      </c>
      <c r="F460" t="s">
        <v>51</v>
      </c>
      <c r="I460">
        <v>21</v>
      </c>
      <c r="J460" t="s">
        <v>1367</v>
      </c>
      <c r="K460">
        <v>750</v>
      </c>
      <c r="L460" t="s">
        <v>1</v>
      </c>
      <c r="M460" t="s">
        <v>0</v>
      </c>
      <c r="N460" t="s">
        <v>1266</v>
      </c>
      <c r="O460" t="s">
        <v>1266</v>
      </c>
      <c r="P460" t="s">
        <v>1266</v>
      </c>
      <c r="Q460" t="s">
        <v>1266</v>
      </c>
      <c r="R460" t="s">
        <v>1266</v>
      </c>
    </row>
    <row r="461" spans="1:18" x14ac:dyDescent="0.3">
      <c r="A461" t="s">
        <v>452</v>
      </c>
      <c r="B461">
        <v>1</v>
      </c>
      <c r="C461" t="s">
        <v>0</v>
      </c>
      <c r="D461" t="s">
        <v>452</v>
      </c>
      <c r="E461">
        <v>30</v>
      </c>
      <c r="F461" t="s">
        <v>452</v>
      </c>
      <c r="I461">
        <v>6</v>
      </c>
      <c r="J461" t="s">
        <v>1368</v>
      </c>
      <c r="K461">
        <v>751</v>
      </c>
      <c r="L461" t="s">
        <v>1</v>
      </c>
      <c r="M461" t="s">
        <v>0</v>
      </c>
      <c r="N461" t="s">
        <v>1266</v>
      </c>
      <c r="O461" t="s">
        <v>1266</v>
      </c>
      <c r="P461" t="s">
        <v>1266</v>
      </c>
      <c r="Q461" t="s">
        <v>1266</v>
      </c>
      <c r="R461" t="s">
        <v>1266</v>
      </c>
    </row>
    <row r="462" spans="1:18" x14ac:dyDescent="0.3">
      <c r="A462" t="s">
        <v>1525</v>
      </c>
      <c r="B462">
        <v>2</v>
      </c>
      <c r="C462" t="s">
        <v>1</v>
      </c>
      <c r="D462" t="s">
        <v>1525</v>
      </c>
      <c r="E462">
        <v>30</v>
      </c>
      <c r="F462" t="s">
        <v>1525</v>
      </c>
      <c r="I462">
        <v>1</v>
      </c>
      <c r="J462" t="s">
        <v>1368</v>
      </c>
      <c r="K462">
        <v>752</v>
      </c>
      <c r="L462" t="s">
        <v>1</v>
      </c>
      <c r="M462" t="s">
        <v>0</v>
      </c>
      <c r="N462" t="s">
        <v>1266</v>
      </c>
      <c r="O462" t="s">
        <v>1266</v>
      </c>
      <c r="P462" t="s">
        <v>1266</v>
      </c>
      <c r="Q462" t="s">
        <v>1266</v>
      </c>
      <c r="R462" t="s">
        <v>1266</v>
      </c>
    </row>
    <row r="463" spans="1:18" x14ac:dyDescent="0.3">
      <c r="A463" t="s">
        <v>926</v>
      </c>
      <c r="B463">
        <v>3</v>
      </c>
      <c r="C463" t="s">
        <v>0</v>
      </c>
      <c r="D463" t="s">
        <v>926</v>
      </c>
      <c r="E463">
        <v>30</v>
      </c>
      <c r="F463" t="s">
        <v>926</v>
      </c>
      <c r="I463">
        <v>3</v>
      </c>
      <c r="J463" t="s">
        <v>1368</v>
      </c>
      <c r="K463">
        <v>753</v>
      </c>
      <c r="L463" t="s">
        <v>1</v>
      </c>
      <c r="M463" t="s">
        <v>0</v>
      </c>
      <c r="N463" t="s">
        <v>1266</v>
      </c>
      <c r="O463" t="s">
        <v>1266</v>
      </c>
      <c r="P463" t="s">
        <v>1266</v>
      </c>
      <c r="Q463" t="s">
        <v>1266</v>
      </c>
      <c r="R463" t="s">
        <v>1266</v>
      </c>
    </row>
    <row r="464" spans="1:18" x14ac:dyDescent="0.3">
      <c r="A464" t="s">
        <v>470</v>
      </c>
      <c r="B464">
        <v>4</v>
      </c>
      <c r="C464" t="s">
        <v>1</v>
      </c>
      <c r="D464" t="s">
        <v>470</v>
      </c>
      <c r="E464">
        <v>30</v>
      </c>
      <c r="F464" t="s">
        <v>470</v>
      </c>
      <c r="I464">
        <v>5</v>
      </c>
      <c r="J464" t="s">
        <v>1368</v>
      </c>
      <c r="K464">
        <v>754</v>
      </c>
      <c r="L464" t="s">
        <v>0</v>
      </c>
      <c r="M464" t="s">
        <v>0</v>
      </c>
      <c r="N464" t="s">
        <v>1266</v>
      </c>
      <c r="O464" t="s">
        <v>1266</v>
      </c>
      <c r="P464" t="s">
        <v>1266</v>
      </c>
      <c r="Q464" t="s">
        <v>1266</v>
      </c>
      <c r="R464" t="s">
        <v>1266</v>
      </c>
    </row>
    <row r="465" spans="1:18" x14ac:dyDescent="0.3">
      <c r="A465" t="s">
        <v>1619</v>
      </c>
      <c r="B465">
        <v>5</v>
      </c>
      <c r="C465" t="s">
        <v>1</v>
      </c>
      <c r="D465" t="s">
        <v>1619</v>
      </c>
      <c r="E465">
        <v>30</v>
      </c>
      <c r="F465" t="s">
        <v>1619</v>
      </c>
      <c r="I465">
        <v>1</v>
      </c>
      <c r="J465" t="s">
        <v>1368</v>
      </c>
      <c r="K465">
        <v>755</v>
      </c>
      <c r="L465" t="s">
        <v>1</v>
      </c>
      <c r="M465" t="s">
        <v>0</v>
      </c>
      <c r="N465" t="s">
        <v>1266</v>
      </c>
      <c r="O465" t="s">
        <v>1266</v>
      </c>
      <c r="P465" t="s">
        <v>1266</v>
      </c>
      <c r="Q465" t="s">
        <v>1266</v>
      </c>
      <c r="R465" t="s">
        <v>1266</v>
      </c>
    </row>
    <row r="466" spans="1:18" x14ac:dyDescent="0.3">
      <c r="A466" t="s">
        <v>52</v>
      </c>
      <c r="B466">
        <v>6</v>
      </c>
      <c r="C466" t="s">
        <v>1</v>
      </c>
      <c r="D466" t="s">
        <v>52</v>
      </c>
      <c r="E466">
        <v>30</v>
      </c>
      <c r="F466" t="s">
        <v>52</v>
      </c>
      <c r="I466">
        <v>21</v>
      </c>
      <c r="J466" t="s">
        <v>1368</v>
      </c>
      <c r="K466">
        <v>756</v>
      </c>
      <c r="L466" t="s">
        <v>1</v>
      </c>
      <c r="M466" t="s">
        <v>0</v>
      </c>
      <c r="N466" t="s">
        <v>1266</v>
      </c>
      <c r="O466" t="s">
        <v>1266</v>
      </c>
      <c r="P466" t="s">
        <v>1266</v>
      </c>
      <c r="Q466" t="s">
        <v>1266</v>
      </c>
      <c r="R466" t="s">
        <v>1266</v>
      </c>
    </row>
    <row r="467" spans="1:18" x14ac:dyDescent="0.3">
      <c r="A467" t="s">
        <v>51</v>
      </c>
      <c r="B467">
        <v>7</v>
      </c>
      <c r="C467" t="s">
        <v>1</v>
      </c>
      <c r="D467" t="s">
        <v>51</v>
      </c>
      <c r="E467">
        <v>30</v>
      </c>
      <c r="F467" t="s">
        <v>51</v>
      </c>
      <c r="I467">
        <v>21</v>
      </c>
      <c r="J467" t="s">
        <v>1368</v>
      </c>
      <c r="K467">
        <v>757</v>
      </c>
      <c r="L467" t="s">
        <v>1</v>
      </c>
      <c r="M467" t="s">
        <v>0</v>
      </c>
      <c r="N467" t="s">
        <v>1266</v>
      </c>
      <c r="O467" t="s">
        <v>1266</v>
      </c>
      <c r="P467" t="s">
        <v>1266</v>
      </c>
      <c r="Q467" t="s">
        <v>1266</v>
      </c>
      <c r="R467" t="s">
        <v>1266</v>
      </c>
    </row>
    <row r="468" spans="1:18" x14ac:dyDescent="0.3">
      <c r="A468" t="s">
        <v>925</v>
      </c>
      <c r="B468">
        <v>8</v>
      </c>
      <c r="C468" t="s">
        <v>0</v>
      </c>
      <c r="D468" t="s">
        <v>925</v>
      </c>
      <c r="E468">
        <v>30</v>
      </c>
      <c r="F468" t="s">
        <v>925</v>
      </c>
      <c r="I468">
        <v>1</v>
      </c>
      <c r="J468" t="s">
        <v>1368</v>
      </c>
      <c r="K468">
        <v>758</v>
      </c>
      <c r="L468" t="s">
        <v>1</v>
      </c>
      <c r="M468" t="s">
        <v>0</v>
      </c>
      <c r="N468" t="s">
        <v>1266</v>
      </c>
      <c r="O468" t="s">
        <v>1266</v>
      </c>
      <c r="P468" t="s">
        <v>1266</v>
      </c>
      <c r="Q468" t="s">
        <v>1266</v>
      </c>
      <c r="R468" t="s">
        <v>1266</v>
      </c>
    </row>
    <row r="469" spans="1:18" x14ac:dyDescent="0.3">
      <c r="A469" t="s">
        <v>1589</v>
      </c>
      <c r="B469">
        <v>9</v>
      </c>
      <c r="C469" t="s">
        <v>0</v>
      </c>
      <c r="D469" t="s">
        <v>1589</v>
      </c>
      <c r="E469">
        <v>30</v>
      </c>
      <c r="F469" t="s">
        <v>1589</v>
      </c>
      <c r="I469">
        <v>6</v>
      </c>
      <c r="J469" t="s">
        <v>1368</v>
      </c>
      <c r="K469">
        <v>759</v>
      </c>
      <c r="L469" t="s">
        <v>1</v>
      </c>
      <c r="M469" t="s">
        <v>0</v>
      </c>
      <c r="N469" t="s">
        <v>1266</v>
      </c>
      <c r="O469" t="s">
        <v>1266</v>
      </c>
      <c r="P469" t="s">
        <v>1266</v>
      </c>
      <c r="Q469" t="s">
        <v>1266</v>
      </c>
      <c r="R469" t="s">
        <v>1266</v>
      </c>
    </row>
    <row r="470" spans="1:18" x14ac:dyDescent="0.3">
      <c r="A470" t="s">
        <v>453</v>
      </c>
      <c r="B470">
        <v>1</v>
      </c>
      <c r="C470" t="s">
        <v>0</v>
      </c>
      <c r="D470" t="s">
        <v>453</v>
      </c>
      <c r="E470">
        <v>30</v>
      </c>
      <c r="F470" t="s">
        <v>452</v>
      </c>
      <c r="I470">
        <v>6</v>
      </c>
      <c r="J470" t="s">
        <v>410</v>
      </c>
      <c r="K470">
        <v>133</v>
      </c>
      <c r="L470" t="s">
        <v>1</v>
      </c>
      <c r="M470" t="s">
        <v>0</v>
      </c>
      <c r="N470" t="s">
        <v>1266</v>
      </c>
      <c r="O470" t="s">
        <v>1266</v>
      </c>
      <c r="P470" t="s">
        <v>1266</v>
      </c>
      <c r="Q470" t="s">
        <v>1266</v>
      </c>
      <c r="R470" t="s">
        <v>1266</v>
      </c>
    </row>
    <row r="471" spans="1:18" x14ac:dyDescent="0.3">
      <c r="A471" t="s">
        <v>572</v>
      </c>
      <c r="B471">
        <v>2</v>
      </c>
      <c r="C471" t="s">
        <v>1</v>
      </c>
      <c r="D471" t="s">
        <v>572</v>
      </c>
      <c r="E471">
        <v>30</v>
      </c>
      <c r="F471" t="s">
        <v>571</v>
      </c>
      <c r="I471">
        <v>6</v>
      </c>
      <c r="J471" t="s">
        <v>410</v>
      </c>
      <c r="K471">
        <v>134</v>
      </c>
      <c r="L471" t="s">
        <v>1</v>
      </c>
      <c r="M471" t="s">
        <v>0</v>
      </c>
      <c r="N471" t="s">
        <v>1266</v>
      </c>
      <c r="O471" t="s">
        <v>1266</v>
      </c>
      <c r="P471" t="s">
        <v>1266</v>
      </c>
      <c r="Q471" t="s">
        <v>1266</v>
      </c>
      <c r="R471" t="s">
        <v>1266</v>
      </c>
    </row>
    <row r="472" spans="1:18" x14ac:dyDescent="0.3">
      <c r="A472" t="s">
        <v>577</v>
      </c>
      <c r="B472">
        <v>3</v>
      </c>
      <c r="C472" t="s">
        <v>0</v>
      </c>
      <c r="D472" t="s">
        <v>577</v>
      </c>
      <c r="E472">
        <v>30</v>
      </c>
      <c r="F472" t="s">
        <v>576</v>
      </c>
      <c r="I472">
        <v>1</v>
      </c>
      <c r="J472" t="s">
        <v>410</v>
      </c>
      <c r="K472">
        <v>135</v>
      </c>
      <c r="L472" t="s">
        <v>1</v>
      </c>
      <c r="M472" t="s">
        <v>0</v>
      </c>
      <c r="N472" t="s">
        <v>1266</v>
      </c>
      <c r="O472" t="s">
        <v>1266</v>
      </c>
      <c r="P472" t="s">
        <v>1266</v>
      </c>
      <c r="Q472" t="s">
        <v>1266</v>
      </c>
      <c r="R472" t="s">
        <v>1266</v>
      </c>
    </row>
    <row r="473" spans="1:18" x14ac:dyDescent="0.3">
      <c r="A473" t="s">
        <v>445</v>
      </c>
      <c r="B473">
        <v>4</v>
      </c>
      <c r="C473" t="s">
        <v>1</v>
      </c>
      <c r="D473" t="s">
        <v>445</v>
      </c>
      <c r="E473">
        <v>30</v>
      </c>
      <c r="F473" t="s">
        <v>569</v>
      </c>
      <c r="I473">
        <v>5</v>
      </c>
      <c r="J473" t="s">
        <v>410</v>
      </c>
      <c r="K473">
        <v>136</v>
      </c>
      <c r="L473" t="s">
        <v>0</v>
      </c>
      <c r="M473" t="s">
        <v>0</v>
      </c>
      <c r="N473" t="s">
        <v>1266</v>
      </c>
      <c r="O473" t="s">
        <v>1266</v>
      </c>
      <c r="P473" t="s">
        <v>1266</v>
      </c>
      <c r="Q473" t="s">
        <v>1266</v>
      </c>
      <c r="R473" t="s">
        <v>1266</v>
      </c>
    </row>
    <row r="474" spans="1:18" x14ac:dyDescent="0.3">
      <c r="A474" t="s">
        <v>1437</v>
      </c>
      <c r="B474">
        <v>5</v>
      </c>
      <c r="C474" t="s">
        <v>0</v>
      </c>
      <c r="D474" t="s">
        <v>1437</v>
      </c>
      <c r="E474">
        <v>30</v>
      </c>
      <c r="F474" t="s">
        <v>1437</v>
      </c>
      <c r="I474">
        <v>6</v>
      </c>
      <c r="J474" t="s">
        <v>410</v>
      </c>
      <c r="K474">
        <v>137</v>
      </c>
      <c r="L474" t="s">
        <v>1</v>
      </c>
      <c r="M474" t="s">
        <v>0</v>
      </c>
      <c r="N474" t="s">
        <v>1266</v>
      </c>
      <c r="O474" t="s">
        <v>1266</v>
      </c>
      <c r="P474" t="s">
        <v>1266</v>
      </c>
      <c r="Q474" t="s">
        <v>1266</v>
      </c>
      <c r="R474" t="s">
        <v>1266</v>
      </c>
    </row>
    <row r="475" spans="1:18" x14ac:dyDescent="0.3">
      <c r="A475" t="s">
        <v>573</v>
      </c>
      <c r="B475">
        <v>6</v>
      </c>
      <c r="C475" t="s">
        <v>1</v>
      </c>
      <c r="E475">
        <v>30</v>
      </c>
      <c r="F475" t="s">
        <v>573</v>
      </c>
      <c r="I475">
        <v>1</v>
      </c>
      <c r="J475" t="s">
        <v>410</v>
      </c>
      <c r="K475">
        <v>138</v>
      </c>
      <c r="L475" t="s">
        <v>1</v>
      </c>
      <c r="M475" t="s">
        <v>0</v>
      </c>
      <c r="N475" t="s">
        <v>1266</v>
      </c>
      <c r="O475" t="s">
        <v>1266</v>
      </c>
      <c r="P475" t="s">
        <v>1266</v>
      </c>
      <c r="Q475" t="s">
        <v>1266</v>
      </c>
      <c r="R475" t="s">
        <v>1266</v>
      </c>
    </row>
    <row r="476" spans="1:18" x14ac:dyDescent="0.3">
      <c r="A476" t="s">
        <v>1628</v>
      </c>
      <c r="B476">
        <v>7</v>
      </c>
      <c r="C476" t="s">
        <v>0</v>
      </c>
      <c r="D476" t="s">
        <v>575</v>
      </c>
      <c r="E476">
        <v>30</v>
      </c>
      <c r="F476" t="s">
        <v>574</v>
      </c>
      <c r="I476">
        <v>1</v>
      </c>
      <c r="J476" t="s">
        <v>410</v>
      </c>
      <c r="K476">
        <v>139</v>
      </c>
      <c r="L476" t="s">
        <v>1</v>
      </c>
      <c r="M476" t="s">
        <v>0</v>
      </c>
      <c r="N476" t="s">
        <v>1266</v>
      </c>
      <c r="O476" t="s">
        <v>1266</v>
      </c>
      <c r="P476" t="s">
        <v>1266</v>
      </c>
      <c r="Q476" t="s">
        <v>1266</v>
      </c>
      <c r="R476" t="s">
        <v>1266</v>
      </c>
    </row>
    <row r="477" spans="1:18" x14ac:dyDescent="0.3">
      <c r="A477" t="s">
        <v>426</v>
      </c>
      <c r="B477">
        <v>8</v>
      </c>
      <c r="C477" t="s">
        <v>1</v>
      </c>
      <c r="D477" t="s">
        <v>426</v>
      </c>
      <c r="E477">
        <v>30</v>
      </c>
      <c r="F477" t="s">
        <v>52</v>
      </c>
      <c r="I477">
        <v>21</v>
      </c>
      <c r="J477" t="s">
        <v>410</v>
      </c>
      <c r="K477">
        <v>140</v>
      </c>
      <c r="L477" t="s">
        <v>1</v>
      </c>
      <c r="M477" t="s">
        <v>0</v>
      </c>
      <c r="N477" t="s">
        <v>1266</v>
      </c>
      <c r="O477" t="s">
        <v>1266</v>
      </c>
      <c r="P477" t="s">
        <v>1266</v>
      </c>
      <c r="Q477" t="s">
        <v>1266</v>
      </c>
      <c r="R477" t="s">
        <v>1266</v>
      </c>
    </row>
    <row r="478" spans="1:18" x14ac:dyDescent="0.3">
      <c r="A478" t="s">
        <v>432</v>
      </c>
      <c r="B478">
        <v>9</v>
      </c>
      <c r="C478" t="s">
        <v>1</v>
      </c>
      <c r="D478" t="s">
        <v>432</v>
      </c>
      <c r="E478">
        <v>30</v>
      </c>
      <c r="F478" t="s">
        <v>51</v>
      </c>
      <c r="I478">
        <v>21</v>
      </c>
      <c r="J478" t="s">
        <v>410</v>
      </c>
      <c r="K478">
        <v>141</v>
      </c>
      <c r="L478" t="s">
        <v>1</v>
      </c>
      <c r="M478" t="s">
        <v>0</v>
      </c>
      <c r="N478" t="s">
        <v>1266</v>
      </c>
      <c r="O478" t="s">
        <v>1266</v>
      </c>
      <c r="P478" t="s">
        <v>1266</v>
      </c>
      <c r="Q478" t="s">
        <v>1266</v>
      </c>
      <c r="R478" t="s">
        <v>1266</v>
      </c>
    </row>
    <row r="479" spans="1:18" x14ac:dyDescent="0.3">
      <c r="A479" t="s">
        <v>452</v>
      </c>
      <c r="B479">
        <v>1</v>
      </c>
      <c r="C479" t="s">
        <v>0</v>
      </c>
      <c r="D479" t="s">
        <v>452</v>
      </c>
      <c r="E479">
        <v>30</v>
      </c>
      <c r="F479" t="s">
        <v>452</v>
      </c>
      <c r="I479">
        <v>6</v>
      </c>
      <c r="J479" t="s">
        <v>1357</v>
      </c>
      <c r="K479">
        <v>142</v>
      </c>
      <c r="L479" t="s">
        <v>1</v>
      </c>
      <c r="M479" t="s">
        <v>0</v>
      </c>
      <c r="N479" t="s">
        <v>1266</v>
      </c>
      <c r="O479" t="s">
        <v>1266</v>
      </c>
      <c r="P479" t="s">
        <v>1266</v>
      </c>
      <c r="Q479" t="s">
        <v>1266</v>
      </c>
      <c r="R479" t="s">
        <v>1266</v>
      </c>
    </row>
    <row r="480" spans="1:18" x14ac:dyDescent="0.3">
      <c r="A480" t="s">
        <v>473</v>
      </c>
      <c r="B480">
        <v>2</v>
      </c>
      <c r="C480" t="s">
        <v>1</v>
      </c>
      <c r="D480" t="s">
        <v>473</v>
      </c>
      <c r="E480">
        <v>30</v>
      </c>
      <c r="F480" t="s">
        <v>473</v>
      </c>
      <c r="I480">
        <v>5</v>
      </c>
      <c r="J480" t="s">
        <v>1357</v>
      </c>
      <c r="K480">
        <v>143</v>
      </c>
      <c r="L480" t="s">
        <v>0</v>
      </c>
      <c r="M480" t="s">
        <v>0</v>
      </c>
      <c r="N480" t="s">
        <v>1266</v>
      </c>
      <c r="O480" t="s">
        <v>1266</v>
      </c>
      <c r="P480" t="s">
        <v>1266</v>
      </c>
      <c r="Q480" t="s">
        <v>1266</v>
      </c>
      <c r="R480" t="s">
        <v>1266</v>
      </c>
    </row>
    <row r="481" spans="1:18" x14ac:dyDescent="0.3">
      <c r="A481" t="s">
        <v>52</v>
      </c>
      <c r="B481">
        <v>3</v>
      </c>
      <c r="C481" t="s">
        <v>1</v>
      </c>
      <c r="D481" t="s">
        <v>52</v>
      </c>
      <c r="E481">
        <v>30</v>
      </c>
      <c r="F481" t="s">
        <v>52</v>
      </c>
      <c r="I481">
        <v>21</v>
      </c>
      <c r="J481" t="s">
        <v>1357</v>
      </c>
      <c r="K481">
        <v>144</v>
      </c>
      <c r="L481" t="s">
        <v>1</v>
      </c>
      <c r="M481" t="s">
        <v>0</v>
      </c>
      <c r="N481" t="s">
        <v>1266</v>
      </c>
      <c r="O481" t="s">
        <v>1266</v>
      </c>
      <c r="P481" t="s">
        <v>1266</v>
      </c>
      <c r="Q481" t="s">
        <v>1266</v>
      </c>
      <c r="R481" t="s">
        <v>1266</v>
      </c>
    </row>
    <row r="482" spans="1:18" x14ac:dyDescent="0.3">
      <c r="A482" t="s">
        <v>471</v>
      </c>
      <c r="B482">
        <v>4</v>
      </c>
      <c r="C482" t="s">
        <v>1</v>
      </c>
      <c r="D482" t="s">
        <v>471</v>
      </c>
      <c r="E482">
        <v>30</v>
      </c>
      <c r="F482" t="s">
        <v>471</v>
      </c>
      <c r="I482">
        <v>6</v>
      </c>
      <c r="J482" t="s">
        <v>1357</v>
      </c>
      <c r="K482">
        <v>145</v>
      </c>
      <c r="L482" t="s">
        <v>1</v>
      </c>
      <c r="M482" t="s">
        <v>0</v>
      </c>
      <c r="N482" t="s">
        <v>1266</v>
      </c>
      <c r="O482" t="s">
        <v>1266</v>
      </c>
      <c r="P482" t="s">
        <v>1266</v>
      </c>
      <c r="Q482" t="s">
        <v>1266</v>
      </c>
      <c r="R482" t="s">
        <v>1266</v>
      </c>
    </row>
    <row r="483" spans="1:18" x14ac:dyDescent="0.3">
      <c r="A483" t="s">
        <v>472</v>
      </c>
      <c r="B483">
        <v>5</v>
      </c>
      <c r="C483" t="s">
        <v>1</v>
      </c>
      <c r="D483" t="s">
        <v>472</v>
      </c>
      <c r="E483">
        <v>30</v>
      </c>
      <c r="F483" t="s">
        <v>472</v>
      </c>
      <c r="I483">
        <v>1</v>
      </c>
      <c r="J483" t="s">
        <v>1357</v>
      </c>
      <c r="K483">
        <v>146</v>
      </c>
      <c r="L483" t="s">
        <v>1</v>
      </c>
      <c r="M483" t="s">
        <v>0</v>
      </c>
      <c r="N483" t="s">
        <v>1266</v>
      </c>
      <c r="O483" t="s">
        <v>1266</v>
      </c>
      <c r="P483" t="s">
        <v>1266</v>
      </c>
      <c r="Q483" t="s">
        <v>1266</v>
      </c>
      <c r="R483" t="s">
        <v>1266</v>
      </c>
    </row>
    <row r="484" spans="1:18" x14ac:dyDescent="0.3">
      <c r="A484" t="s">
        <v>1457</v>
      </c>
      <c r="B484">
        <v>6</v>
      </c>
      <c r="C484" t="s">
        <v>0</v>
      </c>
      <c r="D484" t="s">
        <v>1457</v>
      </c>
      <c r="E484">
        <v>30</v>
      </c>
      <c r="F484" t="s">
        <v>1457</v>
      </c>
      <c r="I484">
        <v>1</v>
      </c>
      <c r="J484" t="s">
        <v>1357</v>
      </c>
      <c r="K484">
        <v>147</v>
      </c>
      <c r="L484" t="s">
        <v>1</v>
      </c>
      <c r="M484" t="s">
        <v>0</v>
      </c>
      <c r="N484" t="s">
        <v>1266</v>
      </c>
      <c r="O484" t="s">
        <v>1266</v>
      </c>
      <c r="P484" t="s">
        <v>1266</v>
      </c>
      <c r="Q484" t="s">
        <v>1266</v>
      </c>
      <c r="R484" t="s">
        <v>1266</v>
      </c>
    </row>
    <row r="485" spans="1:18" x14ac:dyDescent="0.3">
      <c r="A485" t="s">
        <v>51</v>
      </c>
      <c r="B485">
        <v>7</v>
      </c>
      <c r="C485" t="s">
        <v>1</v>
      </c>
      <c r="D485" t="s">
        <v>51</v>
      </c>
      <c r="E485">
        <v>30</v>
      </c>
      <c r="F485" t="s">
        <v>51</v>
      </c>
      <c r="I485">
        <v>21</v>
      </c>
      <c r="J485" t="s">
        <v>1357</v>
      </c>
      <c r="K485">
        <v>148</v>
      </c>
      <c r="L485" t="s">
        <v>1</v>
      </c>
      <c r="M485" t="s">
        <v>0</v>
      </c>
      <c r="N485" t="s">
        <v>1266</v>
      </c>
      <c r="O485" t="s">
        <v>1266</v>
      </c>
      <c r="P485" t="s">
        <v>1266</v>
      </c>
      <c r="Q485" t="s">
        <v>1266</v>
      </c>
      <c r="R485" t="s">
        <v>1266</v>
      </c>
    </row>
    <row r="486" spans="1:18" x14ac:dyDescent="0.3">
      <c r="A486" t="s">
        <v>474</v>
      </c>
      <c r="B486">
        <v>8</v>
      </c>
      <c r="C486" t="s">
        <v>0</v>
      </c>
      <c r="D486" t="s">
        <v>474</v>
      </c>
      <c r="E486">
        <v>30</v>
      </c>
      <c r="F486" t="s">
        <v>474</v>
      </c>
      <c r="I486">
        <v>1</v>
      </c>
      <c r="J486" t="s">
        <v>1357</v>
      </c>
      <c r="K486">
        <v>149</v>
      </c>
      <c r="L486" t="s">
        <v>1</v>
      </c>
      <c r="M486" t="s">
        <v>0</v>
      </c>
      <c r="N486" t="s">
        <v>1266</v>
      </c>
      <c r="O486" t="s">
        <v>1266</v>
      </c>
      <c r="P486" t="s">
        <v>1266</v>
      </c>
      <c r="Q486" t="s">
        <v>1266</v>
      </c>
      <c r="R486" t="s">
        <v>1266</v>
      </c>
    </row>
    <row r="487" spans="1:18" x14ac:dyDescent="0.3">
      <c r="A487" t="s">
        <v>453</v>
      </c>
      <c r="B487">
        <v>1</v>
      </c>
      <c r="C487" t="s">
        <v>0</v>
      </c>
      <c r="D487" t="s">
        <v>453</v>
      </c>
      <c r="E487">
        <v>30</v>
      </c>
      <c r="F487" t="s">
        <v>452</v>
      </c>
      <c r="I487">
        <v>6</v>
      </c>
      <c r="J487" t="s">
        <v>395</v>
      </c>
      <c r="K487">
        <v>150</v>
      </c>
      <c r="L487" t="s">
        <v>1</v>
      </c>
      <c r="M487" t="s">
        <v>0</v>
      </c>
      <c r="N487" t="s">
        <v>1266</v>
      </c>
      <c r="O487" t="s">
        <v>1266</v>
      </c>
      <c r="P487" t="s">
        <v>1266</v>
      </c>
      <c r="Q487" t="s">
        <v>1266</v>
      </c>
      <c r="R487" t="s">
        <v>1266</v>
      </c>
    </row>
    <row r="488" spans="1:18" x14ac:dyDescent="0.3">
      <c r="A488" t="s">
        <v>485</v>
      </c>
      <c r="B488">
        <v>2</v>
      </c>
      <c r="C488" t="s">
        <v>1</v>
      </c>
      <c r="D488" t="s">
        <v>485</v>
      </c>
      <c r="E488">
        <v>30</v>
      </c>
      <c r="F488" t="s">
        <v>937</v>
      </c>
      <c r="I488">
        <v>6</v>
      </c>
      <c r="J488" t="s">
        <v>395</v>
      </c>
      <c r="K488">
        <v>151</v>
      </c>
      <c r="L488" t="s">
        <v>1</v>
      </c>
      <c r="M488" t="s">
        <v>0</v>
      </c>
      <c r="N488" t="s">
        <v>1266</v>
      </c>
      <c r="O488" t="s">
        <v>1266</v>
      </c>
      <c r="P488" t="s">
        <v>1266</v>
      </c>
      <c r="Q488" t="s">
        <v>1266</v>
      </c>
      <c r="R488" t="s">
        <v>1266</v>
      </c>
    </row>
    <row r="489" spans="1:18" x14ac:dyDescent="0.3">
      <c r="A489" t="s">
        <v>566</v>
      </c>
      <c r="B489">
        <v>3</v>
      </c>
      <c r="C489" t="s">
        <v>0</v>
      </c>
      <c r="D489" t="s">
        <v>566</v>
      </c>
      <c r="E489">
        <v>30</v>
      </c>
      <c r="F489" t="s">
        <v>943</v>
      </c>
      <c r="I489">
        <v>3</v>
      </c>
      <c r="J489" t="s">
        <v>395</v>
      </c>
      <c r="K489">
        <v>152</v>
      </c>
      <c r="L489" t="s">
        <v>1</v>
      </c>
      <c r="M489" t="s">
        <v>0</v>
      </c>
      <c r="N489" t="s">
        <v>1266</v>
      </c>
      <c r="O489" t="s">
        <v>1266</v>
      </c>
      <c r="P489" t="s">
        <v>1266</v>
      </c>
      <c r="Q489" t="s">
        <v>1266</v>
      </c>
      <c r="R489" t="s">
        <v>1266</v>
      </c>
    </row>
    <row r="490" spans="1:18" x14ac:dyDescent="0.3">
      <c r="A490" t="s">
        <v>445</v>
      </c>
      <c r="B490">
        <v>4</v>
      </c>
      <c r="C490" t="s">
        <v>1</v>
      </c>
      <c r="D490" t="s">
        <v>445</v>
      </c>
      <c r="E490">
        <v>30</v>
      </c>
      <c r="F490" t="s">
        <v>515</v>
      </c>
      <c r="I490">
        <v>5</v>
      </c>
      <c r="J490" t="s">
        <v>395</v>
      </c>
      <c r="K490">
        <v>153</v>
      </c>
      <c r="L490" t="s">
        <v>0</v>
      </c>
      <c r="M490" t="s">
        <v>0</v>
      </c>
      <c r="N490" t="s">
        <v>1266</v>
      </c>
      <c r="O490" t="s">
        <v>1266</v>
      </c>
      <c r="P490" t="s">
        <v>1266</v>
      </c>
      <c r="Q490" t="s">
        <v>1266</v>
      </c>
      <c r="R490" t="s">
        <v>1266</v>
      </c>
    </row>
    <row r="491" spans="1:18" x14ac:dyDescent="0.3">
      <c r="A491" t="s">
        <v>939</v>
      </c>
      <c r="B491">
        <v>5</v>
      </c>
      <c r="C491" t="s">
        <v>0</v>
      </c>
      <c r="D491" t="s">
        <v>939</v>
      </c>
      <c r="E491">
        <v>30</v>
      </c>
      <c r="F491" t="s">
        <v>938</v>
      </c>
      <c r="I491">
        <v>1</v>
      </c>
      <c r="J491" t="s">
        <v>395</v>
      </c>
      <c r="K491">
        <v>154</v>
      </c>
      <c r="L491" t="s">
        <v>1</v>
      </c>
      <c r="M491" t="s">
        <v>0</v>
      </c>
      <c r="N491" t="s">
        <v>1266</v>
      </c>
      <c r="O491" t="s">
        <v>1266</v>
      </c>
      <c r="P491" t="s">
        <v>1266</v>
      </c>
      <c r="Q491" t="s">
        <v>1266</v>
      </c>
      <c r="R491" t="s">
        <v>1266</v>
      </c>
    </row>
    <row r="492" spans="1:18" x14ac:dyDescent="0.3">
      <c r="A492" t="s">
        <v>941</v>
      </c>
      <c r="B492">
        <v>6</v>
      </c>
      <c r="C492" t="s">
        <v>0</v>
      </c>
      <c r="D492" t="s">
        <v>941</v>
      </c>
      <c r="E492">
        <v>30</v>
      </c>
      <c r="F492" t="s">
        <v>940</v>
      </c>
      <c r="I492">
        <v>1</v>
      </c>
      <c r="J492" t="s">
        <v>395</v>
      </c>
      <c r="K492">
        <v>155</v>
      </c>
      <c r="L492" t="s">
        <v>1</v>
      </c>
      <c r="M492" t="s">
        <v>0</v>
      </c>
      <c r="N492" t="s">
        <v>1266</v>
      </c>
      <c r="O492" t="s">
        <v>1266</v>
      </c>
      <c r="P492" t="s">
        <v>1266</v>
      </c>
      <c r="Q492" t="s">
        <v>1266</v>
      </c>
      <c r="R492" t="s">
        <v>1266</v>
      </c>
    </row>
    <row r="493" spans="1:18" x14ac:dyDescent="0.3">
      <c r="A493" t="s">
        <v>426</v>
      </c>
      <c r="B493">
        <v>7</v>
      </c>
      <c r="C493" t="s">
        <v>1</v>
      </c>
      <c r="D493" t="s">
        <v>426</v>
      </c>
      <c r="E493">
        <v>30</v>
      </c>
      <c r="F493" t="s">
        <v>52</v>
      </c>
      <c r="I493">
        <v>21</v>
      </c>
      <c r="J493" t="s">
        <v>395</v>
      </c>
      <c r="K493">
        <v>156</v>
      </c>
      <c r="L493" t="s">
        <v>1</v>
      </c>
      <c r="M493" t="s">
        <v>0</v>
      </c>
      <c r="N493" t="s">
        <v>1266</v>
      </c>
      <c r="O493" t="s">
        <v>1266</v>
      </c>
      <c r="P493" t="s">
        <v>1266</v>
      </c>
      <c r="Q493" t="s">
        <v>1266</v>
      </c>
      <c r="R493" t="s">
        <v>1266</v>
      </c>
    </row>
    <row r="494" spans="1:18" x14ac:dyDescent="0.3">
      <c r="A494" t="s">
        <v>1639</v>
      </c>
      <c r="B494">
        <v>8</v>
      </c>
      <c r="C494" t="s">
        <v>1</v>
      </c>
      <c r="D494" t="s">
        <v>942</v>
      </c>
      <c r="E494">
        <v>30</v>
      </c>
      <c r="F494" t="s">
        <v>936</v>
      </c>
      <c r="I494">
        <v>5</v>
      </c>
      <c r="J494" t="s">
        <v>395</v>
      </c>
      <c r="K494">
        <v>157</v>
      </c>
      <c r="L494" t="s">
        <v>1</v>
      </c>
      <c r="M494" t="s">
        <v>0</v>
      </c>
      <c r="N494" t="s">
        <v>1266</v>
      </c>
      <c r="O494" t="s">
        <v>1266</v>
      </c>
      <c r="P494" t="s">
        <v>1266</v>
      </c>
      <c r="Q494" t="s">
        <v>1266</v>
      </c>
      <c r="R494" t="s">
        <v>1266</v>
      </c>
    </row>
    <row r="495" spans="1:18" x14ac:dyDescent="0.3">
      <c r="A495" t="s">
        <v>432</v>
      </c>
      <c r="B495">
        <v>9</v>
      </c>
      <c r="C495" t="s">
        <v>1</v>
      </c>
      <c r="D495" t="s">
        <v>432</v>
      </c>
      <c r="E495">
        <v>30</v>
      </c>
      <c r="F495" t="s">
        <v>51</v>
      </c>
      <c r="I495">
        <v>21</v>
      </c>
      <c r="J495" t="s">
        <v>395</v>
      </c>
      <c r="K495">
        <v>158</v>
      </c>
      <c r="L495" t="s">
        <v>1</v>
      </c>
      <c r="M495" t="s">
        <v>0</v>
      </c>
      <c r="N495" t="s">
        <v>1266</v>
      </c>
      <c r="O495" t="s">
        <v>1266</v>
      </c>
      <c r="P495" t="s">
        <v>1266</v>
      </c>
      <c r="Q495" t="s">
        <v>1266</v>
      </c>
      <c r="R495" t="s">
        <v>1266</v>
      </c>
    </row>
    <row r="496" spans="1:18" x14ac:dyDescent="0.3">
      <c r="A496" t="s">
        <v>453</v>
      </c>
      <c r="B496">
        <v>1</v>
      </c>
      <c r="C496" t="s">
        <v>0</v>
      </c>
      <c r="D496" t="s">
        <v>453</v>
      </c>
      <c r="E496">
        <v>30</v>
      </c>
      <c r="F496" t="s">
        <v>452</v>
      </c>
      <c r="I496">
        <v>6</v>
      </c>
      <c r="J496" t="s">
        <v>399</v>
      </c>
      <c r="K496">
        <v>159</v>
      </c>
      <c r="L496" t="s">
        <v>1</v>
      </c>
      <c r="M496" t="s">
        <v>0</v>
      </c>
      <c r="N496" t="s">
        <v>1266</v>
      </c>
      <c r="O496" t="s">
        <v>1266</v>
      </c>
      <c r="P496" t="s">
        <v>1266</v>
      </c>
      <c r="Q496" t="s">
        <v>1266</v>
      </c>
      <c r="R496" t="s">
        <v>1266</v>
      </c>
    </row>
    <row r="497" spans="1:18" x14ac:dyDescent="0.3">
      <c r="A497" t="s">
        <v>426</v>
      </c>
      <c r="B497">
        <v>2</v>
      </c>
      <c r="C497" t="s">
        <v>1</v>
      </c>
      <c r="D497" t="s">
        <v>426</v>
      </c>
      <c r="E497">
        <v>30</v>
      </c>
      <c r="F497" t="s">
        <v>52</v>
      </c>
      <c r="I497">
        <v>21</v>
      </c>
      <c r="J497" t="s">
        <v>399</v>
      </c>
      <c r="K497">
        <v>160</v>
      </c>
      <c r="L497" t="s">
        <v>1</v>
      </c>
      <c r="M497" t="s">
        <v>0</v>
      </c>
      <c r="N497" t="s">
        <v>1266</v>
      </c>
      <c r="O497" t="s">
        <v>1266</v>
      </c>
      <c r="P497" t="s">
        <v>1266</v>
      </c>
      <c r="Q497" t="s">
        <v>1266</v>
      </c>
      <c r="R497" t="s">
        <v>1266</v>
      </c>
    </row>
    <row r="498" spans="1:18" x14ac:dyDescent="0.3">
      <c r="A498" t="s">
        <v>769</v>
      </c>
      <c r="B498">
        <v>3</v>
      </c>
      <c r="C498" t="s">
        <v>1</v>
      </c>
      <c r="D498" t="s">
        <v>769</v>
      </c>
      <c r="E498">
        <v>30</v>
      </c>
      <c r="F498" t="s">
        <v>768</v>
      </c>
      <c r="I498">
        <v>6</v>
      </c>
      <c r="J498" t="s">
        <v>399</v>
      </c>
      <c r="K498">
        <v>161</v>
      </c>
      <c r="L498" t="s">
        <v>1</v>
      </c>
      <c r="M498" t="s">
        <v>0</v>
      </c>
      <c r="N498" t="s">
        <v>1266</v>
      </c>
      <c r="O498" t="s">
        <v>1266</v>
      </c>
      <c r="P498" t="s">
        <v>1266</v>
      </c>
      <c r="Q498" t="s">
        <v>1266</v>
      </c>
      <c r="R498" t="s">
        <v>1266</v>
      </c>
    </row>
    <row r="499" spans="1:18" x14ac:dyDescent="0.3">
      <c r="A499" t="s">
        <v>566</v>
      </c>
      <c r="B499">
        <v>4</v>
      </c>
      <c r="C499" t="s">
        <v>0</v>
      </c>
      <c r="D499" t="s">
        <v>566</v>
      </c>
      <c r="E499">
        <v>30</v>
      </c>
      <c r="F499" t="s">
        <v>774</v>
      </c>
      <c r="I499">
        <v>3</v>
      </c>
      <c r="J499" t="s">
        <v>399</v>
      </c>
      <c r="K499">
        <v>162</v>
      </c>
      <c r="L499" t="s">
        <v>1</v>
      </c>
      <c r="M499" t="s">
        <v>0</v>
      </c>
      <c r="N499" t="s">
        <v>1266</v>
      </c>
      <c r="O499" t="s">
        <v>1266</v>
      </c>
      <c r="P499" t="s">
        <v>1266</v>
      </c>
      <c r="Q499" t="s">
        <v>1266</v>
      </c>
      <c r="R499" t="s">
        <v>1266</v>
      </c>
    </row>
    <row r="500" spans="1:18" x14ac:dyDescent="0.3">
      <c r="A500" t="s">
        <v>445</v>
      </c>
      <c r="B500">
        <v>5</v>
      </c>
      <c r="C500" t="s">
        <v>1</v>
      </c>
      <c r="D500" t="s">
        <v>445</v>
      </c>
      <c r="E500">
        <v>30</v>
      </c>
      <c r="F500" t="s">
        <v>680</v>
      </c>
      <c r="I500">
        <v>5</v>
      </c>
      <c r="J500" t="s">
        <v>399</v>
      </c>
      <c r="K500">
        <v>163</v>
      </c>
      <c r="L500" t="s">
        <v>0</v>
      </c>
      <c r="M500" t="s">
        <v>0</v>
      </c>
      <c r="N500" t="s">
        <v>1266</v>
      </c>
      <c r="O500" t="s">
        <v>1266</v>
      </c>
      <c r="P500" t="s">
        <v>1266</v>
      </c>
      <c r="Q500" t="s">
        <v>1266</v>
      </c>
      <c r="R500" t="s">
        <v>1266</v>
      </c>
    </row>
    <row r="501" spans="1:18" x14ac:dyDescent="0.3">
      <c r="A501" t="s">
        <v>771</v>
      </c>
      <c r="B501">
        <v>6</v>
      </c>
      <c r="C501" t="s">
        <v>1</v>
      </c>
      <c r="D501" t="s">
        <v>771</v>
      </c>
      <c r="E501">
        <v>30</v>
      </c>
      <c r="F501" t="s">
        <v>770</v>
      </c>
      <c r="I501">
        <v>1</v>
      </c>
      <c r="J501" t="s">
        <v>399</v>
      </c>
      <c r="K501">
        <v>164</v>
      </c>
      <c r="L501" t="s">
        <v>1</v>
      </c>
      <c r="M501" t="s">
        <v>0</v>
      </c>
      <c r="N501" t="s">
        <v>1266</v>
      </c>
      <c r="O501" t="s">
        <v>1266</v>
      </c>
      <c r="P501" t="s">
        <v>1266</v>
      </c>
      <c r="Q501" t="s">
        <v>1266</v>
      </c>
      <c r="R501" t="s">
        <v>1266</v>
      </c>
    </row>
    <row r="502" spans="1:18" x14ac:dyDescent="0.3">
      <c r="A502" t="s">
        <v>773</v>
      </c>
      <c r="B502">
        <v>7</v>
      </c>
      <c r="C502" t="s">
        <v>0</v>
      </c>
      <c r="D502" t="s">
        <v>773</v>
      </c>
      <c r="E502">
        <v>30</v>
      </c>
      <c r="F502" t="s">
        <v>772</v>
      </c>
      <c r="I502">
        <v>1</v>
      </c>
      <c r="J502" t="s">
        <v>399</v>
      </c>
      <c r="K502">
        <v>165</v>
      </c>
      <c r="L502" t="s">
        <v>1</v>
      </c>
      <c r="M502" t="s">
        <v>0</v>
      </c>
      <c r="N502" t="s">
        <v>1266</v>
      </c>
      <c r="O502" t="s">
        <v>1266</v>
      </c>
      <c r="P502" t="s">
        <v>1266</v>
      </c>
      <c r="Q502" t="s">
        <v>1266</v>
      </c>
      <c r="R502" t="s">
        <v>1266</v>
      </c>
    </row>
    <row r="503" spans="1:18" x14ac:dyDescent="0.3">
      <c r="A503" t="s">
        <v>432</v>
      </c>
      <c r="B503">
        <v>8</v>
      </c>
      <c r="C503" t="s">
        <v>1</v>
      </c>
      <c r="D503" t="s">
        <v>432</v>
      </c>
      <c r="E503">
        <v>30</v>
      </c>
      <c r="F503" t="s">
        <v>51</v>
      </c>
      <c r="I503">
        <v>21</v>
      </c>
      <c r="J503" t="s">
        <v>399</v>
      </c>
      <c r="K503">
        <v>166</v>
      </c>
      <c r="L503" t="s">
        <v>1</v>
      </c>
      <c r="M503" t="s">
        <v>0</v>
      </c>
      <c r="N503" t="s">
        <v>1266</v>
      </c>
      <c r="O503" t="s">
        <v>1266</v>
      </c>
      <c r="P503" t="s">
        <v>1266</v>
      </c>
      <c r="Q503" t="s">
        <v>1266</v>
      </c>
      <c r="R503" t="s">
        <v>1266</v>
      </c>
    </row>
    <row r="504" spans="1:18" x14ac:dyDescent="0.3">
      <c r="A504" t="s">
        <v>52</v>
      </c>
      <c r="B504">
        <v>1</v>
      </c>
      <c r="C504" t="s">
        <v>1</v>
      </c>
      <c r="D504" t="s">
        <v>52</v>
      </c>
      <c r="E504">
        <v>30</v>
      </c>
      <c r="F504" t="s">
        <v>52</v>
      </c>
      <c r="I504">
        <v>21</v>
      </c>
      <c r="J504" t="s">
        <v>1311</v>
      </c>
      <c r="K504">
        <v>167</v>
      </c>
      <c r="L504" t="s">
        <v>1</v>
      </c>
      <c r="M504" t="s">
        <v>0</v>
      </c>
      <c r="N504" t="s">
        <v>1266</v>
      </c>
      <c r="O504" t="s">
        <v>1266</v>
      </c>
      <c r="P504" t="s">
        <v>1266</v>
      </c>
      <c r="Q504" t="s">
        <v>1266</v>
      </c>
      <c r="R504" t="s">
        <v>1266</v>
      </c>
    </row>
    <row r="505" spans="1:18" x14ac:dyDescent="0.3">
      <c r="A505" t="s">
        <v>1534</v>
      </c>
      <c r="B505">
        <v>2</v>
      </c>
      <c r="C505" t="s">
        <v>0</v>
      </c>
      <c r="D505" t="s">
        <v>1534</v>
      </c>
      <c r="E505">
        <v>30</v>
      </c>
      <c r="F505" t="s">
        <v>1534</v>
      </c>
      <c r="I505">
        <v>6</v>
      </c>
      <c r="J505" t="s">
        <v>1311</v>
      </c>
      <c r="K505">
        <v>168</v>
      </c>
      <c r="L505" t="s">
        <v>1</v>
      </c>
      <c r="M505" t="s">
        <v>0</v>
      </c>
      <c r="N505" t="s">
        <v>1266</v>
      </c>
      <c r="O505" t="s">
        <v>1266</v>
      </c>
      <c r="P505" t="s">
        <v>1266</v>
      </c>
      <c r="Q505" t="s">
        <v>1266</v>
      </c>
      <c r="R505" t="s">
        <v>1266</v>
      </c>
    </row>
    <row r="506" spans="1:18" x14ac:dyDescent="0.3">
      <c r="A506" t="s">
        <v>1401</v>
      </c>
      <c r="B506">
        <v>3</v>
      </c>
      <c r="C506" t="s">
        <v>0</v>
      </c>
      <c r="D506" t="s">
        <v>1401</v>
      </c>
      <c r="E506">
        <v>30</v>
      </c>
      <c r="F506" t="s">
        <v>1401</v>
      </c>
      <c r="I506">
        <v>3</v>
      </c>
      <c r="J506" t="s">
        <v>1311</v>
      </c>
      <c r="K506">
        <v>169</v>
      </c>
      <c r="L506" t="s">
        <v>1</v>
      </c>
      <c r="M506" t="s">
        <v>0</v>
      </c>
      <c r="N506" t="s">
        <v>1266</v>
      </c>
      <c r="O506" t="s">
        <v>1266</v>
      </c>
      <c r="P506" t="s">
        <v>1266</v>
      </c>
      <c r="Q506" t="s">
        <v>1266</v>
      </c>
      <c r="R506" t="s">
        <v>1266</v>
      </c>
    </row>
    <row r="507" spans="1:18" x14ac:dyDescent="0.3">
      <c r="A507" t="s">
        <v>1386</v>
      </c>
      <c r="B507">
        <v>4</v>
      </c>
      <c r="C507" t="s">
        <v>1</v>
      </c>
      <c r="D507" t="s">
        <v>1386</v>
      </c>
      <c r="E507">
        <v>30</v>
      </c>
      <c r="F507" t="s">
        <v>1386</v>
      </c>
      <c r="I507">
        <v>5</v>
      </c>
      <c r="J507" t="s">
        <v>1311</v>
      </c>
      <c r="K507">
        <v>170</v>
      </c>
      <c r="L507" t="s">
        <v>0</v>
      </c>
      <c r="M507" t="s">
        <v>0</v>
      </c>
      <c r="N507" t="s">
        <v>1266</v>
      </c>
      <c r="O507" t="s">
        <v>1266</v>
      </c>
      <c r="P507" t="s">
        <v>1266</v>
      </c>
      <c r="Q507" t="s">
        <v>1266</v>
      </c>
      <c r="R507" t="s">
        <v>1266</v>
      </c>
    </row>
    <row r="508" spans="1:18" x14ac:dyDescent="0.3">
      <c r="A508" t="s">
        <v>1387</v>
      </c>
      <c r="B508">
        <v>5</v>
      </c>
      <c r="C508" t="s">
        <v>0</v>
      </c>
      <c r="D508" t="s">
        <v>1387</v>
      </c>
      <c r="E508">
        <v>30</v>
      </c>
      <c r="F508" t="s">
        <v>1387</v>
      </c>
      <c r="I508">
        <v>1</v>
      </c>
      <c r="J508" t="s">
        <v>1311</v>
      </c>
      <c r="K508">
        <v>171</v>
      </c>
      <c r="L508" t="s">
        <v>1</v>
      </c>
      <c r="M508" t="s">
        <v>0</v>
      </c>
      <c r="N508" t="s">
        <v>1266</v>
      </c>
      <c r="O508" t="s">
        <v>1266</v>
      </c>
      <c r="P508" t="s">
        <v>1266</v>
      </c>
      <c r="Q508" t="s">
        <v>1266</v>
      </c>
      <c r="R508" t="s">
        <v>1266</v>
      </c>
    </row>
    <row r="509" spans="1:18" x14ac:dyDescent="0.3">
      <c r="A509" t="s">
        <v>51</v>
      </c>
      <c r="B509">
        <v>6</v>
      </c>
      <c r="C509" t="s">
        <v>1</v>
      </c>
      <c r="D509" t="s">
        <v>51</v>
      </c>
      <c r="E509">
        <v>30</v>
      </c>
      <c r="F509" t="s">
        <v>51</v>
      </c>
      <c r="I509">
        <v>21</v>
      </c>
      <c r="J509" t="s">
        <v>1311</v>
      </c>
      <c r="K509">
        <v>172</v>
      </c>
      <c r="L509" t="s">
        <v>1</v>
      </c>
      <c r="M509" t="s">
        <v>0</v>
      </c>
      <c r="N509" t="s">
        <v>1266</v>
      </c>
      <c r="O509" t="s">
        <v>1266</v>
      </c>
      <c r="P509" t="s">
        <v>1266</v>
      </c>
      <c r="Q509" t="s">
        <v>1266</v>
      </c>
      <c r="R509" t="s">
        <v>1266</v>
      </c>
    </row>
    <row r="510" spans="1:18" x14ac:dyDescent="0.3">
      <c r="A510" t="s">
        <v>426</v>
      </c>
      <c r="B510">
        <v>1</v>
      </c>
      <c r="C510" t="s">
        <v>1</v>
      </c>
      <c r="D510" t="s">
        <v>426</v>
      </c>
      <c r="E510">
        <v>30</v>
      </c>
      <c r="F510" t="s">
        <v>52</v>
      </c>
      <c r="I510">
        <v>21</v>
      </c>
      <c r="J510" t="s">
        <v>390</v>
      </c>
      <c r="K510">
        <v>173</v>
      </c>
      <c r="L510" t="s">
        <v>1</v>
      </c>
      <c r="M510" t="s">
        <v>0</v>
      </c>
      <c r="N510" t="s">
        <v>1266</v>
      </c>
      <c r="O510" t="s">
        <v>1266</v>
      </c>
      <c r="P510" t="s">
        <v>1266</v>
      </c>
      <c r="Q510" t="s">
        <v>1266</v>
      </c>
      <c r="R510" t="s">
        <v>1266</v>
      </c>
    </row>
    <row r="511" spans="1:18" x14ac:dyDescent="0.3">
      <c r="A511" t="s">
        <v>455</v>
      </c>
      <c r="B511">
        <v>2</v>
      </c>
      <c r="C511" t="s">
        <v>0</v>
      </c>
      <c r="D511" t="s">
        <v>455</v>
      </c>
      <c r="E511">
        <v>30</v>
      </c>
      <c r="F511" t="s">
        <v>454</v>
      </c>
      <c r="I511">
        <v>6</v>
      </c>
      <c r="J511" t="s">
        <v>390</v>
      </c>
      <c r="K511">
        <v>174</v>
      </c>
      <c r="L511" t="s">
        <v>1</v>
      </c>
      <c r="M511" t="s">
        <v>0</v>
      </c>
      <c r="N511" t="s">
        <v>1266</v>
      </c>
      <c r="O511" t="s">
        <v>1266</v>
      </c>
      <c r="P511" t="s">
        <v>1266</v>
      </c>
      <c r="Q511" t="s">
        <v>1266</v>
      </c>
      <c r="R511" t="s">
        <v>1266</v>
      </c>
    </row>
    <row r="512" spans="1:18" x14ac:dyDescent="0.3">
      <c r="A512" t="s">
        <v>1598</v>
      </c>
      <c r="B512">
        <v>3</v>
      </c>
      <c r="C512" t="s">
        <v>1</v>
      </c>
      <c r="D512" t="s">
        <v>1598</v>
      </c>
      <c r="E512">
        <v>30</v>
      </c>
      <c r="F512" t="s">
        <v>1598</v>
      </c>
      <c r="I512">
        <v>6</v>
      </c>
      <c r="J512" t="s">
        <v>390</v>
      </c>
      <c r="K512">
        <v>175</v>
      </c>
      <c r="L512" t="s">
        <v>1</v>
      </c>
      <c r="M512" t="s">
        <v>0</v>
      </c>
      <c r="N512" t="s">
        <v>1266</v>
      </c>
      <c r="O512" t="s">
        <v>1266</v>
      </c>
      <c r="P512" t="s">
        <v>1266</v>
      </c>
      <c r="Q512" t="s">
        <v>1266</v>
      </c>
      <c r="R512" t="s">
        <v>1266</v>
      </c>
    </row>
    <row r="513" spans="1:18" x14ac:dyDescent="0.3">
      <c r="A513" t="s">
        <v>460</v>
      </c>
      <c r="B513">
        <v>4</v>
      </c>
      <c r="C513" t="s">
        <v>0</v>
      </c>
      <c r="E513">
        <v>30</v>
      </c>
      <c r="F513" t="s">
        <v>460</v>
      </c>
      <c r="I513">
        <v>5</v>
      </c>
      <c r="J513" t="s">
        <v>390</v>
      </c>
      <c r="K513">
        <v>176</v>
      </c>
      <c r="L513" t="s">
        <v>1</v>
      </c>
      <c r="M513" t="s">
        <v>0</v>
      </c>
      <c r="N513" t="s">
        <v>1266</v>
      </c>
      <c r="O513" t="s">
        <v>1266</v>
      </c>
      <c r="P513" t="s">
        <v>1266</v>
      </c>
      <c r="Q513" t="s">
        <v>1266</v>
      </c>
      <c r="R513" t="s">
        <v>1266</v>
      </c>
    </row>
    <row r="514" spans="1:18" x14ac:dyDescent="0.3">
      <c r="A514" t="s">
        <v>459</v>
      </c>
      <c r="B514">
        <v>5</v>
      </c>
      <c r="C514" t="s">
        <v>1</v>
      </c>
      <c r="D514" t="s">
        <v>459</v>
      </c>
      <c r="E514">
        <v>30</v>
      </c>
      <c r="F514" t="s">
        <v>458</v>
      </c>
      <c r="I514">
        <v>5</v>
      </c>
      <c r="J514" t="s">
        <v>390</v>
      </c>
      <c r="K514">
        <v>184</v>
      </c>
      <c r="L514" t="s">
        <v>0</v>
      </c>
      <c r="M514" t="s">
        <v>0</v>
      </c>
      <c r="N514" t="s">
        <v>1266</v>
      </c>
      <c r="O514" t="s">
        <v>1266</v>
      </c>
      <c r="P514" t="s">
        <v>1266</v>
      </c>
      <c r="Q514" t="s">
        <v>1266</v>
      </c>
      <c r="R514" t="s">
        <v>1266</v>
      </c>
    </row>
    <row r="515" spans="1:18" x14ac:dyDescent="0.3">
      <c r="A515" t="s">
        <v>457</v>
      </c>
      <c r="B515">
        <v>6</v>
      </c>
      <c r="C515" t="s">
        <v>0</v>
      </c>
      <c r="D515" t="s">
        <v>457</v>
      </c>
      <c r="E515">
        <v>30</v>
      </c>
      <c r="F515" t="s">
        <v>456</v>
      </c>
      <c r="I515">
        <v>6</v>
      </c>
      <c r="J515" t="s">
        <v>390</v>
      </c>
      <c r="K515">
        <v>185</v>
      </c>
      <c r="L515" t="s">
        <v>1</v>
      </c>
      <c r="M515" t="s">
        <v>0</v>
      </c>
      <c r="N515" t="s">
        <v>1266</v>
      </c>
      <c r="O515" t="s">
        <v>1266</v>
      </c>
      <c r="P515" t="s">
        <v>1266</v>
      </c>
      <c r="Q515" t="s">
        <v>1266</v>
      </c>
      <c r="R515" t="s">
        <v>1266</v>
      </c>
    </row>
    <row r="516" spans="1:18" x14ac:dyDescent="0.3">
      <c r="A516" t="s">
        <v>432</v>
      </c>
      <c r="B516">
        <v>7</v>
      </c>
      <c r="C516" t="s">
        <v>1</v>
      </c>
      <c r="D516" t="s">
        <v>432</v>
      </c>
      <c r="E516">
        <v>30</v>
      </c>
      <c r="F516" t="s">
        <v>51</v>
      </c>
      <c r="I516">
        <v>21</v>
      </c>
      <c r="J516" t="s">
        <v>390</v>
      </c>
      <c r="K516">
        <v>186</v>
      </c>
      <c r="L516" t="s">
        <v>1</v>
      </c>
      <c r="M516" t="s">
        <v>0</v>
      </c>
      <c r="N516" t="s">
        <v>1266</v>
      </c>
      <c r="O516" t="s">
        <v>1266</v>
      </c>
      <c r="P516" t="s">
        <v>1266</v>
      </c>
      <c r="Q516" t="s">
        <v>1266</v>
      </c>
      <c r="R516" t="s">
        <v>1266</v>
      </c>
    </row>
    <row r="517" spans="1:18" x14ac:dyDescent="0.3">
      <c r="A517" t="s">
        <v>52</v>
      </c>
      <c r="B517">
        <v>1</v>
      </c>
      <c r="C517" t="s">
        <v>1</v>
      </c>
      <c r="D517" t="s">
        <v>52</v>
      </c>
      <c r="E517">
        <v>30</v>
      </c>
      <c r="F517" t="s">
        <v>52</v>
      </c>
      <c r="I517">
        <v>21</v>
      </c>
      <c r="J517" t="s">
        <v>1324</v>
      </c>
      <c r="K517">
        <v>760</v>
      </c>
      <c r="L517" t="s">
        <v>1</v>
      </c>
      <c r="M517" t="s">
        <v>0</v>
      </c>
      <c r="N517" t="s">
        <v>1266</v>
      </c>
      <c r="O517" t="s">
        <v>1266</v>
      </c>
      <c r="P517" t="s">
        <v>1266</v>
      </c>
      <c r="Q517" t="s">
        <v>1266</v>
      </c>
      <c r="R517" t="s">
        <v>1266</v>
      </c>
    </row>
    <row r="518" spans="1:18" x14ac:dyDescent="0.3">
      <c r="A518" t="s">
        <v>1577</v>
      </c>
      <c r="B518">
        <v>2</v>
      </c>
      <c r="C518" t="s">
        <v>1</v>
      </c>
      <c r="D518" t="s">
        <v>1577</v>
      </c>
      <c r="E518">
        <v>30</v>
      </c>
      <c r="F518" t="s">
        <v>1577</v>
      </c>
      <c r="I518">
        <v>6</v>
      </c>
      <c r="J518" t="s">
        <v>1324</v>
      </c>
      <c r="K518">
        <v>761</v>
      </c>
      <c r="L518" t="s">
        <v>1</v>
      </c>
      <c r="M518" t="s">
        <v>0</v>
      </c>
      <c r="N518" t="s">
        <v>1266</v>
      </c>
      <c r="O518" t="s">
        <v>1266</v>
      </c>
      <c r="P518" t="s">
        <v>1266</v>
      </c>
      <c r="Q518" t="s">
        <v>1266</v>
      </c>
      <c r="R518" t="s">
        <v>1266</v>
      </c>
    </row>
    <row r="519" spans="1:18" x14ac:dyDescent="0.3">
      <c r="A519" t="s">
        <v>1453</v>
      </c>
      <c r="B519">
        <v>3</v>
      </c>
      <c r="C519" t="s">
        <v>1</v>
      </c>
      <c r="D519" t="s">
        <v>1453</v>
      </c>
      <c r="E519">
        <v>30</v>
      </c>
      <c r="F519" t="s">
        <v>1453</v>
      </c>
      <c r="I519">
        <v>5</v>
      </c>
      <c r="J519" t="s">
        <v>1324</v>
      </c>
      <c r="K519">
        <v>762</v>
      </c>
      <c r="L519" t="s">
        <v>0</v>
      </c>
      <c r="M519" t="s">
        <v>0</v>
      </c>
      <c r="N519" t="s">
        <v>1266</v>
      </c>
      <c r="O519" t="s">
        <v>1266</v>
      </c>
      <c r="P519" t="s">
        <v>1266</v>
      </c>
      <c r="Q519" t="s">
        <v>1266</v>
      </c>
      <c r="R519" t="s">
        <v>1266</v>
      </c>
    </row>
    <row r="520" spans="1:18" x14ac:dyDescent="0.3">
      <c r="A520" t="s">
        <v>51</v>
      </c>
      <c r="B520">
        <v>4</v>
      </c>
      <c r="C520" t="s">
        <v>1</v>
      </c>
      <c r="D520" t="s">
        <v>51</v>
      </c>
      <c r="E520">
        <v>30</v>
      </c>
      <c r="F520" t="s">
        <v>51</v>
      </c>
      <c r="I520">
        <v>21</v>
      </c>
      <c r="J520" t="s">
        <v>1324</v>
      </c>
      <c r="K520">
        <v>763</v>
      </c>
      <c r="L520" t="s">
        <v>1</v>
      </c>
      <c r="M520" t="s">
        <v>0</v>
      </c>
      <c r="N520" t="s">
        <v>1266</v>
      </c>
      <c r="O520" t="s">
        <v>1266</v>
      </c>
      <c r="P520" t="s">
        <v>1266</v>
      </c>
      <c r="Q520" t="s">
        <v>1266</v>
      </c>
      <c r="R520" t="s">
        <v>1266</v>
      </c>
    </row>
    <row r="521" spans="1:18" x14ac:dyDescent="0.3">
      <c r="A521" t="s">
        <v>52</v>
      </c>
      <c r="B521">
        <v>1</v>
      </c>
      <c r="C521" t="s">
        <v>1</v>
      </c>
      <c r="D521" t="s">
        <v>52</v>
      </c>
      <c r="E521">
        <v>30</v>
      </c>
      <c r="F521" t="s">
        <v>52</v>
      </c>
      <c r="I521">
        <v>21</v>
      </c>
      <c r="J521" t="s">
        <v>1348</v>
      </c>
      <c r="K521">
        <v>187</v>
      </c>
      <c r="L521" t="s">
        <v>1</v>
      </c>
      <c r="M521" t="s">
        <v>0</v>
      </c>
      <c r="N521" t="s">
        <v>1266</v>
      </c>
      <c r="O521" t="s">
        <v>1266</v>
      </c>
      <c r="P521" t="s">
        <v>1266</v>
      </c>
      <c r="Q521" t="s">
        <v>1266</v>
      </c>
      <c r="R521" t="s">
        <v>1266</v>
      </c>
    </row>
    <row r="522" spans="1:18" x14ac:dyDescent="0.3">
      <c r="A522" t="s">
        <v>1568</v>
      </c>
      <c r="B522">
        <v>2</v>
      </c>
      <c r="C522" t="s">
        <v>1</v>
      </c>
      <c r="D522" t="s">
        <v>1568</v>
      </c>
      <c r="E522">
        <v>30</v>
      </c>
      <c r="F522" t="s">
        <v>1568</v>
      </c>
      <c r="I522">
        <v>6</v>
      </c>
      <c r="J522" t="s">
        <v>1348</v>
      </c>
      <c r="K522">
        <v>188</v>
      </c>
      <c r="L522" t="s">
        <v>1</v>
      </c>
      <c r="M522" t="s">
        <v>0</v>
      </c>
      <c r="N522" t="s">
        <v>1266</v>
      </c>
      <c r="O522" t="s">
        <v>1266</v>
      </c>
      <c r="P522" t="s">
        <v>1266</v>
      </c>
      <c r="Q522" t="s">
        <v>1266</v>
      </c>
      <c r="R522" t="s">
        <v>1266</v>
      </c>
    </row>
    <row r="523" spans="1:18" x14ac:dyDescent="0.3">
      <c r="A523" t="s">
        <v>817</v>
      </c>
      <c r="B523">
        <v>3</v>
      </c>
      <c r="C523" t="s">
        <v>0</v>
      </c>
      <c r="D523" t="s">
        <v>817</v>
      </c>
      <c r="E523">
        <v>30</v>
      </c>
      <c r="F523" t="s">
        <v>817</v>
      </c>
      <c r="I523">
        <v>1</v>
      </c>
      <c r="J523" t="s">
        <v>1348</v>
      </c>
      <c r="K523">
        <v>189</v>
      </c>
      <c r="L523" t="s">
        <v>1</v>
      </c>
      <c r="M523" t="s">
        <v>0</v>
      </c>
      <c r="N523" t="s">
        <v>1266</v>
      </c>
      <c r="O523" t="s">
        <v>1266</v>
      </c>
      <c r="P523" t="s">
        <v>1266</v>
      </c>
      <c r="Q523" t="s">
        <v>1266</v>
      </c>
      <c r="R523" t="s">
        <v>1266</v>
      </c>
    </row>
    <row r="524" spans="1:18" x14ac:dyDescent="0.3">
      <c r="A524" t="s">
        <v>818</v>
      </c>
      <c r="B524">
        <v>4</v>
      </c>
      <c r="C524" t="s">
        <v>1</v>
      </c>
      <c r="D524" t="s">
        <v>818</v>
      </c>
      <c r="E524">
        <v>30</v>
      </c>
      <c r="F524" t="s">
        <v>818</v>
      </c>
      <c r="I524">
        <v>5</v>
      </c>
      <c r="J524" t="s">
        <v>1348</v>
      </c>
      <c r="K524">
        <v>190</v>
      </c>
      <c r="L524" t="s">
        <v>0</v>
      </c>
      <c r="M524" t="s">
        <v>0</v>
      </c>
      <c r="N524" t="s">
        <v>1266</v>
      </c>
      <c r="O524" t="s">
        <v>1266</v>
      </c>
      <c r="P524" t="s">
        <v>1266</v>
      </c>
      <c r="Q524" t="s">
        <v>1266</v>
      </c>
      <c r="R524" t="s">
        <v>1266</v>
      </c>
    </row>
    <row r="525" spans="1:18" x14ac:dyDescent="0.3">
      <c r="A525" t="s">
        <v>51</v>
      </c>
      <c r="B525">
        <v>5</v>
      </c>
      <c r="C525" t="s">
        <v>1</v>
      </c>
      <c r="D525" t="s">
        <v>51</v>
      </c>
      <c r="E525">
        <v>30</v>
      </c>
      <c r="F525" t="s">
        <v>51</v>
      </c>
      <c r="I525">
        <v>21</v>
      </c>
      <c r="J525" t="s">
        <v>1348</v>
      </c>
      <c r="K525">
        <v>198</v>
      </c>
      <c r="L525" t="s">
        <v>1</v>
      </c>
      <c r="M525" t="s">
        <v>0</v>
      </c>
      <c r="N525" t="s">
        <v>1266</v>
      </c>
      <c r="O525" t="s">
        <v>1266</v>
      </c>
      <c r="P525" t="s">
        <v>1266</v>
      </c>
      <c r="Q525" t="s">
        <v>1266</v>
      </c>
      <c r="R525" t="s">
        <v>1266</v>
      </c>
    </row>
    <row r="526" spans="1:18" x14ac:dyDescent="0.3">
      <c r="A526" t="s">
        <v>426</v>
      </c>
      <c r="B526">
        <v>1</v>
      </c>
      <c r="C526" t="s">
        <v>1</v>
      </c>
      <c r="D526" t="s">
        <v>426</v>
      </c>
      <c r="E526">
        <v>30</v>
      </c>
      <c r="F526" t="s">
        <v>52</v>
      </c>
      <c r="I526">
        <v>21</v>
      </c>
      <c r="J526" t="s">
        <v>408</v>
      </c>
      <c r="K526">
        <v>199</v>
      </c>
      <c r="L526" t="s">
        <v>1</v>
      </c>
      <c r="M526" t="s">
        <v>0</v>
      </c>
      <c r="N526" t="s">
        <v>1266</v>
      </c>
      <c r="O526" t="s">
        <v>1266</v>
      </c>
      <c r="P526" t="s">
        <v>1266</v>
      </c>
      <c r="Q526" t="s">
        <v>1266</v>
      </c>
      <c r="R526" t="s">
        <v>1266</v>
      </c>
    </row>
    <row r="527" spans="1:18" x14ac:dyDescent="0.3">
      <c r="A527" t="s">
        <v>542</v>
      </c>
      <c r="B527">
        <v>2</v>
      </c>
      <c r="C527" t="s">
        <v>1</v>
      </c>
      <c r="D527" t="s">
        <v>542</v>
      </c>
      <c r="E527">
        <v>30</v>
      </c>
      <c r="F527" t="s">
        <v>541</v>
      </c>
      <c r="I527">
        <v>6</v>
      </c>
      <c r="J527" t="s">
        <v>408</v>
      </c>
      <c r="K527">
        <v>200</v>
      </c>
      <c r="L527" t="s">
        <v>1</v>
      </c>
      <c r="M527" t="s">
        <v>0</v>
      </c>
      <c r="N527" t="s">
        <v>1266</v>
      </c>
      <c r="O527" t="s">
        <v>1266</v>
      </c>
      <c r="P527" t="s">
        <v>1266</v>
      </c>
      <c r="Q527" t="s">
        <v>1266</v>
      </c>
      <c r="R527" t="s">
        <v>1266</v>
      </c>
    </row>
    <row r="528" spans="1:18" x14ac:dyDescent="0.3">
      <c r="A528" t="s">
        <v>540</v>
      </c>
      <c r="B528">
        <v>3</v>
      </c>
      <c r="C528" t="s">
        <v>1</v>
      </c>
      <c r="D528" t="s">
        <v>540</v>
      </c>
      <c r="E528">
        <v>30</v>
      </c>
      <c r="F528" t="s">
        <v>539</v>
      </c>
      <c r="I528">
        <v>6</v>
      </c>
      <c r="J528" t="s">
        <v>408</v>
      </c>
      <c r="K528">
        <v>201</v>
      </c>
      <c r="L528" t="s">
        <v>1</v>
      </c>
      <c r="M528" t="s">
        <v>0</v>
      </c>
      <c r="N528" t="s">
        <v>1266</v>
      </c>
      <c r="O528" t="s">
        <v>1266</v>
      </c>
      <c r="P528" t="s">
        <v>1266</v>
      </c>
      <c r="Q528" t="s">
        <v>1266</v>
      </c>
      <c r="R528" t="s">
        <v>1266</v>
      </c>
    </row>
    <row r="529" spans="1:18" x14ac:dyDescent="0.3">
      <c r="A529" t="s">
        <v>445</v>
      </c>
      <c r="B529">
        <v>4</v>
      </c>
      <c r="C529" t="s">
        <v>1</v>
      </c>
      <c r="D529" t="s">
        <v>445</v>
      </c>
      <c r="E529">
        <v>30</v>
      </c>
      <c r="F529" t="s">
        <v>538</v>
      </c>
      <c r="I529">
        <v>5</v>
      </c>
      <c r="J529" t="s">
        <v>408</v>
      </c>
      <c r="K529">
        <v>202</v>
      </c>
      <c r="L529" t="s">
        <v>0</v>
      </c>
      <c r="M529" t="s">
        <v>0</v>
      </c>
      <c r="N529" t="s">
        <v>1266</v>
      </c>
      <c r="O529" t="s">
        <v>1266</v>
      </c>
      <c r="P529" t="s">
        <v>1266</v>
      </c>
      <c r="Q529" t="s">
        <v>1266</v>
      </c>
      <c r="R529" t="s">
        <v>1266</v>
      </c>
    </row>
    <row r="530" spans="1:18" x14ac:dyDescent="0.3">
      <c r="A530" t="s">
        <v>544</v>
      </c>
      <c r="B530">
        <v>5</v>
      </c>
      <c r="C530" t="s">
        <v>1</v>
      </c>
      <c r="D530" t="s">
        <v>544</v>
      </c>
      <c r="E530">
        <v>30</v>
      </c>
      <c r="F530" t="s">
        <v>543</v>
      </c>
      <c r="I530">
        <v>1</v>
      </c>
      <c r="J530" t="s">
        <v>408</v>
      </c>
      <c r="K530">
        <v>203</v>
      </c>
      <c r="L530" t="s">
        <v>1</v>
      </c>
      <c r="M530" t="s">
        <v>0</v>
      </c>
      <c r="N530" t="s">
        <v>1266</v>
      </c>
      <c r="O530" t="s">
        <v>1266</v>
      </c>
      <c r="P530" t="s">
        <v>1266</v>
      </c>
      <c r="Q530" t="s">
        <v>1266</v>
      </c>
      <c r="R530" t="s">
        <v>1266</v>
      </c>
    </row>
    <row r="531" spans="1:18" x14ac:dyDescent="0.3">
      <c r="A531" t="s">
        <v>432</v>
      </c>
      <c r="B531">
        <v>6</v>
      </c>
      <c r="C531" t="s">
        <v>1</v>
      </c>
      <c r="D531" t="s">
        <v>432</v>
      </c>
      <c r="E531">
        <v>30</v>
      </c>
      <c r="F531" t="s">
        <v>51</v>
      </c>
      <c r="I531">
        <v>21</v>
      </c>
      <c r="J531" t="s">
        <v>408</v>
      </c>
      <c r="K531">
        <v>204</v>
      </c>
      <c r="L531" t="s">
        <v>1</v>
      </c>
      <c r="M531" t="s">
        <v>0</v>
      </c>
      <c r="N531" t="s">
        <v>1266</v>
      </c>
      <c r="O531" t="s">
        <v>1266</v>
      </c>
      <c r="P531" t="s">
        <v>1266</v>
      </c>
      <c r="Q531" t="s">
        <v>1266</v>
      </c>
      <c r="R531" t="s">
        <v>1266</v>
      </c>
    </row>
    <row r="532" spans="1:18" x14ac:dyDescent="0.3">
      <c r="A532" t="s">
        <v>426</v>
      </c>
      <c r="B532">
        <v>1</v>
      </c>
      <c r="C532" t="s">
        <v>1</v>
      </c>
      <c r="D532" t="s">
        <v>426</v>
      </c>
      <c r="E532">
        <v>30</v>
      </c>
      <c r="F532" t="s">
        <v>52</v>
      </c>
      <c r="I532">
        <v>21</v>
      </c>
      <c r="J532" t="s">
        <v>387</v>
      </c>
      <c r="K532">
        <v>205</v>
      </c>
      <c r="L532" t="s">
        <v>1</v>
      </c>
      <c r="M532" t="s">
        <v>0</v>
      </c>
      <c r="N532" t="s">
        <v>1266</v>
      </c>
      <c r="O532" t="s">
        <v>1266</v>
      </c>
      <c r="P532" t="s">
        <v>1266</v>
      </c>
      <c r="Q532" t="s">
        <v>1266</v>
      </c>
      <c r="R532" t="s">
        <v>1266</v>
      </c>
    </row>
    <row r="533" spans="1:18" x14ac:dyDescent="0.3">
      <c r="A533" t="s">
        <v>1379</v>
      </c>
      <c r="B533">
        <v>2</v>
      </c>
      <c r="C533" t="s">
        <v>1</v>
      </c>
      <c r="D533" t="s">
        <v>1379</v>
      </c>
      <c r="E533">
        <v>30</v>
      </c>
      <c r="F533" t="s">
        <v>1379</v>
      </c>
      <c r="I533">
        <v>6</v>
      </c>
      <c r="J533" t="s">
        <v>387</v>
      </c>
      <c r="K533">
        <v>213</v>
      </c>
      <c r="L533" t="s">
        <v>1</v>
      </c>
      <c r="M533" t="s">
        <v>0</v>
      </c>
      <c r="N533" t="s">
        <v>1266</v>
      </c>
      <c r="O533" t="s">
        <v>1266</v>
      </c>
      <c r="P533" t="s">
        <v>1266</v>
      </c>
      <c r="Q533" t="s">
        <v>1266</v>
      </c>
      <c r="R533" t="s">
        <v>1266</v>
      </c>
    </row>
    <row r="534" spans="1:18" x14ac:dyDescent="0.3">
      <c r="A534" t="s">
        <v>445</v>
      </c>
      <c r="B534">
        <v>3</v>
      </c>
      <c r="C534" t="s">
        <v>1</v>
      </c>
      <c r="D534" t="s">
        <v>445</v>
      </c>
      <c r="E534">
        <v>30</v>
      </c>
      <c r="F534" t="s">
        <v>555</v>
      </c>
      <c r="I534">
        <v>5</v>
      </c>
      <c r="J534" t="s">
        <v>387</v>
      </c>
      <c r="K534">
        <v>214</v>
      </c>
      <c r="L534" t="s">
        <v>0</v>
      </c>
      <c r="M534" t="s">
        <v>0</v>
      </c>
      <c r="N534" t="s">
        <v>1266</v>
      </c>
      <c r="O534" t="s">
        <v>1266</v>
      </c>
      <c r="P534" t="s">
        <v>1266</v>
      </c>
      <c r="Q534" t="s">
        <v>1266</v>
      </c>
      <c r="R534" t="s">
        <v>1266</v>
      </c>
    </row>
    <row r="535" spans="1:18" x14ac:dyDescent="0.3">
      <c r="A535" t="s">
        <v>1608</v>
      </c>
      <c r="B535">
        <v>4</v>
      </c>
      <c r="C535" t="s">
        <v>1</v>
      </c>
      <c r="D535" t="s">
        <v>1608</v>
      </c>
      <c r="E535">
        <v>30</v>
      </c>
      <c r="F535" t="s">
        <v>1608</v>
      </c>
      <c r="I535">
        <v>1</v>
      </c>
      <c r="J535" t="s">
        <v>387</v>
      </c>
      <c r="K535">
        <v>215</v>
      </c>
      <c r="L535" t="s">
        <v>1</v>
      </c>
      <c r="M535" t="s">
        <v>0</v>
      </c>
      <c r="N535" t="s">
        <v>1266</v>
      </c>
      <c r="O535" t="s">
        <v>1266</v>
      </c>
      <c r="P535" t="s">
        <v>1266</v>
      </c>
      <c r="Q535" t="s">
        <v>1266</v>
      </c>
      <c r="R535" t="s">
        <v>1266</v>
      </c>
    </row>
    <row r="536" spans="1:18" x14ac:dyDescent="0.3">
      <c r="A536" t="s">
        <v>432</v>
      </c>
      <c r="B536">
        <v>5</v>
      </c>
      <c r="C536" t="s">
        <v>1</v>
      </c>
      <c r="D536" t="s">
        <v>432</v>
      </c>
      <c r="E536">
        <v>30</v>
      </c>
      <c r="F536" t="s">
        <v>51</v>
      </c>
      <c r="I536">
        <v>21</v>
      </c>
      <c r="J536" t="s">
        <v>387</v>
      </c>
      <c r="K536">
        <v>216</v>
      </c>
      <c r="L536" t="s">
        <v>1</v>
      </c>
      <c r="M536" t="s">
        <v>0</v>
      </c>
      <c r="N536" t="s">
        <v>1266</v>
      </c>
      <c r="O536" t="s">
        <v>1266</v>
      </c>
      <c r="P536" t="s">
        <v>1266</v>
      </c>
      <c r="Q536" t="s">
        <v>1266</v>
      </c>
      <c r="R536" t="s">
        <v>1266</v>
      </c>
    </row>
    <row r="537" spans="1:18" x14ac:dyDescent="0.3">
      <c r="A537" t="s">
        <v>1661</v>
      </c>
      <c r="B537">
        <v>1</v>
      </c>
      <c r="C537" t="s">
        <v>0</v>
      </c>
      <c r="D537" t="s">
        <v>764</v>
      </c>
      <c r="E537">
        <v>30</v>
      </c>
      <c r="F537" t="s">
        <v>763</v>
      </c>
      <c r="I537">
        <v>1</v>
      </c>
      <c r="J537" t="s">
        <v>415</v>
      </c>
      <c r="K537">
        <v>217</v>
      </c>
      <c r="L537" t="s">
        <v>1</v>
      </c>
      <c r="M537" t="s">
        <v>0</v>
      </c>
      <c r="N537" t="s">
        <v>1266</v>
      </c>
      <c r="O537" t="s">
        <v>1266</v>
      </c>
      <c r="P537" t="s">
        <v>1266</v>
      </c>
      <c r="Q537" t="s">
        <v>1266</v>
      </c>
      <c r="R537" t="s">
        <v>1266</v>
      </c>
    </row>
    <row r="538" spans="1:18" x14ac:dyDescent="0.3">
      <c r="A538" t="s">
        <v>453</v>
      </c>
      <c r="B538">
        <v>2</v>
      </c>
      <c r="C538" t="s">
        <v>0</v>
      </c>
      <c r="D538" t="s">
        <v>453</v>
      </c>
      <c r="E538">
        <v>30</v>
      </c>
      <c r="F538" t="s">
        <v>452</v>
      </c>
      <c r="I538">
        <v>6</v>
      </c>
      <c r="J538" t="s">
        <v>415</v>
      </c>
      <c r="K538">
        <v>218</v>
      </c>
      <c r="L538" t="s">
        <v>1</v>
      </c>
      <c r="M538" t="s">
        <v>0</v>
      </c>
      <c r="N538" t="s">
        <v>1266</v>
      </c>
      <c r="O538" t="s">
        <v>1266</v>
      </c>
      <c r="P538" t="s">
        <v>1266</v>
      </c>
      <c r="Q538" t="s">
        <v>1266</v>
      </c>
      <c r="R538" t="s">
        <v>1266</v>
      </c>
    </row>
    <row r="539" spans="1:18" x14ac:dyDescent="0.3">
      <c r="A539" t="s">
        <v>756</v>
      </c>
      <c r="B539">
        <v>3</v>
      </c>
      <c r="C539" t="s">
        <v>0</v>
      </c>
      <c r="D539" t="s">
        <v>756</v>
      </c>
      <c r="E539">
        <v>30</v>
      </c>
      <c r="F539" t="s">
        <v>755</v>
      </c>
      <c r="I539">
        <v>1</v>
      </c>
      <c r="J539" t="s">
        <v>415</v>
      </c>
      <c r="K539">
        <v>219</v>
      </c>
      <c r="L539" t="s">
        <v>1</v>
      </c>
      <c r="M539" t="s">
        <v>0</v>
      </c>
      <c r="N539" t="s">
        <v>1266</v>
      </c>
      <c r="O539" t="s">
        <v>1266</v>
      </c>
      <c r="P539" t="s">
        <v>1266</v>
      </c>
      <c r="Q539" t="s">
        <v>1266</v>
      </c>
      <c r="R539" t="s">
        <v>1266</v>
      </c>
    </row>
    <row r="540" spans="1:18" x14ac:dyDescent="0.3">
      <c r="A540" t="s">
        <v>758</v>
      </c>
      <c r="B540">
        <v>4</v>
      </c>
      <c r="C540" t="s">
        <v>0</v>
      </c>
      <c r="D540" t="s">
        <v>758</v>
      </c>
      <c r="E540">
        <v>30</v>
      </c>
      <c r="F540" t="s">
        <v>757</v>
      </c>
      <c r="I540">
        <v>1</v>
      </c>
      <c r="J540" t="s">
        <v>415</v>
      </c>
      <c r="K540">
        <v>227</v>
      </c>
      <c r="L540" t="s">
        <v>1</v>
      </c>
      <c r="M540" t="s">
        <v>0</v>
      </c>
      <c r="N540" t="s">
        <v>1266</v>
      </c>
      <c r="O540" t="s">
        <v>1266</v>
      </c>
      <c r="P540" t="s">
        <v>1266</v>
      </c>
      <c r="Q540" t="s">
        <v>1266</v>
      </c>
      <c r="R540" t="s">
        <v>1266</v>
      </c>
    </row>
    <row r="541" spans="1:18" x14ac:dyDescent="0.3">
      <c r="A541" t="s">
        <v>760</v>
      </c>
      <c r="B541">
        <v>5</v>
      </c>
      <c r="C541" t="s">
        <v>0</v>
      </c>
      <c r="D541" t="s">
        <v>760</v>
      </c>
      <c r="E541">
        <v>30</v>
      </c>
      <c r="F541" t="s">
        <v>759</v>
      </c>
      <c r="I541">
        <v>1</v>
      </c>
      <c r="J541" t="s">
        <v>415</v>
      </c>
      <c r="K541">
        <v>228</v>
      </c>
      <c r="L541" t="s">
        <v>1</v>
      </c>
      <c r="M541" t="s">
        <v>0</v>
      </c>
      <c r="N541" t="s">
        <v>1266</v>
      </c>
      <c r="O541" t="s">
        <v>1266</v>
      </c>
      <c r="P541" t="s">
        <v>1266</v>
      </c>
      <c r="Q541" t="s">
        <v>1266</v>
      </c>
      <c r="R541" t="s">
        <v>1266</v>
      </c>
    </row>
    <row r="542" spans="1:18" x14ac:dyDescent="0.3">
      <c r="A542" t="s">
        <v>762</v>
      </c>
      <c r="B542">
        <v>6</v>
      </c>
      <c r="C542" t="s">
        <v>0</v>
      </c>
      <c r="D542" t="s">
        <v>762</v>
      </c>
      <c r="E542">
        <v>30</v>
      </c>
      <c r="F542" t="s">
        <v>761</v>
      </c>
      <c r="I542">
        <v>1</v>
      </c>
      <c r="J542" t="s">
        <v>415</v>
      </c>
      <c r="K542">
        <v>229</v>
      </c>
      <c r="L542" t="s">
        <v>1</v>
      </c>
      <c r="M542" t="s">
        <v>0</v>
      </c>
      <c r="N542" t="s">
        <v>1266</v>
      </c>
      <c r="O542" t="s">
        <v>1266</v>
      </c>
      <c r="P542" t="s">
        <v>1266</v>
      </c>
      <c r="Q542" t="s">
        <v>1266</v>
      </c>
      <c r="R542" t="s">
        <v>1266</v>
      </c>
    </row>
    <row r="543" spans="1:18" x14ac:dyDescent="0.3">
      <c r="A543" t="s">
        <v>1564</v>
      </c>
      <c r="B543">
        <v>7</v>
      </c>
      <c r="C543" t="s">
        <v>0</v>
      </c>
      <c r="D543" t="s">
        <v>1564</v>
      </c>
      <c r="E543">
        <v>30</v>
      </c>
      <c r="F543" t="s">
        <v>1564</v>
      </c>
      <c r="I543">
        <v>14</v>
      </c>
      <c r="J543" t="s">
        <v>415</v>
      </c>
      <c r="K543">
        <v>230</v>
      </c>
      <c r="L543" t="s">
        <v>1</v>
      </c>
      <c r="M543" t="s">
        <v>0</v>
      </c>
      <c r="N543" t="s">
        <v>1266</v>
      </c>
      <c r="O543" t="s">
        <v>1266</v>
      </c>
      <c r="P543" t="s">
        <v>1266</v>
      </c>
      <c r="Q543" t="s">
        <v>1266</v>
      </c>
      <c r="R543" t="s">
        <v>1266</v>
      </c>
    </row>
    <row r="544" spans="1:18" x14ac:dyDescent="0.3">
      <c r="A544" t="s">
        <v>1448</v>
      </c>
      <c r="B544">
        <v>8</v>
      </c>
      <c r="C544" t="s">
        <v>0</v>
      </c>
      <c r="D544" t="s">
        <v>1448</v>
      </c>
      <c r="E544">
        <v>30</v>
      </c>
      <c r="F544" t="s">
        <v>1448</v>
      </c>
      <c r="I544">
        <v>14</v>
      </c>
      <c r="J544" t="s">
        <v>415</v>
      </c>
      <c r="K544">
        <v>231</v>
      </c>
      <c r="L544" t="s">
        <v>1</v>
      </c>
      <c r="M544" t="s">
        <v>0</v>
      </c>
      <c r="N544" t="s">
        <v>1266</v>
      </c>
      <c r="O544" t="s">
        <v>1266</v>
      </c>
      <c r="P544" t="s">
        <v>1266</v>
      </c>
      <c r="Q544" t="s">
        <v>1266</v>
      </c>
      <c r="R544" t="s">
        <v>1266</v>
      </c>
    </row>
    <row r="545" spans="1:18" x14ac:dyDescent="0.3">
      <c r="A545" t="s">
        <v>426</v>
      </c>
      <c r="B545">
        <v>9</v>
      </c>
      <c r="C545" t="s">
        <v>1</v>
      </c>
      <c r="D545" t="s">
        <v>426</v>
      </c>
      <c r="E545">
        <v>30</v>
      </c>
      <c r="F545" t="s">
        <v>52</v>
      </c>
      <c r="I545">
        <v>21</v>
      </c>
      <c r="J545" t="s">
        <v>415</v>
      </c>
      <c r="K545">
        <v>232</v>
      </c>
      <c r="L545" t="s">
        <v>1</v>
      </c>
      <c r="M545" t="s">
        <v>0</v>
      </c>
      <c r="N545" t="s">
        <v>1266</v>
      </c>
      <c r="O545" t="s">
        <v>1266</v>
      </c>
      <c r="P545" t="s">
        <v>1266</v>
      </c>
      <c r="Q545" t="s">
        <v>1266</v>
      </c>
      <c r="R545" t="s">
        <v>1266</v>
      </c>
    </row>
    <row r="546" spans="1:18" x14ac:dyDescent="0.3">
      <c r="A546" t="s">
        <v>750</v>
      </c>
      <c r="B546">
        <v>10</v>
      </c>
      <c r="C546" t="s">
        <v>0</v>
      </c>
      <c r="D546" t="s">
        <v>750</v>
      </c>
      <c r="E546">
        <v>30</v>
      </c>
      <c r="F546" t="s">
        <v>749</v>
      </c>
      <c r="I546">
        <v>1</v>
      </c>
      <c r="J546" t="s">
        <v>415</v>
      </c>
      <c r="K546">
        <v>233</v>
      </c>
      <c r="L546" t="s">
        <v>1</v>
      </c>
      <c r="M546" t="s">
        <v>0</v>
      </c>
      <c r="N546" t="s">
        <v>1266</v>
      </c>
      <c r="O546" t="s">
        <v>1266</v>
      </c>
      <c r="P546" t="s">
        <v>1266</v>
      </c>
      <c r="Q546" t="s">
        <v>1266</v>
      </c>
      <c r="R546" t="s">
        <v>1266</v>
      </c>
    </row>
    <row r="547" spans="1:18" x14ac:dyDescent="0.3">
      <c r="A547" t="s">
        <v>566</v>
      </c>
      <c r="B547">
        <v>11</v>
      </c>
      <c r="C547" t="s">
        <v>0</v>
      </c>
      <c r="D547" t="s">
        <v>566</v>
      </c>
      <c r="E547">
        <v>30</v>
      </c>
      <c r="F547" t="s">
        <v>765</v>
      </c>
      <c r="I547">
        <v>3</v>
      </c>
      <c r="J547" t="s">
        <v>415</v>
      </c>
      <c r="K547">
        <v>241</v>
      </c>
      <c r="L547" t="s">
        <v>1</v>
      </c>
      <c r="M547" t="s">
        <v>0</v>
      </c>
      <c r="N547" t="s">
        <v>1266</v>
      </c>
      <c r="O547" t="s">
        <v>1266</v>
      </c>
      <c r="P547" t="s">
        <v>1266</v>
      </c>
      <c r="Q547" t="s">
        <v>1266</v>
      </c>
      <c r="R547" t="s">
        <v>1266</v>
      </c>
    </row>
    <row r="548" spans="1:18" x14ac:dyDescent="0.3">
      <c r="A548" t="s">
        <v>445</v>
      </c>
      <c r="B548">
        <v>12</v>
      </c>
      <c r="C548" t="s">
        <v>1</v>
      </c>
      <c r="D548" t="s">
        <v>445</v>
      </c>
      <c r="E548">
        <v>30</v>
      </c>
      <c r="F548" t="s">
        <v>486</v>
      </c>
      <c r="I548">
        <v>5</v>
      </c>
      <c r="J548" t="s">
        <v>415</v>
      </c>
      <c r="K548">
        <v>242</v>
      </c>
      <c r="L548" t="s">
        <v>0</v>
      </c>
      <c r="M548" t="s">
        <v>0</v>
      </c>
      <c r="N548" t="s">
        <v>1266</v>
      </c>
      <c r="O548" t="s">
        <v>1266</v>
      </c>
      <c r="P548" t="s">
        <v>1266</v>
      </c>
      <c r="Q548" t="s">
        <v>1266</v>
      </c>
      <c r="R548" t="s">
        <v>1266</v>
      </c>
    </row>
    <row r="549" spans="1:18" x14ac:dyDescent="0.3">
      <c r="A549" t="s">
        <v>752</v>
      </c>
      <c r="B549">
        <v>13</v>
      </c>
      <c r="C549" t="s">
        <v>0</v>
      </c>
      <c r="D549" t="s">
        <v>752</v>
      </c>
      <c r="E549">
        <v>30</v>
      </c>
      <c r="F549" t="s">
        <v>751</v>
      </c>
      <c r="I549">
        <v>1</v>
      </c>
      <c r="J549" t="s">
        <v>415</v>
      </c>
      <c r="K549">
        <v>243</v>
      </c>
      <c r="L549" t="s">
        <v>1</v>
      </c>
      <c r="M549" t="s">
        <v>0</v>
      </c>
      <c r="N549" t="s">
        <v>1266</v>
      </c>
      <c r="O549" t="s">
        <v>1266</v>
      </c>
      <c r="P549" t="s">
        <v>1266</v>
      </c>
      <c r="Q549" t="s">
        <v>1266</v>
      </c>
      <c r="R549" t="s">
        <v>1266</v>
      </c>
    </row>
    <row r="550" spans="1:18" x14ac:dyDescent="0.3">
      <c r="A550" t="s">
        <v>754</v>
      </c>
      <c r="B550">
        <v>14</v>
      </c>
      <c r="C550" t="s">
        <v>0</v>
      </c>
      <c r="D550" t="s">
        <v>754</v>
      </c>
      <c r="E550">
        <v>30</v>
      </c>
      <c r="F550" t="s">
        <v>753</v>
      </c>
      <c r="I550">
        <v>1</v>
      </c>
      <c r="J550" t="s">
        <v>415</v>
      </c>
      <c r="K550">
        <v>244</v>
      </c>
      <c r="L550" t="s">
        <v>1</v>
      </c>
      <c r="M550" t="s">
        <v>0</v>
      </c>
      <c r="N550" t="s">
        <v>1266</v>
      </c>
      <c r="O550" t="s">
        <v>1266</v>
      </c>
      <c r="P550" t="s">
        <v>1266</v>
      </c>
      <c r="Q550" t="s">
        <v>1266</v>
      </c>
      <c r="R550" t="s">
        <v>1266</v>
      </c>
    </row>
    <row r="551" spans="1:18" x14ac:dyDescent="0.3">
      <c r="A551" t="s">
        <v>432</v>
      </c>
      <c r="B551">
        <v>15</v>
      </c>
      <c r="C551" t="s">
        <v>1</v>
      </c>
      <c r="D551" t="s">
        <v>432</v>
      </c>
      <c r="E551">
        <v>30</v>
      </c>
      <c r="F551" t="s">
        <v>51</v>
      </c>
      <c r="I551">
        <v>21</v>
      </c>
      <c r="J551" t="s">
        <v>415</v>
      </c>
      <c r="K551">
        <v>245</v>
      </c>
      <c r="L551" t="s">
        <v>1</v>
      </c>
      <c r="M551" t="s">
        <v>0</v>
      </c>
      <c r="N551" t="s">
        <v>1266</v>
      </c>
      <c r="O551" t="s">
        <v>1266</v>
      </c>
      <c r="P551" t="s">
        <v>1266</v>
      </c>
      <c r="Q551" t="s">
        <v>1266</v>
      </c>
      <c r="R551" t="s">
        <v>1266</v>
      </c>
    </row>
    <row r="552" spans="1:18" x14ac:dyDescent="0.3">
      <c r="A552" t="s">
        <v>452</v>
      </c>
      <c r="B552">
        <v>1</v>
      </c>
      <c r="C552" t="s">
        <v>0</v>
      </c>
      <c r="D552" t="s">
        <v>452</v>
      </c>
      <c r="E552">
        <v>30</v>
      </c>
      <c r="F552" t="s">
        <v>452</v>
      </c>
      <c r="I552">
        <v>6</v>
      </c>
      <c r="J552" t="s">
        <v>1347</v>
      </c>
      <c r="K552">
        <v>246</v>
      </c>
      <c r="L552" t="s">
        <v>1</v>
      </c>
      <c r="M552" t="s">
        <v>0</v>
      </c>
      <c r="N552" t="s">
        <v>1266</v>
      </c>
      <c r="O552" t="s">
        <v>1266</v>
      </c>
      <c r="P552" t="s">
        <v>1266</v>
      </c>
      <c r="Q552" t="s">
        <v>1266</v>
      </c>
      <c r="R552" t="s">
        <v>1266</v>
      </c>
    </row>
    <row r="553" spans="1:18" x14ac:dyDescent="0.3">
      <c r="A553" t="s">
        <v>52</v>
      </c>
      <c r="B553">
        <v>2</v>
      </c>
      <c r="C553" t="s">
        <v>1</v>
      </c>
      <c r="D553" t="s">
        <v>52</v>
      </c>
      <c r="E553">
        <v>30</v>
      </c>
      <c r="F553" t="s">
        <v>52</v>
      </c>
      <c r="I553">
        <v>21</v>
      </c>
      <c r="J553" t="s">
        <v>1347</v>
      </c>
      <c r="K553">
        <v>247</v>
      </c>
      <c r="L553" t="s">
        <v>1</v>
      </c>
      <c r="M553" t="s">
        <v>0</v>
      </c>
      <c r="N553" t="s">
        <v>1266</v>
      </c>
      <c r="O553" t="s">
        <v>1266</v>
      </c>
      <c r="P553" t="s">
        <v>1266</v>
      </c>
      <c r="Q553" t="s">
        <v>1266</v>
      </c>
      <c r="R553" t="s">
        <v>1266</v>
      </c>
    </row>
    <row r="554" spans="1:18" x14ac:dyDescent="0.3">
      <c r="A554" t="s">
        <v>914</v>
      </c>
      <c r="B554">
        <v>3</v>
      </c>
      <c r="C554" t="s">
        <v>0</v>
      </c>
      <c r="D554" t="s">
        <v>914</v>
      </c>
      <c r="E554">
        <v>30</v>
      </c>
      <c r="F554" t="s">
        <v>914</v>
      </c>
      <c r="I554">
        <v>1</v>
      </c>
      <c r="J554" t="s">
        <v>1347</v>
      </c>
      <c r="K554">
        <v>254</v>
      </c>
      <c r="L554" t="s">
        <v>1</v>
      </c>
      <c r="M554" t="s">
        <v>0</v>
      </c>
      <c r="N554" t="s">
        <v>1266</v>
      </c>
      <c r="O554" t="s">
        <v>1266</v>
      </c>
      <c r="P554" t="s">
        <v>1266</v>
      </c>
      <c r="Q554" t="s">
        <v>1266</v>
      </c>
      <c r="R554" t="s">
        <v>1266</v>
      </c>
    </row>
    <row r="555" spans="1:18" x14ac:dyDescent="0.3">
      <c r="A555" t="s">
        <v>915</v>
      </c>
      <c r="B555">
        <v>4</v>
      </c>
      <c r="C555" t="s">
        <v>0</v>
      </c>
      <c r="D555" t="s">
        <v>915</v>
      </c>
      <c r="E555">
        <v>30</v>
      </c>
      <c r="F555" t="s">
        <v>915</v>
      </c>
      <c r="I555">
        <v>1</v>
      </c>
      <c r="J555" t="s">
        <v>1347</v>
      </c>
      <c r="K555">
        <v>255</v>
      </c>
      <c r="L555" t="s">
        <v>1</v>
      </c>
      <c r="M555" t="s">
        <v>0</v>
      </c>
      <c r="N555" t="s">
        <v>1266</v>
      </c>
      <c r="O555" t="s">
        <v>1266</v>
      </c>
      <c r="P555" t="s">
        <v>1266</v>
      </c>
      <c r="Q555" t="s">
        <v>1266</v>
      </c>
      <c r="R555" t="s">
        <v>1266</v>
      </c>
    </row>
    <row r="556" spans="1:18" x14ac:dyDescent="0.3">
      <c r="A556" t="s">
        <v>916</v>
      </c>
      <c r="B556">
        <v>5</v>
      </c>
      <c r="C556" t="s">
        <v>0</v>
      </c>
      <c r="D556" t="s">
        <v>916</v>
      </c>
      <c r="E556">
        <v>30</v>
      </c>
      <c r="F556" t="s">
        <v>916</v>
      </c>
      <c r="I556">
        <v>1</v>
      </c>
      <c r="J556" t="s">
        <v>1347</v>
      </c>
      <c r="K556">
        <v>256</v>
      </c>
      <c r="L556" t="s">
        <v>1</v>
      </c>
      <c r="M556" t="s">
        <v>0</v>
      </c>
      <c r="N556" t="s">
        <v>1266</v>
      </c>
      <c r="O556" t="s">
        <v>1266</v>
      </c>
      <c r="P556" t="s">
        <v>1266</v>
      </c>
      <c r="Q556" t="s">
        <v>1266</v>
      </c>
      <c r="R556" t="s">
        <v>1266</v>
      </c>
    </row>
    <row r="557" spans="1:18" x14ac:dyDescent="0.3">
      <c r="A557" t="s">
        <v>917</v>
      </c>
      <c r="B557">
        <v>6</v>
      </c>
      <c r="C557" t="s">
        <v>0</v>
      </c>
      <c r="D557" t="s">
        <v>917</v>
      </c>
      <c r="E557">
        <v>30</v>
      </c>
      <c r="F557" t="s">
        <v>917</v>
      </c>
      <c r="I557">
        <v>1</v>
      </c>
      <c r="J557" t="s">
        <v>1347</v>
      </c>
      <c r="K557">
        <v>257</v>
      </c>
      <c r="L557" t="s">
        <v>1</v>
      </c>
      <c r="M557" t="s">
        <v>0</v>
      </c>
      <c r="N557" t="s">
        <v>1266</v>
      </c>
      <c r="O557" t="s">
        <v>1266</v>
      </c>
      <c r="P557" t="s">
        <v>1266</v>
      </c>
      <c r="Q557" t="s">
        <v>1266</v>
      </c>
      <c r="R557" t="s">
        <v>1266</v>
      </c>
    </row>
    <row r="558" spans="1:18" x14ac:dyDescent="0.3">
      <c r="A558" t="s">
        <v>909</v>
      </c>
      <c r="B558">
        <v>7</v>
      </c>
      <c r="C558" t="s">
        <v>1</v>
      </c>
      <c r="D558" t="s">
        <v>909</v>
      </c>
      <c r="E558">
        <v>30</v>
      </c>
      <c r="F558" t="s">
        <v>909</v>
      </c>
      <c r="I558">
        <v>1</v>
      </c>
      <c r="J558" t="s">
        <v>1347</v>
      </c>
      <c r="K558">
        <v>258</v>
      </c>
      <c r="L558" t="s">
        <v>1</v>
      </c>
      <c r="M558" t="s">
        <v>0</v>
      </c>
      <c r="N558" t="s">
        <v>1266</v>
      </c>
      <c r="O558" t="s">
        <v>1266</v>
      </c>
      <c r="P558" t="s">
        <v>1266</v>
      </c>
      <c r="Q558" t="s">
        <v>1266</v>
      </c>
      <c r="R558" t="s">
        <v>1266</v>
      </c>
    </row>
    <row r="559" spans="1:18" x14ac:dyDescent="0.3">
      <c r="A559" t="s">
        <v>910</v>
      </c>
      <c r="B559">
        <v>8</v>
      </c>
      <c r="C559" t="s">
        <v>0</v>
      </c>
      <c r="D559" t="s">
        <v>910</v>
      </c>
      <c r="E559">
        <v>30</v>
      </c>
      <c r="F559" t="s">
        <v>910</v>
      </c>
      <c r="I559">
        <v>1</v>
      </c>
      <c r="J559" t="s">
        <v>1347</v>
      </c>
      <c r="K559">
        <v>259</v>
      </c>
      <c r="L559" t="s">
        <v>1</v>
      </c>
      <c r="M559" t="s">
        <v>0</v>
      </c>
      <c r="N559" t="s">
        <v>1266</v>
      </c>
      <c r="O559" t="s">
        <v>1266</v>
      </c>
      <c r="P559" t="s">
        <v>1266</v>
      </c>
      <c r="Q559" t="s">
        <v>1266</v>
      </c>
      <c r="R559" t="s">
        <v>1266</v>
      </c>
    </row>
    <row r="560" spans="1:18" x14ac:dyDescent="0.3">
      <c r="A560" t="s">
        <v>511</v>
      </c>
      <c r="B560">
        <v>9</v>
      </c>
      <c r="C560" t="s">
        <v>1</v>
      </c>
      <c r="D560" t="s">
        <v>511</v>
      </c>
      <c r="E560">
        <v>30</v>
      </c>
      <c r="F560" t="s">
        <v>511</v>
      </c>
      <c r="I560">
        <v>5</v>
      </c>
      <c r="J560" t="s">
        <v>1347</v>
      </c>
      <c r="K560">
        <v>260</v>
      </c>
      <c r="L560" t="s">
        <v>0</v>
      </c>
      <c r="M560" t="s">
        <v>0</v>
      </c>
      <c r="N560" t="s">
        <v>1266</v>
      </c>
      <c r="O560" t="s">
        <v>1266</v>
      </c>
      <c r="P560" t="s">
        <v>1266</v>
      </c>
      <c r="Q560" t="s">
        <v>1266</v>
      </c>
      <c r="R560" t="s">
        <v>1266</v>
      </c>
    </row>
    <row r="561" spans="1:18" x14ac:dyDescent="0.3">
      <c r="A561" t="s">
        <v>911</v>
      </c>
      <c r="B561">
        <v>10</v>
      </c>
      <c r="C561" t="s">
        <v>0</v>
      </c>
      <c r="D561" t="s">
        <v>911</v>
      </c>
      <c r="E561">
        <v>30</v>
      </c>
      <c r="F561" t="s">
        <v>911</v>
      </c>
      <c r="I561">
        <v>1</v>
      </c>
      <c r="J561" t="s">
        <v>1347</v>
      </c>
      <c r="K561">
        <v>275</v>
      </c>
      <c r="L561" t="s">
        <v>1</v>
      </c>
      <c r="M561" t="s">
        <v>0</v>
      </c>
      <c r="N561" t="s">
        <v>1266</v>
      </c>
      <c r="O561" t="s">
        <v>1266</v>
      </c>
      <c r="P561" t="s">
        <v>1266</v>
      </c>
      <c r="Q561" t="s">
        <v>1266</v>
      </c>
      <c r="R561" t="s">
        <v>1266</v>
      </c>
    </row>
    <row r="562" spans="1:18" x14ac:dyDescent="0.3">
      <c r="A562" t="s">
        <v>51</v>
      </c>
      <c r="B562">
        <v>11</v>
      </c>
      <c r="C562" t="s">
        <v>1</v>
      </c>
      <c r="D562" t="s">
        <v>51</v>
      </c>
      <c r="E562">
        <v>30</v>
      </c>
      <c r="F562" t="s">
        <v>51</v>
      </c>
      <c r="I562">
        <v>21</v>
      </c>
      <c r="J562" t="s">
        <v>1347</v>
      </c>
      <c r="K562">
        <v>276</v>
      </c>
      <c r="L562" t="s">
        <v>1</v>
      </c>
      <c r="M562" t="s">
        <v>0</v>
      </c>
      <c r="N562" t="s">
        <v>1266</v>
      </c>
      <c r="O562" t="s">
        <v>1266</v>
      </c>
      <c r="P562" t="s">
        <v>1266</v>
      </c>
      <c r="Q562" t="s">
        <v>1266</v>
      </c>
      <c r="R562" t="s">
        <v>1266</v>
      </c>
    </row>
    <row r="563" spans="1:18" x14ac:dyDescent="0.3">
      <c r="A563" t="s">
        <v>912</v>
      </c>
      <c r="B563">
        <v>12</v>
      </c>
      <c r="C563" t="s">
        <v>0</v>
      </c>
      <c r="D563" t="s">
        <v>912</v>
      </c>
      <c r="E563">
        <v>30</v>
      </c>
      <c r="F563" t="s">
        <v>912</v>
      </c>
      <c r="I563">
        <v>1</v>
      </c>
      <c r="J563" t="s">
        <v>1347</v>
      </c>
      <c r="K563">
        <v>277</v>
      </c>
      <c r="L563" t="s">
        <v>1</v>
      </c>
      <c r="M563" t="s">
        <v>0</v>
      </c>
      <c r="N563" t="s">
        <v>1266</v>
      </c>
      <c r="O563" t="s">
        <v>1266</v>
      </c>
      <c r="P563" t="s">
        <v>1266</v>
      </c>
      <c r="Q563" t="s">
        <v>1266</v>
      </c>
      <c r="R563" t="s">
        <v>1266</v>
      </c>
    </row>
    <row r="564" spans="1:18" x14ac:dyDescent="0.3">
      <c r="A564" t="s">
        <v>913</v>
      </c>
      <c r="B564">
        <v>13</v>
      </c>
      <c r="C564" t="s">
        <v>0</v>
      </c>
      <c r="D564" t="s">
        <v>913</v>
      </c>
      <c r="E564">
        <v>30</v>
      </c>
      <c r="F564" t="s">
        <v>913</v>
      </c>
      <c r="I564">
        <v>1</v>
      </c>
      <c r="J564" t="s">
        <v>1347</v>
      </c>
      <c r="K564">
        <v>278</v>
      </c>
      <c r="L564" t="s">
        <v>1</v>
      </c>
      <c r="M564" t="s">
        <v>0</v>
      </c>
      <c r="N564" t="s">
        <v>1266</v>
      </c>
      <c r="O564" t="s">
        <v>1266</v>
      </c>
      <c r="P564" t="s">
        <v>1266</v>
      </c>
      <c r="Q564" t="s">
        <v>1266</v>
      </c>
      <c r="R564" t="s">
        <v>1266</v>
      </c>
    </row>
    <row r="565" spans="1:18" x14ac:dyDescent="0.3">
      <c r="A565" t="s">
        <v>447</v>
      </c>
      <c r="B565">
        <v>1</v>
      </c>
      <c r="C565" t="s">
        <v>0</v>
      </c>
      <c r="D565" t="s">
        <v>447</v>
      </c>
      <c r="E565">
        <v>30</v>
      </c>
      <c r="F565" t="s">
        <v>446</v>
      </c>
      <c r="I565">
        <v>1</v>
      </c>
      <c r="J565" t="s">
        <v>417</v>
      </c>
      <c r="K565">
        <v>764</v>
      </c>
      <c r="L565" t="s">
        <v>1</v>
      </c>
      <c r="M565" t="s">
        <v>0</v>
      </c>
      <c r="N565" t="s">
        <v>1266</v>
      </c>
      <c r="O565" t="s">
        <v>1266</v>
      </c>
      <c r="P565" t="s">
        <v>1266</v>
      </c>
      <c r="Q565" t="s">
        <v>1266</v>
      </c>
      <c r="R565" t="s">
        <v>1266</v>
      </c>
    </row>
    <row r="566" spans="1:18" x14ac:dyDescent="0.3">
      <c r="A566" t="s">
        <v>1653</v>
      </c>
      <c r="B566">
        <v>2</v>
      </c>
      <c r="C566" t="s">
        <v>0</v>
      </c>
      <c r="D566" t="s">
        <v>451</v>
      </c>
      <c r="E566">
        <v>30</v>
      </c>
      <c r="F566" t="s">
        <v>450</v>
      </c>
      <c r="I566">
        <v>1</v>
      </c>
      <c r="J566" t="s">
        <v>417</v>
      </c>
      <c r="K566">
        <v>765</v>
      </c>
      <c r="L566" t="s">
        <v>1</v>
      </c>
      <c r="M566" t="s">
        <v>0</v>
      </c>
      <c r="N566" t="s">
        <v>1266</v>
      </c>
      <c r="O566" t="s">
        <v>1266</v>
      </c>
      <c r="P566" t="s">
        <v>1266</v>
      </c>
      <c r="Q566" t="s">
        <v>1266</v>
      </c>
      <c r="R566" t="s">
        <v>1266</v>
      </c>
    </row>
    <row r="567" spans="1:18" x14ac:dyDescent="0.3">
      <c r="A567" t="s">
        <v>453</v>
      </c>
      <c r="B567">
        <v>3</v>
      </c>
      <c r="C567" t="s">
        <v>0</v>
      </c>
      <c r="D567" t="s">
        <v>453</v>
      </c>
      <c r="E567">
        <v>30</v>
      </c>
      <c r="F567" t="s">
        <v>452</v>
      </c>
      <c r="I567">
        <v>6</v>
      </c>
      <c r="J567" t="s">
        <v>417</v>
      </c>
      <c r="K567">
        <v>766</v>
      </c>
      <c r="L567" t="s">
        <v>1</v>
      </c>
      <c r="M567" t="s">
        <v>0</v>
      </c>
      <c r="N567" t="s">
        <v>1266</v>
      </c>
      <c r="O567" t="s">
        <v>1266</v>
      </c>
      <c r="P567" t="s">
        <v>1266</v>
      </c>
      <c r="Q567" t="s">
        <v>1266</v>
      </c>
      <c r="R567" t="s">
        <v>1266</v>
      </c>
    </row>
    <row r="568" spans="1:18" x14ac:dyDescent="0.3">
      <c r="A568" t="s">
        <v>426</v>
      </c>
      <c r="B568">
        <v>4</v>
      </c>
      <c r="C568" t="s">
        <v>1</v>
      </c>
      <c r="D568" t="s">
        <v>426</v>
      </c>
      <c r="E568">
        <v>30</v>
      </c>
      <c r="F568" t="s">
        <v>52</v>
      </c>
      <c r="I568">
        <v>21</v>
      </c>
      <c r="J568" t="s">
        <v>417</v>
      </c>
      <c r="K568">
        <v>767</v>
      </c>
      <c r="L568" t="s">
        <v>1</v>
      </c>
      <c r="M568" t="s">
        <v>0</v>
      </c>
      <c r="N568" t="s">
        <v>1266</v>
      </c>
      <c r="O568" t="s">
        <v>1266</v>
      </c>
      <c r="P568" t="s">
        <v>1266</v>
      </c>
      <c r="Q568" t="s">
        <v>1266</v>
      </c>
      <c r="R568" t="s">
        <v>1266</v>
      </c>
    </row>
    <row r="569" spans="1:18" x14ac:dyDescent="0.3">
      <c r="A569" t="s">
        <v>443</v>
      </c>
      <c r="B569">
        <v>5</v>
      </c>
      <c r="C569" t="s">
        <v>1</v>
      </c>
      <c r="D569" t="s">
        <v>443</v>
      </c>
      <c r="E569">
        <v>30</v>
      </c>
      <c r="F569" t="s">
        <v>442</v>
      </c>
      <c r="I569">
        <v>6</v>
      </c>
      <c r="J569" t="s">
        <v>417</v>
      </c>
      <c r="K569">
        <v>768</v>
      </c>
      <c r="L569" t="s">
        <v>1</v>
      </c>
      <c r="M569" t="s">
        <v>0</v>
      </c>
      <c r="N569" t="s">
        <v>1266</v>
      </c>
      <c r="O569" t="s">
        <v>1266</v>
      </c>
      <c r="P569" t="s">
        <v>1266</v>
      </c>
      <c r="Q569" t="s">
        <v>1266</v>
      </c>
      <c r="R569" t="s">
        <v>1266</v>
      </c>
    </row>
    <row r="570" spans="1:18" x14ac:dyDescent="0.3">
      <c r="A570" t="s">
        <v>1547</v>
      </c>
      <c r="B570">
        <v>6</v>
      </c>
      <c r="C570" t="s">
        <v>0</v>
      </c>
      <c r="D570" t="s">
        <v>1547</v>
      </c>
      <c r="E570">
        <v>30</v>
      </c>
      <c r="F570" t="s">
        <v>1547</v>
      </c>
      <c r="I570">
        <v>3</v>
      </c>
      <c r="J570" t="s">
        <v>417</v>
      </c>
      <c r="K570">
        <v>769</v>
      </c>
      <c r="L570" t="s">
        <v>1</v>
      </c>
      <c r="M570" t="s">
        <v>0</v>
      </c>
      <c r="N570" t="s">
        <v>1266</v>
      </c>
      <c r="O570" t="s">
        <v>1266</v>
      </c>
      <c r="P570" t="s">
        <v>1266</v>
      </c>
      <c r="Q570" t="s">
        <v>1266</v>
      </c>
      <c r="R570" t="s">
        <v>1266</v>
      </c>
    </row>
    <row r="571" spans="1:18" x14ac:dyDescent="0.3">
      <c r="A571" t="s">
        <v>445</v>
      </c>
      <c r="B571">
        <v>7</v>
      </c>
      <c r="C571" t="s">
        <v>1</v>
      </c>
      <c r="D571" t="s">
        <v>445</v>
      </c>
      <c r="E571">
        <v>30</v>
      </c>
      <c r="F571" t="s">
        <v>444</v>
      </c>
      <c r="I571">
        <v>5</v>
      </c>
      <c r="J571" t="s">
        <v>417</v>
      </c>
      <c r="K571">
        <v>770</v>
      </c>
      <c r="L571" t="s">
        <v>0</v>
      </c>
      <c r="M571" t="s">
        <v>0</v>
      </c>
      <c r="N571" t="s">
        <v>1266</v>
      </c>
      <c r="O571" t="s">
        <v>1266</v>
      </c>
      <c r="P571" t="s">
        <v>1266</v>
      </c>
      <c r="Q571" t="s">
        <v>1266</v>
      </c>
      <c r="R571" t="s">
        <v>1266</v>
      </c>
    </row>
    <row r="572" spans="1:18" x14ac:dyDescent="0.3">
      <c r="A572" t="s">
        <v>432</v>
      </c>
      <c r="B572">
        <v>8</v>
      </c>
      <c r="C572" t="s">
        <v>1</v>
      </c>
      <c r="D572" t="s">
        <v>432</v>
      </c>
      <c r="E572">
        <v>30</v>
      </c>
      <c r="F572" t="s">
        <v>51</v>
      </c>
      <c r="I572">
        <v>21</v>
      </c>
      <c r="J572" t="s">
        <v>417</v>
      </c>
      <c r="K572">
        <v>771</v>
      </c>
      <c r="L572" t="s">
        <v>1</v>
      </c>
      <c r="M572" t="s">
        <v>0</v>
      </c>
      <c r="N572" t="s">
        <v>1266</v>
      </c>
      <c r="O572" t="s">
        <v>1266</v>
      </c>
      <c r="P572" t="s">
        <v>1266</v>
      </c>
      <c r="Q572" t="s">
        <v>1266</v>
      </c>
      <c r="R572" t="s">
        <v>1266</v>
      </c>
    </row>
    <row r="573" spans="1:18" x14ac:dyDescent="0.3">
      <c r="A573" t="s">
        <v>449</v>
      </c>
      <c r="B573">
        <v>9</v>
      </c>
      <c r="C573" t="s">
        <v>0</v>
      </c>
      <c r="D573" t="s">
        <v>449</v>
      </c>
      <c r="E573">
        <v>30</v>
      </c>
      <c r="F573" t="s">
        <v>448</v>
      </c>
      <c r="I573">
        <v>1</v>
      </c>
      <c r="J573" t="s">
        <v>417</v>
      </c>
      <c r="K573">
        <v>772</v>
      </c>
      <c r="L573" t="s">
        <v>1</v>
      </c>
      <c r="M573" t="s">
        <v>0</v>
      </c>
      <c r="N573" t="s">
        <v>1266</v>
      </c>
      <c r="O573" t="s">
        <v>1266</v>
      </c>
      <c r="P573" t="s">
        <v>1266</v>
      </c>
      <c r="Q573" t="s">
        <v>1266</v>
      </c>
      <c r="R573" t="s">
        <v>1266</v>
      </c>
    </row>
    <row r="574" spans="1:18" x14ac:dyDescent="0.3">
      <c r="A574" t="s">
        <v>960</v>
      </c>
      <c r="B574">
        <v>10</v>
      </c>
      <c r="C574" t="s">
        <v>0</v>
      </c>
      <c r="D574" t="s">
        <v>960</v>
      </c>
      <c r="E574">
        <v>30</v>
      </c>
      <c r="F574" t="s">
        <v>959</v>
      </c>
      <c r="I574">
        <v>1</v>
      </c>
      <c r="J574" t="s">
        <v>417</v>
      </c>
      <c r="K574">
        <v>773</v>
      </c>
      <c r="L574" t="s">
        <v>1</v>
      </c>
      <c r="M574" t="s">
        <v>0</v>
      </c>
      <c r="N574" t="s">
        <v>1266</v>
      </c>
      <c r="O574" t="s">
        <v>1266</v>
      </c>
      <c r="P574" t="s">
        <v>1266</v>
      </c>
      <c r="Q574" t="s">
        <v>1266</v>
      </c>
      <c r="R574" t="s">
        <v>1266</v>
      </c>
    </row>
    <row r="575" spans="1:18" x14ac:dyDescent="0.3">
      <c r="A575" t="s">
        <v>802</v>
      </c>
      <c r="B575">
        <v>1</v>
      </c>
      <c r="C575" t="s">
        <v>0</v>
      </c>
      <c r="E575">
        <v>30</v>
      </c>
      <c r="F575" t="s">
        <v>802</v>
      </c>
      <c r="I575">
        <v>14</v>
      </c>
      <c r="J575" t="s">
        <v>403</v>
      </c>
      <c r="K575">
        <v>774</v>
      </c>
      <c r="L575" t="s">
        <v>1</v>
      </c>
      <c r="M575" t="s">
        <v>0</v>
      </c>
      <c r="N575" t="s">
        <v>1266</v>
      </c>
      <c r="O575" t="s">
        <v>1266</v>
      </c>
      <c r="P575" t="s">
        <v>1266</v>
      </c>
      <c r="Q575" t="s">
        <v>1266</v>
      </c>
      <c r="R575" t="s">
        <v>1266</v>
      </c>
    </row>
    <row r="576" spans="1:18" x14ac:dyDescent="0.3">
      <c r="A576" t="s">
        <v>803</v>
      </c>
      <c r="B576">
        <v>2</v>
      </c>
      <c r="C576" t="s">
        <v>0</v>
      </c>
      <c r="E576">
        <v>30</v>
      </c>
      <c r="F576" t="s">
        <v>803</v>
      </c>
      <c r="I576">
        <v>19</v>
      </c>
      <c r="J576" t="s">
        <v>403</v>
      </c>
      <c r="K576">
        <v>775</v>
      </c>
      <c r="L576" t="s">
        <v>1</v>
      </c>
      <c r="M576" t="s">
        <v>0</v>
      </c>
      <c r="N576" t="s">
        <v>1266</v>
      </c>
      <c r="O576" t="s">
        <v>1266</v>
      </c>
      <c r="P576" t="s">
        <v>1266</v>
      </c>
      <c r="Q576" t="s">
        <v>1266</v>
      </c>
      <c r="R576" t="s">
        <v>1266</v>
      </c>
    </row>
    <row r="577" spans="1:18" x14ac:dyDescent="0.3">
      <c r="A577" t="s">
        <v>793</v>
      </c>
      <c r="B577">
        <v>3</v>
      </c>
      <c r="C577" t="s">
        <v>0</v>
      </c>
      <c r="D577" t="s">
        <v>793</v>
      </c>
      <c r="E577">
        <v>30</v>
      </c>
      <c r="F577" t="s">
        <v>792</v>
      </c>
      <c r="I577">
        <v>6</v>
      </c>
      <c r="J577" t="s">
        <v>403</v>
      </c>
      <c r="K577">
        <v>776</v>
      </c>
      <c r="L577" t="s">
        <v>1</v>
      </c>
      <c r="M577" t="s">
        <v>0</v>
      </c>
      <c r="N577" t="s">
        <v>1266</v>
      </c>
      <c r="O577" t="s">
        <v>1266</v>
      </c>
      <c r="P577" t="s">
        <v>1266</v>
      </c>
      <c r="Q577" t="s">
        <v>1266</v>
      </c>
      <c r="R577" t="s">
        <v>1266</v>
      </c>
    </row>
    <row r="578" spans="1:18" x14ac:dyDescent="0.3">
      <c r="A578" t="s">
        <v>426</v>
      </c>
      <c r="B578">
        <v>4</v>
      </c>
      <c r="C578" t="s">
        <v>1</v>
      </c>
      <c r="D578" t="s">
        <v>426</v>
      </c>
      <c r="E578">
        <v>30</v>
      </c>
      <c r="F578" t="s">
        <v>52</v>
      </c>
      <c r="I578">
        <v>21</v>
      </c>
      <c r="J578" t="s">
        <v>403</v>
      </c>
      <c r="K578">
        <v>777</v>
      </c>
      <c r="L578" t="s">
        <v>1</v>
      </c>
      <c r="M578" t="s">
        <v>0</v>
      </c>
      <c r="N578" t="s">
        <v>1266</v>
      </c>
      <c r="O578" t="s">
        <v>1266</v>
      </c>
      <c r="P578" t="s">
        <v>1266</v>
      </c>
      <c r="Q578" t="s">
        <v>1266</v>
      </c>
      <c r="R578" t="s">
        <v>1266</v>
      </c>
    </row>
    <row r="579" spans="1:18" x14ac:dyDescent="0.3">
      <c r="A579" t="s">
        <v>804</v>
      </c>
      <c r="B579">
        <v>5</v>
      </c>
      <c r="C579" t="s">
        <v>0</v>
      </c>
      <c r="E579">
        <v>30</v>
      </c>
      <c r="F579" t="s">
        <v>804</v>
      </c>
      <c r="I579">
        <v>19</v>
      </c>
      <c r="J579" t="s">
        <v>403</v>
      </c>
      <c r="K579">
        <v>778</v>
      </c>
      <c r="L579" t="s">
        <v>1</v>
      </c>
      <c r="M579" t="s">
        <v>0</v>
      </c>
      <c r="N579" t="s">
        <v>1266</v>
      </c>
      <c r="O579" t="s">
        <v>1266</v>
      </c>
      <c r="P579" t="s">
        <v>1266</v>
      </c>
      <c r="Q579" t="s">
        <v>1266</v>
      </c>
      <c r="R579" t="s">
        <v>1266</v>
      </c>
    </row>
    <row r="580" spans="1:18" x14ac:dyDescent="0.3">
      <c r="A580" t="s">
        <v>809</v>
      </c>
      <c r="B580">
        <v>6</v>
      </c>
      <c r="C580" t="s">
        <v>1</v>
      </c>
      <c r="D580" t="s">
        <v>809</v>
      </c>
      <c r="E580">
        <v>30</v>
      </c>
      <c r="F580" t="s">
        <v>556</v>
      </c>
      <c r="I580">
        <v>5</v>
      </c>
      <c r="J580" t="s">
        <v>403</v>
      </c>
      <c r="K580">
        <v>779</v>
      </c>
      <c r="L580" t="s">
        <v>0</v>
      </c>
      <c r="M580" t="s">
        <v>0</v>
      </c>
      <c r="N580" t="s">
        <v>1266</v>
      </c>
      <c r="O580" t="s">
        <v>1266</v>
      </c>
      <c r="P580" t="s">
        <v>1266</v>
      </c>
      <c r="Q580" t="s">
        <v>1266</v>
      </c>
      <c r="R580" t="s">
        <v>1266</v>
      </c>
    </row>
    <row r="581" spans="1:18" x14ac:dyDescent="0.3">
      <c r="A581" t="s">
        <v>799</v>
      </c>
      <c r="B581">
        <v>7</v>
      </c>
      <c r="C581" t="s">
        <v>0</v>
      </c>
      <c r="D581" t="s">
        <v>799</v>
      </c>
      <c r="E581">
        <v>30</v>
      </c>
      <c r="F581" t="s">
        <v>798</v>
      </c>
      <c r="I581">
        <v>19</v>
      </c>
      <c r="J581" t="s">
        <v>403</v>
      </c>
      <c r="K581">
        <v>780</v>
      </c>
      <c r="L581" t="s">
        <v>1</v>
      </c>
      <c r="M581" t="s">
        <v>0</v>
      </c>
      <c r="N581" t="s">
        <v>1266</v>
      </c>
      <c r="O581" t="s">
        <v>1266</v>
      </c>
      <c r="P581" t="s">
        <v>1266</v>
      </c>
      <c r="Q581" t="s">
        <v>1266</v>
      </c>
      <c r="R581" t="s">
        <v>1266</v>
      </c>
    </row>
    <row r="582" spans="1:18" x14ac:dyDescent="0.3">
      <c r="A582" t="s">
        <v>808</v>
      </c>
      <c r="B582">
        <v>8</v>
      </c>
      <c r="C582" t="s">
        <v>0</v>
      </c>
      <c r="D582" t="s">
        <v>808</v>
      </c>
      <c r="E582">
        <v>30</v>
      </c>
      <c r="F582" t="s">
        <v>807</v>
      </c>
      <c r="I582">
        <v>1</v>
      </c>
      <c r="J582" t="s">
        <v>403</v>
      </c>
      <c r="K582">
        <v>781</v>
      </c>
      <c r="L582" t="s">
        <v>1</v>
      </c>
      <c r="M582" t="s">
        <v>0</v>
      </c>
      <c r="N582" t="s">
        <v>1266</v>
      </c>
      <c r="O582" t="s">
        <v>1266</v>
      </c>
      <c r="P582" t="s">
        <v>1266</v>
      </c>
      <c r="Q582" t="s">
        <v>1266</v>
      </c>
      <c r="R582" t="s">
        <v>1266</v>
      </c>
    </row>
    <row r="583" spans="1:18" x14ac:dyDescent="0.3">
      <c r="A583" t="s">
        <v>795</v>
      </c>
      <c r="B583">
        <v>9</v>
      </c>
      <c r="C583" t="s">
        <v>0</v>
      </c>
      <c r="D583" t="s">
        <v>795</v>
      </c>
      <c r="E583">
        <v>30</v>
      </c>
      <c r="F583" t="s">
        <v>794</v>
      </c>
      <c r="I583">
        <v>1</v>
      </c>
      <c r="J583" t="s">
        <v>403</v>
      </c>
      <c r="K583">
        <v>782</v>
      </c>
      <c r="L583" t="s">
        <v>1</v>
      </c>
      <c r="M583" t="s">
        <v>0</v>
      </c>
      <c r="N583" t="s">
        <v>1266</v>
      </c>
      <c r="O583" t="s">
        <v>1266</v>
      </c>
      <c r="P583" t="s">
        <v>1266</v>
      </c>
      <c r="Q583" t="s">
        <v>1266</v>
      </c>
      <c r="R583" t="s">
        <v>1266</v>
      </c>
    </row>
    <row r="584" spans="1:18" x14ac:dyDescent="0.3">
      <c r="A584" t="s">
        <v>797</v>
      </c>
      <c r="B584">
        <v>10</v>
      </c>
      <c r="C584" t="s">
        <v>0</v>
      </c>
      <c r="D584" t="s">
        <v>797</v>
      </c>
      <c r="E584">
        <v>30</v>
      </c>
      <c r="F584" t="s">
        <v>796</v>
      </c>
      <c r="I584">
        <v>1</v>
      </c>
      <c r="J584" t="s">
        <v>403</v>
      </c>
      <c r="K584">
        <v>783</v>
      </c>
      <c r="L584" t="s">
        <v>1</v>
      </c>
      <c r="M584" t="s">
        <v>0</v>
      </c>
      <c r="N584" t="s">
        <v>1266</v>
      </c>
      <c r="O584" t="s">
        <v>1266</v>
      </c>
      <c r="P584" t="s">
        <v>1266</v>
      </c>
      <c r="Q584" t="s">
        <v>1266</v>
      </c>
      <c r="R584" t="s">
        <v>1266</v>
      </c>
    </row>
    <row r="585" spans="1:18" x14ac:dyDescent="0.3">
      <c r="A585" t="s">
        <v>806</v>
      </c>
      <c r="B585">
        <v>11</v>
      </c>
      <c r="C585" t="s">
        <v>0</v>
      </c>
      <c r="D585" t="s">
        <v>806</v>
      </c>
      <c r="E585">
        <v>30</v>
      </c>
      <c r="F585" t="s">
        <v>805</v>
      </c>
      <c r="I585">
        <v>1</v>
      </c>
      <c r="J585" t="s">
        <v>403</v>
      </c>
      <c r="K585">
        <v>784</v>
      </c>
      <c r="L585" t="s">
        <v>1</v>
      </c>
      <c r="M585" t="s">
        <v>0</v>
      </c>
      <c r="N585" t="s">
        <v>1266</v>
      </c>
      <c r="O585" t="s">
        <v>1266</v>
      </c>
      <c r="P585" t="s">
        <v>1266</v>
      </c>
      <c r="Q585" t="s">
        <v>1266</v>
      </c>
      <c r="R585" t="s">
        <v>1266</v>
      </c>
    </row>
    <row r="586" spans="1:18" x14ac:dyDescent="0.3">
      <c r="A586" t="s">
        <v>801</v>
      </c>
      <c r="B586">
        <v>12</v>
      </c>
      <c r="C586" t="s">
        <v>0</v>
      </c>
      <c r="D586" t="s">
        <v>801</v>
      </c>
      <c r="E586">
        <v>30</v>
      </c>
      <c r="F586" t="s">
        <v>800</v>
      </c>
      <c r="I586">
        <v>19</v>
      </c>
      <c r="J586" t="s">
        <v>403</v>
      </c>
      <c r="K586">
        <v>785</v>
      </c>
      <c r="L586" t="s">
        <v>1</v>
      </c>
      <c r="M586" t="s">
        <v>0</v>
      </c>
      <c r="N586" t="s">
        <v>1266</v>
      </c>
      <c r="O586" t="s">
        <v>1266</v>
      </c>
      <c r="P586" t="s">
        <v>1266</v>
      </c>
      <c r="Q586" t="s">
        <v>1266</v>
      </c>
      <c r="R586" t="s">
        <v>1266</v>
      </c>
    </row>
    <row r="587" spans="1:18" x14ac:dyDescent="0.3">
      <c r="A587" t="s">
        <v>432</v>
      </c>
      <c r="B587">
        <v>13</v>
      </c>
      <c r="C587" t="s">
        <v>1</v>
      </c>
      <c r="D587" t="s">
        <v>432</v>
      </c>
      <c r="E587">
        <v>30</v>
      </c>
      <c r="F587" t="s">
        <v>51</v>
      </c>
      <c r="I587">
        <v>21</v>
      </c>
      <c r="J587" t="s">
        <v>403</v>
      </c>
      <c r="K587">
        <v>786</v>
      </c>
      <c r="L587" t="s">
        <v>1</v>
      </c>
      <c r="M587" t="s">
        <v>0</v>
      </c>
      <c r="N587" t="s">
        <v>1266</v>
      </c>
      <c r="O587" t="s">
        <v>1266</v>
      </c>
      <c r="P587" t="s">
        <v>1266</v>
      </c>
      <c r="Q587" t="s">
        <v>1266</v>
      </c>
      <c r="R587" t="s">
        <v>1266</v>
      </c>
    </row>
    <row r="588" spans="1:18" x14ac:dyDescent="0.3">
      <c r="A588" t="s">
        <v>52</v>
      </c>
      <c r="B588">
        <v>1</v>
      </c>
      <c r="C588" t="s">
        <v>1</v>
      </c>
      <c r="D588" t="s">
        <v>52</v>
      </c>
      <c r="E588">
        <v>30</v>
      </c>
      <c r="F588" t="s">
        <v>52</v>
      </c>
      <c r="I588">
        <v>21</v>
      </c>
      <c r="J588" t="s">
        <v>1354</v>
      </c>
      <c r="K588">
        <v>787</v>
      </c>
      <c r="L588" t="s">
        <v>1</v>
      </c>
      <c r="M588" t="s">
        <v>0</v>
      </c>
      <c r="N588" t="s">
        <v>1266</v>
      </c>
      <c r="O588" t="s">
        <v>1266</v>
      </c>
      <c r="P588" t="s">
        <v>1266</v>
      </c>
      <c r="Q588" t="s">
        <v>1266</v>
      </c>
      <c r="R588" t="s">
        <v>1266</v>
      </c>
    </row>
    <row r="589" spans="1:18" x14ac:dyDescent="0.3">
      <c r="A589" t="s">
        <v>51</v>
      </c>
      <c r="B589">
        <v>2</v>
      </c>
      <c r="C589" t="s">
        <v>1</v>
      </c>
      <c r="D589" t="s">
        <v>51</v>
      </c>
      <c r="E589">
        <v>30</v>
      </c>
      <c r="F589" t="s">
        <v>51</v>
      </c>
      <c r="I589">
        <v>21</v>
      </c>
      <c r="J589" t="s">
        <v>1354</v>
      </c>
      <c r="K589">
        <v>788</v>
      </c>
      <c r="L589" t="s">
        <v>1</v>
      </c>
      <c r="M589" t="s">
        <v>0</v>
      </c>
      <c r="N589" t="s">
        <v>1266</v>
      </c>
      <c r="O589" t="s">
        <v>1266</v>
      </c>
      <c r="P589" t="s">
        <v>1266</v>
      </c>
      <c r="Q589" t="s">
        <v>1266</v>
      </c>
      <c r="R589" t="s">
        <v>1266</v>
      </c>
    </row>
    <row r="590" spans="1:18" x14ac:dyDescent="0.3">
      <c r="A590" t="s">
        <v>1424</v>
      </c>
      <c r="B590">
        <v>3</v>
      </c>
      <c r="C590" t="s">
        <v>1</v>
      </c>
      <c r="D590" t="s">
        <v>1424</v>
      </c>
      <c r="E590">
        <v>30</v>
      </c>
      <c r="F590" t="s">
        <v>1424</v>
      </c>
      <c r="I590">
        <v>6</v>
      </c>
      <c r="J590" t="s">
        <v>1354</v>
      </c>
      <c r="K590">
        <v>789</v>
      </c>
      <c r="L590" t="s">
        <v>1</v>
      </c>
      <c r="M590" t="s">
        <v>0</v>
      </c>
      <c r="N590" t="s">
        <v>1266</v>
      </c>
      <c r="O590" t="s">
        <v>1266</v>
      </c>
      <c r="P590" t="s">
        <v>1266</v>
      </c>
      <c r="Q590" t="s">
        <v>1266</v>
      </c>
      <c r="R590" t="s">
        <v>1266</v>
      </c>
    </row>
    <row r="591" spans="1:18" x14ac:dyDescent="0.3">
      <c r="A591" t="s">
        <v>1544</v>
      </c>
      <c r="B591">
        <v>4</v>
      </c>
      <c r="C591" t="s">
        <v>1</v>
      </c>
      <c r="D591" t="s">
        <v>1544</v>
      </c>
      <c r="E591">
        <v>30</v>
      </c>
      <c r="F591" t="s">
        <v>1544</v>
      </c>
      <c r="I591">
        <v>5</v>
      </c>
      <c r="J591" t="s">
        <v>1354</v>
      </c>
      <c r="K591">
        <v>790</v>
      </c>
      <c r="L591" t="s">
        <v>0</v>
      </c>
      <c r="M591" t="s">
        <v>0</v>
      </c>
      <c r="N591" t="s">
        <v>1266</v>
      </c>
      <c r="O591" t="s">
        <v>1266</v>
      </c>
      <c r="P591" t="s">
        <v>1266</v>
      </c>
      <c r="Q591" t="s">
        <v>1266</v>
      </c>
      <c r="R591" t="s">
        <v>1266</v>
      </c>
    </row>
    <row r="592" spans="1:18" x14ac:dyDescent="0.3">
      <c r="A592" t="s">
        <v>1410</v>
      </c>
      <c r="B592">
        <v>5</v>
      </c>
      <c r="C592" t="s">
        <v>1</v>
      </c>
      <c r="D592" t="s">
        <v>1410</v>
      </c>
      <c r="E592">
        <v>30</v>
      </c>
      <c r="F592" t="s">
        <v>1410</v>
      </c>
      <c r="I592">
        <v>1</v>
      </c>
      <c r="J592" t="s">
        <v>1354</v>
      </c>
      <c r="K592">
        <v>791</v>
      </c>
      <c r="L592" t="s">
        <v>1</v>
      </c>
      <c r="M592" t="s">
        <v>0</v>
      </c>
      <c r="N592" t="s">
        <v>1266</v>
      </c>
      <c r="O592" t="s">
        <v>1266</v>
      </c>
      <c r="P592" t="s">
        <v>1266</v>
      </c>
      <c r="Q592" t="s">
        <v>1266</v>
      </c>
      <c r="R592" t="s">
        <v>1266</v>
      </c>
    </row>
    <row r="593" spans="1:18" x14ac:dyDescent="0.3">
      <c r="A593" t="s">
        <v>483</v>
      </c>
      <c r="B593">
        <v>1</v>
      </c>
      <c r="C593" t="s">
        <v>1</v>
      </c>
      <c r="D593" t="s">
        <v>483</v>
      </c>
      <c r="E593">
        <v>30</v>
      </c>
      <c r="F593" t="s">
        <v>483</v>
      </c>
      <c r="I593">
        <v>14</v>
      </c>
      <c r="J593" t="s">
        <v>1326</v>
      </c>
      <c r="K593">
        <v>792</v>
      </c>
      <c r="L593" t="s">
        <v>1</v>
      </c>
      <c r="M593" t="s">
        <v>0</v>
      </c>
      <c r="N593" t="s">
        <v>1266</v>
      </c>
      <c r="O593" t="s">
        <v>1266</v>
      </c>
      <c r="P593" t="s">
        <v>1266</v>
      </c>
      <c r="Q593" t="s">
        <v>1266</v>
      </c>
      <c r="R593" t="s">
        <v>1266</v>
      </c>
    </row>
    <row r="594" spans="1:18" x14ac:dyDescent="0.3">
      <c r="A594" t="s">
        <v>1395</v>
      </c>
      <c r="B594">
        <v>2</v>
      </c>
      <c r="C594" t="s">
        <v>1</v>
      </c>
      <c r="D594" t="s">
        <v>1395</v>
      </c>
      <c r="E594">
        <v>30</v>
      </c>
      <c r="F594" t="s">
        <v>1395</v>
      </c>
      <c r="I594">
        <v>5</v>
      </c>
      <c r="J594" t="s">
        <v>1326</v>
      </c>
      <c r="K594">
        <v>793</v>
      </c>
      <c r="L594" t="s">
        <v>1</v>
      </c>
      <c r="M594" t="s">
        <v>0</v>
      </c>
      <c r="N594" t="s">
        <v>1266</v>
      </c>
      <c r="O594" t="s">
        <v>1266</v>
      </c>
      <c r="P594" t="s">
        <v>1266</v>
      </c>
      <c r="Q594" t="s">
        <v>1266</v>
      </c>
      <c r="R594" t="s">
        <v>1266</v>
      </c>
    </row>
    <row r="595" spans="1:18" x14ac:dyDescent="0.3">
      <c r="A595" t="s">
        <v>1521</v>
      </c>
      <c r="B595">
        <v>3</v>
      </c>
      <c r="C595" t="s">
        <v>0</v>
      </c>
      <c r="D595" t="s">
        <v>1521</v>
      </c>
      <c r="E595">
        <v>30</v>
      </c>
      <c r="F595" t="s">
        <v>1521</v>
      </c>
      <c r="I595">
        <v>12</v>
      </c>
      <c r="J595" t="s">
        <v>1326</v>
      </c>
      <c r="K595">
        <v>794</v>
      </c>
      <c r="L595" t="s">
        <v>1</v>
      </c>
      <c r="M595" t="s">
        <v>0</v>
      </c>
      <c r="N595" t="s">
        <v>1266</v>
      </c>
      <c r="O595" t="s">
        <v>1266</v>
      </c>
      <c r="P595" t="s">
        <v>1266</v>
      </c>
      <c r="Q595" t="s">
        <v>1266</v>
      </c>
      <c r="R595" t="s">
        <v>1266</v>
      </c>
    </row>
    <row r="596" spans="1:18" x14ac:dyDescent="0.3">
      <c r="A596" t="s">
        <v>484</v>
      </c>
      <c r="B596">
        <v>4</v>
      </c>
      <c r="C596" t="s">
        <v>1</v>
      </c>
      <c r="D596" t="s">
        <v>484</v>
      </c>
      <c r="E596">
        <v>30</v>
      </c>
      <c r="F596" t="s">
        <v>484</v>
      </c>
      <c r="I596">
        <v>21</v>
      </c>
      <c r="J596" t="s">
        <v>1326</v>
      </c>
      <c r="K596">
        <v>795</v>
      </c>
      <c r="L596" t="s">
        <v>1</v>
      </c>
      <c r="M596" t="s">
        <v>0</v>
      </c>
      <c r="N596" t="s">
        <v>1266</v>
      </c>
      <c r="O596" t="s">
        <v>1266</v>
      </c>
      <c r="P596" t="s">
        <v>1266</v>
      </c>
      <c r="Q596" t="s">
        <v>1266</v>
      </c>
      <c r="R596" t="s">
        <v>1266</v>
      </c>
    </row>
    <row r="597" spans="1:18" x14ac:dyDescent="0.3">
      <c r="A597" t="s">
        <v>440</v>
      </c>
      <c r="B597">
        <v>5</v>
      </c>
      <c r="C597" t="s">
        <v>1</v>
      </c>
      <c r="D597" t="s">
        <v>440</v>
      </c>
      <c r="E597">
        <v>30</v>
      </c>
      <c r="F597" t="s">
        <v>440</v>
      </c>
      <c r="I597">
        <v>12</v>
      </c>
      <c r="J597" t="s">
        <v>1326</v>
      </c>
      <c r="K597">
        <v>796</v>
      </c>
      <c r="L597" t="s">
        <v>0</v>
      </c>
      <c r="M597" t="s">
        <v>0</v>
      </c>
      <c r="N597" t="s">
        <v>1266</v>
      </c>
      <c r="O597" t="s">
        <v>1266</v>
      </c>
      <c r="P597" t="s">
        <v>1266</v>
      </c>
      <c r="Q597" t="s">
        <v>1266</v>
      </c>
      <c r="R597" t="s">
        <v>1266</v>
      </c>
    </row>
    <row r="598" spans="1:18" x14ac:dyDescent="0.3">
      <c r="A598" t="s">
        <v>1610</v>
      </c>
      <c r="B598">
        <v>1</v>
      </c>
      <c r="C598" t="s">
        <v>1</v>
      </c>
      <c r="D598" t="s">
        <v>1610</v>
      </c>
      <c r="E598">
        <v>30</v>
      </c>
      <c r="F598" t="s">
        <v>1610</v>
      </c>
      <c r="I598">
        <v>6</v>
      </c>
      <c r="J598" t="s">
        <v>1356</v>
      </c>
      <c r="K598">
        <v>797</v>
      </c>
      <c r="L598" t="s">
        <v>1</v>
      </c>
      <c r="M598" t="s">
        <v>0</v>
      </c>
      <c r="N598" t="s">
        <v>1266</v>
      </c>
      <c r="O598" t="s">
        <v>1266</v>
      </c>
      <c r="P598" t="s">
        <v>1266</v>
      </c>
      <c r="Q598" t="s">
        <v>1266</v>
      </c>
      <c r="R598" t="s">
        <v>1266</v>
      </c>
    </row>
    <row r="599" spans="1:18" x14ac:dyDescent="0.3">
      <c r="A599" t="s">
        <v>1494</v>
      </c>
      <c r="B599">
        <v>2</v>
      </c>
      <c r="C599" t="s">
        <v>1</v>
      </c>
      <c r="D599" t="s">
        <v>1494</v>
      </c>
      <c r="E599">
        <v>30</v>
      </c>
      <c r="F599" t="s">
        <v>1494</v>
      </c>
      <c r="I599">
        <v>5</v>
      </c>
      <c r="J599" t="s">
        <v>1356</v>
      </c>
      <c r="K599">
        <v>798</v>
      </c>
      <c r="L599" t="s">
        <v>0</v>
      </c>
      <c r="M599" t="s">
        <v>0</v>
      </c>
      <c r="N599" t="s">
        <v>1266</v>
      </c>
      <c r="O599" t="s">
        <v>1266</v>
      </c>
      <c r="P599" t="s">
        <v>1266</v>
      </c>
      <c r="Q599" t="s">
        <v>1266</v>
      </c>
      <c r="R599" t="s">
        <v>1266</v>
      </c>
    </row>
    <row r="600" spans="1:18" x14ac:dyDescent="0.3">
      <c r="A600" t="s">
        <v>440</v>
      </c>
      <c r="B600">
        <v>3</v>
      </c>
      <c r="C600" t="s">
        <v>1</v>
      </c>
      <c r="D600" t="s">
        <v>440</v>
      </c>
      <c r="E600">
        <v>30</v>
      </c>
      <c r="F600" t="s">
        <v>440</v>
      </c>
      <c r="I600">
        <v>12</v>
      </c>
      <c r="J600" t="s">
        <v>1356</v>
      </c>
      <c r="K600">
        <v>799</v>
      </c>
      <c r="L600" t="s">
        <v>1</v>
      </c>
      <c r="M600" t="s">
        <v>0</v>
      </c>
      <c r="N600" t="s">
        <v>1266</v>
      </c>
      <c r="O600" t="s">
        <v>1266</v>
      </c>
      <c r="P600" t="s">
        <v>1266</v>
      </c>
      <c r="Q600" t="s">
        <v>1266</v>
      </c>
      <c r="R600" t="s">
        <v>1266</v>
      </c>
    </row>
    <row r="601" spans="1:18" x14ac:dyDescent="0.3">
      <c r="A601" t="s">
        <v>429</v>
      </c>
      <c r="B601">
        <v>4</v>
      </c>
      <c r="C601" t="s">
        <v>1</v>
      </c>
      <c r="D601" t="s">
        <v>429</v>
      </c>
      <c r="E601">
        <v>30</v>
      </c>
      <c r="F601" t="s">
        <v>429</v>
      </c>
      <c r="I601">
        <v>12</v>
      </c>
      <c r="J601" t="s">
        <v>1356</v>
      </c>
      <c r="K601">
        <v>800</v>
      </c>
      <c r="L601" t="s">
        <v>1</v>
      </c>
      <c r="M601" t="s">
        <v>0</v>
      </c>
      <c r="N601" t="s">
        <v>1266</v>
      </c>
      <c r="O601" t="s">
        <v>1266</v>
      </c>
      <c r="P601" t="s">
        <v>1266</v>
      </c>
      <c r="Q601" t="s">
        <v>1266</v>
      </c>
      <c r="R601" t="s">
        <v>1266</v>
      </c>
    </row>
    <row r="602" spans="1:18" x14ac:dyDescent="0.3">
      <c r="A602" t="s">
        <v>498</v>
      </c>
      <c r="B602">
        <v>5</v>
      </c>
      <c r="C602" t="s">
        <v>1</v>
      </c>
      <c r="D602" t="s">
        <v>498</v>
      </c>
      <c r="E602">
        <v>30</v>
      </c>
      <c r="F602" t="s">
        <v>498</v>
      </c>
      <c r="I602">
        <v>5</v>
      </c>
      <c r="J602" t="s">
        <v>1356</v>
      </c>
      <c r="K602">
        <v>801</v>
      </c>
      <c r="L602" t="s">
        <v>1</v>
      </c>
      <c r="M602" t="s">
        <v>0</v>
      </c>
      <c r="N602" t="s">
        <v>1266</v>
      </c>
      <c r="O602" t="s">
        <v>1266</v>
      </c>
      <c r="P602" t="s">
        <v>1266</v>
      </c>
      <c r="Q602" t="s">
        <v>1266</v>
      </c>
      <c r="R602" t="s">
        <v>1266</v>
      </c>
    </row>
    <row r="603" spans="1:18" x14ac:dyDescent="0.3">
      <c r="A603" t="s">
        <v>527</v>
      </c>
      <c r="B603">
        <v>6</v>
      </c>
      <c r="C603" t="s">
        <v>1</v>
      </c>
      <c r="D603" t="s">
        <v>527</v>
      </c>
      <c r="E603">
        <v>30</v>
      </c>
      <c r="F603" t="s">
        <v>527</v>
      </c>
      <c r="I603">
        <v>5</v>
      </c>
      <c r="J603" t="s">
        <v>1356</v>
      </c>
      <c r="K603">
        <v>802</v>
      </c>
      <c r="L603" t="s">
        <v>1</v>
      </c>
      <c r="M603" t="s">
        <v>0</v>
      </c>
      <c r="N603" t="s">
        <v>1266</v>
      </c>
      <c r="O603" t="s">
        <v>1266</v>
      </c>
      <c r="P603" t="s">
        <v>1266</v>
      </c>
      <c r="Q603" t="s">
        <v>1266</v>
      </c>
      <c r="R603" t="s">
        <v>1266</v>
      </c>
    </row>
    <row r="604" spans="1:18" x14ac:dyDescent="0.3">
      <c r="A604" t="s">
        <v>1443</v>
      </c>
      <c r="B604">
        <v>1</v>
      </c>
      <c r="C604" t="s">
        <v>1</v>
      </c>
      <c r="D604" t="s">
        <v>1443</v>
      </c>
      <c r="E604">
        <v>30</v>
      </c>
      <c r="F604" t="s">
        <v>1443</v>
      </c>
      <c r="I604">
        <v>6</v>
      </c>
      <c r="J604" t="s">
        <v>1369</v>
      </c>
      <c r="K604">
        <v>279</v>
      </c>
      <c r="L604" t="s">
        <v>1</v>
      </c>
      <c r="M604" t="s">
        <v>0</v>
      </c>
      <c r="N604" t="s">
        <v>1266</v>
      </c>
      <c r="O604" t="s">
        <v>1266</v>
      </c>
      <c r="P604" t="s">
        <v>1266</v>
      </c>
      <c r="Q604" t="s">
        <v>1266</v>
      </c>
      <c r="R604" t="s">
        <v>1266</v>
      </c>
    </row>
    <row r="605" spans="1:18" x14ac:dyDescent="0.3">
      <c r="A605" t="s">
        <v>1465</v>
      </c>
      <c r="B605">
        <v>2</v>
      </c>
      <c r="C605" t="s">
        <v>1</v>
      </c>
      <c r="D605" t="s">
        <v>1465</v>
      </c>
      <c r="E605">
        <v>30</v>
      </c>
      <c r="F605" t="s">
        <v>1465</v>
      </c>
      <c r="I605">
        <v>5</v>
      </c>
      <c r="J605" t="s">
        <v>1369</v>
      </c>
      <c r="K605">
        <v>280</v>
      </c>
      <c r="L605" t="s">
        <v>0</v>
      </c>
      <c r="M605" t="s">
        <v>0</v>
      </c>
      <c r="N605" t="s">
        <v>1266</v>
      </c>
      <c r="O605" t="s">
        <v>1266</v>
      </c>
      <c r="P605" t="s">
        <v>1266</v>
      </c>
      <c r="Q605" t="s">
        <v>1266</v>
      </c>
      <c r="R605" t="s">
        <v>1266</v>
      </c>
    </row>
    <row r="606" spans="1:18" x14ac:dyDescent="0.3">
      <c r="A606" t="s">
        <v>440</v>
      </c>
      <c r="B606">
        <v>3</v>
      </c>
      <c r="C606" t="s">
        <v>1</v>
      </c>
      <c r="D606" t="s">
        <v>440</v>
      </c>
      <c r="E606">
        <v>30</v>
      </c>
      <c r="F606" t="s">
        <v>440</v>
      </c>
      <c r="I606">
        <v>12</v>
      </c>
      <c r="J606" t="s">
        <v>1369</v>
      </c>
      <c r="K606">
        <v>281</v>
      </c>
      <c r="L606" t="s">
        <v>1</v>
      </c>
      <c r="M606" t="s">
        <v>0</v>
      </c>
      <c r="N606" t="s">
        <v>1266</v>
      </c>
      <c r="O606" t="s">
        <v>1266</v>
      </c>
      <c r="P606" t="s">
        <v>1266</v>
      </c>
      <c r="Q606" t="s">
        <v>1266</v>
      </c>
      <c r="R606" t="s">
        <v>1266</v>
      </c>
    </row>
    <row r="607" spans="1:18" x14ac:dyDescent="0.3">
      <c r="A607" t="s">
        <v>429</v>
      </c>
      <c r="B607">
        <v>4</v>
      </c>
      <c r="C607" t="s">
        <v>1</v>
      </c>
      <c r="D607" t="s">
        <v>429</v>
      </c>
      <c r="E607">
        <v>30</v>
      </c>
      <c r="F607" t="s">
        <v>429</v>
      </c>
      <c r="I607">
        <v>12</v>
      </c>
      <c r="J607" t="s">
        <v>1369</v>
      </c>
      <c r="K607">
        <v>297</v>
      </c>
      <c r="L607" t="s">
        <v>1</v>
      </c>
      <c r="M607" t="s">
        <v>0</v>
      </c>
      <c r="N607" t="s">
        <v>1266</v>
      </c>
      <c r="O607" t="s">
        <v>1266</v>
      </c>
      <c r="P607" t="s">
        <v>1266</v>
      </c>
      <c r="Q607" t="s">
        <v>1266</v>
      </c>
      <c r="R607" t="s">
        <v>1266</v>
      </c>
    </row>
    <row r="608" spans="1:18" x14ac:dyDescent="0.3">
      <c r="A608" t="s">
        <v>498</v>
      </c>
      <c r="B608">
        <v>5</v>
      </c>
      <c r="C608" t="s">
        <v>1</v>
      </c>
      <c r="D608" t="s">
        <v>498</v>
      </c>
      <c r="E608">
        <v>30</v>
      </c>
      <c r="F608" t="s">
        <v>498</v>
      </c>
      <c r="I608">
        <v>5</v>
      </c>
      <c r="J608" t="s">
        <v>1369</v>
      </c>
      <c r="K608">
        <v>298</v>
      </c>
      <c r="L608" t="s">
        <v>1</v>
      </c>
      <c r="M608" t="s">
        <v>0</v>
      </c>
      <c r="N608" t="s">
        <v>1266</v>
      </c>
      <c r="O608" t="s">
        <v>1266</v>
      </c>
      <c r="P608" t="s">
        <v>1266</v>
      </c>
      <c r="Q608" t="s">
        <v>1266</v>
      </c>
      <c r="R608" t="s">
        <v>1266</v>
      </c>
    </row>
    <row r="609" spans="1:18" x14ac:dyDescent="0.3">
      <c r="A609" t="s">
        <v>527</v>
      </c>
      <c r="B609">
        <v>6</v>
      </c>
      <c r="C609" t="s">
        <v>1</v>
      </c>
      <c r="D609" t="s">
        <v>527</v>
      </c>
      <c r="E609">
        <v>30</v>
      </c>
      <c r="F609" t="s">
        <v>527</v>
      </c>
      <c r="I609">
        <v>5</v>
      </c>
      <c r="J609" t="s">
        <v>1369</v>
      </c>
      <c r="K609">
        <v>299</v>
      </c>
      <c r="L609" t="s">
        <v>1</v>
      </c>
      <c r="M609" t="s">
        <v>0</v>
      </c>
      <c r="N609" t="s">
        <v>1266</v>
      </c>
      <c r="O609" t="s">
        <v>1266</v>
      </c>
      <c r="P609" t="s">
        <v>1266</v>
      </c>
      <c r="Q609" t="s">
        <v>1266</v>
      </c>
      <c r="R609" t="s">
        <v>1266</v>
      </c>
    </row>
    <row r="610" spans="1:18" x14ac:dyDescent="0.3">
      <c r="A610" t="s">
        <v>1572</v>
      </c>
      <c r="B610">
        <v>1</v>
      </c>
      <c r="C610" t="s">
        <v>1</v>
      </c>
      <c r="D610" t="s">
        <v>1572</v>
      </c>
      <c r="E610">
        <v>30</v>
      </c>
      <c r="F610" t="s">
        <v>1572</v>
      </c>
      <c r="I610">
        <v>6</v>
      </c>
      <c r="J610" t="s">
        <v>1358</v>
      </c>
      <c r="K610">
        <v>803</v>
      </c>
      <c r="L610" t="s">
        <v>1</v>
      </c>
      <c r="M610" t="s">
        <v>0</v>
      </c>
      <c r="N610" t="s">
        <v>1266</v>
      </c>
      <c r="O610" t="s">
        <v>1266</v>
      </c>
      <c r="P610" t="s">
        <v>1266</v>
      </c>
      <c r="Q610" t="s">
        <v>1266</v>
      </c>
      <c r="R610" t="s">
        <v>1266</v>
      </c>
    </row>
    <row r="611" spans="1:18" x14ac:dyDescent="0.3">
      <c r="A611" t="s">
        <v>1461</v>
      </c>
      <c r="B611">
        <v>2</v>
      </c>
      <c r="C611" t="s">
        <v>1</v>
      </c>
      <c r="D611" t="s">
        <v>1461</v>
      </c>
      <c r="E611">
        <v>30</v>
      </c>
      <c r="F611" t="s">
        <v>1461</v>
      </c>
      <c r="I611">
        <v>5</v>
      </c>
      <c r="J611" t="s">
        <v>1358</v>
      </c>
      <c r="K611">
        <v>804</v>
      </c>
      <c r="L611" t="s">
        <v>0</v>
      </c>
      <c r="M611" t="s">
        <v>0</v>
      </c>
      <c r="N611" t="s">
        <v>1266</v>
      </c>
      <c r="O611" t="s">
        <v>1266</v>
      </c>
      <c r="P611" t="s">
        <v>1266</v>
      </c>
      <c r="Q611" t="s">
        <v>1266</v>
      </c>
      <c r="R611" t="s">
        <v>1266</v>
      </c>
    </row>
    <row r="612" spans="1:18" x14ac:dyDescent="0.3">
      <c r="A612" t="s">
        <v>440</v>
      </c>
      <c r="B612">
        <v>3</v>
      </c>
      <c r="C612" t="s">
        <v>1</v>
      </c>
      <c r="D612" t="s">
        <v>440</v>
      </c>
      <c r="E612">
        <v>30</v>
      </c>
      <c r="F612" t="s">
        <v>440</v>
      </c>
      <c r="I612">
        <v>12</v>
      </c>
      <c r="J612" t="s">
        <v>1358</v>
      </c>
      <c r="K612">
        <v>805</v>
      </c>
      <c r="L612" t="s">
        <v>1</v>
      </c>
      <c r="M612" t="s">
        <v>0</v>
      </c>
      <c r="N612" t="s">
        <v>1266</v>
      </c>
      <c r="O612" t="s">
        <v>1266</v>
      </c>
      <c r="P612" t="s">
        <v>1266</v>
      </c>
      <c r="Q612" t="s">
        <v>1266</v>
      </c>
      <c r="R612" t="s">
        <v>1266</v>
      </c>
    </row>
    <row r="613" spans="1:18" x14ac:dyDescent="0.3">
      <c r="A613" t="s">
        <v>429</v>
      </c>
      <c r="B613">
        <v>4</v>
      </c>
      <c r="C613" t="s">
        <v>1</v>
      </c>
      <c r="D613" t="s">
        <v>429</v>
      </c>
      <c r="E613">
        <v>30</v>
      </c>
      <c r="F613" t="s">
        <v>429</v>
      </c>
      <c r="I613">
        <v>12</v>
      </c>
      <c r="J613" t="s">
        <v>1358</v>
      </c>
      <c r="K613">
        <v>806</v>
      </c>
      <c r="L613" t="s">
        <v>1</v>
      </c>
      <c r="M613" t="s">
        <v>0</v>
      </c>
      <c r="N613" t="s">
        <v>1266</v>
      </c>
      <c r="O613" t="s">
        <v>1266</v>
      </c>
      <c r="P613" t="s">
        <v>1266</v>
      </c>
      <c r="Q613" t="s">
        <v>1266</v>
      </c>
      <c r="R613" t="s">
        <v>1266</v>
      </c>
    </row>
    <row r="614" spans="1:18" x14ac:dyDescent="0.3">
      <c r="A614" t="s">
        <v>498</v>
      </c>
      <c r="B614">
        <v>5</v>
      </c>
      <c r="C614" t="s">
        <v>1</v>
      </c>
      <c r="D614" t="s">
        <v>498</v>
      </c>
      <c r="E614">
        <v>30</v>
      </c>
      <c r="F614" t="s">
        <v>498</v>
      </c>
      <c r="I614">
        <v>5</v>
      </c>
      <c r="J614" t="s">
        <v>1358</v>
      </c>
      <c r="K614">
        <v>807</v>
      </c>
      <c r="L614" t="s">
        <v>1</v>
      </c>
      <c r="M614" t="s">
        <v>0</v>
      </c>
      <c r="N614" t="s">
        <v>1266</v>
      </c>
      <c r="O614" t="s">
        <v>1266</v>
      </c>
      <c r="P614" t="s">
        <v>1266</v>
      </c>
      <c r="Q614" t="s">
        <v>1266</v>
      </c>
      <c r="R614" t="s">
        <v>1266</v>
      </c>
    </row>
    <row r="615" spans="1:18" x14ac:dyDescent="0.3">
      <c r="A615" t="s">
        <v>527</v>
      </c>
      <c r="B615">
        <v>6</v>
      </c>
      <c r="C615" t="s">
        <v>1</v>
      </c>
      <c r="D615" t="s">
        <v>527</v>
      </c>
      <c r="E615">
        <v>30</v>
      </c>
      <c r="F615" t="s">
        <v>527</v>
      </c>
      <c r="I615">
        <v>5</v>
      </c>
      <c r="J615" t="s">
        <v>1358</v>
      </c>
      <c r="K615">
        <v>808</v>
      </c>
      <c r="L615" t="s">
        <v>1</v>
      </c>
      <c r="M615" t="s">
        <v>0</v>
      </c>
      <c r="N615" t="s">
        <v>1266</v>
      </c>
      <c r="O615" t="s">
        <v>1266</v>
      </c>
      <c r="P615" t="s">
        <v>1266</v>
      </c>
      <c r="Q615" t="s">
        <v>1266</v>
      </c>
      <c r="R615" t="s">
        <v>1266</v>
      </c>
    </row>
    <row r="616" spans="1:18" x14ac:dyDescent="0.3">
      <c r="A616" t="s">
        <v>440</v>
      </c>
      <c r="B616">
        <v>1</v>
      </c>
      <c r="C616" t="s">
        <v>1</v>
      </c>
      <c r="D616" t="s">
        <v>440</v>
      </c>
      <c r="E616">
        <v>30</v>
      </c>
      <c r="F616" t="s">
        <v>440</v>
      </c>
      <c r="I616">
        <v>12</v>
      </c>
      <c r="J616" t="s">
        <v>1307</v>
      </c>
      <c r="K616">
        <v>300</v>
      </c>
      <c r="L616" t="s">
        <v>1</v>
      </c>
      <c r="M616" t="s">
        <v>0</v>
      </c>
      <c r="N616" t="s">
        <v>1266</v>
      </c>
      <c r="O616" t="s">
        <v>1266</v>
      </c>
      <c r="P616" t="s">
        <v>1266</v>
      </c>
      <c r="Q616" t="s">
        <v>1266</v>
      </c>
      <c r="R616" t="s">
        <v>1266</v>
      </c>
    </row>
    <row r="617" spans="1:18" x14ac:dyDescent="0.3">
      <c r="A617" t="s">
        <v>429</v>
      </c>
      <c r="B617">
        <v>2</v>
      </c>
      <c r="C617" t="s">
        <v>1</v>
      </c>
      <c r="D617" t="s">
        <v>429</v>
      </c>
      <c r="E617">
        <v>30</v>
      </c>
      <c r="F617" t="s">
        <v>429</v>
      </c>
      <c r="I617">
        <v>12</v>
      </c>
      <c r="J617" t="s">
        <v>1307</v>
      </c>
      <c r="K617">
        <v>301</v>
      </c>
      <c r="L617" t="s">
        <v>1</v>
      </c>
      <c r="M617" t="s">
        <v>0</v>
      </c>
      <c r="N617" t="s">
        <v>1266</v>
      </c>
      <c r="O617" t="s">
        <v>1266</v>
      </c>
      <c r="P617" t="s">
        <v>1266</v>
      </c>
      <c r="Q617" t="s">
        <v>1266</v>
      </c>
      <c r="R617" t="s">
        <v>1266</v>
      </c>
    </row>
    <row r="618" spans="1:18" x14ac:dyDescent="0.3">
      <c r="A618" t="s">
        <v>498</v>
      </c>
      <c r="B618">
        <v>3</v>
      </c>
      <c r="C618" t="s">
        <v>1</v>
      </c>
      <c r="D618" t="s">
        <v>498</v>
      </c>
      <c r="E618">
        <v>30</v>
      </c>
      <c r="F618" t="s">
        <v>498</v>
      </c>
      <c r="I618">
        <v>5</v>
      </c>
      <c r="J618" t="s">
        <v>1307</v>
      </c>
      <c r="K618">
        <v>302</v>
      </c>
      <c r="L618" t="s">
        <v>1</v>
      </c>
      <c r="M618" t="s">
        <v>0</v>
      </c>
      <c r="N618" t="s">
        <v>1266</v>
      </c>
      <c r="O618" t="s">
        <v>1266</v>
      </c>
      <c r="P618" t="s">
        <v>1266</v>
      </c>
      <c r="Q618" t="s">
        <v>1266</v>
      </c>
      <c r="R618" t="s">
        <v>1266</v>
      </c>
    </row>
    <row r="619" spans="1:18" x14ac:dyDescent="0.3">
      <c r="A619" t="s">
        <v>824</v>
      </c>
      <c r="B619">
        <v>4</v>
      </c>
      <c r="C619" t="s">
        <v>1</v>
      </c>
      <c r="D619" t="s">
        <v>824</v>
      </c>
      <c r="E619">
        <v>30</v>
      </c>
      <c r="F619" t="s">
        <v>824</v>
      </c>
      <c r="I619">
        <v>1</v>
      </c>
      <c r="J619" t="s">
        <v>1307</v>
      </c>
      <c r="K619">
        <v>303</v>
      </c>
      <c r="L619" t="s">
        <v>1</v>
      </c>
      <c r="M619" t="s">
        <v>0</v>
      </c>
      <c r="N619" t="s">
        <v>1266</v>
      </c>
      <c r="O619" t="s">
        <v>1266</v>
      </c>
      <c r="P619" t="s">
        <v>1266</v>
      </c>
      <c r="Q619" t="s">
        <v>1266</v>
      </c>
      <c r="R619" t="s">
        <v>1266</v>
      </c>
    </row>
    <row r="620" spans="1:18" x14ac:dyDescent="0.3">
      <c r="A620" t="s">
        <v>527</v>
      </c>
      <c r="B620">
        <v>5</v>
      </c>
      <c r="C620" t="s">
        <v>1</v>
      </c>
      <c r="D620" t="s">
        <v>527</v>
      </c>
      <c r="E620">
        <v>30</v>
      </c>
      <c r="F620" t="s">
        <v>527</v>
      </c>
      <c r="I620">
        <v>5</v>
      </c>
      <c r="J620" t="s">
        <v>1307</v>
      </c>
      <c r="K620">
        <v>304</v>
      </c>
      <c r="L620" t="s">
        <v>0</v>
      </c>
      <c r="M620" t="s">
        <v>0</v>
      </c>
      <c r="N620" t="s">
        <v>1266</v>
      </c>
      <c r="O620" t="s">
        <v>1266</v>
      </c>
      <c r="P620" t="s">
        <v>1266</v>
      </c>
      <c r="Q620" t="s">
        <v>1266</v>
      </c>
      <c r="R620" t="s">
        <v>1266</v>
      </c>
    </row>
    <row r="621" spans="1:18" x14ac:dyDescent="0.3">
      <c r="A621" t="s">
        <v>1506</v>
      </c>
      <c r="B621">
        <v>6</v>
      </c>
      <c r="C621" t="s">
        <v>0</v>
      </c>
      <c r="D621" t="s">
        <v>1506</v>
      </c>
      <c r="E621">
        <v>30</v>
      </c>
      <c r="F621" t="s">
        <v>1506</v>
      </c>
      <c r="I621">
        <v>6</v>
      </c>
      <c r="J621" t="s">
        <v>1307</v>
      </c>
      <c r="K621">
        <v>459</v>
      </c>
      <c r="L621" t="s">
        <v>1</v>
      </c>
      <c r="M621" t="s">
        <v>0</v>
      </c>
      <c r="N621" t="s">
        <v>1266</v>
      </c>
      <c r="O621" t="s">
        <v>1266</v>
      </c>
      <c r="P621" t="s">
        <v>1266</v>
      </c>
      <c r="Q621" t="s">
        <v>1266</v>
      </c>
      <c r="R621" t="s">
        <v>1266</v>
      </c>
    </row>
    <row r="622" spans="1:18" x14ac:dyDescent="0.3">
      <c r="A622" t="s">
        <v>1595</v>
      </c>
      <c r="B622">
        <v>7</v>
      </c>
      <c r="C622" t="s">
        <v>0</v>
      </c>
      <c r="D622" t="s">
        <v>1595</v>
      </c>
      <c r="E622">
        <v>30</v>
      </c>
      <c r="F622" t="s">
        <v>1595</v>
      </c>
      <c r="I622">
        <v>6</v>
      </c>
      <c r="J622" t="s">
        <v>1307</v>
      </c>
      <c r="K622">
        <v>460</v>
      </c>
      <c r="L622" t="s">
        <v>1</v>
      </c>
      <c r="M622" t="s">
        <v>0</v>
      </c>
      <c r="N622" t="s">
        <v>1266</v>
      </c>
      <c r="O622" t="s">
        <v>1266</v>
      </c>
      <c r="P622" t="s">
        <v>1266</v>
      </c>
      <c r="Q622" t="s">
        <v>1266</v>
      </c>
      <c r="R622" t="s">
        <v>1266</v>
      </c>
    </row>
    <row r="623" spans="1:18" x14ac:dyDescent="0.3">
      <c r="A623" t="s">
        <v>487</v>
      </c>
      <c r="B623">
        <v>1</v>
      </c>
      <c r="C623" t="s">
        <v>1</v>
      </c>
      <c r="D623" t="s">
        <v>487</v>
      </c>
      <c r="E623">
        <v>30</v>
      </c>
      <c r="F623" t="s">
        <v>487</v>
      </c>
      <c r="I623">
        <v>6</v>
      </c>
      <c r="J623" t="s">
        <v>1355</v>
      </c>
      <c r="K623">
        <v>809</v>
      </c>
      <c r="L623" t="s">
        <v>1</v>
      </c>
      <c r="M623" t="s">
        <v>0</v>
      </c>
      <c r="N623" t="s">
        <v>1266</v>
      </c>
      <c r="O623" t="s">
        <v>1266</v>
      </c>
      <c r="P623" t="s">
        <v>1266</v>
      </c>
      <c r="Q623" t="s">
        <v>1266</v>
      </c>
      <c r="R623" t="s">
        <v>1266</v>
      </c>
    </row>
    <row r="624" spans="1:18" x14ac:dyDescent="0.3">
      <c r="A624" t="s">
        <v>489</v>
      </c>
      <c r="B624">
        <v>2</v>
      </c>
      <c r="C624" t="s">
        <v>1</v>
      </c>
      <c r="D624" t="s">
        <v>489</v>
      </c>
      <c r="E624">
        <v>30</v>
      </c>
      <c r="F624" t="s">
        <v>489</v>
      </c>
      <c r="I624">
        <v>5</v>
      </c>
      <c r="J624" t="s">
        <v>1355</v>
      </c>
      <c r="K624">
        <v>810</v>
      </c>
      <c r="L624" t="s">
        <v>0</v>
      </c>
      <c r="M624" t="s">
        <v>0</v>
      </c>
      <c r="N624" t="s">
        <v>1266</v>
      </c>
      <c r="O624" t="s">
        <v>1266</v>
      </c>
      <c r="P624" t="s">
        <v>1266</v>
      </c>
      <c r="Q624" t="s">
        <v>1266</v>
      </c>
      <c r="R624" t="s">
        <v>1266</v>
      </c>
    </row>
    <row r="625" spans="1:18" x14ac:dyDescent="0.3">
      <c r="A625" t="s">
        <v>488</v>
      </c>
      <c r="B625">
        <v>3</v>
      </c>
      <c r="C625" t="s">
        <v>0</v>
      </c>
      <c r="D625" t="s">
        <v>488</v>
      </c>
      <c r="E625">
        <v>30</v>
      </c>
      <c r="F625" t="s">
        <v>488</v>
      </c>
      <c r="I625">
        <v>1</v>
      </c>
      <c r="J625" t="s">
        <v>1355</v>
      </c>
      <c r="K625">
        <v>811</v>
      </c>
      <c r="L625" t="s">
        <v>1</v>
      </c>
      <c r="M625" t="s">
        <v>0</v>
      </c>
      <c r="N625" t="s">
        <v>1266</v>
      </c>
      <c r="O625" t="s">
        <v>1266</v>
      </c>
      <c r="P625" t="s">
        <v>1266</v>
      </c>
      <c r="Q625" t="s">
        <v>1266</v>
      </c>
      <c r="R625" t="s">
        <v>1266</v>
      </c>
    </row>
    <row r="626" spans="1:18" x14ac:dyDescent="0.3">
      <c r="A626" t="s">
        <v>440</v>
      </c>
      <c r="B626">
        <v>4</v>
      </c>
      <c r="C626" t="s">
        <v>1</v>
      </c>
      <c r="D626" t="s">
        <v>440</v>
      </c>
      <c r="E626">
        <v>30</v>
      </c>
      <c r="F626" t="s">
        <v>440</v>
      </c>
      <c r="I626">
        <v>12</v>
      </c>
      <c r="J626" t="s">
        <v>1355</v>
      </c>
      <c r="K626">
        <v>812</v>
      </c>
      <c r="L626" t="s">
        <v>1</v>
      </c>
      <c r="M626" t="s">
        <v>0</v>
      </c>
      <c r="N626" t="s">
        <v>1266</v>
      </c>
      <c r="O626" t="s">
        <v>1266</v>
      </c>
      <c r="P626" t="s">
        <v>1266</v>
      </c>
      <c r="Q626" t="s">
        <v>1266</v>
      </c>
      <c r="R626" t="s">
        <v>1266</v>
      </c>
    </row>
    <row r="627" spans="1:18" x14ac:dyDescent="0.3">
      <c r="A627" t="s">
        <v>429</v>
      </c>
      <c r="B627">
        <v>5</v>
      </c>
      <c r="C627" t="s">
        <v>1</v>
      </c>
      <c r="D627" t="s">
        <v>429</v>
      </c>
      <c r="E627">
        <v>30</v>
      </c>
      <c r="F627" t="s">
        <v>429</v>
      </c>
      <c r="I627">
        <v>12</v>
      </c>
      <c r="J627" t="s">
        <v>1355</v>
      </c>
      <c r="K627">
        <v>813</v>
      </c>
      <c r="L627" t="s">
        <v>1</v>
      </c>
      <c r="M627" t="s">
        <v>0</v>
      </c>
      <c r="N627" t="s">
        <v>1266</v>
      </c>
      <c r="O627" t="s">
        <v>1266</v>
      </c>
      <c r="P627" t="s">
        <v>1266</v>
      </c>
      <c r="Q627" t="s">
        <v>1266</v>
      </c>
      <c r="R627" t="s">
        <v>1266</v>
      </c>
    </row>
    <row r="628" spans="1:18" x14ac:dyDescent="0.3">
      <c r="A628" t="s">
        <v>728</v>
      </c>
      <c r="B628">
        <v>1</v>
      </c>
      <c r="C628" t="s">
        <v>0</v>
      </c>
      <c r="D628" t="s">
        <v>728</v>
      </c>
      <c r="E628">
        <v>30</v>
      </c>
      <c r="F628" t="s">
        <v>728</v>
      </c>
      <c r="I628">
        <v>6</v>
      </c>
      <c r="J628" t="s">
        <v>1350</v>
      </c>
      <c r="K628">
        <v>814</v>
      </c>
      <c r="L628" t="s">
        <v>1</v>
      </c>
      <c r="M628" t="s">
        <v>0</v>
      </c>
      <c r="N628" t="s">
        <v>1266</v>
      </c>
      <c r="O628" t="s">
        <v>1266</v>
      </c>
      <c r="P628" t="s">
        <v>1266</v>
      </c>
      <c r="Q628" t="s">
        <v>1266</v>
      </c>
      <c r="R628" t="s">
        <v>1266</v>
      </c>
    </row>
    <row r="629" spans="1:18" x14ac:dyDescent="0.3">
      <c r="A629" t="s">
        <v>1445</v>
      </c>
      <c r="B629">
        <v>2</v>
      </c>
      <c r="C629" t="s">
        <v>0</v>
      </c>
      <c r="D629" t="s">
        <v>1445</v>
      </c>
      <c r="E629">
        <v>30</v>
      </c>
      <c r="F629" t="s">
        <v>1445</v>
      </c>
      <c r="I629">
        <v>6</v>
      </c>
      <c r="J629" t="s">
        <v>1350</v>
      </c>
      <c r="K629">
        <v>815</v>
      </c>
      <c r="L629" t="s">
        <v>1</v>
      </c>
      <c r="M629" t="s">
        <v>0</v>
      </c>
      <c r="N629" t="s">
        <v>1266</v>
      </c>
      <c r="O629" t="s">
        <v>1266</v>
      </c>
      <c r="P629" t="s">
        <v>1266</v>
      </c>
      <c r="Q629" t="s">
        <v>1266</v>
      </c>
      <c r="R629" t="s">
        <v>1266</v>
      </c>
    </row>
    <row r="630" spans="1:18" x14ac:dyDescent="0.3">
      <c r="A630" t="s">
        <v>713</v>
      </c>
      <c r="B630">
        <v>3</v>
      </c>
      <c r="C630" t="s">
        <v>0</v>
      </c>
      <c r="D630" t="s">
        <v>713</v>
      </c>
      <c r="E630">
        <v>30</v>
      </c>
      <c r="F630" t="s">
        <v>713</v>
      </c>
      <c r="I630">
        <v>1</v>
      </c>
      <c r="J630" t="s">
        <v>1350</v>
      </c>
      <c r="K630">
        <v>816</v>
      </c>
      <c r="L630" t="s">
        <v>1</v>
      </c>
      <c r="M630" t="s">
        <v>0</v>
      </c>
      <c r="N630" t="s">
        <v>1266</v>
      </c>
      <c r="O630" t="s">
        <v>1266</v>
      </c>
      <c r="P630" t="s">
        <v>1266</v>
      </c>
      <c r="Q630" t="s">
        <v>1266</v>
      </c>
      <c r="R630" t="s">
        <v>1266</v>
      </c>
    </row>
    <row r="631" spans="1:18" x14ac:dyDescent="0.3">
      <c r="A631" t="s">
        <v>1510</v>
      </c>
      <c r="B631">
        <v>4</v>
      </c>
      <c r="C631" t="s">
        <v>0</v>
      </c>
      <c r="D631" t="s">
        <v>1510</v>
      </c>
      <c r="E631">
        <v>30</v>
      </c>
      <c r="F631" t="s">
        <v>1510</v>
      </c>
      <c r="I631">
        <v>21</v>
      </c>
      <c r="J631" t="s">
        <v>1350</v>
      </c>
      <c r="K631">
        <v>817</v>
      </c>
      <c r="L631" t="s">
        <v>1</v>
      </c>
      <c r="M631" t="s">
        <v>0</v>
      </c>
      <c r="N631" t="s">
        <v>1266</v>
      </c>
      <c r="O631" t="s">
        <v>1266</v>
      </c>
      <c r="P631" t="s">
        <v>1266</v>
      </c>
      <c r="Q631" t="s">
        <v>1266</v>
      </c>
      <c r="R631" t="s">
        <v>1266</v>
      </c>
    </row>
    <row r="632" spans="1:18" x14ac:dyDescent="0.3">
      <c r="A632" t="s">
        <v>1603</v>
      </c>
      <c r="B632">
        <v>5</v>
      </c>
      <c r="C632" t="s">
        <v>0</v>
      </c>
      <c r="D632" t="s">
        <v>1603</v>
      </c>
      <c r="E632">
        <v>30</v>
      </c>
      <c r="F632" t="s">
        <v>1603</v>
      </c>
      <c r="I632">
        <v>1</v>
      </c>
      <c r="J632" t="s">
        <v>1350</v>
      </c>
      <c r="K632">
        <v>818</v>
      </c>
      <c r="L632" t="s">
        <v>1</v>
      </c>
      <c r="M632" t="s">
        <v>0</v>
      </c>
      <c r="N632" t="s">
        <v>1266</v>
      </c>
      <c r="O632" t="s">
        <v>1266</v>
      </c>
      <c r="P632" t="s">
        <v>1266</v>
      </c>
      <c r="Q632" t="s">
        <v>1266</v>
      </c>
      <c r="R632" t="s">
        <v>1266</v>
      </c>
    </row>
    <row r="633" spans="1:18" x14ac:dyDescent="0.3">
      <c r="A633" t="s">
        <v>1497</v>
      </c>
      <c r="B633">
        <v>6</v>
      </c>
      <c r="C633" t="s">
        <v>0</v>
      </c>
      <c r="D633" t="s">
        <v>1497</v>
      </c>
      <c r="E633">
        <v>30</v>
      </c>
      <c r="F633" t="s">
        <v>1497</v>
      </c>
      <c r="I633">
        <v>21</v>
      </c>
      <c r="J633" t="s">
        <v>1350</v>
      </c>
      <c r="K633">
        <v>819</v>
      </c>
      <c r="L633" t="s">
        <v>1</v>
      </c>
      <c r="M633" t="s">
        <v>0</v>
      </c>
      <c r="N633" t="s">
        <v>1266</v>
      </c>
      <c r="O633" t="s">
        <v>1266</v>
      </c>
      <c r="P633" t="s">
        <v>1266</v>
      </c>
      <c r="Q633" t="s">
        <v>1266</v>
      </c>
      <c r="R633" t="s">
        <v>1266</v>
      </c>
    </row>
    <row r="634" spans="1:18" x14ac:dyDescent="0.3">
      <c r="A634" t="s">
        <v>1588</v>
      </c>
      <c r="B634">
        <v>7</v>
      </c>
      <c r="C634" t="s">
        <v>0</v>
      </c>
      <c r="D634" t="s">
        <v>1588</v>
      </c>
      <c r="E634">
        <v>30</v>
      </c>
      <c r="F634" t="s">
        <v>1588</v>
      </c>
      <c r="I634">
        <v>6</v>
      </c>
      <c r="J634" t="s">
        <v>1350</v>
      </c>
      <c r="K634">
        <v>820</v>
      </c>
      <c r="L634" t="s">
        <v>1</v>
      </c>
      <c r="M634" t="s">
        <v>0</v>
      </c>
      <c r="N634" t="s">
        <v>1266</v>
      </c>
      <c r="O634" t="s">
        <v>1266</v>
      </c>
      <c r="P634" t="s">
        <v>1266</v>
      </c>
      <c r="Q634" t="s">
        <v>1266</v>
      </c>
      <c r="R634" t="s">
        <v>1266</v>
      </c>
    </row>
    <row r="635" spans="1:18" x14ac:dyDescent="0.3">
      <c r="A635" t="s">
        <v>440</v>
      </c>
      <c r="B635">
        <v>8</v>
      </c>
      <c r="C635" t="s">
        <v>1</v>
      </c>
      <c r="D635" t="s">
        <v>440</v>
      </c>
      <c r="E635">
        <v>30</v>
      </c>
      <c r="F635" t="s">
        <v>440</v>
      </c>
      <c r="I635">
        <v>12</v>
      </c>
      <c r="J635" t="s">
        <v>1350</v>
      </c>
      <c r="K635">
        <v>821</v>
      </c>
      <c r="L635" t="s">
        <v>1</v>
      </c>
      <c r="M635" t="s">
        <v>0</v>
      </c>
      <c r="N635" t="s">
        <v>1266</v>
      </c>
      <c r="O635" t="s">
        <v>1266</v>
      </c>
      <c r="P635" t="s">
        <v>1266</v>
      </c>
      <c r="Q635" t="s">
        <v>1266</v>
      </c>
      <c r="R635" t="s">
        <v>1266</v>
      </c>
    </row>
    <row r="636" spans="1:18" x14ac:dyDescent="0.3">
      <c r="A636" t="s">
        <v>429</v>
      </c>
      <c r="B636">
        <v>9</v>
      </c>
      <c r="C636" t="s">
        <v>1</v>
      </c>
      <c r="D636" t="s">
        <v>429</v>
      </c>
      <c r="E636">
        <v>30</v>
      </c>
      <c r="F636" t="s">
        <v>429</v>
      </c>
      <c r="I636">
        <v>12</v>
      </c>
      <c r="J636" t="s">
        <v>1350</v>
      </c>
      <c r="K636">
        <v>822</v>
      </c>
      <c r="L636" t="s">
        <v>1</v>
      </c>
      <c r="M636" t="s">
        <v>0</v>
      </c>
      <c r="N636" t="s">
        <v>1266</v>
      </c>
      <c r="O636" t="s">
        <v>1266</v>
      </c>
      <c r="P636" t="s">
        <v>1266</v>
      </c>
      <c r="Q636" t="s">
        <v>1266</v>
      </c>
      <c r="R636" t="s">
        <v>1266</v>
      </c>
    </row>
    <row r="637" spans="1:18" x14ac:dyDescent="0.3">
      <c r="A637" t="s">
        <v>1468</v>
      </c>
      <c r="B637">
        <v>10</v>
      </c>
      <c r="C637" t="s">
        <v>1</v>
      </c>
      <c r="D637" t="s">
        <v>1468</v>
      </c>
      <c r="E637">
        <v>30</v>
      </c>
      <c r="F637" t="s">
        <v>1468</v>
      </c>
      <c r="I637">
        <v>5</v>
      </c>
      <c r="J637" t="s">
        <v>1350</v>
      </c>
      <c r="K637">
        <v>823</v>
      </c>
      <c r="L637" t="s">
        <v>0</v>
      </c>
      <c r="M637" t="s">
        <v>0</v>
      </c>
      <c r="N637" t="s">
        <v>1266</v>
      </c>
      <c r="O637" t="s">
        <v>1266</v>
      </c>
      <c r="P637" t="s">
        <v>1266</v>
      </c>
      <c r="Q637" t="s">
        <v>1266</v>
      </c>
      <c r="R637" t="s">
        <v>1266</v>
      </c>
    </row>
    <row r="638" spans="1:18" x14ac:dyDescent="0.3">
      <c r="A638" t="s">
        <v>498</v>
      </c>
      <c r="B638">
        <v>11</v>
      </c>
      <c r="C638" t="s">
        <v>1</v>
      </c>
      <c r="D638" t="s">
        <v>498</v>
      </c>
      <c r="E638">
        <v>30</v>
      </c>
      <c r="F638" t="s">
        <v>498</v>
      </c>
      <c r="I638">
        <v>5</v>
      </c>
      <c r="J638" t="s">
        <v>1350</v>
      </c>
      <c r="K638">
        <v>824</v>
      </c>
      <c r="L638" t="s">
        <v>1</v>
      </c>
      <c r="M638" t="s">
        <v>0</v>
      </c>
      <c r="N638" t="s">
        <v>1266</v>
      </c>
      <c r="O638" t="s">
        <v>1266</v>
      </c>
      <c r="P638" t="s">
        <v>1266</v>
      </c>
      <c r="Q638" t="s">
        <v>1266</v>
      </c>
      <c r="R638" t="s">
        <v>1266</v>
      </c>
    </row>
    <row r="639" spans="1:18" x14ac:dyDescent="0.3">
      <c r="A639" t="s">
        <v>516</v>
      </c>
      <c r="B639">
        <v>12</v>
      </c>
      <c r="C639" t="s">
        <v>1</v>
      </c>
      <c r="D639" t="s">
        <v>516</v>
      </c>
      <c r="E639">
        <v>30</v>
      </c>
      <c r="F639" t="s">
        <v>516</v>
      </c>
      <c r="I639">
        <v>5</v>
      </c>
      <c r="J639" t="s">
        <v>1350</v>
      </c>
      <c r="K639">
        <v>825</v>
      </c>
      <c r="L639" t="s">
        <v>1</v>
      </c>
      <c r="M639" t="s">
        <v>0</v>
      </c>
      <c r="N639" t="s">
        <v>1266</v>
      </c>
      <c r="O639" t="s">
        <v>1266</v>
      </c>
      <c r="P639" t="s">
        <v>1266</v>
      </c>
      <c r="Q639" t="s">
        <v>1266</v>
      </c>
      <c r="R639" t="s">
        <v>1266</v>
      </c>
    </row>
    <row r="640" spans="1:18" x14ac:dyDescent="0.3">
      <c r="A640" t="s">
        <v>492</v>
      </c>
      <c r="B640">
        <v>13</v>
      </c>
      <c r="C640" t="s">
        <v>1</v>
      </c>
      <c r="D640" t="s">
        <v>492</v>
      </c>
      <c r="E640">
        <v>30</v>
      </c>
      <c r="F640" t="s">
        <v>492</v>
      </c>
      <c r="I640">
        <v>21</v>
      </c>
      <c r="J640" t="s">
        <v>1350</v>
      </c>
      <c r="K640">
        <v>826</v>
      </c>
      <c r="L640" t="s">
        <v>1</v>
      </c>
      <c r="M640" t="s">
        <v>0</v>
      </c>
      <c r="N640" t="s">
        <v>1266</v>
      </c>
      <c r="O640" t="s">
        <v>1266</v>
      </c>
      <c r="P640" t="s">
        <v>1266</v>
      </c>
      <c r="Q640" t="s">
        <v>1266</v>
      </c>
      <c r="R640" t="s">
        <v>1266</v>
      </c>
    </row>
    <row r="641" spans="1:18" x14ac:dyDescent="0.3">
      <c r="A641" t="s">
        <v>533</v>
      </c>
      <c r="B641">
        <v>1</v>
      </c>
      <c r="C641" t="s">
        <v>1</v>
      </c>
      <c r="D641" t="s">
        <v>533</v>
      </c>
      <c r="E641">
        <v>30</v>
      </c>
      <c r="F641" t="s">
        <v>532</v>
      </c>
      <c r="I641">
        <v>5</v>
      </c>
      <c r="J641" t="s">
        <v>412</v>
      </c>
      <c r="K641">
        <v>827</v>
      </c>
      <c r="L641" t="s">
        <v>0</v>
      </c>
      <c r="M641" t="s">
        <v>0</v>
      </c>
      <c r="N641" t="s">
        <v>1266</v>
      </c>
      <c r="O641" t="s">
        <v>1266</v>
      </c>
      <c r="P641" t="s">
        <v>1266</v>
      </c>
      <c r="Q641" t="s">
        <v>1266</v>
      </c>
      <c r="R641" t="s">
        <v>1266</v>
      </c>
    </row>
    <row r="642" spans="1:18" x14ac:dyDescent="0.3">
      <c r="A642" t="s">
        <v>440</v>
      </c>
      <c r="B642">
        <v>2</v>
      </c>
      <c r="C642" t="s">
        <v>1</v>
      </c>
      <c r="D642" t="s">
        <v>440</v>
      </c>
      <c r="E642">
        <v>30</v>
      </c>
      <c r="F642" t="s">
        <v>440</v>
      </c>
      <c r="I642">
        <v>12</v>
      </c>
      <c r="J642" t="s">
        <v>412</v>
      </c>
      <c r="K642">
        <v>828</v>
      </c>
      <c r="L642" t="s">
        <v>1</v>
      </c>
      <c r="M642" t="s">
        <v>0</v>
      </c>
      <c r="N642" t="s">
        <v>1266</v>
      </c>
      <c r="O642" t="s">
        <v>1266</v>
      </c>
      <c r="P642" t="s">
        <v>1266</v>
      </c>
      <c r="Q642" t="s">
        <v>1266</v>
      </c>
      <c r="R642" t="s">
        <v>1266</v>
      </c>
    </row>
    <row r="643" spans="1:18" x14ac:dyDescent="0.3">
      <c r="A643" t="s">
        <v>430</v>
      </c>
      <c r="B643">
        <v>3</v>
      </c>
      <c r="C643" t="s">
        <v>1</v>
      </c>
      <c r="D643" t="s">
        <v>430</v>
      </c>
      <c r="E643">
        <v>30</v>
      </c>
      <c r="F643" t="s">
        <v>429</v>
      </c>
      <c r="I643">
        <v>12</v>
      </c>
      <c r="J643" t="s">
        <v>412</v>
      </c>
      <c r="K643">
        <v>829</v>
      </c>
      <c r="L643" t="s">
        <v>1</v>
      </c>
      <c r="M643" t="s">
        <v>0</v>
      </c>
      <c r="N643" t="s">
        <v>1266</v>
      </c>
      <c r="O643" t="s">
        <v>1266</v>
      </c>
      <c r="P643" t="s">
        <v>1266</v>
      </c>
      <c r="Q643" t="s">
        <v>1266</v>
      </c>
      <c r="R643" t="s">
        <v>1266</v>
      </c>
    </row>
    <row r="644" spans="1:18" x14ac:dyDescent="0.3">
      <c r="A644" t="s">
        <v>708</v>
      </c>
      <c r="B644">
        <v>4</v>
      </c>
      <c r="C644" t="s">
        <v>1</v>
      </c>
      <c r="D644" t="s">
        <v>708</v>
      </c>
      <c r="E644">
        <v>30</v>
      </c>
      <c r="F644" t="s">
        <v>498</v>
      </c>
      <c r="I644">
        <v>5</v>
      </c>
      <c r="J644" t="s">
        <v>412</v>
      </c>
      <c r="K644">
        <v>830</v>
      </c>
      <c r="L644" t="s">
        <v>1</v>
      </c>
      <c r="M644" t="s">
        <v>0</v>
      </c>
      <c r="N644" t="s">
        <v>1266</v>
      </c>
      <c r="O644" t="s">
        <v>1266</v>
      </c>
      <c r="P644" t="s">
        <v>1266</v>
      </c>
      <c r="Q644" t="s">
        <v>1266</v>
      </c>
      <c r="R644" t="s">
        <v>1266</v>
      </c>
    </row>
    <row r="645" spans="1:18" x14ac:dyDescent="0.3">
      <c r="A645" t="s">
        <v>537</v>
      </c>
      <c r="B645">
        <v>5</v>
      </c>
      <c r="C645" t="s">
        <v>1</v>
      </c>
      <c r="D645" t="s">
        <v>537</v>
      </c>
      <c r="E645">
        <v>30</v>
      </c>
      <c r="F645" t="s">
        <v>527</v>
      </c>
      <c r="I645">
        <v>5</v>
      </c>
      <c r="J645" t="s">
        <v>412</v>
      </c>
      <c r="K645">
        <v>831</v>
      </c>
      <c r="L645" t="s">
        <v>1</v>
      </c>
      <c r="M645" t="s">
        <v>0</v>
      </c>
      <c r="N645" t="s">
        <v>1266</v>
      </c>
      <c r="O645" t="s">
        <v>1266</v>
      </c>
      <c r="P645" t="s">
        <v>1266</v>
      </c>
      <c r="Q645" t="s">
        <v>1266</v>
      </c>
      <c r="R645" t="s">
        <v>1266</v>
      </c>
    </row>
    <row r="646" spans="1:18" x14ac:dyDescent="0.3">
      <c r="A646" t="s">
        <v>534</v>
      </c>
      <c r="B646">
        <v>6</v>
      </c>
      <c r="C646" t="s">
        <v>0</v>
      </c>
      <c r="D646" t="s">
        <v>534</v>
      </c>
      <c r="E646">
        <v>30</v>
      </c>
      <c r="F646" t="s">
        <v>525</v>
      </c>
      <c r="I646">
        <v>6</v>
      </c>
      <c r="J646" t="s">
        <v>412</v>
      </c>
      <c r="K646">
        <v>832</v>
      </c>
      <c r="L646" t="s">
        <v>1</v>
      </c>
      <c r="M646" t="s">
        <v>0</v>
      </c>
      <c r="N646" t="s">
        <v>1266</v>
      </c>
      <c r="O646" t="s">
        <v>1266</v>
      </c>
      <c r="P646" t="s">
        <v>1266</v>
      </c>
      <c r="Q646" t="s">
        <v>1266</v>
      </c>
      <c r="R646" t="s">
        <v>1266</v>
      </c>
    </row>
    <row r="647" spans="1:18" x14ac:dyDescent="0.3">
      <c r="A647" t="s">
        <v>536</v>
      </c>
      <c r="B647">
        <v>7</v>
      </c>
      <c r="C647" t="s">
        <v>0</v>
      </c>
      <c r="D647" t="s">
        <v>536</v>
      </c>
      <c r="E647">
        <v>30</v>
      </c>
      <c r="F647" t="s">
        <v>535</v>
      </c>
      <c r="I647">
        <v>5</v>
      </c>
      <c r="J647" t="s">
        <v>412</v>
      </c>
      <c r="K647">
        <v>833</v>
      </c>
      <c r="L647" t="s">
        <v>1</v>
      </c>
      <c r="M647" t="s">
        <v>0</v>
      </c>
      <c r="N647" t="s">
        <v>1266</v>
      </c>
      <c r="O647" t="s">
        <v>1266</v>
      </c>
      <c r="P647" t="s">
        <v>1266</v>
      </c>
      <c r="Q647" t="s">
        <v>1266</v>
      </c>
      <c r="R647" t="s">
        <v>1266</v>
      </c>
    </row>
    <row r="648" spans="1:18" x14ac:dyDescent="0.3">
      <c r="A648" t="s">
        <v>818</v>
      </c>
      <c r="B648">
        <v>1</v>
      </c>
      <c r="C648" t="s">
        <v>1</v>
      </c>
      <c r="E648">
        <v>30</v>
      </c>
      <c r="F648" t="s">
        <v>818</v>
      </c>
      <c r="I648">
        <v>5</v>
      </c>
      <c r="J648" t="s">
        <v>422</v>
      </c>
      <c r="K648">
        <v>834</v>
      </c>
      <c r="L648" t="s">
        <v>1</v>
      </c>
      <c r="M648" t="s">
        <v>0</v>
      </c>
      <c r="N648" t="s">
        <v>1266</v>
      </c>
      <c r="O648" t="s">
        <v>1266</v>
      </c>
      <c r="P648" t="s">
        <v>1266</v>
      </c>
      <c r="Q648" t="s">
        <v>1266</v>
      </c>
      <c r="R648" t="s">
        <v>1266</v>
      </c>
    </row>
    <row r="649" spans="1:18" x14ac:dyDescent="0.3">
      <c r="A649" t="s">
        <v>532</v>
      </c>
      <c r="B649">
        <v>2</v>
      </c>
      <c r="C649" t="s">
        <v>1</v>
      </c>
      <c r="E649">
        <v>30</v>
      </c>
      <c r="F649" t="s">
        <v>532</v>
      </c>
      <c r="I649">
        <v>5</v>
      </c>
      <c r="J649" t="s">
        <v>422</v>
      </c>
      <c r="K649">
        <v>835</v>
      </c>
      <c r="L649" t="s">
        <v>0</v>
      </c>
      <c r="M649" t="s">
        <v>0</v>
      </c>
      <c r="N649" t="s">
        <v>1266</v>
      </c>
      <c r="O649" t="s">
        <v>1266</v>
      </c>
      <c r="P649" t="s">
        <v>1266</v>
      </c>
      <c r="Q649" t="s">
        <v>1266</v>
      </c>
      <c r="R649" t="s">
        <v>1266</v>
      </c>
    </row>
    <row r="650" spans="1:18" x14ac:dyDescent="0.3">
      <c r="A650" t="s">
        <v>852</v>
      </c>
      <c r="B650">
        <v>3</v>
      </c>
      <c r="C650" t="s">
        <v>1</v>
      </c>
      <c r="E650">
        <v>30</v>
      </c>
      <c r="F650" t="s">
        <v>852</v>
      </c>
      <c r="I650">
        <v>9</v>
      </c>
      <c r="J650" t="s">
        <v>422</v>
      </c>
      <c r="K650">
        <v>836</v>
      </c>
      <c r="L650" t="s">
        <v>1</v>
      </c>
      <c r="M650" t="s">
        <v>0</v>
      </c>
      <c r="N650" t="s">
        <v>1266</v>
      </c>
      <c r="O650" t="s">
        <v>1266</v>
      </c>
      <c r="P650" t="s">
        <v>1266</v>
      </c>
      <c r="Q650" t="s">
        <v>1266</v>
      </c>
      <c r="R650" t="s">
        <v>1266</v>
      </c>
    </row>
    <row r="651" spans="1:18" x14ac:dyDescent="0.3">
      <c r="A651" t="s">
        <v>854</v>
      </c>
      <c r="B651">
        <v>4</v>
      </c>
      <c r="C651" t="s">
        <v>1</v>
      </c>
      <c r="E651">
        <v>30</v>
      </c>
      <c r="F651" t="s">
        <v>854</v>
      </c>
      <c r="I651">
        <v>5</v>
      </c>
      <c r="J651" t="s">
        <v>422</v>
      </c>
      <c r="K651">
        <v>837</v>
      </c>
      <c r="L651" t="s">
        <v>1</v>
      </c>
      <c r="M651" t="s">
        <v>0</v>
      </c>
      <c r="N651" t="s">
        <v>1266</v>
      </c>
      <c r="O651" t="s">
        <v>1266</v>
      </c>
      <c r="P651" t="s">
        <v>1266</v>
      </c>
      <c r="Q651" t="s">
        <v>1266</v>
      </c>
      <c r="R651" t="s">
        <v>1266</v>
      </c>
    </row>
    <row r="652" spans="1:18" x14ac:dyDescent="0.3">
      <c r="A652" t="s">
        <v>438</v>
      </c>
      <c r="B652">
        <v>5</v>
      </c>
      <c r="C652" t="s">
        <v>1</v>
      </c>
      <c r="E652">
        <v>30</v>
      </c>
      <c r="F652" t="s">
        <v>438</v>
      </c>
      <c r="I652">
        <v>12</v>
      </c>
      <c r="J652" t="s">
        <v>422</v>
      </c>
      <c r="K652">
        <v>838</v>
      </c>
      <c r="L652" t="s">
        <v>1</v>
      </c>
      <c r="M652" t="s">
        <v>0</v>
      </c>
      <c r="N652" t="s">
        <v>1266</v>
      </c>
      <c r="O652" t="s">
        <v>1266</v>
      </c>
      <c r="P652" t="s">
        <v>1266</v>
      </c>
      <c r="Q652" t="s">
        <v>1266</v>
      </c>
      <c r="R652" t="s">
        <v>1266</v>
      </c>
    </row>
    <row r="653" spans="1:18" x14ac:dyDescent="0.3">
      <c r="A653" t="s">
        <v>440</v>
      </c>
      <c r="B653">
        <v>6</v>
      </c>
      <c r="C653" t="s">
        <v>1</v>
      </c>
      <c r="E653">
        <v>30</v>
      </c>
      <c r="F653" t="s">
        <v>440</v>
      </c>
      <c r="I653">
        <v>12</v>
      </c>
      <c r="J653" t="s">
        <v>422</v>
      </c>
      <c r="K653">
        <v>839</v>
      </c>
      <c r="L653" t="s">
        <v>1</v>
      </c>
      <c r="M653" t="s">
        <v>0</v>
      </c>
      <c r="N653" t="s">
        <v>1266</v>
      </c>
      <c r="O653" t="s">
        <v>1266</v>
      </c>
      <c r="P653" t="s">
        <v>1266</v>
      </c>
      <c r="Q653" t="s">
        <v>1266</v>
      </c>
      <c r="R653" t="s">
        <v>1266</v>
      </c>
    </row>
    <row r="654" spans="1:18" x14ac:dyDescent="0.3">
      <c r="A654" t="s">
        <v>429</v>
      </c>
      <c r="B654">
        <v>7</v>
      </c>
      <c r="C654" t="s">
        <v>1</v>
      </c>
      <c r="E654">
        <v>30</v>
      </c>
      <c r="F654" t="s">
        <v>429</v>
      </c>
      <c r="I654">
        <v>12</v>
      </c>
      <c r="J654" t="s">
        <v>422</v>
      </c>
      <c r="K654">
        <v>840</v>
      </c>
      <c r="L654" t="s">
        <v>1</v>
      </c>
      <c r="M654" t="s">
        <v>0</v>
      </c>
      <c r="N654" t="s">
        <v>1266</v>
      </c>
      <c r="O654" t="s">
        <v>1266</v>
      </c>
      <c r="P654" t="s">
        <v>1266</v>
      </c>
      <c r="Q654" t="s">
        <v>1266</v>
      </c>
      <c r="R654" t="s">
        <v>1266</v>
      </c>
    </row>
    <row r="655" spans="1:18" x14ac:dyDescent="0.3">
      <c r="A655" t="s">
        <v>498</v>
      </c>
      <c r="B655">
        <v>8</v>
      </c>
      <c r="C655" t="s">
        <v>1</v>
      </c>
      <c r="E655">
        <v>30</v>
      </c>
      <c r="F655" t="s">
        <v>498</v>
      </c>
      <c r="I655">
        <v>5</v>
      </c>
      <c r="J655" t="s">
        <v>422</v>
      </c>
      <c r="K655">
        <v>841</v>
      </c>
      <c r="L655" t="s">
        <v>1</v>
      </c>
      <c r="M655" t="s">
        <v>0</v>
      </c>
      <c r="N655" t="s">
        <v>1266</v>
      </c>
      <c r="O655" t="s">
        <v>1266</v>
      </c>
      <c r="P655" t="s">
        <v>1266</v>
      </c>
      <c r="Q655" t="s">
        <v>1266</v>
      </c>
      <c r="R655" t="s">
        <v>1266</v>
      </c>
    </row>
    <row r="656" spans="1:18" x14ac:dyDescent="0.3">
      <c r="A656" t="s">
        <v>492</v>
      </c>
      <c r="B656">
        <v>9</v>
      </c>
      <c r="C656" t="s">
        <v>1</v>
      </c>
      <c r="D656" t="s">
        <v>492</v>
      </c>
      <c r="E656">
        <v>30</v>
      </c>
      <c r="F656" t="s">
        <v>492</v>
      </c>
      <c r="I656">
        <v>21</v>
      </c>
      <c r="J656" t="s">
        <v>422</v>
      </c>
      <c r="K656">
        <v>842</v>
      </c>
      <c r="L656" t="s">
        <v>1</v>
      </c>
      <c r="M656" t="s">
        <v>0</v>
      </c>
      <c r="N656" t="s">
        <v>1266</v>
      </c>
      <c r="O656" t="s">
        <v>1266</v>
      </c>
      <c r="P656" t="s">
        <v>1266</v>
      </c>
      <c r="Q656" t="s">
        <v>1266</v>
      </c>
      <c r="R656" t="s">
        <v>1266</v>
      </c>
    </row>
    <row r="657" spans="1:18" x14ac:dyDescent="0.3">
      <c r="A657" t="s">
        <v>874</v>
      </c>
      <c r="B657">
        <v>1</v>
      </c>
      <c r="C657" t="s">
        <v>0</v>
      </c>
      <c r="D657" t="s">
        <v>874</v>
      </c>
      <c r="E657">
        <v>30</v>
      </c>
      <c r="F657" t="s">
        <v>873</v>
      </c>
      <c r="I657">
        <v>1</v>
      </c>
      <c r="J657" t="s">
        <v>393</v>
      </c>
      <c r="K657">
        <v>843</v>
      </c>
      <c r="L657" t="s">
        <v>1</v>
      </c>
      <c r="M657" t="s">
        <v>0</v>
      </c>
      <c r="N657" t="s">
        <v>1266</v>
      </c>
      <c r="O657" t="s">
        <v>1266</v>
      </c>
      <c r="P657" t="s">
        <v>1266</v>
      </c>
      <c r="Q657" t="s">
        <v>1266</v>
      </c>
      <c r="R657" t="s">
        <v>1266</v>
      </c>
    </row>
    <row r="658" spans="1:18" x14ac:dyDescent="0.3">
      <c r="A658" t="s">
        <v>719</v>
      </c>
      <c r="B658">
        <v>2</v>
      </c>
      <c r="C658" t="s">
        <v>0</v>
      </c>
      <c r="D658" t="s">
        <v>719</v>
      </c>
      <c r="E658">
        <v>30</v>
      </c>
      <c r="F658" t="s">
        <v>718</v>
      </c>
      <c r="I658">
        <v>5</v>
      </c>
      <c r="J658" t="s">
        <v>393</v>
      </c>
      <c r="K658">
        <v>844</v>
      </c>
      <c r="L658" t="s">
        <v>1</v>
      </c>
      <c r="M658" t="s">
        <v>0</v>
      </c>
      <c r="N658" t="s">
        <v>1266</v>
      </c>
      <c r="O658" t="s">
        <v>1266</v>
      </c>
      <c r="P658" t="s">
        <v>1266</v>
      </c>
      <c r="Q658" t="s">
        <v>1266</v>
      </c>
      <c r="R658" t="s">
        <v>1266</v>
      </c>
    </row>
    <row r="659" spans="1:18" x14ac:dyDescent="0.3">
      <c r="A659" t="s">
        <v>1656</v>
      </c>
      <c r="B659">
        <v>3</v>
      </c>
      <c r="C659" t="s">
        <v>1</v>
      </c>
      <c r="D659" t="s">
        <v>1656</v>
      </c>
      <c r="E659">
        <v>30</v>
      </c>
      <c r="F659" t="s">
        <v>853</v>
      </c>
      <c r="I659">
        <v>6</v>
      </c>
      <c r="J659" t="s">
        <v>393</v>
      </c>
      <c r="K659">
        <v>845</v>
      </c>
      <c r="L659" t="s">
        <v>1</v>
      </c>
      <c r="M659" t="s">
        <v>0</v>
      </c>
      <c r="N659" t="s">
        <v>1266</v>
      </c>
      <c r="O659" t="s">
        <v>1266</v>
      </c>
      <c r="P659" t="s">
        <v>1266</v>
      </c>
      <c r="Q659" t="s">
        <v>1266</v>
      </c>
      <c r="R659" t="s">
        <v>1266</v>
      </c>
    </row>
    <row r="660" spans="1:18" x14ac:dyDescent="0.3">
      <c r="A660" t="s">
        <v>533</v>
      </c>
      <c r="B660">
        <v>4</v>
      </c>
      <c r="C660" t="s">
        <v>1</v>
      </c>
      <c r="D660" t="s">
        <v>533</v>
      </c>
      <c r="E660">
        <v>30</v>
      </c>
      <c r="F660" t="s">
        <v>532</v>
      </c>
      <c r="I660">
        <v>5</v>
      </c>
      <c r="J660" t="s">
        <v>393</v>
      </c>
      <c r="K660">
        <v>846</v>
      </c>
      <c r="L660" t="s">
        <v>0</v>
      </c>
      <c r="M660" t="s">
        <v>0</v>
      </c>
      <c r="N660" t="s">
        <v>1266</v>
      </c>
      <c r="O660" t="s">
        <v>1266</v>
      </c>
      <c r="P660" t="s">
        <v>1266</v>
      </c>
      <c r="Q660" t="s">
        <v>1266</v>
      </c>
      <c r="R660" t="s">
        <v>1266</v>
      </c>
    </row>
    <row r="661" spans="1:18" x14ac:dyDescent="0.3">
      <c r="A661" t="s">
        <v>872</v>
      </c>
      <c r="B661">
        <v>5</v>
      </c>
      <c r="C661" t="s">
        <v>1</v>
      </c>
      <c r="D661" t="s">
        <v>872</v>
      </c>
      <c r="E661">
        <v>30</v>
      </c>
      <c r="F661" t="s">
        <v>871</v>
      </c>
      <c r="I661">
        <v>1</v>
      </c>
      <c r="J661" t="s">
        <v>393</v>
      </c>
      <c r="K661">
        <v>847</v>
      </c>
      <c r="L661" t="s">
        <v>1</v>
      </c>
      <c r="M661" t="s">
        <v>0</v>
      </c>
      <c r="N661" t="s">
        <v>1266</v>
      </c>
      <c r="O661" t="s">
        <v>1266</v>
      </c>
      <c r="P661" t="s">
        <v>1266</v>
      </c>
      <c r="Q661" t="s">
        <v>1266</v>
      </c>
      <c r="R661" t="s">
        <v>1266</v>
      </c>
    </row>
    <row r="662" spans="1:18" x14ac:dyDescent="0.3">
      <c r="A662" t="s">
        <v>439</v>
      </c>
      <c r="B662">
        <v>6</v>
      </c>
      <c r="C662" t="s">
        <v>1</v>
      </c>
      <c r="D662" t="s">
        <v>439</v>
      </c>
      <c r="E662">
        <v>30</v>
      </c>
      <c r="F662" t="s">
        <v>438</v>
      </c>
      <c r="I662">
        <v>12</v>
      </c>
      <c r="J662" t="s">
        <v>393</v>
      </c>
      <c r="K662">
        <v>848</v>
      </c>
      <c r="L662" t="s">
        <v>1</v>
      </c>
      <c r="M662" t="s">
        <v>0</v>
      </c>
      <c r="N662" t="s">
        <v>1266</v>
      </c>
      <c r="O662" t="s">
        <v>1266</v>
      </c>
      <c r="P662" t="s">
        <v>1266</v>
      </c>
      <c r="Q662" t="s">
        <v>1266</v>
      </c>
      <c r="R662" t="s">
        <v>1266</v>
      </c>
    </row>
    <row r="663" spans="1:18" x14ac:dyDescent="0.3">
      <c r="A663" t="s">
        <v>441</v>
      </c>
      <c r="B663">
        <v>7</v>
      </c>
      <c r="C663" t="s">
        <v>1</v>
      </c>
      <c r="D663" t="s">
        <v>441</v>
      </c>
      <c r="E663">
        <v>30</v>
      </c>
      <c r="F663" t="s">
        <v>440</v>
      </c>
      <c r="I663">
        <v>12</v>
      </c>
      <c r="J663" t="s">
        <v>393</v>
      </c>
      <c r="K663">
        <v>849</v>
      </c>
      <c r="L663" t="s">
        <v>1</v>
      </c>
      <c r="M663" t="s">
        <v>0</v>
      </c>
      <c r="N663" t="s">
        <v>1266</v>
      </c>
      <c r="O663" t="s">
        <v>1266</v>
      </c>
      <c r="P663" t="s">
        <v>1266</v>
      </c>
      <c r="Q663" t="s">
        <v>1266</v>
      </c>
      <c r="R663" t="s">
        <v>1266</v>
      </c>
    </row>
    <row r="664" spans="1:18" x14ac:dyDescent="0.3">
      <c r="A664" t="s">
        <v>430</v>
      </c>
      <c r="B664">
        <v>8</v>
      </c>
      <c r="C664" t="s">
        <v>1</v>
      </c>
      <c r="D664" t="s">
        <v>430</v>
      </c>
      <c r="E664">
        <v>30</v>
      </c>
      <c r="F664" t="s">
        <v>429</v>
      </c>
      <c r="I664">
        <v>12</v>
      </c>
      <c r="J664" t="s">
        <v>393</v>
      </c>
      <c r="K664">
        <v>850</v>
      </c>
      <c r="L664" t="s">
        <v>1</v>
      </c>
      <c r="M664" t="s">
        <v>0</v>
      </c>
      <c r="N664" t="s">
        <v>1266</v>
      </c>
      <c r="O664" t="s">
        <v>1266</v>
      </c>
      <c r="P664" t="s">
        <v>1266</v>
      </c>
      <c r="Q664" t="s">
        <v>1266</v>
      </c>
      <c r="R664" t="s">
        <v>1266</v>
      </c>
    </row>
    <row r="665" spans="1:18" x14ac:dyDescent="0.3">
      <c r="A665" t="s">
        <v>708</v>
      </c>
      <c r="B665">
        <v>9</v>
      </c>
      <c r="C665" t="s">
        <v>1</v>
      </c>
      <c r="D665" t="s">
        <v>708</v>
      </c>
      <c r="E665">
        <v>30</v>
      </c>
      <c r="F665" t="s">
        <v>498</v>
      </c>
      <c r="I665">
        <v>5</v>
      </c>
      <c r="J665" t="s">
        <v>393</v>
      </c>
      <c r="K665">
        <v>851</v>
      </c>
      <c r="L665" t="s">
        <v>1</v>
      </c>
      <c r="M665" t="s">
        <v>0</v>
      </c>
      <c r="N665" t="s">
        <v>1266</v>
      </c>
      <c r="O665" t="s">
        <v>1266</v>
      </c>
      <c r="P665" t="s">
        <v>1266</v>
      </c>
      <c r="Q665" t="s">
        <v>1266</v>
      </c>
      <c r="R665" t="s">
        <v>1266</v>
      </c>
    </row>
    <row r="666" spans="1:18" x14ac:dyDescent="0.3">
      <c r="A666" t="s">
        <v>521</v>
      </c>
      <c r="B666">
        <v>10</v>
      </c>
      <c r="C666" t="s">
        <v>1</v>
      </c>
      <c r="D666" t="s">
        <v>521</v>
      </c>
      <c r="E666">
        <v>30</v>
      </c>
      <c r="F666" t="s">
        <v>492</v>
      </c>
      <c r="I666">
        <v>21</v>
      </c>
      <c r="J666" t="s">
        <v>393</v>
      </c>
      <c r="K666">
        <v>852</v>
      </c>
      <c r="L666" t="s">
        <v>1</v>
      </c>
      <c r="M666" t="s">
        <v>0</v>
      </c>
      <c r="N666" t="s">
        <v>1266</v>
      </c>
      <c r="O666" t="s">
        <v>1266</v>
      </c>
      <c r="P666" t="s">
        <v>1266</v>
      </c>
      <c r="Q666" t="s">
        <v>1266</v>
      </c>
      <c r="R666" t="s">
        <v>1266</v>
      </c>
    </row>
    <row r="667" spans="1:18" x14ac:dyDescent="0.3">
      <c r="A667" t="s">
        <v>549</v>
      </c>
      <c r="B667">
        <v>1</v>
      </c>
      <c r="C667" t="s">
        <v>0</v>
      </c>
      <c r="D667" t="s">
        <v>549</v>
      </c>
      <c r="E667">
        <v>30</v>
      </c>
      <c r="F667" t="s">
        <v>1020</v>
      </c>
      <c r="I667">
        <v>5</v>
      </c>
      <c r="J667" t="s">
        <v>420</v>
      </c>
      <c r="K667">
        <v>853</v>
      </c>
      <c r="L667" t="s">
        <v>1</v>
      </c>
      <c r="M667" t="s">
        <v>0</v>
      </c>
      <c r="N667" t="s">
        <v>1266</v>
      </c>
      <c r="O667" t="s">
        <v>1266</v>
      </c>
      <c r="P667" t="s">
        <v>1266</v>
      </c>
      <c r="Q667" t="s">
        <v>1266</v>
      </c>
      <c r="R667" t="s">
        <v>1266</v>
      </c>
    </row>
    <row r="668" spans="1:18" x14ac:dyDescent="0.3">
      <c r="A668" t="s">
        <v>1624</v>
      </c>
      <c r="B668">
        <v>2</v>
      </c>
      <c r="C668" t="s">
        <v>1</v>
      </c>
      <c r="D668" t="s">
        <v>1624</v>
      </c>
      <c r="E668">
        <v>30</v>
      </c>
      <c r="F668" t="s">
        <v>852</v>
      </c>
      <c r="I668">
        <v>9</v>
      </c>
      <c r="J668" t="s">
        <v>420</v>
      </c>
      <c r="K668">
        <v>854</v>
      </c>
      <c r="L668" t="s">
        <v>1</v>
      </c>
      <c r="M668" t="s">
        <v>0</v>
      </c>
      <c r="N668" t="s">
        <v>1266</v>
      </c>
      <c r="O668" t="s">
        <v>1266</v>
      </c>
      <c r="P668" t="s">
        <v>1266</v>
      </c>
      <c r="Q668" t="s">
        <v>1266</v>
      </c>
      <c r="R668" t="s">
        <v>1266</v>
      </c>
    </row>
    <row r="669" spans="1:18" x14ac:dyDescent="0.3">
      <c r="A669" t="s">
        <v>1620</v>
      </c>
      <c r="B669">
        <v>3</v>
      </c>
      <c r="C669" t="s">
        <v>1</v>
      </c>
      <c r="D669" t="s">
        <v>1620</v>
      </c>
      <c r="E669">
        <v>30</v>
      </c>
      <c r="F669" t="s">
        <v>1018</v>
      </c>
      <c r="I669">
        <v>7</v>
      </c>
      <c r="J669" t="s">
        <v>420</v>
      </c>
      <c r="K669">
        <v>855</v>
      </c>
      <c r="L669" t="s">
        <v>1</v>
      </c>
      <c r="M669" t="s">
        <v>0</v>
      </c>
      <c r="N669" t="s">
        <v>1266</v>
      </c>
      <c r="O669" t="s">
        <v>1266</v>
      </c>
      <c r="P669" t="s">
        <v>1266</v>
      </c>
      <c r="Q669" t="s">
        <v>1266</v>
      </c>
      <c r="R669" t="s">
        <v>1266</v>
      </c>
    </row>
    <row r="670" spans="1:18" x14ac:dyDescent="0.3">
      <c r="A670" t="s">
        <v>1620</v>
      </c>
      <c r="B670">
        <v>4</v>
      </c>
      <c r="C670" t="s">
        <v>0</v>
      </c>
      <c r="D670" t="s">
        <v>1620</v>
      </c>
      <c r="E670">
        <v>30</v>
      </c>
      <c r="F670" t="s">
        <v>1013</v>
      </c>
      <c r="I670">
        <v>7</v>
      </c>
      <c r="J670" t="s">
        <v>420</v>
      </c>
      <c r="K670">
        <v>856</v>
      </c>
      <c r="L670" t="s">
        <v>1</v>
      </c>
      <c r="M670" t="s">
        <v>0</v>
      </c>
      <c r="N670" t="s">
        <v>1266</v>
      </c>
      <c r="O670" t="s">
        <v>1266</v>
      </c>
      <c r="P670" t="s">
        <v>1266</v>
      </c>
      <c r="Q670" t="s">
        <v>1266</v>
      </c>
      <c r="R670" t="s">
        <v>1266</v>
      </c>
    </row>
    <row r="671" spans="1:18" x14ac:dyDescent="0.3">
      <c r="A671" t="s">
        <v>1620</v>
      </c>
      <c r="B671">
        <v>5</v>
      </c>
      <c r="C671" t="s">
        <v>0</v>
      </c>
      <c r="D671" t="s">
        <v>1620</v>
      </c>
      <c r="E671">
        <v>30</v>
      </c>
      <c r="F671" t="s">
        <v>1017</v>
      </c>
      <c r="I671">
        <v>7</v>
      </c>
      <c r="J671" t="s">
        <v>420</v>
      </c>
      <c r="K671">
        <v>857</v>
      </c>
      <c r="L671" t="s">
        <v>1</v>
      </c>
      <c r="M671" t="s">
        <v>0</v>
      </c>
      <c r="N671" t="s">
        <v>1266</v>
      </c>
      <c r="O671" t="s">
        <v>1266</v>
      </c>
      <c r="P671" t="s">
        <v>1266</v>
      </c>
      <c r="Q671" t="s">
        <v>1266</v>
      </c>
      <c r="R671" t="s">
        <v>1266</v>
      </c>
    </row>
    <row r="672" spans="1:18" x14ac:dyDescent="0.3">
      <c r="A672" t="s">
        <v>1620</v>
      </c>
      <c r="B672">
        <v>6</v>
      </c>
      <c r="C672" t="s">
        <v>0</v>
      </c>
      <c r="D672" t="s">
        <v>1620</v>
      </c>
      <c r="E672">
        <v>30</v>
      </c>
      <c r="F672" t="s">
        <v>1011</v>
      </c>
      <c r="I672">
        <v>7</v>
      </c>
      <c r="J672" t="s">
        <v>420</v>
      </c>
      <c r="K672">
        <v>858</v>
      </c>
      <c r="L672" t="s">
        <v>1</v>
      </c>
      <c r="M672" t="s">
        <v>0</v>
      </c>
      <c r="N672" t="s">
        <v>1266</v>
      </c>
      <c r="O672" t="s">
        <v>1266</v>
      </c>
      <c r="P672" t="s">
        <v>1266</v>
      </c>
      <c r="Q672" t="s">
        <v>1266</v>
      </c>
      <c r="R672" t="s">
        <v>1266</v>
      </c>
    </row>
    <row r="673" spans="1:18" x14ac:dyDescent="0.3">
      <c r="A673" t="s">
        <v>1620</v>
      </c>
      <c r="B673">
        <v>7</v>
      </c>
      <c r="C673" t="s">
        <v>0</v>
      </c>
      <c r="D673" t="s">
        <v>1620</v>
      </c>
      <c r="E673">
        <v>30</v>
      </c>
      <c r="F673" t="s">
        <v>1016</v>
      </c>
      <c r="I673">
        <v>7</v>
      </c>
      <c r="J673" t="s">
        <v>420</v>
      </c>
      <c r="K673">
        <v>859</v>
      </c>
      <c r="L673" t="s">
        <v>1</v>
      </c>
      <c r="M673" t="s">
        <v>0</v>
      </c>
      <c r="N673" t="s">
        <v>1266</v>
      </c>
      <c r="O673" t="s">
        <v>1266</v>
      </c>
      <c r="P673" t="s">
        <v>1266</v>
      </c>
      <c r="Q673" t="s">
        <v>1266</v>
      </c>
      <c r="R673" t="s">
        <v>1266</v>
      </c>
    </row>
    <row r="674" spans="1:18" x14ac:dyDescent="0.3">
      <c r="A674" t="s">
        <v>441</v>
      </c>
      <c r="B674">
        <v>8</v>
      </c>
      <c r="C674" t="s">
        <v>1</v>
      </c>
      <c r="D674" t="s">
        <v>441</v>
      </c>
      <c r="E674">
        <v>30</v>
      </c>
      <c r="F674" t="s">
        <v>440</v>
      </c>
      <c r="I674">
        <v>12</v>
      </c>
      <c r="J674" t="s">
        <v>420</v>
      </c>
      <c r="K674">
        <v>860</v>
      </c>
      <c r="L674" t="s">
        <v>1</v>
      </c>
      <c r="M674" t="s">
        <v>0</v>
      </c>
      <c r="N674" t="s">
        <v>1266</v>
      </c>
      <c r="O674" t="s">
        <v>1266</v>
      </c>
      <c r="P674" t="s">
        <v>1266</v>
      </c>
      <c r="Q674" t="s">
        <v>1266</v>
      </c>
      <c r="R674" t="s">
        <v>1266</v>
      </c>
    </row>
    <row r="675" spans="1:18" x14ac:dyDescent="0.3">
      <c r="A675" t="s">
        <v>429</v>
      </c>
      <c r="B675">
        <v>9</v>
      </c>
      <c r="C675" t="s">
        <v>1</v>
      </c>
      <c r="D675" t="s">
        <v>429</v>
      </c>
      <c r="E675">
        <v>30</v>
      </c>
      <c r="F675" t="s">
        <v>429</v>
      </c>
      <c r="I675">
        <v>12</v>
      </c>
      <c r="J675" t="s">
        <v>420</v>
      </c>
      <c r="K675">
        <v>861</v>
      </c>
      <c r="L675" t="s">
        <v>1</v>
      </c>
      <c r="M675" t="s">
        <v>0</v>
      </c>
      <c r="N675" t="s">
        <v>1266</v>
      </c>
      <c r="O675" t="s">
        <v>1266</v>
      </c>
      <c r="P675" t="s">
        <v>1266</v>
      </c>
      <c r="Q675" t="s">
        <v>1266</v>
      </c>
      <c r="R675" t="s">
        <v>1266</v>
      </c>
    </row>
    <row r="676" spans="1:18" x14ac:dyDescent="0.3">
      <c r="A676" t="s">
        <v>1659</v>
      </c>
      <c r="B676">
        <v>10</v>
      </c>
      <c r="C676" t="s">
        <v>0</v>
      </c>
      <c r="D676" t="s">
        <v>1659</v>
      </c>
      <c r="E676">
        <v>30</v>
      </c>
      <c r="F676" t="s">
        <v>520</v>
      </c>
      <c r="I676">
        <v>5</v>
      </c>
      <c r="J676" t="s">
        <v>420</v>
      </c>
      <c r="K676">
        <v>862</v>
      </c>
      <c r="L676" t="s">
        <v>1</v>
      </c>
      <c r="M676" t="s">
        <v>0</v>
      </c>
      <c r="N676" t="s">
        <v>1266</v>
      </c>
      <c r="O676" t="s">
        <v>1266</v>
      </c>
      <c r="P676" t="s">
        <v>1266</v>
      </c>
      <c r="Q676" t="s">
        <v>1266</v>
      </c>
      <c r="R676" t="s">
        <v>1266</v>
      </c>
    </row>
    <row r="677" spans="1:18" x14ac:dyDescent="0.3">
      <c r="A677" t="s">
        <v>1636</v>
      </c>
      <c r="B677">
        <v>11</v>
      </c>
      <c r="C677" t="s">
        <v>0</v>
      </c>
      <c r="D677" t="s">
        <v>1636</v>
      </c>
      <c r="E677">
        <v>30</v>
      </c>
      <c r="F677" t="s">
        <v>1012</v>
      </c>
      <c r="I677">
        <v>1</v>
      </c>
      <c r="J677" t="s">
        <v>420</v>
      </c>
      <c r="K677">
        <v>863</v>
      </c>
      <c r="L677" t="s">
        <v>1</v>
      </c>
      <c r="M677" t="s">
        <v>0</v>
      </c>
      <c r="N677" t="s">
        <v>1266</v>
      </c>
      <c r="O677" t="s">
        <v>1266</v>
      </c>
      <c r="P677" t="s">
        <v>1266</v>
      </c>
      <c r="Q677" t="s">
        <v>1266</v>
      </c>
      <c r="R677" t="s">
        <v>1266</v>
      </c>
    </row>
    <row r="678" spans="1:18" x14ac:dyDescent="0.3">
      <c r="A678" t="s">
        <v>516</v>
      </c>
      <c r="B678">
        <v>12</v>
      </c>
      <c r="C678" t="s">
        <v>1</v>
      </c>
      <c r="D678" t="s">
        <v>516</v>
      </c>
      <c r="E678">
        <v>30</v>
      </c>
      <c r="F678" t="s">
        <v>516</v>
      </c>
      <c r="I678">
        <v>5</v>
      </c>
      <c r="J678" t="s">
        <v>420</v>
      </c>
      <c r="K678">
        <v>864</v>
      </c>
      <c r="L678" t="s">
        <v>0</v>
      </c>
      <c r="M678" t="s">
        <v>0</v>
      </c>
      <c r="N678" t="s">
        <v>1266</v>
      </c>
      <c r="O678" t="s">
        <v>1266</v>
      </c>
      <c r="P678" t="s">
        <v>1266</v>
      </c>
      <c r="Q678" t="s">
        <v>1266</v>
      </c>
      <c r="R678" t="s">
        <v>1266</v>
      </c>
    </row>
    <row r="679" spans="1:18" x14ac:dyDescent="0.3">
      <c r="A679" t="s">
        <v>537</v>
      </c>
      <c r="B679">
        <v>13</v>
      </c>
      <c r="C679" t="s">
        <v>0</v>
      </c>
      <c r="D679" t="s">
        <v>537</v>
      </c>
      <c r="E679">
        <v>30</v>
      </c>
      <c r="F679" t="s">
        <v>527</v>
      </c>
      <c r="I679">
        <v>5</v>
      </c>
      <c r="J679" t="s">
        <v>420</v>
      </c>
      <c r="K679">
        <v>865</v>
      </c>
      <c r="L679" t="s">
        <v>1</v>
      </c>
      <c r="M679" t="s">
        <v>0</v>
      </c>
      <c r="N679" t="s">
        <v>1266</v>
      </c>
      <c r="O679" t="s">
        <v>1266</v>
      </c>
      <c r="P679" t="s">
        <v>1266</v>
      </c>
      <c r="Q679" t="s">
        <v>1266</v>
      </c>
      <c r="R679" t="s">
        <v>1266</v>
      </c>
    </row>
    <row r="680" spans="1:18" x14ac:dyDescent="0.3">
      <c r="A680" t="s">
        <v>1655</v>
      </c>
      <c r="B680">
        <v>14</v>
      </c>
      <c r="C680" t="s">
        <v>0</v>
      </c>
      <c r="D680" t="s">
        <v>1655</v>
      </c>
      <c r="E680">
        <v>30</v>
      </c>
      <c r="F680" t="s">
        <v>1015</v>
      </c>
      <c r="I680">
        <v>1</v>
      </c>
      <c r="J680" t="s">
        <v>420</v>
      </c>
      <c r="K680">
        <v>866</v>
      </c>
      <c r="L680" t="s">
        <v>1</v>
      </c>
      <c r="M680" t="s">
        <v>0</v>
      </c>
      <c r="N680" t="s">
        <v>1266</v>
      </c>
      <c r="O680" t="s">
        <v>1266</v>
      </c>
      <c r="P680" t="s">
        <v>1266</v>
      </c>
      <c r="Q680" t="s">
        <v>1266</v>
      </c>
      <c r="R680" t="s">
        <v>1266</v>
      </c>
    </row>
    <row r="681" spans="1:18" x14ac:dyDescent="0.3">
      <c r="A681" t="s">
        <v>521</v>
      </c>
      <c r="B681">
        <v>15</v>
      </c>
      <c r="C681" t="s">
        <v>0</v>
      </c>
      <c r="D681" t="s">
        <v>521</v>
      </c>
      <c r="E681">
        <v>30</v>
      </c>
      <c r="F681" t="s">
        <v>492</v>
      </c>
      <c r="I681">
        <v>21</v>
      </c>
      <c r="J681" t="s">
        <v>420</v>
      </c>
      <c r="K681">
        <v>867</v>
      </c>
      <c r="L681" t="s">
        <v>1</v>
      </c>
      <c r="M681" t="s">
        <v>0</v>
      </c>
      <c r="N681" t="s">
        <v>1266</v>
      </c>
      <c r="O681" t="s">
        <v>1266</v>
      </c>
      <c r="P681" t="s">
        <v>1266</v>
      </c>
      <c r="Q681" t="s">
        <v>1266</v>
      </c>
      <c r="R681" t="s">
        <v>1266</v>
      </c>
    </row>
    <row r="682" spans="1:18" x14ac:dyDescent="0.3">
      <c r="A682" t="s">
        <v>708</v>
      </c>
      <c r="B682">
        <v>16</v>
      </c>
      <c r="C682" t="s">
        <v>0</v>
      </c>
      <c r="D682" t="s">
        <v>708</v>
      </c>
      <c r="E682">
        <v>30</v>
      </c>
      <c r="F682" t="s">
        <v>1014</v>
      </c>
      <c r="I682">
        <v>5</v>
      </c>
      <c r="J682" t="s">
        <v>420</v>
      </c>
      <c r="K682">
        <v>868</v>
      </c>
      <c r="L682" t="s">
        <v>1</v>
      </c>
      <c r="M682" t="s">
        <v>0</v>
      </c>
      <c r="N682" t="s">
        <v>1266</v>
      </c>
      <c r="O682" t="s">
        <v>1266</v>
      </c>
      <c r="P682" t="s">
        <v>1266</v>
      </c>
      <c r="Q682" t="s">
        <v>1266</v>
      </c>
      <c r="R682" t="s">
        <v>1266</v>
      </c>
    </row>
    <row r="683" spans="1:18" x14ac:dyDescent="0.3">
      <c r="A683" t="s">
        <v>1631</v>
      </c>
      <c r="B683">
        <v>17</v>
      </c>
      <c r="C683" t="s">
        <v>0</v>
      </c>
      <c r="D683" t="s">
        <v>1631</v>
      </c>
      <c r="E683">
        <v>30</v>
      </c>
      <c r="F683" t="s">
        <v>1019</v>
      </c>
      <c r="I683">
        <v>1</v>
      </c>
      <c r="J683" t="s">
        <v>420</v>
      </c>
      <c r="K683">
        <v>869</v>
      </c>
      <c r="L683" t="s">
        <v>1</v>
      </c>
      <c r="M683" t="s">
        <v>0</v>
      </c>
      <c r="N683" t="s">
        <v>1266</v>
      </c>
      <c r="O683" t="s">
        <v>1266</v>
      </c>
      <c r="P683" t="s">
        <v>1266</v>
      </c>
      <c r="Q683" t="s">
        <v>1266</v>
      </c>
      <c r="R683" t="s">
        <v>1266</v>
      </c>
    </row>
    <row r="684" spans="1:18" x14ac:dyDescent="0.3">
      <c r="A684" t="s">
        <v>1553</v>
      </c>
      <c r="B684">
        <v>1</v>
      </c>
      <c r="C684" t="s">
        <v>1</v>
      </c>
      <c r="D684" t="s">
        <v>1553</v>
      </c>
      <c r="E684">
        <v>30</v>
      </c>
      <c r="F684" t="s">
        <v>1553</v>
      </c>
      <c r="I684">
        <v>5</v>
      </c>
      <c r="J684" t="s">
        <v>1329</v>
      </c>
      <c r="K684">
        <v>870</v>
      </c>
      <c r="L684" t="s">
        <v>0</v>
      </c>
      <c r="M684" t="s">
        <v>0</v>
      </c>
      <c r="N684" t="s">
        <v>1266</v>
      </c>
      <c r="O684" t="s">
        <v>1266</v>
      </c>
      <c r="P684" t="s">
        <v>1266</v>
      </c>
      <c r="Q684" t="s">
        <v>1266</v>
      </c>
      <c r="R684" t="s">
        <v>1266</v>
      </c>
    </row>
    <row r="685" spans="1:18" x14ac:dyDescent="0.3">
      <c r="A685" t="s">
        <v>1420</v>
      </c>
      <c r="B685">
        <v>2</v>
      </c>
      <c r="C685" t="s">
        <v>0</v>
      </c>
      <c r="D685" t="s">
        <v>1420</v>
      </c>
      <c r="E685">
        <v>30</v>
      </c>
      <c r="F685" t="s">
        <v>1420</v>
      </c>
      <c r="I685">
        <v>5</v>
      </c>
      <c r="J685" t="s">
        <v>1329</v>
      </c>
      <c r="K685">
        <v>871</v>
      </c>
      <c r="L685" t="s">
        <v>1</v>
      </c>
      <c r="M685" t="s">
        <v>0</v>
      </c>
      <c r="N685" t="s">
        <v>1266</v>
      </c>
      <c r="O685" t="s">
        <v>1266</v>
      </c>
      <c r="P685" t="s">
        <v>1266</v>
      </c>
      <c r="Q685" t="s">
        <v>1266</v>
      </c>
      <c r="R685" t="s">
        <v>1266</v>
      </c>
    </row>
    <row r="686" spans="1:18" x14ac:dyDescent="0.3">
      <c r="A686" t="s">
        <v>848</v>
      </c>
      <c r="B686">
        <v>3</v>
      </c>
      <c r="C686" t="s">
        <v>0</v>
      </c>
      <c r="D686" t="s">
        <v>848</v>
      </c>
      <c r="E686">
        <v>30</v>
      </c>
      <c r="F686" t="s">
        <v>848</v>
      </c>
      <c r="I686">
        <v>14</v>
      </c>
      <c r="J686" t="s">
        <v>1329</v>
      </c>
      <c r="K686">
        <v>872</v>
      </c>
      <c r="L686" t="s">
        <v>1</v>
      </c>
      <c r="M686" t="s">
        <v>0</v>
      </c>
      <c r="N686" t="s">
        <v>1266</v>
      </c>
      <c r="O686" t="s">
        <v>1266</v>
      </c>
      <c r="P686" t="s">
        <v>1266</v>
      </c>
      <c r="Q686" t="s">
        <v>1266</v>
      </c>
      <c r="R686" t="s">
        <v>1266</v>
      </c>
    </row>
    <row r="687" spans="1:18" x14ac:dyDescent="0.3">
      <c r="A687" t="s">
        <v>869</v>
      </c>
      <c r="B687">
        <v>4</v>
      </c>
      <c r="C687" t="s">
        <v>0</v>
      </c>
      <c r="D687" t="s">
        <v>869</v>
      </c>
      <c r="E687">
        <v>30</v>
      </c>
      <c r="F687" t="s">
        <v>869</v>
      </c>
      <c r="I687">
        <v>5</v>
      </c>
      <c r="J687" t="s">
        <v>1329</v>
      </c>
      <c r="K687">
        <v>873</v>
      </c>
      <c r="L687" t="s">
        <v>1</v>
      </c>
      <c r="M687" t="s">
        <v>0</v>
      </c>
      <c r="N687" t="s">
        <v>1266</v>
      </c>
      <c r="O687" t="s">
        <v>1266</v>
      </c>
      <c r="P687" t="s">
        <v>1266</v>
      </c>
      <c r="Q687" t="s">
        <v>1266</v>
      </c>
      <c r="R687" t="s">
        <v>1266</v>
      </c>
    </row>
    <row r="688" spans="1:18" x14ac:dyDescent="0.3">
      <c r="A688" t="s">
        <v>470</v>
      </c>
      <c r="B688">
        <v>5</v>
      </c>
      <c r="C688" t="s">
        <v>0</v>
      </c>
      <c r="D688" t="s">
        <v>470</v>
      </c>
      <c r="E688">
        <v>30</v>
      </c>
      <c r="F688" t="s">
        <v>470</v>
      </c>
      <c r="I688">
        <v>5</v>
      </c>
      <c r="J688" t="s">
        <v>1329</v>
      </c>
      <c r="K688">
        <v>874</v>
      </c>
      <c r="L688" t="s">
        <v>1</v>
      </c>
      <c r="M688" t="s">
        <v>0</v>
      </c>
      <c r="N688" t="s">
        <v>1266</v>
      </c>
      <c r="O688" t="s">
        <v>1266</v>
      </c>
      <c r="P688" t="s">
        <v>1266</v>
      </c>
      <c r="Q688" t="s">
        <v>1266</v>
      </c>
      <c r="R688" t="s">
        <v>1266</v>
      </c>
    </row>
    <row r="689" spans="1:18" x14ac:dyDescent="0.3">
      <c r="A689" t="s">
        <v>52</v>
      </c>
      <c r="B689">
        <v>6</v>
      </c>
      <c r="C689" t="s">
        <v>1</v>
      </c>
      <c r="D689" t="s">
        <v>52</v>
      </c>
      <c r="E689">
        <v>30</v>
      </c>
      <c r="F689" t="s">
        <v>52</v>
      </c>
      <c r="I689">
        <v>21</v>
      </c>
      <c r="J689" t="s">
        <v>1329</v>
      </c>
      <c r="K689">
        <v>875</v>
      </c>
      <c r="L689" t="s">
        <v>1</v>
      </c>
      <c r="M689" t="s">
        <v>0</v>
      </c>
      <c r="N689" t="s">
        <v>1266</v>
      </c>
      <c r="O689" t="s">
        <v>1266</v>
      </c>
      <c r="P689" t="s">
        <v>1266</v>
      </c>
      <c r="Q689" t="s">
        <v>1266</v>
      </c>
      <c r="R689" t="s">
        <v>1266</v>
      </c>
    </row>
    <row r="690" spans="1:18" x14ac:dyDescent="0.3">
      <c r="A690" t="s">
        <v>599</v>
      </c>
      <c r="B690">
        <v>7</v>
      </c>
      <c r="C690" t="s">
        <v>0</v>
      </c>
      <c r="D690" t="s">
        <v>599</v>
      </c>
      <c r="E690">
        <v>30</v>
      </c>
      <c r="F690" t="s">
        <v>599</v>
      </c>
      <c r="I690">
        <v>1</v>
      </c>
      <c r="J690" t="s">
        <v>1329</v>
      </c>
      <c r="K690">
        <v>876</v>
      </c>
      <c r="L690" t="s">
        <v>1</v>
      </c>
      <c r="M690" t="s">
        <v>0</v>
      </c>
      <c r="N690" t="s">
        <v>1266</v>
      </c>
      <c r="O690" t="s">
        <v>1266</v>
      </c>
      <c r="P690" t="s">
        <v>1266</v>
      </c>
      <c r="Q690" t="s">
        <v>1266</v>
      </c>
      <c r="R690" t="s">
        <v>1266</v>
      </c>
    </row>
    <row r="691" spans="1:18" x14ac:dyDescent="0.3">
      <c r="A691" t="s">
        <v>434</v>
      </c>
      <c r="B691">
        <v>8</v>
      </c>
      <c r="C691" t="s">
        <v>0</v>
      </c>
      <c r="D691" t="s">
        <v>434</v>
      </c>
      <c r="E691">
        <v>30</v>
      </c>
      <c r="F691" t="s">
        <v>434</v>
      </c>
      <c r="I691">
        <v>9</v>
      </c>
      <c r="J691" t="s">
        <v>1329</v>
      </c>
      <c r="K691">
        <v>877</v>
      </c>
      <c r="L691" t="s">
        <v>1</v>
      </c>
      <c r="M691" t="s">
        <v>0</v>
      </c>
      <c r="N691" t="s">
        <v>1266</v>
      </c>
      <c r="O691" t="s">
        <v>1266</v>
      </c>
      <c r="P691" t="s">
        <v>1266</v>
      </c>
      <c r="Q691" t="s">
        <v>1266</v>
      </c>
      <c r="R691" t="s">
        <v>1266</v>
      </c>
    </row>
    <row r="692" spans="1:18" x14ac:dyDescent="0.3">
      <c r="A692" t="s">
        <v>486</v>
      </c>
      <c r="B692">
        <v>9</v>
      </c>
      <c r="C692" t="s">
        <v>0</v>
      </c>
      <c r="D692" t="s">
        <v>486</v>
      </c>
      <c r="E692">
        <v>30</v>
      </c>
      <c r="F692" t="s">
        <v>486</v>
      </c>
      <c r="I692">
        <v>5</v>
      </c>
      <c r="J692" t="s">
        <v>1329</v>
      </c>
      <c r="K692">
        <v>878</v>
      </c>
      <c r="L692" t="s">
        <v>1</v>
      </c>
      <c r="M692" t="s">
        <v>0</v>
      </c>
      <c r="N692" t="s">
        <v>1266</v>
      </c>
      <c r="O692" t="s">
        <v>1266</v>
      </c>
      <c r="P692" t="s">
        <v>1266</v>
      </c>
      <c r="Q692" t="s">
        <v>1266</v>
      </c>
      <c r="R692" t="s">
        <v>1266</v>
      </c>
    </row>
    <row r="693" spans="1:18" x14ac:dyDescent="0.3">
      <c r="A693" t="s">
        <v>511</v>
      </c>
      <c r="B693">
        <v>10</v>
      </c>
      <c r="C693" t="s">
        <v>0</v>
      </c>
      <c r="D693" t="s">
        <v>511</v>
      </c>
      <c r="E693">
        <v>30</v>
      </c>
      <c r="F693" t="s">
        <v>511</v>
      </c>
      <c r="I693">
        <v>5</v>
      </c>
      <c r="J693" t="s">
        <v>1329</v>
      </c>
      <c r="K693">
        <v>879</v>
      </c>
      <c r="L693" t="s">
        <v>1</v>
      </c>
      <c r="M693" t="s">
        <v>0</v>
      </c>
      <c r="N693" t="s">
        <v>1266</v>
      </c>
      <c r="O693" t="s">
        <v>1266</v>
      </c>
      <c r="P693" t="s">
        <v>1266</v>
      </c>
      <c r="Q693" t="s">
        <v>1266</v>
      </c>
      <c r="R693" t="s">
        <v>1266</v>
      </c>
    </row>
    <row r="694" spans="1:18" x14ac:dyDescent="0.3">
      <c r="A694" t="s">
        <v>444</v>
      </c>
      <c r="B694">
        <v>11</v>
      </c>
      <c r="C694" t="s">
        <v>0</v>
      </c>
      <c r="D694" t="s">
        <v>444</v>
      </c>
      <c r="E694">
        <v>30</v>
      </c>
      <c r="F694" t="s">
        <v>444</v>
      </c>
      <c r="I694">
        <v>5</v>
      </c>
      <c r="J694" t="s">
        <v>1329</v>
      </c>
      <c r="K694">
        <v>880</v>
      </c>
      <c r="L694" t="s">
        <v>1</v>
      </c>
      <c r="M694" t="s">
        <v>0</v>
      </c>
      <c r="N694" t="s">
        <v>1266</v>
      </c>
      <c r="O694" t="s">
        <v>1266</v>
      </c>
      <c r="P694" t="s">
        <v>1266</v>
      </c>
      <c r="Q694" t="s">
        <v>1266</v>
      </c>
      <c r="R694" t="s">
        <v>1266</v>
      </c>
    </row>
    <row r="695" spans="1:18" x14ac:dyDescent="0.3">
      <c r="A695" t="s">
        <v>51</v>
      </c>
      <c r="B695">
        <v>12</v>
      </c>
      <c r="C695" t="s">
        <v>1</v>
      </c>
      <c r="D695" t="s">
        <v>51</v>
      </c>
      <c r="E695">
        <v>30</v>
      </c>
      <c r="F695" t="s">
        <v>51</v>
      </c>
      <c r="I695">
        <v>21</v>
      </c>
      <c r="J695" t="s">
        <v>1329</v>
      </c>
      <c r="K695">
        <v>881</v>
      </c>
      <c r="L695" t="s">
        <v>1</v>
      </c>
      <c r="M695" t="s">
        <v>0</v>
      </c>
      <c r="N695" t="s">
        <v>1266</v>
      </c>
      <c r="O695" t="s">
        <v>1266</v>
      </c>
      <c r="P695" t="s">
        <v>1266</v>
      </c>
      <c r="Q695" t="s">
        <v>1266</v>
      </c>
      <c r="R695" t="s">
        <v>1266</v>
      </c>
    </row>
    <row r="696" spans="1:18" x14ac:dyDescent="0.3">
      <c r="A696" t="s">
        <v>869</v>
      </c>
      <c r="B696">
        <v>1</v>
      </c>
      <c r="C696" t="s">
        <v>0</v>
      </c>
      <c r="D696" t="s">
        <v>869</v>
      </c>
      <c r="E696">
        <v>30</v>
      </c>
      <c r="F696" t="s">
        <v>869</v>
      </c>
      <c r="I696">
        <v>5</v>
      </c>
      <c r="J696" t="s">
        <v>394</v>
      </c>
      <c r="K696">
        <v>461</v>
      </c>
      <c r="L696" t="s">
        <v>1</v>
      </c>
      <c r="M696" t="s">
        <v>0</v>
      </c>
      <c r="N696" t="s">
        <v>1266</v>
      </c>
      <c r="O696" t="s">
        <v>1266</v>
      </c>
      <c r="P696" t="s">
        <v>1266</v>
      </c>
      <c r="Q696" t="s">
        <v>1266</v>
      </c>
      <c r="R696" t="s">
        <v>1266</v>
      </c>
    </row>
    <row r="697" spans="1:18" x14ac:dyDescent="0.3">
      <c r="A697" t="s">
        <v>426</v>
      </c>
      <c r="B697">
        <v>2</v>
      </c>
      <c r="C697" t="s">
        <v>1</v>
      </c>
      <c r="D697" t="s">
        <v>426</v>
      </c>
      <c r="E697">
        <v>30</v>
      </c>
      <c r="F697" t="s">
        <v>52</v>
      </c>
      <c r="I697">
        <v>21</v>
      </c>
      <c r="J697" t="s">
        <v>394</v>
      </c>
      <c r="K697">
        <v>462</v>
      </c>
      <c r="L697" t="s">
        <v>1</v>
      </c>
      <c r="M697" t="s">
        <v>0</v>
      </c>
      <c r="N697" t="s">
        <v>1266</v>
      </c>
      <c r="O697" t="s">
        <v>1266</v>
      </c>
      <c r="P697" t="s">
        <v>1266</v>
      </c>
      <c r="Q697" t="s">
        <v>1266</v>
      </c>
      <c r="R697" t="s">
        <v>1266</v>
      </c>
    </row>
    <row r="698" spans="1:18" x14ac:dyDescent="0.3">
      <c r="A698" t="s">
        <v>435</v>
      </c>
      <c r="B698">
        <v>3</v>
      </c>
      <c r="C698" t="s">
        <v>0</v>
      </c>
      <c r="D698" t="s">
        <v>435</v>
      </c>
      <c r="E698">
        <v>30</v>
      </c>
      <c r="F698" t="s">
        <v>434</v>
      </c>
      <c r="I698">
        <v>9</v>
      </c>
      <c r="J698" t="s">
        <v>394</v>
      </c>
      <c r="K698">
        <v>463</v>
      </c>
      <c r="L698" t="s">
        <v>1</v>
      </c>
      <c r="M698" t="s">
        <v>0</v>
      </c>
      <c r="N698" t="s">
        <v>1266</v>
      </c>
      <c r="O698" t="s">
        <v>1266</v>
      </c>
      <c r="P698" t="s">
        <v>1266</v>
      </c>
      <c r="Q698" t="s">
        <v>1266</v>
      </c>
      <c r="R698" t="s">
        <v>1266</v>
      </c>
    </row>
    <row r="699" spans="1:18" x14ac:dyDescent="0.3">
      <c r="A699" t="s">
        <v>1405</v>
      </c>
      <c r="B699">
        <v>4</v>
      </c>
      <c r="C699" t="s">
        <v>1</v>
      </c>
      <c r="D699" t="s">
        <v>1405</v>
      </c>
      <c r="E699">
        <v>30</v>
      </c>
      <c r="F699" t="s">
        <v>1405</v>
      </c>
      <c r="I699">
        <v>5</v>
      </c>
      <c r="J699" t="s">
        <v>394</v>
      </c>
      <c r="K699">
        <v>464</v>
      </c>
      <c r="L699" t="s">
        <v>1</v>
      </c>
      <c r="M699" t="s">
        <v>0</v>
      </c>
      <c r="N699" t="s">
        <v>1266</v>
      </c>
      <c r="O699" t="s">
        <v>1266</v>
      </c>
      <c r="P699" t="s">
        <v>1266</v>
      </c>
      <c r="Q699" t="s">
        <v>1266</v>
      </c>
      <c r="R699" t="s">
        <v>1266</v>
      </c>
    </row>
    <row r="700" spans="1:18" x14ac:dyDescent="0.3">
      <c r="A700" t="s">
        <v>791</v>
      </c>
      <c r="B700">
        <v>5</v>
      </c>
      <c r="C700" t="s">
        <v>0</v>
      </c>
      <c r="D700" t="s">
        <v>791</v>
      </c>
      <c r="E700">
        <v>30</v>
      </c>
      <c r="F700" t="s">
        <v>790</v>
      </c>
      <c r="I700">
        <v>19</v>
      </c>
      <c r="J700" t="s">
        <v>394</v>
      </c>
      <c r="K700">
        <v>465</v>
      </c>
      <c r="L700" t="s">
        <v>0</v>
      </c>
      <c r="M700" t="s">
        <v>0</v>
      </c>
      <c r="N700" t="s">
        <v>1266</v>
      </c>
      <c r="O700" t="s">
        <v>1266</v>
      </c>
      <c r="P700" t="s">
        <v>1266</v>
      </c>
      <c r="Q700" t="s">
        <v>1266</v>
      </c>
      <c r="R700" t="s">
        <v>1266</v>
      </c>
    </row>
    <row r="701" spans="1:18" x14ac:dyDescent="0.3">
      <c r="A701" t="s">
        <v>778</v>
      </c>
      <c r="B701">
        <v>6</v>
      </c>
      <c r="C701" t="s">
        <v>0</v>
      </c>
      <c r="D701" t="s">
        <v>778</v>
      </c>
      <c r="E701">
        <v>30</v>
      </c>
      <c r="F701" t="s">
        <v>777</v>
      </c>
      <c r="I701">
        <v>6</v>
      </c>
      <c r="J701" t="s">
        <v>394</v>
      </c>
      <c r="K701">
        <v>466</v>
      </c>
      <c r="L701" t="s">
        <v>0</v>
      </c>
      <c r="M701" t="s">
        <v>0</v>
      </c>
      <c r="N701" t="s">
        <v>1266</v>
      </c>
      <c r="O701" t="s">
        <v>1266</v>
      </c>
      <c r="P701" t="s">
        <v>1266</v>
      </c>
      <c r="Q701" t="s">
        <v>1266</v>
      </c>
      <c r="R701" t="s">
        <v>1266</v>
      </c>
    </row>
    <row r="702" spans="1:18" x14ac:dyDescent="0.3">
      <c r="A702" t="s">
        <v>432</v>
      </c>
      <c r="B702">
        <v>7</v>
      </c>
      <c r="C702" t="s">
        <v>1</v>
      </c>
      <c r="D702" t="s">
        <v>432</v>
      </c>
      <c r="E702">
        <v>30</v>
      </c>
      <c r="F702" t="s">
        <v>51</v>
      </c>
      <c r="I702">
        <v>21</v>
      </c>
      <c r="J702" t="s">
        <v>394</v>
      </c>
      <c r="K702">
        <v>467</v>
      </c>
      <c r="L702" t="s">
        <v>1</v>
      </c>
      <c r="M702" t="s">
        <v>0</v>
      </c>
      <c r="N702" t="s">
        <v>1266</v>
      </c>
      <c r="O702" t="s">
        <v>1266</v>
      </c>
      <c r="P702" t="s">
        <v>1266</v>
      </c>
      <c r="Q702" t="s">
        <v>1266</v>
      </c>
      <c r="R702" t="s">
        <v>1266</v>
      </c>
    </row>
    <row r="703" spans="1:18" x14ac:dyDescent="0.3">
      <c r="A703" t="s">
        <v>869</v>
      </c>
      <c r="B703">
        <v>1</v>
      </c>
      <c r="C703" t="s">
        <v>0</v>
      </c>
      <c r="D703" t="s">
        <v>869</v>
      </c>
      <c r="E703">
        <v>30</v>
      </c>
      <c r="F703" t="s">
        <v>869</v>
      </c>
      <c r="I703">
        <v>5</v>
      </c>
      <c r="J703" t="s">
        <v>1371</v>
      </c>
      <c r="K703">
        <v>882</v>
      </c>
      <c r="L703" t="s">
        <v>1</v>
      </c>
      <c r="M703" t="s">
        <v>0</v>
      </c>
      <c r="N703" t="s">
        <v>1266</v>
      </c>
      <c r="O703" t="s">
        <v>1266</v>
      </c>
      <c r="P703" t="s">
        <v>1266</v>
      </c>
      <c r="Q703" t="s">
        <v>1266</v>
      </c>
      <c r="R703" t="s">
        <v>1266</v>
      </c>
    </row>
    <row r="704" spans="1:18" x14ac:dyDescent="0.3">
      <c r="A704" t="s">
        <v>52</v>
      </c>
      <c r="B704">
        <v>2</v>
      </c>
      <c r="C704" t="s">
        <v>1</v>
      </c>
      <c r="D704" t="s">
        <v>52</v>
      </c>
      <c r="E704">
        <v>30</v>
      </c>
      <c r="F704" t="s">
        <v>52</v>
      </c>
      <c r="I704">
        <v>21</v>
      </c>
      <c r="J704" t="s">
        <v>1371</v>
      </c>
      <c r="K704">
        <v>883</v>
      </c>
      <c r="L704" t="s">
        <v>1</v>
      </c>
      <c r="M704" t="s">
        <v>0</v>
      </c>
      <c r="N704" t="s">
        <v>1266</v>
      </c>
      <c r="O704" t="s">
        <v>1266</v>
      </c>
      <c r="P704" t="s">
        <v>1266</v>
      </c>
      <c r="Q704" t="s">
        <v>1266</v>
      </c>
      <c r="R704" t="s">
        <v>1266</v>
      </c>
    </row>
    <row r="705" spans="1:18" x14ac:dyDescent="0.3">
      <c r="A705" t="s">
        <v>434</v>
      </c>
      <c r="B705">
        <v>3</v>
      </c>
      <c r="C705" t="s">
        <v>0</v>
      </c>
      <c r="D705" t="s">
        <v>434</v>
      </c>
      <c r="E705">
        <v>30</v>
      </c>
      <c r="F705" t="s">
        <v>434</v>
      </c>
      <c r="I705">
        <v>9</v>
      </c>
      <c r="J705" t="s">
        <v>1371</v>
      </c>
      <c r="K705">
        <v>884</v>
      </c>
      <c r="L705" t="s">
        <v>1</v>
      </c>
      <c r="M705" t="s">
        <v>0</v>
      </c>
      <c r="N705" t="s">
        <v>1266</v>
      </c>
      <c r="O705" t="s">
        <v>1266</v>
      </c>
      <c r="P705" t="s">
        <v>1266</v>
      </c>
      <c r="Q705" t="s">
        <v>1266</v>
      </c>
      <c r="R705" t="s">
        <v>1266</v>
      </c>
    </row>
    <row r="706" spans="1:18" x14ac:dyDescent="0.3">
      <c r="A706" t="s">
        <v>1405</v>
      </c>
      <c r="B706">
        <v>4</v>
      </c>
      <c r="C706" t="s">
        <v>1</v>
      </c>
      <c r="D706" t="s">
        <v>1405</v>
      </c>
      <c r="E706">
        <v>30</v>
      </c>
      <c r="F706" t="s">
        <v>1405</v>
      </c>
      <c r="I706">
        <v>5</v>
      </c>
      <c r="J706" t="s">
        <v>1371</v>
      </c>
      <c r="K706">
        <v>885</v>
      </c>
      <c r="L706" t="s">
        <v>1</v>
      </c>
      <c r="M706" t="s">
        <v>0</v>
      </c>
      <c r="N706" t="s">
        <v>1266</v>
      </c>
      <c r="O706" t="s">
        <v>1266</v>
      </c>
      <c r="P706" t="s">
        <v>1266</v>
      </c>
      <c r="Q706" t="s">
        <v>1266</v>
      </c>
      <c r="R706" t="s">
        <v>1266</v>
      </c>
    </row>
    <row r="707" spans="1:18" x14ac:dyDescent="0.3">
      <c r="A707" t="s">
        <v>1456</v>
      </c>
      <c r="B707">
        <v>5</v>
      </c>
      <c r="C707" t="s">
        <v>0</v>
      </c>
      <c r="D707" t="s">
        <v>1456</v>
      </c>
      <c r="E707">
        <v>30</v>
      </c>
      <c r="F707" t="s">
        <v>1456</v>
      </c>
      <c r="I707">
        <v>19</v>
      </c>
      <c r="J707" t="s">
        <v>1371</v>
      </c>
      <c r="K707">
        <v>886</v>
      </c>
      <c r="L707" t="s">
        <v>0</v>
      </c>
      <c r="M707" t="s">
        <v>0</v>
      </c>
      <c r="N707" t="s">
        <v>1266</v>
      </c>
      <c r="O707" t="s">
        <v>1266</v>
      </c>
      <c r="P707" t="s">
        <v>1266</v>
      </c>
      <c r="Q707" t="s">
        <v>1266</v>
      </c>
      <c r="R707" t="s">
        <v>1266</v>
      </c>
    </row>
    <row r="708" spans="1:18" x14ac:dyDescent="0.3">
      <c r="A708" t="s">
        <v>1563</v>
      </c>
      <c r="B708">
        <v>6</v>
      </c>
      <c r="C708" t="s">
        <v>0</v>
      </c>
      <c r="D708" t="s">
        <v>1563</v>
      </c>
      <c r="E708">
        <v>30</v>
      </c>
      <c r="F708" t="s">
        <v>1563</v>
      </c>
      <c r="I708">
        <v>1</v>
      </c>
      <c r="J708" t="s">
        <v>1371</v>
      </c>
      <c r="K708">
        <v>887</v>
      </c>
      <c r="L708" t="s">
        <v>0</v>
      </c>
      <c r="M708" t="s">
        <v>0</v>
      </c>
      <c r="N708" t="s">
        <v>1266</v>
      </c>
      <c r="O708" t="s">
        <v>1266</v>
      </c>
      <c r="P708" t="s">
        <v>1266</v>
      </c>
      <c r="Q708" t="s">
        <v>1266</v>
      </c>
      <c r="R708" t="s">
        <v>1266</v>
      </c>
    </row>
    <row r="709" spans="1:18" x14ac:dyDescent="0.3">
      <c r="A709" t="s">
        <v>51</v>
      </c>
      <c r="B709">
        <v>7</v>
      </c>
      <c r="C709" t="s">
        <v>1</v>
      </c>
      <c r="D709" t="s">
        <v>51</v>
      </c>
      <c r="E709">
        <v>30</v>
      </c>
      <c r="F709" t="s">
        <v>51</v>
      </c>
      <c r="I709">
        <v>21</v>
      </c>
      <c r="J709" t="s">
        <v>1371</v>
      </c>
      <c r="K709">
        <v>888</v>
      </c>
      <c r="L709" t="s">
        <v>1</v>
      </c>
      <c r="M709" t="s">
        <v>0</v>
      </c>
      <c r="N709" t="s">
        <v>1266</v>
      </c>
      <c r="O709" t="s">
        <v>1266</v>
      </c>
      <c r="P709" t="s">
        <v>1266</v>
      </c>
      <c r="Q709" t="s">
        <v>1266</v>
      </c>
      <c r="R709" t="s">
        <v>1266</v>
      </c>
    </row>
    <row r="710" spans="1:18" x14ac:dyDescent="0.3">
      <c r="A710" t="s">
        <v>52</v>
      </c>
      <c r="B710">
        <v>1</v>
      </c>
      <c r="C710" t="s">
        <v>1</v>
      </c>
      <c r="D710" t="s">
        <v>52</v>
      </c>
      <c r="E710">
        <v>30</v>
      </c>
      <c r="F710" t="s">
        <v>52</v>
      </c>
      <c r="I710">
        <v>21</v>
      </c>
      <c r="J710" t="s">
        <v>1359</v>
      </c>
      <c r="K710">
        <v>889</v>
      </c>
      <c r="L710" t="s">
        <v>1</v>
      </c>
      <c r="M710" t="s">
        <v>0</v>
      </c>
      <c r="N710" t="s">
        <v>1266</v>
      </c>
      <c r="O710" t="s">
        <v>1266</v>
      </c>
      <c r="P710" t="s">
        <v>1266</v>
      </c>
      <c r="Q710" t="s">
        <v>1266</v>
      </c>
      <c r="R710" t="s">
        <v>1266</v>
      </c>
    </row>
    <row r="711" spans="1:18" x14ac:dyDescent="0.3">
      <c r="A711" t="s">
        <v>870</v>
      </c>
      <c r="B711">
        <v>2</v>
      </c>
      <c r="C711" t="s">
        <v>0</v>
      </c>
      <c r="D711" t="s">
        <v>870</v>
      </c>
      <c r="E711">
        <v>30</v>
      </c>
      <c r="F711" t="s">
        <v>870</v>
      </c>
      <c r="I711">
        <v>6</v>
      </c>
      <c r="J711" t="s">
        <v>1359</v>
      </c>
      <c r="K711">
        <v>890</v>
      </c>
      <c r="L711" t="s">
        <v>1</v>
      </c>
      <c r="M711" t="s">
        <v>0</v>
      </c>
      <c r="N711" t="s">
        <v>1266</v>
      </c>
      <c r="O711" t="s">
        <v>1266</v>
      </c>
      <c r="P711" t="s">
        <v>1266</v>
      </c>
      <c r="Q711" t="s">
        <v>1266</v>
      </c>
      <c r="R711" t="s">
        <v>1266</v>
      </c>
    </row>
    <row r="712" spans="1:18" x14ac:dyDescent="0.3">
      <c r="A712" t="s">
        <v>434</v>
      </c>
      <c r="B712">
        <v>3</v>
      </c>
      <c r="C712" t="s">
        <v>0</v>
      </c>
      <c r="D712" t="s">
        <v>434</v>
      </c>
      <c r="E712">
        <v>30</v>
      </c>
      <c r="F712" t="s">
        <v>434</v>
      </c>
      <c r="I712">
        <v>9</v>
      </c>
      <c r="J712" t="s">
        <v>1359</v>
      </c>
      <c r="K712">
        <v>891</v>
      </c>
      <c r="L712" t="s">
        <v>1</v>
      </c>
      <c r="M712" t="s">
        <v>0</v>
      </c>
      <c r="N712" t="s">
        <v>1266</v>
      </c>
      <c r="O712" t="s">
        <v>1266</v>
      </c>
      <c r="P712" t="s">
        <v>1266</v>
      </c>
      <c r="Q712" t="s">
        <v>1266</v>
      </c>
      <c r="R712" t="s">
        <v>1266</v>
      </c>
    </row>
    <row r="713" spans="1:18" x14ac:dyDescent="0.3">
      <c r="A713" t="s">
        <v>1405</v>
      </c>
      <c r="B713">
        <v>4</v>
      </c>
      <c r="C713" t="s">
        <v>1</v>
      </c>
      <c r="D713" t="s">
        <v>1405</v>
      </c>
      <c r="E713">
        <v>30</v>
      </c>
      <c r="F713" t="s">
        <v>1405</v>
      </c>
      <c r="I713">
        <v>5</v>
      </c>
      <c r="J713" t="s">
        <v>1359</v>
      </c>
      <c r="K713">
        <v>892</v>
      </c>
      <c r="L713" t="s">
        <v>1</v>
      </c>
      <c r="M713" t="s">
        <v>0</v>
      </c>
      <c r="N713" t="s">
        <v>1266</v>
      </c>
      <c r="O713" t="s">
        <v>1266</v>
      </c>
      <c r="P713" t="s">
        <v>1266</v>
      </c>
      <c r="Q713" t="s">
        <v>1266</v>
      </c>
      <c r="R713" t="s">
        <v>1266</v>
      </c>
    </row>
    <row r="714" spans="1:18" x14ac:dyDescent="0.3">
      <c r="A714" t="s">
        <v>1537</v>
      </c>
      <c r="B714">
        <v>5</v>
      </c>
      <c r="C714" t="s">
        <v>0</v>
      </c>
      <c r="D714" t="s">
        <v>1537</v>
      </c>
      <c r="E714">
        <v>30</v>
      </c>
      <c r="F714" t="s">
        <v>1537</v>
      </c>
      <c r="I714">
        <v>9</v>
      </c>
      <c r="J714" t="s">
        <v>1359</v>
      </c>
      <c r="K714">
        <v>893</v>
      </c>
      <c r="L714" t="s">
        <v>0</v>
      </c>
      <c r="M714" t="s">
        <v>0</v>
      </c>
      <c r="N714" t="s">
        <v>1266</v>
      </c>
      <c r="O714" t="s">
        <v>1266</v>
      </c>
      <c r="P714" t="s">
        <v>1266</v>
      </c>
      <c r="Q714" t="s">
        <v>1266</v>
      </c>
      <c r="R714" t="s">
        <v>1266</v>
      </c>
    </row>
    <row r="715" spans="1:18" x14ac:dyDescent="0.3">
      <c r="A715" t="s">
        <v>51</v>
      </c>
      <c r="B715">
        <v>6</v>
      </c>
      <c r="C715" t="s">
        <v>1</v>
      </c>
      <c r="D715" t="s">
        <v>51</v>
      </c>
      <c r="E715">
        <v>30</v>
      </c>
      <c r="F715" t="s">
        <v>51</v>
      </c>
      <c r="I715">
        <v>21</v>
      </c>
      <c r="J715" t="s">
        <v>1359</v>
      </c>
      <c r="K715">
        <v>894</v>
      </c>
      <c r="L715" t="s">
        <v>1</v>
      </c>
      <c r="M715" t="s">
        <v>0</v>
      </c>
      <c r="N715" t="s">
        <v>1266</v>
      </c>
      <c r="O715" t="s">
        <v>1266</v>
      </c>
      <c r="P715" t="s">
        <v>1266</v>
      </c>
      <c r="Q715" t="s">
        <v>1266</v>
      </c>
      <c r="R715" t="s">
        <v>1266</v>
      </c>
    </row>
    <row r="716" spans="1:18" x14ac:dyDescent="0.3">
      <c r="A716" t="s">
        <v>52</v>
      </c>
      <c r="B716">
        <v>1</v>
      </c>
      <c r="C716" t="s">
        <v>1</v>
      </c>
      <c r="D716" t="s">
        <v>52</v>
      </c>
      <c r="E716">
        <v>30</v>
      </c>
      <c r="F716" t="s">
        <v>52</v>
      </c>
      <c r="I716">
        <v>21</v>
      </c>
      <c r="J716" t="s">
        <v>1342</v>
      </c>
      <c r="K716">
        <v>468</v>
      </c>
      <c r="L716" t="s">
        <v>1</v>
      </c>
      <c r="M716" t="s">
        <v>0</v>
      </c>
      <c r="N716" t="s">
        <v>1266</v>
      </c>
      <c r="O716" t="s">
        <v>1266</v>
      </c>
      <c r="P716" t="s">
        <v>1266</v>
      </c>
      <c r="Q716" t="s">
        <v>1266</v>
      </c>
      <c r="R716" t="s">
        <v>1266</v>
      </c>
    </row>
    <row r="717" spans="1:18" x14ac:dyDescent="0.3">
      <c r="A717" t="s">
        <v>1386</v>
      </c>
      <c r="B717">
        <v>2</v>
      </c>
      <c r="C717" t="s">
        <v>0</v>
      </c>
      <c r="D717" t="s">
        <v>1386</v>
      </c>
      <c r="E717">
        <v>30</v>
      </c>
      <c r="F717" t="s">
        <v>1386</v>
      </c>
      <c r="I717">
        <v>5</v>
      </c>
      <c r="J717" t="s">
        <v>1342</v>
      </c>
      <c r="K717">
        <v>469</v>
      </c>
      <c r="L717" t="s">
        <v>1</v>
      </c>
      <c r="M717" t="s">
        <v>0</v>
      </c>
      <c r="N717" t="s">
        <v>1266</v>
      </c>
      <c r="O717" t="s">
        <v>1266</v>
      </c>
      <c r="P717" t="s">
        <v>1266</v>
      </c>
      <c r="Q717" t="s">
        <v>1266</v>
      </c>
      <c r="R717" t="s">
        <v>1266</v>
      </c>
    </row>
    <row r="718" spans="1:18" x14ac:dyDescent="0.3">
      <c r="A718" t="s">
        <v>434</v>
      </c>
      <c r="B718">
        <v>3</v>
      </c>
      <c r="C718" t="s">
        <v>0</v>
      </c>
      <c r="D718" t="s">
        <v>434</v>
      </c>
      <c r="E718">
        <v>30</v>
      </c>
      <c r="F718" t="s">
        <v>434</v>
      </c>
      <c r="I718">
        <v>9</v>
      </c>
      <c r="J718" t="s">
        <v>1342</v>
      </c>
      <c r="K718">
        <v>470</v>
      </c>
      <c r="L718" t="s">
        <v>1</v>
      </c>
      <c r="M718" t="s">
        <v>0</v>
      </c>
      <c r="N718" t="s">
        <v>1266</v>
      </c>
      <c r="O718" t="s">
        <v>1266</v>
      </c>
      <c r="P718" t="s">
        <v>1266</v>
      </c>
      <c r="Q718" t="s">
        <v>1266</v>
      </c>
      <c r="R718" t="s">
        <v>1266</v>
      </c>
    </row>
    <row r="719" spans="1:18" x14ac:dyDescent="0.3">
      <c r="A719" t="s">
        <v>1405</v>
      </c>
      <c r="B719">
        <v>4</v>
      </c>
      <c r="C719" t="s">
        <v>1</v>
      </c>
      <c r="D719" t="s">
        <v>1405</v>
      </c>
      <c r="E719">
        <v>30</v>
      </c>
      <c r="F719" t="s">
        <v>1405</v>
      </c>
      <c r="I719">
        <v>5</v>
      </c>
      <c r="J719" t="s">
        <v>1342</v>
      </c>
      <c r="K719">
        <v>471</v>
      </c>
      <c r="L719" t="s">
        <v>1</v>
      </c>
      <c r="M719" t="s">
        <v>0</v>
      </c>
      <c r="N719" t="s">
        <v>1266</v>
      </c>
      <c r="O719" t="s">
        <v>1266</v>
      </c>
      <c r="P719" t="s">
        <v>1266</v>
      </c>
      <c r="Q719" t="s">
        <v>1266</v>
      </c>
      <c r="R719" t="s">
        <v>1266</v>
      </c>
    </row>
    <row r="720" spans="1:18" x14ac:dyDescent="0.3">
      <c r="A720" t="s">
        <v>514</v>
      </c>
      <c r="B720">
        <v>5</v>
      </c>
      <c r="C720" t="s">
        <v>0</v>
      </c>
      <c r="D720" t="s">
        <v>514</v>
      </c>
      <c r="E720">
        <v>30</v>
      </c>
      <c r="F720" t="s">
        <v>514</v>
      </c>
      <c r="I720">
        <v>16</v>
      </c>
      <c r="J720" t="s">
        <v>1342</v>
      </c>
      <c r="K720">
        <v>472</v>
      </c>
      <c r="L720" t="s">
        <v>0</v>
      </c>
      <c r="M720" t="s">
        <v>0</v>
      </c>
      <c r="N720" t="s">
        <v>1266</v>
      </c>
      <c r="O720" t="s">
        <v>1266</v>
      </c>
      <c r="P720" t="s">
        <v>1266</v>
      </c>
      <c r="Q720" t="s">
        <v>1266</v>
      </c>
      <c r="R720" t="s">
        <v>1266</v>
      </c>
    </row>
    <row r="721" spans="1:18" x14ac:dyDescent="0.3">
      <c r="A721" t="s">
        <v>51</v>
      </c>
      <c r="B721">
        <v>6</v>
      </c>
      <c r="C721" t="s">
        <v>1</v>
      </c>
      <c r="D721" t="s">
        <v>51</v>
      </c>
      <c r="E721">
        <v>30</v>
      </c>
      <c r="F721" t="s">
        <v>51</v>
      </c>
      <c r="I721">
        <v>21</v>
      </c>
      <c r="J721" t="s">
        <v>1342</v>
      </c>
      <c r="K721">
        <v>473</v>
      </c>
      <c r="L721" t="s">
        <v>1</v>
      </c>
      <c r="M721" t="s">
        <v>0</v>
      </c>
      <c r="N721" t="s">
        <v>1266</v>
      </c>
      <c r="O721" t="s">
        <v>1266</v>
      </c>
      <c r="P721" t="s">
        <v>1266</v>
      </c>
      <c r="Q721" t="s">
        <v>1266</v>
      </c>
      <c r="R721" t="s">
        <v>1266</v>
      </c>
    </row>
    <row r="722" spans="1:18" x14ac:dyDescent="0.3">
      <c r="A722" t="s">
        <v>693</v>
      </c>
      <c r="B722">
        <v>1</v>
      </c>
      <c r="C722" t="s">
        <v>0</v>
      </c>
      <c r="D722" t="s">
        <v>693</v>
      </c>
      <c r="E722">
        <v>30</v>
      </c>
      <c r="F722" t="s">
        <v>569</v>
      </c>
      <c r="I722">
        <v>5</v>
      </c>
      <c r="J722" t="s">
        <v>406</v>
      </c>
      <c r="K722">
        <v>474</v>
      </c>
      <c r="L722" t="s">
        <v>1</v>
      </c>
      <c r="M722" t="s">
        <v>0</v>
      </c>
      <c r="N722" t="s">
        <v>1266</v>
      </c>
      <c r="O722" t="s">
        <v>1266</v>
      </c>
      <c r="P722" t="s">
        <v>1266</v>
      </c>
      <c r="Q722" t="s">
        <v>1266</v>
      </c>
      <c r="R722" t="s">
        <v>1266</v>
      </c>
    </row>
    <row r="723" spans="1:18" x14ac:dyDescent="0.3">
      <c r="A723" t="s">
        <v>1623</v>
      </c>
      <c r="B723">
        <v>2</v>
      </c>
      <c r="C723" t="s">
        <v>0</v>
      </c>
      <c r="D723" t="s">
        <v>694</v>
      </c>
      <c r="E723">
        <v>30</v>
      </c>
      <c r="F723" t="s">
        <v>473</v>
      </c>
      <c r="I723">
        <v>5</v>
      </c>
      <c r="J723" t="s">
        <v>406</v>
      </c>
      <c r="K723">
        <v>475</v>
      </c>
      <c r="L723" t="s">
        <v>1</v>
      </c>
      <c r="M723" t="s">
        <v>0</v>
      </c>
      <c r="N723" t="s">
        <v>1266</v>
      </c>
      <c r="O723" t="s">
        <v>1266</v>
      </c>
      <c r="P723" t="s">
        <v>1266</v>
      </c>
      <c r="Q723" t="s">
        <v>1266</v>
      </c>
      <c r="R723" t="s">
        <v>1266</v>
      </c>
    </row>
    <row r="724" spans="1:18" x14ac:dyDescent="0.3">
      <c r="A724" t="s">
        <v>426</v>
      </c>
      <c r="B724">
        <v>3</v>
      </c>
      <c r="C724" t="s">
        <v>1</v>
      </c>
      <c r="D724" t="s">
        <v>426</v>
      </c>
      <c r="E724">
        <v>30</v>
      </c>
      <c r="F724" t="s">
        <v>52</v>
      </c>
      <c r="I724">
        <v>21</v>
      </c>
      <c r="J724" t="s">
        <v>406</v>
      </c>
      <c r="K724">
        <v>476</v>
      </c>
      <c r="L724" t="s">
        <v>1</v>
      </c>
      <c r="M724" t="s">
        <v>0</v>
      </c>
      <c r="N724" t="s">
        <v>1266</v>
      </c>
      <c r="O724" t="s">
        <v>1266</v>
      </c>
      <c r="P724" t="s">
        <v>1266</v>
      </c>
      <c r="Q724" t="s">
        <v>1266</v>
      </c>
      <c r="R724" t="s">
        <v>1266</v>
      </c>
    </row>
    <row r="725" spans="1:18" x14ac:dyDescent="0.3">
      <c r="A725" t="s">
        <v>435</v>
      </c>
      <c r="B725">
        <v>4</v>
      </c>
      <c r="C725" t="s">
        <v>0</v>
      </c>
      <c r="D725" t="s">
        <v>435</v>
      </c>
      <c r="E725">
        <v>30</v>
      </c>
      <c r="F725" t="s">
        <v>434</v>
      </c>
      <c r="I725">
        <v>9</v>
      </c>
      <c r="J725" t="s">
        <v>406</v>
      </c>
      <c r="K725">
        <v>477</v>
      </c>
      <c r="L725" t="s">
        <v>1</v>
      </c>
      <c r="M725" t="s">
        <v>0</v>
      </c>
      <c r="N725" t="s">
        <v>1266</v>
      </c>
      <c r="O725" t="s">
        <v>1266</v>
      </c>
      <c r="P725" t="s">
        <v>1266</v>
      </c>
      <c r="Q725" t="s">
        <v>1266</v>
      </c>
      <c r="R725" t="s">
        <v>1266</v>
      </c>
    </row>
    <row r="726" spans="1:18" x14ac:dyDescent="0.3">
      <c r="A726" t="s">
        <v>1405</v>
      </c>
      <c r="B726">
        <v>5</v>
      </c>
      <c r="C726" t="s">
        <v>1</v>
      </c>
      <c r="D726" t="s">
        <v>1405</v>
      </c>
      <c r="E726">
        <v>30</v>
      </c>
      <c r="F726" t="s">
        <v>1405</v>
      </c>
      <c r="I726">
        <v>5</v>
      </c>
      <c r="J726" t="s">
        <v>406</v>
      </c>
      <c r="K726">
        <v>478</v>
      </c>
      <c r="L726" t="s">
        <v>1</v>
      </c>
      <c r="M726" t="s">
        <v>0</v>
      </c>
      <c r="N726" t="s">
        <v>1266</v>
      </c>
      <c r="O726" t="s">
        <v>1266</v>
      </c>
      <c r="P726" t="s">
        <v>1266</v>
      </c>
      <c r="Q726" t="s">
        <v>1266</v>
      </c>
      <c r="R726" t="s">
        <v>1266</v>
      </c>
    </row>
    <row r="727" spans="1:18" x14ac:dyDescent="0.3">
      <c r="A727" t="s">
        <v>1606</v>
      </c>
      <c r="B727">
        <v>6</v>
      </c>
      <c r="C727" t="s">
        <v>0</v>
      </c>
      <c r="D727" t="s">
        <v>1606</v>
      </c>
      <c r="E727">
        <v>30</v>
      </c>
      <c r="F727" t="s">
        <v>1606</v>
      </c>
      <c r="I727">
        <v>5</v>
      </c>
      <c r="J727" t="s">
        <v>406</v>
      </c>
      <c r="K727">
        <v>479</v>
      </c>
      <c r="L727" t="s">
        <v>0</v>
      </c>
      <c r="M727" t="s">
        <v>0</v>
      </c>
      <c r="N727" t="s">
        <v>1266</v>
      </c>
      <c r="O727" t="s">
        <v>1266</v>
      </c>
      <c r="P727" t="s">
        <v>1266</v>
      </c>
      <c r="Q727" t="s">
        <v>1266</v>
      </c>
      <c r="R727" t="s">
        <v>1266</v>
      </c>
    </row>
    <row r="728" spans="1:18" x14ac:dyDescent="0.3">
      <c r="A728" t="s">
        <v>432</v>
      </c>
      <c r="B728">
        <v>7</v>
      </c>
      <c r="C728" t="s">
        <v>1</v>
      </c>
      <c r="D728" t="s">
        <v>432</v>
      </c>
      <c r="E728">
        <v>30</v>
      </c>
      <c r="F728" t="s">
        <v>51</v>
      </c>
      <c r="I728">
        <v>21</v>
      </c>
      <c r="J728" t="s">
        <v>406</v>
      </c>
      <c r="K728">
        <v>480</v>
      </c>
      <c r="L728" t="s">
        <v>1</v>
      </c>
      <c r="M728" t="s">
        <v>0</v>
      </c>
      <c r="N728" t="s">
        <v>1266</v>
      </c>
      <c r="O728" t="s">
        <v>1266</v>
      </c>
      <c r="P728" t="s">
        <v>1266</v>
      </c>
      <c r="Q728" t="s">
        <v>1266</v>
      </c>
      <c r="R728" t="s">
        <v>1266</v>
      </c>
    </row>
    <row r="729" spans="1:18" x14ac:dyDescent="0.3">
      <c r="A729" t="s">
        <v>52</v>
      </c>
      <c r="B729">
        <v>1</v>
      </c>
      <c r="C729" t="s">
        <v>1</v>
      </c>
      <c r="D729" t="s">
        <v>52</v>
      </c>
      <c r="E729">
        <v>30</v>
      </c>
      <c r="F729" t="s">
        <v>52</v>
      </c>
      <c r="I729">
        <v>21</v>
      </c>
      <c r="J729" t="s">
        <v>1376</v>
      </c>
      <c r="K729">
        <v>895</v>
      </c>
      <c r="L729" t="s">
        <v>1</v>
      </c>
      <c r="M729" t="s">
        <v>0</v>
      </c>
      <c r="N729" t="s">
        <v>1266</v>
      </c>
      <c r="O729" t="s">
        <v>1266</v>
      </c>
      <c r="P729" t="s">
        <v>1266</v>
      </c>
      <c r="Q729" t="s">
        <v>1266</v>
      </c>
      <c r="R729" t="s">
        <v>1266</v>
      </c>
    </row>
    <row r="730" spans="1:18" x14ac:dyDescent="0.3">
      <c r="A730" t="s">
        <v>434</v>
      </c>
      <c r="B730">
        <v>2</v>
      </c>
      <c r="C730" t="s">
        <v>0</v>
      </c>
      <c r="D730" t="s">
        <v>434</v>
      </c>
      <c r="E730">
        <v>30</v>
      </c>
      <c r="F730" t="s">
        <v>434</v>
      </c>
      <c r="I730">
        <v>9</v>
      </c>
      <c r="J730" t="s">
        <v>1376</v>
      </c>
      <c r="K730">
        <v>896</v>
      </c>
      <c r="L730" t="s">
        <v>1</v>
      </c>
      <c r="M730" t="s">
        <v>0</v>
      </c>
      <c r="N730" t="s">
        <v>1266</v>
      </c>
      <c r="O730" t="s">
        <v>1266</v>
      </c>
      <c r="P730" t="s">
        <v>1266</v>
      </c>
      <c r="Q730" t="s">
        <v>1266</v>
      </c>
      <c r="R730" t="s">
        <v>1266</v>
      </c>
    </row>
    <row r="731" spans="1:18" x14ac:dyDescent="0.3">
      <c r="A731" t="s">
        <v>1405</v>
      </c>
      <c r="B731">
        <v>3</v>
      </c>
      <c r="C731" t="s">
        <v>1</v>
      </c>
      <c r="D731" t="s">
        <v>1405</v>
      </c>
      <c r="E731">
        <v>30</v>
      </c>
      <c r="F731" t="s">
        <v>1405</v>
      </c>
      <c r="I731">
        <v>5</v>
      </c>
      <c r="J731" t="s">
        <v>1376</v>
      </c>
      <c r="K731">
        <v>897</v>
      </c>
      <c r="L731" t="s">
        <v>1</v>
      </c>
      <c r="M731" t="s">
        <v>0</v>
      </c>
      <c r="N731" t="s">
        <v>1266</v>
      </c>
      <c r="O731" t="s">
        <v>1266</v>
      </c>
      <c r="P731" t="s">
        <v>1266</v>
      </c>
      <c r="Q731" t="s">
        <v>1266</v>
      </c>
      <c r="R731" t="s">
        <v>1266</v>
      </c>
    </row>
    <row r="732" spans="1:18" x14ac:dyDescent="0.3">
      <c r="A732" t="s">
        <v>1618</v>
      </c>
      <c r="B732">
        <v>4</v>
      </c>
      <c r="C732" t="s">
        <v>0</v>
      </c>
      <c r="D732" t="s">
        <v>1618</v>
      </c>
      <c r="E732">
        <v>30</v>
      </c>
      <c r="F732" t="s">
        <v>1618</v>
      </c>
      <c r="I732">
        <v>5</v>
      </c>
      <c r="J732" t="s">
        <v>1376</v>
      </c>
      <c r="K732">
        <v>898</v>
      </c>
      <c r="L732" t="s">
        <v>0</v>
      </c>
      <c r="M732" t="s">
        <v>0</v>
      </c>
      <c r="N732" t="s">
        <v>1266</v>
      </c>
      <c r="O732" t="s">
        <v>1266</v>
      </c>
      <c r="P732" t="s">
        <v>1266</v>
      </c>
      <c r="Q732" t="s">
        <v>1266</v>
      </c>
      <c r="R732" t="s">
        <v>1266</v>
      </c>
    </row>
    <row r="733" spans="1:18" x14ac:dyDescent="0.3">
      <c r="A733" t="s">
        <v>51</v>
      </c>
      <c r="B733">
        <v>5</v>
      </c>
      <c r="C733" t="s">
        <v>1</v>
      </c>
      <c r="D733" t="s">
        <v>51</v>
      </c>
      <c r="E733">
        <v>30</v>
      </c>
      <c r="F733" t="s">
        <v>51</v>
      </c>
      <c r="I733">
        <v>21</v>
      </c>
      <c r="J733" t="s">
        <v>1376</v>
      </c>
      <c r="K733">
        <v>899</v>
      </c>
      <c r="L733" t="s">
        <v>1</v>
      </c>
      <c r="M733" t="s">
        <v>0</v>
      </c>
      <c r="N733" t="s">
        <v>1266</v>
      </c>
      <c r="O733" t="s">
        <v>1266</v>
      </c>
      <c r="P733" t="s">
        <v>1266</v>
      </c>
      <c r="Q733" t="s">
        <v>1266</v>
      </c>
      <c r="R733" t="s">
        <v>1266</v>
      </c>
    </row>
    <row r="734" spans="1:18" x14ac:dyDescent="0.3">
      <c r="A734" t="s">
        <v>52</v>
      </c>
      <c r="B734">
        <v>1</v>
      </c>
      <c r="C734" t="s">
        <v>1</v>
      </c>
      <c r="D734" t="s">
        <v>52</v>
      </c>
      <c r="E734">
        <v>30</v>
      </c>
      <c r="F734" t="s">
        <v>52</v>
      </c>
      <c r="I734">
        <v>21</v>
      </c>
      <c r="J734" t="s">
        <v>1327</v>
      </c>
      <c r="K734">
        <v>481</v>
      </c>
      <c r="L734" t="s">
        <v>1</v>
      </c>
      <c r="M734" t="s">
        <v>0</v>
      </c>
      <c r="N734" t="s">
        <v>1266</v>
      </c>
      <c r="O734" t="s">
        <v>1266</v>
      </c>
      <c r="P734" t="s">
        <v>1266</v>
      </c>
      <c r="Q734" t="s">
        <v>1266</v>
      </c>
      <c r="R734" t="s">
        <v>1266</v>
      </c>
    </row>
    <row r="735" spans="1:18" x14ac:dyDescent="0.3">
      <c r="A735" t="s">
        <v>434</v>
      </c>
      <c r="B735">
        <v>2</v>
      </c>
      <c r="C735" t="s">
        <v>1</v>
      </c>
      <c r="D735" t="s">
        <v>434</v>
      </c>
      <c r="E735">
        <v>30</v>
      </c>
      <c r="F735" t="s">
        <v>434</v>
      </c>
      <c r="I735">
        <v>9</v>
      </c>
      <c r="J735" t="s">
        <v>1327</v>
      </c>
      <c r="K735">
        <v>482</v>
      </c>
      <c r="L735" t="s">
        <v>1</v>
      </c>
      <c r="M735" t="s">
        <v>0</v>
      </c>
      <c r="N735" t="s">
        <v>1266</v>
      </c>
      <c r="O735" t="s">
        <v>1266</v>
      </c>
      <c r="P735" t="s">
        <v>1266</v>
      </c>
      <c r="Q735" t="s">
        <v>1266</v>
      </c>
      <c r="R735" t="s">
        <v>1266</v>
      </c>
    </row>
    <row r="736" spans="1:18" x14ac:dyDescent="0.3">
      <c r="A736" t="s">
        <v>1405</v>
      </c>
      <c r="B736">
        <v>3</v>
      </c>
      <c r="C736" t="s">
        <v>1</v>
      </c>
      <c r="D736" t="s">
        <v>1405</v>
      </c>
      <c r="E736">
        <v>30</v>
      </c>
      <c r="F736" t="s">
        <v>1405</v>
      </c>
      <c r="I736">
        <v>5</v>
      </c>
      <c r="J736" t="s">
        <v>1327</v>
      </c>
      <c r="K736">
        <v>483</v>
      </c>
      <c r="L736" t="s">
        <v>1</v>
      </c>
      <c r="M736" t="s">
        <v>0</v>
      </c>
      <c r="N736" t="s">
        <v>1266</v>
      </c>
      <c r="O736" t="s">
        <v>1266</v>
      </c>
      <c r="P736" t="s">
        <v>1266</v>
      </c>
      <c r="Q736" t="s">
        <v>1266</v>
      </c>
      <c r="R736" t="s">
        <v>1266</v>
      </c>
    </row>
    <row r="737" spans="1:18" x14ac:dyDescent="0.3">
      <c r="A737" t="s">
        <v>1475</v>
      </c>
      <c r="B737">
        <v>4</v>
      </c>
      <c r="C737" t="s">
        <v>0</v>
      </c>
      <c r="D737" t="s">
        <v>1475</v>
      </c>
      <c r="E737">
        <v>30</v>
      </c>
      <c r="F737" t="s">
        <v>1475</v>
      </c>
      <c r="I737">
        <v>1</v>
      </c>
      <c r="J737" t="s">
        <v>1327</v>
      </c>
      <c r="K737">
        <v>484</v>
      </c>
      <c r="L737" t="s">
        <v>0</v>
      </c>
      <c r="M737" t="s">
        <v>0</v>
      </c>
      <c r="N737" t="s">
        <v>1266</v>
      </c>
      <c r="O737" t="s">
        <v>1266</v>
      </c>
      <c r="P737" t="s">
        <v>1266</v>
      </c>
      <c r="Q737" t="s">
        <v>1266</v>
      </c>
      <c r="R737" t="s">
        <v>1266</v>
      </c>
    </row>
    <row r="738" spans="1:18" x14ac:dyDescent="0.3">
      <c r="A738" t="s">
        <v>51</v>
      </c>
      <c r="B738">
        <v>5</v>
      </c>
      <c r="C738" t="s">
        <v>1</v>
      </c>
      <c r="D738" t="s">
        <v>51</v>
      </c>
      <c r="E738">
        <v>30</v>
      </c>
      <c r="F738" t="s">
        <v>51</v>
      </c>
      <c r="I738">
        <v>21</v>
      </c>
      <c r="J738" t="s">
        <v>1327</v>
      </c>
      <c r="K738">
        <v>485</v>
      </c>
      <c r="L738" t="s">
        <v>1</v>
      </c>
      <c r="M738" t="s">
        <v>0</v>
      </c>
      <c r="N738" t="s">
        <v>1266</v>
      </c>
      <c r="O738" t="s">
        <v>1266</v>
      </c>
      <c r="P738" t="s">
        <v>1266</v>
      </c>
      <c r="Q738" t="s">
        <v>1266</v>
      </c>
      <c r="R738" t="s">
        <v>1266</v>
      </c>
    </row>
    <row r="739" spans="1:18" x14ac:dyDescent="0.3">
      <c r="A739" t="s">
        <v>933</v>
      </c>
      <c r="B739">
        <v>1</v>
      </c>
      <c r="C739" t="s">
        <v>0</v>
      </c>
      <c r="D739" t="s">
        <v>933</v>
      </c>
      <c r="E739">
        <v>30</v>
      </c>
      <c r="F739" t="s">
        <v>932</v>
      </c>
      <c r="I739">
        <v>1</v>
      </c>
      <c r="J739" t="s">
        <v>416</v>
      </c>
      <c r="K739">
        <v>486</v>
      </c>
      <c r="L739" t="s">
        <v>1</v>
      </c>
      <c r="M739" t="s">
        <v>0</v>
      </c>
      <c r="N739" t="s">
        <v>1266</v>
      </c>
      <c r="O739" t="s">
        <v>1266</v>
      </c>
      <c r="P739" t="s">
        <v>1266</v>
      </c>
      <c r="Q739" t="s">
        <v>1266</v>
      </c>
      <c r="R739" t="s">
        <v>1266</v>
      </c>
    </row>
    <row r="740" spans="1:18" x14ac:dyDescent="0.3">
      <c r="A740" t="s">
        <v>426</v>
      </c>
      <c r="B740">
        <v>2</v>
      </c>
      <c r="C740" t="s">
        <v>1</v>
      </c>
      <c r="D740" t="s">
        <v>426</v>
      </c>
      <c r="E740">
        <v>30</v>
      </c>
      <c r="F740" t="s">
        <v>52</v>
      </c>
      <c r="I740">
        <v>21</v>
      </c>
      <c r="J740" t="s">
        <v>416</v>
      </c>
      <c r="K740">
        <v>487</v>
      </c>
      <c r="L740" t="s">
        <v>1</v>
      </c>
      <c r="M740" t="s">
        <v>0</v>
      </c>
      <c r="N740" t="s">
        <v>1266</v>
      </c>
      <c r="O740" t="s">
        <v>1266</v>
      </c>
      <c r="P740" t="s">
        <v>1266</v>
      </c>
      <c r="Q740" t="s">
        <v>1266</v>
      </c>
      <c r="R740" t="s">
        <v>1266</v>
      </c>
    </row>
    <row r="741" spans="1:18" x14ac:dyDescent="0.3">
      <c r="A741" t="s">
        <v>445</v>
      </c>
      <c r="B741">
        <v>3</v>
      </c>
      <c r="C741" t="s">
        <v>1</v>
      </c>
      <c r="D741" t="s">
        <v>445</v>
      </c>
      <c r="E741">
        <v>30</v>
      </c>
      <c r="F741" t="s">
        <v>936</v>
      </c>
      <c r="I741">
        <v>5</v>
      </c>
      <c r="J741" t="s">
        <v>416</v>
      </c>
      <c r="K741">
        <v>488</v>
      </c>
      <c r="L741" t="s">
        <v>1</v>
      </c>
      <c r="M741" t="s">
        <v>0</v>
      </c>
      <c r="N741" t="s">
        <v>1266</v>
      </c>
      <c r="O741" t="s">
        <v>1266</v>
      </c>
      <c r="P741" t="s">
        <v>1266</v>
      </c>
      <c r="Q741" t="s">
        <v>1266</v>
      </c>
      <c r="R741" t="s">
        <v>1266</v>
      </c>
    </row>
    <row r="742" spans="1:18" x14ac:dyDescent="0.3">
      <c r="A742" t="s">
        <v>931</v>
      </c>
      <c r="B742">
        <v>4</v>
      </c>
      <c r="C742" t="s">
        <v>0</v>
      </c>
      <c r="D742" t="s">
        <v>931</v>
      </c>
      <c r="E742">
        <v>30</v>
      </c>
      <c r="F742" t="s">
        <v>930</v>
      </c>
      <c r="I742">
        <v>6</v>
      </c>
      <c r="J742" t="s">
        <v>416</v>
      </c>
      <c r="K742">
        <v>489</v>
      </c>
      <c r="L742" t="s">
        <v>1</v>
      </c>
      <c r="M742" t="s">
        <v>0</v>
      </c>
      <c r="N742" t="s">
        <v>1266</v>
      </c>
      <c r="O742" t="s">
        <v>1266</v>
      </c>
      <c r="P742" t="s">
        <v>1266</v>
      </c>
      <c r="Q742" t="s">
        <v>1266</v>
      </c>
      <c r="R742" t="s">
        <v>1266</v>
      </c>
    </row>
    <row r="743" spans="1:18" x14ac:dyDescent="0.3">
      <c r="A743" t="s">
        <v>1630</v>
      </c>
      <c r="B743">
        <v>5</v>
      </c>
      <c r="C743" t="s">
        <v>0</v>
      </c>
      <c r="D743" t="s">
        <v>935</v>
      </c>
      <c r="E743">
        <v>30</v>
      </c>
      <c r="F743" t="s">
        <v>934</v>
      </c>
      <c r="I743">
        <v>5</v>
      </c>
      <c r="J743" t="s">
        <v>416</v>
      </c>
      <c r="K743">
        <v>490</v>
      </c>
      <c r="L743" t="s">
        <v>0</v>
      </c>
      <c r="M743" t="s">
        <v>0</v>
      </c>
      <c r="N743" t="s">
        <v>1266</v>
      </c>
      <c r="O743" t="s">
        <v>1266</v>
      </c>
      <c r="P743" t="s">
        <v>1266</v>
      </c>
      <c r="Q743" t="s">
        <v>1266</v>
      </c>
      <c r="R743" t="s">
        <v>1266</v>
      </c>
    </row>
    <row r="744" spans="1:18" x14ac:dyDescent="0.3">
      <c r="A744" t="s">
        <v>432</v>
      </c>
      <c r="B744">
        <v>6</v>
      </c>
      <c r="C744" t="s">
        <v>1</v>
      </c>
      <c r="D744" t="s">
        <v>432</v>
      </c>
      <c r="E744">
        <v>30</v>
      </c>
      <c r="F744" t="s">
        <v>51</v>
      </c>
      <c r="I744">
        <v>21</v>
      </c>
      <c r="J744" t="s">
        <v>416</v>
      </c>
      <c r="K744">
        <v>491</v>
      </c>
      <c r="L744" t="s">
        <v>1</v>
      </c>
      <c r="M744" t="s">
        <v>0</v>
      </c>
      <c r="N744" t="s">
        <v>1266</v>
      </c>
      <c r="O744" t="s">
        <v>1266</v>
      </c>
      <c r="P744" t="s">
        <v>1266</v>
      </c>
      <c r="Q744" t="s">
        <v>1266</v>
      </c>
      <c r="R744" t="s">
        <v>1266</v>
      </c>
    </row>
    <row r="745" spans="1:18" x14ac:dyDescent="0.3">
      <c r="A745" t="s">
        <v>466</v>
      </c>
      <c r="B745">
        <v>1</v>
      </c>
      <c r="C745" t="s">
        <v>0</v>
      </c>
      <c r="D745" t="s">
        <v>466</v>
      </c>
      <c r="E745">
        <v>30</v>
      </c>
      <c r="F745" t="s">
        <v>470</v>
      </c>
      <c r="I745">
        <v>5</v>
      </c>
      <c r="J745" t="s">
        <v>421</v>
      </c>
      <c r="K745">
        <v>492</v>
      </c>
      <c r="L745" t="s">
        <v>1</v>
      </c>
      <c r="M745" t="s">
        <v>0</v>
      </c>
      <c r="N745" t="s">
        <v>1266</v>
      </c>
      <c r="O745" t="s">
        <v>1266</v>
      </c>
      <c r="P745" t="s">
        <v>1266</v>
      </c>
      <c r="Q745" t="s">
        <v>1266</v>
      </c>
      <c r="R745" t="s">
        <v>1266</v>
      </c>
    </row>
    <row r="746" spans="1:18" x14ac:dyDescent="0.3">
      <c r="A746" t="s">
        <v>52</v>
      </c>
      <c r="B746">
        <v>2</v>
      </c>
      <c r="C746" t="s">
        <v>1</v>
      </c>
      <c r="E746">
        <v>30</v>
      </c>
      <c r="F746" t="s">
        <v>52</v>
      </c>
      <c r="I746">
        <v>21</v>
      </c>
      <c r="J746" t="s">
        <v>421</v>
      </c>
      <c r="K746">
        <v>493</v>
      </c>
      <c r="L746" t="s">
        <v>1</v>
      </c>
      <c r="M746" t="s">
        <v>0</v>
      </c>
      <c r="N746" t="s">
        <v>1266</v>
      </c>
      <c r="O746" t="s">
        <v>1266</v>
      </c>
      <c r="P746" t="s">
        <v>1266</v>
      </c>
      <c r="Q746" t="s">
        <v>1266</v>
      </c>
      <c r="R746" t="s">
        <v>1266</v>
      </c>
    </row>
    <row r="747" spans="1:18" x14ac:dyDescent="0.3">
      <c r="A747" t="s">
        <v>435</v>
      </c>
      <c r="B747">
        <v>3</v>
      </c>
      <c r="C747" t="s">
        <v>0</v>
      </c>
      <c r="D747" t="s">
        <v>435</v>
      </c>
      <c r="E747">
        <v>30</v>
      </c>
      <c r="F747" t="s">
        <v>434</v>
      </c>
      <c r="I747">
        <v>9</v>
      </c>
      <c r="J747" t="s">
        <v>421</v>
      </c>
      <c r="K747">
        <v>494</v>
      </c>
      <c r="L747" t="s">
        <v>1</v>
      </c>
      <c r="M747" t="s">
        <v>0</v>
      </c>
      <c r="N747" t="s">
        <v>1266</v>
      </c>
      <c r="O747" t="s">
        <v>1266</v>
      </c>
      <c r="P747" t="s">
        <v>1266</v>
      </c>
      <c r="Q747" t="s">
        <v>1266</v>
      </c>
      <c r="R747" t="s">
        <v>1266</v>
      </c>
    </row>
    <row r="748" spans="1:18" x14ac:dyDescent="0.3">
      <c r="A748" t="s">
        <v>1405</v>
      </c>
      <c r="B748">
        <v>4</v>
      </c>
      <c r="C748" t="s">
        <v>1</v>
      </c>
      <c r="D748" t="s">
        <v>1405</v>
      </c>
      <c r="E748">
        <v>30</v>
      </c>
      <c r="F748" t="s">
        <v>1405</v>
      </c>
      <c r="I748">
        <v>5</v>
      </c>
      <c r="J748" t="s">
        <v>421</v>
      </c>
      <c r="K748">
        <v>495</v>
      </c>
      <c r="L748" t="s">
        <v>1</v>
      </c>
      <c r="M748" t="s">
        <v>0</v>
      </c>
      <c r="N748" t="s">
        <v>1266</v>
      </c>
      <c r="O748" t="s">
        <v>1266</v>
      </c>
      <c r="P748" t="s">
        <v>1266</v>
      </c>
      <c r="Q748" t="s">
        <v>1266</v>
      </c>
      <c r="R748" t="s">
        <v>1266</v>
      </c>
    </row>
    <row r="749" spans="1:18" x14ac:dyDescent="0.3">
      <c r="A749" t="s">
        <v>469</v>
      </c>
      <c r="B749">
        <v>5</v>
      </c>
      <c r="C749" t="s">
        <v>0</v>
      </c>
      <c r="D749" t="s">
        <v>469</v>
      </c>
      <c r="E749">
        <v>30</v>
      </c>
      <c r="F749" t="s">
        <v>468</v>
      </c>
      <c r="I749">
        <v>6</v>
      </c>
      <c r="J749" t="s">
        <v>421</v>
      </c>
      <c r="K749">
        <v>496</v>
      </c>
      <c r="L749" t="s">
        <v>0</v>
      </c>
      <c r="M749" t="s">
        <v>0</v>
      </c>
      <c r="N749" t="s">
        <v>1266</v>
      </c>
      <c r="O749" t="s">
        <v>1266</v>
      </c>
      <c r="P749" t="s">
        <v>1266</v>
      </c>
      <c r="Q749" t="s">
        <v>1266</v>
      </c>
      <c r="R749" t="s">
        <v>1266</v>
      </c>
    </row>
    <row r="750" spans="1:18" x14ac:dyDescent="0.3">
      <c r="A750" t="s">
        <v>51</v>
      </c>
      <c r="B750">
        <v>6</v>
      </c>
      <c r="C750" t="s">
        <v>1</v>
      </c>
      <c r="E750">
        <v>30</v>
      </c>
      <c r="F750" t="s">
        <v>51</v>
      </c>
      <c r="I750">
        <v>21</v>
      </c>
      <c r="J750" t="s">
        <v>421</v>
      </c>
      <c r="K750">
        <v>497</v>
      </c>
      <c r="L750" t="s">
        <v>1</v>
      </c>
      <c r="M750" t="s">
        <v>0</v>
      </c>
      <c r="N750" t="s">
        <v>1266</v>
      </c>
      <c r="O750" t="s">
        <v>1266</v>
      </c>
      <c r="P750" t="s">
        <v>1266</v>
      </c>
      <c r="Q750" t="s">
        <v>1266</v>
      </c>
      <c r="R750" t="s">
        <v>1266</v>
      </c>
    </row>
    <row r="751" spans="1:18" x14ac:dyDescent="0.3">
      <c r="A751" t="s">
        <v>426</v>
      </c>
      <c r="B751">
        <v>1</v>
      </c>
      <c r="C751" t="s">
        <v>1</v>
      </c>
      <c r="D751" t="s">
        <v>426</v>
      </c>
      <c r="E751">
        <v>30</v>
      </c>
      <c r="F751" t="s">
        <v>52</v>
      </c>
      <c r="I751">
        <v>21</v>
      </c>
      <c r="J751" t="s">
        <v>423</v>
      </c>
      <c r="K751">
        <v>900</v>
      </c>
      <c r="L751" t="s">
        <v>1</v>
      </c>
      <c r="M751" t="s">
        <v>0</v>
      </c>
      <c r="N751" t="s">
        <v>1266</v>
      </c>
      <c r="O751" t="s">
        <v>1266</v>
      </c>
      <c r="P751" t="s">
        <v>1266</v>
      </c>
      <c r="Q751" t="s">
        <v>1266</v>
      </c>
      <c r="R751" t="s">
        <v>1266</v>
      </c>
    </row>
    <row r="752" spans="1:18" x14ac:dyDescent="0.3">
      <c r="A752" t="s">
        <v>435</v>
      </c>
      <c r="B752">
        <v>2</v>
      </c>
      <c r="C752" t="s">
        <v>0</v>
      </c>
      <c r="D752" t="s">
        <v>435</v>
      </c>
      <c r="E752">
        <v>30</v>
      </c>
      <c r="F752" t="s">
        <v>434</v>
      </c>
      <c r="I752">
        <v>9</v>
      </c>
      <c r="J752" t="s">
        <v>423</v>
      </c>
      <c r="K752">
        <v>901</v>
      </c>
      <c r="L752" t="s">
        <v>1</v>
      </c>
      <c r="M752" t="s">
        <v>0</v>
      </c>
      <c r="N752" t="s">
        <v>1266</v>
      </c>
      <c r="O752" t="s">
        <v>1266</v>
      </c>
      <c r="P752" t="s">
        <v>1266</v>
      </c>
      <c r="Q752" t="s">
        <v>1266</v>
      </c>
      <c r="R752" t="s">
        <v>1266</v>
      </c>
    </row>
    <row r="753" spans="1:18" x14ac:dyDescent="0.3">
      <c r="A753" t="s">
        <v>512</v>
      </c>
      <c r="B753">
        <v>3</v>
      </c>
      <c r="C753" t="s">
        <v>0</v>
      </c>
      <c r="D753" t="s">
        <v>512</v>
      </c>
      <c r="E753">
        <v>30</v>
      </c>
      <c r="F753" t="s">
        <v>511</v>
      </c>
      <c r="I753">
        <v>5</v>
      </c>
      <c r="J753" t="s">
        <v>423</v>
      </c>
      <c r="K753">
        <v>902</v>
      </c>
      <c r="L753" t="s">
        <v>1</v>
      </c>
      <c r="M753" t="s">
        <v>0</v>
      </c>
      <c r="N753" t="s">
        <v>1266</v>
      </c>
      <c r="O753" t="s">
        <v>1266</v>
      </c>
      <c r="P753" t="s">
        <v>1266</v>
      </c>
      <c r="Q753" t="s">
        <v>1266</v>
      </c>
      <c r="R753" t="s">
        <v>1266</v>
      </c>
    </row>
    <row r="754" spans="1:18" x14ac:dyDescent="0.3">
      <c r="A754" t="s">
        <v>1405</v>
      </c>
      <c r="B754">
        <v>4</v>
      </c>
      <c r="C754" t="s">
        <v>1</v>
      </c>
      <c r="D754" t="s">
        <v>1405</v>
      </c>
      <c r="E754">
        <v>30</v>
      </c>
      <c r="F754" t="s">
        <v>1405</v>
      </c>
      <c r="I754">
        <v>5</v>
      </c>
      <c r="J754" t="s">
        <v>423</v>
      </c>
      <c r="K754">
        <v>903</v>
      </c>
      <c r="L754" t="s">
        <v>1</v>
      </c>
      <c r="M754" t="s">
        <v>0</v>
      </c>
      <c r="N754" t="s">
        <v>1266</v>
      </c>
      <c r="O754" t="s">
        <v>1266</v>
      </c>
      <c r="P754" t="s">
        <v>1266</v>
      </c>
      <c r="Q754" t="s">
        <v>1266</v>
      </c>
      <c r="R754" t="s">
        <v>1266</v>
      </c>
    </row>
    <row r="755" spans="1:18" x14ac:dyDescent="0.3">
      <c r="A755" t="s">
        <v>510</v>
      </c>
      <c r="B755">
        <v>5</v>
      </c>
      <c r="C755" t="s">
        <v>0</v>
      </c>
      <c r="D755" t="s">
        <v>510</v>
      </c>
      <c r="E755">
        <v>30</v>
      </c>
      <c r="F755" t="s">
        <v>509</v>
      </c>
      <c r="I755">
        <v>6</v>
      </c>
      <c r="J755" t="s">
        <v>423</v>
      </c>
      <c r="K755">
        <v>904</v>
      </c>
      <c r="L755" t="s">
        <v>0</v>
      </c>
      <c r="M755" t="s">
        <v>0</v>
      </c>
      <c r="N755" t="s">
        <v>1266</v>
      </c>
      <c r="O755" t="s">
        <v>1266</v>
      </c>
      <c r="P755" t="s">
        <v>1266</v>
      </c>
      <c r="Q755" t="s">
        <v>1266</v>
      </c>
      <c r="R755" t="s">
        <v>1266</v>
      </c>
    </row>
    <row r="756" spans="1:18" x14ac:dyDescent="0.3">
      <c r="A756" t="s">
        <v>432</v>
      </c>
      <c r="B756">
        <v>6</v>
      </c>
      <c r="C756" t="s">
        <v>1</v>
      </c>
      <c r="D756" t="s">
        <v>432</v>
      </c>
      <c r="E756">
        <v>30</v>
      </c>
      <c r="F756" t="s">
        <v>51</v>
      </c>
      <c r="I756">
        <v>21</v>
      </c>
      <c r="J756" t="s">
        <v>423</v>
      </c>
      <c r="K756">
        <v>905</v>
      </c>
      <c r="L756" t="s">
        <v>1</v>
      </c>
      <c r="M756" t="s">
        <v>0</v>
      </c>
      <c r="N756" t="s">
        <v>1266</v>
      </c>
      <c r="O756" t="s">
        <v>1266</v>
      </c>
      <c r="P756" t="s">
        <v>1266</v>
      </c>
      <c r="Q756" t="s">
        <v>1266</v>
      </c>
      <c r="R756" t="s">
        <v>1266</v>
      </c>
    </row>
    <row r="757" spans="1:18" x14ac:dyDescent="0.3">
      <c r="A757" t="s">
        <v>426</v>
      </c>
      <c r="B757">
        <v>1</v>
      </c>
      <c r="C757" t="s">
        <v>1</v>
      </c>
      <c r="D757" t="s">
        <v>426</v>
      </c>
      <c r="E757">
        <v>30</v>
      </c>
      <c r="F757" t="s">
        <v>52</v>
      </c>
      <c r="I757">
        <v>21</v>
      </c>
      <c r="J757" t="s">
        <v>424</v>
      </c>
      <c r="K757">
        <v>498</v>
      </c>
      <c r="L757" t="s">
        <v>1</v>
      </c>
      <c r="M757" t="s">
        <v>0</v>
      </c>
      <c r="N757" t="s">
        <v>1266</v>
      </c>
      <c r="O757" t="s">
        <v>1266</v>
      </c>
      <c r="P757" t="s">
        <v>1266</v>
      </c>
      <c r="Q757" t="s">
        <v>1266</v>
      </c>
      <c r="R757" t="s">
        <v>1266</v>
      </c>
    </row>
    <row r="758" spans="1:18" x14ac:dyDescent="0.3">
      <c r="A758" t="s">
        <v>435</v>
      </c>
      <c r="B758">
        <v>2</v>
      </c>
      <c r="C758" t="s">
        <v>0</v>
      </c>
      <c r="D758" t="s">
        <v>435</v>
      </c>
      <c r="E758">
        <v>30</v>
      </c>
      <c r="F758" t="s">
        <v>434</v>
      </c>
      <c r="I758">
        <v>9</v>
      </c>
      <c r="J758" t="s">
        <v>424</v>
      </c>
      <c r="K758">
        <v>499</v>
      </c>
      <c r="L758" t="s">
        <v>1</v>
      </c>
      <c r="M758" t="s">
        <v>0</v>
      </c>
      <c r="N758" t="s">
        <v>1266</v>
      </c>
      <c r="O758" t="s">
        <v>1266</v>
      </c>
      <c r="P758" t="s">
        <v>1266</v>
      </c>
      <c r="Q758" t="s">
        <v>1266</v>
      </c>
      <c r="R758" t="s">
        <v>1266</v>
      </c>
    </row>
    <row r="759" spans="1:18" x14ac:dyDescent="0.3">
      <c r="A759" t="s">
        <v>822</v>
      </c>
      <c r="B759">
        <v>3</v>
      </c>
      <c r="C759" t="s">
        <v>0</v>
      </c>
      <c r="D759" t="s">
        <v>822</v>
      </c>
      <c r="E759">
        <v>30</v>
      </c>
      <c r="F759" t="s">
        <v>444</v>
      </c>
      <c r="I759">
        <v>5</v>
      </c>
      <c r="J759" t="s">
        <v>424</v>
      </c>
      <c r="K759">
        <v>500</v>
      </c>
      <c r="L759" t="s">
        <v>1</v>
      </c>
      <c r="M759" t="s">
        <v>0</v>
      </c>
      <c r="N759" t="s">
        <v>1266</v>
      </c>
      <c r="O759" t="s">
        <v>1266</v>
      </c>
      <c r="P759" t="s">
        <v>1266</v>
      </c>
      <c r="Q759" t="s">
        <v>1266</v>
      </c>
      <c r="R759" t="s">
        <v>1266</v>
      </c>
    </row>
    <row r="760" spans="1:18" x14ac:dyDescent="0.3">
      <c r="A760" t="s">
        <v>1405</v>
      </c>
      <c r="B760">
        <v>4</v>
      </c>
      <c r="C760" t="s">
        <v>1</v>
      </c>
      <c r="D760" t="s">
        <v>1405</v>
      </c>
      <c r="E760">
        <v>30</v>
      </c>
      <c r="F760" t="s">
        <v>1405</v>
      </c>
      <c r="I760">
        <v>5</v>
      </c>
      <c r="J760" t="s">
        <v>424</v>
      </c>
      <c r="K760">
        <v>501</v>
      </c>
      <c r="L760" t="s">
        <v>1</v>
      </c>
      <c r="M760" t="s">
        <v>0</v>
      </c>
      <c r="N760" t="s">
        <v>1266</v>
      </c>
      <c r="O760" t="s">
        <v>1266</v>
      </c>
      <c r="P760" t="s">
        <v>1266</v>
      </c>
      <c r="Q760" t="s">
        <v>1266</v>
      </c>
      <c r="R760" t="s">
        <v>1266</v>
      </c>
    </row>
    <row r="761" spans="1:18" x14ac:dyDescent="0.3">
      <c r="A761" t="s">
        <v>510</v>
      </c>
      <c r="B761">
        <v>5</v>
      </c>
      <c r="C761" t="s">
        <v>0</v>
      </c>
      <c r="D761" t="s">
        <v>510</v>
      </c>
      <c r="E761">
        <v>30</v>
      </c>
      <c r="F761" t="s">
        <v>509</v>
      </c>
      <c r="I761">
        <v>6</v>
      </c>
      <c r="J761" t="s">
        <v>424</v>
      </c>
      <c r="K761">
        <v>502</v>
      </c>
      <c r="L761" t="s">
        <v>0</v>
      </c>
      <c r="M761" t="s">
        <v>0</v>
      </c>
      <c r="N761" t="s">
        <v>1266</v>
      </c>
      <c r="O761" t="s">
        <v>1266</v>
      </c>
      <c r="P761" t="s">
        <v>1266</v>
      </c>
      <c r="Q761" t="s">
        <v>1266</v>
      </c>
      <c r="R761" t="s">
        <v>1266</v>
      </c>
    </row>
    <row r="762" spans="1:18" x14ac:dyDescent="0.3">
      <c r="A762" t="s">
        <v>815</v>
      </c>
      <c r="B762">
        <v>6</v>
      </c>
      <c r="C762" t="s">
        <v>0</v>
      </c>
      <c r="D762" t="s">
        <v>815</v>
      </c>
      <c r="E762">
        <v>30</v>
      </c>
      <c r="F762" t="s">
        <v>821</v>
      </c>
      <c r="I762">
        <v>6</v>
      </c>
      <c r="J762" t="s">
        <v>424</v>
      </c>
      <c r="K762" t="s">
        <v>1381</v>
      </c>
      <c r="L762" t="s">
        <v>0</v>
      </c>
      <c r="M762" t="s">
        <v>0</v>
      </c>
      <c r="N762" t="s">
        <v>1266</v>
      </c>
      <c r="O762" t="s">
        <v>1266</v>
      </c>
      <c r="P762" t="s">
        <v>1266</v>
      </c>
      <c r="Q762" t="s">
        <v>1266</v>
      </c>
      <c r="R762" t="s">
        <v>1266</v>
      </c>
    </row>
    <row r="763" spans="1:18" x14ac:dyDescent="0.3">
      <c r="A763" t="s">
        <v>432</v>
      </c>
      <c r="B763">
        <v>7</v>
      </c>
      <c r="C763" t="s">
        <v>1</v>
      </c>
      <c r="D763" t="s">
        <v>432</v>
      </c>
      <c r="E763">
        <v>30</v>
      </c>
      <c r="F763" t="s">
        <v>51</v>
      </c>
      <c r="I763">
        <v>21</v>
      </c>
      <c r="J763" t="s">
        <v>424</v>
      </c>
      <c r="K763">
        <v>503</v>
      </c>
      <c r="L763" t="s">
        <v>1</v>
      </c>
      <c r="M763" t="s">
        <v>0</v>
      </c>
      <c r="N763" t="s">
        <v>1266</v>
      </c>
      <c r="O763" t="s">
        <v>1266</v>
      </c>
      <c r="P763" t="s">
        <v>1266</v>
      </c>
      <c r="Q763" t="s">
        <v>1266</v>
      </c>
      <c r="R763" t="s">
        <v>1266</v>
      </c>
    </row>
    <row r="764" spans="1:18" x14ac:dyDescent="0.3">
      <c r="A764" t="s">
        <v>426</v>
      </c>
      <c r="B764">
        <v>1</v>
      </c>
      <c r="C764" t="s">
        <v>1</v>
      </c>
      <c r="D764" t="s">
        <v>426</v>
      </c>
      <c r="E764">
        <v>30</v>
      </c>
      <c r="F764" t="s">
        <v>52</v>
      </c>
      <c r="I764">
        <v>21</v>
      </c>
      <c r="J764" t="s">
        <v>1370</v>
      </c>
      <c r="K764">
        <v>504</v>
      </c>
      <c r="L764" t="s">
        <v>1</v>
      </c>
      <c r="M764" t="s">
        <v>0</v>
      </c>
      <c r="N764" t="s">
        <v>1266</v>
      </c>
      <c r="O764" t="s">
        <v>1266</v>
      </c>
      <c r="P764" t="s">
        <v>1266</v>
      </c>
      <c r="Q764" t="s">
        <v>1266</v>
      </c>
      <c r="R764" t="s">
        <v>1266</v>
      </c>
    </row>
    <row r="765" spans="1:18" x14ac:dyDescent="0.3">
      <c r="A765" t="s">
        <v>489</v>
      </c>
      <c r="B765">
        <v>2</v>
      </c>
      <c r="C765" t="s">
        <v>0</v>
      </c>
      <c r="D765" t="s">
        <v>489</v>
      </c>
      <c r="E765">
        <v>30</v>
      </c>
      <c r="F765" t="s">
        <v>489</v>
      </c>
      <c r="I765">
        <v>5</v>
      </c>
      <c r="J765" t="s">
        <v>1370</v>
      </c>
      <c r="K765">
        <v>505</v>
      </c>
      <c r="L765" t="s">
        <v>1</v>
      </c>
      <c r="M765" t="s">
        <v>0</v>
      </c>
      <c r="N765" t="s">
        <v>1266</v>
      </c>
      <c r="O765" t="s">
        <v>1266</v>
      </c>
      <c r="P765" t="s">
        <v>1266</v>
      </c>
      <c r="Q765" t="s">
        <v>1266</v>
      </c>
      <c r="R765" t="s">
        <v>1266</v>
      </c>
    </row>
    <row r="766" spans="1:18" x14ac:dyDescent="0.3">
      <c r="A766" t="s">
        <v>435</v>
      </c>
      <c r="B766">
        <v>3</v>
      </c>
      <c r="C766" t="s">
        <v>0</v>
      </c>
      <c r="D766" t="s">
        <v>435</v>
      </c>
      <c r="E766">
        <v>30</v>
      </c>
      <c r="F766" t="s">
        <v>434</v>
      </c>
      <c r="I766">
        <v>9</v>
      </c>
      <c r="J766" t="s">
        <v>1370</v>
      </c>
      <c r="K766">
        <v>506</v>
      </c>
      <c r="L766" t="s">
        <v>1</v>
      </c>
      <c r="M766" t="s">
        <v>0</v>
      </c>
      <c r="N766" t="s">
        <v>1266</v>
      </c>
      <c r="O766" t="s">
        <v>1266</v>
      </c>
      <c r="P766" t="s">
        <v>1266</v>
      </c>
      <c r="Q766" t="s">
        <v>1266</v>
      </c>
      <c r="R766" t="s">
        <v>1266</v>
      </c>
    </row>
    <row r="767" spans="1:18" x14ac:dyDescent="0.3">
      <c r="A767" t="s">
        <v>1405</v>
      </c>
      <c r="B767">
        <v>4</v>
      </c>
      <c r="C767" t="s">
        <v>1</v>
      </c>
      <c r="D767" t="s">
        <v>1405</v>
      </c>
      <c r="E767">
        <v>30</v>
      </c>
      <c r="F767" t="s">
        <v>1405</v>
      </c>
      <c r="I767">
        <v>5</v>
      </c>
      <c r="J767" t="s">
        <v>1370</v>
      </c>
      <c r="K767">
        <v>507</v>
      </c>
      <c r="L767" t="s">
        <v>1</v>
      </c>
      <c r="M767" t="s">
        <v>0</v>
      </c>
      <c r="N767" t="s">
        <v>1266</v>
      </c>
      <c r="O767" t="s">
        <v>1266</v>
      </c>
      <c r="P767" t="s">
        <v>1266</v>
      </c>
      <c r="Q767" t="s">
        <v>1266</v>
      </c>
      <c r="R767" t="s">
        <v>1266</v>
      </c>
    </row>
    <row r="768" spans="1:18" x14ac:dyDescent="0.3">
      <c r="A768" t="s">
        <v>510</v>
      </c>
      <c r="B768">
        <v>5</v>
      </c>
      <c r="C768" t="s">
        <v>0</v>
      </c>
      <c r="D768" t="s">
        <v>510</v>
      </c>
      <c r="E768">
        <v>30</v>
      </c>
      <c r="F768" t="s">
        <v>509</v>
      </c>
      <c r="I768">
        <v>6</v>
      </c>
      <c r="J768" t="s">
        <v>1370</v>
      </c>
      <c r="K768">
        <v>508</v>
      </c>
      <c r="L768" t="s">
        <v>0</v>
      </c>
      <c r="M768" t="s">
        <v>0</v>
      </c>
      <c r="N768" t="s">
        <v>1266</v>
      </c>
      <c r="O768" t="s">
        <v>1266</v>
      </c>
      <c r="P768" t="s">
        <v>1266</v>
      </c>
      <c r="Q768" t="s">
        <v>1266</v>
      </c>
      <c r="R768" t="s">
        <v>1266</v>
      </c>
    </row>
    <row r="769" spans="1:18" x14ac:dyDescent="0.3">
      <c r="A769" t="s">
        <v>778</v>
      </c>
      <c r="B769">
        <v>6</v>
      </c>
      <c r="C769" t="s">
        <v>0</v>
      </c>
      <c r="D769" t="s">
        <v>778</v>
      </c>
      <c r="E769">
        <v>30</v>
      </c>
      <c r="F769" t="s">
        <v>777</v>
      </c>
      <c r="I769">
        <v>6</v>
      </c>
      <c r="J769" t="s">
        <v>1370</v>
      </c>
      <c r="K769">
        <v>509</v>
      </c>
      <c r="L769" t="s">
        <v>0</v>
      </c>
      <c r="M769" t="s">
        <v>0</v>
      </c>
      <c r="N769" t="s">
        <v>1266</v>
      </c>
      <c r="O769" t="s">
        <v>1266</v>
      </c>
      <c r="P769" t="s">
        <v>1266</v>
      </c>
      <c r="Q769" t="s">
        <v>1266</v>
      </c>
      <c r="R769" t="s">
        <v>1266</v>
      </c>
    </row>
    <row r="770" spans="1:18" x14ac:dyDescent="0.3">
      <c r="A770" t="s">
        <v>432</v>
      </c>
      <c r="B770">
        <v>7</v>
      </c>
      <c r="C770" t="s">
        <v>1</v>
      </c>
      <c r="D770" t="s">
        <v>432</v>
      </c>
      <c r="E770">
        <v>30</v>
      </c>
      <c r="F770" t="s">
        <v>51</v>
      </c>
      <c r="I770">
        <v>21</v>
      </c>
      <c r="J770" t="s">
        <v>1370</v>
      </c>
      <c r="K770">
        <v>510</v>
      </c>
      <c r="L770" t="s">
        <v>1</v>
      </c>
      <c r="M770" t="s">
        <v>0</v>
      </c>
      <c r="N770" t="s">
        <v>1266</v>
      </c>
      <c r="O770" t="s">
        <v>1266</v>
      </c>
      <c r="P770" t="s">
        <v>1266</v>
      </c>
      <c r="Q770" t="s">
        <v>1266</v>
      </c>
      <c r="R770" t="s">
        <v>1266</v>
      </c>
    </row>
    <row r="771" spans="1:18" x14ac:dyDescent="0.3">
      <c r="A771" t="s">
        <v>869</v>
      </c>
      <c r="B771">
        <v>1</v>
      </c>
      <c r="C771" t="s">
        <v>0</v>
      </c>
      <c r="D771" t="s">
        <v>869</v>
      </c>
      <c r="E771">
        <v>30</v>
      </c>
      <c r="F771" t="s">
        <v>869</v>
      </c>
      <c r="I771">
        <v>5</v>
      </c>
      <c r="J771" t="s">
        <v>1344</v>
      </c>
      <c r="K771">
        <v>511</v>
      </c>
      <c r="L771" t="s">
        <v>1</v>
      </c>
      <c r="M771" t="s">
        <v>0</v>
      </c>
      <c r="N771" t="s">
        <v>1266</v>
      </c>
      <c r="O771" t="s">
        <v>1266</v>
      </c>
      <c r="P771" t="s">
        <v>1266</v>
      </c>
      <c r="Q771" t="s">
        <v>1266</v>
      </c>
      <c r="R771" t="s">
        <v>1266</v>
      </c>
    </row>
    <row r="772" spans="1:18" x14ac:dyDescent="0.3">
      <c r="A772" t="s">
        <v>52</v>
      </c>
      <c r="B772">
        <v>2</v>
      </c>
      <c r="C772" t="s">
        <v>1</v>
      </c>
      <c r="D772" t="s">
        <v>52</v>
      </c>
      <c r="E772">
        <v>30</v>
      </c>
      <c r="F772" t="s">
        <v>52</v>
      </c>
      <c r="I772">
        <v>21</v>
      </c>
      <c r="J772" t="s">
        <v>1344</v>
      </c>
      <c r="K772">
        <v>512</v>
      </c>
      <c r="L772" t="s">
        <v>1</v>
      </c>
      <c r="M772" t="s">
        <v>0</v>
      </c>
      <c r="N772" t="s">
        <v>1266</v>
      </c>
      <c r="O772" t="s">
        <v>1266</v>
      </c>
      <c r="P772" t="s">
        <v>1266</v>
      </c>
      <c r="Q772" t="s">
        <v>1266</v>
      </c>
      <c r="R772" t="s">
        <v>1266</v>
      </c>
    </row>
    <row r="773" spans="1:18" x14ac:dyDescent="0.3">
      <c r="A773" t="s">
        <v>434</v>
      </c>
      <c r="B773">
        <v>3</v>
      </c>
      <c r="C773" t="s">
        <v>0</v>
      </c>
      <c r="D773" t="s">
        <v>434</v>
      </c>
      <c r="E773">
        <v>30</v>
      </c>
      <c r="F773" t="s">
        <v>434</v>
      </c>
      <c r="I773">
        <v>9</v>
      </c>
      <c r="J773" t="s">
        <v>1344</v>
      </c>
      <c r="K773">
        <v>513</v>
      </c>
      <c r="L773" t="s">
        <v>1</v>
      </c>
      <c r="M773" t="s">
        <v>0</v>
      </c>
      <c r="N773" t="s">
        <v>1266</v>
      </c>
      <c r="O773" t="s">
        <v>1266</v>
      </c>
      <c r="P773" t="s">
        <v>1266</v>
      </c>
      <c r="Q773" t="s">
        <v>1266</v>
      </c>
      <c r="R773" t="s">
        <v>1266</v>
      </c>
    </row>
    <row r="774" spans="1:18" x14ac:dyDescent="0.3">
      <c r="A774" t="s">
        <v>1405</v>
      </c>
      <c r="B774">
        <v>4</v>
      </c>
      <c r="C774" t="s">
        <v>1</v>
      </c>
      <c r="D774" t="s">
        <v>1405</v>
      </c>
      <c r="E774">
        <v>30</v>
      </c>
      <c r="F774" t="s">
        <v>1405</v>
      </c>
      <c r="I774">
        <v>5</v>
      </c>
      <c r="J774" t="s">
        <v>1344</v>
      </c>
      <c r="K774">
        <v>514</v>
      </c>
      <c r="L774" t="s">
        <v>1</v>
      </c>
      <c r="M774" t="s">
        <v>0</v>
      </c>
      <c r="N774" t="s">
        <v>1266</v>
      </c>
      <c r="O774" t="s">
        <v>1266</v>
      </c>
      <c r="P774" t="s">
        <v>1266</v>
      </c>
      <c r="Q774" t="s">
        <v>1266</v>
      </c>
      <c r="R774" t="s">
        <v>1266</v>
      </c>
    </row>
    <row r="775" spans="1:18" x14ac:dyDescent="0.3">
      <c r="A775" t="s">
        <v>777</v>
      </c>
      <c r="B775">
        <v>5</v>
      </c>
      <c r="C775" t="s">
        <v>0</v>
      </c>
      <c r="D775" t="s">
        <v>777</v>
      </c>
      <c r="E775">
        <v>30</v>
      </c>
      <c r="F775" t="s">
        <v>777</v>
      </c>
      <c r="I775">
        <v>6</v>
      </c>
      <c r="J775" t="s">
        <v>1344</v>
      </c>
      <c r="K775">
        <v>515</v>
      </c>
      <c r="L775" t="s">
        <v>0</v>
      </c>
      <c r="M775" t="s">
        <v>0</v>
      </c>
      <c r="N775" t="s">
        <v>1266</v>
      </c>
      <c r="O775" t="s">
        <v>1266</v>
      </c>
      <c r="P775" t="s">
        <v>1266</v>
      </c>
      <c r="Q775" t="s">
        <v>1266</v>
      </c>
      <c r="R775" t="s">
        <v>1266</v>
      </c>
    </row>
    <row r="776" spans="1:18" x14ac:dyDescent="0.3">
      <c r="A776" t="s">
        <v>51</v>
      </c>
      <c r="B776">
        <v>6</v>
      </c>
      <c r="C776" t="s">
        <v>1</v>
      </c>
      <c r="D776" t="s">
        <v>51</v>
      </c>
      <c r="E776">
        <v>30</v>
      </c>
      <c r="F776" t="s">
        <v>51</v>
      </c>
      <c r="I776">
        <v>21</v>
      </c>
      <c r="J776" t="s">
        <v>1344</v>
      </c>
      <c r="K776">
        <v>516</v>
      </c>
      <c r="L776" t="s">
        <v>1</v>
      </c>
      <c r="M776" t="s">
        <v>0</v>
      </c>
      <c r="N776" t="s">
        <v>1266</v>
      </c>
      <c r="O776" t="s">
        <v>1266</v>
      </c>
      <c r="P776" t="s">
        <v>1266</v>
      </c>
      <c r="Q776" t="s">
        <v>1266</v>
      </c>
      <c r="R776" t="s">
        <v>1266</v>
      </c>
    </row>
    <row r="777" spans="1:18" x14ac:dyDescent="0.3">
      <c r="A777" t="s">
        <v>52</v>
      </c>
      <c r="B777">
        <v>1</v>
      </c>
      <c r="C777" t="s">
        <v>1</v>
      </c>
      <c r="D777" t="s">
        <v>52</v>
      </c>
      <c r="E777">
        <v>30</v>
      </c>
      <c r="F777" t="s">
        <v>52</v>
      </c>
      <c r="I777">
        <v>21</v>
      </c>
      <c r="J777" t="s">
        <v>1330</v>
      </c>
      <c r="K777">
        <v>517</v>
      </c>
      <c r="L777" t="s">
        <v>1</v>
      </c>
      <c r="M777" t="s">
        <v>0</v>
      </c>
      <c r="N777" t="s">
        <v>1266</v>
      </c>
      <c r="O777" t="s">
        <v>1266</v>
      </c>
      <c r="P777" t="s">
        <v>1266</v>
      </c>
      <c r="Q777" t="s">
        <v>1266</v>
      </c>
      <c r="R777" t="s">
        <v>1266</v>
      </c>
    </row>
    <row r="778" spans="1:18" x14ac:dyDescent="0.3">
      <c r="A778" t="s">
        <v>532</v>
      </c>
      <c r="B778">
        <v>2</v>
      </c>
      <c r="C778" t="s">
        <v>0</v>
      </c>
      <c r="D778" t="s">
        <v>532</v>
      </c>
      <c r="E778">
        <v>30</v>
      </c>
      <c r="F778" t="s">
        <v>532</v>
      </c>
      <c r="I778">
        <v>5</v>
      </c>
      <c r="J778" t="s">
        <v>1330</v>
      </c>
      <c r="K778">
        <v>518</v>
      </c>
      <c r="L778" t="s">
        <v>1</v>
      </c>
      <c r="M778" t="s">
        <v>0</v>
      </c>
      <c r="N778" t="s">
        <v>1266</v>
      </c>
      <c r="O778" t="s">
        <v>1266</v>
      </c>
      <c r="P778" t="s">
        <v>1266</v>
      </c>
      <c r="Q778" t="s">
        <v>1266</v>
      </c>
      <c r="R778" t="s">
        <v>1266</v>
      </c>
    </row>
    <row r="779" spans="1:18" x14ac:dyDescent="0.3">
      <c r="A779" t="s">
        <v>434</v>
      </c>
      <c r="B779">
        <v>3</v>
      </c>
      <c r="C779" t="s">
        <v>0</v>
      </c>
      <c r="D779" t="s">
        <v>434</v>
      </c>
      <c r="E779">
        <v>30</v>
      </c>
      <c r="F779" t="s">
        <v>434</v>
      </c>
      <c r="I779">
        <v>9</v>
      </c>
      <c r="J779" t="s">
        <v>1330</v>
      </c>
      <c r="K779">
        <v>519</v>
      </c>
      <c r="L779" t="s">
        <v>1</v>
      </c>
      <c r="M779" t="s">
        <v>0</v>
      </c>
      <c r="N779" t="s">
        <v>1266</v>
      </c>
      <c r="O779" t="s">
        <v>1266</v>
      </c>
      <c r="P779" t="s">
        <v>1266</v>
      </c>
      <c r="Q779" t="s">
        <v>1266</v>
      </c>
      <c r="R779" t="s">
        <v>1266</v>
      </c>
    </row>
    <row r="780" spans="1:18" x14ac:dyDescent="0.3">
      <c r="A780" t="s">
        <v>1405</v>
      </c>
      <c r="B780">
        <v>4</v>
      </c>
      <c r="C780" t="s">
        <v>1</v>
      </c>
      <c r="D780" t="s">
        <v>1405</v>
      </c>
      <c r="E780">
        <v>30</v>
      </c>
      <c r="F780" t="s">
        <v>1405</v>
      </c>
      <c r="I780">
        <v>5</v>
      </c>
      <c r="J780" t="s">
        <v>1330</v>
      </c>
      <c r="K780">
        <v>520</v>
      </c>
      <c r="L780" t="s">
        <v>1</v>
      </c>
      <c r="M780" t="s">
        <v>0</v>
      </c>
      <c r="N780" t="s">
        <v>1266</v>
      </c>
      <c r="O780" t="s">
        <v>1266</v>
      </c>
      <c r="P780" t="s">
        <v>1266</v>
      </c>
      <c r="Q780" t="s">
        <v>1266</v>
      </c>
      <c r="R780" t="s">
        <v>1266</v>
      </c>
    </row>
    <row r="781" spans="1:18" x14ac:dyDescent="0.3">
      <c r="A781" t="s">
        <v>1495</v>
      </c>
      <c r="B781">
        <v>5</v>
      </c>
      <c r="C781" t="s">
        <v>0</v>
      </c>
      <c r="D781" t="s">
        <v>1495</v>
      </c>
      <c r="E781">
        <v>30</v>
      </c>
      <c r="F781" t="s">
        <v>1495</v>
      </c>
      <c r="I781">
        <v>1</v>
      </c>
      <c r="J781" t="s">
        <v>1330</v>
      </c>
      <c r="K781">
        <v>521</v>
      </c>
      <c r="L781" t="s">
        <v>0</v>
      </c>
      <c r="M781" t="s">
        <v>0</v>
      </c>
      <c r="N781" t="s">
        <v>1266</v>
      </c>
      <c r="O781" t="s">
        <v>1266</v>
      </c>
      <c r="P781" t="s">
        <v>1266</v>
      </c>
      <c r="Q781" t="s">
        <v>1266</v>
      </c>
      <c r="R781" t="s">
        <v>1266</v>
      </c>
    </row>
    <row r="782" spans="1:18" x14ac:dyDescent="0.3">
      <c r="A782" t="s">
        <v>51</v>
      </c>
      <c r="B782">
        <v>6</v>
      </c>
      <c r="C782" t="s">
        <v>1</v>
      </c>
      <c r="D782" t="s">
        <v>51</v>
      </c>
      <c r="E782">
        <v>30</v>
      </c>
      <c r="F782" t="s">
        <v>51</v>
      </c>
      <c r="I782">
        <v>21</v>
      </c>
      <c r="J782" t="s">
        <v>1330</v>
      </c>
      <c r="K782">
        <v>522</v>
      </c>
      <c r="L782" t="s">
        <v>1</v>
      </c>
      <c r="M782" t="s">
        <v>0</v>
      </c>
      <c r="N782" t="s">
        <v>1266</v>
      </c>
      <c r="O782" t="s">
        <v>1266</v>
      </c>
      <c r="P782" t="s">
        <v>1266</v>
      </c>
      <c r="Q782" t="s">
        <v>1266</v>
      </c>
      <c r="R782" t="s">
        <v>1266</v>
      </c>
    </row>
    <row r="783" spans="1:18" x14ac:dyDescent="0.3">
      <c r="A783" t="s">
        <v>849</v>
      </c>
      <c r="B783">
        <v>1</v>
      </c>
      <c r="C783" t="s">
        <v>0</v>
      </c>
      <c r="D783" t="s">
        <v>849</v>
      </c>
      <c r="E783">
        <v>30</v>
      </c>
      <c r="F783" t="s">
        <v>848</v>
      </c>
      <c r="I783">
        <v>14</v>
      </c>
      <c r="J783" t="s">
        <v>1366</v>
      </c>
      <c r="K783">
        <v>523</v>
      </c>
      <c r="L783" t="s">
        <v>1</v>
      </c>
      <c r="M783" t="s">
        <v>0</v>
      </c>
      <c r="N783" t="s">
        <v>1266</v>
      </c>
      <c r="O783" t="s">
        <v>1266</v>
      </c>
      <c r="P783" t="s">
        <v>1266</v>
      </c>
      <c r="Q783" t="s">
        <v>1266</v>
      </c>
      <c r="R783" t="s">
        <v>1266</v>
      </c>
    </row>
    <row r="784" spans="1:18" x14ac:dyDescent="0.3">
      <c r="A784" t="s">
        <v>426</v>
      </c>
      <c r="B784">
        <v>2</v>
      </c>
      <c r="C784" t="s">
        <v>1</v>
      </c>
      <c r="D784" t="s">
        <v>426</v>
      </c>
      <c r="E784">
        <v>30</v>
      </c>
      <c r="F784" t="s">
        <v>52</v>
      </c>
      <c r="I784">
        <v>21</v>
      </c>
      <c r="J784" t="s">
        <v>1366</v>
      </c>
      <c r="K784">
        <v>524</v>
      </c>
      <c r="L784" t="s">
        <v>1</v>
      </c>
      <c r="M784" t="s">
        <v>0</v>
      </c>
      <c r="N784" t="s">
        <v>1266</v>
      </c>
      <c r="O784" t="s">
        <v>1266</v>
      </c>
      <c r="P784" t="s">
        <v>1266</v>
      </c>
      <c r="Q784" t="s">
        <v>1266</v>
      </c>
      <c r="R784" t="s">
        <v>1266</v>
      </c>
    </row>
    <row r="785" spans="1:18" x14ac:dyDescent="0.3">
      <c r="A785" t="s">
        <v>435</v>
      </c>
      <c r="B785">
        <v>3</v>
      </c>
      <c r="C785" t="s">
        <v>0</v>
      </c>
      <c r="D785" t="s">
        <v>435</v>
      </c>
      <c r="E785">
        <v>30</v>
      </c>
      <c r="F785" t="s">
        <v>434</v>
      </c>
      <c r="I785">
        <v>9</v>
      </c>
      <c r="J785" t="s">
        <v>1366</v>
      </c>
      <c r="K785">
        <v>525</v>
      </c>
      <c r="L785" t="s">
        <v>1</v>
      </c>
      <c r="M785" t="s">
        <v>0</v>
      </c>
      <c r="N785" t="s">
        <v>1266</v>
      </c>
      <c r="O785" t="s">
        <v>1266</v>
      </c>
      <c r="P785" t="s">
        <v>1266</v>
      </c>
      <c r="Q785" t="s">
        <v>1266</v>
      </c>
      <c r="R785" t="s">
        <v>1266</v>
      </c>
    </row>
    <row r="786" spans="1:18" x14ac:dyDescent="0.3">
      <c r="A786" t="s">
        <v>1405</v>
      </c>
      <c r="B786">
        <v>4</v>
      </c>
      <c r="C786" t="s">
        <v>1</v>
      </c>
      <c r="D786" t="s">
        <v>1405</v>
      </c>
      <c r="E786">
        <v>30</v>
      </c>
      <c r="F786" t="s">
        <v>1405</v>
      </c>
      <c r="I786">
        <v>5</v>
      </c>
      <c r="J786" t="s">
        <v>1366</v>
      </c>
      <c r="K786">
        <v>526</v>
      </c>
      <c r="L786" t="s">
        <v>1</v>
      </c>
      <c r="M786" t="s">
        <v>0</v>
      </c>
      <c r="N786" t="s">
        <v>1266</v>
      </c>
      <c r="O786" t="s">
        <v>1266</v>
      </c>
      <c r="P786" t="s">
        <v>1266</v>
      </c>
      <c r="Q786" t="s">
        <v>1266</v>
      </c>
      <c r="R786" t="s">
        <v>1266</v>
      </c>
    </row>
    <row r="787" spans="1:18" x14ac:dyDescent="0.3">
      <c r="A787" t="s">
        <v>845</v>
      </c>
      <c r="B787">
        <v>5</v>
      </c>
      <c r="C787" t="s">
        <v>0</v>
      </c>
      <c r="D787" t="s">
        <v>845</v>
      </c>
      <c r="E787">
        <v>30</v>
      </c>
      <c r="F787" t="s">
        <v>1451</v>
      </c>
      <c r="I787">
        <v>6</v>
      </c>
      <c r="J787" t="s">
        <v>1366</v>
      </c>
      <c r="K787">
        <v>527</v>
      </c>
      <c r="L787" t="s">
        <v>0</v>
      </c>
      <c r="M787" t="s">
        <v>0</v>
      </c>
      <c r="N787" t="s">
        <v>1266</v>
      </c>
      <c r="O787" t="s">
        <v>1266</v>
      </c>
      <c r="P787" t="s">
        <v>1266</v>
      </c>
      <c r="Q787" t="s">
        <v>1266</v>
      </c>
      <c r="R787" t="s">
        <v>1266</v>
      </c>
    </row>
    <row r="788" spans="1:18" x14ac:dyDescent="0.3">
      <c r="A788" t="s">
        <v>1652</v>
      </c>
      <c r="B788">
        <v>6</v>
      </c>
      <c r="C788" t="s">
        <v>0</v>
      </c>
      <c r="D788" t="s">
        <v>847</v>
      </c>
      <c r="E788">
        <v>30</v>
      </c>
      <c r="F788" t="s">
        <v>846</v>
      </c>
      <c r="I788">
        <v>6</v>
      </c>
      <c r="J788" t="s">
        <v>1366</v>
      </c>
      <c r="K788">
        <v>528</v>
      </c>
      <c r="L788" t="s">
        <v>0</v>
      </c>
      <c r="M788" t="s">
        <v>0</v>
      </c>
      <c r="N788" t="s">
        <v>1266</v>
      </c>
      <c r="O788" t="s">
        <v>1266</v>
      </c>
      <c r="P788" t="s">
        <v>1266</v>
      </c>
      <c r="Q788" t="s">
        <v>1266</v>
      </c>
      <c r="R788" t="s">
        <v>1266</v>
      </c>
    </row>
    <row r="789" spans="1:18" x14ac:dyDescent="0.3">
      <c r="A789" t="s">
        <v>844</v>
      </c>
      <c r="B789">
        <v>7</v>
      </c>
      <c r="C789" t="s">
        <v>0</v>
      </c>
      <c r="D789" t="s">
        <v>844</v>
      </c>
      <c r="E789">
        <v>30</v>
      </c>
      <c r="F789" t="s">
        <v>851</v>
      </c>
      <c r="I789">
        <v>6</v>
      </c>
      <c r="J789" t="s">
        <v>1366</v>
      </c>
      <c r="K789">
        <v>529</v>
      </c>
      <c r="L789" t="s">
        <v>0</v>
      </c>
      <c r="M789" t="s">
        <v>0</v>
      </c>
      <c r="N789" t="s">
        <v>1266</v>
      </c>
      <c r="O789" t="s">
        <v>1266</v>
      </c>
      <c r="P789" t="s">
        <v>1266</v>
      </c>
      <c r="Q789" t="s">
        <v>1266</v>
      </c>
      <c r="R789" t="s">
        <v>1266</v>
      </c>
    </row>
    <row r="790" spans="1:18" x14ac:dyDescent="0.3">
      <c r="A790" t="s">
        <v>432</v>
      </c>
      <c r="B790">
        <v>8</v>
      </c>
      <c r="C790" t="s">
        <v>1</v>
      </c>
      <c r="D790" t="s">
        <v>432</v>
      </c>
      <c r="E790">
        <v>30</v>
      </c>
      <c r="F790" t="s">
        <v>51</v>
      </c>
      <c r="I790">
        <v>21</v>
      </c>
      <c r="J790" t="s">
        <v>1366</v>
      </c>
      <c r="K790">
        <v>530</v>
      </c>
      <c r="L790" t="s">
        <v>1</v>
      </c>
      <c r="M790" t="s">
        <v>0</v>
      </c>
      <c r="N790" t="s">
        <v>1266</v>
      </c>
      <c r="O790" t="s">
        <v>1266</v>
      </c>
      <c r="P790" t="s">
        <v>1266</v>
      </c>
      <c r="Q790" t="s">
        <v>1266</v>
      </c>
      <c r="R790" t="s">
        <v>1266</v>
      </c>
    </row>
    <row r="791" spans="1:18" x14ac:dyDescent="0.3">
      <c r="A791" t="s">
        <v>470</v>
      </c>
      <c r="B791">
        <v>1</v>
      </c>
      <c r="C791" t="s">
        <v>0</v>
      </c>
      <c r="D791" t="s">
        <v>470</v>
      </c>
      <c r="E791">
        <v>30</v>
      </c>
      <c r="F791" t="s">
        <v>470</v>
      </c>
      <c r="I791">
        <v>5</v>
      </c>
      <c r="J791" t="s">
        <v>1309</v>
      </c>
      <c r="K791">
        <v>531</v>
      </c>
      <c r="L791" t="s">
        <v>1</v>
      </c>
      <c r="M791" t="s">
        <v>0</v>
      </c>
      <c r="N791" t="s">
        <v>1266</v>
      </c>
      <c r="O791" t="s">
        <v>1266</v>
      </c>
      <c r="P791" t="s">
        <v>1266</v>
      </c>
      <c r="Q791" t="s">
        <v>1266</v>
      </c>
      <c r="R791" t="s">
        <v>1266</v>
      </c>
    </row>
    <row r="792" spans="1:18" x14ac:dyDescent="0.3">
      <c r="A792" t="s">
        <v>515</v>
      </c>
      <c r="B792">
        <v>2</v>
      </c>
      <c r="C792" t="s">
        <v>0</v>
      </c>
      <c r="D792" t="s">
        <v>515</v>
      </c>
      <c r="E792">
        <v>30</v>
      </c>
      <c r="F792" t="s">
        <v>515</v>
      </c>
      <c r="I792">
        <v>5</v>
      </c>
      <c r="J792" t="s">
        <v>1309</v>
      </c>
      <c r="K792">
        <v>532</v>
      </c>
      <c r="L792" t="s">
        <v>1</v>
      </c>
      <c r="M792" t="s">
        <v>0</v>
      </c>
      <c r="N792" t="s">
        <v>1266</v>
      </c>
      <c r="O792" t="s">
        <v>1266</v>
      </c>
      <c r="P792" t="s">
        <v>1266</v>
      </c>
      <c r="Q792" t="s">
        <v>1266</v>
      </c>
      <c r="R792" t="s">
        <v>1266</v>
      </c>
    </row>
    <row r="793" spans="1:18" x14ac:dyDescent="0.3">
      <c r="A793" t="s">
        <v>52</v>
      </c>
      <c r="B793">
        <v>3</v>
      </c>
      <c r="C793" t="s">
        <v>1</v>
      </c>
      <c r="D793" t="s">
        <v>52</v>
      </c>
      <c r="E793">
        <v>30</v>
      </c>
      <c r="F793" t="s">
        <v>52</v>
      </c>
      <c r="I793">
        <v>21</v>
      </c>
      <c r="J793" t="s">
        <v>1309</v>
      </c>
      <c r="K793">
        <v>533</v>
      </c>
      <c r="L793" t="s">
        <v>1</v>
      </c>
      <c r="M793" t="s">
        <v>0</v>
      </c>
      <c r="N793" t="s">
        <v>1266</v>
      </c>
      <c r="O793" t="s">
        <v>1266</v>
      </c>
      <c r="P793" t="s">
        <v>1266</v>
      </c>
      <c r="Q793" t="s">
        <v>1266</v>
      </c>
      <c r="R793" t="s">
        <v>1266</v>
      </c>
    </row>
    <row r="794" spans="1:18" x14ac:dyDescent="0.3">
      <c r="A794" t="s">
        <v>434</v>
      </c>
      <c r="B794">
        <v>4</v>
      </c>
      <c r="C794" t="s">
        <v>0</v>
      </c>
      <c r="D794" t="s">
        <v>434</v>
      </c>
      <c r="E794">
        <v>30</v>
      </c>
      <c r="F794" t="s">
        <v>434</v>
      </c>
      <c r="I794">
        <v>9</v>
      </c>
      <c r="J794" t="s">
        <v>1309</v>
      </c>
      <c r="K794">
        <v>534</v>
      </c>
      <c r="L794" t="s">
        <v>1</v>
      </c>
      <c r="M794" t="s">
        <v>0</v>
      </c>
      <c r="N794" t="s">
        <v>1266</v>
      </c>
      <c r="O794" t="s">
        <v>1266</v>
      </c>
      <c r="P794" t="s">
        <v>1266</v>
      </c>
      <c r="Q794" t="s">
        <v>1266</v>
      </c>
      <c r="R794" t="s">
        <v>1266</v>
      </c>
    </row>
    <row r="795" spans="1:18" x14ac:dyDescent="0.3">
      <c r="A795" t="s">
        <v>486</v>
      </c>
      <c r="B795">
        <v>5</v>
      </c>
      <c r="C795" t="s">
        <v>0</v>
      </c>
      <c r="D795" t="s">
        <v>486</v>
      </c>
      <c r="E795">
        <v>30</v>
      </c>
      <c r="F795" t="s">
        <v>486</v>
      </c>
      <c r="I795">
        <v>5</v>
      </c>
      <c r="J795" t="s">
        <v>1309</v>
      </c>
      <c r="K795">
        <v>535</v>
      </c>
      <c r="L795" t="s">
        <v>1</v>
      </c>
      <c r="M795" t="s">
        <v>0</v>
      </c>
      <c r="N795" t="s">
        <v>1266</v>
      </c>
      <c r="O795" t="s">
        <v>1266</v>
      </c>
      <c r="P795" t="s">
        <v>1266</v>
      </c>
      <c r="Q795" t="s">
        <v>1266</v>
      </c>
      <c r="R795" t="s">
        <v>1266</v>
      </c>
    </row>
    <row r="796" spans="1:18" x14ac:dyDescent="0.3">
      <c r="A796" t="s">
        <v>1405</v>
      </c>
      <c r="B796">
        <v>6</v>
      </c>
      <c r="C796" t="s">
        <v>1</v>
      </c>
      <c r="D796" t="s">
        <v>1405</v>
      </c>
      <c r="E796">
        <v>30</v>
      </c>
      <c r="F796" t="s">
        <v>1405</v>
      </c>
      <c r="I796">
        <v>5</v>
      </c>
      <c r="J796" t="s">
        <v>1309</v>
      </c>
      <c r="K796">
        <v>536</v>
      </c>
      <c r="L796" t="s">
        <v>1</v>
      </c>
      <c r="M796" t="s">
        <v>0</v>
      </c>
      <c r="N796" t="s">
        <v>1266</v>
      </c>
      <c r="O796" t="s">
        <v>1266</v>
      </c>
      <c r="P796" t="s">
        <v>1266</v>
      </c>
      <c r="Q796" t="s">
        <v>1266</v>
      </c>
      <c r="R796" t="s">
        <v>1266</v>
      </c>
    </row>
    <row r="797" spans="1:18" x14ac:dyDescent="0.3">
      <c r="A797" t="s">
        <v>1384</v>
      </c>
      <c r="B797">
        <v>7</v>
      </c>
      <c r="C797" t="s">
        <v>0</v>
      </c>
      <c r="D797" t="s">
        <v>1384</v>
      </c>
      <c r="E797">
        <v>30</v>
      </c>
      <c r="F797" t="s">
        <v>1384</v>
      </c>
      <c r="I797">
        <v>5</v>
      </c>
      <c r="J797" t="s">
        <v>1309</v>
      </c>
      <c r="K797">
        <v>537</v>
      </c>
      <c r="L797" t="s">
        <v>0</v>
      </c>
      <c r="M797" t="s">
        <v>0</v>
      </c>
      <c r="N797" t="s">
        <v>1266</v>
      </c>
      <c r="O797" t="s">
        <v>1266</v>
      </c>
      <c r="P797" t="s">
        <v>1266</v>
      </c>
      <c r="Q797" t="s">
        <v>1266</v>
      </c>
      <c r="R797" t="s">
        <v>1266</v>
      </c>
    </row>
    <row r="798" spans="1:18" x14ac:dyDescent="0.3">
      <c r="A798" t="s">
        <v>51</v>
      </c>
      <c r="B798">
        <v>8</v>
      </c>
      <c r="C798" t="s">
        <v>1</v>
      </c>
      <c r="D798" t="s">
        <v>51</v>
      </c>
      <c r="E798">
        <v>30</v>
      </c>
      <c r="F798" t="s">
        <v>51</v>
      </c>
      <c r="I798">
        <v>21</v>
      </c>
      <c r="J798" t="s">
        <v>1309</v>
      </c>
      <c r="K798">
        <v>538</v>
      </c>
      <c r="L798" t="s">
        <v>1</v>
      </c>
      <c r="M798" t="s">
        <v>0</v>
      </c>
      <c r="N798" t="s">
        <v>1266</v>
      </c>
      <c r="O798" t="s">
        <v>1266</v>
      </c>
      <c r="P798" t="s">
        <v>1266</v>
      </c>
      <c r="Q798" t="s">
        <v>1266</v>
      </c>
      <c r="R798" t="s">
        <v>1266</v>
      </c>
    </row>
    <row r="799" spans="1:18" x14ac:dyDescent="0.3">
      <c r="A799" t="s">
        <v>52</v>
      </c>
      <c r="B799">
        <v>1</v>
      </c>
      <c r="C799" t="s">
        <v>1</v>
      </c>
      <c r="D799" t="s">
        <v>52</v>
      </c>
      <c r="E799">
        <v>30</v>
      </c>
      <c r="F799" t="s">
        <v>52</v>
      </c>
      <c r="I799">
        <v>21</v>
      </c>
      <c r="J799" t="s">
        <v>1315</v>
      </c>
      <c r="K799">
        <v>539</v>
      </c>
      <c r="L799" t="s">
        <v>1</v>
      </c>
      <c r="M799" t="s">
        <v>0</v>
      </c>
      <c r="N799" t="s">
        <v>1266</v>
      </c>
      <c r="O799" t="s">
        <v>1266</v>
      </c>
      <c r="P799" t="s">
        <v>1266</v>
      </c>
      <c r="Q799" t="s">
        <v>1266</v>
      </c>
      <c r="R799" t="s">
        <v>1266</v>
      </c>
    </row>
    <row r="800" spans="1:18" x14ac:dyDescent="0.3">
      <c r="A800" t="s">
        <v>1386</v>
      </c>
      <c r="B800">
        <v>2</v>
      </c>
      <c r="C800" t="s">
        <v>0</v>
      </c>
      <c r="D800" t="s">
        <v>1386</v>
      </c>
      <c r="E800">
        <v>30</v>
      </c>
      <c r="F800" t="s">
        <v>1386</v>
      </c>
      <c r="I800">
        <v>5</v>
      </c>
      <c r="J800" t="s">
        <v>1315</v>
      </c>
      <c r="K800">
        <v>540</v>
      </c>
      <c r="L800" t="s">
        <v>1</v>
      </c>
      <c r="M800" t="s">
        <v>0</v>
      </c>
      <c r="N800" t="s">
        <v>1266</v>
      </c>
      <c r="O800" t="s">
        <v>1266</v>
      </c>
      <c r="P800" t="s">
        <v>1266</v>
      </c>
      <c r="Q800" t="s">
        <v>1266</v>
      </c>
      <c r="R800" t="s">
        <v>1266</v>
      </c>
    </row>
    <row r="801" spans="1:18" x14ac:dyDescent="0.3">
      <c r="A801" t="s">
        <v>434</v>
      </c>
      <c r="B801">
        <v>3</v>
      </c>
      <c r="C801" t="s">
        <v>0</v>
      </c>
      <c r="D801" t="s">
        <v>434</v>
      </c>
      <c r="E801">
        <v>30</v>
      </c>
      <c r="F801" t="s">
        <v>434</v>
      </c>
      <c r="I801">
        <v>9</v>
      </c>
      <c r="J801" t="s">
        <v>1315</v>
      </c>
      <c r="K801">
        <v>541</v>
      </c>
      <c r="L801" t="s">
        <v>1</v>
      </c>
      <c r="M801" t="s">
        <v>0</v>
      </c>
      <c r="N801" t="s">
        <v>1266</v>
      </c>
      <c r="O801" t="s">
        <v>1266</v>
      </c>
      <c r="P801" t="s">
        <v>1266</v>
      </c>
      <c r="Q801" t="s">
        <v>1266</v>
      </c>
      <c r="R801" t="s">
        <v>1266</v>
      </c>
    </row>
    <row r="802" spans="1:18" x14ac:dyDescent="0.3">
      <c r="A802" t="s">
        <v>1405</v>
      </c>
      <c r="B802">
        <v>4</v>
      </c>
      <c r="C802" t="s">
        <v>1</v>
      </c>
      <c r="D802" t="s">
        <v>1405</v>
      </c>
      <c r="E802">
        <v>30</v>
      </c>
      <c r="F802" t="s">
        <v>1405</v>
      </c>
      <c r="I802">
        <v>5</v>
      </c>
      <c r="J802" t="s">
        <v>1315</v>
      </c>
      <c r="K802">
        <v>542</v>
      </c>
      <c r="L802" t="s">
        <v>1</v>
      </c>
      <c r="M802" t="s">
        <v>0</v>
      </c>
      <c r="N802" t="s">
        <v>1266</v>
      </c>
      <c r="O802" t="s">
        <v>1266</v>
      </c>
      <c r="P802" t="s">
        <v>1266</v>
      </c>
      <c r="Q802" t="s">
        <v>1266</v>
      </c>
      <c r="R802" t="s">
        <v>1266</v>
      </c>
    </row>
    <row r="803" spans="1:18" x14ac:dyDescent="0.3">
      <c r="A803" t="s">
        <v>1450</v>
      </c>
      <c r="B803">
        <v>5</v>
      </c>
      <c r="C803" t="s">
        <v>0</v>
      </c>
      <c r="D803" t="s">
        <v>1450</v>
      </c>
      <c r="E803">
        <v>30</v>
      </c>
      <c r="F803" t="s">
        <v>1450</v>
      </c>
      <c r="I803">
        <v>5</v>
      </c>
      <c r="J803" t="s">
        <v>1315</v>
      </c>
      <c r="K803">
        <v>543</v>
      </c>
      <c r="L803" t="s">
        <v>0</v>
      </c>
      <c r="M803" t="s">
        <v>0</v>
      </c>
      <c r="N803" t="s">
        <v>1266</v>
      </c>
      <c r="O803" t="s">
        <v>1266</v>
      </c>
      <c r="P803" t="s">
        <v>1266</v>
      </c>
      <c r="Q803" t="s">
        <v>1266</v>
      </c>
      <c r="R803" t="s">
        <v>1266</v>
      </c>
    </row>
    <row r="804" spans="1:18" x14ac:dyDescent="0.3">
      <c r="A804" t="s">
        <v>51</v>
      </c>
      <c r="B804">
        <v>6</v>
      </c>
      <c r="C804" t="s">
        <v>1</v>
      </c>
      <c r="D804" t="s">
        <v>51</v>
      </c>
      <c r="E804">
        <v>30</v>
      </c>
      <c r="F804" t="s">
        <v>51</v>
      </c>
      <c r="I804">
        <v>21</v>
      </c>
      <c r="J804" t="s">
        <v>1315</v>
      </c>
      <c r="K804">
        <v>544</v>
      </c>
      <c r="L804" t="s">
        <v>1</v>
      </c>
      <c r="M804" t="s">
        <v>0</v>
      </c>
      <c r="N804" t="s">
        <v>1266</v>
      </c>
      <c r="O804" t="s">
        <v>1266</v>
      </c>
      <c r="P804" t="s">
        <v>1266</v>
      </c>
      <c r="Q804" t="s">
        <v>1266</v>
      </c>
      <c r="R804" t="s">
        <v>1266</v>
      </c>
    </row>
    <row r="805" spans="1:18" x14ac:dyDescent="0.3">
      <c r="A805" t="s">
        <v>52</v>
      </c>
      <c r="B805">
        <v>1</v>
      </c>
      <c r="C805" t="s">
        <v>1</v>
      </c>
      <c r="D805" t="s">
        <v>52</v>
      </c>
      <c r="E805">
        <v>30</v>
      </c>
      <c r="F805" t="s">
        <v>52</v>
      </c>
      <c r="I805">
        <v>21</v>
      </c>
      <c r="J805" t="s">
        <v>1314</v>
      </c>
      <c r="K805">
        <v>545</v>
      </c>
      <c r="L805" t="s">
        <v>1</v>
      </c>
      <c r="M805" t="s">
        <v>0</v>
      </c>
      <c r="N805" t="s">
        <v>1266</v>
      </c>
      <c r="O805" t="s">
        <v>1266</v>
      </c>
      <c r="P805" t="s">
        <v>1266</v>
      </c>
      <c r="Q805" t="s">
        <v>1266</v>
      </c>
      <c r="R805" t="s">
        <v>1266</v>
      </c>
    </row>
    <row r="806" spans="1:18" x14ac:dyDescent="0.3">
      <c r="A806" t="s">
        <v>434</v>
      </c>
      <c r="B806">
        <v>2</v>
      </c>
      <c r="C806" t="s">
        <v>0</v>
      </c>
      <c r="D806" t="s">
        <v>434</v>
      </c>
      <c r="E806">
        <v>30</v>
      </c>
      <c r="F806" t="s">
        <v>434</v>
      </c>
      <c r="I806">
        <v>9</v>
      </c>
      <c r="J806" t="s">
        <v>1314</v>
      </c>
      <c r="K806">
        <v>546</v>
      </c>
      <c r="L806" t="s">
        <v>1</v>
      </c>
      <c r="M806" t="s">
        <v>0</v>
      </c>
      <c r="N806" t="s">
        <v>1266</v>
      </c>
      <c r="O806" t="s">
        <v>1266</v>
      </c>
      <c r="P806" t="s">
        <v>1266</v>
      </c>
      <c r="Q806" t="s">
        <v>1266</v>
      </c>
      <c r="R806" t="s">
        <v>1266</v>
      </c>
    </row>
    <row r="807" spans="1:18" x14ac:dyDescent="0.3">
      <c r="A807" t="s">
        <v>1405</v>
      </c>
      <c r="B807">
        <v>3</v>
      </c>
      <c r="C807" t="s">
        <v>1</v>
      </c>
      <c r="D807" t="s">
        <v>1405</v>
      </c>
      <c r="E807">
        <v>30</v>
      </c>
      <c r="F807" t="s">
        <v>1405</v>
      </c>
      <c r="I807">
        <v>5</v>
      </c>
      <c r="J807" t="s">
        <v>1314</v>
      </c>
      <c r="K807">
        <v>547</v>
      </c>
      <c r="L807" t="s">
        <v>1</v>
      </c>
      <c r="M807" t="s">
        <v>0</v>
      </c>
      <c r="N807" t="s">
        <v>1266</v>
      </c>
      <c r="O807" t="s">
        <v>1266</v>
      </c>
      <c r="P807" t="s">
        <v>1266</v>
      </c>
      <c r="Q807" t="s">
        <v>1266</v>
      </c>
      <c r="R807" t="s">
        <v>1266</v>
      </c>
    </row>
    <row r="808" spans="1:18" x14ac:dyDescent="0.3">
      <c r="A808" t="s">
        <v>1450</v>
      </c>
      <c r="B808">
        <v>4</v>
      </c>
      <c r="C808" t="s">
        <v>0</v>
      </c>
      <c r="D808" t="s">
        <v>1450</v>
      </c>
      <c r="E808">
        <v>30</v>
      </c>
      <c r="F808" t="s">
        <v>1450</v>
      </c>
      <c r="I808">
        <v>5</v>
      </c>
      <c r="J808" t="s">
        <v>1314</v>
      </c>
      <c r="K808">
        <v>548</v>
      </c>
      <c r="L808" t="s">
        <v>0</v>
      </c>
      <c r="M808" t="s">
        <v>0</v>
      </c>
      <c r="N808" t="s">
        <v>1266</v>
      </c>
      <c r="O808" t="s">
        <v>1266</v>
      </c>
      <c r="P808" t="s">
        <v>1266</v>
      </c>
      <c r="Q808" t="s">
        <v>1266</v>
      </c>
      <c r="R808" t="s">
        <v>1266</v>
      </c>
    </row>
    <row r="809" spans="1:18" x14ac:dyDescent="0.3">
      <c r="A809" t="s">
        <v>51</v>
      </c>
      <c r="B809">
        <v>5</v>
      </c>
      <c r="C809" t="s">
        <v>1</v>
      </c>
      <c r="D809" t="s">
        <v>51</v>
      </c>
      <c r="E809">
        <v>30</v>
      </c>
      <c r="F809" t="s">
        <v>51</v>
      </c>
      <c r="I809">
        <v>21</v>
      </c>
      <c r="J809" t="s">
        <v>1314</v>
      </c>
      <c r="K809">
        <v>549</v>
      </c>
      <c r="L809" t="s">
        <v>1</v>
      </c>
      <c r="M809" t="s">
        <v>0</v>
      </c>
      <c r="N809" t="s">
        <v>1266</v>
      </c>
      <c r="O809" t="s">
        <v>1266</v>
      </c>
      <c r="P809" t="s">
        <v>1266</v>
      </c>
      <c r="Q809" t="s">
        <v>1266</v>
      </c>
      <c r="R809" t="s">
        <v>1266</v>
      </c>
    </row>
    <row r="810" spans="1:18" x14ac:dyDescent="0.3">
      <c r="A810" t="s">
        <v>52</v>
      </c>
      <c r="B810">
        <v>1</v>
      </c>
      <c r="C810" t="s">
        <v>1</v>
      </c>
      <c r="D810" t="s">
        <v>52</v>
      </c>
      <c r="E810">
        <v>30</v>
      </c>
      <c r="F810" t="s">
        <v>52</v>
      </c>
      <c r="I810">
        <v>21</v>
      </c>
      <c r="J810" t="s">
        <v>1377</v>
      </c>
      <c r="K810">
        <v>906</v>
      </c>
      <c r="L810" t="s">
        <v>1</v>
      </c>
      <c r="M810" t="s">
        <v>0</v>
      </c>
      <c r="N810" t="s">
        <v>1266</v>
      </c>
      <c r="O810" t="s">
        <v>1266</v>
      </c>
      <c r="P810" t="s">
        <v>1266</v>
      </c>
      <c r="Q810" t="s">
        <v>1266</v>
      </c>
      <c r="R810" t="s">
        <v>1266</v>
      </c>
    </row>
    <row r="811" spans="1:18" x14ac:dyDescent="0.3">
      <c r="A811" t="s">
        <v>568</v>
      </c>
      <c r="B811">
        <v>2</v>
      </c>
      <c r="C811" t="s">
        <v>0</v>
      </c>
      <c r="D811" t="s">
        <v>568</v>
      </c>
      <c r="E811">
        <v>30</v>
      </c>
      <c r="F811" t="s">
        <v>568</v>
      </c>
      <c r="I811">
        <v>14</v>
      </c>
      <c r="J811" t="s">
        <v>1377</v>
      </c>
      <c r="K811">
        <v>907</v>
      </c>
      <c r="L811" t="s">
        <v>1</v>
      </c>
      <c r="M811" t="s">
        <v>0</v>
      </c>
      <c r="N811" t="s">
        <v>1266</v>
      </c>
      <c r="O811" t="s">
        <v>1266</v>
      </c>
      <c r="P811" t="s">
        <v>1266</v>
      </c>
      <c r="Q811" t="s">
        <v>1266</v>
      </c>
      <c r="R811" t="s">
        <v>1266</v>
      </c>
    </row>
    <row r="812" spans="1:18" x14ac:dyDescent="0.3">
      <c r="A812" t="s">
        <v>434</v>
      </c>
      <c r="B812">
        <v>3</v>
      </c>
      <c r="C812" t="s">
        <v>0</v>
      </c>
      <c r="D812" t="s">
        <v>434</v>
      </c>
      <c r="E812">
        <v>30</v>
      </c>
      <c r="F812" t="s">
        <v>434</v>
      </c>
      <c r="I812">
        <v>9</v>
      </c>
      <c r="J812" t="s">
        <v>1377</v>
      </c>
      <c r="K812">
        <v>908</v>
      </c>
      <c r="L812" t="s">
        <v>1</v>
      </c>
      <c r="M812" t="s">
        <v>0</v>
      </c>
      <c r="N812" t="s">
        <v>1266</v>
      </c>
      <c r="O812" t="s">
        <v>1266</v>
      </c>
      <c r="P812" t="s">
        <v>1266</v>
      </c>
      <c r="Q812" t="s">
        <v>1266</v>
      </c>
      <c r="R812" t="s">
        <v>1266</v>
      </c>
    </row>
    <row r="813" spans="1:18" x14ac:dyDescent="0.3">
      <c r="A813" t="s">
        <v>1405</v>
      </c>
      <c r="B813">
        <v>4</v>
      </c>
      <c r="C813" t="s">
        <v>1</v>
      </c>
      <c r="D813" t="s">
        <v>1405</v>
      </c>
      <c r="E813">
        <v>30</v>
      </c>
      <c r="F813" t="s">
        <v>1405</v>
      </c>
      <c r="I813">
        <v>5</v>
      </c>
      <c r="J813" t="s">
        <v>1377</v>
      </c>
      <c r="K813">
        <v>909</v>
      </c>
      <c r="L813" t="s">
        <v>1</v>
      </c>
      <c r="M813" t="s">
        <v>0</v>
      </c>
      <c r="N813" t="s">
        <v>1266</v>
      </c>
      <c r="O813" t="s">
        <v>1266</v>
      </c>
      <c r="P813" t="s">
        <v>1266</v>
      </c>
      <c r="Q813" t="s">
        <v>1266</v>
      </c>
      <c r="R813" t="s">
        <v>1266</v>
      </c>
    </row>
    <row r="814" spans="1:18" x14ac:dyDescent="0.3">
      <c r="A814" t="s">
        <v>823</v>
      </c>
      <c r="B814">
        <v>5</v>
      </c>
      <c r="C814" t="s">
        <v>0</v>
      </c>
      <c r="D814" t="s">
        <v>823</v>
      </c>
      <c r="E814">
        <v>30</v>
      </c>
      <c r="F814" t="s">
        <v>823</v>
      </c>
      <c r="I814">
        <v>6</v>
      </c>
      <c r="J814" t="s">
        <v>1377</v>
      </c>
      <c r="K814">
        <v>910</v>
      </c>
      <c r="L814" t="s">
        <v>0</v>
      </c>
      <c r="M814" t="s">
        <v>0</v>
      </c>
      <c r="N814" t="s">
        <v>1266</v>
      </c>
      <c r="O814" t="s">
        <v>1266</v>
      </c>
      <c r="P814" t="s">
        <v>1266</v>
      </c>
      <c r="Q814" t="s">
        <v>1266</v>
      </c>
      <c r="R814" t="s">
        <v>1266</v>
      </c>
    </row>
    <row r="815" spans="1:18" x14ac:dyDescent="0.3">
      <c r="A815" t="s">
        <v>1430</v>
      </c>
      <c r="B815">
        <v>6</v>
      </c>
      <c r="C815" t="s">
        <v>0</v>
      </c>
      <c r="D815" t="s">
        <v>1430</v>
      </c>
      <c r="E815">
        <v>30</v>
      </c>
      <c r="F815" t="s">
        <v>1430</v>
      </c>
      <c r="I815">
        <v>6</v>
      </c>
      <c r="J815" t="s">
        <v>1377</v>
      </c>
      <c r="K815">
        <v>911</v>
      </c>
      <c r="L815" t="s">
        <v>0</v>
      </c>
      <c r="M815" t="s">
        <v>0</v>
      </c>
      <c r="N815" t="s">
        <v>1266</v>
      </c>
      <c r="O815" t="s">
        <v>1266</v>
      </c>
      <c r="P815" t="s">
        <v>1266</v>
      </c>
      <c r="Q815" t="s">
        <v>1266</v>
      </c>
      <c r="R815" t="s">
        <v>1266</v>
      </c>
    </row>
    <row r="816" spans="1:18" x14ac:dyDescent="0.3">
      <c r="A816" t="s">
        <v>51</v>
      </c>
      <c r="B816">
        <v>7</v>
      </c>
      <c r="C816" t="s">
        <v>1</v>
      </c>
      <c r="D816" t="s">
        <v>51</v>
      </c>
      <c r="E816">
        <v>30</v>
      </c>
      <c r="F816" t="s">
        <v>51</v>
      </c>
      <c r="I816">
        <v>21</v>
      </c>
      <c r="J816" t="s">
        <v>1377</v>
      </c>
      <c r="K816">
        <v>912</v>
      </c>
      <c r="L816" t="s">
        <v>1</v>
      </c>
      <c r="M816" t="s">
        <v>0</v>
      </c>
      <c r="N816" t="s">
        <v>1266</v>
      </c>
      <c r="O816" t="s">
        <v>1266</v>
      </c>
      <c r="P816" t="s">
        <v>1266</v>
      </c>
      <c r="Q816" t="s">
        <v>1266</v>
      </c>
      <c r="R816" t="s">
        <v>1266</v>
      </c>
    </row>
    <row r="817" spans="1:18" x14ac:dyDescent="0.3">
      <c r="A817" t="s">
        <v>426</v>
      </c>
      <c r="B817">
        <v>1</v>
      </c>
      <c r="C817" t="s">
        <v>1</v>
      </c>
      <c r="D817" t="s">
        <v>426</v>
      </c>
      <c r="E817">
        <v>30</v>
      </c>
      <c r="F817" t="s">
        <v>52</v>
      </c>
      <c r="I817">
        <v>21</v>
      </c>
      <c r="J817" t="s">
        <v>1325</v>
      </c>
      <c r="K817">
        <v>913</v>
      </c>
      <c r="L817" t="s">
        <v>1</v>
      </c>
      <c r="M817" t="s">
        <v>0</v>
      </c>
      <c r="N817" t="s">
        <v>1266</v>
      </c>
      <c r="O817" t="s">
        <v>1266</v>
      </c>
      <c r="P817" t="s">
        <v>1266</v>
      </c>
      <c r="Q817" t="s">
        <v>1266</v>
      </c>
      <c r="R817" t="s">
        <v>1266</v>
      </c>
    </row>
    <row r="818" spans="1:18" x14ac:dyDescent="0.3">
      <c r="A818" t="s">
        <v>1645</v>
      </c>
      <c r="B818">
        <v>2</v>
      </c>
      <c r="C818" t="s">
        <v>0</v>
      </c>
      <c r="D818" t="s">
        <v>692</v>
      </c>
      <c r="E818">
        <v>30</v>
      </c>
      <c r="F818" t="s">
        <v>691</v>
      </c>
      <c r="I818">
        <v>14</v>
      </c>
      <c r="J818" t="s">
        <v>1325</v>
      </c>
      <c r="K818">
        <v>914</v>
      </c>
      <c r="L818" t="s">
        <v>1</v>
      </c>
      <c r="M818" t="s">
        <v>0</v>
      </c>
      <c r="N818" t="s">
        <v>1266</v>
      </c>
      <c r="O818" t="s">
        <v>1266</v>
      </c>
      <c r="P818" t="s">
        <v>1266</v>
      </c>
      <c r="Q818" t="s">
        <v>1266</v>
      </c>
      <c r="R818" t="s">
        <v>1266</v>
      </c>
    </row>
    <row r="819" spans="1:18" x14ac:dyDescent="0.3">
      <c r="A819" t="s">
        <v>435</v>
      </c>
      <c r="B819">
        <v>3</v>
      </c>
      <c r="C819" t="s">
        <v>0</v>
      </c>
      <c r="D819" t="s">
        <v>435</v>
      </c>
      <c r="E819">
        <v>30</v>
      </c>
      <c r="F819" t="s">
        <v>434</v>
      </c>
      <c r="I819">
        <v>9</v>
      </c>
      <c r="J819" t="s">
        <v>1325</v>
      </c>
      <c r="K819">
        <v>915</v>
      </c>
      <c r="L819" t="s">
        <v>1</v>
      </c>
      <c r="M819" t="s">
        <v>0</v>
      </c>
      <c r="N819" t="s">
        <v>1266</v>
      </c>
      <c r="O819" t="s">
        <v>1266</v>
      </c>
      <c r="P819" t="s">
        <v>1266</v>
      </c>
      <c r="Q819" t="s">
        <v>1266</v>
      </c>
      <c r="R819" t="s">
        <v>1266</v>
      </c>
    </row>
    <row r="820" spans="1:18" x14ac:dyDescent="0.3">
      <c r="A820" t="s">
        <v>1405</v>
      </c>
      <c r="B820">
        <v>4</v>
      </c>
      <c r="C820" t="s">
        <v>1</v>
      </c>
      <c r="D820" t="s">
        <v>1405</v>
      </c>
      <c r="E820">
        <v>30</v>
      </c>
      <c r="F820" t="s">
        <v>1405</v>
      </c>
      <c r="I820">
        <v>5</v>
      </c>
      <c r="J820" t="s">
        <v>1325</v>
      </c>
      <c r="K820">
        <v>916</v>
      </c>
      <c r="L820" t="s">
        <v>1</v>
      </c>
      <c r="M820" t="s">
        <v>0</v>
      </c>
      <c r="N820" t="s">
        <v>1266</v>
      </c>
      <c r="O820" t="s">
        <v>1266</v>
      </c>
      <c r="P820" t="s">
        <v>1266</v>
      </c>
      <c r="Q820" t="s">
        <v>1266</v>
      </c>
      <c r="R820" t="s">
        <v>1266</v>
      </c>
    </row>
    <row r="821" spans="1:18" x14ac:dyDescent="0.3">
      <c r="A821" t="s">
        <v>567</v>
      </c>
      <c r="B821">
        <v>5</v>
      </c>
      <c r="C821" t="s">
        <v>0</v>
      </c>
      <c r="D821" t="s">
        <v>567</v>
      </c>
      <c r="E821">
        <v>30</v>
      </c>
      <c r="F821" t="s">
        <v>823</v>
      </c>
      <c r="I821">
        <v>6</v>
      </c>
      <c r="J821" t="s">
        <v>1325</v>
      </c>
      <c r="K821">
        <v>917</v>
      </c>
      <c r="L821" t="s">
        <v>0</v>
      </c>
      <c r="M821" t="s">
        <v>0</v>
      </c>
      <c r="N821" t="s">
        <v>1266</v>
      </c>
      <c r="O821" t="s">
        <v>1266</v>
      </c>
      <c r="P821" t="s">
        <v>1266</v>
      </c>
      <c r="Q821" t="s">
        <v>1266</v>
      </c>
      <c r="R821" t="s">
        <v>1266</v>
      </c>
    </row>
    <row r="822" spans="1:18" x14ac:dyDescent="0.3">
      <c r="A822" t="s">
        <v>432</v>
      </c>
      <c r="B822">
        <v>6</v>
      </c>
      <c r="C822" t="s">
        <v>1</v>
      </c>
      <c r="D822" t="s">
        <v>432</v>
      </c>
      <c r="E822">
        <v>30</v>
      </c>
      <c r="F822" t="s">
        <v>51</v>
      </c>
      <c r="I822">
        <v>21</v>
      </c>
      <c r="J822" t="s">
        <v>1325</v>
      </c>
      <c r="K822">
        <v>918</v>
      </c>
      <c r="L822" t="s">
        <v>1</v>
      </c>
      <c r="M822" t="s">
        <v>0</v>
      </c>
      <c r="N822" t="s">
        <v>1266</v>
      </c>
      <c r="O822" t="s">
        <v>1266</v>
      </c>
      <c r="P822" t="s">
        <v>1266</v>
      </c>
      <c r="Q822" t="s">
        <v>1266</v>
      </c>
      <c r="R822" t="s">
        <v>1266</v>
      </c>
    </row>
    <row r="823" spans="1:18" x14ac:dyDescent="0.3">
      <c r="A823" t="s">
        <v>1664</v>
      </c>
      <c r="B823">
        <v>1</v>
      </c>
      <c r="C823" t="s">
        <v>0</v>
      </c>
      <c r="D823" t="s">
        <v>928</v>
      </c>
      <c r="E823">
        <v>30</v>
      </c>
      <c r="F823" t="s">
        <v>470</v>
      </c>
      <c r="I823">
        <v>5</v>
      </c>
      <c r="J823" t="s">
        <v>1318</v>
      </c>
      <c r="K823">
        <v>919</v>
      </c>
      <c r="L823" t="s">
        <v>1</v>
      </c>
      <c r="M823" t="s">
        <v>0</v>
      </c>
      <c r="N823" t="s">
        <v>1266</v>
      </c>
      <c r="O823" t="s">
        <v>1266</v>
      </c>
      <c r="P823" t="s">
        <v>1266</v>
      </c>
      <c r="Q823" t="s">
        <v>1266</v>
      </c>
      <c r="R823" t="s">
        <v>1266</v>
      </c>
    </row>
    <row r="824" spans="1:18" x14ac:dyDescent="0.3">
      <c r="A824" t="s">
        <v>1640</v>
      </c>
      <c r="B824">
        <v>2</v>
      </c>
      <c r="C824" t="s">
        <v>0</v>
      </c>
      <c r="D824" t="s">
        <v>929</v>
      </c>
      <c r="E824">
        <v>30</v>
      </c>
      <c r="F824" t="s">
        <v>515</v>
      </c>
      <c r="I824">
        <v>5</v>
      </c>
      <c r="J824" t="s">
        <v>1318</v>
      </c>
      <c r="K824">
        <v>920</v>
      </c>
      <c r="L824" t="s">
        <v>1</v>
      </c>
      <c r="M824" t="s">
        <v>0</v>
      </c>
      <c r="N824" t="s">
        <v>1266</v>
      </c>
      <c r="O824" t="s">
        <v>1266</v>
      </c>
      <c r="P824" t="s">
        <v>1266</v>
      </c>
      <c r="Q824" t="s">
        <v>1266</v>
      </c>
      <c r="R824" t="s">
        <v>1266</v>
      </c>
    </row>
    <row r="825" spans="1:18" x14ac:dyDescent="0.3">
      <c r="A825" t="s">
        <v>426</v>
      </c>
      <c r="B825">
        <v>3</v>
      </c>
      <c r="C825" t="s">
        <v>1</v>
      </c>
      <c r="D825" t="s">
        <v>426</v>
      </c>
      <c r="E825">
        <v>30</v>
      </c>
      <c r="F825" t="s">
        <v>52</v>
      </c>
      <c r="I825">
        <v>21</v>
      </c>
      <c r="J825" t="s">
        <v>1318</v>
      </c>
      <c r="K825">
        <v>921</v>
      </c>
      <c r="L825" t="s">
        <v>1</v>
      </c>
      <c r="M825" t="s">
        <v>0</v>
      </c>
      <c r="N825" t="s">
        <v>1266</v>
      </c>
      <c r="O825" t="s">
        <v>1266</v>
      </c>
      <c r="P825" t="s">
        <v>1266</v>
      </c>
      <c r="Q825" t="s">
        <v>1266</v>
      </c>
      <c r="R825" t="s">
        <v>1266</v>
      </c>
    </row>
    <row r="826" spans="1:18" x14ac:dyDescent="0.3">
      <c r="A826" t="s">
        <v>435</v>
      </c>
      <c r="B826">
        <v>4</v>
      </c>
      <c r="C826" t="s">
        <v>0</v>
      </c>
      <c r="D826" t="s">
        <v>435</v>
      </c>
      <c r="E826">
        <v>30</v>
      </c>
      <c r="F826" t="s">
        <v>434</v>
      </c>
      <c r="I826">
        <v>9</v>
      </c>
      <c r="J826" t="s">
        <v>1318</v>
      </c>
      <c r="K826">
        <v>922</v>
      </c>
      <c r="L826" t="s">
        <v>1</v>
      </c>
      <c r="M826" t="s">
        <v>0</v>
      </c>
      <c r="N826" t="s">
        <v>1266</v>
      </c>
      <c r="O826" t="s">
        <v>1266</v>
      </c>
      <c r="P826" t="s">
        <v>1266</v>
      </c>
      <c r="Q826" t="s">
        <v>1266</v>
      </c>
      <c r="R826" t="s">
        <v>1266</v>
      </c>
    </row>
    <row r="827" spans="1:18" x14ac:dyDescent="0.3">
      <c r="A827" t="s">
        <v>1405</v>
      </c>
      <c r="B827">
        <v>5</v>
      </c>
      <c r="C827" t="s">
        <v>1</v>
      </c>
      <c r="D827" t="s">
        <v>1405</v>
      </c>
      <c r="E827">
        <v>30</v>
      </c>
      <c r="F827" t="s">
        <v>1405</v>
      </c>
      <c r="I827">
        <v>5</v>
      </c>
      <c r="J827" t="s">
        <v>1318</v>
      </c>
      <c r="K827">
        <v>923</v>
      </c>
      <c r="L827" t="s">
        <v>1</v>
      </c>
      <c r="M827" t="s">
        <v>0</v>
      </c>
      <c r="N827" t="s">
        <v>1266</v>
      </c>
      <c r="O827" t="s">
        <v>1266</v>
      </c>
      <c r="P827" t="s">
        <v>1266</v>
      </c>
      <c r="Q827" t="s">
        <v>1266</v>
      </c>
      <c r="R827" t="s">
        <v>1266</v>
      </c>
    </row>
    <row r="828" spans="1:18" x14ac:dyDescent="0.3">
      <c r="A828" t="s">
        <v>1638</v>
      </c>
      <c r="B828">
        <v>6</v>
      </c>
      <c r="C828" t="s">
        <v>0</v>
      </c>
      <c r="D828" t="s">
        <v>927</v>
      </c>
      <c r="E828">
        <v>30</v>
      </c>
      <c r="F828" t="s">
        <v>1476</v>
      </c>
      <c r="I828">
        <v>6</v>
      </c>
      <c r="J828" t="s">
        <v>1318</v>
      </c>
      <c r="K828">
        <v>924</v>
      </c>
      <c r="L828" t="s">
        <v>0</v>
      </c>
      <c r="M828" t="s">
        <v>0</v>
      </c>
      <c r="N828" t="s">
        <v>1266</v>
      </c>
      <c r="O828" t="s">
        <v>1266</v>
      </c>
      <c r="P828" t="s">
        <v>1266</v>
      </c>
      <c r="Q828" t="s">
        <v>1266</v>
      </c>
      <c r="R828" t="s">
        <v>1266</v>
      </c>
    </row>
    <row r="829" spans="1:18" x14ac:dyDescent="0.3">
      <c r="A829" t="s">
        <v>432</v>
      </c>
      <c r="B829">
        <v>7</v>
      </c>
      <c r="C829" t="s">
        <v>1</v>
      </c>
      <c r="D829" t="s">
        <v>432</v>
      </c>
      <c r="E829">
        <v>30</v>
      </c>
      <c r="F829" t="s">
        <v>51</v>
      </c>
      <c r="I829">
        <v>21</v>
      </c>
      <c r="J829" t="s">
        <v>1318</v>
      </c>
      <c r="K829">
        <v>925</v>
      </c>
      <c r="L829" t="s">
        <v>1</v>
      </c>
      <c r="M829" t="s">
        <v>0</v>
      </c>
      <c r="N829" t="s">
        <v>1266</v>
      </c>
      <c r="O829" t="s">
        <v>1266</v>
      </c>
      <c r="P829" t="s">
        <v>1266</v>
      </c>
      <c r="Q829" t="s">
        <v>1266</v>
      </c>
      <c r="R829" t="s">
        <v>1266</v>
      </c>
    </row>
    <row r="830" spans="1:18" x14ac:dyDescent="0.3">
      <c r="A830" t="s">
        <v>426</v>
      </c>
      <c r="B830">
        <v>1</v>
      </c>
      <c r="C830" t="s">
        <v>1</v>
      </c>
      <c r="D830" t="s">
        <v>426</v>
      </c>
      <c r="E830">
        <v>30</v>
      </c>
      <c r="F830" t="s">
        <v>52</v>
      </c>
      <c r="I830">
        <v>21</v>
      </c>
      <c r="J830" t="s">
        <v>1374</v>
      </c>
      <c r="K830">
        <v>926</v>
      </c>
      <c r="L830" t="s">
        <v>1</v>
      </c>
      <c r="M830" t="s">
        <v>0</v>
      </c>
      <c r="N830" t="s">
        <v>1266</v>
      </c>
      <c r="O830" t="s">
        <v>1266</v>
      </c>
      <c r="P830" t="s">
        <v>1266</v>
      </c>
      <c r="Q830" t="s">
        <v>1266</v>
      </c>
      <c r="R830" t="s">
        <v>1266</v>
      </c>
    </row>
    <row r="831" spans="1:18" x14ac:dyDescent="0.3">
      <c r="A831" t="s">
        <v>435</v>
      </c>
      <c r="B831">
        <v>2</v>
      </c>
      <c r="C831" t="s">
        <v>0</v>
      </c>
      <c r="D831" t="s">
        <v>435</v>
      </c>
      <c r="E831">
        <v>30</v>
      </c>
      <c r="F831" t="s">
        <v>434</v>
      </c>
      <c r="I831">
        <v>9</v>
      </c>
      <c r="J831" t="s">
        <v>1374</v>
      </c>
      <c r="K831">
        <v>927</v>
      </c>
      <c r="L831" t="s">
        <v>1</v>
      </c>
      <c r="M831" t="s">
        <v>0</v>
      </c>
      <c r="N831" t="s">
        <v>1266</v>
      </c>
      <c r="O831" t="s">
        <v>1266</v>
      </c>
      <c r="P831" t="s">
        <v>1266</v>
      </c>
      <c r="Q831" t="s">
        <v>1266</v>
      </c>
      <c r="R831" t="s">
        <v>1266</v>
      </c>
    </row>
    <row r="832" spans="1:18" x14ac:dyDescent="0.3">
      <c r="A832" t="s">
        <v>1634</v>
      </c>
      <c r="B832">
        <v>3</v>
      </c>
      <c r="C832" t="s">
        <v>0</v>
      </c>
      <c r="D832" t="s">
        <v>954</v>
      </c>
      <c r="E832">
        <v>30</v>
      </c>
      <c r="F832" t="s">
        <v>511</v>
      </c>
      <c r="I832">
        <v>5</v>
      </c>
      <c r="J832" t="s">
        <v>1374</v>
      </c>
      <c r="K832">
        <v>928</v>
      </c>
      <c r="L832" t="s">
        <v>1</v>
      </c>
      <c r="M832" t="s">
        <v>0</v>
      </c>
      <c r="N832" t="s">
        <v>1266</v>
      </c>
      <c r="O832" t="s">
        <v>1266</v>
      </c>
      <c r="P832" t="s">
        <v>1266</v>
      </c>
      <c r="Q832" t="s">
        <v>1266</v>
      </c>
      <c r="R832" t="s">
        <v>1266</v>
      </c>
    </row>
    <row r="833" spans="1:18" x14ac:dyDescent="0.3">
      <c r="A833" t="s">
        <v>1649</v>
      </c>
      <c r="B833">
        <v>4</v>
      </c>
      <c r="C833" t="s">
        <v>0</v>
      </c>
      <c r="D833" t="s">
        <v>955</v>
      </c>
      <c r="E833">
        <v>30</v>
      </c>
      <c r="F833" t="s">
        <v>444</v>
      </c>
      <c r="I833">
        <v>5</v>
      </c>
      <c r="J833" t="s">
        <v>1374</v>
      </c>
      <c r="K833">
        <v>929</v>
      </c>
      <c r="L833" t="s">
        <v>1</v>
      </c>
      <c r="M833" t="s">
        <v>0</v>
      </c>
      <c r="N833" t="s">
        <v>1266</v>
      </c>
      <c r="O833" t="s">
        <v>1266</v>
      </c>
      <c r="P833" t="s">
        <v>1266</v>
      </c>
      <c r="Q833" t="s">
        <v>1266</v>
      </c>
      <c r="R833" t="s">
        <v>1266</v>
      </c>
    </row>
    <row r="834" spans="1:18" x14ac:dyDescent="0.3">
      <c r="A834" t="s">
        <v>1405</v>
      </c>
      <c r="B834">
        <v>5</v>
      </c>
      <c r="C834" t="s">
        <v>1</v>
      </c>
      <c r="D834" t="s">
        <v>1405</v>
      </c>
      <c r="E834">
        <v>30</v>
      </c>
      <c r="F834" t="s">
        <v>1405</v>
      </c>
      <c r="I834">
        <v>5</v>
      </c>
      <c r="J834" t="s">
        <v>1374</v>
      </c>
      <c r="K834">
        <v>930</v>
      </c>
      <c r="L834" t="s">
        <v>1</v>
      </c>
      <c r="M834" t="s">
        <v>0</v>
      </c>
      <c r="N834" t="s">
        <v>1266</v>
      </c>
      <c r="O834" t="s">
        <v>1266</v>
      </c>
      <c r="P834" t="s">
        <v>1266</v>
      </c>
      <c r="Q834" t="s">
        <v>1266</v>
      </c>
      <c r="R834" t="s">
        <v>1266</v>
      </c>
    </row>
    <row r="835" spans="1:18" x14ac:dyDescent="0.3">
      <c r="A835" t="s">
        <v>1638</v>
      </c>
      <c r="B835">
        <v>6</v>
      </c>
      <c r="C835" t="s">
        <v>0</v>
      </c>
      <c r="D835" t="s">
        <v>927</v>
      </c>
      <c r="E835">
        <v>30</v>
      </c>
      <c r="F835" t="s">
        <v>1476</v>
      </c>
      <c r="I835">
        <v>6</v>
      </c>
      <c r="J835" t="s">
        <v>1374</v>
      </c>
      <c r="K835">
        <v>931</v>
      </c>
      <c r="L835" t="s">
        <v>0</v>
      </c>
      <c r="M835" t="s">
        <v>0</v>
      </c>
      <c r="N835" t="s">
        <v>1266</v>
      </c>
      <c r="O835" t="s">
        <v>1266</v>
      </c>
      <c r="P835" t="s">
        <v>1266</v>
      </c>
      <c r="Q835" t="s">
        <v>1266</v>
      </c>
      <c r="R835" t="s">
        <v>1266</v>
      </c>
    </row>
    <row r="836" spans="1:18" x14ac:dyDescent="0.3">
      <c r="A836" t="s">
        <v>432</v>
      </c>
      <c r="B836">
        <v>7</v>
      </c>
      <c r="C836" t="s">
        <v>1</v>
      </c>
      <c r="D836" t="s">
        <v>432</v>
      </c>
      <c r="E836">
        <v>30</v>
      </c>
      <c r="F836" t="s">
        <v>51</v>
      </c>
      <c r="I836">
        <v>21</v>
      </c>
      <c r="J836" t="s">
        <v>1374</v>
      </c>
      <c r="K836">
        <v>932</v>
      </c>
      <c r="L836" t="s">
        <v>1</v>
      </c>
      <c r="M836" t="s">
        <v>0</v>
      </c>
      <c r="N836" t="s">
        <v>1266</v>
      </c>
      <c r="O836" t="s">
        <v>1266</v>
      </c>
      <c r="P836" t="s">
        <v>1266</v>
      </c>
      <c r="Q836" t="s">
        <v>1266</v>
      </c>
      <c r="R836" t="s">
        <v>1266</v>
      </c>
    </row>
    <row r="837" spans="1:18" x14ac:dyDescent="0.3">
      <c r="A837" t="s">
        <v>52</v>
      </c>
      <c r="B837">
        <v>1</v>
      </c>
      <c r="C837" t="s">
        <v>1</v>
      </c>
      <c r="D837" t="s">
        <v>52</v>
      </c>
      <c r="E837">
        <v>30</v>
      </c>
      <c r="F837" t="s">
        <v>52</v>
      </c>
      <c r="I837">
        <v>21</v>
      </c>
      <c r="J837" t="s">
        <v>1337</v>
      </c>
      <c r="K837">
        <v>933</v>
      </c>
      <c r="L837" t="s">
        <v>1</v>
      </c>
      <c r="M837" t="s">
        <v>0</v>
      </c>
      <c r="N837" t="s">
        <v>1266</v>
      </c>
      <c r="O837" t="s">
        <v>1266</v>
      </c>
      <c r="P837" t="s">
        <v>1266</v>
      </c>
      <c r="Q837" t="s">
        <v>1266</v>
      </c>
      <c r="R837" t="s">
        <v>1266</v>
      </c>
    </row>
    <row r="838" spans="1:18" x14ac:dyDescent="0.3">
      <c r="A838" t="s">
        <v>923</v>
      </c>
      <c r="B838">
        <v>2</v>
      </c>
      <c r="C838" t="s">
        <v>1</v>
      </c>
      <c r="D838" t="s">
        <v>923</v>
      </c>
      <c r="E838">
        <v>30</v>
      </c>
      <c r="F838" t="s">
        <v>923</v>
      </c>
      <c r="I838">
        <v>1</v>
      </c>
      <c r="J838" t="s">
        <v>1337</v>
      </c>
      <c r="K838">
        <v>934</v>
      </c>
      <c r="L838" t="s">
        <v>1</v>
      </c>
      <c r="M838" t="s">
        <v>0</v>
      </c>
      <c r="N838" t="s">
        <v>1266</v>
      </c>
      <c r="O838" t="s">
        <v>1266</v>
      </c>
      <c r="P838" t="s">
        <v>1266</v>
      </c>
      <c r="Q838" t="s">
        <v>1266</v>
      </c>
      <c r="R838" t="s">
        <v>1266</v>
      </c>
    </row>
    <row r="839" spans="1:18" x14ac:dyDescent="0.3">
      <c r="A839" t="s">
        <v>1405</v>
      </c>
      <c r="B839">
        <v>3</v>
      </c>
      <c r="C839" t="s">
        <v>1</v>
      </c>
      <c r="D839" t="s">
        <v>1405</v>
      </c>
      <c r="E839">
        <v>30</v>
      </c>
      <c r="F839" t="s">
        <v>1405</v>
      </c>
      <c r="I839">
        <v>5</v>
      </c>
      <c r="J839" t="s">
        <v>1337</v>
      </c>
      <c r="K839">
        <v>935</v>
      </c>
      <c r="L839" t="s">
        <v>1</v>
      </c>
      <c r="M839" t="s">
        <v>0</v>
      </c>
      <c r="N839" t="s">
        <v>1266</v>
      </c>
      <c r="O839" t="s">
        <v>1266</v>
      </c>
      <c r="P839" t="s">
        <v>1266</v>
      </c>
      <c r="Q839" t="s">
        <v>1266</v>
      </c>
      <c r="R839" t="s">
        <v>1266</v>
      </c>
    </row>
    <row r="840" spans="1:18" x14ac:dyDescent="0.3">
      <c r="A840" t="s">
        <v>922</v>
      </c>
      <c r="B840">
        <v>4</v>
      </c>
      <c r="C840" t="s">
        <v>0</v>
      </c>
      <c r="D840" t="s">
        <v>922</v>
      </c>
      <c r="E840">
        <v>30</v>
      </c>
      <c r="F840" t="s">
        <v>922</v>
      </c>
      <c r="I840">
        <v>1</v>
      </c>
      <c r="J840" t="s">
        <v>1337</v>
      </c>
      <c r="K840">
        <v>936</v>
      </c>
      <c r="L840" t="s">
        <v>1</v>
      </c>
      <c r="M840" t="s">
        <v>0</v>
      </c>
      <c r="N840" t="s">
        <v>1266</v>
      </c>
      <c r="O840" t="s">
        <v>1266</v>
      </c>
      <c r="P840" t="s">
        <v>1266</v>
      </c>
      <c r="Q840" t="s">
        <v>1266</v>
      </c>
      <c r="R840" t="s">
        <v>1266</v>
      </c>
    </row>
    <row r="841" spans="1:18" x14ac:dyDescent="0.3">
      <c r="A841" t="s">
        <v>921</v>
      </c>
      <c r="B841">
        <v>5</v>
      </c>
      <c r="C841" t="s">
        <v>1</v>
      </c>
      <c r="D841" t="s">
        <v>921</v>
      </c>
      <c r="E841">
        <v>30</v>
      </c>
      <c r="F841" t="s">
        <v>921</v>
      </c>
      <c r="I841">
        <v>1</v>
      </c>
      <c r="J841" t="s">
        <v>1337</v>
      </c>
      <c r="K841">
        <v>937</v>
      </c>
      <c r="L841" t="s">
        <v>0</v>
      </c>
      <c r="M841" t="s">
        <v>0</v>
      </c>
      <c r="N841" t="s">
        <v>1266</v>
      </c>
      <c r="O841" t="s">
        <v>1266</v>
      </c>
      <c r="P841" t="s">
        <v>1266</v>
      </c>
      <c r="Q841" t="s">
        <v>1266</v>
      </c>
      <c r="R841" t="s">
        <v>1266</v>
      </c>
    </row>
    <row r="842" spans="1:18" x14ac:dyDescent="0.3">
      <c r="A842" t="s">
        <v>51</v>
      </c>
      <c r="B842">
        <v>6</v>
      </c>
      <c r="C842" t="s">
        <v>1</v>
      </c>
      <c r="D842" t="s">
        <v>51</v>
      </c>
      <c r="E842">
        <v>30</v>
      </c>
      <c r="F842" t="s">
        <v>51</v>
      </c>
      <c r="I842">
        <v>21</v>
      </c>
      <c r="J842" t="s">
        <v>1337</v>
      </c>
      <c r="K842">
        <v>938</v>
      </c>
      <c r="L842" t="s">
        <v>1</v>
      </c>
      <c r="M842" t="s">
        <v>0</v>
      </c>
      <c r="N842" t="s">
        <v>1266</v>
      </c>
      <c r="O842" t="s">
        <v>1266</v>
      </c>
      <c r="P842" t="s">
        <v>1266</v>
      </c>
      <c r="Q842" t="s">
        <v>1266</v>
      </c>
      <c r="R842" t="s">
        <v>1266</v>
      </c>
    </row>
    <row r="843" spans="1:18" x14ac:dyDescent="0.3">
      <c r="A843" t="s">
        <v>52</v>
      </c>
      <c r="B843">
        <v>1</v>
      </c>
      <c r="C843" t="s">
        <v>1</v>
      </c>
      <c r="D843" t="s">
        <v>52</v>
      </c>
      <c r="E843">
        <v>30</v>
      </c>
      <c r="F843" t="s">
        <v>52</v>
      </c>
      <c r="I843">
        <v>21</v>
      </c>
      <c r="J843" t="s">
        <v>1321</v>
      </c>
      <c r="K843">
        <v>939</v>
      </c>
      <c r="L843" t="s">
        <v>1</v>
      </c>
      <c r="M843" t="s">
        <v>0</v>
      </c>
      <c r="N843" t="s">
        <v>1266</v>
      </c>
      <c r="O843" t="s">
        <v>1266</v>
      </c>
      <c r="P843" t="s">
        <v>1266</v>
      </c>
      <c r="Q843" t="s">
        <v>1266</v>
      </c>
      <c r="R843" t="s">
        <v>1266</v>
      </c>
    </row>
    <row r="844" spans="1:18" x14ac:dyDescent="0.3">
      <c r="A844" t="s">
        <v>1386</v>
      </c>
      <c r="B844">
        <v>2</v>
      </c>
      <c r="C844" t="s">
        <v>0</v>
      </c>
      <c r="D844" t="s">
        <v>1386</v>
      </c>
      <c r="E844">
        <v>30</v>
      </c>
      <c r="F844" t="s">
        <v>1386</v>
      </c>
      <c r="I844">
        <v>5</v>
      </c>
      <c r="J844" t="s">
        <v>1321</v>
      </c>
      <c r="K844">
        <v>940</v>
      </c>
      <c r="L844" t="s">
        <v>1</v>
      </c>
      <c r="M844" t="s">
        <v>0</v>
      </c>
      <c r="N844" t="s">
        <v>1266</v>
      </c>
      <c r="O844" t="s">
        <v>1266</v>
      </c>
      <c r="P844" t="s">
        <v>1266</v>
      </c>
      <c r="Q844" t="s">
        <v>1266</v>
      </c>
      <c r="R844" t="s">
        <v>1266</v>
      </c>
    </row>
    <row r="845" spans="1:18" x14ac:dyDescent="0.3">
      <c r="A845" t="s">
        <v>434</v>
      </c>
      <c r="B845">
        <v>3</v>
      </c>
      <c r="C845" t="s">
        <v>0</v>
      </c>
      <c r="D845" t="s">
        <v>434</v>
      </c>
      <c r="E845">
        <v>30</v>
      </c>
      <c r="F845" t="s">
        <v>434</v>
      </c>
      <c r="I845">
        <v>9</v>
      </c>
      <c r="J845" t="s">
        <v>1321</v>
      </c>
      <c r="K845">
        <v>941</v>
      </c>
      <c r="L845" t="s">
        <v>1</v>
      </c>
      <c r="M845" t="s">
        <v>0</v>
      </c>
      <c r="N845" t="s">
        <v>1266</v>
      </c>
      <c r="O845" t="s">
        <v>1266</v>
      </c>
      <c r="P845" t="s">
        <v>1266</v>
      </c>
      <c r="Q845" t="s">
        <v>1266</v>
      </c>
      <c r="R845" t="s">
        <v>1266</v>
      </c>
    </row>
    <row r="846" spans="1:18" x14ac:dyDescent="0.3">
      <c r="A846" t="s">
        <v>1405</v>
      </c>
      <c r="B846">
        <v>4</v>
      </c>
      <c r="C846" t="s">
        <v>1</v>
      </c>
      <c r="D846" t="s">
        <v>1405</v>
      </c>
      <c r="E846">
        <v>30</v>
      </c>
      <c r="F846" t="s">
        <v>1405</v>
      </c>
      <c r="I846">
        <v>5</v>
      </c>
      <c r="J846" t="s">
        <v>1321</v>
      </c>
      <c r="K846">
        <v>942</v>
      </c>
      <c r="L846" t="s">
        <v>1</v>
      </c>
      <c r="M846" t="s">
        <v>0</v>
      </c>
      <c r="N846" t="s">
        <v>1266</v>
      </c>
      <c r="O846" t="s">
        <v>1266</v>
      </c>
      <c r="P846" t="s">
        <v>1266</v>
      </c>
      <c r="Q846" t="s">
        <v>1266</v>
      </c>
      <c r="R846" t="s">
        <v>1266</v>
      </c>
    </row>
    <row r="847" spans="1:18" x14ac:dyDescent="0.3">
      <c r="A847" t="s">
        <v>1483</v>
      </c>
      <c r="B847">
        <v>5</v>
      </c>
      <c r="C847" t="s">
        <v>0</v>
      </c>
      <c r="D847" t="s">
        <v>1483</v>
      </c>
      <c r="E847">
        <v>30</v>
      </c>
      <c r="F847" t="s">
        <v>1483</v>
      </c>
      <c r="I847">
        <v>1</v>
      </c>
      <c r="J847" t="s">
        <v>1321</v>
      </c>
      <c r="K847">
        <v>943</v>
      </c>
      <c r="L847" t="s">
        <v>0</v>
      </c>
      <c r="M847" t="s">
        <v>0</v>
      </c>
      <c r="N847" t="s">
        <v>1266</v>
      </c>
      <c r="O847" t="s">
        <v>1266</v>
      </c>
      <c r="P847" t="s">
        <v>1266</v>
      </c>
      <c r="Q847" t="s">
        <v>1266</v>
      </c>
      <c r="R847" t="s">
        <v>1266</v>
      </c>
    </row>
    <row r="848" spans="1:18" x14ac:dyDescent="0.3">
      <c r="A848" t="s">
        <v>1579</v>
      </c>
      <c r="B848">
        <v>6</v>
      </c>
      <c r="C848" t="s">
        <v>0</v>
      </c>
      <c r="D848" t="s">
        <v>1579</v>
      </c>
      <c r="E848">
        <v>30</v>
      </c>
      <c r="F848" t="s">
        <v>1579</v>
      </c>
      <c r="I848">
        <v>1</v>
      </c>
      <c r="J848" t="s">
        <v>1321</v>
      </c>
      <c r="K848">
        <v>944</v>
      </c>
      <c r="L848" t="s">
        <v>0</v>
      </c>
      <c r="M848" t="s">
        <v>0</v>
      </c>
      <c r="N848" t="s">
        <v>1266</v>
      </c>
      <c r="O848" t="s">
        <v>1266</v>
      </c>
      <c r="P848" t="s">
        <v>1266</v>
      </c>
      <c r="Q848" t="s">
        <v>1266</v>
      </c>
      <c r="R848" t="s">
        <v>1266</v>
      </c>
    </row>
    <row r="849" spans="1:18" x14ac:dyDescent="0.3">
      <c r="A849" t="s">
        <v>51</v>
      </c>
      <c r="B849">
        <v>7</v>
      </c>
      <c r="C849" t="s">
        <v>1</v>
      </c>
      <c r="D849" t="s">
        <v>51</v>
      </c>
      <c r="E849">
        <v>30</v>
      </c>
      <c r="F849" t="s">
        <v>51</v>
      </c>
      <c r="I849">
        <v>21</v>
      </c>
      <c r="J849" t="s">
        <v>1321</v>
      </c>
      <c r="K849">
        <v>945</v>
      </c>
      <c r="L849" t="s">
        <v>1</v>
      </c>
      <c r="M849" t="s">
        <v>0</v>
      </c>
      <c r="N849" t="s">
        <v>1266</v>
      </c>
      <c r="O849" t="s">
        <v>1266</v>
      </c>
      <c r="P849" t="s">
        <v>1266</v>
      </c>
      <c r="Q849" t="s">
        <v>1266</v>
      </c>
      <c r="R849" t="s">
        <v>1266</v>
      </c>
    </row>
    <row r="850" spans="1:18" x14ac:dyDescent="0.3">
      <c r="A850" t="s">
        <v>52</v>
      </c>
      <c r="B850">
        <v>1</v>
      </c>
      <c r="C850" t="s">
        <v>1</v>
      </c>
      <c r="D850" t="s">
        <v>52</v>
      </c>
      <c r="E850">
        <v>30</v>
      </c>
      <c r="F850" t="s">
        <v>52</v>
      </c>
      <c r="I850">
        <v>21</v>
      </c>
      <c r="J850" t="s">
        <v>1313</v>
      </c>
      <c r="K850">
        <v>946</v>
      </c>
      <c r="L850" t="s">
        <v>1</v>
      </c>
      <c r="M850" t="s">
        <v>0</v>
      </c>
      <c r="N850" t="s">
        <v>1266</v>
      </c>
      <c r="O850" t="s">
        <v>1266</v>
      </c>
      <c r="P850" t="s">
        <v>1266</v>
      </c>
      <c r="Q850" t="s">
        <v>1266</v>
      </c>
      <c r="R850" t="s">
        <v>1266</v>
      </c>
    </row>
    <row r="851" spans="1:18" x14ac:dyDescent="0.3">
      <c r="A851" t="s">
        <v>1386</v>
      </c>
      <c r="B851">
        <v>2</v>
      </c>
      <c r="C851" t="s">
        <v>0</v>
      </c>
      <c r="D851" t="s">
        <v>1386</v>
      </c>
      <c r="E851">
        <v>30</v>
      </c>
      <c r="F851" t="s">
        <v>1386</v>
      </c>
      <c r="I851">
        <v>5</v>
      </c>
      <c r="J851" t="s">
        <v>1313</v>
      </c>
      <c r="K851">
        <v>947</v>
      </c>
      <c r="L851" t="s">
        <v>1</v>
      </c>
      <c r="M851" t="s">
        <v>0</v>
      </c>
      <c r="N851" t="s">
        <v>1266</v>
      </c>
      <c r="O851" t="s">
        <v>1266</v>
      </c>
      <c r="P851" t="s">
        <v>1266</v>
      </c>
      <c r="Q851" t="s">
        <v>1266</v>
      </c>
      <c r="R851" t="s">
        <v>1266</v>
      </c>
    </row>
    <row r="852" spans="1:18" x14ac:dyDescent="0.3">
      <c r="A852" t="s">
        <v>434</v>
      </c>
      <c r="B852">
        <v>3</v>
      </c>
      <c r="C852" t="s">
        <v>0</v>
      </c>
      <c r="D852" t="s">
        <v>434</v>
      </c>
      <c r="E852">
        <v>30</v>
      </c>
      <c r="F852" t="s">
        <v>434</v>
      </c>
      <c r="I852">
        <v>9</v>
      </c>
      <c r="J852" t="s">
        <v>1313</v>
      </c>
      <c r="K852">
        <v>948</v>
      </c>
      <c r="L852" t="s">
        <v>1</v>
      </c>
      <c r="M852" t="s">
        <v>0</v>
      </c>
      <c r="N852" t="s">
        <v>1266</v>
      </c>
      <c r="O852" t="s">
        <v>1266</v>
      </c>
      <c r="P852" t="s">
        <v>1266</v>
      </c>
      <c r="Q852" t="s">
        <v>1266</v>
      </c>
      <c r="R852" t="s">
        <v>1266</v>
      </c>
    </row>
    <row r="853" spans="1:18" x14ac:dyDescent="0.3">
      <c r="A853" t="s">
        <v>1405</v>
      </c>
      <c r="B853">
        <v>4</v>
      </c>
      <c r="C853" t="s">
        <v>1</v>
      </c>
      <c r="D853" t="s">
        <v>1405</v>
      </c>
      <c r="E853">
        <v>30</v>
      </c>
      <c r="F853" t="s">
        <v>1405</v>
      </c>
      <c r="I853">
        <v>5</v>
      </c>
      <c r="J853" t="s">
        <v>1313</v>
      </c>
      <c r="K853">
        <v>949</v>
      </c>
      <c r="L853" t="s">
        <v>1</v>
      </c>
      <c r="M853" t="s">
        <v>0</v>
      </c>
      <c r="N853" t="s">
        <v>1266</v>
      </c>
      <c r="O853" t="s">
        <v>1266</v>
      </c>
      <c r="P853" t="s">
        <v>1266</v>
      </c>
      <c r="Q853" t="s">
        <v>1266</v>
      </c>
      <c r="R853" t="s">
        <v>1266</v>
      </c>
    </row>
    <row r="854" spans="1:18" x14ac:dyDescent="0.3">
      <c r="A854" t="s">
        <v>1483</v>
      </c>
      <c r="B854">
        <v>5</v>
      </c>
      <c r="C854" t="s">
        <v>0</v>
      </c>
      <c r="D854" t="s">
        <v>1483</v>
      </c>
      <c r="E854">
        <v>30</v>
      </c>
      <c r="F854" t="s">
        <v>1483</v>
      </c>
      <c r="I854">
        <v>1</v>
      </c>
      <c r="J854" t="s">
        <v>1313</v>
      </c>
      <c r="K854">
        <v>950</v>
      </c>
      <c r="L854" t="s">
        <v>0</v>
      </c>
      <c r="M854" t="s">
        <v>0</v>
      </c>
      <c r="N854" t="s">
        <v>1266</v>
      </c>
      <c r="O854" t="s">
        <v>1266</v>
      </c>
      <c r="P854" t="s">
        <v>1266</v>
      </c>
      <c r="Q854" t="s">
        <v>1266</v>
      </c>
      <c r="R854" t="s">
        <v>1266</v>
      </c>
    </row>
    <row r="855" spans="1:18" x14ac:dyDescent="0.3">
      <c r="A855" t="s">
        <v>1436</v>
      </c>
      <c r="B855">
        <v>6</v>
      </c>
      <c r="C855" t="s">
        <v>0</v>
      </c>
      <c r="D855" t="s">
        <v>1436</v>
      </c>
      <c r="E855">
        <v>30</v>
      </c>
      <c r="F855" t="s">
        <v>1436</v>
      </c>
      <c r="I855">
        <v>1</v>
      </c>
      <c r="J855" t="s">
        <v>1313</v>
      </c>
      <c r="K855">
        <v>951</v>
      </c>
      <c r="L855" t="s">
        <v>0</v>
      </c>
      <c r="M855" t="s">
        <v>0</v>
      </c>
      <c r="N855" t="s">
        <v>1266</v>
      </c>
      <c r="O855" t="s">
        <v>1266</v>
      </c>
      <c r="P855" t="s">
        <v>1266</v>
      </c>
      <c r="Q855" t="s">
        <v>1266</v>
      </c>
      <c r="R855" t="s">
        <v>1266</v>
      </c>
    </row>
    <row r="856" spans="1:18" x14ac:dyDescent="0.3">
      <c r="A856" t="s">
        <v>51</v>
      </c>
      <c r="B856">
        <v>7</v>
      </c>
      <c r="C856" t="s">
        <v>1</v>
      </c>
      <c r="D856" t="s">
        <v>51</v>
      </c>
      <c r="E856">
        <v>30</v>
      </c>
      <c r="F856" t="s">
        <v>51</v>
      </c>
      <c r="I856">
        <v>21</v>
      </c>
      <c r="J856" t="s">
        <v>1313</v>
      </c>
      <c r="K856">
        <v>952</v>
      </c>
      <c r="L856" t="s">
        <v>1</v>
      </c>
      <c r="M856" t="s">
        <v>0</v>
      </c>
      <c r="N856" t="s">
        <v>1266</v>
      </c>
      <c r="O856" t="s">
        <v>1266</v>
      </c>
      <c r="P856" t="s">
        <v>1266</v>
      </c>
      <c r="Q856" t="s">
        <v>1266</v>
      </c>
      <c r="R856" t="s">
        <v>1266</v>
      </c>
    </row>
    <row r="857" spans="1:18" x14ac:dyDescent="0.3">
      <c r="A857" t="s">
        <v>1438</v>
      </c>
      <c r="B857">
        <v>1</v>
      </c>
      <c r="C857" t="s">
        <v>0</v>
      </c>
      <c r="D857" t="s">
        <v>1438</v>
      </c>
      <c r="E857">
        <v>30</v>
      </c>
      <c r="F857" t="s">
        <v>1438</v>
      </c>
      <c r="I857">
        <v>6</v>
      </c>
      <c r="J857" t="s">
        <v>1322</v>
      </c>
      <c r="K857">
        <v>550</v>
      </c>
      <c r="L857" t="s">
        <v>0</v>
      </c>
      <c r="M857" t="s">
        <v>0</v>
      </c>
      <c r="N857" t="s">
        <v>1266</v>
      </c>
      <c r="O857" t="s">
        <v>1266</v>
      </c>
      <c r="P857" t="s">
        <v>1266</v>
      </c>
      <c r="Q857" t="s">
        <v>1266</v>
      </c>
      <c r="R857" t="s">
        <v>1266</v>
      </c>
    </row>
    <row r="858" spans="1:18" x14ac:dyDescent="0.3">
      <c r="A858" t="s">
        <v>52</v>
      </c>
      <c r="B858">
        <v>2</v>
      </c>
      <c r="C858" t="s">
        <v>1</v>
      </c>
      <c r="D858" t="s">
        <v>52</v>
      </c>
      <c r="E858">
        <v>30</v>
      </c>
      <c r="F858" t="s">
        <v>52</v>
      </c>
      <c r="I858">
        <v>21</v>
      </c>
      <c r="J858" t="s">
        <v>1322</v>
      </c>
      <c r="K858">
        <v>551</v>
      </c>
      <c r="L858" t="s">
        <v>1</v>
      </c>
      <c r="M858" t="s">
        <v>0</v>
      </c>
      <c r="N858" t="s">
        <v>1266</v>
      </c>
      <c r="O858" t="s">
        <v>1266</v>
      </c>
      <c r="P858" t="s">
        <v>1266</v>
      </c>
      <c r="Q858" t="s">
        <v>1266</v>
      </c>
      <c r="R858" t="s">
        <v>1266</v>
      </c>
    </row>
    <row r="859" spans="1:18" x14ac:dyDescent="0.3">
      <c r="A859" t="s">
        <v>434</v>
      </c>
      <c r="B859">
        <v>3</v>
      </c>
      <c r="C859" t="s">
        <v>0</v>
      </c>
      <c r="D859" t="s">
        <v>434</v>
      </c>
      <c r="E859">
        <v>30</v>
      </c>
      <c r="F859" t="s">
        <v>434</v>
      </c>
      <c r="I859">
        <v>9</v>
      </c>
      <c r="J859" t="s">
        <v>1322</v>
      </c>
      <c r="K859">
        <v>552</v>
      </c>
      <c r="L859" t="s">
        <v>1</v>
      </c>
      <c r="M859" t="s">
        <v>0</v>
      </c>
      <c r="N859" t="s">
        <v>1266</v>
      </c>
      <c r="O859" t="s">
        <v>1266</v>
      </c>
      <c r="P859" t="s">
        <v>1266</v>
      </c>
      <c r="Q859" t="s">
        <v>1266</v>
      </c>
      <c r="R859" t="s">
        <v>1266</v>
      </c>
    </row>
    <row r="860" spans="1:18" x14ac:dyDescent="0.3">
      <c r="A860" t="s">
        <v>1405</v>
      </c>
      <c r="B860">
        <v>4</v>
      </c>
      <c r="C860" t="s">
        <v>1</v>
      </c>
      <c r="D860" t="s">
        <v>1405</v>
      </c>
      <c r="E860">
        <v>30</v>
      </c>
      <c r="F860" t="s">
        <v>1405</v>
      </c>
      <c r="I860">
        <v>5</v>
      </c>
      <c r="J860" t="s">
        <v>1322</v>
      </c>
      <c r="K860">
        <v>553</v>
      </c>
      <c r="L860" t="s">
        <v>1</v>
      </c>
      <c r="M860" t="s">
        <v>0</v>
      </c>
      <c r="N860" t="s">
        <v>1266</v>
      </c>
      <c r="O860" t="s">
        <v>1266</v>
      </c>
      <c r="P860" t="s">
        <v>1266</v>
      </c>
      <c r="Q860" t="s">
        <v>1266</v>
      </c>
      <c r="R860" t="s">
        <v>1266</v>
      </c>
    </row>
    <row r="861" spans="1:18" x14ac:dyDescent="0.3">
      <c r="A861" t="s">
        <v>527</v>
      </c>
      <c r="B861">
        <v>5</v>
      </c>
      <c r="C861" t="s">
        <v>0</v>
      </c>
      <c r="D861" t="s">
        <v>527</v>
      </c>
      <c r="E861">
        <v>30</v>
      </c>
      <c r="F861" t="s">
        <v>527</v>
      </c>
      <c r="I861">
        <v>5</v>
      </c>
      <c r="J861" t="s">
        <v>1322</v>
      </c>
      <c r="K861">
        <v>554</v>
      </c>
      <c r="L861" t="s">
        <v>1</v>
      </c>
      <c r="M861" t="s">
        <v>0</v>
      </c>
      <c r="N861" t="s">
        <v>1266</v>
      </c>
      <c r="O861" t="s">
        <v>1266</v>
      </c>
      <c r="P861" t="s">
        <v>1266</v>
      </c>
      <c r="Q861" t="s">
        <v>1266</v>
      </c>
      <c r="R861" t="s">
        <v>1266</v>
      </c>
    </row>
    <row r="862" spans="1:18" x14ac:dyDescent="0.3">
      <c r="A862" t="s">
        <v>51</v>
      </c>
      <c r="B862">
        <v>6</v>
      </c>
      <c r="C862" t="s">
        <v>1</v>
      </c>
      <c r="D862" t="s">
        <v>51</v>
      </c>
      <c r="E862">
        <v>30</v>
      </c>
      <c r="F862" t="s">
        <v>51</v>
      </c>
      <c r="I862">
        <v>21</v>
      </c>
      <c r="J862" t="s">
        <v>1322</v>
      </c>
      <c r="K862">
        <v>555</v>
      </c>
      <c r="L862" t="s">
        <v>1</v>
      </c>
      <c r="M862" t="s">
        <v>0</v>
      </c>
      <c r="N862" t="s">
        <v>1266</v>
      </c>
      <c r="O862" t="s">
        <v>1266</v>
      </c>
      <c r="P862" t="s">
        <v>1266</v>
      </c>
      <c r="Q862" t="s">
        <v>1266</v>
      </c>
      <c r="R862" t="s">
        <v>1266</v>
      </c>
    </row>
    <row r="863" spans="1:18" x14ac:dyDescent="0.3">
      <c r="A863" t="s">
        <v>711</v>
      </c>
      <c r="B863">
        <v>1</v>
      </c>
      <c r="C863" t="s">
        <v>0</v>
      </c>
      <c r="D863" t="s">
        <v>711</v>
      </c>
      <c r="E863">
        <v>30</v>
      </c>
      <c r="F863" t="s">
        <v>711</v>
      </c>
      <c r="I863">
        <v>16</v>
      </c>
      <c r="J863" t="s">
        <v>1365</v>
      </c>
      <c r="K863">
        <v>953</v>
      </c>
      <c r="L863" t="s">
        <v>1</v>
      </c>
      <c r="M863" t="s">
        <v>0</v>
      </c>
      <c r="N863" t="s">
        <v>1266</v>
      </c>
      <c r="O863" t="s">
        <v>1266</v>
      </c>
      <c r="P863" t="s">
        <v>1266</v>
      </c>
      <c r="Q863" t="s">
        <v>1266</v>
      </c>
      <c r="R863" t="s">
        <v>1266</v>
      </c>
    </row>
    <row r="864" spans="1:18" x14ac:dyDescent="0.3">
      <c r="A864" t="s">
        <v>52</v>
      </c>
      <c r="B864">
        <v>2</v>
      </c>
      <c r="C864" t="s">
        <v>1</v>
      </c>
      <c r="D864" t="s">
        <v>52</v>
      </c>
      <c r="E864">
        <v>30</v>
      </c>
      <c r="F864" t="s">
        <v>52</v>
      </c>
      <c r="I864">
        <v>21</v>
      </c>
      <c r="J864" t="s">
        <v>1365</v>
      </c>
      <c r="K864">
        <v>954</v>
      </c>
      <c r="L864" t="s">
        <v>1</v>
      </c>
      <c r="M864" t="s">
        <v>0</v>
      </c>
      <c r="N864" t="s">
        <v>1266</v>
      </c>
      <c r="O864" t="s">
        <v>1266</v>
      </c>
      <c r="P864" t="s">
        <v>1266</v>
      </c>
      <c r="Q864" t="s">
        <v>1266</v>
      </c>
      <c r="R864" t="s">
        <v>1266</v>
      </c>
    </row>
    <row r="865" spans="1:18" x14ac:dyDescent="0.3">
      <c r="A865" t="s">
        <v>434</v>
      </c>
      <c r="B865">
        <v>3</v>
      </c>
      <c r="C865" t="s">
        <v>0</v>
      </c>
      <c r="D865" t="s">
        <v>434</v>
      </c>
      <c r="E865">
        <v>30</v>
      </c>
      <c r="F865" t="s">
        <v>434</v>
      </c>
      <c r="I865">
        <v>9</v>
      </c>
      <c r="J865" t="s">
        <v>1365</v>
      </c>
      <c r="K865">
        <v>955</v>
      </c>
      <c r="L865" t="s">
        <v>1</v>
      </c>
      <c r="M865" t="s">
        <v>0</v>
      </c>
      <c r="N865" t="s">
        <v>1266</v>
      </c>
      <c r="O865" t="s">
        <v>1266</v>
      </c>
      <c r="P865" t="s">
        <v>1266</v>
      </c>
      <c r="Q865" t="s">
        <v>1266</v>
      </c>
      <c r="R865" t="s">
        <v>1266</v>
      </c>
    </row>
    <row r="866" spans="1:18" x14ac:dyDescent="0.3">
      <c r="A866" t="s">
        <v>1405</v>
      </c>
      <c r="B866">
        <v>4</v>
      </c>
      <c r="C866" t="s">
        <v>1</v>
      </c>
      <c r="D866" t="s">
        <v>1405</v>
      </c>
      <c r="E866">
        <v>30</v>
      </c>
      <c r="F866" t="s">
        <v>1405</v>
      </c>
      <c r="I866">
        <v>5</v>
      </c>
      <c r="J866" t="s">
        <v>1365</v>
      </c>
      <c r="K866">
        <v>956</v>
      </c>
      <c r="L866" t="s">
        <v>1</v>
      </c>
      <c r="M866" t="s">
        <v>0</v>
      </c>
      <c r="N866" t="s">
        <v>1266</v>
      </c>
      <c r="O866" t="s">
        <v>1266</v>
      </c>
      <c r="P866" t="s">
        <v>1266</v>
      </c>
      <c r="Q866" t="s">
        <v>1266</v>
      </c>
      <c r="R866" t="s">
        <v>1266</v>
      </c>
    </row>
    <row r="867" spans="1:18" x14ac:dyDescent="0.3">
      <c r="A867" t="s">
        <v>1384</v>
      </c>
      <c r="B867">
        <v>5</v>
      </c>
      <c r="C867" t="s">
        <v>0</v>
      </c>
      <c r="D867" t="s">
        <v>1384</v>
      </c>
      <c r="E867">
        <v>30</v>
      </c>
      <c r="F867" t="s">
        <v>1384</v>
      </c>
      <c r="I867">
        <v>5</v>
      </c>
      <c r="J867" t="s">
        <v>1365</v>
      </c>
      <c r="K867">
        <v>957</v>
      </c>
      <c r="L867" t="s">
        <v>0</v>
      </c>
      <c r="M867" t="s">
        <v>0</v>
      </c>
      <c r="N867" t="s">
        <v>1266</v>
      </c>
      <c r="O867" t="s">
        <v>1266</v>
      </c>
      <c r="P867" t="s">
        <v>1266</v>
      </c>
      <c r="Q867" t="s">
        <v>1266</v>
      </c>
      <c r="R867" t="s">
        <v>1266</v>
      </c>
    </row>
    <row r="868" spans="1:18" x14ac:dyDescent="0.3">
      <c r="A868" t="s">
        <v>51</v>
      </c>
      <c r="B868">
        <v>6</v>
      </c>
      <c r="C868" t="s">
        <v>1</v>
      </c>
      <c r="D868" t="s">
        <v>51</v>
      </c>
      <c r="E868">
        <v>30</v>
      </c>
      <c r="F868" t="s">
        <v>51</v>
      </c>
      <c r="I868">
        <v>21</v>
      </c>
      <c r="J868" t="s">
        <v>1365</v>
      </c>
      <c r="K868">
        <v>958</v>
      </c>
      <c r="L868" t="s">
        <v>1</v>
      </c>
      <c r="M868" t="s">
        <v>0</v>
      </c>
      <c r="N868" t="s">
        <v>1266</v>
      </c>
      <c r="O868" t="s">
        <v>1266</v>
      </c>
      <c r="P868" t="s">
        <v>1266</v>
      </c>
      <c r="Q868" t="s">
        <v>1266</v>
      </c>
      <c r="R868" t="s">
        <v>1266</v>
      </c>
    </row>
    <row r="869" spans="1:18" x14ac:dyDescent="0.3">
      <c r="A869" t="s">
        <v>569</v>
      </c>
      <c r="B869">
        <v>1</v>
      </c>
      <c r="C869" t="s">
        <v>0</v>
      </c>
      <c r="D869" t="s">
        <v>569</v>
      </c>
      <c r="E869">
        <v>30</v>
      </c>
      <c r="F869" t="s">
        <v>569</v>
      </c>
      <c r="I869">
        <v>5</v>
      </c>
      <c r="J869" t="s">
        <v>1353</v>
      </c>
      <c r="K869">
        <v>959</v>
      </c>
      <c r="L869" t="s">
        <v>1</v>
      </c>
      <c r="M869" t="s">
        <v>0</v>
      </c>
      <c r="N869" t="s">
        <v>1266</v>
      </c>
      <c r="O869" t="s">
        <v>1266</v>
      </c>
      <c r="P869" t="s">
        <v>1266</v>
      </c>
      <c r="Q869" t="s">
        <v>1266</v>
      </c>
      <c r="R869" t="s">
        <v>1266</v>
      </c>
    </row>
    <row r="870" spans="1:18" x14ac:dyDescent="0.3">
      <c r="A870" t="s">
        <v>473</v>
      </c>
      <c r="B870">
        <v>2</v>
      </c>
      <c r="C870" t="s">
        <v>0</v>
      </c>
      <c r="D870" t="s">
        <v>473</v>
      </c>
      <c r="E870">
        <v>30</v>
      </c>
      <c r="F870" t="s">
        <v>473</v>
      </c>
      <c r="I870">
        <v>5</v>
      </c>
      <c r="J870" t="s">
        <v>1353</v>
      </c>
      <c r="K870">
        <v>960</v>
      </c>
      <c r="L870" t="s">
        <v>1</v>
      </c>
      <c r="M870" t="s">
        <v>0</v>
      </c>
      <c r="N870" t="s">
        <v>1266</v>
      </c>
      <c r="O870" t="s">
        <v>1266</v>
      </c>
      <c r="P870" t="s">
        <v>1266</v>
      </c>
      <c r="Q870" t="s">
        <v>1266</v>
      </c>
      <c r="R870" t="s">
        <v>1266</v>
      </c>
    </row>
    <row r="871" spans="1:18" x14ac:dyDescent="0.3">
      <c r="A871" t="s">
        <v>52</v>
      </c>
      <c r="B871">
        <v>3</v>
      </c>
      <c r="C871" t="s">
        <v>1</v>
      </c>
      <c r="D871" t="s">
        <v>52</v>
      </c>
      <c r="E871">
        <v>30</v>
      </c>
      <c r="F871" t="s">
        <v>52</v>
      </c>
      <c r="I871">
        <v>21</v>
      </c>
      <c r="J871" t="s">
        <v>1353</v>
      </c>
      <c r="K871">
        <v>961</v>
      </c>
      <c r="L871" t="s">
        <v>1</v>
      </c>
      <c r="M871" t="s">
        <v>0</v>
      </c>
      <c r="N871" t="s">
        <v>1266</v>
      </c>
      <c r="O871" t="s">
        <v>1266</v>
      </c>
      <c r="P871" t="s">
        <v>1266</v>
      </c>
      <c r="Q871" t="s">
        <v>1266</v>
      </c>
      <c r="R871" t="s">
        <v>1266</v>
      </c>
    </row>
    <row r="872" spans="1:18" x14ac:dyDescent="0.3">
      <c r="A872" t="s">
        <v>434</v>
      </c>
      <c r="B872">
        <v>4</v>
      </c>
      <c r="C872" t="s">
        <v>0</v>
      </c>
      <c r="D872" t="s">
        <v>434</v>
      </c>
      <c r="E872">
        <v>30</v>
      </c>
      <c r="F872" t="s">
        <v>434</v>
      </c>
      <c r="I872">
        <v>9</v>
      </c>
      <c r="J872" t="s">
        <v>1353</v>
      </c>
      <c r="K872">
        <v>962</v>
      </c>
      <c r="L872" t="s">
        <v>1</v>
      </c>
      <c r="M872" t="s">
        <v>0</v>
      </c>
      <c r="N872" t="s">
        <v>1266</v>
      </c>
      <c r="O872" t="s">
        <v>1266</v>
      </c>
      <c r="P872" t="s">
        <v>1266</v>
      </c>
      <c r="Q872" t="s">
        <v>1266</v>
      </c>
      <c r="R872" t="s">
        <v>1266</v>
      </c>
    </row>
    <row r="873" spans="1:18" x14ac:dyDescent="0.3">
      <c r="A873" t="s">
        <v>1405</v>
      </c>
      <c r="B873">
        <v>5</v>
      </c>
      <c r="C873" t="s">
        <v>1</v>
      </c>
      <c r="D873" t="s">
        <v>1405</v>
      </c>
      <c r="E873">
        <v>30</v>
      </c>
      <c r="F873" t="s">
        <v>1405</v>
      </c>
      <c r="I873">
        <v>5</v>
      </c>
      <c r="J873" t="s">
        <v>1353</v>
      </c>
      <c r="K873">
        <v>963</v>
      </c>
      <c r="L873" t="s">
        <v>1</v>
      </c>
      <c r="M873" t="s">
        <v>0</v>
      </c>
      <c r="N873" t="s">
        <v>1266</v>
      </c>
      <c r="O873" t="s">
        <v>1266</v>
      </c>
      <c r="P873" t="s">
        <v>1266</v>
      </c>
      <c r="Q873" t="s">
        <v>1266</v>
      </c>
      <c r="R873" t="s">
        <v>1266</v>
      </c>
    </row>
    <row r="874" spans="1:18" x14ac:dyDescent="0.3">
      <c r="A874" t="s">
        <v>1483</v>
      </c>
      <c r="B874">
        <v>6</v>
      </c>
      <c r="C874" t="s">
        <v>0</v>
      </c>
      <c r="D874" t="s">
        <v>1483</v>
      </c>
      <c r="E874">
        <v>30</v>
      </c>
      <c r="F874" t="s">
        <v>1483</v>
      </c>
      <c r="I874">
        <v>1</v>
      </c>
      <c r="J874" t="s">
        <v>1353</v>
      </c>
      <c r="K874">
        <v>964</v>
      </c>
      <c r="L874" t="s">
        <v>1</v>
      </c>
      <c r="M874" t="s">
        <v>0</v>
      </c>
      <c r="N874" t="s">
        <v>1266</v>
      </c>
      <c r="O874" t="s">
        <v>1266</v>
      </c>
      <c r="P874" t="s">
        <v>1266</v>
      </c>
      <c r="Q874" t="s">
        <v>1266</v>
      </c>
      <c r="R874" t="s">
        <v>1266</v>
      </c>
    </row>
    <row r="875" spans="1:18" x14ac:dyDescent="0.3">
      <c r="A875" t="s">
        <v>1384</v>
      </c>
      <c r="B875">
        <v>7</v>
      </c>
      <c r="C875" t="s">
        <v>0</v>
      </c>
      <c r="D875" t="s">
        <v>1384</v>
      </c>
      <c r="E875">
        <v>30</v>
      </c>
      <c r="F875" t="s">
        <v>1384</v>
      </c>
      <c r="I875">
        <v>5</v>
      </c>
      <c r="J875" t="s">
        <v>1353</v>
      </c>
      <c r="K875">
        <v>965</v>
      </c>
      <c r="L875" t="s">
        <v>0</v>
      </c>
      <c r="M875" t="s">
        <v>0</v>
      </c>
      <c r="N875" t="s">
        <v>1266</v>
      </c>
      <c r="O875" t="s">
        <v>1266</v>
      </c>
      <c r="P875" t="s">
        <v>1266</v>
      </c>
      <c r="Q875" t="s">
        <v>1266</v>
      </c>
      <c r="R875" t="s">
        <v>1266</v>
      </c>
    </row>
    <row r="876" spans="1:18" x14ac:dyDescent="0.3">
      <c r="A876" t="s">
        <v>51</v>
      </c>
      <c r="B876">
        <v>8</v>
      </c>
      <c r="C876" t="s">
        <v>1</v>
      </c>
      <c r="D876" t="s">
        <v>51</v>
      </c>
      <c r="E876">
        <v>30</v>
      </c>
      <c r="F876" t="s">
        <v>51</v>
      </c>
      <c r="I876">
        <v>21</v>
      </c>
      <c r="J876" t="s">
        <v>1353</v>
      </c>
      <c r="K876">
        <v>966</v>
      </c>
      <c r="L876" t="s">
        <v>1</v>
      </c>
      <c r="M876" t="s">
        <v>0</v>
      </c>
      <c r="N876" t="s">
        <v>1266</v>
      </c>
      <c r="O876" t="s">
        <v>1266</v>
      </c>
      <c r="P876" t="s">
        <v>1266</v>
      </c>
      <c r="Q876" t="s">
        <v>1266</v>
      </c>
      <c r="R876" t="s">
        <v>1266</v>
      </c>
    </row>
    <row r="877" spans="1:18" x14ac:dyDescent="0.3">
      <c r="A877" t="s">
        <v>52</v>
      </c>
      <c r="B877">
        <v>1</v>
      </c>
      <c r="C877" t="s">
        <v>1</v>
      </c>
      <c r="D877" t="s">
        <v>52</v>
      </c>
      <c r="E877">
        <v>30</v>
      </c>
      <c r="F877" t="s">
        <v>52</v>
      </c>
      <c r="I877">
        <v>21</v>
      </c>
      <c r="J877" t="s">
        <v>1338</v>
      </c>
      <c r="K877">
        <v>556</v>
      </c>
      <c r="L877" t="s">
        <v>1</v>
      </c>
      <c r="M877" t="s">
        <v>0</v>
      </c>
      <c r="N877" t="s">
        <v>1266</v>
      </c>
      <c r="O877" t="s">
        <v>1266</v>
      </c>
      <c r="P877" t="s">
        <v>1266</v>
      </c>
      <c r="Q877" t="s">
        <v>1266</v>
      </c>
      <c r="R877" t="s">
        <v>1266</v>
      </c>
    </row>
    <row r="878" spans="1:18" x14ac:dyDescent="0.3">
      <c r="A878" t="s">
        <v>338</v>
      </c>
      <c r="B878">
        <v>2</v>
      </c>
      <c r="C878" t="s">
        <v>0</v>
      </c>
      <c r="D878" t="s">
        <v>338</v>
      </c>
      <c r="E878">
        <v>30</v>
      </c>
      <c r="F878" t="s">
        <v>338</v>
      </c>
      <c r="I878">
        <v>19</v>
      </c>
      <c r="J878" t="s">
        <v>1338</v>
      </c>
      <c r="K878">
        <v>557</v>
      </c>
      <c r="L878" t="s">
        <v>1</v>
      </c>
      <c r="M878" t="s">
        <v>0</v>
      </c>
      <c r="N878" t="s">
        <v>1266</v>
      </c>
      <c r="O878" t="s">
        <v>1266</v>
      </c>
      <c r="P878" t="s">
        <v>1266</v>
      </c>
      <c r="Q878" t="s">
        <v>1266</v>
      </c>
      <c r="R878" t="s">
        <v>1266</v>
      </c>
    </row>
    <row r="879" spans="1:18" x14ac:dyDescent="0.3">
      <c r="A879" t="s">
        <v>434</v>
      </c>
      <c r="B879">
        <v>3</v>
      </c>
      <c r="C879" t="s">
        <v>0</v>
      </c>
      <c r="D879" t="s">
        <v>434</v>
      </c>
      <c r="E879">
        <v>30</v>
      </c>
      <c r="F879" t="s">
        <v>434</v>
      </c>
      <c r="I879">
        <v>9</v>
      </c>
      <c r="J879" t="s">
        <v>1338</v>
      </c>
      <c r="K879">
        <v>558</v>
      </c>
      <c r="L879" t="s">
        <v>1</v>
      </c>
      <c r="M879" t="s">
        <v>0</v>
      </c>
      <c r="N879" t="s">
        <v>1266</v>
      </c>
      <c r="O879" t="s">
        <v>1266</v>
      </c>
      <c r="P879" t="s">
        <v>1266</v>
      </c>
      <c r="Q879" t="s">
        <v>1266</v>
      </c>
      <c r="R879" t="s">
        <v>1266</v>
      </c>
    </row>
    <row r="880" spans="1:18" x14ac:dyDescent="0.3">
      <c r="A880" t="s">
        <v>1405</v>
      </c>
      <c r="B880">
        <v>4</v>
      </c>
      <c r="C880" t="s">
        <v>1</v>
      </c>
      <c r="D880" t="s">
        <v>1405</v>
      </c>
      <c r="E880">
        <v>30</v>
      </c>
      <c r="F880" t="s">
        <v>1405</v>
      </c>
      <c r="I880">
        <v>5</v>
      </c>
      <c r="J880" t="s">
        <v>1338</v>
      </c>
      <c r="K880">
        <v>559</v>
      </c>
      <c r="L880" t="s">
        <v>1</v>
      </c>
      <c r="M880" t="s">
        <v>0</v>
      </c>
      <c r="N880" t="s">
        <v>1266</v>
      </c>
      <c r="O880" t="s">
        <v>1266</v>
      </c>
      <c r="P880" t="s">
        <v>1266</v>
      </c>
      <c r="Q880" t="s">
        <v>1266</v>
      </c>
      <c r="R880" t="s">
        <v>1266</v>
      </c>
    </row>
    <row r="881" spans="1:18" x14ac:dyDescent="0.3">
      <c r="A881" t="s">
        <v>436</v>
      </c>
      <c r="B881">
        <v>5</v>
      </c>
      <c r="C881" t="s">
        <v>0</v>
      </c>
      <c r="D881" t="s">
        <v>436</v>
      </c>
      <c r="E881">
        <v>30</v>
      </c>
      <c r="F881" t="s">
        <v>436</v>
      </c>
      <c r="I881">
        <v>6</v>
      </c>
      <c r="J881" t="s">
        <v>1338</v>
      </c>
      <c r="K881">
        <v>560</v>
      </c>
      <c r="L881" t="s">
        <v>0</v>
      </c>
      <c r="M881" t="s">
        <v>0</v>
      </c>
      <c r="N881" t="s">
        <v>1266</v>
      </c>
      <c r="O881" t="s">
        <v>1266</v>
      </c>
      <c r="P881" t="s">
        <v>1266</v>
      </c>
      <c r="Q881" t="s">
        <v>1266</v>
      </c>
      <c r="R881" t="s">
        <v>1266</v>
      </c>
    </row>
    <row r="882" spans="1:18" x14ac:dyDescent="0.3">
      <c r="A882" t="s">
        <v>51</v>
      </c>
      <c r="B882">
        <v>6</v>
      </c>
      <c r="C882" t="s">
        <v>1</v>
      </c>
      <c r="D882" t="s">
        <v>51</v>
      </c>
      <c r="E882">
        <v>30</v>
      </c>
      <c r="F882" t="s">
        <v>51</v>
      </c>
      <c r="I882">
        <v>21</v>
      </c>
      <c r="J882" t="s">
        <v>1338</v>
      </c>
      <c r="K882">
        <v>561</v>
      </c>
      <c r="L882" t="s">
        <v>1</v>
      </c>
      <c r="M882" t="s">
        <v>0</v>
      </c>
      <c r="N882" t="s">
        <v>1266</v>
      </c>
      <c r="O882" t="s">
        <v>1266</v>
      </c>
      <c r="P882" t="s">
        <v>1266</v>
      </c>
      <c r="Q882" t="s">
        <v>1266</v>
      </c>
      <c r="R882" t="s">
        <v>1266</v>
      </c>
    </row>
    <row r="883" spans="1:18" x14ac:dyDescent="0.3">
      <c r="A883" t="s">
        <v>52</v>
      </c>
      <c r="B883">
        <v>1</v>
      </c>
      <c r="C883" t="s">
        <v>1</v>
      </c>
      <c r="D883" t="s">
        <v>52</v>
      </c>
      <c r="E883">
        <v>30</v>
      </c>
      <c r="F883" t="s">
        <v>52</v>
      </c>
      <c r="I883">
        <v>21</v>
      </c>
      <c r="J883" t="s">
        <v>1364</v>
      </c>
      <c r="K883">
        <v>967</v>
      </c>
      <c r="L883" t="s">
        <v>1</v>
      </c>
      <c r="M883" t="s">
        <v>0</v>
      </c>
      <c r="N883" t="s">
        <v>1266</v>
      </c>
      <c r="O883" t="s">
        <v>1266</v>
      </c>
      <c r="P883" t="s">
        <v>1266</v>
      </c>
      <c r="Q883" t="s">
        <v>1266</v>
      </c>
      <c r="R883" t="s">
        <v>1266</v>
      </c>
    </row>
    <row r="884" spans="1:18" x14ac:dyDescent="0.3">
      <c r="A884" t="s">
        <v>434</v>
      </c>
      <c r="B884">
        <v>2</v>
      </c>
      <c r="C884" t="s">
        <v>0</v>
      </c>
      <c r="D884" t="s">
        <v>434</v>
      </c>
      <c r="E884">
        <v>30</v>
      </c>
      <c r="F884" t="s">
        <v>434</v>
      </c>
      <c r="I884">
        <v>9</v>
      </c>
      <c r="J884" t="s">
        <v>1364</v>
      </c>
      <c r="K884">
        <v>968</v>
      </c>
      <c r="L884" t="s">
        <v>1</v>
      </c>
      <c r="M884" t="s">
        <v>0</v>
      </c>
      <c r="N884" t="s">
        <v>1266</v>
      </c>
      <c r="O884" t="s">
        <v>1266</v>
      </c>
      <c r="P884" t="s">
        <v>1266</v>
      </c>
      <c r="Q884" t="s">
        <v>1266</v>
      </c>
      <c r="R884" t="s">
        <v>1266</v>
      </c>
    </row>
    <row r="885" spans="1:18" x14ac:dyDescent="0.3">
      <c r="A885" t="s">
        <v>511</v>
      </c>
      <c r="B885">
        <v>3</v>
      </c>
      <c r="C885" t="s">
        <v>0</v>
      </c>
      <c r="D885" t="s">
        <v>511</v>
      </c>
      <c r="E885">
        <v>30</v>
      </c>
      <c r="F885" t="s">
        <v>511</v>
      </c>
      <c r="I885">
        <v>5</v>
      </c>
      <c r="J885" t="s">
        <v>1364</v>
      </c>
      <c r="K885">
        <v>969</v>
      </c>
      <c r="L885" t="s">
        <v>1</v>
      </c>
      <c r="M885" t="s">
        <v>0</v>
      </c>
      <c r="N885" t="s">
        <v>1266</v>
      </c>
      <c r="O885" t="s">
        <v>1266</v>
      </c>
      <c r="P885" t="s">
        <v>1266</v>
      </c>
      <c r="Q885" t="s">
        <v>1266</v>
      </c>
      <c r="R885" t="s">
        <v>1266</v>
      </c>
    </row>
    <row r="886" spans="1:18" x14ac:dyDescent="0.3">
      <c r="A886" t="s">
        <v>1405</v>
      </c>
      <c r="B886">
        <v>4</v>
      </c>
      <c r="C886" t="s">
        <v>1</v>
      </c>
      <c r="D886" t="s">
        <v>1405</v>
      </c>
      <c r="E886">
        <v>30</v>
      </c>
      <c r="F886" t="s">
        <v>1405</v>
      </c>
      <c r="I886">
        <v>5</v>
      </c>
      <c r="J886" t="s">
        <v>1364</v>
      </c>
      <c r="K886">
        <v>970</v>
      </c>
      <c r="L886" t="s">
        <v>1</v>
      </c>
      <c r="M886" t="s">
        <v>0</v>
      </c>
      <c r="N886" t="s">
        <v>1266</v>
      </c>
      <c r="O886" t="s">
        <v>1266</v>
      </c>
      <c r="P886" t="s">
        <v>1266</v>
      </c>
      <c r="Q886" t="s">
        <v>1266</v>
      </c>
      <c r="R886" t="s">
        <v>1266</v>
      </c>
    </row>
    <row r="887" spans="1:18" x14ac:dyDescent="0.3">
      <c r="A887" t="s">
        <v>1556</v>
      </c>
      <c r="B887">
        <v>5</v>
      </c>
      <c r="C887" t="s">
        <v>0</v>
      </c>
      <c r="D887" t="s">
        <v>1556</v>
      </c>
      <c r="E887">
        <v>30</v>
      </c>
      <c r="F887" t="s">
        <v>1556</v>
      </c>
      <c r="I887">
        <v>19</v>
      </c>
      <c r="J887" t="s">
        <v>1364</v>
      </c>
      <c r="K887">
        <v>971</v>
      </c>
      <c r="L887" t="s">
        <v>0</v>
      </c>
      <c r="M887" t="s">
        <v>0</v>
      </c>
      <c r="N887" t="s">
        <v>1266</v>
      </c>
      <c r="O887" t="s">
        <v>1266</v>
      </c>
      <c r="P887" t="s">
        <v>1266</v>
      </c>
      <c r="Q887" t="s">
        <v>1266</v>
      </c>
      <c r="R887" t="s">
        <v>1266</v>
      </c>
    </row>
    <row r="888" spans="1:18" x14ac:dyDescent="0.3">
      <c r="A888" t="s">
        <v>1428</v>
      </c>
      <c r="B888">
        <v>6</v>
      </c>
      <c r="C888" t="s">
        <v>0</v>
      </c>
      <c r="D888" t="s">
        <v>1428</v>
      </c>
      <c r="E888">
        <v>30</v>
      </c>
      <c r="F888" t="s">
        <v>1428</v>
      </c>
      <c r="I888">
        <v>14</v>
      </c>
      <c r="J888" t="s">
        <v>1364</v>
      </c>
      <c r="K888">
        <v>972</v>
      </c>
      <c r="L888" t="s">
        <v>0</v>
      </c>
      <c r="M888" t="s">
        <v>0</v>
      </c>
      <c r="N888" t="s">
        <v>1266</v>
      </c>
      <c r="O888" t="s">
        <v>1266</v>
      </c>
      <c r="P888" t="s">
        <v>1266</v>
      </c>
      <c r="Q888" t="s">
        <v>1266</v>
      </c>
      <c r="R888" t="s">
        <v>1266</v>
      </c>
    </row>
    <row r="889" spans="1:18" x14ac:dyDescent="0.3">
      <c r="A889" t="s">
        <v>850</v>
      </c>
      <c r="B889">
        <v>7</v>
      </c>
      <c r="C889" t="s">
        <v>0</v>
      </c>
      <c r="D889" t="s">
        <v>850</v>
      </c>
      <c r="E889">
        <v>30</v>
      </c>
      <c r="F889" t="s">
        <v>850</v>
      </c>
      <c r="I889">
        <v>5</v>
      </c>
      <c r="J889" t="s">
        <v>1364</v>
      </c>
      <c r="K889">
        <v>973</v>
      </c>
      <c r="L889" t="s">
        <v>0</v>
      </c>
      <c r="M889" t="s">
        <v>0</v>
      </c>
      <c r="N889" t="s">
        <v>1266</v>
      </c>
      <c r="O889" t="s">
        <v>1266</v>
      </c>
      <c r="P889" t="s">
        <v>1266</v>
      </c>
      <c r="Q889" t="s">
        <v>1266</v>
      </c>
      <c r="R889" t="s">
        <v>1266</v>
      </c>
    </row>
    <row r="890" spans="1:18" x14ac:dyDescent="0.3">
      <c r="A890" t="s">
        <v>1415</v>
      </c>
      <c r="B890">
        <v>8</v>
      </c>
      <c r="C890" t="s">
        <v>0</v>
      </c>
      <c r="D890" t="s">
        <v>1415</v>
      </c>
      <c r="E890">
        <v>30</v>
      </c>
      <c r="F890" t="s">
        <v>1415</v>
      </c>
      <c r="I890">
        <v>5</v>
      </c>
      <c r="J890" t="s">
        <v>1364</v>
      </c>
      <c r="K890">
        <v>974</v>
      </c>
      <c r="L890" t="s">
        <v>0</v>
      </c>
      <c r="M890" t="s">
        <v>0</v>
      </c>
      <c r="N890" t="s">
        <v>1266</v>
      </c>
      <c r="O890" t="s">
        <v>1266</v>
      </c>
      <c r="P890" t="s">
        <v>1266</v>
      </c>
      <c r="Q890" t="s">
        <v>1266</v>
      </c>
      <c r="R890" t="s">
        <v>1266</v>
      </c>
    </row>
    <row r="891" spans="1:18" x14ac:dyDescent="0.3">
      <c r="A891" t="s">
        <v>1450</v>
      </c>
      <c r="B891">
        <v>9</v>
      </c>
      <c r="C891" t="s">
        <v>0</v>
      </c>
      <c r="D891" t="s">
        <v>1450</v>
      </c>
      <c r="E891">
        <v>30</v>
      </c>
      <c r="F891" t="s">
        <v>1450</v>
      </c>
      <c r="I891">
        <v>5</v>
      </c>
      <c r="J891" t="s">
        <v>1364</v>
      </c>
      <c r="K891">
        <v>975</v>
      </c>
      <c r="L891" t="s">
        <v>0</v>
      </c>
      <c r="M891" t="s">
        <v>0</v>
      </c>
      <c r="N891" t="s">
        <v>1266</v>
      </c>
      <c r="O891" t="s">
        <v>1266</v>
      </c>
      <c r="P891" t="s">
        <v>1266</v>
      </c>
      <c r="Q891" t="s">
        <v>1266</v>
      </c>
      <c r="R891" t="s">
        <v>1266</v>
      </c>
    </row>
    <row r="892" spans="1:18" x14ac:dyDescent="0.3">
      <c r="A892" t="s">
        <v>51</v>
      </c>
      <c r="B892">
        <v>10</v>
      </c>
      <c r="C892" t="s">
        <v>1</v>
      </c>
      <c r="D892" t="s">
        <v>51</v>
      </c>
      <c r="E892">
        <v>30</v>
      </c>
      <c r="F892" t="s">
        <v>51</v>
      </c>
      <c r="I892">
        <v>21</v>
      </c>
      <c r="J892" t="s">
        <v>1364</v>
      </c>
      <c r="K892">
        <v>976</v>
      </c>
      <c r="L892" t="s">
        <v>1</v>
      </c>
      <c r="M892" t="s">
        <v>0</v>
      </c>
      <c r="N892" t="s">
        <v>1266</v>
      </c>
      <c r="O892" t="s">
        <v>1266</v>
      </c>
      <c r="P892" t="s">
        <v>1266</v>
      </c>
      <c r="Q892" t="s">
        <v>1266</v>
      </c>
      <c r="R892" t="s">
        <v>1266</v>
      </c>
    </row>
    <row r="893" spans="1:18" x14ac:dyDescent="0.3">
      <c r="A893" t="s">
        <v>426</v>
      </c>
      <c r="B893">
        <v>1</v>
      </c>
      <c r="C893" t="s">
        <v>1</v>
      </c>
      <c r="D893" t="s">
        <v>426</v>
      </c>
      <c r="E893">
        <v>30</v>
      </c>
      <c r="F893" t="s">
        <v>52</v>
      </c>
      <c r="I893">
        <v>21</v>
      </c>
      <c r="J893" t="s">
        <v>1312</v>
      </c>
      <c r="K893">
        <v>562</v>
      </c>
      <c r="L893" t="s">
        <v>1</v>
      </c>
      <c r="M893" t="s">
        <v>0</v>
      </c>
      <c r="N893" t="s">
        <v>1266</v>
      </c>
      <c r="O893" t="s">
        <v>1266</v>
      </c>
      <c r="P893" t="s">
        <v>1266</v>
      </c>
      <c r="Q893" t="s">
        <v>1266</v>
      </c>
      <c r="R893" t="s">
        <v>1266</v>
      </c>
    </row>
    <row r="894" spans="1:18" x14ac:dyDescent="0.3">
      <c r="A894" t="s">
        <v>435</v>
      </c>
      <c r="B894">
        <v>2</v>
      </c>
      <c r="C894" t="s">
        <v>0</v>
      </c>
      <c r="D894" t="s">
        <v>435</v>
      </c>
      <c r="E894">
        <v>30</v>
      </c>
      <c r="F894" t="s">
        <v>434</v>
      </c>
      <c r="I894">
        <v>9</v>
      </c>
      <c r="J894" t="s">
        <v>1312</v>
      </c>
      <c r="K894">
        <v>563</v>
      </c>
      <c r="L894" t="s">
        <v>1</v>
      </c>
      <c r="M894" t="s">
        <v>0</v>
      </c>
      <c r="N894" t="s">
        <v>1266</v>
      </c>
      <c r="O894" t="s">
        <v>1266</v>
      </c>
      <c r="P894" t="s">
        <v>1266</v>
      </c>
      <c r="Q894" t="s">
        <v>1266</v>
      </c>
      <c r="R894" t="s">
        <v>1266</v>
      </c>
    </row>
    <row r="895" spans="1:18" x14ac:dyDescent="0.3">
      <c r="A895" t="s">
        <v>467</v>
      </c>
      <c r="B895">
        <v>3</v>
      </c>
      <c r="C895" t="s">
        <v>0</v>
      </c>
      <c r="D895" t="s">
        <v>467</v>
      </c>
      <c r="E895">
        <v>30</v>
      </c>
      <c r="F895" t="s">
        <v>444</v>
      </c>
      <c r="I895">
        <v>5</v>
      </c>
      <c r="J895" t="s">
        <v>1312</v>
      </c>
      <c r="K895">
        <v>564</v>
      </c>
      <c r="L895" t="s">
        <v>1</v>
      </c>
      <c r="M895" t="s">
        <v>0</v>
      </c>
      <c r="N895" t="s">
        <v>1266</v>
      </c>
      <c r="O895" t="s">
        <v>1266</v>
      </c>
      <c r="P895" t="s">
        <v>1266</v>
      </c>
      <c r="Q895" t="s">
        <v>1266</v>
      </c>
      <c r="R895" t="s">
        <v>1266</v>
      </c>
    </row>
    <row r="896" spans="1:18" x14ac:dyDescent="0.3">
      <c r="A896" t="s">
        <v>1405</v>
      </c>
      <c r="B896">
        <v>4</v>
      </c>
      <c r="C896" t="s">
        <v>1</v>
      </c>
      <c r="D896" t="s">
        <v>1405</v>
      </c>
      <c r="E896">
        <v>30</v>
      </c>
      <c r="F896" t="s">
        <v>1405</v>
      </c>
      <c r="I896">
        <v>5</v>
      </c>
      <c r="J896" t="s">
        <v>1312</v>
      </c>
      <c r="K896">
        <v>565</v>
      </c>
      <c r="L896" t="s">
        <v>1</v>
      </c>
      <c r="M896" t="s">
        <v>0</v>
      </c>
      <c r="N896" t="s">
        <v>1266</v>
      </c>
      <c r="O896" t="s">
        <v>1266</v>
      </c>
      <c r="P896" t="s">
        <v>1266</v>
      </c>
      <c r="Q896" t="s">
        <v>1266</v>
      </c>
      <c r="R896" t="s">
        <v>1266</v>
      </c>
    </row>
    <row r="897" spans="1:18" x14ac:dyDescent="0.3">
      <c r="A897" t="s">
        <v>466</v>
      </c>
      <c r="B897">
        <v>5</v>
      </c>
      <c r="C897" t="s">
        <v>0</v>
      </c>
      <c r="D897" t="s">
        <v>466</v>
      </c>
      <c r="E897">
        <v>30</v>
      </c>
      <c r="F897" t="s">
        <v>465</v>
      </c>
      <c r="I897">
        <v>5</v>
      </c>
      <c r="J897" t="s">
        <v>1312</v>
      </c>
      <c r="K897">
        <v>566</v>
      </c>
      <c r="L897" t="s">
        <v>0</v>
      </c>
      <c r="M897" t="s">
        <v>0</v>
      </c>
      <c r="N897" t="s">
        <v>1266</v>
      </c>
      <c r="O897" t="s">
        <v>1266</v>
      </c>
      <c r="P897" t="s">
        <v>1266</v>
      </c>
      <c r="Q897" t="s">
        <v>1266</v>
      </c>
      <c r="R897" t="s">
        <v>1266</v>
      </c>
    </row>
    <row r="898" spans="1:18" x14ac:dyDescent="0.3">
      <c r="A898" t="s">
        <v>432</v>
      </c>
      <c r="B898">
        <v>6</v>
      </c>
      <c r="C898" t="s">
        <v>1</v>
      </c>
      <c r="D898" t="s">
        <v>432</v>
      </c>
      <c r="E898">
        <v>30</v>
      </c>
      <c r="F898" t="s">
        <v>51</v>
      </c>
      <c r="I898">
        <v>21</v>
      </c>
      <c r="J898" t="s">
        <v>1312</v>
      </c>
      <c r="K898">
        <v>567</v>
      </c>
      <c r="L898" t="s">
        <v>1</v>
      </c>
      <c r="M898" t="s">
        <v>0</v>
      </c>
      <c r="N898" t="s">
        <v>1266</v>
      </c>
      <c r="O898" t="s">
        <v>1266</v>
      </c>
      <c r="P898" t="s">
        <v>1266</v>
      </c>
      <c r="Q898" t="s">
        <v>1266</v>
      </c>
      <c r="R898" t="s">
        <v>1266</v>
      </c>
    </row>
    <row r="899" spans="1:18" x14ac:dyDescent="0.3">
      <c r="A899" t="s">
        <v>52</v>
      </c>
      <c r="B899">
        <v>1</v>
      </c>
      <c r="C899" t="s">
        <v>1</v>
      </c>
      <c r="D899" t="s">
        <v>52</v>
      </c>
      <c r="E899">
        <v>30</v>
      </c>
      <c r="F899" t="s">
        <v>52</v>
      </c>
      <c r="I899">
        <v>21</v>
      </c>
      <c r="J899" t="s">
        <v>1306</v>
      </c>
      <c r="K899">
        <v>977</v>
      </c>
      <c r="L899" t="s">
        <v>1</v>
      </c>
      <c r="M899" t="s">
        <v>0</v>
      </c>
      <c r="N899" t="s">
        <v>1266</v>
      </c>
      <c r="O899" t="s">
        <v>1266</v>
      </c>
      <c r="P899" t="s">
        <v>1266</v>
      </c>
      <c r="Q899" t="s">
        <v>1266</v>
      </c>
      <c r="R899" t="s">
        <v>1266</v>
      </c>
    </row>
    <row r="900" spans="1:18" x14ac:dyDescent="0.3">
      <c r="A900" t="s">
        <v>1386</v>
      </c>
      <c r="B900">
        <v>2</v>
      </c>
      <c r="C900" t="s">
        <v>0</v>
      </c>
      <c r="D900" t="s">
        <v>1386</v>
      </c>
      <c r="E900">
        <v>30</v>
      </c>
      <c r="F900" t="s">
        <v>1386</v>
      </c>
      <c r="I900">
        <v>5</v>
      </c>
      <c r="J900" t="s">
        <v>1306</v>
      </c>
      <c r="K900">
        <v>978</v>
      </c>
      <c r="L900" t="s">
        <v>1</v>
      </c>
      <c r="M900" t="s">
        <v>0</v>
      </c>
      <c r="N900" t="s">
        <v>1266</v>
      </c>
      <c r="O900" t="s">
        <v>1266</v>
      </c>
      <c r="P900" t="s">
        <v>1266</v>
      </c>
      <c r="Q900" t="s">
        <v>1266</v>
      </c>
      <c r="R900" t="s">
        <v>1266</v>
      </c>
    </row>
    <row r="901" spans="1:18" x14ac:dyDescent="0.3">
      <c r="A901" t="s">
        <v>434</v>
      </c>
      <c r="B901">
        <v>3</v>
      </c>
      <c r="C901" t="s">
        <v>0</v>
      </c>
      <c r="D901" t="s">
        <v>434</v>
      </c>
      <c r="E901">
        <v>30</v>
      </c>
      <c r="F901" t="s">
        <v>434</v>
      </c>
      <c r="I901">
        <v>9</v>
      </c>
      <c r="J901" t="s">
        <v>1306</v>
      </c>
      <c r="K901">
        <v>979</v>
      </c>
      <c r="L901" t="s">
        <v>1</v>
      </c>
      <c r="M901" t="s">
        <v>0</v>
      </c>
      <c r="N901" t="s">
        <v>1266</v>
      </c>
      <c r="O901" t="s">
        <v>1266</v>
      </c>
      <c r="P901" t="s">
        <v>1266</v>
      </c>
      <c r="Q901" t="s">
        <v>1266</v>
      </c>
      <c r="R901" t="s">
        <v>1266</v>
      </c>
    </row>
    <row r="902" spans="1:18" x14ac:dyDescent="0.3">
      <c r="A902" t="s">
        <v>1405</v>
      </c>
      <c r="B902">
        <v>4</v>
      </c>
      <c r="C902" t="s">
        <v>1</v>
      </c>
      <c r="D902" t="s">
        <v>1405</v>
      </c>
      <c r="E902">
        <v>30</v>
      </c>
      <c r="F902" t="s">
        <v>1405</v>
      </c>
      <c r="I902">
        <v>5</v>
      </c>
      <c r="J902" t="s">
        <v>1306</v>
      </c>
      <c r="K902">
        <v>980</v>
      </c>
      <c r="L902" t="s">
        <v>1</v>
      </c>
      <c r="M902" t="s">
        <v>0</v>
      </c>
      <c r="N902" t="s">
        <v>1266</v>
      </c>
      <c r="O902" t="s">
        <v>1266</v>
      </c>
      <c r="P902" t="s">
        <v>1266</v>
      </c>
      <c r="Q902" t="s">
        <v>1266</v>
      </c>
      <c r="R902" t="s">
        <v>1266</v>
      </c>
    </row>
    <row r="903" spans="1:18" x14ac:dyDescent="0.3">
      <c r="A903" t="s">
        <v>513</v>
      </c>
      <c r="B903">
        <v>5</v>
      </c>
      <c r="C903" t="s">
        <v>0</v>
      </c>
      <c r="D903" t="s">
        <v>513</v>
      </c>
      <c r="E903">
        <v>30</v>
      </c>
      <c r="F903" t="s">
        <v>513</v>
      </c>
      <c r="I903">
        <v>1</v>
      </c>
      <c r="J903" t="s">
        <v>1306</v>
      </c>
      <c r="K903">
        <v>981</v>
      </c>
      <c r="L903" t="s">
        <v>0</v>
      </c>
      <c r="M903" t="s">
        <v>0</v>
      </c>
      <c r="N903" t="s">
        <v>1266</v>
      </c>
      <c r="O903" t="s">
        <v>1266</v>
      </c>
      <c r="P903" t="s">
        <v>1266</v>
      </c>
      <c r="Q903" t="s">
        <v>1266</v>
      </c>
      <c r="R903" t="s">
        <v>1266</v>
      </c>
    </row>
    <row r="904" spans="1:18" x14ac:dyDescent="0.3">
      <c r="A904" t="s">
        <v>51</v>
      </c>
      <c r="B904">
        <v>6</v>
      </c>
      <c r="C904" t="s">
        <v>1</v>
      </c>
      <c r="D904" t="s">
        <v>51</v>
      </c>
      <c r="E904">
        <v>30</v>
      </c>
      <c r="F904" t="s">
        <v>51</v>
      </c>
      <c r="I904">
        <v>21</v>
      </c>
      <c r="J904" t="s">
        <v>1306</v>
      </c>
      <c r="K904">
        <v>982</v>
      </c>
      <c r="L904" t="s">
        <v>1</v>
      </c>
      <c r="M904" t="s">
        <v>0</v>
      </c>
      <c r="N904" t="s">
        <v>1266</v>
      </c>
      <c r="O904" t="s">
        <v>1266</v>
      </c>
      <c r="P904" t="s">
        <v>1266</v>
      </c>
      <c r="Q904" t="s">
        <v>1266</v>
      </c>
      <c r="R904" t="s">
        <v>1266</v>
      </c>
    </row>
    <row r="905" spans="1:18" x14ac:dyDescent="0.3">
      <c r="A905" t="s">
        <v>1489</v>
      </c>
      <c r="B905">
        <v>1</v>
      </c>
      <c r="C905" t="s">
        <v>0</v>
      </c>
      <c r="D905" t="s">
        <v>1489</v>
      </c>
      <c r="E905">
        <v>30</v>
      </c>
      <c r="F905" t="s">
        <v>1489</v>
      </c>
      <c r="I905">
        <v>16</v>
      </c>
      <c r="J905" t="s">
        <v>1349</v>
      </c>
      <c r="K905">
        <v>983</v>
      </c>
      <c r="L905" t="s">
        <v>1</v>
      </c>
      <c r="M905" t="s">
        <v>0</v>
      </c>
      <c r="N905" t="s">
        <v>1266</v>
      </c>
      <c r="O905" t="s">
        <v>1266</v>
      </c>
      <c r="P905" t="s">
        <v>1266</v>
      </c>
      <c r="Q905" t="s">
        <v>1266</v>
      </c>
      <c r="R905" t="s">
        <v>1266</v>
      </c>
    </row>
    <row r="906" spans="1:18" x14ac:dyDescent="0.3">
      <c r="A906" t="s">
        <v>1386</v>
      </c>
      <c r="B906">
        <v>2</v>
      </c>
      <c r="C906" t="s">
        <v>1</v>
      </c>
      <c r="D906" t="s">
        <v>1386</v>
      </c>
      <c r="E906">
        <v>30</v>
      </c>
      <c r="F906" t="s">
        <v>1386</v>
      </c>
      <c r="I906">
        <v>5</v>
      </c>
      <c r="J906" t="s">
        <v>1349</v>
      </c>
      <c r="K906">
        <v>984</v>
      </c>
      <c r="L906" t="s">
        <v>0</v>
      </c>
      <c r="M906" t="s">
        <v>0</v>
      </c>
      <c r="N906" t="s">
        <v>1266</v>
      </c>
      <c r="O906" t="s">
        <v>1266</v>
      </c>
      <c r="P906" t="s">
        <v>1266</v>
      </c>
      <c r="Q906" t="s">
        <v>1266</v>
      </c>
      <c r="R906" t="s">
        <v>1266</v>
      </c>
    </row>
    <row r="907" spans="1:18" x14ac:dyDescent="0.3">
      <c r="A907" t="s">
        <v>697</v>
      </c>
      <c r="B907">
        <v>3</v>
      </c>
      <c r="C907" t="s">
        <v>0</v>
      </c>
      <c r="D907" t="s">
        <v>697</v>
      </c>
      <c r="E907">
        <v>30</v>
      </c>
      <c r="F907" t="s">
        <v>697</v>
      </c>
      <c r="I907">
        <v>19</v>
      </c>
      <c r="J907" t="s">
        <v>1349</v>
      </c>
      <c r="K907">
        <v>985</v>
      </c>
      <c r="L907" t="s">
        <v>1</v>
      </c>
      <c r="M907" t="s">
        <v>0</v>
      </c>
      <c r="N907" t="s">
        <v>1266</v>
      </c>
      <c r="O907" t="s">
        <v>1266</v>
      </c>
      <c r="P907" t="s">
        <v>1266</v>
      </c>
      <c r="Q907" t="s">
        <v>1266</v>
      </c>
      <c r="R907" t="s">
        <v>1266</v>
      </c>
    </row>
    <row r="908" spans="1:18" x14ac:dyDescent="0.3">
      <c r="A908" t="s">
        <v>437</v>
      </c>
      <c r="B908">
        <v>4</v>
      </c>
      <c r="C908" t="s">
        <v>0</v>
      </c>
      <c r="D908" t="s">
        <v>437</v>
      </c>
      <c r="E908">
        <v>30</v>
      </c>
      <c r="F908" t="s">
        <v>437</v>
      </c>
      <c r="I908">
        <v>19</v>
      </c>
      <c r="J908" t="s">
        <v>1349</v>
      </c>
      <c r="K908">
        <v>986</v>
      </c>
      <c r="L908" t="s">
        <v>1</v>
      </c>
      <c r="M908" t="s">
        <v>0</v>
      </c>
      <c r="N908" t="s">
        <v>1266</v>
      </c>
      <c r="O908" t="s">
        <v>1266</v>
      </c>
      <c r="P908" t="s">
        <v>1266</v>
      </c>
      <c r="Q908" t="s">
        <v>1266</v>
      </c>
      <c r="R908" t="s">
        <v>1266</v>
      </c>
    </row>
    <row r="909" spans="1:18" x14ac:dyDescent="0.3">
      <c r="A909" t="s">
        <v>611</v>
      </c>
      <c r="B909">
        <v>5</v>
      </c>
      <c r="C909" t="s">
        <v>0</v>
      </c>
      <c r="D909" t="s">
        <v>611</v>
      </c>
      <c r="E909">
        <v>30</v>
      </c>
      <c r="F909" t="s">
        <v>611</v>
      </c>
      <c r="I909">
        <v>9</v>
      </c>
      <c r="J909" t="s">
        <v>1349</v>
      </c>
      <c r="K909">
        <v>987</v>
      </c>
      <c r="L909" t="s">
        <v>1</v>
      </c>
      <c r="M909" t="s">
        <v>0</v>
      </c>
      <c r="N909" t="s">
        <v>1266</v>
      </c>
      <c r="O909" t="s">
        <v>1266</v>
      </c>
      <c r="P909" t="s">
        <v>1266</v>
      </c>
      <c r="Q909" t="s">
        <v>1266</v>
      </c>
      <c r="R909" t="s">
        <v>1266</v>
      </c>
    </row>
    <row r="910" spans="1:18" x14ac:dyDescent="0.3">
      <c r="A910" t="s">
        <v>440</v>
      </c>
      <c r="B910">
        <v>6</v>
      </c>
      <c r="C910" t="s">
        <v>1</v>
      </c>
      <c r="D910" t="s">
        <v>440</v>
      </c>
      <c r="E910">
        <v>30</v>
      </c>
      <c r="F910" t="s">
        <v>440</v>
      </c>
      <c r="I910">
        <v>12</v>
      </c>
      <c r="J910" t="s">
        <v>1349</v>
      </c>
      <c r="K910">
        <v>988</v>
      </c>
      <c r="L910" t="s">
        <v>1</v>
      </c>
      <c r="M910" t="s">
        <v>0</v>
      </c>
      <c r="N910" t="s">
        <v>1266</v>
      </c>
      <c r="O910" t="s">
        <v>1266</v>
      </c>
      <c r="P910" t="s">
        <v>1266</v>
      </c>
      <c r="Q910" t="s">
        <v>1266</v>
      </c>
      <c r="R910" t="s">
        <v>1266</v>
      </c>
    </row>
    <row r="911" spans="1:18" x14ac:dyDescent="0.3">
      <c r="A911" t="s">
        <v>429</v>
      </c>
      <c r="B911">
        <v>7</v>
      </c>
      <c r="C911" t="s">
        <v>1</v>
      </c>
      <c r="D911" t="s">
        <v>429</v>
      </c>
      <c r="E911">
        <v>30</v>
      </c>
      <c r="F911" t="s">
        <v>429</v>
      </c>
      <c r="I911">
        <v>12</v>
      </c>
      <c r="J911" t="s">
        <v>1349</v>
      </c>
      <c r="K911">
        <v>989</v>
      </c>
      <c r="L911" t="s">
        <v>1</v>
      </c>
      <c r="M911" t="s">
        <v>0</v>
      </c>
      <c r="N911" t="s">
        <v>1266</v>
      </c>
      <c r="O911" t="s">
        <v>1266</v>
      </c>
      <c r="P911" t="s">
        <v>1266</v>
      </c>
      <c r="Q911" t="s">
        <v>1266</v>
      </c>
      <c r="R911" t="s">
        <v>1266</v>
      </c>
    </row>
    <row r="912" spans="1:18" x14ac:dyDescent="0.3">
      <c r="A912" t="s">
        <v>498</v>
      </c>
      <c r="B912">
        <v>8</v>
      </c>
      <c r="C912" t="s">
        <v>1</v>
      </c>
      <c r="D912" t="s">
        <v>498</v>
      </c>
      <c r="E912">
        <v>30</v>
      </c>
      <c r="F912" t="s">
        <v>498</v>
      </c>
      <c r="I912">
        <v>5</v>
      </c>
      <c r="J912" t="s">
        <v>1349</v>
      </c>
      <c r="K912">
        <v>990</v>
      </c>
      <c r="L912" t="s">
        <v>1</v>
      </c>
      <c r="M912" t="s">
        <v>0</v>
      </c>
      <c r="N912" t="s">
        <v>1266</v>
      </c>
      <c r="O912" t="s">
        <v>1266</v>
      </c>
      <c r="P912" t="s">
        <v>1266</v>
      </c>
      <c r="Q912" t="s">
        <v>1266</v>
      </c>
      <c r="R912" t="s">
        <v>1266</v>
      </c>
    </row>
    <row r="913" spans="1:18" x14ac:dyDescent="0.3">
      <c r="A913" t="s">
        <v>492</v>
      </c>
      <c r="B913">
        <v>9</v>
      </c>
      <c r="C913" t="s">
        <v>1</v>
      </c>
      <c r="D913" t="s">
        <v>492</v>
      </c>
      <c r="E913">
        <v>30</v>
      </c>
      <c r="F913" t="s">
        <v>492</v>
      </c>
      <c r="I913">
        <v>21</v>
      </c>
      <c r="J913" t="s">
        <v>1349</v>
      </c>
      <c r="K913">
        <v>991</v>
      </c>
      <c r="L913" t="s">
        <v>1</v>
      </c>
      <c r="M913" t="s">
        <v>0</v>
      </c>
      <c r="N913" t="s">
        <v>1266</v>
      </c>
      <c r="O913" t="s">
        <v>1266</v>
      </c>
      <c r="P913" t="s">
        <v>1266</v>
      </c>
      <c r="Q913" t="s">
        <v>1266</v>
      </c>
      <c r="R913" t="s">
        <v>1266</v>
      </c>
    </row>
    <row r="914" spans="1:18" x14ac:dyDescent="0.3">
      <c r="A914" t="s">
        <v>553</v>
      </c>
      <c r="B914">
        <v>1</v>
      </c>
      <c r="C914" t="s">
        <v>0</v>
      </c>
      <c r="D914" t="s">
        <v>553</v>
      </c>
      <c r="E914">
        <v>30</v>
      </c>
      <c r="F914" t="s">
        <v>553</v>
      </c>
      <c r="I914">
        <v>1</v>
      </c>
      <c r="J914" t="s">
        <v>1352</v>
      </c>
      <c r="K914">
        <v>568</v>
      </c>
      <c r="L914" t="s">
        <v>1</v>
      </c>
      <c r="M914" t="s">
        <v>0</v>
      </c>
      <c r="N914" t="s">
        <v>1266</v>
      </c>
      <c r="O914" t="s">
        <v>1266</v>
      </c>
      <c r="P914" t="s">
        <v>1266</v>
      </c>
      <c r="Q914" t="s">
        <v>1266</v>
      </c>
      <c r="R914" t="s">
        <v>1266</v>
      </c>
    </row>
    <row r="915" spans="1:18" x14ac:dyDescent="0.3">
      <c r="A915" t="s">
        <v>496</v>
      </c>
      <c r="B915">
        <v>2</v>
      </c>
      <c r="C915" t="s">
        <v>1</v>
      </c>
      <c r="D915" t="s">
        <v>496</v>
      </c>
      <c r="E915">
        <v>30</v>
      </c>
      <c r="F915" t="s">
        <v>496</v>
      </c>
      <c r="I915">
        <v>5</v>
      </c>
      <c r="J915" t="s">
        <v>1352</v>
      </c>
      <c r="K915">
        <v>569</v>
      </c>
      <c r="L915" t="s">
        <v>0</v>
      </c>
      <c r="M915" t="s">
        <v>0</v>
      </c>
      <c r="N915" t="s">
        <v>1266</v>
      </c>
      <c r="O915" t="s">
        <v>1266</v>
      </c>
      <c r="P915" t="s">
        <v>1266</v>
      </c>
      <c r="Q915" t="s">
        <v>1266</v>
      </c>
      <c r="R915" t="s">
        <v>1266</v>
      </c>
    </row>
    <row r="916" spans="1:18" x14ac:dyDescent="0.3">
      <c r="A916" t="s">
        <v>554</v>
      </c>
      <c r="B916">
        <v>3</v>
      </c>
      <c r="C916" t="s">
        <v>0</v>
      </c>
      <c r="D916" t="s">
        <v>554</v>
      </c>
      <c r="E916">
        <v>30</v>
      </c>
      <c r="F916" t="s">
        <v>554</v>
      </c>
      <c r="I916">
        <v>3</v>
      </c>
      <c r="J916" t="s">
        <v>1352</v>
      </c>
      <c r="K916">
        <v>570</v>
      </c>
      <c r="L916" t="s">
        <v>1</v>
      </c>
      <c r="M916" t="s">
        <v>0</v>
      </c>
      <c r="N916" t="s">
        <v>1266</v>
      </c>
      <c r="O916" t="s">
        <v>1266</v>
      </c>
      <c r="P916" t="s">
        <v>1266</v>
      </c>
      <c r="Q916" t="s">
        <v>1266</v>
      </c>
      <c r="R916" t="s">
        <v>1266</v>
      </c>
    </row>
    <row r="917" spans="1:18" x14ac:dyDescent="0.3">
      <c r="A917" t="s">
        <v>438</v>
      </c>
      <c r="B917">
        <v>4</v>
      </c>
      <c r="C917" t="s">
        <v>1</v>
      </c>
      <c r="D917" t="s">
        <v>438</v>
      </c>
      <c r="E917">
        <v>30</v>
      </c>
      <c r="F917" t="s">
        <v>438</v>
      </c>
      <c r="I917">
        <v>12</v>
      </c>
      <c r="J917" t="s">
        <v>1352</v>
      </c>
      <c r="K917">
        <v>571</v>
      </c>
      <c r="L917" t="s">
        <v>1</v>
      </c>
      <c r="M917" t="s">
        <v>0</v>
      </c>
      <c r="N917" t="s">
        <v>1266</v>
      </c>
      <c r="O917" t="s">
        <v>1266</v>
      </c>
      <c r="P917" t="s">
        <v>1266</v>
      </c>
      <c r="Q917" t="s">
        <v>1266</v>
      </c>
      <c r="R917" t="s">
        <v>1266</v>
      </c>
    </row>
    <row r="918" spans="1:18" x14ac:dyDescent="0.3">
      <c r="A918" t="s">
        <v>440</v>
      </c>
      <c r="B918">
        <v>5</v>
      </c>
      <c r="C918" t="s">
        <v>1</v>
      </c>
      <c r="D918" t="s">
        <v>440</v>
      </c>
      <c r="E918">
        <v>30</v>
      </c>
      <c r="F918" t="s">
        <v>440</v>
      </c>
      <c r="I918">
        <v>12</v>
      </c>
      <c r="J918" t="s">
        <v>1352</v>
      </c>
      <c r="K918">
        <v>572</v>
      </c>
      <c r="L918" t="s">
        <v>1</v>
      </c>
      <c r="M918" t="s">
        <v>0</v>
      </c>
      <c r="N918" t="s">
        <v>1266</v>
      </c>
      <c r="O918" t="s">
        <v>1266</v>
      </c>
      <c r="P918" t="s">
        <v>1266</v>
      </c>
      <c r="Q918" t="s">
        <v>1266</v>
      </c>
      <c r="R918" t="s">
        <v>1266</v>
      </c>
    </row>
    <row r="919" spans="1:18" x14ac:dyDescent="0.3">
      <c r="A919" t="s">
        <v>429</v>
      </c>
      <c r="B919">
        <v>6</v>
      </c>
      <c r="C919" t="s">
        <v>1</v>
      </c>
      <c r="D919" t="s">
        <v>429</v>
      </c>
      <c r="E919">
        <v>30</v>
      </c>
      <c r="F919" t="s">
        <v>429</v>
      </c>
      <c r="I919">
        <v>12</v>
      </c>
      <c r="J919" t="s">
        <v>1352</v>
      </c>
      <c r="K919">
        <v>573</v>
      </c>
      <c r="L919" t="s">
        <v>1</v>
      </c>
      <c r="M919" t="s">
        <v>0</v>
      </c>
      <c r="N919" t="s">
        <v>1266</v>
      </c>
      <c r="O919" t="s">
        <v>1266</v>
      </c>
      <c r="P919" t="s">
        <v>1266</v>
      </c>
      <c r="Q919" t="s">
        <v>1266</v>
      </c>
      <c r="R919" t="s">
        <v>1266</v>
      </c>
    </row>
    <row r="920" spans="1:18" x14ac:dyDescent="0.3">
      <c r="A920" t="s">
        <v>498</v>
      </c>
      <c r="B920">
        <v>7</v>
      </c>
      <c r="C920" t="s">
        <v>1</v>
      </c>
      <c r="D920" t="s">
        <v>498</v>
      </c>
      <c r="E920">
        <v>30</v>
      </c>
      <c r="F920" t="s">
        <v>498</v>
      </c>
      <c r="I920">
        <v>5</v>
      </c>
      <c r="J920" t="s">
        <v>1352</v>
      </c>
      <c r="K920">
        <v>574</v>
      </c>
      <c r="L920" t="s">
        <v>1</v>
      </c>
      <c r="M920" t="s">
        <v>0</v>
      </c>
      <c r="N920" t="s">
        <v>1266</v>
      </c>
      <c r="O920" t="s">
        <v>1266</v>
      </c>
      <c r="P920" t="s">
        <v>1266</v>
      </c>
      <c r="Q920" t="s">
        <v>1266</v>
      </c>
      <c r="R920" t="s">
        <v>1266</v>
      </c>
    </row>
    <row r="921" spans="1:18" x14ac:dyDescent="0.3">
      <c r="A921" t="s">
        <v>492</v>
      </c>
      <c r="B921">
        <v>8</v>
      </c>
      <c r="C921" t="s">
        <v>1</v>
      </c>
      <c r="D921" t="s">
        <v>492</v>
      </c>
      <c r="E921">
        <v>30</v>
      </c>
      <c r="F921" t="s">
        <v>492</v>
      </c>
      <c r="I921">
        <v>21</v>
      </c>
      <c r="J921" t="s">
        <v>1352</v>
      </c>
      <c r="K921">
        <v>575</v>
      </c>
      <c r="L921" t="s">
        <v>1</v>
      </c>
      <c r="M921" t="s">
        <v>0</v>
      </c>
      <c r="N921" t="s">
        <v>1266</v>
      </c>
      <c r="O921" t="s">
        <v>1266</v>
      </c>
      <c r="P921" t="s">
        <v>1266</v>
      </c>
      <c r="Q921" t="s">
        <v>1266</v>
      </c>
      <c r="R921" t="s">
        <v>1266</v>
      </c>
    </row>
    <row r="922" spans="1:18" x14ac:dyDescent="0.3">
      <c r="A922" t="s">
        <v>907</v>
      </c>
      <c r="B922">
        <v>1</v>
      </c>
      <c r="C922" t="s">
        <v>0</v>
      </c>
      <c r="D922" t="s">
        <v>907</v>
      </c>
      <c r="E922">
        <v>30</v>
      </c>
      <c r="F922" t="s">
        <v>907</v>
      </c>
      <c r="I922">
        <v>1</v>
      </c>
      <c r="J922" t="s">
        <v>1341</v>
      </c>
      <c r="K922">
        <v>576</v>
      </c>
      <c r="L922" t="s">
        <v>1</v>
      </c>
      <c r="M922" t="s">
        <v>0</v>
      </c>
      <c r="N922" t="s">
        <v>1266</v>
      </c>
      <c r="O922" t="s">
        <v>1266</v>
      </c>
      <c r="P922" t="s">
        <v>1266</v>
      </c>
      <c r="Q922" t="s">
        <v>1266</v>
      </c>
      <c r="R922" t="s">
        <v>1266</v>
      </c>
    </row>
    <row r="923" spans="1:18" x14ac:dyDescent="0.3">
      <c r="A923" t="s">
        <v>718</v>
      </c>
      <c r="B923">
        <v>2</v>
      </c>
      <c r="C923" t="s">
        <v>1</v>
      </c>
      <c r="D923" t="s">
        <v>718</v>
      </c>
      <c r="E923">
        <v>30</v>
      </c>
      <c r="F923" t="s">
        <v>718</v>
      </c>
      <c r="I923">
        <v>5</v>
      </c>
      <c r="J923" t="s">
        <v>1341</v>
      </c>
      <c r="K923">
        <v>577</v>
      </c>
      <c r="L923" t="s">
        <v>0</v>
      </c>
      <c r="M923" t="s">
        <v>0</v>
      </c>
      <c r="N923" t="s">
        <v>1266</v>
      </c>
      <c r="O923" t="s">
        <v>1266</v>
      </c>
      <c r="P923" t="s">
        <v>1266</v>
      </c>
      <c r="Q923" t="s">
        <v>1266</v>
      </c>
      <c r="R923" t="s">
        <v>1266</v>
      </c>
    </row>
    <row r="924" spans="1:18" x14ac:dyDescent="0.3">
      <c r="A924" t="s">
        <v>908</v>
      </c>
      <c r="B924">
        <v>3</v>
      </c>
      <c r="C924" t="s">
        <v>0</v>
      </c>
      <c r="D924" t="s">
        <v>908</v>
      </c>
      <c r="E924">
        <v>30</v>
      </c>
      <c r="F924" t="s">
        <v>908</v>
      </c>
      <c r="I924">
        <v>3</v>
      </c>
      <c r="J924" t="s">
        <v>1341</v>
      </c>
      <c r="K924">
        <v>578</v>
      </c>
      <c r="L924" t="s">
        <v>1</v>
      </c>
      <c r="M924" t="s">
        <v>0</v>
      </c>
      <c r="N924" t="s">
        <v>1266</v>
      </c>
      <c r="O924" t="s">
        <v>1266</v>
      </c>
      <c r="P924" t="s">
        <v>1266</v>
      </c>
      <c r="Q924" t="s">
        <v>1266</v>
      </c>
      <c r="R924" t="s">
        <v>1266</v>
      </c>
    </row>
    <row r="925" spans="1:18" x14ac:dyDescent="0.3">
      <c r="A925" t="s">
        <v>438</v>
      </c>
      <c r="B925">
        <v>4</v>
      </c>
      <c r="C925" t="s">
        <v>1</v>
      </c>
      <c r="D925" t="s">
        <v>438</v>
      </c>
      <c r="E925">
        <v>30</v>
      </c>
      <c r="F925" t="s">
        <v>438</v>
      </c>
      <c r="I925">
        <v>12</v>
      </c>
      <c r="J925" t="s">
        <v>1341</v>
      </c>
      <c r="K925">
        <v>579</v>
      </c>
      <c r="L925" t="s">
        <v>1</v>
      </c>
      <c r="M925" t="s">
        <v>0</v>
      </c>
      <c r="N925" t="s">
        <v>1266</v>
      </c>
      <c r="O925" t="s">
        <v>1266</v>
      </c>
      <c r="P925" t="s">
        <v>1266</v>
      </c>
      <c r="Q925" t="s">
        <v>1266</v>
      </c>
      <c r="R925" t="s">
        <v>1266</v>
      </c>
    </row>
    <row r="926" spans="1:18" x14ac:dyDescent="0.3">
      <c r="A926" t="s">
        <v>440</v>
      </c>
      <c r="B926">
        <v>5</v>
      </c>
      <c r="C926" t="s">
        <v>1</v>
      </c>
      <c r="D926" t="s">
        <v>440</v>
      </c>
      <c r="E926">
        <v>30</v>
      </c>
      <c r="F926" t="s">
        <v>440</v>
      </c>
      <c r="I926">
        <v>12</v>
      </c>
      <c r="J926" t="s">
        <v>1341</v>
      </c>
      <c r="K926">
        <v>580</v>
      </c>
      <c r="L926" t="s">
        <v>1</v>
      </c>
      <c r="M926" t="s">
        <v>0</v>
      </c>
      <c r="N926" t="s">
        <v>1266</v>
      </c>
      <c r="O926" t="s">
        <v>1266</v>
      </c>
      <c r="P926" t="s">
        <v>1266</v>
      </c>
      <c r="Q926" t="s">
        <v>1266</v>
      </c>
      <c r="R926" t="s">
        <v>1266</v>
      </c>
    </row>
    <row r="927" spans="1:18" x14ac:dyDescent="0.3">
      <c r="A927" t="s">
        <v>429</v>
      </c>
      <c r="B927">
        <v>6</v>
      </c>
      <c r="C927" t="s">
        <v>1</v>
      </c>
      <c r="D927" t="s">
        <v>429</v>
      </c>
      <c r="E927">
        <v>30</v>
      </c>
      <c r="F927" t="s">
        <v>429</v>
      </c>
      <c r="I927">
        <v>12</v>
      </c>
      <c r="J927" t="s">
        <v>1341</v>
      </c>
      <c r="K927">
        <v>581</v>
      </c>
      <c r="L927" t="s">
        <v>1</v>
      </c>
      <c r="M927" t="s">
        <v>0</v>
      </c>
      <c r="N927" t="s">
        <v>1266</v>
      </c>
      <c r="O927" t="s">
        <v>1266</v>
      </c>
      <c r="P927" t="s">
        <v>1266</v>
      </c>
      <c r="Q927" t="s">
        <v>1266</v>
      </c>
      <c r="R927" t="s">
        <v>1266</v>
      </c>
    </row>
    <row r="928" spans="1:18" x14ac:dyDescent="0.3">
      <c r="A928" t="s">
        <v>498</v>
      </c>
      <c r="B928">
        <v>7</v>
      </c>
      <c r="C928" t="s">
        <v>1</v>
      </c>
      <c r="D928" t="s">
        <v>498</v>
      </c>
      <c r="E928">
        <v>30</v>
      </c>
      <c r="F928" t="s">
        <v>498</v>
      </c>
      <c r="I928">
        <v>5</v>
      </c>
      <c r="J928" t="s">
        <v>1341</v>
      </c>
      <c r="K928">
        <v>582</v>
      </c>
      <c r="L928" t="s">
        <v>1</v>
      </c>
      <c r="M928" t="s">
        <v>0</v>
      </c>
      <c r="N928" t="s">
        <v>1266</v>
      </c>
      <c r="O928" t="s">
        <v>1266</v>
      </c>
      <c r="P928" t="s">
        <v>1266</v>
      </c>
      <c r="Q928" t="s">
        <v>1266</v>
      </c>
      <c r="R928" t="s">
        <v>1266</v>
      </c>
    </row>
    <row r="929" spans="1:18" x14ac:dyDescent="0.3">
      <c r="A929" t="s">
        <v>492</v>
      </c>
      <c r="B929">
        <v>8</v>
      </c>
      <c r="C929" t="s">
        <v>1</v>
      </c>
      <c r="D929" t="s">
        <v>492</v>
      </c>
      <c r="E929">
        <v>30</v>
      </c>
      <c r="F929" t="s">
        <v>492</v>
      </c>
      <c r="I929">
        <v>21</v>
      </c>
      <c r="J929" t="s">
        <v>1341</v>
      </c>
      <c r="K929">
        <v>583</v>
      </c>
      <c r="L929" t="s">
        <v>1</v>
      </c>
      <c r="M929" t="s">
        <v>0</v>
      </c>
      <c r="N929" t="s">
        <v>1266</v>
      </c>
      <c r="O929" t="s">
        <v>1266</v>
      </c>
      <c r="P929" t="s">
        <v>1266</v>
      </c>
      <c r="Q929" t="s">
        <v>1266</v>
      </c>
      <c r="R929" t="s">
        <v>1266</v>
      </c>
    </row>
    <row r="930" spans="1:18" x14ac:dyDescent="0.3">
      <c r="A930" t="s">
        <v>919</v>
      </c>
      <c r="B930">
        <v>1</v>
      </c>
      <c r="C930" t="s">
        <v>0</v>
      </c>
      <c r="D930" t="s">
        <v>919</v>
      </c>
      <c r="E930">
        <v>30</v>
      </c>
      <c r="F930" t="s">
        <v>919</v>
      </c>
      <c r="I930">
        <v>3</v>
      </c>
      <c r="J930" t="s">
        <v>1323</v>
      </c>
      <c r="K930">
        <v>584</v>
      </c>
      <c r="L930" t="s">
        <v>1</v>
      </c>
      <c r="M930" t="s">
        <v>0</v>
      </c>
      <c r="N930" t="s">
        <v>1266</v>
      </c>
      <c r="O930" t="s">
        <v>1266</v>
      </c>
      <c r="P930" t="s">
        <v>1266</v>
      </c>
      <c r="Q930" t="s">
        <v>1266</v>
      </c>
      <c r="R930" t="s">
        <v>1266</v>
      </c>
    </row>
    <row r="931" spans="1:18" x14ac:dyDescent="0.3">
      <c r="A931" t="s">
        <v>614</v>
      </c>
      <c r="B931">
        <v>2</v>
      </c>
      <c r="C931" t="s">
        <v>1</v>
      </c>
      <c r="D931" t="s">
        <v>614</v>
      </c>
      <c r="E931">
        <v>30</v>
      </c>
      <c r="F931" t="s">
        <v>614</v>
      </c>
      <c r="I931">
        <v>5</v>
      </c>
      <c r="J931" t="s">
        <v>1323</v>
      </c>
      <c r="K931">
        <v>585</v>
      </c>
      <c r="L931" t="s">
        <v>0</v>
      </c>
      <c r="M931" t="s">
        <v>0</v>
      </c>
      <c r="N931" t="s">
        <v>1266</v>
      </c>
      <c r="O931" t="s">
        <v>1266</v>
      </c>
      <c r="P931" t="s">
        <v>1266</v>
      </c>
      <c r="Q931" t="s">
        <v>1266</v>
      </c>
      <c r="R931" t="s">
        <v>1266</v>
      </c>
    </row>
    <row r="932" spans="1:18" x14ac:dyDescent="0.3">
      <c r="A932" t="s">
        <v>918</v>
      </c>
      <c r="B932">
        <v>3</v>
      </c>
      <c r="C932" t="s">
        <v>1</v>
      </c>
      <c r="D932" t="s">
        <v>918</v>
      </c>
      <c r="E932">
        <v>30</v>
      </c>
      <c r="F932" t="s">
        <v>918</v>
      </c>
      <c r="I932">
        <v>6</v>
      </c>
      <c r="J932" t="s">
        <v>1323</v>
      </c>
      <c r="K932">
        <v>586</v>
      </c>
      <c r="L932" t="s">
        <v>1</v>
      </c>
      <c r="M932" t="s">
        <v>0</v>
      </c>
      <c r="N932" t="s">
        <v>1266</v>
      </c>
      <c r="O932" t="s">
        <v>1266</v>
      </c>
      <c r="P932" t="s">
        <v>1266</v>
      </c>
      <c r="Q932" t="s">
        <v>1266</v>
      </c>
      <c r="R932" t="s">
        <v>1266</v>
      </c>
    </row>
    <row r="933" spans="1:18" x14ac:dyDescent="0.3">
      <c r="A933" t="s">
        <v>920</v>
      </c>
      <c r="B933">
        <v>4</v>
      </c>
      <c r="C933" t="s">
        <v>0</v>
      </c>
      <c r="D933" t="s">
        <v>920</v>
      </c>
      <c r="E933">
        <v>30</v>
      </c>
      <c r="F933" t="s">
        <v>920</v>
      </c>
      <c r="I933">
        <v>6</v>
      </c>
      <c r="J933" t="s">
        <v>1323</v>
      </c>
      <c r="K933">
        <v>587</v>
      </c>
      <c r="L933" t="s">
        <v>1</v>
      </c>
      <c r="M933" t="s">
        <v>0</v>
      </c>
      <c r="N933" t="s">
        <v>1266</v>
      </c>
      <c r="O933" t="s">
        <v>1266</v>
      </c>
      <c r="P933" t="s">
        <v>1266</v>
      </c>
      <c r="Q933" t="s">
        <v>1266</v>
      </c>
      <c r="R933" t="s">
        <v>1266</v>
      </c>
    </row>
    <row r="934" spans="1:18" x14ac:dyDescent="0.3">
      <c r="A934" t="s">
        <v>438</v>
      </c>
      <c r="B934">
        <v>5</v>
      </c>
      <c r="C934" t="s">
        <v>1</v>
      </c>
      <c r="D934" t="s">
        <v>438</v>
      </c>
      <c r="E934">
        <v>30</v>
      </c>
      <c r="F934" t="s">
        <v>438</v>
      </c>
      <c r="I934">
        <v>12</v>
      </c>
      <c r="J934" t="s">
        <v>1323</v>
      </c>
      <c r="K934">
        <v>588</v>
      </c>
      <c r="L934" t="s">
        <v>1</v>
      </c>
      <c r="M934" t="s">
        <v>0</v>
      </c>
      <c r="N934" t="s">
        <v>1266</v>
      </c>
      <c r="O934" t="s">
        <v>1266</v>
      </c>
      <c r="P934" t="s">
        <v>1266</v>
      </c>
      <c r="Q934" t="s">
        <v>1266</v>
      </c>
      <c r="R934" t="s">
        <v>1266</v>
      </c>
    </row>
    <row r="935" spans="1:18" x14ac:dyDescent="0.3">
      <c r="A935" t="s">
        <v>440</v>
      </c>
      <c r="B935">
        <v>6</v>
      </c>
      <c r="C935" t="s">
        <v>1</v>
      </c>
      <c r="D935" t="s">
        <v>440</v>
      </c>
      <c r="E935">
        <v>30</v>
      </c>
      <c r="F935" t="s">
        <v>440</v>
      </c>
      <c r="I935">
        <v>12</v>
      </c>
      <c r="J935" t="s">
        <v>1323</v>
      </c>
      <c r="K935">
        <v>589</v>
      </c>
      <c r="L935" t="s">
        <v>1</v>
      </c>
      <c r="M935" t="s">
        <v>0</v>
      </c>
      <c r="N935" t="s">
        <v>1266</v>
      </c>
      <c r="O935" t="s">
        <v>1266</v>
      </c>
      <c r="P935" t="s">
        <v>1266</v>
      </c>
      <c r="Q935" t="s">
        <v>1266</v>
      </c>
      <c r="R935" t="s">
        <v>1266</v>
      </c>
    </row>
    <row r="936" spans="1:18" x14ac:dyDescent="0.3">
      <c r="A936" t="s">
        <v>429</v>
      </c>
      <c r="B936">
        <v>7</v>
      </c>
      <c r="C936" t="s">
        <v>1</v>
      </c>
      <c r="D936" t="s">
        <v>429</v>
      </c>
      <c r="E936">
        <v>30</v>
      </c>
      <c r="F936" t="s">
        <v>429</v>
      </c>
      <c r="I936">
        <v>12</v>
      </c>
      <c r="J936" t="s">
        <v>1323</v>
      </c>
      <c r="K936">
        <v>590</v>
      </c>
      <c r="L936" t="s">
        <v>1</v>
      </c>
      <c r="M936" t="s">
        <v>0</v>
      </c>
      <c r="N936" t="s">
        <v>1266</v>
      </c>
      <c r="O936" t="s">
        <v>1266</v>
      </c>
      <c r="P936" t="s">
        <v>1266</v>
      </c>
      <c r="Q936" t="s">
        <v>1266</v>
      </c>
      <c r="R936" t="s">
        <v>1266</v>
      </c>
    </row>
    <row r="937" spans="1:18" x14ac:dyDescent="0.3">
      <c r="A937" t="s">
        <v>498</v>
      </c>
      <c r="B937">
        <v>8</v>
      </c>
      <c r="C937" t="s">
        <v>1</v>
      </c>
      <c r="D937" t="s">
        <v>498</v>
      </c>
      <c r="E937">
        <v>30</v>
      </c>
      <c r="F937" t="s">
        <v>498</v>
      </c>
      <c r="I937">
        <v>5</v>
      </c>
      <c r="J937" t="s">
        <v>1323</v>
      </c>
      <c r="K937">
        <v>591</v>
      </c>
      <c r="L937" t="s">
        <v>1</v>
      </c>
      <c r="M937" t="s">
        <v>0</v>
      </c>
      <c r="N937" t="s">
        <v>1266</v>
      </c>
      <c r="O937" t="s">
        <v>1266</v>
      </c>
      <c r="P937" t="s">
        <v>1266</v>
      </c>
      <c r="Q937" t="s">
        <v>1266</v>
      </c>
      <c r="R937" t="s">
        <v>1266</v>
      </c>
    </row>
    <row r="938" spans="1:18" x14ac:dyDescent="0.3">
      <c r="A938" t="s">
        <v>492</v>
      </c>
      <c r="B938">
        <v>9</v>
      </c>
      <c r="C938" t="s">
        <v>1</v>
      </c>
      <c r="D938" t="s">
        <v>492</v>
      </c>
      <c r="E938">
        <v>30</v>
      </c>
      <c r="F938" t="s">
        <v>492</v>
      </c>
      <c r="I938">
        <v>21</v>
      </c>
      <c r="J938" t="s">
        <v>1323</v>
      </c>
      <c r="K938">
        <v>592</v>
      </c>
      <c r="L938" t="s">
        <v>1</v>
      </c>
      <c r="M938" t="s">
        <v>0</v>
      </c>
      <c r="N938" t="s">
        <v>1266</v>
      </c>
      <c r="O938" t="s">
        <v>1266</v>
      </c>
      <c r="P938" t="s">
        <v>1266</v>
      </c>
      <c r="Q938" t="s">
        <v>1266</v>
      </c>
      <c r="R938" t="s">
        <v>1266</v>
      </c>
    </row>
    <row r="939" spans="1:18" x14ac:dyDescent="0.3">
      <c r="A939" t="s">
        <v>666</v>
      </c>
      <c r="B939">
        <v>1</v>
      </c>
      <c r="C939" t="s">
        <v>1</v>
      </c>
      <c r="D939" t="s">
        <v>666</v>
      </c>
      <c r="E939">
        <v>30</v>
      </c>
      <c r="F939" t="s">
        <v>666</v>
      </c>
      <c r="I939">
        <v>5</v>
      </c>
      <c r="J939" t="s">
        <v>1336</v>
      </c>
      <c r="K939">
        <v>593</v>
      </c>
      <c r="L939" t="s">
        <v>0</v>
      </c>
      <c r="M939" t="s">
        <v>0</v>
      </c>
      <c r="N939" t="s">
        <v>1266</v>
      </c>
      <c r="O939" t="s">
        <v>1266</v>
      </c>
      <c r="P939" t="s">
        <v>1266</v>
      </c>
      <c r="Q939" t="s">
        <v>1266</v>
      </c>
      <c r="R939" t="s">
        <v>1266</v>
      </c>
    </row>
    <row r="940" spans="1:18" x14ac:dyDescent="0.3">
      <c r="A940" t="s">
        <v>709</v>
      </c>
      <c r="B940">
        <v>2</v>
      </c>
      <c r="C940" t="s">
        <v>0</v>
      </c>
      <c r="D940" t="s">
        <v>709</v>
      </c>
      <c r="E940">
        <v>30</v>
      </c>
      <c r="F940" t="s">
        <v>709</v>
      </c>
      <c r="I940">
        <v>1</v>
      </c>
      <c r="J940" t="s">
        <v>1336</v>
      </c>
      <c r="K940">
        <v>594</v>
      </c>
      <c r="L940" t="s">
        <v>1</v>
      </c>
      <c r="M940" t="s">
        <v>0</v>
      </c>
      <c r="N940" t="s">
        <v>1266</v>
      </c>
      <c r="O940" t="s">
        <v>1266</v>
      </c>
      <c r="P940" t="s">
        <v>1266</v>
      </c>
      <c r="Q940" t="s">
        <v>1266</v>
      </c>
      <c r="R940" t="s">
        <v>1266</v>
      </c>
    </row>
    <row r="941" spans="1:18" x14ac:dyDescent="0.3">
      <c r="A941" t="s">
        <v>710</v>
      </c>
      <c r="B941">
        <v>3</v>
      </c>
      <c r="C941" t="s">
        <v>0</v>
      </c>
      <c r="D941" t="s">
        <v>710</v>
      </c>
      <c r="E941">
        <v>30</v>
      </c>
      <c r="F941" t="s">
        <v>710</v>
      </c>
      <c r="I941">
        <v>3</v>
      </c>
      <c r="J941" t="s">
        <v>1336</v>
      </c>
      <c r="K941">
        <v>595</v>
      </c>
      <c r="L941" t="s">
        <v>1</v>
      </c>
      <c r="M941" t="s">
        <v>0</v>
      </c>
      <c r="N941" t="s">
        <v>1266</v>
      </c>
      <c r="O941" t="s">
        <v>1266</v>
      </c>
      <c r="P941" t="s">
        <v>1266</v>
      </c>
      <c r="Q941" t="s">
        <v>1266</v>
      </c>
      <c r="R941" t="s">
        <v>1266</v>
      </c>
    </row>
    <row r="942" spans="1:18" x14ac:dyDescent="0.3">
      <c r="A942" t="s">
        <v>438</v>
      </c>
      <c r="B942">
        <v>4</v>
      </c>
      <c r="C942" t="s">
        <v>1</v>
      </c>
      <c r="D942" t="s">
        <v>438</v>
      </c>
      <c r="E942">
        <v>30</v>
      </c>
      <c r="F942" t="s">
        <v>438</v>
      </c>
      <c r="I942">
        <v>12</v>
      </c>
      <c r="J942" t="s">
        <v>1336</v>
      </c>
      <c r="K942">
        <v>596</v>
      </c>
      <c r="L942" t="s">
        <v>1</v>
      </c>
      <c r="M942" t="s">
        <v>0</v>
      </c>
      <c r="N942" t="s">
        <v>1266</v>
      </c>
      <c r="O942" t="s">
        <v>1266</v>
      </c>
      <c r="P942" t="s">
        <v>1266</v>
      </c>
      <c r="Q942" t="s">
        <v>1266</v>
      </c>
      <c r="R942" t="s">
        <v>1266</v>
      </c>
    </row>
    <row r="943" spans="1:18" x14ac:dyDescent="0.3">
      <c r="A943" t="s">
        <v>440</v>
      </c>
      <c r="B943">
        <v>5</v>
      </c>
      <c r="C943" t="s">
        <v>1</v>
      </c>
      <c r="D943" t="s">
        <v>440</v>
      </c>
      <c r="E943">
        <v>30</v>
      </c>
      <c r="F943" t="s">
        <v>440</v>
      </c>
      <c r="I943">
        <v>12</v>
      </c>
      <c r="J943" t="s">
        <v>1336</v>
      </c>
      <c r="K943">
        <v>597</v>
      </c>
      <c r="L943" t="s">
        <v>1</v>
      </c>
      <c r="M943" t="s">
        <v>0</v>
      </c>
      <c r="N943" t="s">
        <v>1266</v>
      </c>
      <c r="O943" t="s">
        <v>1266</v>
      </c>
      <c r="P943" t="s">
        <v>1266</v>
      </c>
      <c r="Q943" t="s">
        <v>1266</v>
      </c>
      <c r="R943" t="s">
        <v>1266</v>
      </c>
    </row>
    <row r="944" spans="1:18" x14ac:dyDescent="0.3">
      <c r="A944" t="s">
        <v>429</v>
      </c>
      <c r="B944">
        <v>6</v>
      </c>
      <c r="C944" t="s">
        <v>1</v>
      </c>
      <c r="D944" t="s">
        <v>429</v>
      </c>
      <c r="E944">
        <v>30</v>
      </c>
      <c r="F944" t="s">
        <v>429</v>
      </c>
      <c r="I944">
        <v>12</v>
      </c>
      <c r="J944" t="s">
        <v>1336</v>
      </c>
      <c r="K944">
        <v>598</v>
      </c>
      <c r="L944" t="s">
        <v>1</v>
      </c>
      <c r="M944" t="s">
        <v>0</v>
      </c>
      <c r="N944" t="s">
        <v>1266</v>
      </c>
      <c r="O944" t="s">
        <v>1266</v>
      </c>
      <c r="P944" t="s">
        <v>1266</v>
      </c>
      <c r="Q944" t="s">
        <v>1266</v>
      </c>
      <c r="R944" t="s">
        <v>1266</v>
      </c>
    </row>
    <row r="945" spans="1:18" x14ac:dyDescent="0.3">
      <c r="A945" t="s">
        <v>498</v>
      </c>
      <c r="B945">
        <v>7</v>
      </c>
      <c r="C945" t="s">
        <v>1</v>
      </c>
      <c r="D945" t="s">
        <v>498</v>
      </c>
      <c r="E945">
        <v>30</v>
      </c>
      <c r="F945" t="s">
        <v>498</v>
      </c>
      <c r="I945">
        <v>5</v>
      </c>
      <c r="J945" t="s">
        <v>1336</v>
      </c>
      <c r="K945">
        <v>599</v>
      </c>
      <c r="L945" t="s">
        <v>1</v>
      </c>
      <c r="M945" t="s">
        <v>0</v>
      </c>
      <c r="N945" t="s">
        <v>1266</v>
      </c>
      <c r="O945" t="s">
        <v>1266</v>
      </c>
      <c r="P945" t="s">
        <v>1266</v>
      </c>
      <c r="Q945" t="s">
        <v>1266</v>
      </c>
      <c r="R945" t="s">
        <v>1266</v>
      </c>
    </row>
    <row r="946" spans="1:18" x14ac:dyDescent="0.3">
      <c r="A946" t="s">
        <v>492</v>
      </c>
      <c r="B946">
        <v>8</v>
      </c>
      <c r="C946" t="s">
        <v>1</v>
      </c>
      <c r="D946" t="s">
        <v>492</v>
      </c>
      <c r="E946">
        <v>30</v>
      </c>
      <c r="F946" t="s">
        <v>492</v>
      </c>
      <c r="I946">
        <v>21</v>
      </c>
      <c r="J946" t="s">
        <v>1336</v>
      </c>
      <c r="K946">
        <v>600</v>
      </c>
      <c r="L946" t="s">
        <v>1</v>
      </c>
      <c r="M946" t="s">
        <v>0</v>
      </c>
      <c r="N946" t="s">
        <v>1266</v>
      </c>
      <c r="O946" t="s">
        <v>1266</v>
      </c>
      <c r="P946" t="s">
        <v>1266</v>
      </c>
      <c r="Q946" t="s">
        <v>1266</v>
      </c>
      <c r="R946" t="s">
        <v>1266</v>
      </c>
    </row>
    <row r="947" spans="1:18" x14ac:dyDescent="0.3">
      <c r="A947" t="s">
        <v>659</v>
      </c>
      <c r="B947">
        <v>1</v>
      </c>
      <c r="C947" t="s">
        <v>1</v>
      </c>
      <c r="D947" t="s">
        <v>659</v>
      </c>
      <c r="E947">
        <v>30</v>
      </c>
      <c r="F947" t="s">
        <v>659</v>
      </c>
      <c r="I947">
        <v>5</v>
      </c>
      <c r="J947" t="s">
        <v>1372</v>
      </c>
      <c r="K947">
        <v>992</v>
      </c>
      <c r="L947" t="s">
        <v>0</v>
      </c>
      <c r="M947" t="s">
        <v>0</v>
      </c>
      <c r="N947" t="s">
        <v>1266</v>
      </c>
      <c r="O947" t="s">
        <v>1266</v>
      </c>
      <c r="P947" t="s">
        <v>1266</v>
      </c>
      <c r="Q947" t="s">
        <v>1266</v>
      </c>
      <c r="R947" t="s">
        <v>1266</v>
      </c>
    </row>
    <row r="948" spans="1:18" x14ac:dyDescent="0.3">
      <c r="A948" t="s">
        <v>766</v>
      </c>
      <c r="B948">
        <v>2</v>
      </c>
      <c r="C948" t="s">
        <v>0</v>
      </c>
      <c r="D948" t="s">
        <v>766</v>
      </c>
      <c r="E948">
        <v>30</v>
      </c>
      <c r="F948" t="s">
        <v>766</v>
      </c>
      <c r="I948">
        <v>1</v>
      </c>
      <c r="J948" t="s">
        <v>1372</v>
      </c>
      <c r="K948">
        <v>993</v>
      </c>
      <c r="L948" t="s">
        <v>1</v>
      </c>
      <c r="M948" t="s">
        <v>0</v>
      </c>
      <c r="N948" t="s">
        <v>1266</v>
      </c>
      <c r="O948" t="s">
        <v>1266</v>
      </c>
      <c r="P948" t="s">
        <v>1266</v>
      </c>
      <c r="Q948" t="s">
        <v>1266</v>
      </c>
      <c r="R948" t="s">
        <v>1266</v>
      </c>
    </row>
    <row r="949" spans="1:18" x14ac:dyDescent="0.3">
      <c r="A949" t="s">
        <v>767</v>
      </c>
      <c r="B949">
        <v>3</v>
      </c>
      <c r="C949" t="s">
        <v>0</v>
      </c>
      <c r="D949" t="s">
        <v>767</v>
      </c>
      <c r="E949">
        <v>30</v>
      </c>
      <c r="F949" t="s">
        <v>767</v>
      </c>
      <c r="I949">
        <v>3</v>
      </c>
      <c r="J949" t="s">
        <v>1372</v>
      </c>
      <c r="K949">
        <v>994</v>
      </c>
      <c r="L949" t="s">
        <v>1</v>
      </c>
      <c r="M949" t="s">
        <v>0</v>
      </c>
      <c r="N949" t="s">
        <v>1266</v>
      </c>
      <c r="O949" t="s">
        <v>1266</v>
      </c>
      <c r="P949" t="s">
        <v>1266</v>
      </c>
      <c r="Q949" t="s">
        <v>1266</v>
      </c>
      <c r="R949" t="s">
        <v>1266</v>
      </c>
    </row>
    <row r="950" spans="1:18" x14ac:dyDescent="0.3">
      <c r="A950" t="s">
        <v>438</v>
      </c>
      <c r="B950">
        <v>4</v>
      </c>
      <c r="C950" t="s">
        <v>1</v>
      </c>
      <c r="D950" t="s">
        <v>438</v>
      </c>
      <c r="E950">
        <v>30</v>
      </c>
      <c r="F950" t="s">
        <v>438</v>
      </c>
      <c r="I950">
        <v>12</v>
      </c>
      <c r="J950" t="s">
        <v>1372</v>
      </c>
      <c r="K950">
        <v>995</v>
      </c>
      <c r="L950" t="s">
        <v>1</v>
      </c>
      <c r="M950" t="s">
        <v>0</v>
      </c>
      <c r="N950" t="s">
        <v>1266</v>
      </c>
      <c r="O950" t="s">
        <v>1266</v>
      </c>
      <c r="P950" t="s">
        <v>1266</v>
      </c>
      <c r="Q950" t="s">
        <v>1266</v>
      </c>
      <c r="R950" t="s">
        <v>1266</v>
      </c>
    </row>
    <row r="951" spans="1:18" x14ac:dyDescent="0.3">
      <c r="A951" t="s">
        <v>440</v>
      </c>
      <c r="B951">
        <v>5</v>
      </c>
      <c r="C951" t="s">
        <v>1</v>
      </c>
      <c r="D951" t="s">
        <v>440</v>
      </c>
      <c r="E951">
        <v>30</v>
      </c>
      <c r="F951" t="s">
        <v>440</v>
      </c>
      <c r="I951">
        <v>12</v>
      </c>
      <c r="J951" t="s">
        <v>1372</v>
      </c>
      <c r="K951">
        <v>996</v>
      </c>
      <c r="L951" t="s">
        <v>1</v>
      </c>
      <c r="M951" t="s">
        <v>0</v>
      </c>
      <c r="N951" t="s">
        <v>1266</v>
      </c>
      <c r="O951" t="s">
        <v>1266</v>
      </c>
      <c r="P951" t="s">
        <v>1266</v>
      </c>
      <c r="Q951" t="s">
        <v>1266</v>
      </c>
      <c r="R951" t="s">
        <v>1266</v>
      </c>
    </row>
    <row r="952" spans="1:18" x14ac:dyDescent="0.3">
      <c r="A952" t="s">
        <v>429</v>
      </c>
      <c r="B952">
        <v>6</v>
      </c>
      <c r="C952" t="s">
        <v>1</v>
      </c>
      <c r="D952" t="s">
        <v>429</v>
      </c>
      <c r="E952">
        <v>30</v>
      </c>
      <c r="F952" t="s">
        <v>429</v>
      </c>
      <c r="I952">
        <v>12</v>
      </c>
      <c r="J952" t="s">
        <v>1372</v>
      </c>
      <c r="K952">
        <v>997</v>
      </c>
      <c r="L952" t="s">
        <v>1</v>
      </c>
      <c r="M952" t="s">
        <v>0</v>
      </c>
      <c r="N952" t="s">
        <v>1266</v>
      </c>
      <c r="O952" t="s">
        <v>1266</v>
      </c>
      <c r="P952" t="s">
        <v>1266</v>
      </c>
      <c r="Q952" t="s">
        <v>1266</v>
      </c>
      <c r="R952" t="s">
        <v>1266</v>
      </c>
    </row>
    <row r="953" spans="1:18" x14ac:dyDescent="0.3">
      <c r="A953" t="s">
        <v>498</v>
      </c>
      <c r="B953">
        <v>7</v>
      </c>
      <c r="C953" t="s">
        <v>1</v>
      </c>
      <c r="D953" t="s">
        <v>498</v>
      </c>
      <c r="E953">
        <v>30</v>
      </c>
      <c r="F953" t="s">
        <v>498</v>
      </c>
      <c r="I953">
        <v>5</v>
      </c>
      <c r="J953" t="s">
        <v>1372</v>
      </c>
      <c r="K953">
        <v>998</v>
      </c>
      <c r="L953" t="s">
        <v>1</v>
      </c>
      <c r="M953" t="s">
        <v>0</v>
      </c>
      <c r="N953" t="s">
        <v>1266</v>
      </c>
      <c r="O953" t="s">
        <v>1266</v>
      </c>
      <c r="P953" t="s">
        <v>1266</v>
      </c>
      <c r="Q953" t="s">
        <v>1266</v>
      </c>
      <c r="R953" t="s">
        <v>1266</v>
      </c>
    </row>
    <row r="954" spans="1:18" x14ac:dyDescent="0.3">
      <c r="A954" t="s">
        <v>492</v>
      </c>
      <c r="B954">
        <v>8</v>
      </c>
      <c r="C954" t="s">
        <v>1</v>
      </c>
      <c r="D954" t="s">
        <v>492</v>
      </c>
      <c r="E954">
        <v>30</v>
      </c>
      <c r="F954" t="s">
        <v>492</v>
      </c>
      <c r="I954">
        <v>21</v>
      </c>
      <c r="J954" t="s">
        <v>1372</v>
      </c>
      <c r="K954">
        <v>999</v>
      </c>
      <c r="L954" t="s">
        <v>1</v>
      </c>
      <c r="M954" t="s">
        <v>0</v>
      </c>
      <c r="N954" t="s">
        <v>1266</v>
      </c>
      <c r="O954" t="s">
        <v>1266</v>
      </c>
      <c r="P954" t="s">
        <v>1266</v>
      </c>
      <c r="Q954" t="s">
        <v>1266</v>
      </c>
      <c r="R954" t="s">
        <v>1266</v>
      </c>
    </row>
    <row r="955" spans="1:18" x14ac:dyDescent="0.3">
      <c r="A955" t="s">
        <v>661</v>
      </c>
      <c r="B955">
        <v>1</v>
      </c>
      <c r="C955" t="s">
        <v>1</v>
      </c>
      <c r="D955" t="s">
        <v>661</v>
      </c>
      <c r="E955">
        <v>30</v>
      </c>
      <c r="F955" t="s">
        <v>661</v>
      </c>
      <c r="I955">
        <v>5</v>
      </c>
      <c r="J955" t="s">
        <v>1363</v>
      </c>
      <c r="K955" t="s">
        <v>1513</v>
      </c>
      <c r="L955" t="s">
        <v>0</v>
      </c>
      <c r="M955" t="s">
        <v>0</v>
      </c>
      <c r="N955" t="s">
        <v>1266</v>
      </c>
      <c r="O955" t="s">
        <v>1266</v>
      </c>
      <c r="P955" t="s">
        <v>1266</v>
      </c>
      <c r="Q955" t="s">
        <v>1266</v>
      </c>
      <c r="R955" t="s">
        <v>1266</v>
      </c>
    </row>
    <row r="956" spans="1:18" x14ac:dyDescent="0.3">
      <c r="A956" t="s">
        <v>427</v>
      </c>
      <c r="B956">
        <v>2</v>
      </c>
      <c r="C956" t="s">
        <v>0</v>
      </c>
      <c r="D956" t="s">
        <v>427</v>
      </c>
      <c r="E956">
        <v>30</v>
      </c>
      <c r="F956" t="s">
        <v>427</v>
      </c>
      <c r="I956">
        <v>1</v>
      </c>
      <c r="J956" t="s">
        <v>1363</v>
      </c>
      <c r="K956" t="s">
        <v>1605</v>
      </c>
      <c r="L956" t="s">
        <v>1</v>
      </c>
      <c r="M956" t="s">
        <v>0</v>
      </c>
      <c r="N956" t="s">
        <v>1266</v>
      </c>
      <c r="O956" t="s">
        <v>1266</v>
      </c>
      <c r="P956" t="s">
        <v>1266</v>
      </c>
      <c r="Q956" t="s">
        <v>1266</v>
      </c>
      <c r="R956" t="s">
        <v>1266</v>
      </c>
    </row>
    <row r="957" spans="1:18" x14ac:dyDescent="0.3">
      <c r="A957" t="s">
        <v>428</v>
      </c>
      <c r="B957">
        <v>3</v>
      </c>
      <c r="C957" t="s">
        <v>0</v>
      </c>
      <c r="D957" t="s">
        <v>428</v>
      </c>
      <c r="E957">
        <v>30</v>
      </c>
      <c r="F957" t="s">
        <v>428</v>
      </c>
      <c r="I957">
        <v>3</v>
      </c>
      <c r="J957" t="s">
        <v>1363</v>
      </c>
      <c r="K957" t="s">
        <v>1501</v>
      </c>
      <c r="L957" t="s">
        <v>1</v>
      </c>
      <c r="M957" t="s">
        <v>0</v>
      </c>
      <c r="N957" t="s">
        <v>1266</v>
      </c>
      <c r="O957" t="s">
        <v>1266</v>
      </c>
      <c r="P957" t="s">
        <v>1266</v>
      </c>
      <c r="Q957" t="s">
        <v>1266</v>
      </c>
      <c r="R957" t="s">
        <v>1266</v>
      </c>
    </row>
    <row r="958" spans="1:18" x14ac:dyDescent="0.3">
      <c r="A958" t="s">
        <v>438</v>
      </c>
      <c r="B958">
        <v>4</v>
      </c>
      <c r="C958" t="s">
        <v>1</v>
      </c>
      <c r="D958" t="s">
        <v>438</v>
      </c>
      <c r="E958">
        <v>30</v>
      </c>
      <c r="F958" t="s">
        <v>438</v>
      </c>
      <c r="I958">
        <v>12</v>
      </c>
      <c r="J958" t="s">
        <v>1363</v>
      </c>
      <c r="K958" t="s">
        <v>1592</v>
      </c>
      <c r="L958" t="s">
        <v>1</v>
      </c>
      <c r="M958" t="s">
        <v>0</v>
      </c>
      <c r="N958" t="s">
        <v>1266</v>
      </c>
      <c r="O958" t="s">
        <v>1266</v>
      </c>
      <c r="P958" t="s">
        <v>1266</v>
      </c>
      <c r="Q958" t="s">
        <v>1266</v>
      </c>
      <c r="R958" t="s">
        <v>1266</v>
      </c>
    </row>
    <row r="959" spans="1:18" x14ac:dyDescent="0.3">
      <c r="A959" t="s">
        <v>440</v>
      </c>
      <c r="B959">
        <v>5</v>
      </c>
      <c r="C959" t="s">
        <v>1</v>
      </c>
      <c r="D959" t="s">
        <v>440</v>
      </c>
      <c r="E959">
        <v>30</v>
      </c>
      <c r="F959" t="s">
        <v>440</v>
      </c>
      <c r="I959">
        <v>12</v>
      </c>
      <c r="J959" t="s">
        <v>1363</v>
      </c>
      <c r="K959" t="s">
        <v>1486</v>
      </c>
      <c r="L959" t="s">
        <v>1</v>
      </c>
      <c r="M959" t="s">
        <v>0</v>
      </c>
      <c r="N959" t="s">
        <v>1266</v>
      </c>
      <c r="O959" t="s">
        <v>1266</v>
      </c>
      <c r="P959" t="s">
        <v>1266</v>
      </c>
      <c r="Q959" t="s">
        <v>1266</v>
      </c>
      <c r="R959" t="s">
        <v>1266</v>
      </c>
    </row>
    <row r="960" spans="1:18" x14ac:dyDescent="0.3">
      <c r="A960" t="s">
        <v>429</v>
      </c>
      <c r="B960">
        <v>6</v>
      </c>
      <c r="C960" t="s">
        <v>1</v>
      </c>
      <c r="D960" t="s">
        <v>429</v>
      </c>
      <c r="E960">
        <v>30</v>
      </c>
      <c r="F960" t="s">
        <v>429</v>
      </c>
      <c r="I960">
        <v>12</v>
      </c>
      <c r="J960" t="s">
        <v>1363</v>
      </c>
      <c r="K960" t="s">
        <v>1581</v>
      </c>
      <c r="L960" t="s">
        <v>1</v>
      </c>
      <c r="M960" t="s">
        <v>0</v>
      </c>
      <c r="N960" t="s">
        <v>1266</v>
      </c>
      <c r="O960" t="s">
        <v>1266</v>
      </c>
      <c r="P960" t="s">
        <v>1266</v>
      </c>
      <c r="Q960" t="s">
        <v>1266</v>
      </c>
      <c r="R960" t="s">
        <v>1266</v>
      </c>
    </row>
    <row r="961" spans="1:18" x14ac:dyDescent="0.3">
      <c r="A961" t="s">
        <v>498</v>
      </c>
      <c r="B961">
        <v>7</v>
      </c>
      <c r="C961" t="s">
        <v>1</v>
      </c>
      <c r="D961" t="s">
        <v>498</v>
      </c>
      <c r="E961">
        <v>30</v>
      </c>
      <c r="F961" t="s">
        <v>498</v>
      </c>
      <c r="I961">
        <v>5</v>
      </c>
      <c r="J961" t="s">
        <v>1363</v>
      </c>
      <c r="K961" t="s">
        <v>1470</v>
      </c>
      <c r="L961" t="s">
        <v>1</v>
      </c>
      <c r="M961" t="s">
        <v>0</v>
      </c>
      <c r="N961" t="s">
        <v>1266</v>
      </c>
      <c r="O961" t="s">
        <v>1266</v>
      </c>
      <c r="P961" t="s">
        <v>1266</v>
      </c>
      <c r="Q961" t="s">
        <v>1266</v>
      </c>
      <c r="R961" t="s">
        <v>1266</v>
      </c>
    </row>
    <row r="962" spans="1:18" x14ac:dyDescent="0.3">
      <c r="A962" t="s">
        <v>492</v>
      </c>
      <c r="B962">
        <v>8</v>
      </c>
      <c r="C962" t="s">
        <v>1</v>
      </c>
      <c r="D962" t="s">
        <v>492</v>
      </c>
      <c r="E962">
        <v>30</v>
      </c>
      <c r="F962" t="s">
        <v>492</v>
      </c>
      <c r="I962">
        <v>21</v>
      </c>
      <c r="J962" t="s">
        <v>1363</v>
      </c>
      <c r="K962" t="s">
        <v>1573</v>
      </c>
      <c r="L962" t="s">
        <v>1</v>
      </c>
      <c r="M962" t="s">
        <v>0</v>
      </c>
      <c r="N962" t="s">
        <v>1266</v>
      </c>
      <c r="O962" t="s">
        <v>1266</v>
      </c>
      <c r="P962" t="s">
        <v>1266</v>
      </c>
      <c r="Q962" t="s">
        <v>1266</v>
      </c>
      <c r="R962" t="s">
        <v>1266</v>
      </c>
    </row>
    <row r="963" spans="1:18" x14ac:dyDescent="0.3">
      <c r="A963" t="s">
        <v>663</v>
      </c>
      <c r="B963">
        <v>1</v>
      </c>
      <c r="C963" t="s">
        <v>1</v>
      </c>
      <c r="D963" t="s">
        <v>663</v>
      </c>
      <c r="E963">
        <v>30</v>
      </c>
      <c r="F963" t="s">
        <v>663</v>
      </c>
      <c r="I963">
        <v>5</v>
      </c>
      <c r="J963" t="s">
        <v>1335</v>
      </c>
      <c r="K963" t="s">
        <v>1459</v>
      </c>
      <c r="L963" t="s">
        <v>0</v>
      </c>
      <c r="M963" t="s">
        <v>0</v>
      </c>
      <c r="N963" t="s">
        <v>1266</v>
      </c>
      <c r="O963" t="s">
        <v>1266</v>
      </c>
      <c r="P963" t="s">
        <v>1266</v>
      </c>
      <c r="Q963" t="s">
        <v>1266</v>
      </c>
      <c r="R963" t="s">
        <v>1266</v>
      </c>
    </row>
    <row r="964" spans="1:18" x14ac:dyDescent="0.3">
      <c r="A964" t="s">
        <v>788</v>
      </c>
      <c r="B964">
        <v>2</v>
      </c>
      <c r="C964" t="s">
        <v>0</v>
      </c>
      <c r="D964" t="s">
        <v>788</v>
      </c>
      <c r="E964">
        <v>30</v>
      </c>
      <c r="F964" t="s">
        <v>788</v>
      </c>
      <c r="I964">
        <v>1</v>
      </c>
      <c r="J964" t="s">
        <v>1335</v>
      </c>
      <c r="K964" t="s">
        <v>1566</v>
      </c>
      <c r="L964" t="s">
        <v>1</v>
      </c>
      <c r="M964" t="s">
        <v>0</v>
      </c>
      <c r="N964" t="s">
        <v>1266</v>
      </c>
      <c r="O964" t="s">
        <v>1266</v>
      </c>
      <c r="P964" t="s">
        <v>1266</v>
      </c>
      <c r="Q964" t="s">
        <v>1266</v>
      </c>
      <c r="R964" t="s">
        <v>1266</v>
      </c>
    </row>
    <row r="965" spans="1:18" x14ac:dyDescent="0.3">
      <c r="A965" t="s">
        <v>789</v>
      </c>
      <c r="B965">
        <v>3</v>
      </c>
      <c r="C965" t="s">
        <v>0</v>
      </c>
      <c r="D965" t="s">
        <v>789</v>
      </c>
      <c r="E965">
        <v>30</v>
      </c>
      <c r="F965" t="s">
        <v>789</v>
      </c>
      <c r="I965">
        <v>1</v>
      </c>
      <c r="J965" t="s">
        <v>1335</v>
      </c>
      <c r="K965" t="s">
        <v>1447</v>
      </c>
      <c r="L965" t="s">
        <v>1</v>
      </c>
      <c r="M965" t="s">
        <v>0</v>
      </c>
      <c r="N965" t="s">
        <v>1266</v>
      </c>
      <c r="O965" t="s">
        <v>1266</v>
      </c>
      <c r="P965" t="s">
        <v>1266</v>
      </c>
      <c r="Q965" t="s">
        <v>1266</v>
      </c>
      <c r="R965" t="s">
        <v>1266</v>
      </c>
    </row>
    <row r="966" spans="1:18" x14ac:dyDescent="0.3">
      <c r="A966" t="s">
        <v>438</v>
      </c>
      <c r="B966">
        <v>4</v>
      </c>
      <c r="C966" t="s">
        <v>1</v>
      </c>
      <c r="D966" t="s">
        <v>438</v>
      </c>
      <c r="E966">
        <v>30</v>
      </c>
      <c r="F966" t="s">
        <v>438</v>
      </c>
      <c r="I966">
        <v>12</v>
      </c>
      <c r="J966" t="s">
        <v>1335</v>
      </c>
      <c r="K966" t="s">
        <v>1560</v>
      </c>
      <c r="L966" t="s">
        <v>1</v>
      </c>
      <c r="M966" t="s">
        <v>0</v>
      </c>
      <c r="N966" t="s">
        <v>1266</v>
      </c>
      <c r="O966" t="s">
        <v>1266</v>
      </c>
      <c r="P966" t="s">
        <v>1266</v>
      </c>
      <c r="Q966" t="s">
        <v>1266</v>
      </c>
      <c r="R966" t="s">
        <v>1266</v>
      </c>
    </row>
    <row r="967" spans="1:18" x14ac:dyDescent="0.3">
      <c r="A967" t="s">
        <v>440</v>
      </c>
      <c r="B967">
        <v>5</v>
      </c>
      <c r="C967" t="s">
        <v>1</v>
      </c>
      <c r="D967" t="s">
        <v>440</v>
      </c>
      <c r="E967">
        <v>30</v>
      </c>
      <c r="F967" t="s">
        <v>440</v>
      </c>
      <c r="I967">
        <v>12</v>
      </c>
      <c r="J967" t="s">
        <v>1335</v>
      </c>
      <c r="K967" t="s">
        <v>1435</v>
      </c>
      <c r="L967" t="s">
        <v>1</v>
      </c>
      <c r="M967" t="s">
        <v>0</v>
      </c>
      <c r="N967" t="s">
        <v>1266</v>
      </c>
      <c r="O967" t="s">
        <v>1266</v>
      </c>
      <c r="P967" t="s">
        <v>1266</v>
      </c>
      <c r="Q967" t="s">
        <v>1266</v>
      </c>
      <c r="R967" t="s">
        <v>1266</v>
      </c>
    </row>
    <row r="968" spans="1:18" x14ac:dyDescent="0.3">
      <c r="A968" t="s">
        <v>429</v>
      </c>
      <c r="B968">
        <v>6</v>
      </c>
      <c r="C968" t="s">
        <v>1</v>
      </c>
      <c r="D968" t="s">
        <v>429</v>
      </c>
      <c r="E968">
        <v>30</v>
      </c>
      <c r="F968" t="s">
        <v>429</v>
      </c>
      <c r="I968">
        <v>12</v>
      </c>
      <c r="J968" t="s">
        <v>1335</v>
      </c>
      <c r="K968" t="s">
        <v>1552</v>
      </c>
      <c r="L968" t="s">
        <v>1</v>
      </c>
      <c r="M968" t="s">
        <v>0</v>
      </c>
      <c r="N968" t="s">
        <v>1266</v>
      </c>
      <c r="O968" t="s">
        <v>1266</v>
      </c>
      <c r="P968" t="s">
        <v>1266</v>
      </c>
      <c r="Q968" t="s">
        <v>1266</v>
      </c>
      <c r="R968" t="s">
        <v>1266</v>
      </c>
    </row>
    <row r="969" spans="1:18" x14ac:dyDescent="0.3">
      <c r="A969" t="s">
        <v>498</v>
      </c>
      <c r="B969">
        <v>7</v>
      </c>
      <c r="C969" t="s">
        <v>1</v>
      </c>
      <c r="D969" t="s">
        <v>498</v>
      </c>
      <c r="E969">
        <v>30</v>
      </c>
      <c r="F969" t="s">
        <v>498</v>
      </c>
      <c r="I969">
        <v>5</v>
      </c>
      <c r="J969" t="s">
        <v>1335</v>
      </c>
      <c r="K969" t="s">
        <v>1522</v>
      </c>
      <c r="L969" t="s">
        <v>1</v>
      </c>
      <c r="M969" t="s">
        <v>0</v>
      </c>
      <c r="N969" t="s">
        <v>1266</v>
      </c>
      <c r="O969" t="s">
        <v>1266</v>
      </c>
      <c r="P969" t="s">
        <v>1266</v>
      </c>
      <c r="Q969" t="s">
        <v>1266</v>
      </c>
      <c r="R969" t="s">
        <v>1266</v>
      </c>
    </row>
    <row r="970" spans="1:18" x14ac:dyDescent="0.3">
      <c r="A970" t="s">
        <v>492</v>
      </c>
      <c r="B970">
        <v>8</v>
      </c>
      <c r="C970" t="s">
        <v>1</v>
      </c>
      <c r="D970" t="s">
        <v>492</v>
      </c>
      <c r="E970">
        <v>30</v>
      </c>
      <c r="F970" t="s">
        <v>492</v>
      </c>
      <c r="I970">
        <v>21</v>
      </c>
      <c r="J970" t="s">
        <v>1335</v>
      </c>
      <c r="K970" t="s">
        <v>1419</v>
      </c>
      <c r="L970" t="s">
        <v>1</v>
      </c>
      <c r="M970" t="s">
        <v>0</v>
      </c>
      <c r="N970" t="s">
        <v>1266</v>
      </c>
      <c r="O970" t="s">
        <v>1266</v>
      </c>
      <c r="P970" t="s">
        <v>1266</v>
      </c>
      <c r="Q970" t="s">
        <v>1266</v>
      </c>
      <c r="R970" t="s">
        <v>1266</v>
      </c>
    </row>
    <row r="971" spans="1:18" x14ac:dyDescent="0.3">
      <c r="A971" t="s">
        <v>725</v>
      </c>
      <c r="B971">
        <v>1</v>
      </c>
      <c r="C971" t="s">
        <v>1</v>
      </c>
      <c r="D971" t="s">
        <v>725</v>
      </c>
      <c r="E971">
        <v>30</v>
      </c>
      <c r="F971" t="s">
        <v>725</v>
      </c>
      <c r="I971">
        <v>5</v>
      </c>
      <c r="J971" t="s">
        <v>1375</v>
      </c>
      <c r="K971">
        <v>601</v>
      </c>
      <c r="L971" t="s">
        <v>0</v>
      </c>
      <c r="M971" t="s">
        <v>0</v>
      </c>
      <c r="N971" t="s">
        <v>1266</v>
      </c>
      <c r="O971" t="s">
        <v>1266</v>
      </c>
      <c r="P971" t="s">
        <v>1266</v>
      </c>
      <c r="Q971" t="s">
        <v>1266</v>
      </c>
      <c r="R971" t="s">
        <v>1266</v>
      </c>
    </row>
    <row r="972" spans="1:18" x14ac:dyDescent="0.3">
      <c r="A972" t="s">
        <v>812</v>
      </c>
      <c r="B972">
        <v>2</v>
      </c>
      <c r="C972" t="s">
        <v>0</v>
      </c>
      <c r="D972" t="s">
        <v>812</v>
      </c>
      <c r="E972">
        <v>30</v>
      </c>
      <c r="F972" t="s">
        <v>812</v>
      </c>
      <c r="I972">
        <v>1</v>
      </c>
      <c r="J972" t="s">
        <v>1375</v>
      </c>
      <c r="K972">
        <v>602</v>
      </c>
      <c r="L972" t="s">
        <v>1</v>
      </c>
      <c r="M972" t="s">
        <v>0</v>
      </c>
      <c r="N972" t="s">
        <v>1266</v>
      </c>
      <c r="O972" t="s">
        <v>1266</v>
      </c>
      <c r="P972" t="s">
        <v>1266</v>
      </c>
      <c r="Q972" t="s">
        <v>1266</v>
      </c>
      <c r="R972" t="s">
        <v>1266</v>
      </c>
    </row>
    <row r="973" spans="1:18" x14ac:dyDescent="0.3">
      <c r="A973" t="s">
        <v>813</v>
      </c>
      <c r="B973">
        <v>3</v>
      </c>
      <c r="C973" t="s">
        <v>0</v>
      </c>
      <c r="D973" t="s">
        <v>813</v>
      </c>
      <c r="E973">
        <v>30</v>
      </c>
      <c r="F973" t="s">
        <v>813</v>
      </c>
      <c r="I973">
        <v>3</v>
      </c>
      <c r="J973" t="s">
        <v>1375</v>
      </c>
      <c r="K973">
        <v>603</v>
      </c>
      <c r="L973" t="s">
        <v>1</v>
      </c>
      <c r="M973" t="s">
        <v>0</v>
      </c>
      <c r="N973" t="s">
        <v>1266</v>
      </c>
      <c r="O973" t="s">
        <v>1266</v>
      </c>
      <c r="P973" t="s">
        <v>1266</v>
      </c>
      <c r="Q973" t="s">
        <v>1266</v>
      </c>
      <c r="R973" t="s">
        <v>1266</v>
      </c>
    </row>
    <row r="974" spans="1:18" x14ac:dyDescent="0.3">
      <c r="A974" t="s">
        <v>438</v>
      </c>
      <c r="B974">
        <v>4</v>
      </c>
      <c r="C974" t="s">
        <v>1</v>
      </c>
      <c r="D974" t="s">
        <v>438</v>
      </c>
      <c r="E974">
        <v>30</v>
      </c>
      <c r="F974" t="s">
        <v>438</v>
      </c>
      <c r="I974">
        <v>12</v>
      </c>
      <c r="J974" t="s">
        <v>1375</v>
      </c>
      <c r="K974">
        <v>604</v>
      </c>
      <c r="L974" t="s">
        <v>1</v>
      </c>
      <c r="M974" t="s">
        <v>0</v>
      </c>
      <c r="N974" t="s">
        <v>1266</v>
      </c>
      <c r="O974" t="s">
        <v>1266</v>
      </c>
      <c r="P974" t="s">
        <v>1266</v>
      </c>
      <c r="Q974" t="s">
        <v>1266</v>
      </c>
      <c r="R974" t="s">
        <v>1266</v>
      </c>
    </row>
    <row r="975" spans="1:18" x14ac:dyDescent="0.3">
      <c r="A975" t="s">
        <v>440</v>
      </c>
      <c r="B975">
        <v>5</v>
      </c>
      <c r="C975" t="s">
        <v>1</v>
      </c>
      <c r="D975" t="s">
        <v>440</v>
      </c>
      <c r="E975">
        <v>30</v>
      </c>
      <c r="F975" t="s">
        <v>440</v>
      </c>
      <c r="I975">
        <v>12</v>
      </c>
      <c r="J975" t="s">
        <v>1375</v>
      </c>
      <c r="K975">
        <v>605</v>
      </c>
      <c r="L975" t="s">
        <v>1</v>
      </c>
      <c r="M975" t="s">
        <v>0</v>
      </c>
      <c r="N975" t="s">
        <v>1266</v>
      </c>
      <c r="O975" t="s">
        <v>1266</v>
      </c>
      <c r="P975" t="s">
        <v>1266</v>
      </c>
      <c r="Q975" t="s">
        <v>1266</v>
      </c>
      <c r="R975" t="s">
        <v>1266</v>
      </c>
    </row>
    <row r="976" spans="1:18" x14ac:dyDescent="0.3">
      <c r="A976" t="s">
        <v>429</v>
      </c>
      <c r="B976">
        <v>6</v>
      </c>
      <c r="C976" t="s">
        <v>1</v>
      </c>
      <c r="D976" t="s">
        <v>429</v>
      </c>
      <c r="E976">
        <v>30</v>
      </c>
      <c r="F976" t="s">
        <v>429</v>
      </c>
      <c r="I976">
        <v>12</v>
      </c>
      <c r="J976" t="s">
        <v>1375</v>
      </c>
      <c r="K976">
        <v>606</v>
      </c>
      <c r="L976" t="s">
        <v>1</v>
      </c>
      <c r="M976" t="s">
        <v>0</v>
      </c>
      <c r="N976" t="s">
        <v>1266</v>
      </c>
      <c r="O976" t="s">
        <v>1266</v>
      </c>
      <c r="P976" t="s">
        <v>1266</v>
      </c>
      <c r="Q976" t="s">
        <v>1266</v>
      </c>
      <c r="R976" t="s">
        <v>1266</v>
      </c>
    </row>
    <row r="977" spans="1:18" x14ac:dyDescent="0.3">
      <c r="A977" t="s">
        <v>498</v>
      </c>
      <c r="B977">
        <v>7</v>
      </c>
      <c r="C977" t="s">
        <v>1</v>
      </c>
      <c r="D977" t="s">
        <v>498</v>
      </c>
      <c r="E977">
        <v>30</v>
      </c>
      <c r="F977" t="s">
        <v>498</v>
      </c>
      <c r="I977">
        <v>5</v>
      </c>
      <c r="J977" t="s">
        <v>1375</v>
      </c>
      <c r="K977">
        <v>607</v>
      </c>
      <c r="L977" t="s">
        <v>1</v>
      </c>
      <c r="M977" t="s">
        <v>0</v>
      </c>
      <c r="N977" t="s">
        <v>1266</v>
      </c>
      <c r="O977" t="s">
        <v>1266</v>
      </c>
      <c r="P977" t="s">
        <v>1266</v>
      </c>
      <c r="Q977" t="s">
        <v>1266</v>
      </c>
      <c r="R977" t="s">
        <v>1266</v>
      </c>
    </row>
    <row r="978" spans="1:18" x14ac:dyDescent="0.3">
      <c r="A978" t="s">
        <v>492</v>
      </c>
      <c r="B978">
        <v>8</v>
      </c>
      <c r="C978" t="s">
        <v>1</v>
      </c>
      <c r="D978" t="s">
        <v>492</v>
      </c>
      <c r="E978">
        <v>30</v>
      </c>
      <c r="F978" t="s">
        <v>492</v>
      </c>
      <c r="I978">
        <v>21</v>
      </c>
      <c r="J978" t="s">
        <v>1375</v>
      </c>
      <c r="K978">
        <v>608</v>
      </c>
      <c r="L978" t="s">
        <v>1</v>
      </c>
      <c r="M978" t="s">
        <v>0</v>
      </c>
      <c r="N978" t="s">
        <v>1266</v>
      </c>
      <c r="O978" t="s">
        <v>1266</v>
      </c>
      <c r="P978" t="s">
        <v>1266</v>
      </c>
      <c r="Q978" t="s">
        <v>1266</v>
      </c>
      <c r="R978" t="s">
        <v>1266</v>
      </c>
    </row>
    <row r="979" spans="1:18" x14ac:dyDescent="0.3">
      <c r="A979" t="s">
        <v>505</v>
      </c>
      <c r="B979">
        <v>1</v>
      </c>
      <c r="C979" t="s">
        <v>0</v>
      </c>
      <c r="D979" t="s">
        <v>505</v>
      </c>
      <c r="E979">
        <v>30</v>
      </c>
      <c r="F979" t="s">
        <v>505</v>
      </c>
      <c r="I979">
        <v>1</v>
      </c>
      <c r="J979" t="s">
        <v>1339</v>
      </c>
      <c r="K979">
        <v>609</v>
      </c>
      <c r="L979" t="s">
        <v>1</v>
      </c>
      <c r="M979" t="s">
        <v>0</v>
      </c>
      <c r="N979" t="s">
        <v>1266</v>
      </c>
      <c r="O979" t="s">
        <v>1266</v>
      </c>
      <c r="P979" t="s">
        <v>1266</v>
      </c>
      <c r="Q979" t="s">
        <v>1266</v>
      </c>
      <c r="R979" t="s">
        <v>1266</v>
      </c>
    </row>
    <row r="980" spans="1:18" x14ac:dyDescent="0.3">
      <c r="A980" t="s">
        <v>506</v>
      </c>
      <c r="B980">
        <v>2</v>
      </c>
      <c r="C980" t="s">
        <v>0</v>
      </c>
      <c r="D980" t="s">
        <v>506</v>
      </c>
      <c r="E980">
        <v>30</v>
      </c>
      <c r="F980" t="s">
        <v>506</v>
      </c>
      <c r="I980">
        <v>3</v>
      </c>
      <c r="J980" t="s">
        <v>1339</v>
      </c>
      <c r="K980">
        <v>610</v>
      </c>
      <c r="L980" t="s">
        <v>1</v>
      </c>
      <c r="M980" t="s">
        <v>0</v>
      </c>
      <c r="N980" t="s">
        <v>1266</v>
      </c>
      <c r="O980" t="s">
        <v>1266</v>
      </c>
      <c r="P980" t="s">
        <v>1266</v>
      </c>
      <c r="Q980" t="s">
        <v>1266</v>
      </c>
      <c r="R980" t="s">
        <v>1266</v>
      </c>
    </row>
    <row r="981" spans="1:18" x14ac:dyDescent="0.3">
      <c r="A981" t="s">
        <v>507</v>
      </c>
      <c r="B981">
        <v>3</v>
      </c>
      <c r="C981" t="s">
        <v>1</v>
      </c>
      <c r="D981" t="s">
        <v>507</v>
      </c>
      <c r="E981">
        <v>30</v>
      </c>
      <c r="F981" t="s">
        <v>507</v>
      </c>
      <c r="I981">
        <v>5</v>
      </c>
      <c r="J981" t="s">
        <v>1339</v>
      </c>
      <c r="K981">
        <v>611</v>
      </c>
      <c r="L981" t="s">
        <v>0</v>
      </c>
      <c r="M981" t="s">
        <v>0</v>
      </c>
      <c r="N981" t="s">
        <v>1266</v>
      </c>
      <c r="O981" t="s">
        <v>1266</v>
      </c>
      <c r="P981" t="s">
        <v>1266</v>
      </c>
      <c r="Q981" t="s">
        <v>1266</v>
      </c>
      <c r="R981" t="s">
        <v>1266</v>
      </c>
    </row>
    <row r="982" spans="1:18" x14ac:dyDescent="0.3">
      <c r="A982" t="s">
        <v>438</v>
      </c>
      <c r="B982">
        <v>4</v>
      </c>
      <c r="C982" t="s">
        <v>1</v>
      </c>
      <c r="D982" t="s">
        <v>438</v>
      </c>
      <c r="E982">
        <v>30</v>
      </c>
      <c r="F982" t="s">
        <v>438</v>
      </c>
      <c r="I982">
        <v>12</v>
      </c>
      <c r="J982" t="s">
        <v>1339</v>
      </c>
      <c r="K982">
        <v>612</v>
      </c>
      <c r="L982" t="s">
        <v>1</v>
      </c>
      <c r="M982" t="s">
        <v>0</v>
      </c>
      <c r="N982" t="s">
        <v>1266</v>
      </c>
      <c r="O982" t="s">
        <v>1266</v>
      </c>
      <c r="P982" t="s">
        <v>1266</v>
      </c>
      <c r="Q982" t="s">
        <v>1266</v>
      </c>
      <c r="R982" t="s">
        <v>1266</v>
      </c>
    </row>
    <row r="983" spans="1:18" x14ac:dyDescent="0.3">
      <c r="A983" t="s">
        <v>440</v>
      </c>
      <c r="B983">
        <v>5</v>
      </c>
      <c r="C983" t="s">
        <v>1</v>
      </c>
      <c r="D983" t="s">
        <v>440</v>
      </c>
      <c r="E983">
        <v>30</v>
      </c>
      <c r="F983" t="s">
        <v>440</v>
      </c>
      <c r="I983">
        <v>12</v>
      </c>
      <c r="J983" t="s">
        <v>1339</v>
      </c>
      <c r="K983">
        <v>613</v>
      </c>
      <c r="L983" t="s">
        <v>1</v>
      </c>
      <c r="M983" t="s">
        <v>0</v>
      </c>
      <c r="N983" t="s">
        <v>1266</v>
      </c>
      <c r="O983" t="s">
        <v>1266</v>
      </c>
      <c r="P983" t="s">
        <v>1266</v>
      </c>
      <c r="Q983" t="s">
        <v>1266</v>
      </c>
      <c r="R983" t="s">
        <v>1266</v>
      </c>
    </row>
    <row r="984" spans="1:18" x14ac:dyDescent="0.3">
      <c r="A984" t="s">
        <v>429</v>
      </c>
      <c r="B984">
        <v>6</v>
      </c>
      <c r="C984" t="s">
        <v>1</v>
      </c>
      <c r="D984" t="s">
        <v>429</v>
      </c>
      <c r="E984">
        <v>30</v>
      </c>
      <c r="F984" t="s">
        <v>429</v>
      </c>
      <c r="I984">
        <v>12</v>
      </c>
      <c r="J984" t="s">
        <v>1339</v>
      </c>
      <c r="K984">
        <v>614</v>
      </c>
      <c r="L984" t="s">
        <v>1</v>
      </c>
      <c r="M984" t="s">
        <v>0</v>
      </c>
      <c r="N984" t="s">
        <v>1266</v>
      </c>
      <c r="O984" t="s">
        <v>1266</v>
      </c>
      <c r="P984" t="s">
        <v>1266</v>
      </c>
      <c r="Q984" t="s">
        <v>1266</v>
      </c>
      <c r="R984" t="s">
        <v>1266</v>
      </c>
    </row>
    <row r="985" spans="1:18" x14ac:dyDescent="0.3">
      <c r="A985" t="s">
        <v>498</v>
      </c>
      <c r="B985">
        <v>7</v>
      </c>
      <c r="C985" t="s">
        <v>1</v>
      </c>
      <c r="D985" t="s">
        <v>498</v>
      </c>
      <c r="E985">
        <v>30</v>
      </c>
      <c r="F985" t="s">
        <v>498</v>
      </c>
      <c r="I985">
        <v>5</v>
      </c>
      <c r="J985" t="s">
        <v>1339</v>
      </c>
      <c r="K985">
        <v>615</v>
      </c>
      <c r="L985" t="s">
        <v>1</v>
      </c>
      <c r="M985" t="s">
        <v>0</v>
      </c>
      <c r="N985" t="s">
        <v>1266</v>
      </c>
      <c r="O985" t="s">
        <v>1266</v>
      </c>
      <c r="P985" t="s">
        <v>1266</v>
      </c>
      <c r="Q985" t="s">
        <v>1266</v>
      </c>
      <c r="R985" t="s">
        <v>1266</v>
      </c>
    </row>
    <row r="986" spans="1:18" x14ac:dyDescent="0.3">
      <c r="A986" t="s">
        <v>492</v>
      </c>
      <c r="B986">
        <v>8</v>
      </c>
      <c r="C986" t="s">
        <v>1</v>
      </c>
      <c r="D986" t="s">
        <v>492</v>
      </c>
      <c r="E986">
        <v>30</v>
      </c>
      <c r="F986" t="s">
        <v>492</v>
      </c>
      <c r="I986">
        <v>21</v>
      </c>
      <c r="J986" t="s">
        <v>1339</v>
      </c>
      <c r="K986">
        <v>616</v>
      </c>
      <c r="L986" t="s">
        <v>1</v>
      </c>
      <c r="M986" t="s">
        <v>0</v>
      </c>
      <c r="N986" t="s">
        <v>1266</v>
      </c>
      <c r="O986" t="s">
        <v>1266</v>
      </c>
      <c r="P986" t="s">
        <v>1266</v>
      </c>
      <c r="Q986" t="s">
        <v>1266</v>
      </c>
      <c r="R986" t="s">
        <v>1266</v>
      </c>
    </row>
    <row r="987" spans="1:18" x14ac:dyDescent="0.3">
      <c r="A987" t="s">
        <v>529</v>
      </c>
      <c r="B987">
        <v>1</v>
      </c>
      <c r="C987" t="s">
        <v>0</v>
      </c>
      <c r="D987" t="s">
        <v>529</v>
      </c>
      <c r="E987">
        <v>30</v>
      </c>
      <c r="F987" t="s">
        <v>529</v>
      </c>
      <c r="I987">
        <v>1</v>
      </c>
      <c r="J987" t="s">
        <v>1319</v>
      </c>
      <c r="K987" t="s">
        <v>1538</v>
      </c>
      <c r="L987" t="s">
        <v>1</v>
      </c>
      <c r="M987" t="s">
        <v>0</v>
      </c>
      <c r="N987" t="s">
        <v>1266</v>
      </c>
      <c r="O987" t="s">
        <v>1266</v>
      </c>
      <c r="P987" t="s">
        <v>1266</v>
      </c>
      <c r="Q987" t="s">
        <v>1266</v>
      </c>
      <c r="R987" t="s">
        <v>1266</v>
      </c>
    </row>
    <row r="988" spans="1:18" x14ac:dyDescent="0.3">
      <c r="A988" t="s">
        <v>530</v>
      </c>
      <c r="B988">
        <v>2</v>
      </c>
      <c r="C988" t="s">
        <v>0</v>
      </c>
      <c r="D988" t="s">
        <v>530</v>
      </c>
      <c r="E988">
        <v>30</v>
      </c>
      <c r="F988" t="s">
        <v>530</v>
      </c>
      <c r="I988">
        <v>3</v>
      </c>
      <c r="J988" t="s">
        <v>1319</v>
      </c>
      <c r="K988" t="s">
        <v>1407</v>
      </c>
      <c r="L988" t="s">
        <v>1</v>
      </c>
      <c r="M988" t="s">
        <v>0</v>
      </c>
      <c r="N988" t="s">
        <v>1266</v>
      </c>
      <c r="O988" t="s">
        <v>1266</v>
      </c>
      <c r="P988" t="s">
        <v>1266</v>
      </c>
      <c r="Q988" t="s">
        <v>1266</v>
      </c>
      <c r="R988" t="s">
        <v>1266</v>
      </c>
    </row>
    <row r="989" spans="1:18" x14ac:dyDescent="0.3">
      <c r="A989" t="s">
        <v>531</v>
      </c>
      <c r="B989">
        <v>3</v>
      </c>
      <c r="C989" t="s">
        <v>1</v>
      </c>
      <c r="D989" t="s">
        <v>531</v>
      </c>
      <c r="E989">
        <v>30</v>
      </c>
      <c r="F989" t="s">
        <v>531</v>
      </c>
      <c r="I989">
        <v>5</v>
      </c>
      <c r="J989" t="s">
        <v>1319</v>
      </c>
      <c r="K989" t="s">
        <v>1526</v>
      </c>
      <c r="L989" t="s">
        <v>0</v>
      </c>
      <c r="M989" t="s">
        <v>0</v>
      </c>
      <c r="N989" t="s">
        <v>1266</v>
      </c>
      <c r="O989" t="s">
        <v>1266</v>
      </c>
      <c r="P989" t="s">
        <v>1266</v>
      </c>
      <c r="Q989" t="s">
        <v>1266</v>
      </c>
      <c r="R989" t="s">
        <v>1266</v>
      </c>
    </row>
    <row r="990" spans="1:18" x14ac:dyDescent="0.3">
      <c r="A990" t="s">
        <v>438</v>
      </c>
      <c r="B990">
        <v>4</v>
      </c>
      <c r="C990" t="s">
        <v>1</v>
      </c>
      <c r="D990" t="s">
        <v>438</v>
      </c>
      <c r="E990">
        <v>30</v>
      </c>
      <c r="F990" t="s">
        <v>438</v>
      </c>
      <c r="I990">
        <v>12</v>
      </c>
      <c r="J990" t="s">
        <v>1319</v>
      </c>
      <c r="K990" t="s">
        <v>1392</v>
      </c>
      <c r="L990" t="s">
        <v>1</v>
      </c>
      <c r="M990" t="s">
        <v>0</v>
      </c>
      <c r="N990" t="s">
        <v>1266</v>
      </c>
      <c r="O990" t="s">
        <v>1266</v>
      </c>
      <c r="P990" t="s">
        <v>1266</v>
      </c>
      <c r="Q990" t="s">
        <v>1266</v>
      </c>
      <c r="R990" t="s">
        <v>1266</v>
      </c>
    </row>
    <row r="991" spans="1:18" x14ac:dyDescent="0.3">
      <c r="A991" t="s">
        <v>440</v>
      </c>
      <c r="B991">
        <v>5</v>
      </c>
      <c r="C991" t="s">
        <v>1</v>
      </c>
      <c r="D991" t="s">
        <v>440</v>
      </c>
      <c r="E991">
        <v>30</v>
      </c>
      <c r="F991" t="s">
        <v>440</v>
      </c>
      <c r="I991">
        <v>12</v>
      </c>
      <c r="J991" t="s">
        <v>1319</v>
      </c>
      <c r="K991" t="s">
        <v>1518</v>
      </c>
      <c r="L991" t="s">
        <v>1</v>
      </c>
      <c r="M991" t="s">
        <v>0</v>
      </c>
      <c r="N991" t="s">
        <v>1266</v>
      </c>
      <c r="O991" t="s">
        <v>1266</v>
      </c>
      <c r="P991" t="s">
        <v>1266</v>
      </c>
      <c r="Q991" t="s">
        <v>1266</v>
      </c>
      <c r="R991" t="s">
        <v>1266</v>
      </c>
    </row>
    <row r="992" spans="1:18" x14ac:dyDescent="0.3">
      <c r="A992" t="s">
        <v>429</v>
      </c>
      <c r="B992">
        <v>6</v>
      </c>
      <c r="C992" t="s">
        <v>1</v>
      </c>
      <c r="D992" t="s">
        <v>429</v>
      </c>
      <c r="E992">
        <v>30</v>
      </c>
      <c r="F992" t="s">
        <v>429</v>
      </c>
      <c r="I992">
        <v>12</v>
      </c>
      <c r="J992" t="s">
        <v>1319</v>
      </c>
      <c r="K992" t="s">
        <v>1614</v>
      </c>
      <c r="L992" t="s">
        <v>1</v>
      </c>
      <c r="M992" t="s">
        <v>0</v>
      </c>
      <c r="N992" t="s">
        <v>1266</v>
      </c>
      <c r="O992" t="s">
        <v>1266</v>
      </c>
      <c r="P992" t="s">
        <v>1266</v>
      </c>
      <c r="Q992" t="s">
        <v>1266</v>
      </c>
      <c r="R992" t="s">
        <v>1266</v>
      </c>
    </row>
    <row r="993" spans="1:18" x14ac:dyDescent="0.3">
      <c r="A993" t="s">
        <v>498</v>
      </c>
      <c r="B993">
        <v>7</v>
      </c>
      <c r="C993" t="s">
        <v>1</v>
      </c>
      <c r="D993" t="s">
        <v>498</v>
      </c>
      <c r="E993">
        <v>30</v>
      </c>
      <c r="F993" t="s">
        <v>498</v>
      </c>
      <c r="I993">
        <v>5</v>
      </c>
      <c r="J993" t="s">
        <v>1319</v>
      </c>
      <c r="K993" t="s">
        <v>1509</v>
      </c>
      <c r="L993" t="s">
        <v>1</v>
      </c>
      <c r="M993" t="s">
        <v>0</v>
      </c>
      <c r="N993" t="s">
        <v>1266</v>
      </c>
      <c r="O993" t="s">
        <v>1266</v>
      </c>
      <c r="P993" t="s">
        <v>1266</v>
      </c>
      <c r="Q993" t="s">
        <v>1266</v>
      </c>
      <c r="R993" t="s">
        <v>1266</v>
      </c>
    </row>
    <row r="994" spans="1:18" x14ac:dyDescent="0.3">
      <c r="A994" t="s">
        <v>492</v>
      </c>
      <c r="B994">
        <v>8</v>
      </c>
      <c r="C994" t="s">
        <v>1</v>
      </c>
      <c r="D994" t="s">
        <v>492</v>
      </c>
      <c r="E994">
        <v>30</v>
      </c>
      <c r="F994" t="s">
        <v>492</v>
      </c>
      <c r="I994">
        <v>21</v>
      </c>
      <c r="J994" t="s">
        <v>1319</v>
      </c>
      <c r="K994" t="s">
        <v>1602</v>
      </c>
      <c r="L994" t="s">
        <v>1</v>
      </c>
      <c r="M994" t="s">
        <v>0</v>
      </c>
      <c r="N994" t="s">
        <v>1266</v>
      </c>
      <c r="O994" t="s">
        <v>1266</v>
      </c>
      <c r="P994" t="s">
        <v>1266</v>
      </c>
      <c r="Q994" t="s">
        <v>1266</v>
      </c>
      <c r="R994" t="s">
        <v>1266</v>
      </c>
    </row>
    <row r="995" spans="1:18" x14ac:dyDescent="0.3">
      <c r="A995" t="s">
        <v>438</v>
      </c>
      <c r="B995">
        <v>1</v>
      </c>
      <c r="C995" t="s">
        <v>1</v>
      </c>
      <c r="D995" t="s">
        <v>438</v>
      </c>
      <c r="E995">
        <v>30</v>
      </c>
      <c r="F995" t="s">
        <v>438</v>
      </c>
      <c r="I995">
        <v>12</v>
      </c>
      <c r="J995" t="s">
        <v>1317</v>
      </c>
      <c r="K995" t="s">
        <v>1498</v>
      </c>
      <c r="L995" t="s">
        <v>1</v>
      </c>
      <c r="M995" t="s">
        <v>0</v>
      </c>
      <c r="N995" t="s">
        <v>1266</v>
      </c>
      <c r="O995" t="s">
        <v>1266</v>
      </c>
      <c r="P995" t="s">
        <v>1266</v>
      </c>
      <c r="Q995" t="s">
        <v>1266</v>
      </c>
      <c r="R995" t="s">
        <v>1266</v>
      </c>
    </row>
    <row r="996" spans="1:18" x14ac:dyDescent="0.3">
      <c r="A996" t="s">
        <v>440</v>
      </c>
      <c r="B996">
        <v>2</v>
      </c>
      <c r="C996" t="s">
        <v>1</v>
      </c>
      <c r="D996" t="s">
        <v>440</v>
      </c>
      <c r="E996">
        <v>30</v>
      </c>
      <c r="F996" t="s">
        <v>440</v>
      </c>
      <c r="I996">
        <v>12</v>
      </c>
      <c r="J996" t="s">
        <v>1317</v>
      </c>
      <c r="K996" t="s">
        <v>1590</v>
      </c>
      <c r="L996" t="s">
        <v>1</v>
      </c>
      <c r="M996" t="s">
        <v>0</v>
      </c>
      <c r="N996" t="s">
        <v>1266</v>
      </c>
      <c r="O996" t="s">
        <v>1266</v>
      </c>
      <c r="P996" t="s">
        <v>1266</v>
      </c>
      <c r="Q996" t="s">
        <v>1266</v>
      </c>
      <c r="R996" t="s">
        <v>1266</v>
      </c>
    </row>
    <row r="997" spans="1:18" x14ac:dyDescent="0.3">
      <c r="A997" t="s">
        <v>429</v>
      </c>
      <c r="B997">
        <v>3</v>
      </c>
      <c r="C997" t="s">
        <v>1</v>
      </c>
      <c r="D997" t="s">
        <v>429</v>
      </c>
      <c r="E997">
        <v>30</v>
      </c>
      <c r="F997" t="s">
        <v>429</v>
      </c>
      <c r="I997">
        <v>12</v>
      </c>
      <c r="J997" t="s">
        <v>1317</v>
      </c>
      <c r="K997" t="s">
        <v>1482</v>
      </c>
      <c r="L997" t="s">
        <v>1</v>
      </c>
      <c r="M997" t="s">
        <v>0</v>
      </c>
      <c r="N997" t="s">
        <v>1266</v>
      </c>
      <c r="O997" t="s">
        <v>1266</v>
      </c>
      <c r="P997" t="s">
        <v>1266</v>
      </c>
      <c r="Q997" t="s">
        <v>1266</v>
      </c>
      <c r="R997" t="s">
        <v>1266</v>
      </c>
    </row>
    <row r="998" spans="1:18" x14ac:dyDescent="0.3">
      <c r="A998" t="s">
        <v>498</v>
      </c>
      <c r="B998">
        <v>4</v>
      </c>
      <c r="C998" t="s">
        <v>1</v>
      </c>
      <c r="D998" t="s">
        <v>498</v>
      </c>
      <c r="E998">
        <v>30</v>
      </c>
      <c r="F998" t="s">
        <v>498</v>
      </c>
      <c r="I998">
        <v>5</v>
      </c>
      <c r="J998" t="s">
        <v>1317</v>
      </c>
      <c r="K998" t="s">
        <v>1578</v>
      </c>
      <c r="L998" t="s">
        <v>1</v>
      </c>
      <c r="M998" t="s">
        <v>0</v>
      </c>
      <c r="N998" t="s">
        <v>1266</v>
      </c>
      <c r="O998" t="s">
        <v>1266</v>
      </c>
      <c r="P998" t="s">
        <v>1266</v>
      </c>
      <c r="Q998" t="s">
        <v>1266</v>
      </c>
      <c r="R998" t="s">
        <v>1266</v>
      </c>
    </row>
    <row r="999" spans="1:18" x14ac:dyDescent="0.3">
      <c r="A999" t="s">
        <v>545</v>
      </c>
      <c r="B999">
        <v>5</v>
      </c>
      <c r="C999" t="s">
        <v>0</v>
      </c>
      <c r="D999" t="s">
        <v>545</v>
      </c>
      <c r="E999">
        <v>30</v>
      </c>
      <c r="F999" t="s">
        <v>545</v>
      </c>
      <c r="I999">
        <v>1</v>
      </c>
      <c r="J999" t="s">
        <v>1317</v>
      </c>
      <c r="K999" t="s">
        <v>1467</v>
      </c>
      <c r="L999" t="s">
        <v>1</v>
      </c>
      <c r="M999" t="s">
        <v>0</v>
      </c>
      <c r="N999" t="s">
        <v>1266</v>
      </c>
      <c r="O999" t="s">
        <v>1266</v>
      </c>
      <c r="P999" t="s">
        <v>1266</v>
      </c>
      <c r="Q999" t="s">
        <v>1266</v>
      </c>
      <c r="R999" t="s">
        <v>1266</v>
      </c>
    </row>
    <row r="1000" spans="1:18" x14ac:dyDescent="0.3">
      <c r="A1000" t="s">
        <v>546</v>
      </c>
      <c r="B1000">
        <v>6</v>
      </c>
      <c r="C1000" t="s">
        <v>0</v>
      </c>
      <c r="D1000" t="s">
        <v>546</v>
      </c>
      <c r="E1000">
        <v>30</v>
      </c>
      <c r="F1000" t="s">
        <v>546</v>
      </c>
      <c r="I1000">
        <v>3</v>
      </c>
      <c r="J1000" t="s">
        <v>1317</v>
      </c>
      <c r="K1000" t="s">
        <v>1571</v>
      </c>
      <c r="L1000" t="s">
        <v>1</v>
      </c>
      <c r="M1000" t="s">
        <v>0</v>
      </c>
      <c r="N1000" t="s">
        <v>1266</v>
      </c>
      <c r="O1000" t="s">
        <v>1266</v>
      </c>
      <c r="P1000" t="s">
        <v>1266</v>
      </c>
      <c r="Q1000" t="s">
        <v>1266</v>
      </c>
      <c r="R1000" t="s">
        <v>1266</v>
      </c>
    </row>
    <row r="1001" spans="1:18" x14ac:dyDescent="0.3">
      <c r="A1001" t="s">
        <v>547</v>
      </c>
      <c r="B1001">
        <v>7</v>
      </c>
      <c r="C1001" t="s">
        <v>1</v>
      </c>
      <c r="D1001" t="s">
        <v>547</v>
      </c>
      <c r="E1001">
        <v>30</v>
      </c>
      <c r="F1001" t="s">
        <v>547</v>
      </c>
      <c r="I1001">
        <v>5</v>
      </c>
      <c r="J1001" t="s">
        <v>1317</v>
      </c>
      <c r="K1001" t="s">
        <v>1455</v>
      </c>
      <c r="L1001" t="s">
        <v>0</v>
      </c>
      <c r="M1001" t="s">
        <v>0</v>
      </c>
      <c r="N1001" t="s">
        <v>1266</v>
      </c>
      <c r="O1001" t="s">
        <v>1266</v>
      </c>
      <c r="P1001" t="s">
        <v>1266</v>
      </c>
      <c r="Q1001" t="s">
        <v>1266</v>
      </c>
      <c r="R1001" t="s">
        <v>1266</v>
      </c>
    </row>
    <row r="1002" spans="1:18" x14ac:dyDescent="0.3">
      <c r="A1002" t="s">
        <v>492</v>
      </c>
      <c r="B1002">
        <v>8</v>
      </c>
      <c r="C1002" t="s">
        <v>1</v>
      </c>
      <c r="D1002" t="s">
        <v>492</v>
      </c>
      <c r="E1002">
        <v>30</v>
      </c>
      <c r="F1002" t="s">
        <v>492</v>
      </c>
      <c r="I1002">
        <v>21</v>
      </c>
      <c r="J1002" t="s">
        <v>1317</v>
      </c>
      <c r="K1002" t="s">
        <v>1562</v>
      </c>
      <c r="L1002" t="s">
        <v>1</v>
      </c>
      <c r="M1002" t="s">
        <v>0</v>
      </c>
      <c r="N1002" t="s">
        <v>1266</v>
      </c>
      <c r="O1002" t="s">
        <v>1266</v>
      </c>
      <c r="P1002" t="s">
        <v>1266</v>
      </c>
      <c r="Q1002" t="s">
        <v>1266</v>
      </c>
      <c r="R1002" t="s">
        <v>1266</v>
      </c>
    </row>
    <row r="1003" spans="1:18" x14ac:dyDescent="0.3">
      <c r="A1003" t="s">
        <v>1530</v>
      </c>
      <c r="B1003">
        <v>1</v>
      </c>
      <c r="C1003" t="s">
        <v>1</v>
      </c>
      <c r="D1003" t="s">
        <v>1530</v>
      </c>
      <c r="E1003">
        <v>30</v>
      </c>
      <c r="F1003" t="s">
        <v>1530</v>
      </c>
      <c r="I1003">
        <v>1</v>
      </c>
      <c r="J1003" t="s">
        <v>1360</v>
      </c>
      <c r="K1003">
        <v>617</v>
      </c>
      <c r="L1003" t="s">
        <v>1</v>
      </c>
      <c r="M1003" t="s">
        <v>0</v>
      </c>
      <c r="N1003" t="s">
        <v>1266</v>
      </c>
      <c r="O1003" t="s">
        <v>1266</v>
      </c>
      <c r="P1003" t="s">
        <v>1266</v>
      </c>
      <c r="Q1003" t="s">
        <v>1266</v>
      </c>
      <c r="R1003" t="s">
        <v>1266</v>
      </c>
    </row>
    <row r="1004" spans="1:18" x14ac:dyDescent="0.3">
      <c r="A1004" t="s">
        <v>1394</v>
      </c>
      <c r="B1004">
        <v>2</v>
      </c>
      <c r="C1004" t="s">
        <v>1</v>
      </c>
      <c r="D1004" t="s">
        <v>1394</v>
      </c>
      <c r="E1004">
        <v>30</v>
      </c>
      <c r="F1004" t="s">
        <v>1394</v>
      </c>
      <c r="I1004">
        <v>5</v>
      </c>
      <c r="J1004" t="s">
        <v>1360</v>
      </c>
      <c r="K1004">
        <v>618</v>
      </c>
      <c r="L1004" t="s">
        <v>1</v>
      </c>
      <c r="M1004" t="s">
        <v>0</v>
      </c>
      <c r="N1004" t="s">
        <v>1266</v>
      </c>
      <c r="O1004" t="s">
        <v>1266</v>
      </c>
      <c r="P1004" t="s">
        <v>1266</v>
      </c>
      <c r="Q1004" t="s">
        <v>1266</v>
      </c>
      <c r="R1004" t="s">
        <v>1266</v>
      </c>
    </row>
    <row r="1005" spans="1:18" x14ac:dyDescent="0.3">
      <c r="A1005" t="s">
        <v>1520</v>
      </c>
      <c r="B1005">
        <v>3</v>
      </c>
      <c r="C1005" t="s">
        <v>1</v>
      </c>
      <c r="D1005" t="s">
        <v>1520</v>
      </c>
      <c r="E1005">
        <v>30</v>
      </c>
      <c r="F1005" t="s">
        <v>1520</v>
      </c>
      <c r="I1005">
        <v>9</v>
      </c>
      <c r="J1005" t="s">
        <v>1360</v>
      </c>
      <c r="K1005">
        <v>619</v>
      </c>
      <c r="L1005" t="s">
        <v>0</v>
      </c>
      <c r="M1005" t="s">
        <v>0</v>
      </c>
      <c r="N1005" t="s">
        <v>1266</v>
      </c>
      <c r="O1005" t="s">
        <v>1266</v>
      </c>
      <c r="P1005" t="s">
        <v>1266</v>
      </c>
      <c r="Q1005" t="s">
        <v>1266</v>
      </c>
      <c r="R1005" t="s">
        <v>1266</v>
      </c>
    </row>
    <row r="1006" spans="1:18" x14ac:dyDescent="0.3">
      <c r="A1006" t="s">
        <v>1441</v>
      </c>
      <c r="B1006">
        <v>1</v>
      </c>
      <c r="C1006" t="s">
        <v>1</v>
      </c>
      <c r="D1006" t="s">
        <v>1441</v>
      </c>
      <c r="E1006">
        <v>30</v>
      </c>
      <c r="F1006" t="s">
        <v>1441</v>
      </c>
      <c r="I1006">
        <v>1</v>
      </c>
      <c r="J1006" t="s">
        <v>1332</v>
      </c>
      <c r="K1006" t="s">
        <v>1442</v>
      </c>
      <c r="L1006" t="s">
        <v>1</v>
      </c>
      <c r="M1006" t="s">
        <v>0</v>
      </c>
      <c r="N1006" t="s">
        <v>1266</v>
      </c>
      <c r="O1006" t="s">
        <v>1266</v>
      </c>
      <c r="P1006" t="s">
        <v>1266</v>
      </c>
      <c r="Q1006" t="s">
        <v>1266</v>
      </c>
      <c r="R1006" t="s">
        <v>1266</v>
      </c>
    </row>
    <row r="1007" spans="1:18" x14ac:dyDescent="0.3">
      <c r="A1007" t="s">
        <v>1557</v>
      </c>
      <c r="B1007">
        <v>2</v>
      </c>
      <c r="C1007" t="s">
        <v>0</v>
      </c>
      <c r="D1007" t="s">
        <v>1557</v>
      </c>
      <c r="E1007">
        <v>30</v>
      </c>
      <c r="F1007" t="s">
        <v>1557</v>
      </c>
      <c r="I1007">
        <v>3</v>
      </c>
      <c r="J1007" t="s">
        <v>1332</v>
      </c>
      <c r="K1007" t="s">
        <v>1558</v>
      </c>
      <c r="L1007" t="s">
        <v>1</v>
      </c>
      <c r="M1007" t="s">
        <v>0</v>
      </c>
      <c r="N1007" t="s">
        <v>1266</v>
      </c>
      <c r="O1007" t="s">
        <v>1266</v>
      </c>
      <c r="P1007" t="s">
        <v>1266</v>
      </c>
      <c r="Q1007" t="s">
        <v>1266</v>
      </c>
      <c r="R1007" t="s">
        <v>1266</v>
      </c>
    </row>
    <row r="1008" spans="1:18" x14ac:dyDescent="0.3">
      <c r="A1008" t="s">
        <v>440</v>
      </c>
      <c r="B1008">
        <v>3</v>
      </c>
      <c r="C1008" t="s">
        <v>1</v>
      </c>
      <c r="D1008" t="s">
        <v>440</v>
      </c>
      <c r="E1008">
        <v>30</v>
      </c>
      <c r="F1008" t="s">
        <v>440</v>
      </c>
      <c r="I1008">
        <v>12</v>
      </c>
      <c r="J1008" t="s">
        <v>1332</v>
      </c>
      <c r="K1008" t="s">
        <v>1431</v>
      </c>
      <c r="L1008" t="s">
        <v>1</v>
      </c>
      <c r="M1008" t="s">
        <v>0</v>
      </c>
      <c r="N1008" t="s">
        <v>1266</v>
      </c>
      <c r="O1008" t="s">
        <v>1266</v>
      </c>
      <c r="P1008" t="s">
        <v>1266</v>
      </c>
      <c r="Q1008" t="s">
        <v>1266</v>
      </c>
      <c r="R1008" t="s">
        <v>1266</v>
      </c>
    </row>
    <row r="1009" spans="1:18" x14ac:dyDescent="0.3">
      <c r="A1009" t="s">
        <v>1548</v>
      </c>
      <c r="B1009">
        <v>4</v>
      </c>
      <c r="C1009" t="s">
        <v>0</v>
      </c>
      <c r="D1009" t="s">
        <v>1548</v>
      </c>
      <c r="E1009">
        <v>30</v>
      </c>
      <c r="F1009" t="s">
        <v>1548</v>
      </c>
      <c r="I1009">
        <v>1</v>
      </c>
      <c r="J1009" t="s">
        <v>1332</v>
      </c>
      <c r="K1009" t="s">
        <v>1549</v>
      </c>
      <c r="L1009" t="s">
        <v>1</v>
      </c>
      <c r="M1009" t="s">
        <v>0</v>
      </c>
      <c r="N1009" t="s">
        <v>1266</v>
      </c>
      <c r="O1009" t="s">
        <v>1266</v>
      </c>
      <c r="P1009" t="s">
        <v>1266</v>
      </c>
      <c r="Q1009" t="s">
        <v>1266</v>
      </c>
      <c r="R1009" t="s">
        <v>1266</v>
      </c>
    </row>
    <row r="1010" spans="1:18" x14ac:dyDescent="0.3">
      <c r="A1010" t="s">
        <v>1416</v>
      </c>
      <c r="B1010">
        <v>5</v>
      </c>
      <c r="C1010" t="s">
        <v>1</v>
      </c>
      <c r="D1010" t="s">
        <v>1416</v>
      </c>
      <c r="E1010">
        <v>30</v>
      </c>
      <c r="F1010" t="s">
        <v>1416</v>
      </c>
      <c r="I1010">
        <v>5</v>
      </c>
      <c r="J1010" t="s">
        <v>1332</v>
      </c>
      <c r="K1010" t="s">
        <v>1417</v>
      </c>
      <c r="L1010" t="s">
        <v>0</v>
      </c>
      <c r="M1010" t="s">
        <v>0</v>
      </c>
      <c r="N1010" t="s">
        <v>1266</v>
      </c>
      <c r="O1010" t="s">
        <v>1266</v>
      </c>
      <c r="P1010" t="s">
        <v>1266</v>
      </c>
      <c r="Q1010" t="s">
        <v>1266</v>
      </c>
      <c r="R1010" t="s">
        <v>1266</v>
      </c>
    </row>
    <row r="1011" spans="1:18" x14ac:dyDescent="0.3">
      <c r="A1011" t="s">
        <v>1535</v>
      </c>
      <c r="B1011">
        <v>6</v>
      </c>
      <c r="C1011" t="s">
        <v>0</v>
      </c>
      <c r="D1011" t="s">
        <v>1535</v>
      </c>
      <c r="E1011">
        <v>30</v>
      </c>
      <c r="F1011" t="s">
        <v>1535</v>
      </c>
      <c r="I1011">
        <v>1</v>
      </c>
      <c r="J1011" t="s">
        <v>1332</v>
      </c>
      <c r="K1011" t="s">
        <v>1536</v>
      </c>
      <c r="L1011" t="s">
        <v>1</v>
      </c>
      <c r="M1011" t="s">
        <v>0</v>
      </c>
      <c r="N1011" t="s">
        <v>1266</v>
      </c>
      <c r="O1011" t="s">
        <v>1266</v>
      </c>
      <c r="P1011" t="s">
        <v>1266</v>
      </c>
      <c r="Q1011" t="s">
        <v>1266</v>
      </c>
      <c r="R1011" t="s">
        <v>1266</v>
      </c>
    </row>
    <row r="1012" spans="1:18" x14ac:dyDescent="0.3">
      <c r="A1012" t="s">
        <v>1402</v>
      </c>
      <c r="B1012">
        <v>7</v>
      </c>
      <c r="C1012" t="s">
        <v>1</v>
      </c>
      <c r="D1012" t="s">
        <v>1402</v>
      </c>
      <c r="E1012">
        <v>30</v>
      </c>
      <c r="F1012" t="s">
        <v>1402</v>
      </c>
      <c r="I1012">
        <v>5</v>
      </c>
      <c r="J1012" t="s">
        <v>1332</v>
      </c>
      <c r="K1012" t="s">
        <v>1403</v>
      </c>
      <c r="L1012" t="s">
        <v>1</v>
      </c>
      <c r="M1012" t="s">
        <v>0</v>
      </c>
      <c r="N1012" t="s">
        <v>1266</v>
      </c>
      <c r="O1012" t="s">
        <v>1266</v>
      </c>
      <c r="P1012" t="s">
        <v>1266</v>
      </c>
      <c r="Q1012" t="s">
        <v>1266</v>
      </c>
      <c r="R1012" t="s">
        <v>1266</v>
      </c>
    </row>
    <row r="1013" spans="1:18" x14ac:dyDescent="0.3">
      <c r="A1013" t="s">
        <v>1523</v>
      </c>
      <c r="B1013">
        <v>1</v>
      </c>
      <c r="C1013" t="s">
        <v>0</v>
      </c>
      <c r="D1013" t="s">
        <v>1523</v>
      </c>
      <c r="E1013">
        <v>30</v>
      </c>
      <c r="F1013" t="s">
        <v>1523</v>
      </c>
      <c r="I1013">
        <v>10</v>
      </c>
      <c r="J1013" t="s">
        <v>1343</v>
      </c>
      <c r="K1013" t="s">
        <v>1524</v>
      </c>
      <c r="L1013" t="s">
        <v>0</v>
      </c>
      <c r="M1013" t="s">
        <v>0</v>
      </c>
      <c r="N1013" t="s">
        <v>1266</v>
      </c>
      <c r="O1013" t="s">
        <v>1266</v>
      </c>
      <c r="P1013" t="s">
        <v>1266</v>
      </c>
      <c r="Q1013" t="s">
        <v>1266</v>
      </c>
      <c r="R1013" t="s">
        <v>1266</v>
      </c>
    </row>
    <row r="1014" spans="1:18" x14ac:dyDescent="0.3">
      <c r="A1014" t="s">
        <v>1388</v>
      </c>
      <c r="B1014">
        <v>2</v>
      </c>
      <c r="C1014" t="s">
        <v>0</v>
      </c>
      <c r="D1014" t="s">
        <v>1388</v>
      </c>
      <c r="E1014">
        <v>30</v>
      </c>
      <c r="F1014" t="s">
        <v>1388</v>
      </c>
      <c r="I1014">
        <v>3</v>
      </c>
      <c r="J1014" t="s">
        <v>1343</v>
      </c>
      <c r="K1014" t="s">
        <v>1389</v>
      </c>
      <c r="L1014" t="s">
        <v>1</v>
      </c>
      <c r="M1014" t="s">
        <v>0</v>
      </c>
      <c r="N1014" t="s">
        <v>1266</v>
      </c>
      <c r="O1014" t="s">
        <v>1266</v>
      </c>
      <c r="P1014" t="s">
        <v>1266</v>
      </c>
      <c r="Q1014" t="s">
        <v>1266</v>
      </c>
      <c r="R1014" t="s">
        <v>1266</v>
      </c>
    </row>
    <row r="1015" spans="1:18" x14ac:dyDescent="0.3">
      <c r="A1015" t="s">
        <v>1515</v>
      </c>
      <c r="B1015">
        <v>3</v>
      </c>
      <c r="C1015" t="s">
        <v>1</v>
      </c>
      <c r="D1015" t="s">
        <v>1515</v>
      </c>
      <c r="E1015">
        <v>30</v>
      </c>
      <c r="F1015" t="s">
        <v>1515</v>
      </c>
      <c r="I1015">
        <v>10</v>
      </c>
      <c r="J1015" t="s">
        <v>1343</v>
      </c>
      <c r="K1015" t="s">
        <v>1516</v>
      </c>
      <c r="L1015" t="s">
        <v>0</v>
      </c>
      <c r="M1015" t="s">
        <v>0</v>
      </c>
      <c r="N1015" t="s">
        <v>1266</v>
      </c>
      <c r="O1015" t="s">
        <v>1266</v>
      </c>
      <c r="P1015" t="s">
        <v>1266</v>
      </c>
      <c r="Q1015" t="s">
        <v>1266</v>
      </c>
      <c r="R1015" t="s">
        <v>1266</v>
      </c>
    </row>
    <row r="1016" spans="1:18" x14ac:dyDescent="0.3">
      <c r="A1016" t="s">
        <v>1615</v>
      </c>
      <c r="B1016">
        <v>4</v>
      </c>
      <c r="C1016" t="s">
        <v>0</v>
      </c>
      <c r="D1016" t="s">
        <v>1615</v>
      </c>
      <c r="E1016">
        <v>30</v>
      </c>
      <c r="F1016" t="s">
        <v>1615</v>
      </c>
      <c r="I1016">
        <v>3</v>
      </c>
      <c r="J1016" t="s">
        <v>1343</v>
      </c>
      <c r="K1016" t="s">
        <v>1616</v>
      </c>
      <c r="L1016" t="s">
        <v>1</v>
      </c>
      <c r="M1016" t="s">
        <v>0</v>
      </c>
      <c r="N1016" t="s">
        <v>1266</v>
      </c>
      <c r="O1016" t="s">
        <v>1266</v>
      </c>
      <c r="P1016" t="s">
        <v>1266</v>
      </c>
      <c r="Q1016" t="s">
        <v>1266</v>
      </c>
      <c r="R1016" t="s">
        <v>1266</v>
      </c>
    </row>
    <row r="1017" spans="1:18" x14ac:dyDescent="0.3">
      <c r="A1017" t="s">
        <v>522</v>
      </c>
      <c r="B1017">
        <v>5</v>
      </c>
      <c r="C1017" t="s">
        <v>0</v>
      </c>
      <c r="D1017" t="s">
        <v>522</v>
      </c>
      <c r="E1017">
        <v>30</v>
      </c>
      <c r="F1017" t="s">
        <v>522</v>
      </c>
      <c r="I1017">
        <v>10</v>
      </c>
      <c r="J1017" t="s">
        <v>1343</v>
      </c>
      <c r="K1017" t="s">
        <v>1507</v>
      </c>
      <c r="L1017" t="s">
        <v>1</v>
      </c>
      <c r="M1017" t="s">
        <v>0</v>
      </c>
      <c r="N1017" t="s">
        <v>1266</v>
      </c>
      <c r="O1017" t="s">
        <v>1266</v>
      </c>
      <c r="P1017" t="s">
        <v>1266</v>
      </c>
      <c r="Q1017" t="s">
        <v>1266</v>
      </c>
      <c r="R1017" t="s">
        <v>1266</v>
      </c>
    </row>
    <row r="1018" spans="1:18" x14ac:dyDescent="0.3">
      <c r="A1018" t="s">
        <v>1599</v>
      </c>
      <c r="B1018">
        <v>6</v>
      </c>
      <c r="C1018" t="s">
        <v>0</v>
      </c>
      <c r="D1018" t="s">
        <v>1599</v>
      </c>
      <c r="E1018">
        <v>30</v>
      </c>
      <c r="F1018" t="s">
        <v>1599</v>
      </c>
      <c r="I1018">
        <v>10</v>
      </c>
      <c r="J1018" t="s">
        <v>1343</v>
      </c>
      <c r="K1018" t="s">
        <v>1600</v>
      </c>
      <c r="L1018" t="s">
        <v>1</v>
      </c>
      <c r="M1018" t="s">
        <v>0</v>
      </c>
      <c r="N1018" t="s">
        <v>1266</v>
      </c>
      <c r="O1018" t="s">
        <v>1266</v>
      </c>
      <c r="P1018" t="s">
        <v>1266</v>
      </c>
      <c r="Q1018" t="s">
        <v>1266</v>
      </c>
      <c r="R1018" t="s">
        <v>1266</v>
      </c>
    </row>
    <row r="1019" spans="1:18" x14ac:dyDescent="0.3">
      <c r="A1019" t="s">
        <v>1491</v>
      </c>
      <c r="B1019">
        <v>7</v>
      </c>
      <c r="C1019" t="s">
        <v>0</v>
      </c>
      <c r="D1019" t="s">
        <v>1491</v>
      </c>
      <c r="E1019">
        <v>30</v>
      </c>
      <c r="F1019" t="s">
        <v>1491</v>
      </c>
      <c r="I1019">
        <v>10</v>
      </c>
      <c r="J1019" t="s">
        <v>1343</v>
      </c>
      <c r="K1019" t="s">
        <v>1492</v>
      </c>
      <c r="L1019" t="s">
        <v>0</v>
      </c>
      <c r="M1019" t="s">
        <v>0</v>
      </c>
      <c r="N1019" t="s">
        <v>1266</v>
      </c>
      <c r="O1019" t="s">
        <v>1266</v>
      </c>
      <c r="P1019" t="s">
        <v>1266</v>
      </c>
      <c r="Q1019" t="s">
        <v>1266</v>
      </c>
      <c r="R1019" t="s">
        <v>1266</v>
      </c>
    </row>
    <row r="1020" spans="1:18" x14ac:dyDescent="0.3">
      <c r="A1020" t="s">
        <v>1585</v>
      </c>
      <c r="B1020">
        <v>8</v>
      </c>
      <c r="C1020" t="s">
        <v>0</v>
      </c>
      <c r="D1020" t="s">
        <v>1585</v>
      </c>
      <c r="E1020">
        <v>30</v>
      </c>
      <c r="F1020" t="s">
        <v>1585</v>
      </c>
      <c r="I1020">
        <v>10</v>
      </c>
      <c r="J1020" t="s">
        <v>1343</v>
      </c>
      <c r="K1020" t="s">
        <v>1586</v>
      </c>
      <c r="L1020" t="s">
        <v>1</v>
      </c>
      <c r="M1020" t="s">
        <v>0</v>
      </c>
      <c r="N1020" t="s">
        <v>1266</v>
      </c>
      <c r="O1020" t="s">
        <v>1266</v>
      </c>
      <c r="P1020" t="s">
        <v>1266</v>
      </c>
      <c r="Q1020" t="s">
        <v>1266</v>
      </c>
      <c r="R1020" t="s">
        <v>1266</v>
      </c>
    </row>
    <row r="1021" spans="1:18" x14ac:dyDescent="0.3">
      <c r="A1021" t="s">
        <v>1378</v>
      </c>
      <c r="B1021">
        <v>1</v>
      </c>
      <c r="C1021" t="s">
        <v>0</v>
      </c>
      <c r="D1021" t="s">
        <v>1378</v>
      </c>
      <c r="E1021">
        <v>30</v>
      </c>
      <c r="F1021" t="s">
        <v>1378</v>
      </c>
      <c r="I1021">
        <v>12</v>
      </c>
      <c r="J1021" t="s">
        <v>1361</v>
      </c>
      <c r="K1021">
        <v>620</v>
      </c>
      <c r="L1021" t="s">
        <v>1</v>
      </c>
      <c r="M1021" t="s">
        <v>0</v>
      </c>
      <c r="N1021" t="s">
        <v>1266</v>
      </c>
      <c r="O1021" t="s">
        <v>1266</v>
      </c>
      <c r="P1021" t="s">
        <v>1266</v>
      </c>
      <c r="Q1021" t="s">
        <v>1266</v>
      </c>
      <c r="R1021" t="s">
        <v>1266</v>
      </c>
    </row>
    <row r="1022" spans="1:18" x14ac:dyDescent="0.3">
      <c r="A1022" t="s">
        <v>1512</v>
      </c>
      <c r="B1022">
        <v>2</v>
      </c>
      <c r="C1022" t="s">
        <v>0</v>
      </c>
      <c r="D1022" t="s">
        <v>1512</v>
      </c>
      <c r="E1022">
        <v>30</v>
      </c>
      <c r="F1022" t="s">
        <v>1512</v>
      </c>
      <c r="I1022">
        <v>6</v>
      </c>
      <c r="J1022" t="s">
        <v>1361</v>
      </c>
      <c r="K1022">
        <v>621</v>
      </c>
      <c r="L1022" t="s">
        <v>1</v>
      </c>
      <c r="M1022" t="s">
        <v>0</v>
      </c>
      <c r="N1022" t="s">
        <v>1266</v>
      </c>
      <c r="O1022" t="s">
        <v>1266</v>
      </c>
      <c r="P1022" t="s">
        <v>1266</v>
      </c>
      <c r="Q1022" t="s">
        <v>1266</v>
      </c>
      <c r="R1022" t="s">
        <v>1266</v>
      </c>
    </row>
    <row r="1023" spans="1:18" x14ac:dyDescent="0.3">
      <c r="A1023" t="s">
        <v>1604</v>
      </c>
      <c r="B1023">
        <v>3</v>
      </c>
      <c r="C1023" t="s">
        <v>0</v>
      </c>
      <c r="D1023" t="s">
        <v>1604</v>
      </c>
      <c r="E1023">
        <v>30</v>
      </c>
      <c r="F1023" t="s">
        <v>1604</v>
      </c>
      <c r="I1023">
        <v>6</v>
      </c>
      <c r="J1023" t="s">
        <v>1361</v>
      </c>
      <c r="K1023">
        <v>622</v>
      </c>
      <c r="L1023" t="s">
        <v>1</v>
      </c>
      <c r="M1023" t="s">
        <v>0</v>
      </c>
      <c r="N1023" t="s">
        <v>1266</v>
      </c>
      <c r="O1023" t="s">
        <v>1266</v>
      </c>
      <c r="P1023" t="s">
        <v>1266</v>
      </c>
      <c r="Q1023" t="s">
        <v>1266</v>
      </c>
      <c r="R1023" t="s">
        <v>1266</v>
      </c>
    </row>
    <row r="1024" spans="1:18" x14ac:dyDescent="0.3">
      <c r="A1024" t="s">
        <v>1500</v>
      </c>
      <c r="B1024">
        <v>4</v>
      </c>
      <c r="C1024" t="s">
        <v>0</v>
      </c>
      <c r="D1024" t="s">
        <v>1500</v>
      </c>
      <c r="E1024">
        <v>30</v>
      </c>
      <c r="F1024" t="s">
        <v>1500</v>
      </c>
      <c r="I1024">
        <v>2</v>
      </c>
      <c r="J1024" t="s">
        <v>1361</v>
      </c>
      <c r="K1024">
        <v>623</v>
      </c>
      <c r="L1024" t="s">
        <v>1</v>
      </c>
      <c r="M1024" t="s">
        <v>0</v>
      </c>
      <c r="N1024" t="s">
        <v>1266</v>
      </c>
      <c r="O1024" t="s">
        <v>1266</v>
      </c>
      <c r="P1024" t="s">
        <v>1266</v>
      </c>
      <c r="Q1024" t="s">
        <v>1266</v>
      </c>
      <c r="R1024" t="s">
        <v>1266</v>
      </c>
    </row>
    <row r="1025" spans="1:18" x14ac:dyDescent="0.3">
      <c r="A1025" t="s">
        <v>1591</v>
      </c>
      <c r="B1025">
        <v>5</v>
      </c>
      <c r="C1025" t="s">
        <v>0</v>
      </c>
      <c r="D1025" t="s">
        <v>1591</v>
      </c>
      <c r="E1025">
        <v>30</v>
      </c>
      <c r="F1025" t="s">
        <v>1591</v>
      </c>
      <c r="I1025">
        <v>15</v>
      </c>
      <c r="J1025" t="s">
        <v>1361</v>
      </c>
      <c r="K1025">
        <v>624</v>
      </c>
      <c r="L1025" t="s">
        <v>1</v>
      </c>
      <c r="M1025" t="s">
        <v>0</v>
      </c>
      <c r="N1025" t="s">
        <v>1266</v>
      </c>
      <c r="O1025" t="s">
        <v>1266</v>
      </c>
      <c r="P1025" t="s">
        <v>1266</v>
      </c>
      <c r="Q1025" t="s">
        <v>1266</v>
      </c>
      <c r="R1025" t="s">
        <v>1266</v>
      </c>
    </row>
    <row r="1026" spans="1:18" x14ac:dyDescent="0.3">
      <c r="A1026" t="s">
        <v>1485</v>
      </c>
      <c r="B1026">
        <v>6</v>
      </c>
      <c r="C1026" t="s">
        <v>0</v>
      </c>
      <c r="D1026" t="s">
        <v>1485</v>
      </c>
      <c r="E1026">
        <v>30</v>
      </c>
      <c r="F1026" t="s">
        <v>1485</v>
      </c>
      <c r="I1026">
        <v>3</v>
      </c>
      <c r="J1026" t="s">
        <v>1361</v>
      </c>
      <c r="K1026">
        <v>625</v>
      </c>
      <c r="L1026" t="s">
        <v>1</v>
      </c>
      <c r="M1026" t="s">
        <v>0</v>
      </c>
      <c r="N1026" t="s">
        <v>1266</v>
      </c>
      <c r="O1026" t="s">
        <v>1266</v>
      </c>
      <c r="P1026" t="s">
        <v>1266</v>
      </c>
      <c r="Q1026" t="s">
        <v>1266</v>
      </c>
      <c r="R1026" t="s">
        <v>1266</v>
      </c>
    </row>
    <row r="1027" spans="1:18" x14ac:dyDescent="0.3">
      <c r="A1027" t="s">
        <v>1580</v>
      </c>
      <c r="B1027">
        <v>7</v>
      </c>
      <c r="C1027" t="s">
        <v>0</v>
      </c>
      <c r="D1027" t="s">
        <v>1580</v>
      </c>
      <c r="E1027">
        <v>30</v>
      </c>
      <c r="F1027" t="s">
        <v>1580</v>
      </c>
      <c r="I1027">
        <v>2</v>
      </c>
      <c r="J1027" t="s">
        <v>1361</v>
      </c>
      <c r="K1027">
        <v>626</v>
      </c>
      <c r="L1027" t="s">
        <v>1</v>
      </c>
      <c r="M1027" t="s">
        <v>0</v>
      </c>
      <c r="N1027" t="s">
        <v>1266</v>
      </c>
      <c r="O1027" t="s">
        <v>1266</v>
      </c>
      <c r="P1027" t="s">
        <v>1266</v>
      </c>
      <c r="Q1027" t="s">
        <v>1266</v>
      </c>
      <c r="R1027" t="s">
        <v>1266</v>
      </c>
    </row>
    <row r="1028" spans="1:18" x14ac:dyDescent="0.3">
      <c r="A1028" t="s">
        <v>1472</v>
      </c>
      <c r="B1028">
        <v>8</v>
      </c>
      <c r="C1028" t="s">
        <v>0</v>
      </c>
      <c r="D1028" t="s">
        <v>1472</v>
      </c>
      <c r="E1028">
        <v>30</v>
      </c>
      <c r="F1028" t="s">
        <v>1472</v>
      </c>
      <c r="I1028">
        <v>11</v>
      </c>
      <c r="J1028" t="s">
        <v>1361</v>
      </c>
      <c r="K1028">
        <v>627</v>
      </c>
      <c r="L1028" t="s">
        <v>1</v>
      </c>
      <c r="M1028" t="s">
        <v>0</v>
      </c>
      <c r="N1028" t="s">
        <v>1266</v>
      </c>
      <c r="O1028" t="s">
        <v>1266</v>
      </c>
      <c r="P1028" t="s">
        <v>1266</v>
      </c>
      <c r="Q1028" t="s">
        <v>1266</v>
      </c>
      <c r="R1028" t="s">
        <v>1266</v>
      </c>
    </row>
    <row r="1029" spans="1:18" x14ac:dyDescent="0.3">
      <c r="A1029" t="s">
        <v>433</v>
      </c>
      <c r="B1029">
        <v>9</v>
      </c>
      <c r="C1029" t="s">
        <v>0</v>
      </c>
      <c r="D1029" t="s">
        <v>433</v>
      </c>
      <c r="E1029">
        <v>30</v>
      </c>
      <c r="F1029" t="s">
        <v>433</v>
      </c>
      <c r="I1029">
        <v>15</v>
      </c>
      <c r="J1029" t="s">
        <v>1361</v>
      </c>
      <c r="K1029">
        <v>628</v>
      </c>
      <c r="L1029" t="s">
        <v>0</v>
      </c>
      <c r="M1029" t="s">
        <v>0</v>
      </c>
      <c r="N1029" t="s">
        <v>1266</v>
      </c>
      <c r="O1029" t="s">
        <v>1266</v>
      </c>
      <c r="P1029" t="s">
        <v>1266</v>
      </c>
      <c r="Q1029" t="s">
        <v>1266</v>
      </c>
      <c r="R1029" t="s">
        <v>1266</v>
      </c>
    </row>
    <row r="1030" spans="1:18" x14ac:dyDescent="0.3">
      <c r="A1030" t="s">
        <v>1458</v>
      </c>
      <c r="B1030">
        <v>10</v>
      </c>
      <c r="C1030" t="s">
        <v>0</v>
      </c>
      <c r="D1030" t="s">
        <v>1458</v>
      </c>
      <c r="E1030">
        <v>30</v>
      </c>
      <c r="F1030" t="s">
        <v>1458</v>
      </c>
      <c r="I1030">
        <v>2</v>
      </c>
      <c r="J1030" t="s">
        <v>1361</v>
      </c>
      <c r="K1030">
        <v>629</v>
      </c>
      <c r="L1030" t="s">
        <v>1</v>
      </c>
      <c r="M1030" t="s">
        <v>0</v>
      </c>
      <c r="N1030" t="s">
        <v>1266</v>
      </c>
      <c r="O1030" t="s">
        <v>1266</v>
      </c>
      <c r="P1030" t="s">
        <v>1266</v>
      </c>
      <c r="Q1030" t="s">
        <v>1266</v>
      </c>
      <c r="R1030" t="s">
        <v>1266</v>
      </c>
    </row>
    <row r="1031" spans="1:18" x14ac:dyDescent="0.3">
      <c r="A1031" t="s">
        <v>1565</v>
      </c>
      <c r="B1031">
        <v>11</v>
      </c>
      <c r="C1031" t="s">
        <v>0</v>
      </c>
      <c r="D1031" t="s">
        <v>1565</v>
      </c>
      <c r="E1031">
        <v>30</v>
      </c>
      <c r="F1031" t="s">
        <v>1565</v>
      </c>
      <c r="I1031">
        <v>17</v>
      </c>
      <c r="J1031" t="s">
        <v>1361</v>
      </c>
      <c r="K1031">
        <v>630</v>
      </c>
      <c r="L1031" t="s">
        <v>1</v>
      </c>
      <c r="M1031" t="s">
        <v>0</v>
      </c>
      <c r="N1031" t="s">
        <v>1266</v>
      </c>
      <c r="O1031" t="s">
        <v>1266</v>
      </c>
      <c r="P1031" t="s">
        <v>1266</v>
      </c>
      <c r="Q1031" t="s">
        <v>1266</v>
      </c>
      <c r="R1031" t="s">
        <v>1266</v>
      </c>
    </row>
    <row r="1032" spans="1:18" x14ac:dyDescent="0.3">
      <c r="A1032" t="s">
        <v>1446</v>
      </c>
      <c r="B1032">
        <v>12</v>
      </c>
      <c r="C1032" t="s">
        <v>0</v>
      </c>
      <c r="D1032" t="s">
        <v>1446</v>
      </c>
      <c r="E1032">
        <v>30</v>
      </c>
      <c r="F1032" t="s">
        <v>1446</v>
      </c>
      <c r="I1032">
        <v>13</v>
      </c>
      <c r="J1032" t="s">
        <v>1361</v>
      </c>
      <c r="K1032">
        <v>631</v>
      </c>
      <c r="L1032" t="s">
        <v>1</v>
      </c>
      <c r="M1032" t="s">
        <v>0</v>
      </c>
      <c r="N1032" t="s">
        <v>1266</v>
      </c>
      <c r="O1032" t="s">
        <v>1266</v>
      </c>
      <c r="P1032" t="s">
        <v>1266</v>
      </c>
      <c r="Q1032" t="s">
        <v>1266</v>
      </c>
      <c r="R1032" t="s">
        <v>1266</v>
      </c>
    </row>
    <row r="1033" spans="1:18" x14ac:dyDescent="0.3">
      <c r="A1033" t="s">
        <v>1559</v>
      </c>
      <c r="B1033">
        <v>13</v>
      </c>
      <c r="C1033" t="s">
        <v>0</v>
      </c>
      <c r="D1033" t="s">
        <v>1559</v>
      </c>
      <c r="E1033">
        <v>30</v>
      </c>
      <c r="F1033" t="s">
        <v>1559</v>
      </c>
      <c r="I1033">
        <v>5</v>
      </c>
      <c r="J1033" t="s">
        <v>1361</v>
      </c>
      <c r="K1033">
        <v>632</v>
      </c>
      <c r="L1033" t="s">
        <v>1</v>
      </c>
      <c r="M1033" t="s">
        <v>0</v>
      </c>
      <c r="N1033" t="s">
        <v>1266</v>
      </c>
      <c r="O1033" t="s">
        <v>1266</v>
      </c>
      <c r="P1033" t="s">
        <v>1266</v>
      </c>
      <c r="Q1033" t="s">
        <v>1266</v>
      </c>
      <c r="R1033" t="s">
        <v>1266</v>
      </c>
    </row>
    <row r="1034" spans="1:18" x14ac:dyDescent="0.3">
      <c r="A1034" t="s">
        <v>1434</v>
      </c>
      <c r="B1034">
        <v>14</v>
      </c>
      <c r="C1034" t="s">
        <v>0</v>
      </c>
      <c r="D1034" t="s">
        <v>1434</v>
      </c>
      <c r="E1034">
        <v>30</v>
      </c>
      <c r="F1034" t="s">
        <v>1434</v>
      </c>
      <c r="I1034">
        <v>10</v>
      </c>
      <c r="J1034" t="s">
        <v>1361</v>
      </c>
      <c r="K1034">
        <v>633</v>
      </c>
      <c r="L1034" t="s">
        <v>1</v>
      </c>
      <c r="M1034" t="s">
        <v>0</v>
      </c>
      <c r="N1034" t="s">
        <v>1266</v>
      </c>
      <c r="O1034" t="s">
        <v>1266</v>
      </c>
      <c r="P1034" t="s">
        <v>1266</v>
      </c>
      <c r="Q1034" t="s">
        <v>1266</v>
      </c>
      <c r="R1034" t="s">
        <v>1266</v>
      </c>
    </row>
    <row r="1035" spans="1:18" x14ac:dyDescent="0.3">
      <c r="A1035" t="s">
        <v>1551</v>
      </c>
      <c r="B1035">
        <v>15</v>
      </c>
      <c r="C1035" t="s">
        <v>0</v>
      </c>
      <c r="D1035" t="s">
        <v>1551</v>
      </c>
      <c r="E1035">
        <v>30</v>
      </c>
      <c r="F1035" t="s">
        <v>1551</v>
      </c>
      <c r="I1035">
        <v>5</v>
      </c>
      <c r="J1035" t="s">
        <v>1361</v>
      </c>
      <c r="K1035">
        <v>634</v>
      </c>
      <c r="L1035" t="s">
        <v>1</v>
      </c>
      <c r="M1035" t="s">
        <v>0</v>
      </c>
      <c r="N1035" t="s">
        <v>1266</v>
      </c>
      <c r="O1035" t="s">
        <v>1266</v>
      </c>
      <c r="P1035" t="s">
        <v>1266</v>
      </c>
      <c r="Q1035" t="s">
        <v>1266</v>
      </c>
      <c r="R1035" t="s">
        <v>1266</v>
      </c>
    </row>
    <row r="1036" spans="1:18" x14ac:dyDescent="0.3">
      <c r="A1036" t="s">
        <v>1418</v>
      </c>
      <c r="B1036">
        <v>16</v>
      </c>
      <c r="C1036" t="s">
        <v>0</v>
      </c>
      <c r="D1036" t="s">
        <v>1418</v>
      </c>
      <c r="E1036">
        <v>30</v>
      </c>
      <c r="F1036" t="s">
        <v>1418</v>
      </c>
      <c r="I1036">
        <v>12</v>
      </c>
      <c r="J1036" t="s">
        <v>1361</v>
      </c>
      <c r="K1036">
        <v>635</v>
      </c>
      <c r="L1036" t="s">
        <v>1</v>
      </c>
      <c r="M1036" t="s">
        <v>0</v>
      </c>
      <c r="N1036" t="s">
        <v>1266</v>
      </c>
      <c r="O1036" t="s">
        <v>1266</v>
      </c>
      <c r="P1036" t="s">
        <v>1266</v>
      </c>
      <c r="Q1036" t="s">
        <v>1266</v>
      </c>
      <c r="R1036" t="s">
        <v>1266</v>
      </c>
    </row>
    <row r="1037" spans="1:18" x14ac:dyDescent="0.3">
      <c r="A1037" t="s">
        <v>1412</v>
      </c>
      <c r="B1037">
        <v>17</v>
      </c>
      <c r="C1037" t="s">
        <v>0</v>
      </c>
      <c r="D1037" t="s">
        <v>1412</v>
      </c>
      <c r="E1037">
        <v>30</v>
      </c>
      <c r="F1037" t="s">
        <v>1412</v>
      </c>
      <c r="I1037">
        <v>14</v>
      </c>
      <c r="J1037" t="s">
        <v>1361</v>
      </c>
      <c r="K1037">
        <v>636</v>
      </c>
      <c r="L1037" t="s">
        <v>1</v>
      </c>
      <c r="M1037" t="s">
        <v>0</v>
      </c>
      <c r="N1037" t="s">
        <v>1266</v>
      </c>
      <c r="O1037" t="s">
        <v>1266</v>
      </c>
      <c r="P1037" t="s">
        <v>1266</v>
      </c>
      <c r="Q1037" t="s">
        <v>1266</v>
      </c>
      <c r="R1037" t="s">
        <v>1266</v>
      </c>
    </row>
    <row r="1038" spans="1:18" x14ac:dyDescent="0.3">
      <c r="A1038" t="s">
        <v>1406</v>
      </c>
      <c r="B1038">
        <v>18</v>
      </c>
      <c r="C1038" t="s">
        <v>0</v>
      </c>
      <c r="D1038" t="s">
        <v>1406</v>
      </c>
      <c r="E1038">
        <v>30</v>
      </c>
      <c r="F1038" t="s">
        <v>1406</v>
      </c>
      <c r="I1038">
        <v>12</v>
      </c>
      <c r="J1038" t="s">
        <v>1361</v>
      </c>
      <c r="K1038">
        <v>637</v>
      </c>
      <c r="L1038" t="s">
        <v>1</v>
      </c>
      <c r="M1038" t="s">
        <v>0</v>
      </c>
      <c r="N1038" t="s">
        <v>1266</v>
      </c>
      <c r="O1038" t="s">
        <v>1266</v>
      </c>
      <c r="P1038" t="s">
        <v>1266</v>
      </c>
      <c r="Q1038" t="s">
        <v>1266</v>
      </c>
      <c r="R1038" t="s">
        <v>1266</v>
      </c>
    </row>
    <row r="1039" spans="1:18" x14ac:dyDescent="0.3">
      <c r="A1039" t="s">
        <v>1399</v>
      </c>
      <c r="B1039">
        <v>19</v>
      </c>
      <c r="C1039" t="s">
        <v>0</v>
      </c>
      <c r="D1039" t="s">
        <v>1399</v>
      </c>
      <c r="E1039">
        <v>30</v>
      </c>
      <c r="F1039" t="s">
        <v>1399</v>
      </c>
      <c r="I1039">
        <v>5</v>
      </c>
      <c r="J1039" t="s">
        <v>1361</v>
      </c>
      <c r="K1039">
        <v>638</v>
      </c>
      <c r="L1039" t="s">
        <v>1</v>
      </c>
      <c r="M1039" t="s">
        <v>0</v>
      </c>
      <c r="N1039" t="s">
        <v>1266</v>
      </c>
      <c r="O1039" t="s">
        <v>1266</v>
      </c>
      <c r="P1039" t="s">
        <v>1266</v>
      </c>
      <c r="Q1039" t="s">
        <v>1266</v>
      </c>
      <c r="R1039" t="s">
        <v>1266</v>
      </c>
    </row>
    <row r="1040" spans="1:18" x14ac:dyDescent="0.3">
      <c r="A1040" t="s">
        <v>1390</v>
      </c>
      <c r="B1040">
        <v>20</v>
      </c>
      <c r="C1040" t="s">
        <v>0</v>
      </c>
      <c r="D1040" t="s">
        <v>1390</v>
      </c>
      <c r="E1040">
        <v>30</v>
      </c>
      <c r="F1040" t="s">
        <v>1390</v>
      </c>
      <c r="I1040">
        <v>4</v>
      </c>
      <c r="J1040" t="s">
        <v>1361</v>
      </c>
      <c r="K1040">
        <v>639</v>
      </c>
      <c r="L1040" t="s">
        <v>1</v>
      </c>
      <c r="M1040" t="s">
        <v>0</v>
      </c>
      <c r="N1040" t="s">
        <v>1266</v>
      </c>
      <c r="O1040" t="s">
        <v>1266</v>
      </c>
      <c r="P1040" t="s">
        <v>1266</v>
      </c>
      <c r="Q1040" t="s">
        <v>1266</v>
      </c>
      <c r="R1040" t="s">
        <v>1266</v>
      </c>
    </row>
    <row r="1041" spans="1:18" x14ac:dyDescent="0.3">
      <c r="A1041" t="s">
        <v>924</v>
      </c>
      <c r="B1041">
        <v>21</v>
      </c>
      <c r="C1041" t="s">
        <v>0</v>
      </c>
      <c r="D1041" t="s">
        <v>924</v>
      </c>
      <c r="E1041">
        <v>30</v>
      </c>
      <c r="F1041" t="s">
        <v>924</v>
      </c>
      <c r="I1041">
        <v>15</v>
      </c>
      <c r="J1041" t="s">
        <v>1361</v>
      </c>
      <c r="K1041">
        <v>640</v>
      </c>
      <c r="L1041" t="s">
        <v>1</v>
      </c>
      <c r="M1041" t="s">
        <v>0</v>
      </c>
      <c r="N1041" t="s">
        <v>1266</v>
      </c>
      <c r="O1041" t="s">
        <v>1266</v>
      </c>
      <c r="P1041" t="s">
        <v>1266</v>
      </c>
      <c r="Q1041" t="s">
        <v>1266</v>
      </c>
      <c r="R1041" t="s">
        <v>1266</v>
      </c>
    </row>
    <row r="1042" spans="1:18" x14ac:dyDescent="0.3">
      <c r="A1042" t="s">
        <v>1613</v>
      </c>
      <c r="B1042">
        <v>1</v>
      </c>
      <c r="C1042" t="s">
        <v>0</v>
      </c>
      <c r="D1042" t="s">
        <v>1613</v>
      </c>
      <c r="E1042">
        <v>30</v>
      </c>
      <c r="F1042" t="s">
        <v>1613</v>
      </c>
      <c r="I1042">
        <v>7</v>
      </c>
      <c r="J1042" t="s">
        <v>1346</v>
      </c>
      <c r="K1042">
        <v>641</v>
      </c>
      <c r="L1042" t="s">
        <v>1</v>
      </c>
      <c r="M1042" t="s">
        <v>0</v>
      </c>
      <c r="N1042" t="s">
        <v>1266</v>
      </c>
      <c r="O1042" t="s">
        <v>1266</v>
      </c>
      <c r="P1042" t="s">
        <v>1266</v>
      </c>
      <c r="Q1042" t="s">
        <v>1266</v>
      </c>
      <c r="R1042" t="s">
        <v>1266</v>
      </c>
    </row>
    <row r="1043" spans="1:18" x14ac:dyDescent="0.3">
      <c r="A1043" t="s">
        <v>1508</v>
      </c>
      <c r="B1043">
        <v>2</v>
      </c>
      <c r="C1043" t="s">
        <v>0</v>
      </c>
      <c r="D1043" t="s">
        <v>1508</v>
      </c>
      <c r="E1043">
        <v>30</v>
      </c>
      <c r="F1043" t="s">
        <v>1508</v>
      </c>
      <c r="I1043">
        <v>15</v>
      </c>
      <c r="J1043" t="s">
        <v>1346</v>
      </c>
      <c r="K1043">
        <v>642</v>
      </c>
      <c r="L1043" t="s">
        <v>1</v>
      </c>
      <c r="M1043" t="s">
        <v>0</v>
      </c>
      <c r="N1043" t="s">
        <v>1266</v>
      </c>
      <c r="O1043" t="s">
        <v>1266</v>
      </c>
      <c r="P1043" t="s">
        <v>1266</v>
      </c>
      <c r="Q1043" t="s">
        <v>1266</v>
      </c>
      <c r="R1043" t="s">
        <v>1266</v>
      </c>
    </row>
    <row r="1044" spans="1:18" x14ac:dyDescent="0.3">
      <c r="A1044" t="s">
        <v>1601</v>
      </c>
      <c r="B1044">
        <v>3</v>
      </c>
      <c r="C1044" t="s">
        <v>0</v>
      </c>
      <c r="D1044" t="s">
        <v>1601</v>
      </c>
      <c r="E1044">
        <v>30</v>
      </c>
      <c r="F1044" t="s">
        <v>1601</v>
      </c>
      <c r="I1044">
        <v>15</v>
      </c>
      <c r="J1044" t="s">
        <v>1346</v>
      </c>
      <c r="K1044">
        <v>643</v>
      </c>
      <c r="L1044" t="s">
        <v>0</v>
      </c>
      <c r="M1044" t="s">
        <v>0</v>
      </c>
      <c r="N1044" t="s">
        <v>1266</v>
      </c>
      <c r="O1044" t="s">
        <v>1266</v>
      </c>
      <c r="P1044" t="s">
        <v>1266</v>
      </c>
      <c r="Q1044" t="s">
        <v>1266</v>
      </c>
      <c r="R1044" t="s">
        <v>1266</v>
      </c>
    </row>
    <row r="1045" spans="1:18" x14ac:dyDescent="0.3">
      <c r="A1045" t="s">
        <v>1496</v>
      </c>
      <c r="B1045">
        <v>4</v>
      </c>
      <c r="C1045" t="s">
        <v>0</v>
      </c>
      <c r="D1045" t="s">
        <v>1496</v>
      </c>
      <c r="E1045">
        <v>30</v>
      </c>
      <c r="F1045" t="s">
        <v>1496</v>
      </c>
      <c r="I1045">
        <v>12</v>
      </c>
      <c r="J1045" t="s">
        <v>1346</v>
      </c>
      <c r="K1045">
        <v>644</v>
      </c>
      <c r="L1045" t="s">
        <v>1</v>
      </c>
      <c r="M1045" t="s">
        <v>0</v>
      </c>
      <c r="N1045" t="s">
        <v>1266</v>
      </c>
      <c r="O1045" t="s">
        <v>1266</v>
      </c>
      <c r="P1045" t="s">
        <v>1266</v>
      </c>
      <c r="Q1045" t="s">
        <v>1266</v>
      </c>
      <c r="R1045" t="s">
        <v>1266</v>
      </c>
    </row>
    <row r="1046" spans="1:18" x14ac:dyDescent="0.3">
      <c r="A1046" t="s">
        <v>1587</v>
      </c>
      <c r="B1046">
        <v>5</v>
      </c>
      <c r="C1046" t="s">
        <v>0</v>
      </c>
      <c r="D1046" t="s">
        <v>1587</v>
      </c>
      <c r="E1046">
        <v>30</v>
      </c>
      <c r="F1046" t="s">
        <v>1587</v>
      </c>
      <c r="I1046">
        <v>4</v>
      </c>
      <c r="J1046" t="s">
        <v>1346</v>
      </c>
      <c r="K1046">
        <v>645</v>
      </c>
      <c r="L1046" t="s">
        <v>1</v>
      </c>
      <c r="M1046" t="s">
        <v>0</v>
      </c>
      <c r="N1046" t="s">
        <v>1266</v>
      </c>
      <c r="O1046" t="s">
        <v>1266</v>
      </c>
      <c r="P1046" t="s">
        <v>1266</v>
      </c>
      <c r="Q1046" t="s">
        <v>1266</v>
      </c>
      <c r="R1046" t="s">
        <v>1266</v>
      </c>
    </row>
    <row r="1047" spans="1:18" x14ac:dyDescent="0.3">
      <c r="A1047" t="s">
        <v>1458</v>
      </c>
      <c r="B1047">
        <v>6</v>
      </c>
      <c r="C1047" t="s">
        <v>0</v>
      </c>
      <c r="D1047" t="s">
        <v>1458</v>
      </c>
      <c r="E1047">
        <v>30</v>
      </c>
      <c r="F1047" t="s">
        <v>1458</v>
      </c>
      <c r="I1047">
        <v>2</v>
      </c>
      <c r="J1047" t="s">
        <v>1346</v>
      </c>
      <c r="K1047">
        <v>646</v>
      </c>
      <c r="L1047" t="s">
        <v>1</v>
      </c>
      <c r="M1047" t="s">
        <v>0</v>
      </c>
      <c r="N1047" t="s">
        <v>1266</v>
      </c>
      <c r="O1047" t="s">
        <v>1266</v>
      </c>
      <c r="P1047" t="s">
        <v>1266</v>
      </c>
      <c r="Q1047" t="s">
        <v>1266</v>
      </c>
      <c r="R1047" t="s">
        <v>1266</v>
      </c>
    </row>
    <row r="1048" spans="1:18" x14ac:dyDescent="0.3">
      <c r="A1048" t="s">
        <v>1565</v>
      </c>
      <c r="B1048">
        <v>7</v>
      </c>
      <c r="C1048" t="s">
        <v>0</v>
      </c>
      <c r="D1048" t="s">
        <v>1565</v>
      </c>
      <c r="E1048">
        <v>30</v>
      </c>
      <c r="F1048" t="s">
        <v>1565</v>
      </c>
      <c r="I1048">
        <v>17</v>
      </c>
      <c r="J1048" t="s">
        <v>1346</v>
      </c>
      <c r="K1048">
        <v>647</v>
      </c>
      <c r="L1048" t="s">
        <v>1</v>
      </c>
      <c r="M1048" t="s">
        <v>0</v>
      </c>
      <c r="N1048" t="s">
        <v>1266</v>
      </c>
      <c r="O1048" t="s">
        <v>1266</v>
      </c>
      <c r="P1048" t="s">
        <v>1266</v>
      </c>
      <c r="Q1048" t="s">
        <v>1266</v>
      </c>
      <c r="R1048" t="s">
        <v>1266</v>
      </c>
    </row>
    <row r="1049" spans="1:18" x14ac:dyDescent="0.3">
      <c r="A1049" t="s">
        <v>1446</v>
      </c>
      <c r="B1049">
        <v>8</v>
      </c>
      <c r="C1049" t="s">
        <v>0</v>
      </c>
      <c r="D1049" t="s">
        <v>1446</v>
      </c>
      <c r="E1049">
        <v>30</v>
      </c>
      <c r="F1049" t="s">
        <v>1446</v>
      </c>
      <c r="I1049">
        <v>13</v>
      </c>
      <c r="J1049" t="s">
        <v>1346</v>
      </c>
      <c r="K1049">
        <v>648</v>
      </c>
      <c r="L1049" t="s">
        <v>1</v>
      </c>
      <c r="M1049" t="s">
        <v>0</v>
      </c>
      <c r="N1049" t="s">
        <v>1266</v>
      </c>
      <c r="O1049" t="s">
        <v>1266</v>
      </c>
      <c r="P1049" t="s">
        <v>1266</v>
      </c>
      <c r="Q1049" t="s">
        <v>1266</v>
      </c>
      <c r="R1049" t="s">
        <v>1266</v>
      </c>
    </row>
    <row r="1050" spans="1:18" x14ac:dyDescent="0.3">
      <c r="A1050" t="s">
        <v>1559</v>
      </c>
      <c r="B1050">
        <v>9</v>
      </c>
      <c r="C1050" t="s">
        <v>0</v>
      </c>
      <c r="D1050" t="s">
        <v>1559</v>
      </c>
      <c r="E1050">
        <v>30</v>
      </c>
      <c r="F1050" t="s">
        <v>1559</v>
      </c>
      <c r="I1050">
        <v>5</v>
      </c>
      <c r="J1050" t="s">
        <v>1346</v>
      </c>
      <c r="K1050">
        <v>649</v>
      </c>
      <c r="L1050" t="s">
        <v>1</v>
      </c>
      <c r="M1050" t="s">
        <v>0</v>
      </c>
      <c r="N1050" t="s">
        <v>1266</v>
      </c>
      <c r="O1050" t="s">
        <v>1266</v>
      </c>
      <c r="P1050" t="s">
        <v>1266</v>
      </c>
      <c r="Q1050" t="s">
        <v>1266</v>
      </c>
      <c r="R1050" t="s">
        <v>1266</v>
      </c>
    </row>
    <row r="1051" spans="1:18" x14ac:dyDescent="0.3">
      <c r="A1051" t="s">
        <v>1434</v>
      </c>
      <c r="B1051">
        <v>10</v>
      </c>
      <c r="C1051" t="s">
        <v>0</v>
      </c>
      <c r="D1051" t="s">
        <v>1434</v>
      </c>
      <c r="E1051">
        <v>30</v>
      </c>
      <c r="F1051" t="s">
        <v>1434</v>
      </c>
      <c r="I1051">
        <v>10</v>
      </c>
      <c r="J1051" t="s">
        <v>1346</v>
      </c>
      <c r="K1051">
        <v>650</v>
      </c>
      <c r="L1051" t="s">
        <v>1</v>
      </c>
      <c r="M1051" t="s">
        <v>0</v>
      </c>
      <c r="N1051" t="s">
        <v>1266</v>
      </c>
      <c r="O1051" t="s">
        <v>1266</v>
      </c>
      <c r="P1051" t="s">
        <v>1266</v>
      </c>
      <c r="Q1051" t="s">
        <v>1266</v>
      </c>
      <c r="R1051" t="s">
        <v>1266</v>
      </c>
    </row>
    <row r="1052" spans="1:18" x14ac:dyDescent="0.3">
      <c r="A1052" t="s">
        <v>1551</v>
      </c>
      <c r="B1052">
        <v>11</v>
      </c>
      <c r="C1052" t="s">
        <v>0</v>
      </c>
      <c r="D1052" t="s">
        <v>1551</v>
      </c>
      <c r="E1052">
        <v>30</v>
      </c>
      <c r="F1052" t="s">
        <v>1551</v>
      </c>
      <c r="I1052">
        <v>5</v>
      </c>
      <c r="J1052" t="s">
        <v>1346</v>
      </c>
      <c r="K1052">
        <v>651</v>
      </c>
      <c r="L1052" t="s">
        <v>1</v>
      </c>
      <c r="M1052" t="s">
        <v>0</v>
      </c>
      <c r="N1052" t="s">
        <v>1266</v>
      </c>
      <c r="O1052" t="s">
        <v>1266</v>
      </c>
      <c r="P1052" t="s">
        <v>1266</v>
      </c>
      <c r="Q1052" t="s">
        <v>1266</v>
      </c>
      <c r="R1052" t="s">
        <v>1266</v>
      </c>
    </row>
    <row r="1053" spans="1:18" x14ac:dyDescent="0.3">
      <c r="A1053" t="s">
        <v>50</v>
      </c>
      <c r="B1053">
        <v>12</v>
      </c>
      <c r="C1053" t="s">
        <v>0</v>
      </c>
      <c r="D1053" t="s">
        <v>50</v>
      </c>
      <c r="E1053">
        <v>30</v>
      </c>
      <c r="F1053" t="s">
        <v>50</v>
      </c>
      <c r="I1053">
        <v>20</v>
      </c>
      <c r="J1053" t="s">
        <v>1346</v>
      </c>
      <c r="K1053">
        <v>652</v>
      </c>
      <c r="L1053" t="s">
        <v>1</v>
      </c>
      <c r="M1053" t="s">
        <v>0</v>
      </c>
      <c r="N1053" t="s">
        <v>1266</v>
      </c>
      <c r="O1053" t="s">
        <v>1266</v>
      </c>
      <c r="P1053" t="s">
        <v>1266</v>
      </c>
      <c r="Q1053" t="s">
        <v>1266</v>
      </c>
      <c r="R1053" t="s">
        <v>1266</v>
      </c>
    </row>
    <row r="1054" spans="1:18" x14ac:dyDescent="0.3">
      <c r="A1054" t="s">
        <v>1412</v>
      </c>
      <c r="B1054">
        <v>13</v>
      </c>
      <c r="C1054" t="s">
        <v>0</v>
      </c>
      <c r="D1054" t="s">
        <v>1412</v>
      </c>
      <c r="E1054">
        <v>30</v>
      </c>
      <c r="F1054" t="s">
        <v>1412</v>
      </c>
      <c r="I1054">
        <v>14</v>
      </c>
      <c r="J1054" t="s">
        <v>1346</v>
      </c>
      <c r="K1054">
        <v>653</v>
      </c>
      <c r="L1054" t="s">
        <v>1</v>
      </c>
      <c r="M1054" t="s">
        <v>0</v>
      </c>
      <c r="N1054" t="s">
        <v>1266</v>
      </c>
      <c r="O1054" t="s">
        <v>1266</v>
      </c>
      <c r="P1054" t="s">
        <v>1266</v>
      </c>
      <c r="Q1054" t="s">
        <v>1266</v>
      </c>
      <c r="R1054" t="s">
        <v>1266</v>
      </c>
    </row>
    <row r="1055" spans="1:18" x14ac:dyDescent="0.3">
      <c r="A1055" t="s">
        <v>1406</v>
      </c>
      <c r="B1055">
        <v>14</v>
      </c>
      <c r="C1055" t="s">
        <v>0</v>
      </c>
      <c r="D1055" t="s">
        <v>1406</v>
      </c>
      <c r="E1055">
        <v>30</v>
      </c>
      <c r="F1055" t="s">
        <v>1406</v>
      </c>
      <c r="I1055">
        <v>12</v>
      </c>
      <c r="J1055" t="s">
        <v>1346</v>
      </c>
      <c r="K1055">
        <v>654</v>
      </c>
      <c r="L1055" t="s">
        <v>1</v>
      </c>
      <c r="M1055" t="s">
        <v>0</v>
      </c>
      <c r="N1055" t="s">
        <v>1266</v>
      </c>
      <c r="O1055" t="s">
        <v>1266</v>
      </c>
      <c r="P1055" t="s">
        <v>1266</v>
      </c>
      <c r="Q1055" t="s">
        <v>1266</v>
      </c>
      <c r="R1055" t="s">
        <v>1266</v>
      </c>
    </row>
    <row r="1056" spans="1:18" x14ac:dyDescent="0.3">
      <c r="A1056" t="s">
        <v>1399</v>
      </c>
      <c r="B1056">
        <v>15</v>
      </c>
      <c r="C1056" t="s">
        <v>0</v>
      </c>
      <c r="D1056" t="s">
        <v>1399</v>
      </c>
      <c r="E1056">
        <v>30</v>
      </c>
      <c r="F1056" t="s">
        <v>1399</v>
      </c>
      <c r="I1056">
        <v>5</v>
      </c>
      <c r="J1056" t="s">
        <v>1346</v>
      </c>
      <c r="K1056">
        <v>655</v>
      </c>
      <c r="L1056" t="s">
        <v>1</v>
      </c>
      <c r="M1056" t="s">
        <v>0</v>
      </c>
      <c r="N1056" t="s">
        <v>1266</v>
      </c>
      <c r="O1056" t="s">
        <v>1266</v>
      </c>
      <c r="P1056" t="s">
        <v>1266</v>
      </c>
      <c r="Q1056" t="s">
        <v>1266</v>
      </c>
      <c r="R1056" t="s">
        <v>1266</v>
      </c>
    </row>
    <row r="1057" spans="1:18" x14ac:dyDescent="0.3">
      <c r="A1057" t="s">
        <v>1479</v>
      </c>
      <c r="B1057">
        <v>1</v>
      </c>
      <c r="C1057" t="s">
        <v>0</v>
      </c>
      <c r="D1057" t="s">
        <v>1479</v>
      </c>
      <c r="E1057">
        <v>30</v>
      </c>
      <c r="F1057" t="s">
        <v>1479</v>
      </c>
      <c r="I1057">
        <v>8</v>
      </c>
      <c r="J1057" t="s">
        <v>1333</v>
      </c>
      <c r="K1057" t="s">
        <v>1480</v>
      </c>
      <c r="L1057" t="s">
        <v>0</v>
      </c>
      <c r="M1057" t="s">
        <v>0</v>
      </c>
      <c r="N1057" t="s">
        <v>1266</v>
      </c>
      <c r="O1057" t="s">
        <v>1266</v>
      </c>
      <c r="P1057" t="s">
        <v>1266</v>
      </c>
      <c r="Q1057" t="s">
        <v>1266</v>
      </c>
      <c r="R1057" t="s">
        <v>1266</v>
      </c>
    </row>
    <row r="1058" spans="1:18" x14ac:dyDescent="0.3">
      <c r="A1058" t="s">
        <v>1575</v>
      </c>
      <c r="B1058">
        <v>2</v>
      </c>
      <c r="C1058" t="s">
        <v>0</v>
      </c>
      <c r="D1058" t="s">
        <v>1575</v>
      </c>
      <c r="E1058">
        <v>30</v>
      </c>
      <c r="F1058" t="s">
        <v>1575</v>
      </c>
      <c r="I1058">
        <v>18</v>
      </c>
      <c r="J1058" t="s">
        <v>1333</v>
      </c>
      <c r="K1058" t="s">
        <v>1576</v>
      </c>
      <c r="L1058" t="s">
        <v>1</v>
      </c>
      <c r="M1058" t="s">
        <v>0</v>
      </c>
      <c r="N1058" t="s">
        <v>1266</v>
      </c>
      <c r="O1058" t="s">
        <v>1266</v>
      </c>
      <c r="P1058" t="s">
        <v>1266</v>
      </c>
      <c r="Q1058" t="s">
        <v>1266</v>
      </c>
      <c r="R1058" t="s">
        <v>1266</v>
      </c>
    </row>
    <row r="1059" spans="1:18" x14ac:dyDescent="0.3">
      <c r="A1059" t="s">
        <v>1458</v>
      </c>
      <c r="B1059">
        <v>3</v>
      </c>
      <c r="C1059" t="s">
        <v>0</v>
      </c>
      <c r="D1059" t="s">
        <v>1458</v>
      </c>
      <c r="E1059">
        <v>30</v>
      </c>
      <c r="F1059" t="s">
        <v>1458</v>
      </c>
      <c r="I1059">
        <v>2</v>
      </c>
      <c r="J1059" t="s">
        <v>1333</v>
      </c>
      <c r="K1059" t="s">
        <v>1466</v>
      </c>
      <c r="L1059" t="s">
        <v>1</v>
      </c>
      <c r="M1059" t="s">
        <v>0</v>
      </c>
      <c r="N1059" t="s">
        <v>1266</v>
      </c>
      <c r="O1059" t="s">
        <v>1266</v>
      </c>
      <c r="P1059" t="s">
        <v>1266</v>
      </c>
      <c r="Q1059" t="s">
        <v>1266</v>
      </c>
      <c r="R1059" t="s">
        <v>1266</v>
      </c>
    </row>
    <row r="1060" spans="1:18" x14ac:dyDescent="0.3">
      <c r="A1060" t="s">
        <v>1565</v>
      </c>
      <c r="B1060">
        <v>4</v>
      </c>
      <c r="C1060" t="s">
        <v>0</v>
      </c>
      <c r="D1060" t="s">
        <v>1565</v>
      </c>
      <c r="E1060">
        <v>30</v>
      </c>
      <c r="F1060" t="s">
        <v>1565</v>
      </c>
      <c r="I1060">
        <v>17</v>
      </c>
      <c r="J1060" t="s">
        <v>1333</v>
      </c>
      <c r="K1060" t="s">
        <v>1569</v>
      </c>
      <c r="L1060" t="s">
        <v>1</v>
      </c>
      <c r="M1060" t="s">
        <v>0</v>
      </c>
      <c r="N1060" t="s">
        <v>1266</v>
      </c>
      <c r="O1060" t="s">
        <v>1266</v>
      </c>
      <c r="P1060" t="s">
        <v>1266</v>
      </c>
      <c r="Q1060" t="s">
        <v>1266</v>
      </c>
      <c r="R1060" t="s">
        <v>1266</v>
      </c>
    </row>
    <row r="1061" spans="1:18" x14ac:dyDescent="0.3">
      <c r="A1061" t="s">
        <v>1446</v>
      </c>
      <c r="B1061">
        <v>5</v>
      </c>
      <c r="C1061" t="s">
        <v>0</v>
      </c>
      <c r="D1061" t="s">
        <v>1446</v>
      </c>
      <c r="E1061">
        <v>30</v>
      </c>
      <c r="F1061" t="s">
        <v>1446</v>
      </c>
      <c r="I1061">
        <v>13</v>
      </c>
      <c r="J1061" t="s">
        <v>1333</v>
      </c>
      <c r="K1061" t="s">
        <v>1452</v>
      </c>
      <c r="L1061" t="s">
        <v>1</v>
      </c>
      <c r="M1061" t="s">
        <v>0</v>
      </c>
      <c r="N1061" t="s">
        <v>1266</v>
      </c>
      <c r="O1061" t="s">
        <v>1266</v>
      </c>
      <c r="P1061" t="s">
        <v>1266</v>
      </c>
      <c r="Q1061" t="s">
        <v>1266</v>
      </c>
      <c r="R1061" t="s">
        <v>1266</v>
      </c>
    </row>
    <row r="1062" spans="1:18" x14ac:dyDescent="0.3">
      <c r="A1062" t="s">
        <v>1559</v>
      </c>
      <c r="B1062">
        <v>6</v>
      </c>
      <c r="C1062" t="s">
        <v>0</v>
      </c>
      <c r="D1062" t="s">
        <v>1559</v>
      </c>
      <c r="E1062">
        <v>30</v>
      </c>
      <c r="F1062" t="s">
        <v>1559</v>
      </c>
      <c r="I1062">
        <v>5</v>
      </c>
      <c r="J1062" t="s">
        <v>1333</v>
      </c>
      <c r="K1062" t="s">
        <v>1561</v>
      </c>
      <c r="L1062" t="s">
        <v>1</v>
      </c>
      <c r="M1062" t="s">
        <v>0</v>
      </c>
      <c r="N1062" t="s">
        <v>1266</v>
      </c>
      <c r="O1062" t="s">
        <v>1266</v>
      </c>
      <c r="P1062" t="s">
        <v>1266</v>
      </c>
      <c r="Q1062" t="s">
        <v>1266</v>
      </c>
      <c r="R1062" t="s">
        <v>1266</v>
      </c>
    </row>
    <row r="1063" spans="1:18" x14ac:dyDescent="0.3">
      <c r="A1063" t="s">
        <v>1434</v>
      </c>
      <c r="B1063">
        <v>7</v>
      </c>
      <c r="C1063" t="s">
        <v>0</v>
      </c>
      <c r="D1063" t="s">
        <v>1434</v>
      </c>
      <c r="E1063">
        <v>30</v>
      </c>
      <c r="F1063" t="s">
        <v>1434</v>
      </c>
      <c r="I1063">
        <v>10</v>
      </c>
      <c r="J1063" t="s">
        <v>1333</v>
      </c>
      <c r="K1063" t="s">
        <v>1439</v>
      </c>
      <c r="L1063" t="s">
        <v>1</v>
      </c>
      <c r="M1063" t="s">
        <v>0</v>
      </c>
      <c r="N1063" t="s">
        <v>1266</v>
      </c>
      <c r="O1063" t="s">
        <v>1266</v>
      </c>
      <c r="P1063" t="s">
        <v>1266</v>
      </c>
      <c r="Q1063" t="s">
        <v>1266</v>
      </c>
      <c r="R1063" t="s">
        <v>1266</v>
      </c>
    </row>
    <row r="1064" spans="1:18" x14ac:dyDescent="0.3">
      <c r="A1064" t="s">
        <v>1551</v>
      </c>
      <c r="B1064">
        <v>8</v>
      </c>
      <c r="C1064" t="s">
        <v>0</v>
      </c>
      <c r="D1064" t="s">
        <v>1551</v>
      </c>
      <c r="E1064">
        <v>30</v>
      </c>
      <c r="F1064" t="s">
        <v>1551</v>
      </c>
      <c r="I1064">
        <v>5</v>
      </c>
      <c r="J1064" t="s">
        <v>1333</v>
      </c>
      <c r="K1064" t="s">
        <v>1554</v>
      </c>
      <c r="L1064" t="s">
        <v>1</v>
      </c>
      <c r="M1064" t="s">
        <v>0</v>
      </c>
      <c r="N1064" t="s">
        <v>1266</v>
      </c>
      <c r="O1064" t="s">
        <v>1266</v>
      </c>
      <c r="P1064" t="s">
        <v>1266</v>
      </c>
      <c r="Q1064" t="s">
        <v>1266</v>
      </c>
      <c r="R1064" t="s">
        <v>1266</v>
      </c>
    </row>
    <row r="1065" spans="1:18" x14ac:dyDescent="0.3">
      <c r="A1065" t="s">
        <v>1426</v>
      </c>
      <c r="B1065">
        <v>9</v>
      </c>
      <c r="C1065" t="s">
        <v>0</v>
      </c>
      <c r="D1065" t="s">
        <v>1426</v>
      </c>
      <c r="E1065">
        <v>30</v>
      </c>
      <c r="F1065" t="s">
        <v>1426</v>
      </c>
      <c r="I1065">
        <v>4</v>
      </c>
      <c r="J1065" t="s">
        <v>1333</v>
      </c>
      <c r="K1065" t="s">
        <v>1427</v>
      </c>
      <c r="L1065" t="s">
        <v>1</v>
      </c>
      <c r="M1065" t="s">
        <v>0</v>
      </c>
      <c r="N1065" t="s">
        <v>1266</v>
      </c>
      <c r="O1065" t="s">
        <v>1266</v>
      </c>
      <c r="P1065" t="s">
        <v>1266</v>
      </c>
      <c r="Q1065" t="s">
        <v>1266</v>
      </c>
      <c r="R1065" t="s">
        <v>1266</v>
      </c>
    </row>
    <row r="1066" spans="1:18" x14ac:dyDescent="0.3">
      <c r="A1066" t="s">
        <v>1542</v>
      </c>
      <c r="B1066">
        <v>10</v>
      </c>
      <c r="C1066" t="s">
        <v>0</v>
      </c>
      <c r="D1066" t="s">
        <v>1542</v>
      </c>
      <c r="E1066">
        <v>30</v>
      </c>
      <c r="F1066" t="s">
        <v>1542</v>
      </c>
      <c r="I1066">
        <v>2</v>
      </c>
      <c r="J1066" t="s">
        <v>1333</v>
      </c>
      <c r="K1066" t="s">
        <v>1543</v>
      </c>
      <c r="L1066" t="s">
        <v>1</v>
      </c>
      <c r="M1066" t="s">
        <v>0</v>
      </c>
      <c r="N1066" t="s">
        <v>1266</v>
      </c>
      <c r="O1066" t="s">
        <v>1266</v>
      </c>
      <c r="P1066" t="s">
        <v>1266</v>
      </c>
      <c r="Q1066" t="s">
        <v>1266</v>
      </c>
      <c r="R1066" t="s">
        <v>1266</v>
      </c>
    </row>
    <row r="1067" spans="1:18" x14ac:dyDescent="0.3">
      <c r="A1067" t="s">
        <v>1412</v>
      </c>
      <c r="B1067">
        <v>11</v>
      </c>
      <c r="C1067" t="s">
        <v>0</v>
      </c>
      <c r="D1067" t="s">
        <v>1412</v>
      </c>
      <c r="E1067">
        <v>30</v>
      </c>
      <c r="F1067" t="s">
        <v>1412</v>
      </c>
      <c r="I1067">
        <v>14</v>
      </c>
      <c r="J1067" t="s">
        <v>1333</v>
      </c>
      <c r="K1067" t="s">
        <v>1413</v>
      </c>
      <c r="L1067" t="s">
        <v>1</v>
      </c>
      <c r="M1067" t="s">
        <v>0</v>
      </c>
      <c r="N1067" t="s">
        <v>1266</v>
      </c>
      <c r="O1067" t="s">
        <v>1266</v>
      </c>
      <c r="P1067" t="s">
        <v>1266</v>
      </c>
      <c r="Q1067" t="s">
        <v>1266</v>
      </c>
      <c r="R1067" t="s">
        <v>1266</v>
      </c>
    </row>
    <row r="1068" spans="1:18" x14ac:dyDescent="0.3">
      <c r="A1068" t="s">
        <v>1406</v>
      </c>
      <c r="B1068">
        <v>12</v>
      </c>
      <c r="C1068" t="s">
        <v>0</v>
      </c>
      <c r="D1068" t="s">
        <v>1406</v>
      </c>
      <c r="E1068">
        <v>30</v>
      </c>
      <c r="F1068" t="s">
        <v>1406</v>
      </c>
      <c r="I1068">
        <v>12</v>
      </c>
      <c r="J1068" t="s">
        <v>1333</v>
      </c>
      <c r="K1068" t="s">
        <v>1531</v>
      </c>
      <c r="L1068" t="s">
        <v>1</v>
      </c>
      <c r="M1068" t="s">
        <v>0</v>
      </c>
      <c r="N1068" t="s">
        <v>1266</v>
      </c>
      <c r="O1068" t="s">
        <v>1266</v>
      </c>
      <c r="P1068" t="s">
        <v>1266</v>
      </c>
      <c r="Q1068" t="s">
        <v>1266</v>
      </c>
      <c r="R1068" t="s">
        <v>1266</v>
      </c>
    </row>
    <row r="1069" spans="1:18" x14ac:dyDescent="0.3">
      <c r="A1069" t="s">
        <v>1399</v>
      </c>
      <c r="B1069">
        <v>13</v>
      </c>
      <c r="C1069" t="s">
        <v>0</v>
      </c>
      <c r="D1069" t="s">
        <v>1399</v>
      </c>
      <c r="E1069">
        <v>30</v>
      </c>
      <c r="F1069" t="s">
        <v>1399</v>
      </c>
      <c r="I1069">
        <v>5</v>
      </c>
      <c r="J1069" t="s">
        <v>1333</v>
      </c>
      <c r="K1069" t="s">
        <v>1400</v>
      </c>
      <c r="L1069" t="s">
        <v>1</v>
      </c>
      <c r="M1069" t="s">
        <v>0</v>
      </c>
      <c r="N1069" t="s">
        <v>1266</v>
      </c>
      <c r="O1069" t="s">
        <v>1266</v>
      </c>
      <c r="P1069" t="s">
        <v>1266</v>
      </c>
      <c r="Q1069" t="s">
        <v>1266</v>
      </c>
      <c r="R1069" t="s">
        <v>1266</v>
      </c>
    </row>
  </sheetData>
  <sortState ref="A1:R1069">
    <sortCondition ref="J1:J1069"/>
    <sortCondition ref="B1:B1069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64"/>
  <sheetViews>
    <sheetView zoomScale="80" zoomScaleNormal="80" workbookViewId="0">
      <pane xSplit="4" ySplit="10" topLeftCell="E63" activePane="bottomRight" state="frozen"/>
      <selection pane="topRight" activeCell="E1" sqref="E1"/>
      <selection pane="bottomLeft" activeCell="A11" sqref="A11"/>
      <selection pane="bottomRight" activeCell="A11" sqref="A11:F64"/>
    </sheetView>
  </sheetViews>
  <sheetFormatPr defaultRowHeight="14.4" x14ac:dyDescent="0.3"/>
  <cols>
    <col min="1" max="1" width="15.88671875" style="107" customWidth="1"/>
    <col min="2" max="2" width="11.5546875" style="101" bestFit="1" customWidth="1"/>
    <col min="3" max="3" width="15.88671875" style="107" customWidth="1"/>
    <col min="4" max="4" width="11.5546875" style="101" bestFit="1" customWidth="1"/>
    <col min="5" max="5" width="148.33203125" style="101" customWidth="1"/>
    <col min="6" max="6" width="35.109375" style="101" customWidth="1"/>
  </cols>
  <sheetData>
    <row r="1" spans="1:7" s="65" customFormat="1" ht="10.199999999999999" hidden="1" x14ac:dyDescent="0.2">
      <c r="A1" s="109"/>
      <c r="B1" s="110" t="s">
        <v>264</v>
      </c>
      <c r="E1" s="111"/>
      <c r="F1" s="111"/>
    </row>
    <row r="2" spans="1:7" s="65" customFormat="1" ht="10.199999999999999" hidden="1" x14ac:dyDescent="0.2">
      <c r="A2" s="112"/>
      <c r="B2" s="110" t="s">
        <v>265</v>
      </c>
      <c r="E2" s="111"/>
      <c r="F2" s="111"/>
    </row>
    <row r="3" spans="1:7" s="65" customFormat="1" ht="10.199999999999999" hidden="1" x14ac:dyDescent="0.2">
      <c r="A3" s="113"/>
      <c r="B3" s="110" t="s">
        <v>266</v>
      </c>
      <c r="E3" s="111"/>
      <c r="F3" s="111"/>
    </row>
    <row r="4" spans="1:7" s="65" customFormat="1" ht="10.199999999999999" hidden="1" x14ac:dyDescent="0.2">
      <c r="A4" s="114"/>
      <c r="B4" s="110" t="s">
        <v>267</v>
      </c>
      <c r="E4" s="111"/>
      <c r="F4" s="111"/>
    </row>
    <row r="5" spans="1:7" s="65" customFormat="1" ht="10.199999999999999" hidden="1" x14ac:dyDescent="0.2">
      <c r="A5" s="115"/>
      <c r="B5" s="110" t="s">
        <v>268</v>
      </c>
      <c r="E5" s="111"/>
      <c r="F5" s="111"/>
      <c r="G5" s="110"/>
    </row>
    <row r="6" spans="1:7" s="65" customFormat="1" ht="10.199999999999999" hidden="1" x14ac:dyDescent="0.2">
      <c r="A6" s="116"/>
      <c r="B6" s="110" t="s">
        <v>290</v>
      </c>
      <c r="E6" s="111"/>
      <c r="F6" s="111"/>
      <c r="G6" s="110"/>
    </row>
    <row r="7" spans="1:7" s="65" customFormat="1" ht="10.199999999999999" hidden="1" x14ac:dyDescent="0.2">
      <c r="A7" s="117"/>
      <c r="B7" s="110" t="s">
        <v>291</v>
      </c>
      <c r="E7" s="111"/>
      <c r="F7" s="111"/>
      <c r="G7" s="110"/>
    </row>
    <row r="8" spans="1:7" s="65" customFormat="1" ht="10.199999999999999" hidden="1" x14ac:dyDescent="0.2">
      <c r="A8" s="118"/>
      <c r="B8" s="110" t="s">
        <v>292</v>
      </c>
      <c r="E8" s="111"/>
      <c r="F8" s="111"/>
      <c r="G8" s="110"/>
    </row>
    <row r="9" spans="1:7" s="65" customFormat="1" ht="10.199999999999999" hidden="1" x14ac:dyDescent="0.2">
      <c r="A9" s="119"/>
      <c r="B9" s="110" t="s">
        <v>293</v>
      </c>
      <c r="E9" s="111"/>
      <c r="F9" s="111"/>
      <c r="G9" s="110"/>
    </row>
    <row r="10" spans="1:7" ht="28.2" thickBot="1" x14ac:dyDescent="0.35">
      <c r="A10" s="105" t="s">
        <v>295</v>
      </c>
      <c r="B10" s="48" t="s">
        <v>297</v>
      </c>
      <c r="C10" s="105" t="s">
        <v>296</v>
      </c>
      <c r="D10" s="48" t="s">
        <v>297</v>
      </c>
      <c r="E10" s="48" t="s">
        <v>147</v>
      </c>
      <c r="F10" s="48" t="s">
        <v>298</v>
      </c>
    </row>
    <row r="11" spans="1:7" x14ac:dyDescent="0.3">
      <c r="A11" s="106"/>
      <c r="C11" s="106"/>
      <c r="D11" s="49"/>
      <c r="E11" s="79"/>
    </row>
    <row r="12" spans="1:7" x14ac:dyDescent="0.3">
      <c r="A12" s="106"/>
      <c r="C12" s="106"/>
      <c r="D12" s="49"/>
    </row>
    <row r="13" spans="1:7" x14ac:dyDescent="0.3">
      <c r="A13" s="106"/>
      <c r="C13" s="106"/>
      <c r="D13" s="49"/>
      <c r="E13" s="79"/>
    </row>
    <row r="14" spans="1:7" x14ac:dyDescent="0.3">
      <c r="A14" s="106"/>
      <c r="C14" s="106"/>
      <c r="D14" s="49"/>
      <c r="E14" s="79"/>
    </row>
    <row r="15" spans="1:7" x14ac:dyDescent="0.3">
      <c r="A15" s="106"/>
      <c r="C15" s="106"/>
      <c r="D15" s="49"/>
      <c r="E15" s="108"/>
    </row>
    <row r="16" spans="1:7" x14ac:dyDescent="0.3">
      <c r="A16" s="106"/>
      <c r="C16" s="106"/>
      <c r="D16" s="49"/>
      <c r="E16" s="108"/>
    </row>
    <row r="17" spans="1:6" x14ac:dyDescent="0.3">
      <c r="A17" s="106"/>
      <c r="C17" s="106"/>
      <c r="D17" s="49"/>
      <c r="E17" s="108"/>
    </row>
    <row r="18" spans="1:6" x14ac:dyDescent="0.3">
      <c r="A18" s="106"/>
      <c r="C18" s="106"/>
      <c r="D18" s="49"/>
      <c r="E18" s="108"/>
    </row>
    <row r="19" spans="1:6" x14ac:dyDescent="0.3">
      <c r="A19" s="106"/>
      <c r="C19" s="106"/>
      <c r="D19" s="49"/>
      <c r="E19" s="108"/>
    </row>
    <row r="20" spans="1:6" x14ac:dyDescent="0.3">
      <c r="A20" s="106"/>
      <c r="C20" s="106"/>
      <c r="D20" s="49"/>
      <c r="E20" s="79"/>
    </row>
    <row r="21" spans="1:6" x14ac:dyDescent="0.3">
      <c r="A21" s="106"/>
      <c r="C21" s="106"/>
      <c r="D21" s="49"/>
      <c r="E21" s="79"/>
    </row>
    <row r="22" spans="1:6" x14ac:dyDescent="0.3">
      <c r="A22" s="106"/>
      <c r="C22" s="106"/>
      <c r="D22" s="49"/>
      <c r="E22" s="79"/>
    </row>
    <row r="23" spans="1:6" x14ac:dyDescent="0.3">
      <c r="A23" s="106"/>
      <c r="C23" s="106"/>
      <c r="D23" s="49"/>
      <c r="E23" s="79"/>
    </row>
    <row r="24" spans="1:6" x14ac:dyDescent="0.3">
      <c r="A24" s="106"/>
      <c r="C24" s="106"/>
      <c r="D24" s="49"/>
      <c r="E24" s="79"/>
    </row>
    <row r="25" spans="1:6" x14ac:dyDescent="0.3">
      <c r="C25" s="106"/>
      <c r="D25" s="78"/>
      <c r="E25" s="79"/>
    </row>
    <row r="26" spans="1:6" x14ac:dyDescent="0.3">
      <c r="C26" s="106"/>
      <c r="D26" s="78"/>
      <c r="E26" s="79"/>
    </row>
    <row r="27" spans="1:6" x14ac:dyDescent="0.3">
      <c r="C27" s="106"/>
      <c r="D27" s="78"/>
      <c r="E27" s="79"/>
      <c r="F27" s="79"/>
    </row>
    <row r="28" spans="1:6" x14ac:dyDescent="0.3">
      <c r="C28" s="106"/>
      <c r="D28" s="78"/>
      <c r="E28" s="79"/>
    </row>
    <row r="29" spans="1:6" x14ac:dyDescent="0.3">
      <c r="C29" s="106"/>
      <c r="D29" s="78"/>
      <c r="E29" s="79"/>
    </row>
    <row r="30" spans="1:6" ht="48" customHeight="1" x14ac:dyDescent="0.3">
      <c r="C30" s="106"/>
      <c r="D30" s="78"/>
      <c r="E30" s="79"/>
      <c r="F30" s="79"/>
    </row>
    <row r="31" spans="1:6" x14ac:dyDescent="0.3">
      <c r="C31" s="106"/>
      <c r="D31" s="78"/>
      <c r="E31" s="79"/>
    </row>
    <row r="32" spans="1:6" x14ac:dyDescent="0.3">
      <c r="C32" s="106"/>
      <c r="D32" s="78"/>
      <c r="E32" s="79"/>
    </row>
    <row r="33" spans="1:6" x14ac:dyDescent="0.3">
      <c r="C33" s="106"/>
      <c r="D33" s="78"/>
      <c r="E33" s="79"/>
    </row>
    <row r="34" spans="1:6" x14ac:dyDescent="0.3">
      <c r="C34" s="106"/>
      <c r="D34" s="78"/>
      <c r="E34" s="79"/>
    </row>
    <row r="35" spans="1:6" x14ac:dyDescent="0.3">
      <c r="C35" s="106"/>
      <c r="D35" s="78"/>
      <c r="E35" s="79"/>
      <c r="F35" s="79"/>
    </row>
    <row r="36" spans="1:6" x14ac:dyDescent="0.3">
      <c r="C36" s="106"/>
      <c r="D36" s="78"/>
      <c r="E36" s="79"/>
    </row>
    <row r="37" spans="1:6" x14ac:dyDescent="0.3">
      <c r="C37" s="106"/>
      <c r="D37" s="78"/>
      <c r="E37" s="79"/>
    </row>
    <row r="38" spans="1:6" x14ac:dyDescent="0.3">
      <c r="C38" s="106"/>
      <c r="D38" s="78"/>
      <c r="E38" s="79"/>
      <c r="F38" s="79"/>
    </row>
    <row r="39" spans="1:6" x14ac:dyDescent="0.3">
      <c r="C39" s="106"/>
      <c r="D39" s="78"/>
      <c r="E39" s="79"/>
    </row>
    <row r="40" spans="1:6" s="85" customFormat="1" x14ac:dyDescent="0.3">
      <c r="A40" s="107"/>
      <c r="B40" s="78"/>
      <c r="C40" s="106"/>
      <c r="D40" s="78"/>
      <c r="E40" s="79"/>
      <c r="F40" s="101"/>
    </row>
    <row r="41" spans="1:6" x14ac:dyDescent="0.3">
      <c r="C41" s="106"/>
      <c r="D41" s="78"/>
      <c r="E41" s="79"/>
    </row>
    <row r="42" spans="1:6" s="85" customFormat="1" x14ac:dyDescent="0.3">
      <c r="A42" s="107"/>
      <c r="B42" s="78"/>
      <c r="C42" s="106"/>
      <c r="D42" s="78"/>
      <c r="E42" s="79"/>
      <c r="F42" s="101"/>
    </row>
    <row r="43" spans="1:6" x14ac:dyDescent="0.3">
      <c r="C43" s="106"/>
      <c r="D43" s="78"/>
      <c r="E43" s="79"/>
    </row>
    <row r="44" spans="1:6" s="85" customFormat="1" x14ac:dyDescent="0.3">
      <c r="A44" s="107"/>
      <c r="B44" s="78"/>
      <c r="C44" s="106"/>
      <c r="D44" s="78"/>
      <c r="E44" s="79"/>
      <c r="F44" s="101"/>
    </row>
    <row r="45" spans="1:6" x14ac:dyDescent="0.3">
      <c r="C45" s="106"/>
      <c r="D45" s="78"/>
      <c r="E45" s="79"/>
    </row>
    <row r="46" spans="1:6" x14ac:dyDescent="0.3">
      <c r="C46" s="106"/>
      <c r="D46" s="78"/>
      <c r="E46" s="79"/>
    </row>
    <row r="47" spans="1:6" x14ac:dyDescent="0.3">
      <c r="C47" s="106"/>
      <c r="D47" s="78"/>
      <c r="E47" s="79"/>
    </row>
    <row r="48" spans="1:6" s="85" customFormat="1" x14ac:dyDescent="0.3">
      <c r="A48" s="107"/>
      <c r="B48" s="78"/>
      <c r="C48" s="106"/>
      <c r="D48" s="78"/>
      <c r="E48" s="79"/>
      <c r="F48" s="79"/>
    </row>
    <row r="49" spans="1:6" s="85" customFormat="1" x14ac:dyDescent="0.3">
      <c r="A49" s="107"/>
      <c r="B49" s="78"/>
      <c r="C49" s="106"/>
      <c r="D49" s="78"/>
      <c r="E49" s="79"/>
      <c r="F49" s="79"/>
    </row>
    <row r="50" spans="1:6" s="85" customFormat="1" x14ac:dyDescent="0.3">
      <c r="A50" s="107"/>
      <c r="B50" s="78"/>
      <c r="C50" s="106"/>
      <c r="D50" s="78"/>
      <c r="E50" s="79"/>
      <c r="F50" s="101"/>
    </row>
    <row r="51" spans="1:6" s="85" customFormat="1" x14ac:dyDescent="0.3">
      <c r="A51" s="107"/>
      <c r="B51" s="78"/>
      <c r="C51" s="106"/>
      <c r="D51" s="78"/>
      <c r="E51" s="120"/>
      <c r="F51" s="79"/>
    </row>
    <row r="52" spans="1:6" x14ac:dyDescent="0.3">
      <c r="C52" s="106"/>
      <c r="D52" s="78"/>
      <c r="E52" s="79"/>
    </row>
    <row r="53" spans="1:6" s="85" customFormat="1" x14ac:dyDescent="0.3">
      <c r="A53" s="107"/>
      <c r="B53" s="78"/>
      <c r="C53" s="106"/>
      <c r="D53" s="78"/>
      <c r="E53" s="79"/>
      <c r="F53" s="79"/>
    </row>
    <row r="54" spans="1:6" s="85" customFormat="1" x14ac:dyDescent="0.3">
      <c r="A54" s="107"/>
      <c r="B54" s="78"/>
      <c r="C54" s="106"/>
      <c r="D54" s="78"/>
      <c r="E54" s="79"/>
      <c r="F54" s="79"/>
    </row>
    <row r="55" spans="1:6" s="85" customFormat="1" x14ac:dyDescent="0.3">
      <c r="A55" s="107"/>
      <c r="B55" s="78"/>
      <c r="C55" s="106"/>
      <c r="D55" s="78"/>
      <c r="E55" s="79"/>
      <c r="F55" s="101"/>
    </row>
    <row r="56" spans="1:6" x14ac:dyDescent="0.3">
      <c r="C56" s="106"/>
      <c r="D56" s="78"/>
      <c r="E56" s="79"/>
      <c r="F56" s="79"/>
    </row>
    <row r="57" spans="1:6" s="85" customFormat="1" x14ac:dyDescent="0.3">
      <c r="A57" s="107"/>
      <c r="B57" s="78"/>
      <c r="C57" s="106"/>
      <c r="D57" s="78"/>
      <c r="E57" s="79"/>
      <c r="F57" s="79"/>
    </row>
    <row r="58" spans="1:6" ht="15" customHeight="1" x14ac:dyDescent="0.3">
      <c r="C58" s="106"/>
      <c r="D58" s="78"/>
      <c r="E58" s="79"/>
    </row>
    <row r="59" spans="1:6" s="85" customFormat="1" x14ac:dyDescent="0.3">
      <c r="A59" s="107"/>
      <c r="B59" s="78"/>
      <c r="C59" s="106"/>
      <c r="D59" s="78"/>
      <c r="E59" s="79"/>
      <c r="F59" s="79"/>
    </row>
    <row r="60" spans="1:6" s="85" customFormat="1" x14ac:dyDescent="0.3">
      <c r="A60" s="107"/>
      <c r="B60" s="78"/>
      <c r="C60" s="106"/>
      <c r="D60" s="78"/>
      <c r="E60" s="79"/>
      <c r="F60" s="79"/>
    </row>
    <row r="61" spans="1:6" x14ac:dyDescent="0.3">
      <c r="B61" s="78"/>
      <c r="C61" s="106"/>
      <c r="D61" s="78"/>
      <c r="E61" s="79"/>
    </row>
    <row r="62" spans="1:6" x14ac:dyDescent="0.3">
      <c r="C62" s="106"/>
      <c r="D62" s="78"/>
      <c r="E62" s="79"/>
    </row>
    <row r="63" spans="1:6" x14ac:dyDescent="0.3">
      <c r="D63" s="78"/>
    </row>
    <row r="64" spans="1:6" x14ac:dyDescent="0.3">
      <c r="B64" s="78"/>
      <c r="D64" s="78"/>
      <c r="E64" s="79"/>
      <c r="F64" s="79"/>
    </row>
  </sheetData>
  <autoFilter ref="A10:E1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2060"/>
  </sheetPr>
  <dimension ref="A1:A1883"/>
  <sheetViews>
    <sheetView topLeftCell="A80" workbookViewId="0">
      <selection activeCell="A80" sqref="A80"/>
    </sheetView>
  </sheetViews>
  <sheetFormatPr defaultRowHeight="14.4" x14ac:dyDescent="0.3"/>
  <cols>
    <col min="1" max="1" width="117.109375" style="86" customWidth="1"/>
  </cols>
  <sheetData>
    <row r="1" spans="1:1" x14ac:dyDescent="0.3">
      <c r="A1" s="86" t="s">
        <v>2631</v>
      </c>
    </row>
    <row r="2" spans="1:1" x14ac:dyDescent="0.3">
      <c r="A2" s="86" t="s">
        <v>1135</v>
      </c>
    </row>
    <row r="3" spans="1:1" x14ac:dyDescent="0.3">
      <c r="A3" s="86" t="s">
        <v>2019</v>
      </c>
    </row>
    <row r="6" spans="1:1" x14ac:dyDescent="0.3">
      <c r="A6" s="86" t="s">
        <v>2441</v>
      </c>
    </row>
    <row r="9" spans="1:1" x14ac:dyDescent="0.3">
      <c r="A9" s="86" t="s">
        <v>1044</v>
      </c>
    </row>
    <row r="10" spans="1:1" x14ac:dyDescent="0.3">
      <c r="A10" s="86" t="s">
        <v>2020</v>
      </c>
    </row>
    <row r="13" spans="1:1" x14ac:dyDescent="0.3">
      <c r="A13" s="86" t="s">
        <v>2442</v>
      </c>
    </row>
    <row r="16" spans="1:1" x14ac:dyDescent="0.3">
      <c r="A16" s="86" t="s">
        <v>1045</v>
      </c>
    </row>
    <row r="17" spans="1:1" x14ac:dyDescent="0.3">
      <c r="A17" s="86" t="s">
        <v>2021</v>
      </c>
    </row>
    <row r="20" spans="1:1" x14ac:dyDescent="0.3">
      <c r="A20" s="86" t="s">
        <v>2443</v>
      </c>
    </row>
    <row r="23" spans="1:1" x14ac:dyDescent="0.3">
      <c r="A23" s="86" t="s">
        <v>1046</v>
      </c>
    </row>
    <row r="24" spans="1:1" x14ac:dyDescent="0.3">
      <c r="A24" s="86" t="s">
        <v>2022</v>
      </c>
    </row>
    <row r="27" spans="1:1" x14ac:dyDescent="0.3">
      <c r="A27" s="86" t="s">
        <v>2444</v>
      </c>
    </row>
    <row r="30" spans="1:1" x14ac:dyDescent="0.3">
      <c r="A30" s="86" t="s">
        <v>1047</v>
      </c>
    </row>
    <row r="31" spans="1:1" x14ac:dyDescent="0.3">
      <c r="A31" s="86" t="s">
        <v>2023</v>
      </c>
    </row>
    <row r="34" spans="1:1" x14ac:dyDescent="0.3">
      <c r="A34" s="86" t="s">
        <v>2445</v>
      </c>
    </row>
    <row r="37" spans="1:1" x14ac:dyDescent="0.3">
      <c r="A37" s="86" t="s">
        <v>1136</v>
      </c>
    </row>
    <row r="38" spans="1:1" x14ac:dyDescent="0.3">
      <c r="A38" s="86" t="s">
        <v>2215</v>
      </c>
    </row>
    <row r="41" spans="1:1" x14ac:dyDescent="0.3">
      <c r="A41" s="86" t="s">
        <v>2446</v>
      </c>
    </row>
    <row r="44" spans="1:1" x14ac:dyDescent="0.3">
      <c r="A44" s="86" t="s">
        <v>1048</v>
      </c>
    </row>
    <row r="45" spans="1:1" x14ac:dyDescent="0.3">
      <c r="A45" s="86" t="s">
        <v>2024</v>
      </c>
    </row>
    <row r="48" spans="1:1" x14ac:dyDescent="0.3">
      <c r="A48" s="86" t="s">
        <v>2447</v>
      </c>
    </row>
    <row r="51" spans="1:1" x14ac:dyDescent="0.3">
      <c r="A51" s="86" t="s">
        <v>1049</v>
      </c>
    </row>
    <row r="52" spans="1:1" x14ac:dyDescent="0.3">
      <c r="A52" s="86" t="s">
        <v>2216</v>
      </c>
    </row>
    <row r="55" spans="1:1" x14ac:dyDescent="0.3">
      <c r="A55" s="86" t="s">
        <v>2448</v>
      </c>
    </row>
    <row r="58" spans="1:1" x14ac:dyDescent="0.3">
      <c r="A58" s="86" t="s">
        <v>1050</v>
      </c>
    </row>
    <row r="59" spans="1:1" x14ac:dyDescent="0.3">
      <c r="A59" s="86" t="s">
        <v>1676</v>
      </c>
    </row>
    <row r="62" spans="1:1" x14ac:dyDescent="0.3">
      <c r="A62" s="86" t="s">
        <v>2449</v>
      </c>
    </row>
    <row r="65" spans="1:1" x14ac:dyDescent="0.3">
      <c r="A65" s="86" t="s">
        <v>1051</v>
      </c>
    </row>
    <row r="66" spans="1:1" x14ac:dyDescent="0.3">
      <c r="A66" s="86" t="s">
        <v>1052</v>
      </c>
    </row>
    <row r="69" spans="1:1" x14ac:dyDescent="0.3">
      <c r="A69" s="86" t="s">
        <v>2450</v>
      </c>
    </row>
    <row r="72" spans="1:1" x14ac:dyDescent="0.3">
      <c r="A72" s="86" t="s">
        <v>1053</v>
      </c>
    </row>
    <row r="73" spans="1:1" x14ac:dyDescent="0.3">
      <c r="A73" s="86" t="s">
        <v>1677</v>
      </c>
    </row>
    <row r="76" spans="1:1" x14ac:dyDescent="0.3">
      <c r="A76" s="86" t="s">
        <v>2451</v>
      </c>
    </row>
    <row r="79" spans="1:1" x14ac:dyDescent="0.3">
      <c r="A79" s="86" t="s">
        <v>1137</v>
      </c>
    </row>
    <row r="80" spans="1:1" x14ac:dyDescent="0.3">
      <c r="A80" s="86" t="s">
        <v>1675</v>
      </c>
    </row>
    <row r="83" spans="1:1" x14ac:dyDescent="0.3">
      <c r="A83" s="86" t="s">
        <v>2452</v>
      </c>
    </row>
    <row r="86" spans="1:1" x14ac:dyDescent="0.3">
      <c r="A86" s="86" t="s">
        <v>1054</v>
      </c>
    </row>
    <row r="87" spans="1:1" x14ac:dyDescent="0.3">
      <c r="A87" s="86" t="s">
        <v>1678</v>
      </c>
    </row>
    <row r="90" spans="1:1" x14ac:dyDescent="0.3">
      <c r="A90" s="86" t="s">
        <v>2453</v>
      </c>
    </row>
    <row r="93" spans="1:1" x14ac:dyDescent="0.3">
      <c r="A93" s="86" t="s">
        <v>1055</v>
      </c>
    </row>
    <row r="94" spans="1:1" x14ac:dyDescent="0.3">
      <c r="A94" s="86" t="s">
        <v>1989</v>
      </c>
    </row>
    <row r="97" spans="1:1" x14ac:dyDescent="0.3">
      <c r="A97" s="86" t="s">
        <v>2454</v>
      </c>
    </row>
    <row r="100" spans="1:1" x14ac:dyDescent="0.3">
      <c r="A100" s="86" t="s">
        <v>1056</v>
      </c>
    </row>
    <row r="101" spans="1:1" x14ac:dyDescent="0.3">
      <c r="A101" s="86" t="s">
        <v>2217</v>
      </c>
    </row>
    <row r="104" spans="1:1" x14ac:dyDescent="0.3">
      <c r="A104" s="86" t="s">
        <v>2455</v>
      </c>
    </row>
    <row r="107" spans="1:1" x14ac:dyDescent="0.3">
      <c r="A107" s="86" t="s">
        <v>1057</v>
      </c>
    </row>
    <row r="108" spans="1:1" x14ac:dyDescent="0.3">
      <c r="A108" s="86" t="s">
        <v>2218</v>
      </c>
    </row>
    <row r="111" spans="1:1" x14ac:dyDescent="0.3">
      <c r="A111" s="86" t="s">
        <v>2456</v>
      </c>
    </row>
    <row r="114" spans="1:1" x14ac:dyDescent="0.3">
      <c r="A114" s="86" t="s">
        <v>1058</v>
      </c>
    </row>
    <row r="115" spans="1:1" x14ac:dyDescent="0.3">
      <c r="A115" s="86" t="s">
        <v>2219</v>
      </c>
    </row>
    <row r="118" spans="1:1" x14ac:dyDescent="0.3">
      <c r="A118" s="86" t="s">
        <v>2457</v>
      </c>
    </row>
    <row r="121" spans="1:1" x14ac:dyDescent="0.3">
      <c r="A121" s="86" t="s">
        <v>1059</v>
      </c>
    </row>
    <row r="122" spans="1:1" x14ac:dyDescent="0.3">
      <c r="A122" s="86" t="s">
        <v>2220</v>
      </c>
    </row>
    <row r="125" spans="1:1" x14ac:dyDescent="0.3">
      <c r="A125" s="86" t="s">
        <v>2458</v>
      </c>
    </row>
    <row r="128" spans="1:1" x14ac:dyDescent="0.3">
      <c r="A128" s="86" t="s">
        <v>1060</v>
      </c>
    </row>
    <row r="129" spans="1:1" x14ac:dyDescent="0.3">
      <c r="A129" s="86" t="s">
        <v>2221</v>
      </c>
    </row>
    <row r="132" spans="1:1" x14ac:dyDescent="0.3">
      <c r="A132" s="86" t="s">
        <v>2459</v>
      </c>
    </row>
    <row r="135" spans="1:1" x14ac:dyDescent="0.3">
      <c r="A135" s="86" t="s">
        <v>1061</v>
      </c>
    </row>
    <row r="136" spans="1:1" x14ac:dyDescent="0.3">
      <c r="A136" s="86" t="s">
        <v>2222</v>
      </c>
    </row>
    <row r="139" spans="1:1" x14ac:dyDescent="0.3">
      <c r="A139" s="86" t="s">
        <v>2460</v>
      </c>
    </row>
    <row r="142" spans="1:1" x14ac:dyDescent="0.3">
      <c r="A142" s="86" t="s">
        <v>1062</v>
      </c>
    </row>
    <row r="143" spans="1:1" x14ac:dyDescent="0.3">
      <c r="A143" s="86" t="s">
        <v>1813</v>
      </c>
    </row>
    <row r="146" spans="1:1" x14ac:dyDescent="0.3">
      <c r="A146" s="86" t="s">
        <v>2461</v>
      </c>
    </row>
    <row r="149" spans="1:1" x14ac:dyDescent="0.3">
      <c r="A149" s="86" t="s">
        <v>1138</v>
      </c>
    </row>
    <row r="150" spans="1:1" x14ac:dyDescent="0.3">
      <c r="A150" s="86" t="s">
        <v>2223</v>
      </c>
    </row>
    <row r="153" spans="1:1" x14ac:dyDescent="0.3">
      <c r="A153" s="86" t="s">
        <v>2462</v>
      </c>
    </row>
    <row r="156" spans="1:1" x14ac:dyDescent="0.3">
      <c r="A156" s="86" t="s">
        <v>1063</v>
      </c>
    </row>
    <row r="157" spans="1:1" x14ac:dyDescent="0.3">
      <c r="A157" s="86" t="s">
        <v>2224</v>
      </c>
    </row>
    <row r="160" spans="1:1" x14ac:dyDescent="0.3">
      <c r="A160" s="86" t="s">
        <v>2463</v>
      </c>
    </row>
    <row r="163" spans="1:1" x14ac:dyDescent="0.3">
      <c r="A163" s="86" t="s">
        <v>1064</v>
      </c>
    </row>
    <row r="164" spans="1:1" x14ac:dyDescent="0.3">
      <c r="A164" s="86" t="s">
        <v>1990</v>
      </c>
    </row>
    <row r="167" spans="1:1" x14ac:dyDescent="0.3">
      <c r="A167" s="86" t="s">
        <v>2464</v>
      </c>
    </row>
    <row r="170" spans="1:1" x14ac:dyDescent="0.3">
      <c r="A170" s="86" t="s">
        <v>1065</v>
      </c>
    </row>
    <row r="171" spans="1:1" x14ac:dyDescent="0.3">
      <c r="A171" s="86" t="s">
        <v>1814</v>
      </c>
    </row>
    <row r="174" spans="1:1" x14ac:dyDescent="0.3">
      <c r="A174" s="86" t="s">
        <v>2465</v>
      </c>
    </row>
    <row r="177" spans="1:1" x14ac:dyDescent="0.3">
      <c r="A177" s="86" t="s">
        <v>1066</v>
      </c>
    </row>
    <row r="178" spans="1:1" x14ac:dyDescent="0.3">
      <c r="A178" s="86" t="s">
        <v>1679</v>
      </c>
    </row>
    <row r="181" spans="1:1" x14ac:dyDescent="0.3">
      <c r="A181" s="86" t="s">
        <v>2466</v>
      </c>
    </row>
    <row r="184" spans="1:1" x14ac:dyDescent="0.3">
      <c r="A184" s="86" t="s">
        <v>1067</v>
      </c>
    </row>
    <row r="185" spans="1:1" x14ac:dyDescent="0.3">
      <c r="A185" s="86" t="s">
        <v>1682</v>
      </c>
    </row>
    <row r="188" spans="1:1" x14ac:dyDescent="0.3">
      <c r="A188" s="86" t="s">
        <v>2467</v>
      </c>
    </row>
    <row r="191" spans="1:1" x14ac:dyDescent="0.3">
      <c r="A191" s="86" t="s">
        <v>1068</v>
      </c>
    </row>
    <row r="192" spans="1:1" x14ac:dyDescent="0.3">
      <c r="A192" s="86" t="s">
        <v>1991</v>
      </c>
    </row>
    <row r="195" spans="1:1" x14ac:dyDescent="0.3">
      <c r="A195" s="86" t="s">
        <v>2468</v>
      </c>
    </row>
    <row r="198" spans="1:1" x14ac:dyDescent="0.3">
      <c r="A198" s="86" t="s">
        <v>1069</v>
      </c>
    </row>
    <row r="199" spans="1:1" x14ac:dyDescent="0.3">
      <c r="A199" s="86" t="s">
        <v>1684</v>
      </c>
    </row>
    <row r="202" spans="1:1" x14ac:dyDescent="0.3">
      <c r="A202" s="86" t="s">
        <v>2469</v>
      </c>
    </row>
    <row r="205" spans="1:1" x14ac:dyDescent="0.3">
      <c r="A205" s="86" t="s">
        <v>1070</v>
      </c>
    </row>
    <row r="206" spans="1:1" x14ac:dyDescent="0.3">
      <c r="A206" s="86" t="s">
        <v>1992</v>
      </c>
    </row>
    <row r="209" spans="1:1" x14ac:dyDescent="0.3">
      <c r="A209" s="86" t="s">
        <v>2470</v>
      </c>
    </row>
    <row r="212" spans="1:1" x14ac:dyDescent="0.3">
      <c r="A212" s="86" t="s">
        <v>1071</v>
      </c>
    </row>
    <row r="213" spans="1:1" x14ac:dyDescent="0.3">
      <c r="A213" s="86" t="s">
        <v>2225</v>
      </c>
    </row>
    <row r="216" spans="1:1" x14ac:dyDescent="0.3">
      <c r="A216" s="86" t="s">
        <v>2471</v>
      </c>
    </row>
    <row r="219" spans="1:1" x14ac:dyDescent="0.3">
      <c r="A219" s="86" t="s">
        <v>1139</v>
      </c>
    </row>
    <row r="220" spans="1:1" x14ac:dyDescent="0.3">
      <c r="A220" s="86" t="s">
        <v>1993</v>
      </c>
    </row>
    <row r="223" spans="1:1" x14ac:dyDescent="0.3">
      <c r="A223" s="86" t="s">
        <v>2472</v>
      </c>
    </row>
    <row r="226" spans="1:1" x14ac:dyDescent="0.3">
      <c r="A226" s="86" t="s">
        <v>1072</v>
      </c>
    </row>
    <row r="227" spans="1:1" x14ac:dyDescent="0.3">
      <c r="A227" s="86" t="s">
        <v>2226</v>
      </c>
    </row>
    <row r="230" spans="1:1" x14ac:dyDescent="0.3">
      <c r="A230" s="86" t="s">
        <v>2473</v>
      </c>
    </row>
    <row r="233" spans="1:1" x14ac:dyDescent="0.3">
      <c r="A233" s="86" t="s">
        <v>1073</v>
      </c>
    </row>
    <row r="234" spans="1:1" x14ac:dyDescent="0.3">
      <c r="A234" s="86" t="s">
        <v>1680</v>
      </c>
    </row>
    <row r="237" spans="1:1" x14ac:dyDescent="0.3">
      <c r="A237" s="86" t="s">
        <v>2474</v>
      </c>
    </row>
    <row r="240" spans="1:1" x14ac:dyDescent="0.3">
      <c r="A240" s="86" t="s">
        <v>1074</v>
      </c>
    </row>
    <row r="241" spans="1:1" x14ac:dyDescent="0.3">
      <c r="A241" s="86" t="s">
        <v>2227</v>
      </c>
    </row>
    <row r="244" spans="1:1" x14ac:dyDescent="0.3">
      <c r="A244" s="86" t="s">
        <v>2475</v>
      </c>
    </row>
    <row r="247" spans="1:1" x14ac:dyDescent="0.3">
      <c r="A247" s="86" t="s">
        <v>1140</v>
      </c>
    </row>
    <row r="248" spans="1:1" x14ac:dyDescent="0.3">
      <c r="A248" s="86" t="s">
        <v>1681</v>
      </c>
    </row>
    <row r="251" spans="1:1" x14ac:dyDescent="0.3">
      <c r="A251" s="86" t="s">
        <v>2476</v>
      </c>
    </row>
    <row r="254" spans="1:1" x14ac:dyDescent="0.3">
      <c r="A254" s="86" t="s">
        <v>1075</v>
      </c>
    </row>
    <row r="255" spans="1:1" x14ac:dyDescent="0.3">
      <c r="A255" s="86" t="s">
        <v>1994</v>
      </c>
    </row>
    <row r="258" spans="1:1" x14ac:dyDescent="0.3">
      <c r="A258" s="86" t="s">
        <v>2477</v>
      </c>
    </row>
    <row r="261" spans="1:1" x14ac:dyDescent="0.3">
      <c r="A261" s="86" t="s">
        <v>1076</v>
      </c>
    </row>
    <row r="262" spans="1:1" x14ac:dyDescent="0.3">
      <c r="A262" s="86" t="s">
        <v>1683</v>
      </c>
    </row>
    <row r="265" spans="1:1" x14ac:dyDescent="0.3">
      <c r="A265" s="86" t="s">
        <v>2478</v>
      </c>
    </row>
    <row r="268" spans="1:1" x14ac:dyDescent="0.3">
      <c r="A268" s="86" t="s">
        <v>1077</v>
      </c>
    </row>
    <row r="269" spans="1:1" x14ac:dyDescent="0.3">
      <c r="A269" s="86" t="s">
        <v>2228</v>
      </c>
    </row>
    <row r="272" spans="1:1" x14ac:dyDescent="0.3">
      <c r="A272" s="86" t="s">
        <v>2479</v>
      </c>
    </row>
    <row r="275" spans="1:1" x14ac:dyDescent="0.3">
      <c r="A275" s="86" t="s">
        <v>1078</v>
      </c>
    </row>
    <row r="276" spans="1:1" x14ac:dyDescent="0.3">
      <c r="A276" s="86" t="s">
        <v>2229</v>
      </c>
    </row>
    <row r="279" spans="1:1" x14ac:dyDescent="0.3">
      <c r="A279" s="86" t="s">
        <v>2480</v>
      </c>
    </row>
    <row r="282" spans="1:1" x14ac:dyDescent="0.3">
      <c r="A282" s="86" t="s">
        <v>1079</v>
      </c>
    </row>
    <row r="283" spans="1:1" x14ac:dyDescent="0.3">
      <c r="A283" s="86" t="s">
        <v>2230</v>
      </c>
    </row>
    <row r="286" spans="1:1" x14ac:dyDescent="0.3">
      <c r="A286" s="86" t="s">
        <v>2481</v>
      </c>
    </row>
    <row r="289" spans="1:1" x14ac:dyDescent="0.3">
      <c r="A289" s="86" t="s">
        <v>1080</v>
      </c>
    </row>
    <row r="290" spans="1:1" x14ac:dyDescent="0.3">
      <c r="A290" s="86" t="s">
        <v>2231</v>
      </c>
    </row>
    <row r="293" spans="1:1" x14ac:dyDescent="0.3">
      <c r="A293" s="86" t="s">
        <v>2482</v>
      </c>
    </row>
    <row r="296" spans="1:1" x14ac:dyDescent="0.3">
      <c r="A296" s="86" t="s">
        <v>1081</v>
      </c>
    </row>
    <row r="297" spans="1:1" x14ac:dyDescent="0.3">
      <c r="A297" s="86" t="s">
        <v>2232</v>
      </c>
    </row>
    <row r="300" spans="1:1" x14ac:dyDescent="0.3">
      <c r="A300" s="86" t="s">
        <v>2483</v>
      </c>
    </row>
    <row r="303" spans="1:1" x14ac:dyDescent="0.3">
      <c r="A303" s="86" t="s">
        <v>1082</v>
      </c>
    </row>
    <row r="304" spans="1:1" x14ac:dyDescent="0.3">
      <c r="A304" s="86" t="s">
        <v>1685</v>
      </c>
    </row>
    <row r="307" spans="1:1" x14ac:dyDescent="0.3">
      <c r="A307" s="86" t="s">
        <v>2484</v>
      </c>
    </row>
    <row r="310" spans="1:1" x14ac:dyDescent="0.3">
      <c r="A310" s="86" t="s">
        <v>1083</v>
      </c>
    </row>
    <row r="311" spans="1:1" x14ac:dyDescent="0.3">
      <c r="A311" s="86" t="s">
        <v>2233</v>
      </c>
    </row>
    <row r="314" spans="1:1" x14ac:dyDescent="0.3">
      <c r="A314" s="86" t="s">
        <v>2485</v>
      </c>
    </row>
    <row r="317" spans="1:1" x14ac:dyDescent="0.3">
      <c r="A317" s="86" t="s">
        <v>1084</v>
      </c>
    </row>
    <row r="318" spans="1:1" x14ac:dyDescent="0.3">
      <c r="A318" s="86" t="s">
        <v>1815</v>
      </c>
    </row>
    <row r="321" spans="1:1" x14ac:dyDescent="0.3">
      <c r="A321" s="86" t="s">
        <v>2486</v>
      </c>
    </row>
    <row r="324" spans="1:1" x14ac:dyDescent="0.3">
      <c r="A324" s="86" t="s">
        <v>1085</v>
      </c>
    </row>
    <row r="325" spans="1:1" x14ac:dyDescent="0.3">
      <c r="A325" s="86" t="s">
        <v>2234</v>
      </c>
    </row>
    <row r="328" spans="1:1" x14ac:dyDescent="0.3">
      <c r="A328" s="86" t="s">
        <v>2487</v>
      </c>
    </row>
    <row r="331" spans="1:1" x14ac:dyDescent="0.3">
      <c r="A331" s="86" t="s">
        <v>1086</v>
      </c>
    </row>
    <row r="332" spans="1:1" x14ac:dyDescent="0.3">
      <c r="A332" s="86" t="s">
        <v>1686</v>
      </c>
    </row>
    <row r="335" spans="1:1" x14ac:dyDescent="0.3">
      <c r="A335" s="86" t="s">
        <v>2488</v>
      </c>
    </row>
    <row r="338" spans="1:1" x14ac:dyDescent="0.3">
      <c r="A338" s="86" t="s">
        <v>1087</v>
      </c>
    </row>
    <row r="339" spans="1:1" x14ac:dyDescent="0.3">
      <c r="A339" s="86" t="s">
        <v>2235</v>
      </c>
    </row>
    <row r="342" spans="1:1" x14ac:dyDescent="0.3">
      <c r="A342" s="86" t="s">
        <v>2489</v>
      </c>
    </row>
    <row r="345" spans="1:1" x14ac:dyDescent="0.3">
      <c r="A345" s="86" t="s">
        <v>1088</v>
      </c>
    </row>
    <row r="346" spans="1:1" x14ac:dyDescent="0.3">
      <c r="A346" s="86" t="s">
        <v>2236</v>
      </c>
    </row>
    <row r="349" spans="1:1" x14ac:dyDescent="0.3">
      <c r="A349" s="86" t="s">
        <v>2490</v>
      </c>
    </row>
    <row r="352" spans="1:1" x14ac:dyDescent="0.3">
      <c r="A352" s="86" t="s">
        <v>1089</v>
      </c>
    </row>
    <row r="353" spans="1:1" x14ac:dyDescent="0.3">
      <c r="A353" s="86" t="s">
        <v>1688</v>
      </c>
    </row>
    <row r="356" spans="1:1" x14ac:dyDescent="0.3">
      <c r="A356" s="86" t="s">
        <v>2491</v>
      </c>
    </row>
    <row r="359" spans="1:1" x14ac:dyDescent="0.3">
      <c r="A359" s="86" t="s">
        <v>1090</v>
      </c>
    </row>
    <row r="360" spans="1:1" x14ac:dyDescent="0.3">
      <c r="A360" s="86" t="s">
        <v>2237</v>
      </c>
    </row>
    <row r="363" spans="1:1" x14ac:dyDescent="0.3">
      <c r="A363" s="86" t="s">
        <v>2492</v>
      </c>
    </row>
    <row r="366" spans="1:1" x14ac:dyDescent="0.3">
      <c r="A366" s="86" t="s">
        <v>1091</v>
      </c>
    </row>
    <row r="367" spans="1:1" x14ac:dyDescent="0.3">
      <c r="A367" s="86" t="s">
        <v>1689</v>
      </c>
    </row>
    <row r="370" spans="1:1" x14ac:dyDescent="0.3">
      <c r="A370" s="86" t="s">
        <v>2493</v>
      </c>
    </row>
    <row r="373" spans="1:1" x14ac:dyDescent="0.3">
      <c r="A373" s="86" t="s">
        <v>1092</v>
      </c>
    </row>
    <row r="374" spans="1:1" x14ac:dyDescent="0.3">
      <c r="A374" s="86" t="s">
        <v>1687</v>
      </c>
    </row>
    <row r="377" spans="1:1" x14ac:dyDescent="0.3">
      <c r="A377" s="86" t="s">
        <v>2494</v>
      </c>
    </row>
    <row r="380" spans="1:1" x14ac:dyDescent="0.3">
      <c r="A380" s="86" t="s">
        <v>1093</v>
      </c>
    </row>
    <row r="381" spans="1:1" x14ac:dyDescent="0.3">
      <c r="A381" s="86" t="s">
        <v>2238</v>
      </c>
    </row>
    <row r="384" spans="1:1" x14ac:dyDescent="0.3">
      <c r="A384" s="86" t="s">
        <v>2495</v>
      </c>
    </row>
    <row r="387" spans="1:1" x14ac:dyDescent="0.3">
      <c r="A387" s="86" t="s">
        <v>1094</v>
      </c>
    </row>
    <row r="388" spans="1:1" x14ac:dyDescent="0.3">
      <c r="A388" s="86" t="s">
        <v>2239</v>
      </c>
    </row>
    <row r="391" spans="1:1" x14ac:dyDescent="0.3">
      <c r="A391" s="86" t="s">
        <v>2496</v>
      </c>
    </row>
    <row r="394" spans="1:1" x14ac:dyDescent="0.3">
      <c r="A394" s="86" t="s">
        <v>1095</v>
      </c>
    </row>
    <row r="395" spans="1:1" x14ac:dyDescent="0.3">
      <c r="A395" s="86" t="s">
        <v>2240</v>
      </c>
    </row>
    <row r="398" spans="1:1" x14ac:dyDescent="0.3">
      <c r="A398" s="86" t="s">
        <v>2497</v>
      </c>
    </row>
    <row r="401" spans="1:1" x14ac:dyDescent="0.3">
      <c r="A401" s="86" t="s">
        <v>1096</v>
      </c>
    </row>
    <row r="402" spans="1:1" x14ac:dyDescent="0.3">
      <c r="A402" s="86" t="s">
        <v>2241</v>
      </c>
    </row>
    <row r="405" spans="1:1" x14ac:dyDescent="0.3">
      <c r="A405" s="86" t="s">
        <v>2498</v>
      </c>
    </row>
    <row r="408" spans="1:1" x14ac:dyDescent="0.3">
      <c r="A408" s="86" t="s">
        <v>1097</v>
      </c>
    </row>
    <row r="409" spans="1:1" x14ac:dyDescent="0.3">
      <c r="A409" s="86" t="s">
        <v>2242</v>
      </c>
    </row>
    <row r="412" spans="1:1" x14ac:dyDescent="0.3">
      <c r="A412" s="86" t="s">
        <v>2499</v>
      </c>
    </row>
    <row r="415" spans="1:1" x14ac:dyDescent="0.3">
      <c r="A415" s="86" t="s">
        <v>1098</v>
      </c>
    </row>
    <row r="416" spans="1:1" x14ac:dyDescent="0.3">
      <c r="A416" s="86" t="s">
        <v>1996</v>
      </c>
    </row>
    <row r="419" spans="1:1" x14ac:dyDescent="0.3">
      <c r="A419" s="86" t="s">
        <v>2500</v>
      </c>
    </row>
    <row r="422" spans="1:1" x14ac:dyDescent="0.3">
      <c r="A422" s="86" t="s">
        <v>1099</v>
      </c>
    </row>
    <row r="423" spans="1:1" x14ac:dyDescent="0.3">
      <c r="A423" s="86" t="s">
        <v>1692</v>
      </c>
    </row>
    <row r="426" spans="1:1" x14ac:dyDescent="0.3">
      <c r="A426" s="86" t="s">
        <v>2501</v>
      </c>
    </row>
    <row r="429" spans="1:1" x14ac:dyDescent="0.3">
      <c r="A429" s="86" t="s">
        <v>1100</v>
      </c>
    </row>
    <row r="430" spans="1:1" x14ac:dyDescent="0.3">
      <c r="A430" s="86" t="s">
        <v>2243</v>
      </c>
    </row>
    <row r="433" spans="1:1" x14ac:dyDescent="0.3">
      <c r="A433" s="86" t="s">
        <v>2502</v>
      </c>
    </row>
    <row r="436" spans="1:1" x14ac:dyDescent="0.3">
      <c r="A436" s="86" t="s">
        <v>1101</v>
      </c>
    </row>
    <row r="437" spans="1:1" x14ac:dyDescent="0.3">
      <c r="A437" s="86" t="s">
        <v>2244</v>
      </c>
    </row>
    <row r="440" spans="1:1" x14ac:dyDescent="0.3">
      <c r="A440" s="86" t="s">
        <v>2503</v>
      </c>
    </row>
    <row r="443" spans="1:1" x14ac:dyDescent="0.3">
      <c r="A443" s="86" t="s">
        <v>1102</v>
      </c>
    </row>
    <row r="444" spans="1:1" x14ac:dyDescent="0.3">
      <c r="A444" s="86" t="s">
        <v>1690</v>
      </c>
    </row>
    <row r="447" spans="1:1" x14ac:dyDescent="0.3">
      <c r="A447" s="86" t="s">
        <v>2504</v>
      </c>
    </row>
    <row r="450" spans="1:1" x14ac:dyDescent="0.3">
      <c r="A450" s="86" t="s">
        <v>1103</v>
      </c>
    </row>
    <row r="451" spans="1:1" x14ac:dyDescent="0.3">
      <c r="A451" s="86" t="s">
        <v>1817</v>
      </c>
    </row>
    <row r="454" spans="1:1" x14ac:dyDescent="0.3">
      <c r="A454" s="86" t="s">
        <v>2505</v>
      </c>
    </row>
    <row r="457" spans="1:1" x14ac:dyDescent="0.3">
      <c r="A457" s="86" t="s">
        <v>1105</v>
      </c>
    </row>
    <row r="458" spans="1:1" x14ac:dyDescent="0.3">
      <c r="A458" s="86" t="s">
        <v>2245</v>
      </c>
    </row>
    <row r="461" spans="1:1" x14ac:dyDescent="0.3">
      <c r="A461" s="86" t="s">
        <v>2506</v>
      </c>
    </row>
    <row r="464" spans="1:1" x14ac:dyDescent="0.3">
      <c r="A464" s="86" t="s">
        <v>1106</v>
      </c>
    </row>
    <row r="465" spans="1:1" x14ac:dyDescent="0.3">
      <c r="A465" s="86" t="s">
        <v>1995</v>
      </c>
    </row>
    <row r="468" spans="1:1" x14ac:dyDescent="0.3">
      <c r="A468" s="86" t="s">
        <v>2507</v>
      </c>
    </row>
    <row r="471" spans="1:1" x14ac:dyDescent="0.3">
      <c r="A471" s="86" t="s">
        <v>1107</v>
      </c>
    </row>
    <row r="472" spans="1:1" x14ac:dyDescent="0.3">
      <c r="A472" s="86" t="s">
        <v>1691</v>
      </c>
    </row>
    <row r="475" spans="1:1" x14ac:dyDescent="0.3">
      <c r="A475" s="86" t="s">
        <v>2508</v>
      </c>
    </row>
    <row r="478" spans="1:1" x14ac:dyDescent="0.3">
      <c r="A478" s="86" t="s">
        <v>1108</v>
      </c>
    </row>
    <row r="479" spans="1:1" x14ac:dyDescent="0.3">
      <c r="A479" s="86" t="s">
        <v>2246</v>
      </c>
    </row>
    <row r="482" spans="1:1" x14ac:dyDescent="0.3">
      <c r="A482" s="86" t="s">
        <v>2509</v>
      </c>
    </row>
    <row r="485" spans="1:1" x14ac:dyDescent="0.3">
      <c r="A485" s="86" t="s">
        <v>1109</v>
      </c>
    </row>
    <row r="486" spans="1:1" x14ac:dyDescent="0.3">
      <c r="A486" s="86" t="s">
        <v>1693</v>
      </c>
    </row>
    <row r="489" spans="1:1" x14ac:dyDescent="0.3">
      <c r="A489" s="86" t="s">
        <v>2510</v>
      </c>
    </row>
    <row r="492" spans="1:1" x14ac:dyDescent="0.3">
      <c r="A492" s="86" t="s">
        <v>1110</v>
      </c>
    </row>
    <row r="493" spans="1:1" x14ac:dyDescent="0.3">
      <c r="A493" s="86" t="s">
        <v>1997</v>
      </c>
    </row>
    <row r="496" spans="1:1" x14ac:dyDescent="0.3">
      <c r="A496" s="86" t="s">
        <v>2511</v>
      </c>
    </row>
    <row r="499" spans="1:1" x14ac:dyDescent="0.3">
      <c r="A499" s="86" t="s">
        <v>1111</v>
      </c>
    </row>
    <row r="500" spans="1:1" x14ac:dyDescent="0.3">
      <c r="A500" s="86" t="s">
        <v>1694</v>
      </c>
    </row>
    <row r="503" spans="1:1" x14ac:dyDescent="0.3">
      <c r="A503" s="86" t="s">
        <v>2512</v>
      </c>
    </row>
    <row r="506" spans="1:1" x14ac:dyDescent="0.3">
      <c r="A506" s="86" t="s">
        <v>1112</v>
      </c>
    </row>
    <row r="507" spans="1:1" x14ac:dyDescent="0.3">
      <c r="A507" s="86" t="s">
        <v>1998</v>
      </c>
    </row>
    <row r="510" spans="1:1" x14ac:dyDescent="0.3">
      <c r="A510" s="86" t="s">
        <v>2513</v>
      </c>
    </row>
    <row r="513" spans="1:1" x14ac:dyDescent="0.3">
      <c r="A513" s="86" t="s">
        <v>1113</v>
      </c>
    </row>
    <row r="514" spans="1:1" x14ac:dyDescent="0.3">
      <c r="A514" s="86" t="s">
        <v>2247</v>
      </c>
    </row>
    <row r="517" spans="1:1" x14ac:dyDescent="0.3">
      <c r="A517" s="86" t="s">
        <v>2514</v>
      </c>
    </row>
    <row r="520" spans="1:1" x14ac:dyDescent="0.3">
      <c r="A520" s="86" t="s">
        <v>1114</v>
      </c>
    </row>
    <row r="521" spans="1:1" x14ac:dyDescent="0.3">
      <c r="A521" s="86" t="s">
        <v>1999</v>
      </c>
    </row>
    <row r="524" spans="1:1" x14ac:dyDescent="0.3">
      <c r="A524" s="86" t="s">
        <v>2515</v>
      </c>
    </row>
    <row r="527" spans="1:1" x14ac:dyDescent="0.3">
      <c r="A527" s="86" t="s">
        <v>1115</v>
      </c>
    </row>
    <row r="528" spans="1:1" x14ac:dyDescent="0.3">
      <c r="A528" s="86" t="s">
        <v>1816</v>
      </c>
    </row>
    <row r="531" spans="1:1" x14ac:dyDescent="0.3">
      <c r="A531" s="86" t="s">
        <v>2516</v>
      </c>
    </row>
    <row r="534" spans="1:1" x14ac:dyDescent="0.3">
      <c r="A534" s="86" t="s">
        <v>1116</v>
      </c>
    </row>
    <row r="535" spans="1:1" x14ac:dyDescent="0.3">
      <c r="A535" s="86" t="s">
        <v>2248</v>
      </c>
    </row>
    <row r="538" spans="1:1" x14ac:dyDescent="0.3">
      <c r="A538" s="86" t="s">
        <v>2517</v>
      </c>
    </row>
    <row r="541" spans="1:1" x14ac:dyDescent="0.3">
      <c r="A541" s="86" t="s">
        <v>1117</v>
      </c>
    </row>
    <row r="542" spans="1:1" x14ac:dyDescent="0.3">
      <c r="A542" s="86" t="s">
        <v>1695</v>
      </c>
    </row>
    <row r="545" spans="1:1" x14ac:dyDescent="0.3">
      <c r="A545" s="86" t="s">
        <v>2518</v>
      </c>
    </row>
    <row r="548" spans="1:1" x14ac:dyDescent="0.3">
      <c r="A548" s="86" t="s">
        <v>1118</v>
      </c>
    </row>
    <row r="549" spans="1:1" x14ac:dyDescent="0.3">
      <c r="A549" s="86" t="s">
        <v>1696</v>
      </c>
    </row>
    <row r="552" spans="1:1" x14ac:dyDescent="0.3">
      <c r="A552" s="86" t="s">
        <v>2519</v>
      </c>
    </row>
    <row r="555" spans="1:1" x14ac:dyDescent="0.3">
      <c r="A555" s="86" t="s">
        <v>1119</v>
      </c>
    </row>
    <row r="556" spans="1:1" x14ac:dyDescent="0.3">
      <c r="A556" s="86" t="s">
        <v>2000</v>
      </c>
    </row>
    <row r="559" spans="1:1" x14ac:dyDescent="0.3">
      <c r="A559" s="86" t="s">
        <v>2520</v>
      </c>
    </row>
    <row r="562" spans="1:1" x14ac:dyDescent="0.3">
      <c r="A562" s="86" t="s">
        <v>1120</v>
      </c>
    </row>
    <row r="563" spans="1:1" x14ac:dyDescent="0.3">
      <c r="A563" s="86" t="s">
        <v>1818</v>
      </c>
    </row>
    <row r="566" spans="1:1" x14ac:dyDescent="0.3">
      <c r="A566" s="86" t="s">
        <v>2521</v>
      </c>
    </row>
    <row r="569" spans="1:1" x14ac:dyDescent="0.3">
      <c r="A569" s="86" t="s">
        <v>1121</v>
      </c>
    </row>
    <row r="570" spans="1:1" x14ac:dyDescent="0.3">
      <c r="A570" s="86" t="s">
        <v>2249</v>
      </c>
    </row>
    <row r="573" spans="1:1" x14ac:dyDescent="0.3">
      <c r="A573" s="86" t="s">
        <v>2522</v>
      </c>
    </row>
    <row r="576" spans="1:1" x14ac:dyDescent="0.3">
      <c r="A576" s="86" t="s">
        <v>1122</v>
      </c>
    </row>
    <row r="577" spans="1:1" x14ac:dyDescent="0.3">
      <c r="A577" s="86" t="s">
        <v>1697</v>
      </c>
    </row>
    <row r="580" spans="1:1" x14ac:dyDescent="0.3">
      <c r="A580" s="86" t="s">
        <v>2523</v>
      </c>
    </row>
    <row r="583" spans="1:1" x14ac:dyDescent="0.3">
      <c r="A583" s="86" t="s">
        <v>1141</v>
      </c>
    </row>
    <row r="584" spans="1:1" x14ac:dyDescent="0.3">
      <c r="A584" s="86" t="s">
        <v>2250</v>
      </c>
    </row>
    <row r="587" spans="1:1" x14ac:dyDescent="0.3">
      <c r="A587" s="86" t="s">
        <v>2524</v>
      </c>
    </row>
    <row r="590" spans="1:1" x14ac:dyDescent="0.3">
      <c r="A590" s="86" t="s">
        <v>1123</v>
      </c>
    </row>
    <row r="591" spans="1:1" x14ac:dyDescent="0.3">
      <c r="A591" s="86" t="s">
        <v>2001</v>
      </c>
    </row>
    <row r="594" spans="1:1" x14ac:dyDescent="0.3">
      <c r="A594" s="86" t="s">
        <v>2525</v>
      </c>
    </row>
    <row r="597" spans="1:1" x14ac:dyDescent="0.3">
      <c r="A597" s="86" t="s">
        <v>1124</v>
      </c>
    </row>
    <row r="598" spans="1:1" x14ac:dyDescent="0.3">
      <c r="A598" s="86" t="s">
        <v>2002</v>
      </c>
    </row>
    <row r="601" spans="1:1" x14ac:dyDescent="0.3">
      <c r="A601" s="86" t="s">
        <v>2526</v>
      </c>
    </row>
    <row r="604" spans="1:1" x14ac:dyDescent="0.3">
      <c r="A604" s="86" t="s">
        <v>1125</v>
      </c>
    </row>
    <row r="605" spans="1:1" x14ac:dyDescent="0.3">
      <c r="A605" s="86" t="s">
        <v>1698</v>
      </c>
    </row>
    <row r="608" spans="1:1" x14ac:dyDescent="0.3">
      <c r="A608" s="86" t="s">
        <v>2527</v>
      </c>
    </row>
    <row r="611" spans="1:1" x14ac:dyDescent="0.3">
      <c r="A611" s="86" t="s">
        <v>1126</v>
      </c>
    </row>
    <row r="612" spans="1:1" x14ac:dyDescent="0.3">
      <c r="A612" s="86" t="s">
        <v>1104</v>
      </c>
    </row>
    <row r="615" spans="1:1" x14ac:dyDescent="0.3">
      <c r="A615" s="86" t="s">
        <v>2528</v>
      </c>
    </row>
    <row r="618" spans="1:1" x14ac:dyDescent="0.3">
      <c r="A618" s="86" t="s">
        <v>1127</v>
      </c>
    </row>
    <row r="619" spans="1:1" x14ac:dyDescent="0.3">
      <c r="A619" s="86" t="s">
        <v>2251</v>
      </c>
    </row>
    <row r="622" spans="1:1" x14ac:dyDescent="0.3">
      <c r="A622" s="86" t="s">
        <v>2529</v>
      </c>
    </row>
    <row r="625" spans="1:1" x14ac:dyDescent="0.3">
      <c r="A625" s="86" t="s">
        <v>1128</v>
      </c>
    </row>
    <row r="626" spans="1:1" x14ac:dyDescent="0.3">
      <c r="A626" s="86" t="s">
        <v>2252</v>
      </c>
    </row>
    <row r="629" spans="1:1" x14ac:dyDescent="0.3">
      <c r="A629" s="86" t="s">
        <v>2530</v>
      </c>
    </row>
    <row r="632" spans="1:1" x14ac:dyDescent="0.3">
      <c r="A632" s="86" t="s">
        <v>1129</v>
      </c>
    </row>
    <row r="633" spans="1:1" x14ac:dyDescent="0.3">
      <c r="A633" s="86" t="s">
        <v>2003</v>
      </c>
    </row>
    <row r="636" spans="1:1" x14ac:dyDescent="0.3">
      <c r="A636" s="86" t="s">
        <v>2531</v>
      </c>
    </row>
    <row r="639" spans="1:1" x14ac:dyDescent="0.3">
      <c r="A639" s="86" t="s">
        <v>1026</v>
      </c>
    </row>
    <row r="640" spans="1:1" x14ac:dyDescent="0.3">
      <c r="A640" s="86" t="s">
        <v>2253</v>
      </c>
    </row>
    <row r="643" spans="1:1" x14ac:dyDescent="0.3">
      <c r="A643" s="86" t="s">
        <v>2532</v>
      </c>
    </row>
    <row r="646" spans="1:1" x14ac:dyDescent="0.3">
      <c r="A646" s="86" t="s">
        <v>977</v>
      </c>
    </row>
    <row r="647" spans="1:1" x14ac:dyDescent="0.3">
      <c r="A647" s="86" t="s">
        <v>1701</v>
      </c>
    </row>
    <row r="650" spans="1:1" x14ac:dyDescent="0.3">
      <c r="A650" s="86" t="s">
        <v>2533</v>
      </c>
    </row>
    <row r="653" spans="1:1" x14ac:dyDescent="0.3">
      <c r="A653" s="86" t="s">
        <v>978</v>
      </c>
    </row>
    <row r="654" spans="1:1" x14ac:dyDescent="0.3">
      <c r="A654" s="86" t="s">
        <v>1699</v>
      </c>
    </row>
    <row r="657" spans="1:1" x14ac:dyDescent="0.3">
      <c r="A657" s="86" t="s">
        <v>2534</v>
      </c>
    </row>
    <row r="660" spans="1:1" x14ac:dyDescent="0.3">
      <c r="A660" s="86" t="s">
        <v>979</v>
      </c>
    </row>
    <row r="661" spans="1:1" x14ac:dyDescent="0.3">
      <c r="A661" s="86" t="s">
        <v>1702</v>
      </c>
    </row>
    <row r="664" spans="1:1" x14ac:dyDescent="0.3">
      <c r="A664" s="86" t="s">
        <v>2535</v>
      </c>
    </row>
    <row r="667" spans="1:1" x14ac:dyDescent="0.3">
      <c r="A667" s="86" t="s">
        <v>980</v>
      </c>
    </row>
    <row r="668" spans="1:1" x14ac:dyDescent="0.3">
      <c r="A668" s="86" t="s">
        <v>2254</v>
      </c>
    </row>
    <row r="671" spans="1:1" x14ac:dyDescent="0.3">
      <c r="A671" s="86" t="s">
        <v>2536</v>
      </c>
    </row>
    <row r="674" spans="1:1" x14ac:dyDescent="0.3">
      <c r="A674" s="86" t="s">
        <v>981</v>
      </c>
    </row>
    <row r="675" spans="1:1" x14ac:dyDescent="0.3">
      <c r="A675" s="86" t="s">
        <v>2255</v>
      </c>
    </row>
    <row r="678" spans="1:1" x14ac:dyDescent="0.3">
      <c r="A678" s="86" t="s">
        <v>2537</v>
      </c>
    </row>
    <row r="681" spans="1:1" x14ac:dyDescent="0.3">
      <c r="A681" s="86" t="s">
        <v>982</v>
      </c>
    </row>
    <row r="682" spans="1:1" x14ac:dyDescent="0.3">
      <c r="A682" s="86" t="s">
        <v>2256</v>
      </c>
    </row>
    <row r="685" spans="1:1" x14ac:dyDescent="0.3">
      <c r="A685" s="86" t="s">
        <v>2538</v>
      </c>
    </row>
    <row r="688" spans="1:1" x14ac:dyDescent="0.3">
      <c r="A688" s="86" t="s">
        <v>983</v>
      </c>
    </row>
    <row r="689" spans="1:1" x14ac:dyDescent="0.3">
      <c r="A689" s="86" t="s">
        <v>2257</v>
      </c>
    </row>
    <row r="690" spans="1:1" x14ac:dyDescent="0.3">
      <c r="A690" s="44"/>
    </row>
    <row r="692" spans="1:1" x14ac:dyDescent="0.3">
      <c r="A692" s="86" t="s">
        <v>2539</v>
      </c>
    </row>
    <row r="695" spans="1:1" x14ac:dyDescent="0.3">
      <c r="A695" s="86" t="s">
        <v>984</v>
      </c>
    </row>
    <row r="696" spans="1:1" x14ac:dyDescent="0.3">
      <c r="A696" s="86" t="s">
        <v>2258</v>
      </c>
    </row>
    <row r="699" spans="1:1" x14ac:dyDescent="0.3">
      <c r="A699" s="86" t="s">
        <v>2540</v>
      </c>
    </row>
    <row r="702" spans="1:1" x14ac:dyDescent="0.3">
      <c r="A702" s="86" t="s">
        <v>985</v>
      </c>
    </row>
    <row r="703" spans="1:1" x14ac:dyDescent="0.3">
      <c r="A703" s="86" t="s">
        <v>1819</v>
      </c>
    </row>
    <row r="706" spans="1:1" x14ac:dyDescent="0.3">
      <c r="A706" s="86" t="s">
        <v>2541</v>
      </c>
    </row>
    <row r="709" spans="1:1" x14ac:dyDescent="0.3">
      <c r="A709" s="86" t="s">
        <v>986</v>
      </c>
    </row>
    <row r="710" spans="1:1" x14ac:dyDescent="0.3">
      <c r="A710" s="86" t="s">
        <v>1700</v>
      </c>
    </row>
    <row r="711" spans="1:1" x14ac:dyDescent="0.3">
      <c r="A711" s="44"/>
    </row>
    <row r="713" spans="1:1" x14ac:dyDescent="0.3">
      <c r="A713" s="86" t="s">
        <v>2542</v>
      </c>
    </row>
    <row r="716" spans="1:1" x14ac:dyDescent="0.3">
      <c r="A716" s="86" t="s">
        <v>987</v>
      </c>
    </row>
    <row r="717" spans="1:1" x14ac:dyDescent="0.3">
      <c r="A717" s="86" t="s">
        <v>2259</v>
      </c>
    </row>
    <row r="720" spans="1:1" x14ac:dyDescent="0.3">
      <c r="A720" s="86" t="s">
        <v>2543</v>
      </c>
    </row>
    <row r="723" spans="1:1" x14ac:dyDescent="0.3">
      <c r="A723" s="86" t="s">
        <v>988</v>
      </c>
    </row>
    <row r="724" spans="1:1" x14ac:dyDescent="0.3">
      <c r="A724" s="86" t="s">
        <v>2004</v>
      </c>
    </row>
    <row r="727" spans="1:1" x14ac:dyDescent="0.3">
      <c r="A727" s="86" t="s">
        <v>2544</v>
      </c>
    </row>
    <row r="730" spans="1:1" x14ac:dyDescent="0.3">
      <c r="A730" s="86" t="s">
        <v>989</v>
      </c>
    </row>
    <row r="731" spans="1:1" x14ac:dyDescent="0.3">
      <c r="A731" s="86" t="s">
        <v>1705</v>
      </c>
    </row>
    <row r="734" spans="1:1" x14ac:dyDescent="0.3">
      <c r="A734" s="86" t="s">
        <v>2545</v>
      </c>
    </row>
    <row r="737" spans="1:1" x14ac:dyDescent="0.3">
      <c r="A737" s="86" t="s">
        <v>990</v>
      </c>
    </row>
    <row r="738" spans="1:1" x14ac:dyDescent="0.3">
      <c r="A738" s="86" t="s">
        <v>2260</v>
      </c>
    </row>
    <row r="741" spans="1:1" x14ac:dyDescent="0.3">
      <c r="A741" s="86" t="s">
        <v>2546</v>
      </c>
    </row>
    <row r="744" spans="1:1" x14ac:dyDescent="0.3">
      <c r="A744" s="86" t="s">
        <v>991</v>
      </c>
    </row>
    <row r="745" spans="1:1" x14ac:dyDescent="0.3">
      <c r="A745" s="86" t="s">
        <v>2005</v>
      </c>
    </row>
    <row r="748" spans="1:1" x14ac:dyDescent="0.3">
      <c r="A748" s="86" t="s">
        <v>2547</v>
      </c>
    </row>
    <row r="751" spans="1:1" x14ac:dyDescent="0.3">
      <c r="A751" s="86" t="s">
        <v>992</v>
      </c>
    </row>
    <row r="752" spans="1:1" x14ac:dyDescent="0.3">
      <c r="A752" s="86" t="s">
        <v>2261</v>
      </c>
    </row>
    <row r="755" spans="1:1" x14ac:dyDescent="0.3">
      <c r="A755" s="86" t="s">
        <v>2548</v>
      </c>
    </row>
    <row r="758" spans="1:1" x14ac:dyDescent="0.3">
      <c r="A758" s="86" t="s">
        <v>993</v>
      </c>
    </row>
    <row r="759" spans="1:1" x14ac:dyDescent="0.3">
      <c r="A759" s="86" t="s">
        <v>1707</v>
      </c>
    </row>
    <row r="762" spans="1:1" x14ac:dyDescent="0.3">
      <c r="A762" s="86" t="s">
        <v>2549</v>
      </c>
    </row>
    <row r="765" spans="1:1" x14ac:dyDescent="0.3">
      <c r="A765" s="86" t="s">
        <v>994</v>
      </c>
    </row>
    <row r="766" spans="1:1" x14ac:dyDescent="0.3">
      <c r="A766" s="86" t="s">
        <v>2262</v>
      </c>
    </row>
    <row r="769" spans="1:1" x14ac:dyDescent="0.3">
      <c r="A769" s="86" t="s">
        <v>2550</v>
      </c>
    </row>
    <row r="772" spans="1:1" x14ac:dyDescent="0.3">
      <c r="A772" s="86" t="s">
        <v>995</v>
      </c>
    </row>
    <row r="773" spans="1:1" x14ac:dyDescent="0.3">
      <c r="A773" s="86" t="s">
        <v>2263</v>
      </c>
    </row>
    <row r="776" spans="1:1" x14ac:dyDescent="0.3">
      <c r="A776" s="86" t="s">
        <v>2551</v>
      </c>
    </row>
    <row r="779" spans="1:1" x14ac:dyDescent="0.3">
      <c r="A779" s="86" t="s">
        <v>996</v>
      </c>
    </row>
    <row r="780" spans="1:1" x14ac:dyDescent="0.3">
      <c r="A780" s="86" t="s">
        <v>1703</v>
      </c>
    </row>
    <row r="783" spans="1:1" x14ac:dyDescent="0.3">
      <c r="A783" s="86" t="s">
        <v>2552</v>
      </c>
    </row>
    <row r="786" spans="1:1" x14ac:dyDescent="0.3">
      <c r="A786" s="86" t="s">
        <v>997</v>
      </c>
    </row>
    <row r="787" spans="1:1" x14ac:dyDescent="0.3">
      <c r="A787" s="86" t="s">
        <v>1709</v>
      </c>
    </row>
    <row r="790" spans="1:1" x14ac:dyDescent="0.3">
      <c r="A790" s="86" t="s">
        <v>2553</v>
      </c>
    </row>
    <row r="793" spans="1:1" x14ac:dyDescent="0.3">
      <c r="A793" s="86" t="s">
        <v>998</v>
      </c>
    </row>
    <row r="794" spans="1:1" x14ac:dyDescent="0.3">
      <c r="A794" s="86" t="s">
        <v>1704</v>
      </c>
    </row>
    <row r="797" spans="1:1" x14ac:dyDescent="0.3">
      <c r="A797" s="86" t="s">
        <v>2554</v>
      </c>
    </row>
    <row r="800" spans="1:1" x14ac:dyDescent="0.3">
      <c r="A800" s="86" t="s">
        <v>999</v>
      </c>
    </row>
    <row r="801" spans="1:1" x14ac:dyDescent="0.3">
      <c r="A801" s="86" t="s">
        <v>2264</v>
      </c>
    </row>
    <row r="804" spans="1:1" x14ac:dyDescent="0.3">
      <c r="A804" s="86" t="s">
        <v>2555</v>
      </c>
    </row>
    <row r="807" spans="1:1" x14ac:dyDescent="0.3">
      <c r="A807" s="86" t="s">
        <v>1000</v>
      </c>
    </row>
    <row r="808" spans="1:1" x14ac:dyDescent="0.3">
      <c r="A808" s="86" t="s">
        <v>2265</v>
      </c>
    </row>
    <row r="811" spans="1:1" x14ac:dyDescent="0.3">
      <c r="A811" s="86" t="s">
        <v>2556</v>
      </c>
    </row>
    <row r="814" spans="1:1" x14ac:dyDescent="0.3">
      <c r="A814" s="86" t="s">
        <v>1001</v>
      </c>
    </row>
    <row r="815" spans="1:1" x14ac:dyDescent="0.3">
      <c r="A815" s="86" t="s">
        <v>2007</v>
      </c>
    </row>
    <row r="818" spans="1:1" x14ac:dyDescent="0.3">
      <c r="A818" s="86" t="s">
        <v>2557</v>
      </c>
    </row>
    <row r="821" spans="1:1" x14ac:dyDescent="0.3">
      <c r="A821" s="86" t="s">
        <v>1002</v>
      </c>
    </row>
    <row r="822" spans="1:1" x14ac:dyDescent="0.3">
      <c r="A822" s="86" t="s">
        <v>1706</v>
      </c>
    </row>
    <row r="825" spans="1:1" x14ac:dyDescent="0.3">
      <c r="A825" s="86" t="s">
        <v>2558</v>
      </c>
    </row>
    <row r="828" spans="1:1" x14ac:dyDescent="0.3">
      <c r="A828" s="86" t="s">
        <v>1003</v>
      </c>
    </row>
    <row r="829" spans="1:1" x14ac:dyDescent="0.3">
      <c r="A829" s="86" t="s">
        <v>2266</v>
      </c>
    </row>
    <row r="832" spans="1:1" x14ac:dyDescent="0.3">
      <c r="A832" s="86" t="s">
        <v>2559</v>
      </c>
    </row>
    <row r="835" spans="1:1" x14ac:dyDescent="0.3">
      <c r="A835" s="86" t="s">
        <v>1004</v>
      </c>
    </row>
    <row r="836" spans="1:1" x14ac:dyDescent="0.3">
      <c r="A836" s="86" t="s">
        <v>2006</v>
      </c>
    </row>
    <row r="839" spans="1:1" x14ac:dyDescent="0.3">
      <c r="A839" s="86" t="s">
        <v>2560</v>
      </c>
    </row>
    <row r="842" spans="1:1" x14ac:dyDescent="0.3">
      <c r="A842" s="86" t="s">
        <v>1005</v>
      </c>
    </row>
    <row r="843" spans="1:1" x14ac:dyDescent="0.3">
      <c r="A843" s="86" t="s">
        <v>1711</v>
      </c>
    </row>
    <row r="846" spans="1:1" x14ac:dyDescent="0.3">
      <c r="A846" s="86" t="s">
        <v>2561</v>
      </c>
    </row>
    <row r="849" spans="1:1" x14ac:dyDescent="0.3">
      <c r="A849" s="86" t="s">
        <v>1006</v>
      </c>
    </row>
    <row r="850" spans="1:1" x14ac:dyDescent="0.3">
      <c r="A850" s="86" t="s">
        <v>1708</v>
      </c>
    </row>
    <row r="853" spans="1:1" x14ac:dyDescent="0.3">
      <c r="A853" s="86" t="s">
        <v>2562</v>
      </c>
    </row>
    <row r="856" spans="1:1" x14ac:dyDescent="0.3">
      <c r="A856" s="86" t="s">
        <v>1008</v>
      </c>
    </row>
    <row r="857" spans="1:1" x14ac:dyDescent="0.3">
      <c r="A857" s="86" t="s">
        <v>2008</v>
      </c>
    </row>
    <row r="860" spans="1:1" x14ac:dyDescent="0.3">
      <c r="A860" s="86" t="s">
        <v>2563</v>
      </c>
    </row>
    <row r="863" spans="1:1" x14ac:dyDescent="0.3">
      <c r="A863" s="86" t="s">
        <v>970</v>
      </c>
    </row>
    <row r="864" spans="1:1" x14ac:dyDescent="0.3">
      <c r="A864" s="86" t="s">
        <v>1710</v>
      </c>
    </row>
    <row r="867" spans="1:1" x14ac:dyDescent="0.3">
      <c r="A867" s="86" t="s">
        <v>2564</v>
      </c>
    </row>
    <row r="870" spans="1:1" x14ac:dyDescent="0.3">
      <c r="A870" s="86" t="s">
        <v>971</v>
      </c>
    </row>
    <row r="871" spans="1:1" x14ac:dyDescent="0.3">
      <c r="A871" s="86" t="s">
        <v>1713</v>
      </c>
    </row>
    <row r="874" spans="1:1" x14ac:dyDescent="0.3">
      <c r="A874" s="86" t="s">
        <v>2565</v>
      </c>
    </row>
    <row r="877" spans="1:1" x14ac:dyDescent="0.3">
      <c r="A877" s="86" t="s">
        <v>972</v>
      </c>
    </row>
    <row r="878" spans="1:1" x14ac:dyDescent="0.3">
      <c r="A878" s="86" t="s">
        <v>2267</v>
      </c>
    </row>
    <row r="881" spans="1:1" x14ac:dyDescent="0.3">
      <c r="A881" s="86" t="s">
        <v>2566</v>
      </c>
    </row>
    <row r="884" spans="1:1" x14ac:dyDescent="0.3">
      <c r="A884" s="86" t="s">
        <v>1142</v>
      </c>
    </row>
    <row r="885" spans="1:1" x14ac:dyDescent="0.3">
      <c r="A885" s="86" t="s">
        <v>1820</v>
      </c>
    </row>
    <row r="888" spans="1:1" x14ac:dyDescent="0.3">
      <c r="A888" s="86" t="s">
        <v>2567</v>
      </c>
    </row>
    <row r="891" spans="1:1" x14ac:dyDescent="0.3">
      <c r="A891" s="86" t="s">
        <v>1143</v>
      </c>
    </row>
    <row r="892" spans="1:1" x14ac:dyDescent="0.3">
      <c r="A892" s="86" t="s">
        <v>1712</v>
      </c>
    </row>
    <row r="895" spans="1:1" x14ac:dyDescent="0.3">
      <c r="A895" s="86" t="s">
        <v>2568</v>
      </c>
    </row>
    <row r="898" spans="1:1" x14ac:dyDescent="0.3">
      <c r="A898" s="86" t="s">
        <v>1144</v>
      </c>
    </row>
    <row r="899" spans="1:1" x14ac:dyDescent="0.3">
      <c r="A899" s="86" t="s">
        <v>2009</v>
      </c>
    </row>
    <row r="902" spans="1:1" x14ac:dyDescent="0.3">
      <c r="A902" s="86" t="s">
        <v>2569</v>
      </c>
    </row>
    <row r="905" spans="1:1" x14ac:dyDescent="0.3">
      <c r="A905" s="86" t="s">
        <v>1145</v>
      </c>
    </row>
    <row r="906" spans="1:1" x14ac:dyDescent="0.3">
      <c r="A906" s="86" t="s">
        <v>1714</v>
      </c>
    </row>
    <row r="909" spans="1:1" x14ac:dyDescent="0.3">
      <c r="A909" s="86" t="s">
        <v>2570</v>
      </c>
    </row>
    <row r="912" spans="1:1" x14ac:dyDescent="0.3">
      <c r="A912" s="86" t="s">
        <v>1146</v>
      </c>
    </row>
    <row r="913" spans="1:1" x14ac:dyDescent="0.3">
      <c r="A913" s="86" t="s">
        <v>1715</v>
      </c>
    </row>
    <row r="916" spans="1:1" x14ac:dyDescent="0.3">
      <c r="A916" s="86" t="s">
        <v>2571</v>
      </c>
    </row>
    <row r="919" spans="1:1" x14ac:dyDescent="0.3">
      <c r="A919" s="86" t="s">
        <v>1147</v>
      </c>
    </row>
    <row r="920" spans="1:1" x14ac:dyDescent="0.3">
      <c r="A920" s="86" t="s">
        <v>1716</v>
      </c>
    </row>
    <row r="923" spans="1:1" x14ac:dyDescent="0.3">
      <c r="A923" s="86" t="s">
        <v>2572</v>
      </c>
    </row>
    <row r="926" spans="1:1" x14ac:dyDescent="0.3">
      <c r="A926" s="86" t="s">
        <v>1148</v>
      </c>
    </row>
    <row r="927" spans="1:1" x14ac:dyDescent="0.3">
      <c r="A927" s="86" t="s">
        <v>2268</v>
      </c>
    </row>
    <row r="930" spans="1:1" x14ac:dyDescent="0.3">
      <c r="A930" s="86" t="s">
        <v>2573</v>
      </c>
    </row>
    <row r="932" spans="1:1" x14ac:dyDescent="0.3">
      <c r="A932" s="44"/>
    </row>
    <row r="933" spans="1:1" x14ac:dyDescent="0.3">
      <c r="A933" s="86" t="s">
        <v>1149</v>
      </c>
    </row>
    <row r="934" spans="1:1" x14ac:dyDescent="0.3">
      <c r="A934" s="86" t="s">
        <v>2269</v>
      </c>
    </row>
    <row r="937" spans="1:1" x14ac:dyDescent="0.3">
      <c r="A937" s="86" t="s">
        <v>2574</v>
      </c>
    </row>
    <row r="940" spans="1:1" x14ac:dyDescent="0.3">
      <c r="A940" s="86" t="s">
        <v>1150</v>
      </c>
    </row>
    <row r="941" spans="1:1" x14ac:dyDescent="0.3">
      <c r="A941" s="86" t="s">
        <v>2270</v>
      </c>
    </row>
    <row r="944" spans="1:1" x14ac:dyDescent="0.3">
      <c r="A944" s="86" t="s">
        <v>2575</v>
      </c>
    </row>
    <row r="947" spans="1:1" x14ac:dyDescent="0.3">
      <c r="A947" s="86" t="s">
        <v>1151</v>
      </c>
    </row>
    <row r="948" spans="1:1" x14ac:dyDescent="0.3">
      <c r="A948" s="86" t="s">
        <v>2271</v>
      </c>
    </row>
    <row r="951" spans="1:1" x14ac:dyDescent="0.3">
      <c r="A951" s="86" t="s">
        <v>2576</v>
      </c>
    </row>
    <row r="954" spans="1:1" x14ac:dyDescent="0.3">
      <c r="A954" s="86" t="s">
        <v>1152</v>
      </c>
    </row>
    <row r="955" spans="1:1" x14ac:dyDescent="0.3">
      <c r="A955" s="86" t="s">
        <v>1717</v>
      </c>
    </row>
    <row r="958" spans="1:1" x14ac:dyDescent="0.3">
      <c r="A958" s="86" t="s">
        <v>2577</v>
      </c>
    </row>
    <row r="961" spans="1:1" x14ac:dyDescent="0.3">
      <c r="A961" s="86" t="s">
        <v>1153</v>
      </c>
    </row>
    <row r="962" spans="1:1" x14ac:dyDescent="0.3">
      <c r="A962" s="86" t="s">
        <v>1718</v>
      </c>
    </row>
    <row r="964" spans="1:1" x14ac:dyDescent="0.3">
      <c r="A964" s="44"/>
    </row>
    <row r="965" spans="1:1" x14ac:dyDescent="0.3">
      <c r="A965" s="44" t="s">
        <v>2578</v>
      </c>
    </row>
    <row r="968" spans="1:1" x14ac:dyDescent="0.3">
      <c r="A968" s="86" t="s">
        <v>1154</v>
      </c>
    </row>
    <row r="969" spans="1:1" x14ac:dyDescent="0.3">
      <c r="A969" s="86" t="s">
        <v>1719</v>
      </c>
    </row>
    <row r="972" spans="1:1" x14ac:dyDescent="0.3">
      <c r="A972" s="86" t="s">
        <v>2579</v>
      </c>
    </row>
    <row r="975" spans="1:1" x14ac:dyDescent="0.3">
      <c r="A975" s="86" t="s">
        <v>1155</v>
      </c>
    </row>
    <row r="976" spans="1:1" x14ac:dyDescent="0.3">
      <c r="A976" s="86" t="s">
        <v>2272</v>
      </c>
    </row>
    <row r="979" spans="1:1" x14ac:dyDescent="0.3">
      <c r="A979" s="86" t="s">
        <v>2580</v>
      </c>
    </row>
    <row r="982" spans="1:1" x14ac:dyDescent="0.3">
      <c r="A982" s="86" t="s">
        <v>1156</v>
      </c>
    </row>
    <row r="983" spans="1:1" x14ac:dyDescent="0.3">
      <c r="A983" s="86" t="s">
        <v>2273</v>
      </c>
    </row>
    <row r="986" spans="1:1" x14ac:dyDescent="0.3">
      <c r="A986" s="86" t="s">
        <v>2581</v>
      </c>
    </row>
    <row r="989" spans="1:1" x14ac:dyDescent="0.3">
      <c r="A989" s="86" t="s">
        <v>1157</v>
      </c>
    </row>
    <row r="990" spans="1:1" x14ac:dyDescent="0.3">
      <c r="A990" s="86" t="s">
        <v>1721</v>
      </c>
    </row>
    <row r="993" spans="1:1" x14ac:dyDescent="0.3">
      <c r="A993" s="86" t="s">
        <v>2582</v>
      </c>
    </row>
    <row r="996" spans="1:1" x14ac:dyDescent="0.3">
      <c r="A996" s="86" t="s">
        <v>1158</v>
      </c>
    </row>
    <row r="997" spans="1:1" x14ac:dyDescent="0.3">
      <c r="A997" s="86" t="s">
        <v>1720</v>
      </c>
    </row>
    <row r="1000" spans="1:1" x14ac:dyDescent="0.3">
      <c r="A1000" s="86" t="s">
        <v>2583</v>
      </c>
    </row>
    <row r="1003" spans="1:1" x14ac:dyDescent="0.3">
      <c r="A1003" s="86" t="s">
        <v>1159</v>
      </c>
    </row>
    <row r="1004" spans="1:1" x14ac:dyDescent="0.3">
      <c r="A1004" s="86" t="s">
        <v>2274</v>
      </c>
    </row>
    <row r="1007" spans="1:1" x14ac:dyDescent="0.3">
      <c r="A1007" s="86" t="s">
        <v>2584</v>
      </c>
    </row>
    <row r="1010" spans="1:1" x14ac:dyDescent="0.3">
      <c r="A1010" s="86" t="s">
        <v>1160</v>
      </c>
    </row>
    <row r="1011" spans="1:1" x14ac:dyDescent="0.3">
      <c r="A1011" s="86" t="s">
        <v>1722</v>
      </c>
    </row>
    <row r="1012" spans="1:1" x14ac:dyDescent="0.3">
      <c r="A1012" s="44"/>
    </row>
    <row r="1014" spans="1:1" x14ac:dyDescent="0.3">
      <c r="A1014" s="44" t="s">
        <v>2585</v>
      </c>
    </row>
    <row r="1017" spans="1:1" x14ac:dyDescent="0.3">
      <c r="A1017" s="86" t="s">
        <v>1161</v>
      </c>
    </row>
    <row r="1018" spans="1:1" x14ac:dyDescent="0.3">
      <c r="A1018" s="86" t="s">
        <v>2275</v>
      </c>
    </row>
    <row r="1021" spans="1:1" x14ac:dyDescent="0.3">
      <c r="A1021" s="86" t="s">
        <v>2586</v>
      </c>
    </row>
    <row r="1024" spans="1:1" x14ac:dyDescent="0.3">
      <c r="A1024" s="86" t="s">
        <v>1162</v>
      </c>
    </row>
    <row r="1025" spans="1:1" x14ac:dyDescent="0.3">
      <c r="A1025" s="86" t="s">
        <v>2276</v>
      </c>
    </row>
    <row r="1028" spans="1:1" x14ac:dyDescent="0.3">
      <c r="A1028" s="86" t="s">
        <v>2587</v>
      </c>
    </row>
    <row r="1031" spans="1:1" x14ac:dyDescent="0.3">
      <c r="A1031" s="86" t="s">
        <v>1163</v>
      </c>
    </row>
    <row r="1032" spans="1:1" x14ac:dyDescent="0.3">
      <c r="A1032" s="86" t="s">
        <v>1723</v>
      </c>
    </row>
    <row r="1035" spans="1:1" x14ac:dyDescent="0.3">
      <c r="A1035" s="86" t="s">
        <v>2588</v>
      </c>
    </row>
    <row r="1038" spans="1:1" x14ac:dyDescent="0.3">
      <c r="A1038" s="86" t="s">
        <v>1164</v>
      </c>
    </row>
    <row r="1039" spans="1:1" x14ac:dyDescent="0.3">
      <c r="A1039" s="86" t="s">
        <v>1724</v>
      </c>
    </row>
    <row r="1042" spans="1:1" x14ac:dyDescent="0.3">
      <c r="A1042" s="86" t="s">
        <v>2589</v>
      </c>
    </row>
    <row r="1045" spans="1:1" x14ac:dyDescent="0.3">
      <c r="A1045" s="44" t="s">
        <v>1165</v>
      </c>
    </row>
    <row r="1046" spans="1:1" x14ac:dyDescent="0.3">
      <c r="A1046" s="44" t="s">
        <v>1725</v>
      </c>
    </row>
    <row r="1049" spans="1:1" x14ac:dyDescent="0.3">
      <c r="A1049" s="86" t="s">
        <v>2590</v>
      </c>
    </row>
    <row r="1052" spans="1:1" x14ac:dyDescent="0.3">
      <c r="A1052" s="86" t="s">
        <v>1166</v>
      </c>
    </row>
    <row r="1053" spans="1:1" x14ac:dyDescent="0.3">
      <c r="A1053" s="86" t="s">
        <v>2277</v>
      </c>
    </row>
    <row r="1056" spans="1:1" x14ac:dyDescent="0.3">
      <c r="A1056" s="86" t="s">
        <v>2591</v>
      </c>
    </row>
    <row r="1059" spans="1:1" x14ac:dyDescent="0.3">
      <c r="A1059" s="86" t="s">
        <v>2278</v>
      </c>
    </row>
    <row r="1060" spans="1:1" x14ac:dyDescent="0.3">
      <c r="A1060" s="86" t="s">
        <v>2279</v>
      </c>
    </row>
    <row r="1063" spans="1:1" x14ac:dyDescent="0.3">
      <c r="A1063" s="86" t="s">
        <v>2592</v>
      </c>
    </row>
    <row r="1066" spans="1:1" x14ac:dyDescent="0.3">
      <c r="A1066" s="86" t="s">
        <v>2280</v>
      </c>
    </row>
    <row r="1067" spans="1:1" x14ac:dyDescent="0.3">
      <c r="A1067" s="86" t="s">
        <v>1726</v>
      </c>
    </row>
    <row r="1070" spans="1:1" x14ac:dyDescent="0.3">
      <c r="A1070" s="86" t="s">
        <v>2593</v>
      </c>
    </row>
    <row r="1073" spans="1:1" x14ac:dyDescent="0.3">
      <c r="A1073" s="86" t="s">
        <v>2281</v>
      </c>
    </row>
    <row r="1074" spans="1:1" x14ac:dyDescent="0.3">
      <c r="A1074" s="86" t="s">
        <v>1727</v>
      </c>
    </row>
    <row r="1077" spans="1:1" x14ac:dyDescent="0.3">
      <c r="A1077" s="86" t="s">
        <v>2594</v>
      </c>
    </row>
    <row r="1080" spans="1:1" x14ac:dyDescent="0.3">
      <c r="A1080" s="86" t="s">
        <v>2282</v>
      </c>
    </row>
    <row r="1081" spans="1:1" x14ac:dyDescent="0.3">
      <c r="A1081" s="86" t="s">
        <v>2011</v>
      </c>
    </row>
    <row r="1084" spans="1:1" x14ac:dyDescent="0.3">
      <c r="A1084" s="86" t="s">
        <v>2595</v>
      </c>
    </row>
    <row r="1087" spans="1:1" x14ac:dyDescent="0.3">
      <c r="A1087" s="86" t="s">
        <v>2283</v>
      </c>
    </row>
    <row r="1088" spans="1:1" x14ac:dyDescent="0.3">
      <c r="A1088" s="86" t="s">
        <v>2010</v>
      </c>
    </row>
    <row r="1091" spans="1:1" x14ac:dyDescent="0.3">
      <c r="A1091" s="86" t="s">
        <v>2596</v>
      </c>
    </row>
    <row r="1094" spans="1:1" x14ac:dyDescent="0.3">
      <c r="A1094" s="86" t="s">
        <v>2284</v>
      </c>
    </row>
    <row r="1095" spans="1:1" x14ac:dyDescent="0.3">
      <c r="A1095" s="86" t="s">
        <v>1728</v>
      </c>
    </row>
    <row r="1098" spans="1:1" x14ac:dyDescent="0.3">
      <c r="A1098" s="86" t="s">
        <v>2597</v>
      </c>
    </row>
    <row r="1101" spans="1:1" x14ac:dyDescent="0.3">
      <c r="A1101" s="86" t="s">
        <v>2285</v>
      </c>
    </row>
    <row r="1102" spans="1:1" x14ac:dyDescent="0.3">
      <c r="A1102" s="86" t="s">
        <v>2286</v>
      </c>
    </row>
    <row r="1105" spans="1:1" x14ac:dyDescent="0.3">
      <c r="A1105" s="86" t="s">
        <v>2598</v>
      </c>
    </row>
    <row r="1108" spans="1:1" x14ac:dyDescent="0.3">
      <c r="A1108" s="86" t="s">
        <v>2287</v>
      </c>
    </row>
    <row r="1109" spans="1:1" x14ac:dyDescent="0.3">
      <c r="A1109" s="86" t="s">
        <v>1729</v>
      </c>
    </row>
    <row r="1112" spans="1:1" x14ac:dyDescent="0.3">
      <c r="A1112" s="86" t="s">
        <v>2599</v>
      </c>
    </row>
    <row r="1115" spans="1:1" x14ac:dyDescent="0.3">
      <c r="A1115" s="86" t="s">
        <v>2288</v>
      </c>
    </row>
    <row r="1116" spans="1:1" x14ac:dyDescent="0.3">
      <c r="A1116" s="86" t="s">
        <v>1730</v>
      </c>
    </row>
    <row r="1119" spans="1:1" x14ac:dyDescent="0.3">
      <c r="A1119" s="86" t="s">
        <v>2600</v>
      </c>
    </row>
    <row r="1122" spans="1:1" x14ac:dyDescent="0.3">
      <c r="A1122" s="86" t="s">
        <v>2289</v>
      </c>
    </row>
    <row r="1123" spans="1:1" x14ac:dyDescent="0.3">
      <c r="A1123" s="86" t="s">
        <v>1731</v>
      </c>
    </row>
    <row r="1126" spans="1:1" x14ac:dyDescent="0.3">
      <c r="A1126" s="86" t="s">
        <v>2601</v>
      </c>
    </row>
    <row r="1129" spans="1:1" x14ac:dyDescent="0.3">
      <c r="A1129" s="86" t="s">
        <v>2290</v>
      </c>
    </row>
    <row r="1130" spans="1:1" x14ac:dyDescent="0.3">
      <c r="A1130" s="86" t="s">
        <v>1007</v>
      </c>
    </row>
    <row r="1133" spans="1:1" x14ac:dyDescent="0.3">
      <c r="A1133" s="86" t="s">
        <v>2602</v>
      </c>
    </row>
    <row r="1136" spans="1:1" x14ac:dyDescent="0.3">
      <c r="A1136" s="86" t="s">
        <v>2291</v>
      </c>
    </row>
    <row r="1137" spans="1:1" x14ac:dyDescent="0.3">
      <c r="A1137" s="86" t="s">
        <v>2292</v>
      </c>
    </row>
    <row r="1140" spans="1:1" x14ac:dyDescent="0.3">
      <c r="A1140" s="86" t="s">
        <v>2603</v>
      </c>
    </row>
    <row r="1143" spans="1:1" x14ac:dyDescent="0.3">
      <c r="A1143" s="86" t="s">
        <v>2293</v>
      </c>
    </row>
    <row r="1144" spans="1:1" x14ac:dyDescent="0.3">
      <c r="A1144" s="86" t="s">
        <v>2294</v>
      </c>
    </row>
    <row r="1147" spans="1:1" x14ac:dyDescent="0.3">
      <c r="A1147" s="86" t="s">
        <v>2604</v>
      </c>
    </row>
    <row r="1150" spans="1:1" x14ac:dyDescent="0.3">
      <c r="A1150" s="86" t="s">
        <v>2295</v>
      </c>
    </row>
    <row r="1151" spans="1:1" x14ac:dyDescent="0.3">
      <c r="A1151" s="86" t="s">
        <v>2296</v>
      </c>
    </row>
    <row r="1154" spans="1:1" x14ac:dyDescent="0.3">
      <c r="A1154" s="86" t="s">
        <v>2605</v>
      </c>
    </row>
    <row r="1157" spans="1:1" x14ac:dyDescent="0.3">
      <c r="A1157" s="86" t="s">
        <v>2297</v>
      </c>
    </row>
    <row r="1158" spans="1:1" x14ac:dyDescent="0.3">
      <c r="A1158" s="86" t="s">
        <v>2298</v>
      </c>
    </row>
    <row r="1161" spans="1:1" x14ac:dyDescent="0.3">
      <c r="A1161" s="86" t="s">
        <v>2606</v>
      </c>
    </row>
    <row r="1164" spans="1:1" x14ac:dyDescent="0.3">
      <c r="A1164" s="86" t="s">
        <v>2299</v>
      </c>
    </row>
    <row r="1165" spans="1:1" x14ac:dyDescent="0.3">
      <c r="A1165" s="86" t="s">
        <v>2012</v>
      </c>
    </row>
    <row r="1168" spans="1:1" x14ac:dyDescent="0.3">
      <c r="A1168" s="86" t="s">
        <v>2607</v>
      </c>
    </row>
    <row r="1171" spans="1:1" x14ac:dyDescent="0.3">
      <c r="A1171" s="86" t="s">
        <v>2300</v>
      </c>
    </row>
    <row r="1172" spans="1:1" x14ac:dyDescent="0.3">
      <c r="A1172" s="86" t="s">
        <v>1733</v>
      </c>
    </row>
    <row r="1175" spans="1:1" x14ac:dyDescent="0.3">
      <c r="A1175" s="86" t="s">
        <v>2608</v>
      </c>
    </row>
    <row r="1178" spans="1:1" x14ac:dyDescent="0.3">
      <c r="A1178" s="86" t="s">
        <v>2301</v>
      </c>
    </row>
    <row r="1179" spans="1:1" x14ac:dyDescent="0.3">
      <c r="A1179" s="86" t="s">
        <v>1732</v>
      </c>
    </row>
    <row r="1182" spans="1:1" x14ac:dyDescent="0.3">
      <c r="A1182" s="86" t="s">
        <v>2609</v>
      </c>
    </row>
    <row r="1185" spans="1:1" x14ac:dyDescent="0.3">
      <c r="A1185" s="86" t="s">
        <v>2302</v>
      </c>
    </row>
    <row r="1186" spans="1:1" x14ac:dyDescent="0.3">
      <c r="A1186" s="86" t="s">
        <v>2013</v>
      </c>
    </row>
    <row r="1189" spans="1:1" x14ac:dyDescent="0.3">
      <c r="A1189" s="86" t="s">
        <v>2610</v>
      </c>
    </row>
    <row r="1192" spans="1:1" x14ac:dyDescent="0.3">
      <c r="A1192" s="86" t="s">
        <v>2303</v>
      </c>
    </row>
    <row r="1193" spans="1:1" x14ac:dyDescent="0.3">
      <c r="A1193" s="86" t="s">
        <v>2014</v>
      </c>
    </row>
    <row r="1196" spans="1:1" x14ac:dyDescent="0.3">
      <c r="A1196" s="86" t="s">
        <v>2611</v>
      </c>
    </row>
    <row r="1199" spans="1:1" x14ac:dyDescent="0.3">
      <c r="A1199" s="86" t="s">
        <v>2304</v>
      </c>
    </row>
    <row r="1200" spans="1:1" x14ac:dyDescent="0.3">
      <c r="A1200" s="86" t="s">
        <v>2305</v>
      </c>
    </row>
    <row r="1203" spans="1:1" x14ac:dyDescent="0.3">
      <c r="A1203" s="86" t="s">
        <v>2612</v>
      </c>
    </row>
    <row r="1206" spans="1:1" x14ac:dyDescent="0.3">
      <c r="A1206" s="86" t="s">
        <v>2306</v>
      </c>
    </row>
    <row r="1207" spans="1:1" x14ac:dyDescent="0.3">
      <c r="A1207" s="86" t="s">
        <v>2015</v>
      </c>
    </row>
    <row r="1210" spans="1:1" x14ac:dyDescent="0.3">
      <c r="A1210" s="86" t="s">
        <v>2613</v>
      </c>
    </row>
    <row r="1213" spans="1:1" x14ac:dyDescent="0.3">
      <c r="A1213" s="86" t="s">
        <v>2307</v>
      </c>
    </row>
    <row r="1214" spans="1:1" x14ac:dyDescent="0.3">
      <c r="A1214" s="86" t="s">
        <v>1734</v>
      </c>
    </row>
    <row r="1217" spans="1:1" x14ac:dyDescent="0.3">
      <c r="A1217" s="86" t="s">
        <v>2614</v>
      </c>
    </row>
    <row r="1220" spans="1:1" x14ac:dyDescent="0.3">
      <c r="A1220" s="86" t="s">
        <v>2308</v>
      </c>
    </row>
    <row r="1221" spans="1:1" x14ac:dyDescent="0.3">
      <c r="A1221" s="86" t="s">
        <v>2309</v>
      </c>
    </row>
    <row r="1224" spans="1:1" x14ac:dyDescent="0.3">
      <c r="A1224" s="86" t="s">
        <v>2615</v>
      </c>
    </row>
    <row r="1227" spans="1:1" x14ac:dyDescent="0.3">
      <c r="A1227" s="86" t="s">
        <v>2209</v>
      </c>
    </row>
    <row r="1228" spans="1:1" x14ac:dyDescent="0.3">
      <c r="A1228" s="86" t="s">
        <v>973</v>
      </c>
    </row>
    <row r="1231" spans="1:1" x14ac:dyDescent="0.3">
      <c r="A1231" s="86" t="s">
        <v>2616</v>
      </c>
    </row>
    <row r="1234" spans="1:1" x14ac:dyDescent="0.3">
      <c r="A1234" s="86" t="s">
        <v>2210</v>
      </c>
    </row>
    <row r="1235" spans="1:1" x14ac:dyDescent="0.3">
      <c r="A1235" s="86" t="s">
        <v>2211</v>
      </c>
    </row>
    <row r="1238" spans="1:1" x14ac:dyDescent="0.3">
      <c r="A1238" s="86" t="s">
        <v>2617</v>
      </c>
    </row>
    <row r="1241" spans="1:1" x14ac:dyDescent="0.3">
      <c r="A1241" s="86" t="s">
        <v>2212</v>
      </c>
    </row>
    <row r="1242" spans="1:1" x14ac:dyDescent="0.3">
      <c r="A1242" s="86" t="s">
        <v>2213</v>
      </c>
    </row>
    <row r="1245" spans="1:1" x14ac:dyDescent="0.3">
      <c r="A1245" s="86" t="s">
        <v>2618</v>
      </c>
    </row>
    <row r="1426" spans="1:1" x14ac:dyDescent="0.3">
      <c r="A1426" s="44"/>
    </row>
    <row r="1428" spans="1:1" x14ac:dyDescent="0.3">
      <c r="A1428" s="44"/>
    </row>
    <row r="1463" spans="1:1" x14ac:dyDescent="0.3">
      <c r="A1463" s="44"/>
    </row>
    <row r="1478" spans="1:1" x14ac:dyDescent="0.3">
      <c r="A1478" s="44"/>
    </row>
    <row r="1484" spans="1:1" x14ac:dyDescent="0.3">
      <c r="A1484" s="44"/>
    </row>
    <row r="1500" spans="1:1" x14ac:dyDescent="0.3">
      <c r="A1500" s="44"/>
    </row>
    <row r="1506" spans="1:1" x14ac:dyDescent="0.3">
      <c r="A1506" s="44"/>
    </row>
    <row r="1515" spans="1:1" x14ac:dyDescent="0.3">
      <c r="A1515" s="44"/>
    </row>
    <row r="1517" spans="1:1" x14ac:dyDescent="0.3">
      <c r="A1517" s="44"/>
    </row>
    <row r="1525" spans="1:1" x14ac:dyDescent="0.3">
      <c r="A1525" s="44"/>
    </row>
    <row r="1529" spans="1:1" x14ac:dyDescent="0.3">
      <c r="A1529" s="44"/>
    </row>
    <row r="1533" spans="1:1" x14ac:dyDescent="0.3">
      <c r="A1533" s="44"/>
    </row>
    <row r="1544" spans="1:1" x14ac:dyDescent="0.3">
      <c r="A1544" s="44"/>
    </row>
    <row r="1550" spans="1:1" x14ac:dyDescent="0.3">
      <c r="A1550" s="44"/>
    </row>
    <row r="1559" spans="1:1" x14ac:dyDescent="0.3">
      <c r="A1559" s="44"/>
    </row>
    <row r="1580" spans="1:1" x14ac:dyDescent="0.3">
      <c r="A1580" s="44"/>
    </row>
    <row r="1710" spans="1:1" x14ac:dyDescent="0.3">
      <c r="A1710" s="44"/>
    </row>
    <row r="1714" spans="1:1" x14ac:dyDescent="0.3">
      <c r="A1714" s="44"/>
    </row>
    <row r="1721" spans="1:1" x14ac:dyDescent="0.3">
      <c r="A1721" s="44"/>
    </row>
    <row r="1723" spans="1:1" x14ac:dyDescent="0.3">
      <c r="A1723" s="44"/>
    </row>
    <row r="1750" spans="1:1" x14ac:dyDescent="0.3">
      <c r="A1750" s="44"/>
    </row>
    <row r="1752" spans="1:1" x14ac:dyDescent="0.3">
      <c r="A1752" s="44"/>
    </row>
    <row r="1783" spans="1:1" x14ac:dyDescent="0.3">
      <c r="A1783" s="44"/>
    </row>
    <row r="1787" spans="1:1" x14ac:dyDescent="0.3">
      <c r="A1787" s="44"/>
    </row>
    <row r="1802" spans="1:1" x14ac:dyDescent="0.3">
      <c r="A1802" s="44"/>
    </row>
    <row r="1808" spans="1:1" x14ac:dyDescent="0.3">
      <c r="A1808" s="44"/>
    </row>
    <row r="1824" spans="1:1" x14ac:dyDescent="0.3">
      <c r="A1824" s="44"/>
    </row>
    <row r="1839" spans="1:1" x14ac:dyDescent="0.3">
      <c r="A1839" s="44"/>
    </row>
    <row r="1841" spans="1:1" x14ac:dyDescent="0.3">
      <c r="A1841" s="44"/>
    </row>
    <row r="1868" spans="1:1" x14ac:dyDescent="0.3">
      <c r="A1868" s="44"/>
    </row>
    <row r="1883" spans="1:1" x14ac:dyDescent="0.3">
      <c r="A1883" s="44"/>
    </row>
  </sheetData>
  <dataConsolidate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2060"/>
  </sheetPr>
  <dimension ref="A1:A18242"/>
  <sheetViews>
    <sheetView workbookViewId="0">
      <selection activeCell="B5" sqref="B5"/>
    </sheetView>
  </sheetViews>
  <sheetFormatPr defaultRowHeight="14.4" x14ac:dyDescent="0.3"/>
  <cols>
    <col min="1" max="1" width="153.6640625" bestFit="1" customWidth="1"/>
  </cols>
  <sheetData>
    <row r="1" spans="1:1" x14ac:dyDescent="0.3">
      <c r="A1" t="s">
        <v>2631</v>
      </c>
    </row>
    <row r="3" spans="1:1" x14ac:dyDescent="0.3">
      <c r="A3" s="1"/>
    </row>
    <row r="4" spans="1:1" x14ac:dyDescent="0.3">
      <c r="A4" s="86"/>
    </row>
    <row r="5" spans="1:1" x14ac:dyDescent="0.3">
      <c r="A5" s="1"/>
    </row>
    <row r="6" spans="1:1" x14ac:dyDescent="0.3">
      <c r="A6" s="1"/>
    </row>
    <row r="7" spans="1:1" x14ac:dyDescent="0.3">
      <c r="A7" s="1"/>
    </row>
    <row r="8" spans="1:1" x14ac:dyDescent="0.3">
      <c r="A8" s="1"/>
    </row>
    <row r="9" spans="1:1" x14ac:dyDescent="0.3">
      <c r="A9" s="1"/>
    </row>
    <row r="10" spans="1:1" x14ac:dyDescent="0.3">
      <c r="A10" s="1"/>
    </row>
    <row r="11" spans="1:1" x14ac:dyDescent="0.3">
      <c r="A11" s="1"/>
    </row>
    <row r="12" spans="1:1" x14ac:dyDescent="0.3">
      <c r="A12" s="1"/>
    </row>
    <row r="13" spans="1:1" x14ac:dyDescent="0.3">
      <c r="A13" s="1"/>
    </row>
    <row r="14" spans="1:1" x14ac:dyDescent="0.3">
      <c r="A14" s="1"/>
    </row>
    <row r="15" spans="1:1" x14ac:dyDescent="0.3">
      <c r="A15" s="1"/>
    </row>
    <row r="16" spans="1:1" x14ac:dyDescent="0.3">
      <c r="A16" s="1"/>
    </row>
    <row r="17" spans="1:1" x14ac:dyDescent="0.3">
      <c r="A17" s="1"/>
    </row>
    <row r="18" spans="1:1" x14ac:dyDescent="0.3">
      <c r="A18" s="1"/>
    </row>
    <row r="19" spans="1:1" x14ac:dyDescent="0.3">
      <c r="A19" s="1"/>
    </row>
    <row r="20" spans="1:1" x14ac:dyDescent="0.3">
      <c r="A20" s="1"/>
    </row>
    <row r="21" spans="1:1" x14ac:dyDescent="0.3">
      <c r="A21" s="1"/>
    </row>
    <row r="22" spans="1:1" x14ac:dyDescent="0.3">
      <c r="A22" s="1"/>
    </row>
    <row r="23" spans="1:1" x14ac:dyDescent="0.3">
      <c r="A23" s="1"/>
    </row>
    <row r="24" spans="1:1" x14ac:dyDescent="0.3">
      <c r="A24" s="1"/>
    </row>
    <row r="25" spans="1:1" x14ac:dyDescent="0.3">
      <c r="A25" s="1"/>
    </row>
    <row r="26" spans="1:1" x14ac:dyDescent="0.3">
      <c r="A26" s="1"/>
    </row>
    <row r="27" spans="1:1" x14ac:dyDescent="0.3">
      <c r="A27" s="1"/>
    </row>
    <row r="28" spans="1:1" x14ac:dyDescent="0.3">
      <c r="A28" s="1"/>
    </row>
    <row r="29" spans="1:1" x14ac:dyDescent="0.3">
      <c r="A29" s="1"/>
    </row>
    <row r="30" spans="1:1" x14ac:dyDescent="0.3">
      <c r="A30" s="1"/>
    </row>
    <row r="31" spans="1:1" x14ac:dyDescent="0.3">
      <c r="A31" s="1"/>
    </row>
    <row r="32" spans="1:1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  <row r="531" spans="1:1" x14ac:dyDescent="0.3">
      <c r="A531" s="1"/>
    </row>
    <row r="532" spans="1:1" x14ac:dyDescent="0.3">
      <c r="A532" s="1"/>
    </row>
    <row r="533" spans="1:1" x14ac:dyDescent="0.3">
      <c r="A533" s="1"/>
    </row>
    <row r="534" spans="1:1" x14ac:dyDescent="0.3">
      <c r="A534" s="1"/>
    </row>
    <row r="535" spans="1:1" x14ac:dyDescent="0.3">
      <c r="A535" s="1"/>
    </row>
    <row r="536" spans="1:1" x14ac:dyDescent="0.3">
      <c r="A536" s="1"/>
    </row>
    <row r="537" spans="1:1" x14ac:dyDescent="0.3">
      <c r="A537" s="1"/>
    </row>
    <row r="538" spans="1:1" x14ac:dyDescent="0.3">
      <c r="A538" s="1"/>
    </row>
    <row r="539" spans="1:1" x14ac:dyDescent="0.3">
      <c r="A539" s="1"/>
    </row>
    <row r="540" spans="1:1" x14ac:dyDescent="0.3">
      <c r="A540" s="1"/>
    </row>
    <row r="541" spans="1:1" x14ac:dyDescent="0.3">
      <c r="A541" s="1"/>
    </row>
    <row r="542" spans="1:1" x14ac:dyDescent="0.3">
      <c r="A542" s="1"/>
    </row>
    <row r="543" spans="1:1" x14ac:dyDescent="0.3">
      <c r="A543" s="1"/>
    </row>
    <row r="544" spans="1:1" x14ac:dyDescent="0.3">
      <c r="A544" s="1"/>
    </row>
    <row r="545" spans="1:1" x14ac:dyDescent="0.3">
      <c r="A545" s="1"/>
    </row>
    <row r="546" spans="1:1" x14ac:dyDescent="0.3">
      <c r="A546" s="1"/>
    </row>
    <row r="547" spans="1:1" x14ac:dyDescent="0.3">
      <c r="A547" s="1"/>
    </row>
    <row r="548" spans="1:1" x14ac:dyDescent="0.3">
      <c r="A548" s="1"/>
    </row>
    <row r="549" spans="1:1" x14ac:dyDescent="0.3">
      <c r="A549" s="1"/>
    </row>
    <row r="550" spans="1:1" x14ac:dyDescent="0.3">
      <c r="A550" s="1"/>
    </row>
    <row r="551" spans="1:1" x14ac:dyDescent="0.3">
      <c r="A551" s="1"/>
    </row>
    <row r="552" spans="1:1" x14ac:dyDescent="0.3">
      <c r="A552" s="1"/>
    </row>
    <row r="553" spans="1:1" x14ac:dyDescent="0.3">
      <c r="A553" s="1"/>
    </row>
    <row r="554" spans="1:1" x14ac:dyDescent="0.3">
      <c r="A554" s="1"/>
    </row>
    <row r="555" spans="1:1" x14ac:dyDescent="0.3">
      <c r="A555" s="1"/>
    </row>
    <row r="556" spans="1:1" x14ac:dyDescent="0.3">
      <c r="A556" s="1"/>
    </row>
    <row r="557" spans="1:1" x14ac:dyDescent="0.3">
      <c r="A557" s="1"/>
    </row>
    <row r="558" spans="1:1" x14ac:dyDescent="0.3">
      <c r="A558" s="1"/>
    </row>
    <row r="559" spans="1:1" x14ac:dyDescent="0.3">
      <c r="A559" s="1"/>
    </row>
    <row r="560" spans="1:1" x14ac:dyDescent="0.3">
      <c r="A560" s="1"/>
    </row>
    <row r="561" spans="1:1" x14ac:dyDescent="0.3">
      <c r="A561" s="1"/>
    </row>
    <row r="562" spans="1:1" x14ac:dyDescent="0.3">
      <c r="A562" s="1"/>
    </row>
    <row r="563" spans="1:1" x14ac:dyDescent="0.3">
      <c r="A563" s="1"/>
    </row>
    <row r="564" spans="1:1" x14ac:dyDescent="0.3">
      <c r="A564" s="1"/>
    </row>
    <row r="565" spans="1:1" x14ac:dyDescent="0.3">
      <c r="A565" s="1"/>
    </row>
    <row r="566" spans="1:1" x14ac:dyDescent="0.3">
      <c r="A566" s="1"/>
    </row>
    <row r="567" spans="1:1" x14ac:dyDescent="0.3">
      <c r="A567" s="1"/>
    </row>
    <row r="568" spans="1:1" x14ac:dyDescent="0.3">
      <c r="A568" s="1"/>
    </row>
    <row r="569" spans="1:1" x14ac:dyDescent="0.3">
      <c r="A569" s="1"/>
    </row>
    <row r="570" spans="1:1" x14ac:dyDescent="0.3">
      <c r="A570" s="1"/>
    </row>
    <row r="571" spans="1:1" x14ac:dyDescent="0.3">
      <c r="A571" s="1"/>
    </row>
    <row r="572" spans="1:1" x14ac:dyDescent="0.3">
      <c r="A572" s="1"/>
    </row>
    <row r="573" spans="1:1" x14ac:dyDescent="0.3">
      <c r="A573" s="1"/>
    </row>
    <row r="574" spans="1:1" x14ac:dyDescent="0.3">
      <c r="A574" s="1"/>
    </row>
    <row r="575" spans="1:1" x14ac:dyDescent="0.3">
      <c r="A575" s="1"/>
    </row>
    <row r="576" spans="1:1" x14ac:dyDescent="0.3">
      <c r="A576" s="1"/>
    </row>
    <row r="577" spans="1:1" x14ac:dyDescent="0.3">
      <c r="A577" s="1"/>
    </row>
    <row r="578" spans="1:1" x14ac:dyDescent="0.3">
      <c r="A578" s="1"/>
    </row>
    <row r="579" spans="1:1" x14ac:dyDescent="0.3">
      <c r="A579" s="1"/>
    </row>
    <row r="580" spans="1:1" x14ac:dyDescent="0.3">
      <c r="A580" s="1"/>
    </row>
    <row r="581" spans="1:1" x14ac:dyDescent="0.3">
      <c r="A581" s="1"/>
    </row>
    <row r="582" spans="1:1" x14ac:dyDescent="0.3">
      <c r="A582" s="1"/>
    </row>
    <row r="583" spans="1:1" x14ac:dyDescent="0.3">
      <c r="A583" s="1"/>
    </row>
    <row r="584" spans="1:1" x14ac:dyDescent="0.3">
      <c r="A584" s="1"/>
    </row>
    <row r="585" spans="1:1" x14ac:dyDescent="0.3">
      <c r="A585" s="1"/>
    </row>
    <row r="586" spans="1:1" x14ac:dyDescent="0.3">
      <c r="A586" s="1"/>
    </row>
    <row r="587" spans="1:1" x14ac:dyDescent="0.3">
      <c r="A587" s="1"/>
    </row>
    <row r="588" spans="1:1" x14ac:dyDescent="0.3">
      <c r="A588" s="1"/>
    </row>
    <row r="589" spans="1:1" x14ac:dyDescent="0.3">
      <c r="A589" s="1"/>
    </row>
    <row r="590" spans="1:1" x14ac:dyDescent="0.3">
      <c r="A590" s="1"/>
    </row>
    <row r="591" spans="1:1" x14ac:dyDescent="0.3">
      <c r="A591" s="1"/>
    </row>
    <row r="592" spans="1:1" x14ac:dyDescent="0.3">
      <c r="A592" s="1"/>
    </row>
    <row r="593" spans="1:1" x14ac:dyDescent="0.3">
      <c r="A593" s="1"/>
    </row>
    <row r="594" spans="1:1" x14ac:dyDescent="0.3">
      <c r="A594" s="1"/>
    </row>
    <row r="595" spans="1:1" x14ac:dyDescent="0.3">
      <c r="A595" s="1"/>
    </row>
    <row r="596" spans="1:1" x14ac:dyDescent="0.3">
      <c r="A596" s="1"/>
    </row>
    <row r="597" spans="1:1" x14ac:dyDescent="0.3">
      <c r="A597" s="1"/>
    </row>
    <row r="598" spans="1:1" x14ac:dyDescent="0.3">
      <c r="A598" s="1"/>
    </row>
    <row r="599" spans="1:1" x14ac:dyDescent="0.3">
      <c r="A599" s="1"/>
    </row>
    <row r="600" spans="1:1" x14ac:dyDescent="0.3">
      <c r="A600" s="1"/>
    </row>
    <row r="601" spans="1:1" x14ac:dyDescent="0.3">
      <c r="A601" s="1"/>
    </row>
    <row r="602" spans="1:1" x14ac:dyDescent="0.3">
      <c r="A602" s="1"/>
    </row>
    <row r="603" spans="1:1" x14ac:dyDescent="0.3">
      <c r="A603" s="1"/>
    </row>
    <row r="604" spans="1:1" x14ac:dyDescent="0.3">
      <c r="A604" s="1"/>
    </row>
    <row r="605" spans="1:1" x14ac:dyDescent="0.3">
      <c r="A605" s="1"/>
    </row>
    <row r="606" spans="1:1" x14ac:dyDescent="0.3">
      <c r="A606" s="1"/>
    </row>
    <row r="607" spans="1:1" x14ac:dyDescent="0.3">
      <c r="A607" s="1"/>
    </row>
    <row r="608" spans="1:1" x14ac:dyDescent="0.3">
      <c r="A608" s="1"/>
    </row>
    <row r="609" spans="1:1" x14ac:dyDescent="0.3">
      <c r="A609" s="1"/>
    </row>
    <row r="610" spans="1:1" x14ac:dyDescent="0.3">
      <c r="A610" s="1"/>
    </row>
    <row r="611" spans="1:1" x14ac:dyDescent="0.3">
      <c r="A611" s="1"/>
    </row>
    <row r="612" spans="1:1" x14ac:dyDescent="0.3">
      <c r="A612" s="1"/>
    </row>
    <row r="613" spans="1:1" x14ac:dyDescent="0.3">
      <c r="A613" s="1"/>
    </row>
    <row r="614" spans="1:1" x14ac:dyDescent="0.3">
      <c r="A614" s="1"/>
    </row>
    <row r="615" spans="1:1" x14ac:dyDescent="0.3">
      <c r="A615" s="1"/>
    </row>
    <row r="616" spans="1:1" x14ac:dyDescent="0.3">
      <c r="A616" s="1"/>
    </row>
    <row r="617" spans="1:1" x14ac:dyDescent="0.3">
      <c r="A617" s="1"/>
    </row>
    <row r="618" spans="1:1" x14ac:dyDescent="0.3">
      <c r="A618" s="1"/>
    </row>
    <row r="619" spans="1:1" x14ac:dyDescent="0.3">
      <c r="A619" s="1"/>
    </row>
    <row r="620" spans="1:1" x14ac:dyDescent="0.3">
      <c r="A620" s="1"/>
    </row>
    <row r="621" spans="1:1" x14ac:dyDescent="0.3">
      <c r="A621" s="1"/>
    </row>
    <row r="622" spans="1:1" x14ac:dyDescent="0.3">
      <c r="A622" s="1"/>
    </row>
    <row r="623" spans="1:1" x14ac:dyDescent="0.3">
      <c r="A623" s="1"/>
    </row>
    <row r="624" spans="1:1" x14ac:dyDescent="0.3">
      <c r="A624" s="1"/>
    </row>
    <row r="625" spans="1:1" x14ac:dyDescent="0.3">
      <c r="A625" s="1"/>
    </row>
    <row r="626" spans="1:1" x14ac:dyDescent="0.3">
      <c r="A626" s="1"/>
    </row>
    <row r="627" spans="1:1" x14ac:dyDescent="0.3">
      <c r="A627" s="1"/>
    </row>
    <row r="628" spans="1:1" x14ac:dyDescent="0.3">
      <c r="A628" s="1"/>
    </row>
    <row r="629" spans="1:1" x14ac:dyDescent="0.3">
      <c r="A629" s="1"/>
    </row>
    <row r="630" spans="1:1" x14ac:dyDescent="0.3">
      <c r="A630" s="1"/>
    </row>
    <row r="631" spans="1:1" x14ac:dyDescent="0.3">
      <c r="A631" s="1"/>
    </row>
    <row r="632" spans="1:1" x14ac:dyDescent="0.3">
      <c r="A632" s="1"/>
    </row>
    <row r="633" spans="1:1" x14ac:dyDescent="0.3">
      <c r="A633" s="1"/>
    </row>
    <row r="634" spans="1:1" x14ac:dyDescent="0.3">
      <c r="A634" s="1"/>
    </row>
    <row r="635" spans="1:1" x14ac:dyDescent="0.3">
      <c r="A635" s="1"/>
    </row>
    <row r="636" spans="1:1" x14ac:dyDescent="0.3">
      <c r="A636" s="1"/>
    </row>
    <row r="637" spans="1:1" x14ac:dyDescent="0.3">
      <c r="A637" s="1"/>
    </row>
    <row r="638" spans="1:1" x14ac:dyDescent="0.3">
      <c r="A638" s="1"/>
    </row>
    <row r="639" spans="1:1" x14ac:dyDescent="0.3">
      <c r="A639" s="1"/>
    </row>
    <row r="640" spans="1:1" x14ac:dyDescent="0.3">
      <c r="A640" s="1"/>
    </row>
    <row r="641" spans="1:1" x14ac:dyDescent="0.3">
      <c r="A641" s="1"/>
    </row>
    <row r="642" spans="1:1" x14ac:dyDescent="0.3">
      <c r="A642" s="1"/>
    </row>
    <row r="643" spans="1:1" x14ac:dyDescent="0.3">
      <c r="A643" s="1"/>
    </row>
    <row r="644" spans="1:1" x14ac:dyDescent="0.3">
      <c r="A644" s="1"/>
    </row>
    <row r="645" spans="1:1" x14ac:dyDescent="0.3">
      <c r="A645" s="1"/>
    </row>
    <row r="646" spans="1:1" x14ac:dyDescent="0.3">
      <c r="A646" s="1"/>
    </row>
    <row r="647" spans="1:1" x14ac:dyDescent="0.3">
      <c r="A647" s="1"/>
    </row>
    <row r="648" spans="1:1" x14ac:dyDescent="0.3">
      <c r="A648" s="1"/>
    </row>
    <row r="649" spans="1:1" x14ac:dyDescent="0.3">
      <c r="A649" s="1"/>
    </row>
    <row r="650" spans="1:1" x14ac:dyDescent="0.3">
      <c r="A650" s="1"/>
    </row>
    <row r="651" spans="1:1" x14ac:dyDescent="0.3">
      <c r="A651" s="1"/>
    </row>
    <row r="652" spans="1:1" x14ac:dyDescent="0.3">
      <c r="A652" s="1"/>
    </row>
    <row r="653" spans="1:1" x14ac:dyDescent="0.3">
      <c r="A653" s="1"/>
    </row>
    <row r="654" spans="1:1" x14ac:dyDescent="0.3">
      <c r="A654" s="1"/>
    </row>
    <row r="655" spans="1:1" x14ac:dyDescent="0.3">
      <c r="A655" s="1"/>
    </row>
    <row r="656" spans="1:1" x14ac:dyDescent="0.3">
      <c r="A656" s="1"/>
    </row>
    <row r="657" spans="1:1" x14ac:dyDescent="0.3">
      <c r="A657" s="1"/>
    </row>
    <row r="658" spans="1:1" x14ac:dyDescent="0.3">
      <c r="A658" s="1"/>
    </row>
    <row r="659" spans="1:1" x14ac:dyDescent="0.3">
      <c r="A659" s="1"/>
    </row>
    <row r="660" spans="1:1" x14ac:dyDescent="0.3">
      <c r="A660" s="1"/>
    </row>
    <row r="661" spans="1:1" x14ac:dyDescent="0.3">
      <c r="A661" s="1"/>
    </row>
    <row r="662" spans="1:1" x14ac:dyDescent="0.3">
      <c r="A662" s="1"/>
    </row>
    <row r="663" spans="1:1" x14ac:dyDescent="0.3">
      <c r="A663" s="1"/>
    </row>
    <row r="664" spans="1:1" x14ac:dyDescent="0.3">
      <c r="A664" s="1"/>
    </row>
    <row r="665" spans="1:1" x14ac:dyDescent="0.3">
      <c r="A665" s="1"/>
    </row>
    <row r="666" spans="1:1" x14ac:dyDescent="0.3">
      <c r="A666" s="1"/>
    </row>
    <row r="667" spans="1:1" x14ac:dyDescent="0.3">
      <c r="A667" s="1"/>
    </row>
    <row r="668" spans="1:1" x14ac:dyDescent="0.3">
      <c r="A668" s="1"/>
    </row>
    <row r="669" spans="1:1" x14ac:dyDescent="0.3">
      <c r="A669" s="1"/>
    </row>
    <row r="670" spans="1:1" x14ac:dyDescent="0.3">
      <c r="A670" s="1"/>
    </row>
    <row r="671" spans="1:1" x14ac:dyDescent="0.3">
      <c r="A671" s="1"/>
    </row>
    <row r="672" spans="1:1" x14ac:dyDescent="0.3">
      <c r="A672" s="1"/>
    </row>
    <row r="673" spans="1:1" x14ac:dyDescent="0.3">
      <c r="A673" s="1"/>
    </row>
    <row r="674" spans="1:1" x14ac:dyDescent="0.3">
      <c r="A674" s="1"/>
    </row>
    <row r="675" spans="1:1" x14ac:dyDescent="0.3">
      <c r="A675" s="1"/>
    </row>
    <row r="676" spans="1:1" x14ac:dyDescent="0.3">
      <c r="A676" s="1"/>
    </row>
    <row r="677" spans="1:1" x14ac:dyDescent="0.3">
      <c r="A677" s="1"/>
    </row>
    <row r="678" spans="1:1" x14ac:dyDescent="0.3">
      <c r="A678" s="1"/>
    </row>
    <row r="679" spans="1:1" x14ac:dyDescent="0.3">
      <c r="A679" s="1"/>
    </row>
    <row r="680" spans="1:1" x14ac:dyDescent="0.3">
      <c r="A680" s="1"/>
    </row>
    <row r="681" spans="1:1" x14ac:dyDescent="0.3">
      <c r="A681" s="1"/>
    </row>
    <row r="682" spans="1:1" x14ac:dyDescent="0.3">
      <c r="A682" s="1"/>
    </row>
    <row r="683" spans="1:1" x14ac:dyDescent="0.3">
      <c r="A683" s="1"/>
    </row>
    <row r="684" spans="1:1" x14ac:dyDescent="0.3">
      <c r="A684" s="1"/>
    </row>
    <row r="685" spans="1:1" x14ac:dyDescent="0.3">
      <c r="A685" s="1"/>
    </row>
    <row r="686" spans="1:1" x14ac:dyDescent="0.3">
      <c r="A686" s="1"/>
    </row>
    <row r="687" spans="1:1" x14ac:dyDescent="0.3">
      <c r="A687" s="1"/>
    </row>
    <row r="688" spans="1:1" x14ac:dyDescent="0.3">
      <c r="A688" s="1"/>
    </row>
    <row r="689" spans="1:1" x14ac:dyDescent="0.3">
      <c r="A689" s="1"/>
    </row>
    <row r="690" spans="1:1" x14ac:dyDescent="0.3">
      <c r="A690" s="1"/>
    </row>
    <row r="691" spans="1:1" x14ac:dyDescent="0.3">
      <c r="A691" s="1"/>
    </row>
    <row r="692" spans="1:1" x14ac:dyDescent="0.3">
      <c r="A692" s="1"/>
    </row>
    <row r="693" spans="1:1" x14ac:dyDescent="0.3">
      <c r="A693" s="1"/>
    </row>
    <row r="694" spans="1:1" x14ac:dyDescent="0.3">
      <c r="A694" s="1"/>
    </row>
    <row r="695" spans="1:1" x14ac:dyDescent="0.3">
      <c r="A695" s="1"/>
    </row>
    <row r="696" spans="1:1" x14ac:dyDescent="0.3">
      <c r="A696" s="1"/>
    </row>
    <row r="697" spans="1:1" x14ac:dyDescent="0.3">
      <c r="A697" s="1"/>
    </row>
    <row r="698" spans="1:1" x14ac:dyDescent="0.3">
      <c r="A698" s="1"/>
    </row>
    <row r="699" spans="1:1" x14ac:dyDescent="0.3">
      <c r="A699" s="1"/>
    </row>
    <row r="700" spans="1:1" x14ac:dyDescent="0.3">
      <c r="A700" s="1"/>
    </row>
    <row r="701" spans="1:1" x14ac:dyDescent="0.3">
      <c r="A701" s="1"/>
    </row>
    <row r="702" spans="1:1" x14ac:dyDescent="0.3">
      <c r="A702" s="1"/>
    </row>
    <row r="703" spans="1:1" x14ac:dyDescent="0.3">
      <c r="A703" s="1"/>
    </row>
    <row r="704" spans="1:1" x14ac:dyDescent="0.3">
      <c r="A704" s="1"/>
    </row>
    <row r="705" spans="1:1" x14ac:dyDescent="0.3">
      <c r="A705" s="1"/>
    </row>
    <row r="706" spans="1:1" x14ac:dyDescent="0.3">
      <c r="A706" s="1"/>
    </row>
    <row r="707" spans="1:1" x14ac:dyDescent="0.3">
      <c r="A707" s="1"/>
    </row>
    <row r="708" spans="1:1" x14ac:dyDescent="0.3">
      <c r="A708" s="1"/>
    </row>
    <row r="709" spans="1:1" x14ac:dyDescent="0.3">
      <c r="A709" s="1"/>
    </row>
    <row r="710" spans="1:1" x14ac:dyDescent="0.3">
      <c r="A710" s="1"/>
    </row>
    <row r="711" spans="1:1" x14ac:dyDescent="0.3">
      <c r="A711" s="44"/>
    </row>
    <row r="712" spans="1:1" x14ac:dyDescent="0.3">
      <c r="A712" s="1"/>
    </row>
    <row r="713" spans="1:1" x14ac:dyDescent="0.3">
      <c r="A713" s="1"/>
    </row>
    <row r="714" spans="1:1" x14ac:dyDescent="0.3">
      <c r="A714" s="1"/>
    </row>
    <row r="715" spans="1:1" x14ac:dyDescent="0.3">
      <c r="A715" s="1"/>
    </row>
    <row r="716" spans="1:1" x14ac:dyDescent="0.3">
      <c r="A716" s="1"/>
    </row>
    <row r="717" spans="1:1" x14ac:dyDescent="0.3">
      <c r="A717" s="1"/>
    </row>
    <row r="718" spans="1:1" x14ac:dyDescent="0.3">
      <c r="A718" s="1"/>
    </row>
    <row r="719" spans="1:1" x14ac:dyDescent="0.3">
      <c r="A719" s="1"/>
    </row>
    <row r="720" spans="1:1" x14ac:dyDescent="0.3">
      <c r="A720" s="1"/>
    </row>
    <row r="721" spans="1:1" x14ac:dyDescent="0.3">
      <c r="A721" s="1"/>
    </row>
    <row r="722" spans="1:1" x14ac:dyDescent="0.3">
      <c r="A722" s="1"/>
    </row>
    <row r="723" spans="1:1" x14ac:dyDescent="0.3">
      <c r="A723" s="1"/>
    </row>
    <row r="724" spans="1:1" x14ac:dyDescent="0.3">
      <c r="A724" s="1"/>
    </row>
    <row r="725" spans="1:1" x14ac:dyDescent="0.3">
      <c r="A725" s="1"/>
    </row>
    <row r="726" spans="1:1" x14ac:dyDescent="0.3">
      <c r="A726" s="1"/>
    </row>
    <row r="727" spans="1:1" x14ac:dyDescent="0.3">
      <c r="A727" s="1"/>
    </row>
    <row r="728" spans="1:1" x14ac:dyDescent="0.3">
      <c r="A728" s="1"/>
    </row>
    <row r="729" spans="1:1" x14ac:dyDescent="0.3">
      <c r="A729" s="1"/>
    </row>
    <row r="730" spans="1:1" x14ac:dyDescent="0.3">
      <c r="A730" s="1"/>
    </row>
    <row r="731" spans="1:1" x14ac:dyDescent="0.3">
      <c r="A731" s="1"/>
    </row>
    <row r="732" spans="1:1" x14ac:dyDescent="0.3">
      <c r="A732" s="1"/>
    </row>
    <row r="733" spans="1:1" x14ac:dyDescent="0.3">
      <c r="A733" s="1"/>
    </row>
    <row r="734" spans="1:1" x14ac:dyDescent="0.3">
      <c r="A734" s="1"/>
    </row>
    <row r="735" spans="1:1" x14ac:dyDescent="0.3">
      <c r="A735" s="1"/>
    </row>
    <row r="736" spans="1:1" x14ac:dyDescent="0.3">
      <c r="A736" s="1"/>
    </row>
    <row r="737" spans="1:1" x14ac:dyDescent="0.3">
      <c r="A737" s="1"/>
    </row>
    <row r="738" spans="1:1" x14ac:dyDescent="0.3">
      <c r="A738" s="1"/>
    </row>
    <row r="739" spans="1:1" x14ac:dyDescent="0.3">
      <c r="A739" s="1"/>
    </row>
    <row r="740" spans="1:1" x14ac:dyDescent="0.3">
      <c r="A740" s="1"/>
    </row>
    <row r="741" spans="1:1" x14ac:dyDescent="0.3">
      <c r="A741" s="1"/>
    </row>
    <row r="742" spans="1:1" x14ac:dyDescent="0.3">
      <c r="A742" s="1"/>
    </row>
    <row r="743" spans="1:1" x14ac:dyDescent="0.3">
      <c r="A743" s="1"/>
    </row>
    <row r="744" spans="1:1" x14ac:dyDescent="0.3">
      <c r="A744" s="1"/>
    </row>
    <row r="745" spans="1:1" x14ac:dyDescent="0.3">
      <c r="A745" s="1"/>
    </row>
    <row r="746" spans="1:1" x14ac:dyDescent="0.3">
      <c r="A746" s="1"/>
    </row>
    <row r="747" spans="1:1" x14ac:dyDescent="0.3">
      <c r="A747" s="1"/>
    </row>
    <row r="748" spans="1:1" x14ac:dyDescent="0.3">
      <c r="A748" s="1"/>
    </row>
    <row r="749" spans="1:1" x14ac:dyDescent="0.3">
      <c r="A749" s="1"/>
    </row>
    <row r="750" spans="1:1" x14ac:dyDescent="0.3">
      <c r="A750" s="1"/>
    </row>
    <row r="751" spans="1:1" x14ac:dyDescent="0.3">
      <c r="A751" s="1"/>
    </row>
    <row r="752" spans="1:1" x14ac:dyDescent="0.3">
      <c r="A752" s="1"/>
    </row>
    <row r="753" spans="1:1" x14ac:dyDescent="0.3">
      <c r="A753" s="1"/>
    </row>
    <row r="754" spans="1:1" x14ac:dyDescent="0.3">
      <c r="A754" s="1"/>
    </row>
    <row r="755" spans="1:1" x14ac:dyDescent="0.3">
      <c r="A755" s="1"/>
    </row>
    <row r="756" spans="1:1" x14ac:dyDescent="0.3">
      <c r="A756" s="1"/>
    </row>
    <row r="757" spans="1:1" x14ac:dyDescent="0.3">
      <c r="A757" s="1"/>
    </row>
    <row r="758" spans="1:1" x14ac:dyDescent="0.3">
      <c r="A758" s="1"/>
    </row>
    <row r="759" spans="1:1" x14ac:dyDescent="0.3">
      <c r="A759" s="1"/>
    </row>
    <row r="760" spans="1:1" x14ac:dyDescent="0.3">
      <c r="A760" s="1"/>
    </row>
    <row r="761" spans="1:1" x14ac:dyDescent="0.3">
      <c r="A761" s="1"/>
    </row>
    <row r="762" spans="1:1" x14ac:dyDescent="0.3">
      <c r="A762" s="1"/>
    </row>
    <row r="763" spans="1:1" x14ac:dyDescent="0.3">
      <c r="A763" s="1"/>
    </row>
    <row r="764" spans="1:1" x14ac:dyDescent="0.3">
      <c r="A764" s="1"/>
    </row>
    <row r="765" spans="1:1" x14ac:dyDescent="0.3">
      <c r="A765" s="1"/>
    </row>
    <row r="766" spans="1:1" x14ac:dyDescent="0.3">
      <c r="A766" s="1"/>
    </row>
    <row r="767" spans="1:1" x14ac:dyDescent="0.3">
      <c r="A767" s="1"/>
    </row>
    <row r="768" spans="1:1" x14ac:dyDescent="0.3">
      <c r="A768" s="1"/>
    </row>
    <row r="769" spans="1:1" x14ac:dyDescent="0.3">
      <c r="A769" s="1"/>
    </row>
    <row r="770" spans="1:1" x14ac:dyDescent="0.3">
      <c r="A770" s="1"/>
    </row>
    <row r="771" spans="1:1" x14ac:dyDescent="0.3">
      <c r="A771" s="1"/>
    </row>
    <row r="772" spans="1:1" x14ac:dyDescent="0.3">
      <c r="A772" s="1"/>
    </row>
    <row r="773" spans="1:1" x14ac:dyDescent="0.3">
      <c r="A773" s="1"/>
    </row>
    <row r="774" spans="1:1" x14ac:dyDescent="0.3">
      <c r="A774" s="1"/>
    </row>
    <row r="775" spans="1:1" x14ac:dyDescent="0.3">
      <c r="A775" s="1"/>
    </row>
    <row r="776" spans="1:1" x14ac:dyDescent="0.3">
      <c r="A776" s="1"/>
    </row>
    <row r="777" spans="1:1" x14ac:dyDescent="0.3">
      <c r="A777" s="1"/>
    </row>
    <row r="778" spans="1:1" x14ac:dyDescent="0.3">
      <c r="A778" s="1"/>
    </row>
    <row r="779" spans="1:1" x14ac:dyDescent="0.3">
      <c r="A779" s="1"/>
    </row>
    <row r="780" spans="1:1" x14ac:dyDescent="0.3">
      <c r="A780" s="1"/>
    </row>
    <row r="781" spans="1:1" x14ac:dyDescent="0.3">
      <c r="A781" s="1"/>
    </row>
    <row r="782" spans="1:1" x14ac:dyDescent="0.3">
      <c r="A782" s="1"/>
    </row>
    <row r="783" spans="1:1" x14ac:dyDescent="0.3">
      <c r="A783" s="1"/>
    </row>
    <row r="784" spans="1:1" x14ac:dyDescent="0.3">
      <c r="A784" s="1"/>
    </row>
    <row r="785" spans="1:1" x14ac:dyDescent="0.3">
      <c r="A785" s="1"/>
    </row>
    <row r="786" spans="1:1" x14ac:dyDescent="0.3">
      <c r="A786" s="1"/>
    </row>
    <row r="787" spans="1:1" x14ac:dyDescent="0.3">
      <c r="A787" s="1"/>
    </row>
    <row r="788" spans="1:1" x14ac:dyDescent="0.3">
      <c r="A788" s="1"/>
    </row>
    <row r="789" spans="1:1" x14ac:dyDescent="0.3">
      <c r="A789" s="1"/>
    </row>
    <row r="790" spans="1:1" x14ac:dyDescent="0.3">
      <c r="A790" s="1"/>
    </row>
    <row r="791" spans="1:1" x14ac:dyDescent="0.3">
      <c r="A791" s="1"/>
    </row>
    <row r="792" spans="1:1" x14ac:dyDescent="0.3">
      <c r="A792" s="1"/>
    </row>
    <row r="793" spans="1:1" x14ac:dyDescent="0.3">
      <c r="A793" s="1"/>
    </row>
    <row r="794" spans="1:1" x14ac:dyDescent="0.3">
      <c r="A794" s="1"/>
    </row>
    <row r="795" spans="1:1" x14ac:dyDescent="0.3">
      <c r="A795" s="1"/>
    </row>
    <row r="796" spans="1:1" x14ac:dyDescent="0.3">
      <c r="A796" s="1"/>
    </row>
    <row r="797" spans="1:1" x14ac:dyDescent="0.3">
      <c r="A797" s="1"/>
    </row>
    <row r="798" spans="1:1" x14ac:dyDescent="0.3">
      <c r="A798" s="1"/>
    </row>
    <row r="799" spans="1:1" x14ac:dyDescent="0.3">
      <c r="A799" s="1"/>
    </row>
    <row r="800" spans="1:1" x14ac:dyDescent="0.3">
      <c r="A800" s="1"/>
    </row>
    <row r="801" spans="1:1" x14ac:dyDescent="0.3">
      <c r="A801" s="1"/>
    </row>
    <row r="802" spans="1:1" x14ac:dyDescent="0.3">
      <c r="A802" s="1"/>
    </row>
    <row r="803" spans="1:1" x14ac:dyDescent="0.3">
      <c r="A803" s="1"/>
    </row>
    <row r="804" spans="1:1" x14ac:dyDescent="0.3">
      <c r="A804" s="1"/>
    </row>
    <row r="805" spans="1:1" x14ac:dyDescent="0.3">
      <c r="A805" s="1"/>
    </row>
    <row r="806" spans="1:1" x14ac:dyDescent="0.3">
      <c r="A806" s="1"/>
    </row>
    <row r="807" spans="1:1" x14ac:dyDescent="0.3">
      <c r="A807" s="1"/>
    </row>
    <row r="808" spans="1:1" x14ac:dyDescent="0.3">
      <c r="A808" s="1"/>
    </row>
    <row r="809" spans="1:1" x14ac:dyDescent="0.3">
      <c r="A809" s="1"/>
    </row>
    <row r="810" spans="1:1" x14ac:dyDescent="0.3">
      <c r="A810" s="1"/>
    </row>
    <row r="811" spans="1:1" x14ac:dyDescent="0.3">
      <c r="A811" s="1"/>
    </row>
    <row r="812" spans="1:1" x14ac:dyDescent="0.3">
      <c r="A812" s="1"/>
    </row>
    <row r="813" spans="1:1" x14ac:dyDescent="0.3">
      <c r="A813" s="1"/>
    </row>
    <row r="814" spans="1:1" x14ac:dyDescent="0.3">
      <c r="A814" s="1"/>
    </row>
    <row r="815" spans="1:1" x14ac:dyDescent="0.3">
      <c r="A815" s="1"/>
    </row>
    <row r="816" spans="1:1" x14ac:dyDescent="0.3">
      <c r="A816" s="1"/>
    </row>
    <row r="817" spans="1:1" x14ac:dyDescent="0.3">
      <c r="A817" s="1"/>
    </row>
    <row r="818" spans="1:1" x14ac:dyDescent="0.3">
      <c r="A818" s="1"/>
    </row>
    <row r="819" spans="1:1" x14ac:dyDescent="0.3">
      <c r="A819" s="1"/>
    </row>
    <row r="820" spans="1:1" x14ac:dyDescent="0.3">
      <c r="A820" s="1"/>
    </row>
    <row r="821" spans="1:1" x14ac:dyDescent="0.3">
      <c r="A821" s="1"/>
    </row>
    <row r="822" spans="1:1" x14ac:dyDescent="0.3">
      <c r="A822" s="1"/>
    </row>
    <row r="823" spans="1:1" x14ac:dyDescent="0.3">
      <c r="A823" s="1"/>
    </row>
    <row r="824" spans="1:1" x14ac:dyDescent="0.3">
      <c r="A824" s="1"/>
    </row>
    <row r="825" spans="1:1" x14ac:dyDescent="0.3">
      <c r="A825" s="1"/>
    </row>
    <row r="826" spans="1:1" x14ac:dyDescent="0.3">
      <c r="A826" s="1"/>
    </row>
    <row r="827" spans="1:1" x14ac:dyDescent="0.3">
      <c r="A827" s="1"/>
    </row>
    <row r="828" spans="1:1" x14ac:dyDescent="0.3">
      <c r="A828" s="1"/>
    </row>
    <row r="829" spans="1:1" x14ac:dyDescent="0.3">
      <c r="A829" s="1"/>
    </row>
    <row r="830" spans="1:1" x14ac:dyDescent="0.3">
      <c r="A830" s="1"/>
    </row>
    <row r="831" spans="1:1" x14ac:dyDescent="0.3">
      <c r="A831" s="1"/>
    </row>
    <row r="832" spans="1:1" x14ac:dyDescent="0.3">
      <c r="A832" s="1"/>
    </row>
    <row r="833" spans="1:1" x14ac:dyDescent="0.3">
      <c r="A833" s="1"/>
    </row>
    <row r="834" spans="1:1" x14ac:dyDescent="0.3">
      <c r="A834" s="1"/>
    </row>
    <row r="835" spans="1:1" x14ac:dyDescent="0.3">
      <c r="A835" s="1"/>
    </row>
    <row r="836" spans="1:1" x14ac:dyDescent="0.3">
      <c r="A836" s="1"/>
    </row>
    <row r="837" spans="1:1" x14ac:dyDescent="0.3">
      <c r="A837" s="1"/>
    </row>
    <row r="838" spans="1:1" x14ac:dyDescent="0.3">
      <c r="A838" s="1"/>
    </row>
    <row r="839" spans="1:1" x14ac:dyDescent="0.3">
      <c r="A839" s="1"/>
    </row>
    <row r="840" spans="1:1" x14ac:dyDescent="0.3">
      <c r="A840" s="1"/>
    </row>
    <row r="841" spans="1:1" x14ac:dyDescent="0.3">
      <c r="A841" s="1"/>
    </row>
    <row r="842" spans="1:1" x14ac:dyDescent="0.3">
      <c r="A842" s="1"/>
    </row>
    <row r="843" spans="1:1" x14ac:dyDescent="0.3">
      <c r="A843" s="1"/>
    </row>
    <row r="844" spans="1:1" x14ac:dyDescent="0.3">
      <c r="A844" s="1"/>
    </row>
    <row r="845" spans="1:1" x14ac:dyDescent="0.3">
      <c r="A845" s="1"/>
    </row>
    <row r="846" spans="1:1" x14ac:dyDescent="0.3">
      <c r="A846" s="1"/>
    </row>
    <row r="847" spans="1:1" x14ac:dyDescent="0.3">
      <c r="A847" s="1"/>
    </row>
    <row r="848" spans="1:1" x14ac:dyDescent="0.3">
      <c r="A848" s="1"/>
    </row>
    <row r="849" spans="1:1" x14ac:dyDescent="0.3">
      <c r="A849" s="1"/>
    </row>
    <row r="850" spans="1:1" x14ac:dyDescent="0.3">
      <c r="A850" s="1"/>
    </row>
    <row r="851" spans="1:1" x14ac:dyDescent="0.3">
      <c r="A851" s="1"/>
    </row>
    <row r="852" spans="1:1" x14ac:dyDescent="0.3">
      <c r="A852" s="1"/>
    </row>
    <row r="853" spans="1:1" x14ac:dyDescent="0.3">
      <c r="A853" s="1"/>
    </row>
    <row r="854" spans="1:1" x14ac:dyDescent="0.3">
      <c r="A854" s="1"/>
    </row>
    <row r="855" spans="1:1" x14ac:dyDescent="0.3">
      <c r="A855" s="1"/>
    </row>
    <row r="856" spans="1:1" x14ac:dyDescent="0.3">
      <c r="A856" s="1"/>
    </row>
    <row r="857" spans="1:1" x14ac:dyDescent="0.3">
      <c r="A857" s="1"/>
    </row>
    <row r="858" spans="1:1" x14ac:dyDescent="0.3">
      <c r="A858" s="1"/>
    </row>
    <row r="859" spans="1:1" x14ac:dyDescent="0.3">
      <c r="A859" s="1"/>
    </row>
    <row r="860" spans="1:1" x14ac:dyDescent="0.3">
      <c r="A860" s="1"/>
    </row>
    <row r="861" spans="1:1" x14ac:dyDescent="0.3">
      <c r="A861" s="1"/>
    </row>
    <row r="862" spans="1:1" x14ac:dyDescent="0.3">
      <c r="A862" s="1"/>
    </row>
    <row r="863" spans="1:1" x14ac:dyDescent="0.3">
      <c r="A863" s="1"/>
    </row>
    <row r="864" spans="1:1" x14ac:dyDescent="0.3">
      <c r="A864" s="1"/>
    </row>
    <row r="865" spans="1:1" x14ac:dyDescent="0.3">
      <c r="A865" s="1"/>
    </row>
    <row r="866" spans="1:1" x14ac:dyDescent="0.3">
      <c r="A866" s="1"/>
    </row>
    <row r="867" spans="1:1" x14ac:dyDescent="0.3">
      <c r="A867" s="1"/>
    </row>
    <row r="868" spans="1:1" x14ac:dyDescent="0.3">
      <c r="A868" s="1"/>
    </row>
    <row r="869" spans="1:1" x14ac:dyDescent="0.3">
      <c r="A869" s="1"/>
    </row>
    <row r="870" spans="1:1" x14ac:dyDescent="0.3">
      <c r="A870" s="1"/>
    </row>
    <row r="871" spans="1:1" x14ac:dyDescent="0.3">
      <c r="A871" s="1"/>
    </row>
    <row r="872" spans="1:1" x14ac:dyDescent="0.3">
      <c r="A872" s="1"/>
    </row>
    <row r="873" spans="1:1" x14ac:dyDescent="0.3">
      <c r="A873" s="1"/>
    </row>
    <row r="874" spans="1:1" x14ac:dyDescent="0.3">
      <c r="A874" s="1"/>
    </row>
    <row r="875" spans="1:1" x14ac:dyDescent="0.3">
      <c r="A875" s="1"/>
    </row>
    <row r="876" spans="1:1" x14ac:dyDescent="0.3">
      <c r="A876" s="1"/>
    </row>
    <row r="877" spans="1:1" x14ac:dyDescent="0.3">
      <c r="A877" s="1"/>
    </row>
    <row r="878" spans="1:1" x14ac:dyDescent="0.3">
      <c r="A878" s="1"/>
    </row>
    <row r="879" spans="1:1" x14ac:dyDescent="0.3">
      <c r="A879" s="1"/>
    </row>
    <row r="880" spans="1:1" x14ac:dyDescent="0.3">
      <c r="A880" s="1"/>
    </row>
    <row r="881" spans="1:1" x14ac:dyDescent="0.3">
      <c r="A881" s="1"/>
    </row>
    <row r="882" spans="1:1" x14ac:dyDescent="0.3">
      <c r="A882" s="1"/>
    </row>
    <row r="883" spans="1:1" x14ac:dyDescent="0.3">
      <c r="A883" s="1"/>
    </row>
    <row r="884" spans="1:1" x14ac:dyDescent="0.3">
      <c r="A884" s="1"/>
    </row>
    <row r="885" spans="1:1" x14ac:dyDescent="0.3">
      <c r="A885" s="1"/>
    </row>
    <row r="886" spans="1:1" x14ac:dyDescent="0.3">
      <c r="A886" s="1"/>
    </row>
    <row r="887" spans="1:1" x14ac:dyDescent="0.3">
      <c r="A887" s="1"/>
    </row>
    <row r="888" spans="1:1" x14ac:dyDescent="0.3">
      <c r="A888" s="1"/>
    </row>
    <row r="889" spans="1:1" x14ac:dyDescent="0.3">
      <c r="A889" s="1"/>
    </row>
    <row r="890" spans="1:1" x14ac:dyDescent="0.3">
      <c r="A890" s="1"/>
    </row>
    <row r="891" spans="1:1" x14ac:dyDescent="0.3">
      <c r="A891" s="1"/>
    </row>
    <row r="892" spans="1:1" x14ac:dyDescent="0.3">
      <c r="A892" s="1"/>
    </row>
    <row r="893" spans="1:1" x14ac:dyDescent="0.3">
      <c r="A893" s="1"/>
    </row>
    <row r="894" spans="1:1" x14ac:dyDescent="0.3">
      <c r="A894" s="1"/>
    </row>
    <row r="895" spans="1:1" x14ac:dyDescent="0.3">
      <c r="A895" s="1"/>
    </row>
    <row r="896" spans="1:1" x14ac:dyDescent="0.3">
      <c r="A896" s="1"/>
    </row>
    <row r="897" spans="1:1" x14ac:dyDescent="0.3">
      <c r="A897" s="1"/>
    </row>
    <row r="898" spans="1:1" x14ac:dyDescent="0.3">
      <c r="A898" s="1"/>
    </row>
    <row r="899" spans="1:1" x14ac:dyDescent="0.3">
      <c r="A899" s="1"/>
    </row>
    <row r="900" spans="1:1" x14ac:dyDescent="0.3">
      <c r="A900" s="1"/>
    </row>
    <row r="901" spans="1:1" x14ac:dyDescent="0.3">
      <c r="A901" s="1"/>
    </row>
    <row r="902" spans="1:1" x14ac:dyDescent="0.3">
      <c r="A902" s="1"/>
    </row>
    <row r="903" spans="1:1" x14ac:dyDescent="0.3">
      <c r="A903" s="1"/>
    </row>
    <row r="904" spans="1:1" x14ac:dyDescent="0.3">
      <c r="A904" s="1"/>
    </row>
    <row r="905" spans="1:1" x14ac:dyDescent="0.3">
      <c r="A905" s="1"/>
    </row>
    <row r="906" spans="1:1" x14ac:dyDescent="0.3">
      <c r="A906" s="1"/>
    </row>
    <row r="907" spans="1:1" x14ac:dyDescent="0.3">
      <c r="A907" s="1"/>
    </row>
    <row r="908" spans="1:1" x14ac:dyDescent="0.3">
      <c r="A908" s="1"/>
    </row>
    <row r="909" spans="1:1" x14ac:dyDescent="0.3">
      <c r="A909" s="1"/>
    </row>
    <row r="910" spans="1:1" x14ac:dyDescent="0.3">
      <c r="A910" s="1"/>
    </row>
    <row r="911" spans="1:1" x14ac:dyDescent="0.3">
      <c r="A911" s="1"/>
    </row>
    <row r="912" spans="1:1" x14ac:dyDescent="0.3">
      <c r="A912" s="1"/>
    </row>
    <row r="913" spans="1:1" x14ac:dyDescent="0.3">
      <c r="A913" s="1"/>
    </row>
    <row r="914" spans="1:1" x14ac:dyDescent="0.3">
      <c r="A914" s="1"/>
    </row>
    <row r="915" spans="1:1" x14ac:dyDescent="0.3">
      <c r="A915" s="1"/>
    </row>
    <row r="916" spans="1:1" x14ac:dyDescent="0.3">
      <c r="A916" s="1"/>
    </row>
    <row r="917" spans="1:1" x14ac:dyDescent="0.3">
      <c r="A917" s="1"/>
    </row>
    <row r="918" spans="1:1" x14ac:dyDescent="0.3">
      <c r="A918" s="1"/>
    </row>
    <row r="919" spans="1:1" x14ac:dyDescent="0.3">
      <c r="A919" s="1"/>
    </row>
    <row r="920" spans="1:1" x14ac:dyDescent="0.3">
      <c r="A920" s="1"/>
    </row>
    <row r="921" spans="1:1" x14ac:dyDescent="0.3">
      <c r="A921" s="1"/>
    </row>
    <row r="922" spans="1:1" x14ac:dyDescent="0.3">
      <c r="A922" s="1"/>
    </row>
    <row r="923" spans="1:1" x14ac:dyDescent="0.3">
      <c r="A923" s="1"/>
    </row>
    <row r="924" spans="1:1" x14ac:dyDescent="0.3">
      <c r="A924" s="1"/>
    </row>
    <row r="925" spans="1:1" x14ac:dyDescent="0.3">
      <c r="A925" s="1"/>
    </row>
    <row r="926" spans="1:1" x14ac:dyDescent="0.3">
      <c r="A926" s="1"/>
    </row>
    <row r="927" spans="1:1" x14ac:dyDescent="0.3">
      <c r="A927" s="1"/>
    </row>
    <row r="928" spans="1:1" x14ac:dyDescent="0.3">
      <c r="A928" s="1"/>
    </row>
    <row r="929" spans="1:1" x14ac:dyDescent="0.3">
      <c r="A929" s="1"/>
    </row>
    <row r="930" spans="1:1" x14ac:dyDescent="0.3">
      <c r="A930" s="1"/>
    </row>
    <row r="931" spans="1:1" x14ac:dyDescent="0.3">
      <c r="A931" s="44"/>
    </row>
    <row r="932" spans="1:1" x14ac:dyDescent="0.3">
      <c r="A932" s="44"/>
    </row>
    <row r="933" spans="1:1" x14ac:dyDescent="0.3">
      <c r="A933" s="44"/>
    </row>
    <row r="934" spans="1:1" x14ac:dyDescent="0.3">
      <c r="A934" s="1"/>
    </row>
    <row r="935" spans="1:1" x14ac:dyDescent="0.3">
      <c r="A935" s="1"/>
    </row>
    <row r="936" spans="1:1" x14ac:dyDescent="0.3">
      <c r="A936" s="1"/>
    </row>
    <row r="937" spans="1:1" x14ac:dyDescent="0.3">
      <c r="A937" s="1"/>
    </row>
    <row r="938" spans="1:1" x14ac:dyDescent="0.3">
      <c r="A938" s="1"/>
    </row>
    <row r="939" spans="1:1" x14ac:dyDescent="0.3">
      <c r="A939" s="1"/>
    </row>
    <row r="940" spans="1:1" x14ac:dyDescent="0.3">
      <c r="A940" s="1"/>
    </row>
    <row r="941" spans="1:1" x14ac:dyDescent="0.3">
      <c r="A941" s="1"/>
    </row>
    <row r="942" spans="1:1" x14ac:dyDescent="0.3">
      <c r="A942" s="1"/>
    </row>
    <row r="943" spans="1:1" x14ac:dyDescent="0.3">
      <c r="A943" s="1"/>
    </row>
    <row r="944" spans="1:1" x14ac:dyDescent="0.3">
      <c r="A944" s="1"/>
    </row>
    <row r="945" spans="1:1" x14ac:dyDescent="0.3">
      <c r="A945" s="1"/>
    </row>
    <row r="946" spans="1:1" x14ac:dyDescent="0.3">
      <c r="A946" s="1"/>
    </row>
    <row r="947" spans="1:1" x14ac:dyDescent="0.3">
      <c r="A947" s="1"/>
    </row>
    <row r="948" spans="1:1" x14ac:dyDescent="0.3">
      <c r="A948" s="1"/>
    </row>
    <row r="949" spans="1:1" x14ac:dyDescent="0.3">
      <c r="A949" s="1"/>
    </row>
    <row r="950" spans="1:1" x14ac:dyDescent="0.3">
      <c r="A950" s="1"/>
    </row>
    <row r="951" spans="1:1" x14ac:dyDescent="0.3">
      <c r="A951" s="1"/>
    </row>
    <row r="952" spans="1:1" x14ac:dyDescent="0.3">
      <c r="A952" s="1"/>
    </row>
    <row r="953" spans="1:1" x14ac:dyDescent="0.3">
      <c r="A953" s="1"/>
    </row>
    <row r="954" spans="1:1" x14ac:dyDescent="0.3">
      <c r="A954" s="1"/>
    </row>
    <row r="955" spans="1:1" x14ac:dyDescent="0.3">
      <c r="A955" s="1"/>
    </row>
    <row r="956" spans="1:1" x14ac:dyDescent="0.3">
      <c r="A956" s="1"/>
    </row>
    <row r="957" spans="1:1" x14ac:dyDescent="0.3">
      <c r="A957" s="44"/>
    </row>
    <row r="958" spans="1:1" x14ac:dyDescent="0.3">
      <c r="A958" s="1"/>
    </row>
    <row r="959" spans="1:1" x14ac:dyDescent="0.3">
      <c r="A959" s="1"/>
    </row>
    <row r="960" spans="1:1" x14ac:dyDescent="0.3">
      <c r="A960" s="1"/>
    </row>
    <row r="961" spans="1:1" x14ac:dyDescent="0.3">
      <c r="A961" s="1"/>
    </row>
    <row r="962" spans="1:1" x14ac:dyDescent="0.3">
      <c r="A962" s="1"/>
    </row>
    <row r="963" spans="1:1" x14ac:dyDescent="0.3">
      <c r="A963" s="1"/>
    </row>
    <row r="964" spans="1:1" x14ac:dyDescent="0.3">
      <c r="A964" s="44"/>
    </row>
    <row r="965" spans="1:1" x14ac:dyDescent="0.3">
      <c r="A965" s="44"/>
    </row>
    <row r="966" spans="1:1" x14ac:dyDescent="0.3">
      <c r="A966" s="44"/>
    </row>
    <row r="967" spans="1:1" x14ac:dyDescent="0.3">
      <c r="A967" s="1"/>
    </row>
    <row r="968" spans="1:1" x14ac:dyDescent="0.3">
      <c r="A968" s="1"/>
    </row>
    <row r="969" spans="1:1" x14ac:dyDescent="0.3">
      <c r="A969" s="1"/>
    </row>
    <row r="970" spans="1:1" x14ac:dyDescent="0.3">
      <c r="A970" s="1"/>
    </row>
    <row r="971" spans="1:1" x14ac:dyDescent="0.3">
      <c r="A971" s="1"/>
    </row>
    <row r="972" spans="1:1" x14ac:dyDescent="0.3">
      <c r="A972" s="1"/>
    </row>
    <row r="973" spans="1:1" x14ac:dyDescent="0.3">
      <c r="A973" s="1"/>
    </row>
    <row r="974" spans="1:1" x14ac:dyDescent="0.3">
      <c r="A974" s="1"/>
    </row>
    <row r="975" spans="1:1" x14ac:dyDescent="0.3">
      <c r="A975" s="1"/>
    </row>
    <row r="976" spans="1:1" x14ac:dyDescent="0.3">
      <c r="A976" s="1"/>
    </row>
    <row r="977" spans="1:1" x14ac:dyDescent="0.3">
      <c r="A977" s="1"/>
    </row>
    <row r="978" spans="1:1" x14ac:dyDescent="0.3">
      <c r="A978" s="1"/>
    </row>
    <row r="979" spans="1:1" x14ac:dyDescent="0.3">
      <c r="A979" s="1"/>
    </row>
    <row r="980" spans="1:1" x14ac:dyDescent="0.3">
      <c r="A980" s="1"/>
    </row>
    <row r="981" spans="1:1" x14ac:dyDescent="0.3">
      <c r="A981" s="1"/>
    </row>
    <row r="982" spans="1:1" x14ac:dyDescent="0.3">
      <c r="A982" s="1"/>
    </row>
    <row r="983" spans="1:1" x14ac:dyDescent="0.3">
      <c r="A983" s="1"/>
    </row>
    <row r="984" spans="1:1" x14ac:dyDescent="0.3">
      <c r="A984" s="1"/>
    </row>
    <row r="985" spans="1:1" x14ac:dyDescent="0.3">
      <c r="A985" s="1"/>
    </row>
    <row r="986" spans="1:1" x14ac:dyDescent="0.3">
      <c r="A986" s="1"/>
    </row>
    <row r="987" spans="1:1" x14ac:dyDescent="0.3">
      <c r="A987" s="1"/>
    </row>
    <row r="988" spans="1:1" x14ac:dyDescent="0.3">
      <c r="A988" s="1"/>
    </row>
    <row r="989" spans="1:1" x14ac:dyDescent="0.3">
      <c r="A989" s="1"/>
    </row>
    <row r="990" spans="1:1" x14ac:dyDescent="0.3">
      <c r="A990" s="1"/>
    </row>
    <row r="991" spans="1:1" x14ac:dyDescent="0.3">
      <c r="A991" s="1"/>
    </row>
    <row r="992" spans="1:1" x14ac:dyDescent="0.3">
      <c r="A992" s="1"/>
    </row>
    <row r="993" spans="1:1" x14ac:dyDescent="0.3">
      <c r="A993" s="1"/>
    </row>
    <row r="994" spans="1:1" x14ac:dyDescent="0.3">
      <c r="A994" s="1"/>
    </row>
    <row r="995" spans="1:1" x14ac:dyDescent="0.3">
      <c r="A995" s="1"/>
    </row>
    <row r="996" spans="1:1" x14ac:dyDescent="0.3">
      <c r="A996" s="1"/>
    </row>
    <row r="997" spans="1:1" x14ac:dyDescent="0.3">
      <c r="A997" s="1"/>
    </row>
    <row r="998" spans="1:1" x14ac:dyDescent="0.3">
      <c r="A998" s="1"/>
    </row>
    <row r="999" spans="1:1" x14ac:dyDescent="0.3">
      <c r="A999" s="1"/>
    </row>
    <row r="1000" spans="1:1" x14ac:dyDescent="0.3">
      <c r="A1000" s="1"/>
    </row>
    <row r="1001" spans="1:1" x14ac:dyDescent="0.3">
      <c r="A1001" s="1"/>
    </row>
    <row r="1002" spans="1:1" x14ac:dyDescent="0.3">
      <c r="A1002" s="1"/>
    </row>
    <row r="1003" spans="1:1" x14ac:dyDescent="0.3">
      <c r="A1003" s="1"/>
    </row>
    <row r="1004" spans="1:1" x14ac:dyDescent="0.3">
      <c r="A1004" s="1"/>
    </row>
    <row r="1005" spans="1:1" x14ac:dyDescent="0.3">
      <c r="A1005" s="1"/>
    </row>
    <row r="1006" spans="1:1" x14ac:dyDescent="0.3">
      <c r="A1006" s="1"/>
    </row>
    <row r="1007" spans="1:1" x14ac:dyDescent="0.3">
      <c r="A1007" s="1"/>
    </row>
    <row r="1008" spans="1:1" x14ac:dyDescent="0.3">
      <c r="A1008" s="1"/>
    </row>
    <row r="1009" spans="1:1" x14ac:dyDescent="0.3">
      <c r="A1009" s="1"/>
    </row>
    <row r="1010" spans="1:1" x14ac:dyDescent="0.3">
      <c r="A1010" s="1"/>
    </row>
    <row r="1011" spans="1:1" x14ac:dyDescent="0.3">
      <c r="A1011" s="1"/>
    </row>
    <row r="1012" spans="1:1" x14ac:dyDescent="0.3">
      <c r="A1012" s="44"/>
    </row>
    <row r="1013" spans="1:1" x14ac:dyDescent="0.3">
      <c r="A1013" s="44"/>
    </row>
    <row r="1014" spans="1:1" x14ac:dyDescent="0.3">
      <c r="A1014" s="44"/>
    </row>
    <row r="1015" spans="1:1" x14ac:dyDescent="0.3">
      <c r="A1015" s="1"/>
    </row>
    <row r="1016" spans="1:1" x14ac:dyDescent="0.3">
      <c r="A1016" s="1"/>
    </row>
    <row r="1017" spans="1:1" x14ac:dyDescent="0.3">
      <c r="A1017" s="1"/>
    </row>
    <row r="1018" spans="1:1" x14ac:dyDescent="0.3">
      <c r="A1018" s="1"/>
    </row>
    <row r="1019" spans="1:1" x14ac:dyDescent="0.3">
      <c r="A1019" s="1"/>
    </row>
    <row r="1020" spans="1:1" x14ac:dyDescent="0.3">
      <c r="A1020" s="1"/>
    </row>
    <row r="1021" spans="1:1" x14ac:dyDescent="0.3">
      <c r="A1021" s="1"/>
    </row>
    <row r="1022" spans="1:1" x14ac:dyDescent="0.3">
      <c r="A1022" s="1"/>
    </row>
    <row r="1023" spans="1:1" x14ac:dyDescent="0.3">
      <c r="A1023" s="1"/>
    </row>
    <row r="1024" spans="1:1" x14ac:dyDescent="0.3">
      <c r="A1024" s="1"/>
    </row>
    <row r="1025" spans="1:1" x14ac:dyDescent="0.3">
      <c r="A1025" s="1"/>
    </row>
    <row r="1026" spans="1:1" x14ac:dyDescent="0.3">
      <c r="A1026" s="1"/>
    </row>
    <row r="1027" spans="1:1" x14ac:dyDescent="0.3">
      <c r="A1027" s="1"/>
    </row>
    <row r="1028" spans="1:1" x14ac:dyDescent="0.3">
      <c r="A1028" s="1"/>
    </row>
    <row r="1029" spans="1:1" x14ac:dyDescent="0.3">
      <c r="A1029" s="1"/>
    </row>
    <row r="1030" spans="1:1" x14ac:dyDescent="0.3">
      <c r="A1030" s="1"/>
    </row>
    <row r="1031" spans="1:1" x14ac:dyDescent="0.3">
      <c r="A1031" s="1"/>
    </row>
    <row r="1032" spans="1:1" x14ac:dyDescent="0.3">
      <c r="A1032" s="1"/>
    </row>
    <row r="1033" spans="1:1" x14ac:dyDescent="0.3">
      <c r="A1033" s="1"/>
    </row>
    <row r="1034" spans="1:1" x14ac:dyDescent="0.3">
      <c r="A1034" s="1"/>
    </row>
    <row r="1035" spans="1:1" x14ac:dyDescent="0.3">
      <c r="A1035" s="1"/>
    </row>
    <row r="1036" spans="1:1" x14ac:dyDescent="0.3">
      <c r="A1036" s="1"/>
    </row>
    <row r="1037" spans="1:1" x14ac:dyDescent="0.3">
      <c r="A1037" s="1"/>
    </row>
    <row r="1038" spans="1:1" x14ac:dyDescent="0.3">
      <c r="A1038" s="44"/>
    </row>
    <row r="1039" spans="1:1" x14ac:dyDescent="0.3">
      <c r="A1039" s="1"/>
    </row>
    <row r="1040" spans="1:1" x14ac:dyDescent="0.3">
      <c r="A1040" s="1"/>
    </row>
    <row r="1041" spans="1:1" x14ac:dyDescent="0.3">
      <c r="A1041" s="1"/>
    </row>
    <row r="1042" spans="1:1" x14ac:dyDescent="0.3">
      <c r="A1042" s="1"/>
    </row>
    <row r="1043" spans="1:1" x14ac:dyDescent="0.3">
      <c r="A1043" s="1"/>
    </row>
    <row r="1044" spans="1:1" x14ac:dyDescent="0.3">
      <c r="A1044" s="1"/>
    </row>
    <row r="1045" spans="1:1" x14ac:dyDescent="0.3">
      <c r="A1045" s="44"/>
    </row>
    <row r="1046" spans="1:1" x14ac:dyDescent="0.3">
      <c r="A1046" s="44"/>
    </row>
    <row r="1047" spans="1:1" x14ac:dyDescent="0.3">
      <c r="A1047" s="44"/>
    </row>
    <row r="1048" spans="1:1" x14ac:dyDescent="0.3">
      <c r="A1048" s="1"/>
    </row>
    <row r="1049" spans="1:1" x14ac:dyDescent="0.3">
      <c r="A1049" s="1"/>
    </row>
    <row r="1050" spans="1:1" x14ac:dyDescent="0.3">
      <c r="A1050" s="1"/>
    </row>
    <row r="1051" spans="1:1" x14ac:dyDescent="0.3">
      <c r="A1051" s="1"/>
    </row>
    <row r="1052" spans="1:1" x14ac:dyDescent="0.3">
      <c r="A1052" s="1"/>
    </row>
    <row r="1053" spans="1:1" x14ac:dyDescent="0.3">
      <c r="A1053" s="1"/>
    </row>
    <row r="1054" spans="1:1" x14ac:dyDescent="0.3">
      <c r="A1054" s="1"/>
    </row>
    <row r="1055" spans="1:1" x14ac:dyDescent="0.3">
      <c r="A1055" s="1"/>
    </row>
    <row r="1056" spans="1:1" x14ac:dyDescent="0.3">
      <c r="A1056" s="1"/>
    </row>
    <row r="1057" spans="1:1" x14ac:dyDescent="0.3">
      <c r="A1057" s="1"/>
    </row>
    <row r="1058" spans="1:1" x14ac:dyDescent="0.3">
      <c r="A1058" s="1"/>
    </row>
    <row r="1059" spans="1:1" x14ac:dyDescent="0.3">
      <c r="A1059" s="1"/>
    </row>
    <row r="1060" spans="1:1" x14ac:dyDescent="0.3">
      <c r="A1060" s="1"/>
    </row>
    <row r="1061" spans="1:1" x14ac:dyDescent="0.3">
      <c r="A1061" s="1"/>
    </row>
    <row r="1062" spans="1:1" x14ac:dyDescent="0.3">
      <c r="A1062" s="1"/>
    </row>
    <row r="1063" spans="1:1" x14ac:dyDescent="0.3">
      <c r="A1063" s="1"/>
    </row>
    <row r="1064" spans="1:1" x14ac:dyDescent="0.3">
      <c r="A1064" s="1"/>
    </row>
    <row r="1065" spans="1:1" x14ac:dyDescent="0.3">
      <c r="A1065" s="1"/>
    </row>
    <row r="1066" spans="1:1" x14ac:dyDescent="0.3">
      <c r="A1066" s="1"/>
    </row>
    <row r="1067" spans="1:1" x14ac:dyDescent="0.3">
      <c r="A1067" s="1"/>
    </row>
    <row r="1068" spans="1:1" x14ac:dyDescent="0.3">
      <c r="A1068" s="1"/>
    </row>
    <row r="1069" spans="1:1" x14ac:dyDescent="0.3">
      <c r="A1069" s="1"/>
    </row>
    <row r="1070" spans="1:1" x14ac:dyDescent="0.3">
      <c r="A1070" s="1"/>
    </row>
    <row r="1071" spans="1:1" x14ac:dyDescent="0.3">
      <c r="A1071" s="1"/>
    </row>
    <row r="1072" spans="1:1" x14ac:dyDescent="0.3">
      <c r="A1072" s="1"/>
    </row>
    <row r="1073" spans="1:1" x14ac:dyDescent="0.3">
      <c r="A1073" s="1"/>
    </row>
    <row r="1074" spans="1:1" x14ac:dyDescent="0.3">
      <c r="A1074" s="1"/>
    </row>
    <row r="1075" spans="1:1" x14ac:dyDescent="0.3">
      <c r="A1075" s="1"/>
    </row>
    <row r="1076" spans="1:1" x14ac:dyDescent="0.3">
      <c r="A1076" s="1"/>
    </row>
    <row r="1077" spans="1:1" x14ac:dyDescent="0.3">
      <c r="A1077" s="1"/>
    </row>
    <row r="1078" spans="1:1" x14ac:dyDescent="0.3">
      <c r="A1078" s="1"/>
    </row>
    <row r="1079" spans="1:1" x14ac:dyDescent="0.3">
      <c r="A1079" s="1"/>
    </row>
    <row r="1080" spans="1:1" x14ac:dyDescent="0.3">
      <c r="A1080" s="1"/>
    </row>
    <row r="1081" spans="1:1" x14ac:dyDescent="0.3">
      <c r="A1081" s="1"/>
    </row>
    <row r="1082" spans="1:1" x14ac:dyDescent="0.3">
      <c r="A1082" s="1"/>
    </row>
    <row r="1083" spans="1:1" x14ac:dyDescent="0.3">
      <c r="A1083" s="1"/>
    </row>
    <row r="1084" spans="1:1" x14ac:dyDescent="0.3">
      <c r="A1084" s="1"/>
    </row>
    <row r="1085" spans="1:1" x14ac:dyDescent="0.3">
      <c r="A1085" s="1"/>
    </row>
    <row r="1086" spans="1:1" x14ac:dyDescent="0.3">
      <c r="A1086" s="1"/>
    </row>
    <row r="1087" spans="1:1" x14ac:dyDescent="0.3">
      <c r="A1087" s="1"/>
    </row>
    <row r="1088" spans="1:1" x14ac:dyDescent="0.3">
      <c r="A1088" s="1"/>
    </row>
    <row r="1089" spans="1:1" x14ac:dyDescent="0.3">
      <c r="A1089" s="1"/>
    </row>
    <row r="1090" spans="1:1" x14ac:dyDescent="0.3">
      <c r="A1090" s="1"/>
    </row>
    <row r="1091" spans="1:1" x14ac:dyDescent="0.3">
      <c r="A1091" s="1"/>
    </row>
    <row r="1092" spans="1:1" x14ac:dyDescent="0.3">
      <c r="A1092" s="1"/>
    </row>
    <row r="1093" spans="1:1" x14ac:dyDescent="0.3">
      <c r="A1093" s="1"/>
    </row>
    <row r="1094" spans="1:1" x14ac:dyDescent="0.3">
      <c r="A1094" s="1"/>
    </row>
    <row r="1095" spans="1:1" x14ac:dyDescent="0.3">
      <c r="A1095" s="1"/>
    </row>
    <row r="1096" spans="1:1" x14ac:dyDescent="0.3">
      <c r="A1096" s="1"/>
    </row>
    <row r="1097" spans="1:1" x14ac:dyDescent="0.3">
      <c r="A1097" s="1"/>
    </row>
    <row r="1098" spans="1:1" x14ac:dyDescent="0.3">
      <c r="A1098" s="1"/>
    </row>
    <row r="1099" spans="1:1" x14ac:dyDescent="0.3">
      <c r="A1099" s="1"/>
    </row>
    <row r="1100" spans="1:1" x14ac:dyDescent="0.3">
      <c r="A1100" s="1"/>
    </row>
    <row r="1101" spans="1:1" x14ac:dyDescent="0.3">
      <c r="A1101" s="1"/>
    </row>
    <row r="1102" spans="1:1" x14ac:dyDescent="0.3">
      <c r="A1102" s="1"/>
    </row>
    <row r="1103" spans="1:1" x14ac:dyDescent="0.3">
      <c r="A1103" s="1"/>
    </row>
    <row r="1104" spans="1:1" x14ac:dyDescent="0.3">
      <c r="A1104" s="1"/>
    </row>
    <row r="1105" spans="1:1" x14ac:dyDescent="0.3">
      <c r="A1105" s="1"/>
    </row>
    <row r="1106" spans="1:1" x14ac:dyDescent="0.3">
      <c r="A1106" s="1"/>
    </row>
    <row r="1107" spans="1:1" x14ac:dyDescent="0.3">
      <c r="A1107" s="1"/>
    </row>
    <row r="1108" spans="1:1" x14ac:dyDescent="0.3">
      <c r="A1108" s="1"/>
    </row>
    <row r="1109" spans="1:1" x14ac:dyDescent="0.3">
      <c r="A1109" s="1"/>
    </row>
    <row r="1110" spans="1:1" x14ac:dyDescent="0.3">
      <c r="A1110" s="1"/>
    </row>
    <row r="1111" spans="1:1" x14ac:dyDescent="0.3">
      <c r="A1111" s="1"/>
    </row>
    <row r="1112" spans="1:1" x14ac:dyDescent="0.3">
      <c r="A1112" s="1"/>
    </row>
    <row r="1113" spans="1:1" x14ac:dyDescent="0.3">
      <c r="A1113" s="1"/>
    </row>
    <row r="1114" spans="1:1" x14ac:dyDescent="0.3">
      <c r="A1114" s="1"/>
    </row>
    <row r="1115" spans="1:1" x14ac:dyDescent="0.3">
      <c r="A1115" s="1"/>
    </row>
    <row r="1116" spans="1:1" x14ac:dyDescent="0.3">
      <c r="A1116" s="1"/>
    </row>
    <row r="1117" spans="1:1" x14ac:dyDescent="0.3">
      <c r="A1117" s="1"/>
    </row>
    <row r="1118" spans="1:1" x14ac:dyDescent="0.3">
      <c r="A1118" s="1"/>
    </row>
    <row r="1119" spans="1:1" x14ac:dyDescent="0.3">
      <c r="A1119" s="1"/>
    </row>
    <row r="1120" spans="1:1" x14ac:dyDescent="0.3">
      <c r="A1120" s="1"/>
    </row>
    <row r="1121" spans="1:1" x14ac:dyDescent="0.3">
      <c r="A1121" s="1"/>
    </row>
    <row r="1122" spans="1:1" x14ac:dyDescent="0.3">
      <c r="A1122" s="1"/>
    </row>
    <row r="1123" spans="1:1" x14ac:dyDescent="0.3">
      <c r="A1123" s="1"/>
    </row>
    <row r="1124" spans="1:1" x14ac:dyDescent="0.3">
      <c r="A1124" s="1"/>
    </row>
    <row r="1125" spans="1:1" x14ac:dyDescent="0.3">
      <c r="A1125" s="1"/>
    </row>
    <row r="1126" spans="1:1" x14ac:dyDescent="0.3">
      <c r="A1126" s="1"/>
    </row>
    <row r="1127" spans="1:1" x14ac:dyDescent="0.3">
      <c r="A1127" s="1"/>
    </row>
    <row r="1128" spans="1:1" x14ac:dyDescent="0.3">
      <c r="A1128" s="1"/>
    </row>
    <row r="1129" spans="1:1" x14ac:dyDescent="0.3">
      <c r="A1129" s="1"/>
    </row>
    <row r="1130" spans="1:1" x14ac:dyDescent="0.3">
      <c r="A1130" s="1"/>
    </row>
    <row r="1131" spans="1:1" x14ac:dyDescent="0.3">
      <c r="A1131" s="1"/>
    </row>
    <row r="1132" spans="1:1" x14ac:dyDescent="0.3">
      <c r="A1132" s="1"/>
    </row>
    <row r="1133" spans="1:1" x14ac:dyDescent="0.3">
      <c r="A1133" s="1"/>
    </row>
    <row r="1134" spans="1:1" x14ac:dyDescent="0.3">
      <c r="A1134" s="1"/>
    </row>
    <row r="1135" spans="1:1" x14ac:dyDescent="0.3">
      <c r="A1135" s="1"/>
    </row>
    <row r="1136" spans="1:1" x14ac:dyDescent="0.3">
      <c r="A1136" s="1"/>
    </row>
    <row r="1137" spans="1:1" x14ac:dyDescent="0.3">
      <c r="A1137" s="1"/>
    </row>
    <row r="1138" spans="1:1" x14ac:dyDescent="0.3">
      <c r="A1138" s="1"/>
    </row>
    <row r="1139" spans="1:1" x14ac:dyDescent="0.3">
      <c r="A1139" s="1"/>
    </row>
    <row r="1140" spans="1:1" x14ac:dyDescent="0.3">
      <c r="A1140" s="1"/>
    </row>
    <row r="1141" spans="1:1" x14ac:dyDescent="0.3">
      <c r="A1141" s="1"/>
    </row>
    <row r="1142" spans="1:1" x14ac:dyDescent="0.3">
      <c r="A1142" s="1"/>
    </row>
    <row r="1143" spans="1:1" x14ac:dyDescent="0.3">
      <c r="A1143" s="1"/>
    </row>
    <row r="1144" spans="1:1" x14ac:dyDescent="0.3">
      <c r="A1144" s="1"/>
    </row>
    <row r="1145" spans="1:1" x14ac:dyDescent="0.3">
      <c r="A1145" s="1"/>
    </row>
    <row r="1146" spans="1:1" x14ac:dyDescent="0.3">
      <c r="A1146" s="1"/>
    </row>
    <row r="1147" spans="1:1" x14ac:dyDescent="0.3">
      <c r="A1147" s="1"/>
    </row>
    <row r="1148" spans="1:1" x14ac:dyDescent="0.3">
      <c r="A1148" s="1"/>
    </row>
    <row r="1149" spans="1:1" x14ac:dyDescent="0.3">
      <c r="A1149" s="1"/>
    </row>
    <row r="1150" spans="1:1" x14ac:dyDescent="0.3">
      <c r="A1150" s="1"/>
    </row>
    <row r="1151" spans="1:1" x14ac:dyDescent="0.3">
      <c r="A1151" s="1"/>
    </row>
    <row r="1152" spans="1:1" x14ac:dyDescent="0.3">
      <c r="A1152" s="1"/>
    </row>
    <row r="1153" spans="1:1" x14ac:dyDescent="0.3">
      <c r="A1153" s="1"/>
    </row>
    <row r="1154" spans="1:1" x14ac:dyDescent="0.3">
      <c r="A1154" s="1"/>
    </row>
    <row r="1155" spans="1:1" x14ac:dyDescent="0.3">
      <c r="A1155" s="1"/>
    </row>
    <row r="1156" spans="1:1" x14ac:dyDescent="0.3">
      <c r="A1156" s="1"/>
    </row>
    <row r="1157" spans="1:1" x14ac:dyDescent="0.3">
      <c r="A1157" s="1"/>
    </row>
    <row r="1158" spans="1:1" x14ac:dyDescent="0.3">
      <c r="A1158" s="1"/>
    </row>
    <row r="1159" spans="1:1" x14ac:dyDescent="0.3">
      <c r="A1159" s="1"/>
    </row>
    <row r="1160" spans="1:1" x14ac:dyDescent="0.3">
      <c r="A1160" s="1"/>
    </row>
    <row r="1161" spans="1:1" x14ac:dyDescent="0.3">
      <c r="A1161" s="1"/>
    </row>
    <row r="1162" spans="1:1" x14ac:dyDescent="0.3">
      <c r="A1162" s="1"/>
    </row>
    <row r="1163" spans="1:1" x14ac:dyDescent="0.3">
      <c r="A1163" s="1"/>
    </row>
    <row r="1164" spans="1:1" x14ac:dyDescent="0.3">
      <c r="A1164" s="1"/>
    </row>
    <row r="1165" spans="1:1" x14ac:dyDescent="0.3">
      <c r="A1165" s="1"/>
    </row>
    <row r="1166" spans="1:1" x14ac:dyDescent="0.3">
      <c r="A1166" s="1"/>
    </row>
    <row r="1167" spans="1:1" x14ac:dyDescent="0.3">
      <c r="A1167" s="1"/>
    </row>
    <row r="1168" spans="1:1" x14ac:dyDescent="0.3">
      <c r="A1168" s="1"/>
    </row>
    <row r="1169" spans="1:1" x14ac:dyDescent="0.3">
      <c r="A1169" s="1"/>
    </row>
    <row r="1170" spans="1:1" x14ac:dyDescent="0.3">
      <c r="A1170" s="1"/>
    </row>
    <row r="1171" spans="1:1" x14ac:dyDescent="0.3">
      <c r="A1171" s="1"/>
    </row>
    <row r="1172" spans="1:1" x14ac:dyDescent="0.3">
      <c r="A1172" s="1"/>
    </row>
    <row r="1173" spans="1:1" x14ac:dyDescent="0.3">
      <c r="A1173" s="1"/>
    </row>
    <row r="1174" spans="1:1" x14ac:dyDescent="0.3">
      <c r="A1174" s="1"/>
    </row>
    <row r="1175" spans="1:1" x14ac:dyDescent="0.3">
      <c r="A1175" s="1"/>
    </row>
    <row r="1176" spans="1:1" x14ac:dyDescent="0.3">
      <c r="A1176" s="1"/>
    </row>
    <row r="1177" spans="1:1" x14ac:dyDescent="0.3">
      <c r="A1177" s="1"/>
    </row>
    <row r="1178" spans="1:1" x14ac:dyDescent="0.3">
      <c r="A1178" s="1"/>
    </row>
    <row r="1179" spans="1:1" x14ac:dyDescent="0.3">
      <c r="A1179" s="1"/>
    </row>
    <row r="1180" spans="1:1" x14ac:dyDescent="0.3">
      <c r="A1180" s="1"/>
    </row>
    <row r="1181" spans="1:1" x14ac:dyDescent="0.3">
      <c r="A1181" s="1"/>
    </row>
    <row r="1182" spans="1:1" x14ac:dyDescent="0.3">
      <c r="A1182" s="1"/>
    </row>
    <row r="1183" spans="1:1" x14ac:dyDescent="0.3">
      <c r="A1183" s="1"/>
    </row>
    <row r="1184" spans="1:1" x14ac:dyDescent="0.3">
      <c r="A1184" s="1"/>
    </row>
    <row r="1185" spans="1:1" x14ac:dyDescent="0.3">
      <c r="A1185" s="1"/>
    </row>
    <row r="1186" spans="1:1" x14ac:dyDescent="0.3">
      <c r="A1186" s="1"/>
    </row>
    <row r="1187" spans="1:1" x14ac:dyDescent="0.3">
      <c r="A1187" s="1"/>
    </row>
    <row r="1188" spans="1:1" x14ac:dyDescent="0.3">
      <c r="A1188" s="1"/>
    </row>
    <row r="1189" spans="1:1" x14ac:dyDescent="0.3">
      <c r="A1189" s="1"/>
    </row>
    <row r="1190" spans="1:1" x14ac:dyDescent="0.3">
      <c r="A1190" s="1"/>
    </row>
    <row r="1191" spans="1:1" x14ac:dyDescent="0.3">
      <c r="A1191" s="1"/>
    </row>
    <row r="1192" spans="1:1" x14ac:dyDescent="0.3">
      <c r="A1192" s="1"/>
    </row>
    <row r="1193" spans="1:1" x14ac:dyDescent="0.3">
      <c r="A1193" s="1"/>
    </row>
    <row r="1194" spans="1:1" x14ac:dyDescent="0.3">
      <c r="A1194" s="1"/>
    </row>
    <row r="1195" spans="1:1" x14ac:dyDescent="0.3">
      <c r="A1195" s="1"/>
    </row>
    <row r="1196" spans="1:1" x14ac:dyDescent="0.3">
      <c r="A1196" s="1"/>
    </row>
    <row r="1197" spans="1:1" x14ac:dyDescent="0.3">
      <c r="A1197" s="1"/>
    </row>
    <row r="1198" spans="1:1" x14ac:dyDescent="0.3">
      <c r="A1198" s="1"/>
    </row>
    <row r="1199" spans="1:1" x14ac:dyDescent="0.3">
      <c r="A1199" s="1"/>
    </row>
    <row r="1200" spans="1:1" x14ac:dyDescent="0.3">
      <c r="A1200" s="1"/>
    </row>
    <row r="1201" spans="1:1" x14ac:dyDescent="0.3">
      <c r="A1201" s="1"/>
    </row>
    <row r="1202" spans="1:1" x14ac:dyDescent="0.3">
      <c r="A1202" s="1"/>
    </row>
    <row r="1203" spans="1:1" x14ac:dyDescent="0.3">
      <c r="A1203" s="1"/>
    </row>
    <row r="1204" spans="1:1" x14ac:dyDescent="0.3">
      <c r="A1204" s="1"/>
    </row>
    <row r="1205" spans="1:1" x14ac:dyDescent="0.3">
      <c r="A1205" s="1"/>
    </row>
    <row r="1206" spans="1:1" x14ac:dyDescent="0.3">
      <c r="A1206" s="1"/>
    </row>
    <row r="1207" spans="1:1" x14ac:dyDescent="0.3">
      <c r="A1207" s="1"/>
    </row>
    <row r="1208" spans="1:1" x14ac:dyDescent="0.3">
      <c r="A1208" s="1"/>
    </row>
    <row r="1209" spans="1:1" x14ac:dyDescent="0.3">
      <c r="A1209" s="1"/>
    </row>
    <row r="1210" spans="1:1" x14ac:dyDescent="0.3">
      <c r="A1210" s="1"/>
    </row>
    <row r="1211" spans="1:1" x14ac:dyDescent="0.3">
      <c r="A1211" s="1"/>
    </row>
    <row r="1212" spans="1:1" x14ac:dyDescent="0.3">
      <c r="A1212" s="1"/>
    </row>
    <row r="1213" spans="1:1" x14ac:dyDescent="0.3">
      <c r="A1213" s="1"/>
    </row>
    <row r="1214" spans="1:1" x14ac:dyDescent="0.3">
      <c r="A1214" s="1"/>
    </row>
    <row r="1215" spans="1:1" x14ac:dyDescent="0.3">
      <c r="A1215" s="1"/>
    </row>
    <row r="1216" spans="1:1" x14ac:dyDescent="0.3">
      <c r="A1216" s="1"/>
    </row>
    <row r="1217" spans="1:1" x14ac:dyDescent="0.3">
      <c r="A1217" s="1"/>
    </row>
    <row r="1218" spans="1:1" x14ac:dyDescent="0.3">
      <c r="A1218" s="1"/>
    </row>
    <row r="1219" spans="1:1" x14ac:dyDescent="0.3">
      <c r="A1219" s="1"/>
    </row>
    <row r="1220" spans="1:1" x14ac:dyDescent="0.3">
      <c r="A1220" s="1"/>
    </row>
    <row r="1221" spans="1:1" x14ac:dyDescent="0.3">
      <c r="A1221" s="1"/>
    </row>
    <row r="1222" spans="1:1" x14ac:dyDescent="0.3">
      <c r="A1222" s="1"/>
    </row>
    <row r="1223" spans="1:1" x14ac:dyDescent="0.3">
      <c r="A1223" s="1"/>
    </row>
    <row r="1224" spans="1:1" x14ac:dyDescent="0.3">
      <c r="A1224" s="1"/>
    </row>
    <row r="1225" spans="1:1" x14ac:dyDescent="0.3">
      <c r="A1225" s="1"/>
    </row>
    <row r="1226" spans="1:1" x14ac:dyDescent="0.3">
      <c r="A1226" s="1"/>
    </row>
    <row r="1227" spans="1:1" x14ac:dyDescent="0.3">
      <c r="A1227" s="1"/>
    </row>
    <row r="1228" spans="1:1" x14ac:dyDescent="0.3">
      <c r="A1228" s="1"/>
    </row>
    <row r="1229" spans="1:1" x14ac:dyDescent="0.3">
      <c r="A1229" s="1"/>
    </row>
    <row r="1230" spans="1:1" x14ac:dyDescent="0.3">
      <c r="A1230" s="1"/>
    </row>
    <row r="1231" spans="1:1" x14ac:dyDescent="0.3">
      <c r="A1231" s="1"/>
    </row>
    <row r="1232" spans="1:1" x14ac:dyDescent="0.3">
      <c r="A1232" s="1"/>
    </row>
    <row r="1233" spans="1:1" x14ac:dyDescent="0.3">
      <c r="A1233" s="1"/>
    </row>
    <row r="1234" spans="1:1" x14ac:dyDescent="0.3">
      <c r="A1234" s="1"/>
    </row>
    <row r="1235" spans="1:1" x14ac:dyDescent="0.3">
      <c r="A1235" s="1"/>
    </row>
    <row r="1236" spans="1:1" x14ac:dyDescent="0.3">
      <c r="A1236" s="1"/>
    </row>
    <row r="1237" spans="1:1" x14ac:dyDescent="0.3">
      <c r="A1237" s="1"/>
    </row>
    <row r="1238" spans="1:1" x14ac:dyDescent="0.3">
      <c r="A1238" s="1"/>
    </row>
    <row r="1239" spans="1:1" x14ac:dyDescent="0.3">
      <c r="A1239" s="1"/>
    </row>
    <row r="1240" spans="1:1" x14ac:dyDescent="0.3">
      <c r="A1240" s="1"/>
    </row>
    <row r="1241" spans="1:1" x14ac:dyDescent="0.3">
      <c r="A1241" s="1"/>
    </row>
    <row r="1242" spans="1:1" x14ac:dyDescent="0.3">
      <c r="A1242" s="1"/>
    </row>
    <row r="1243" spans="1:1" x14ac:dyDescent="0.3">
      <c r="A1243" s="1"/>
    </row>
    <row r="1244" spans="1:1" x14ac:dyDescent="0.3">
      <c r="A1244" s="1"/>
    </row>
    <row r="1245" spans="1:1" x14ac:dyDescent="0.3">
      <c r="A1245" s="1"/>
    </row>
    <row r="1246" spans="1:1" x14ac:dyDescent="0.3">
      <c r="A1246" s="1"/>
    </row>
    <row r="1247" spans="1:1" x14ac:dyDescent="0.3">
      <c r="A1247" s="1"/>
    </row>
    <row r="1248" spans="1:1" x14ac:dyDescent="0.3">
      <c r="A1248" s="1"/>
    </row>
    <row r="1249" spans="1:1" x14ac:dyDescent="0.3">
      <c r="A1249" s="1"/>
    </row>
    <row r="1250" spans="1:1" x14ac:dyDescent="0.3">
      <c r="A1250" s="1"/>
    </row>
    <row r="1251" spans="1:1" x14ac:dyDescent="0.3">
      <c r="A1251" s="1"/>
    </row>
    <row r="1252" spans="1:1" x14ac:dyDescent="0.3">
      <c r="A1252" s="1"/>
    </row>
    <row r="1253" spans="1:1" x14ac:dyDescent="0.3">
      <c r="A1253" s="1"/>
    </row>
    <row r="1254" spans="1:1" x14ac:dyDescent="0.3">
      <c r="A1254" s="1"/>
    </row>
    <row r="1255" spans="1:1" x14ac:dyDescent="0.3">
      <c r="A1255" s="1"/>
    </row>
    <row r="1256" spans="1:1" x14ac:dyDescent="0.3">
      <c r="A1256" s="1"/>
    </row>
    <row r="1257" spans="1:1" x14ac:dyDescent="0.3">
      <c r="A1257" s="1"/>
    </row>
    <row r="1258" spans="1:1" x14ac:dyDescent="0.3">
      <c r="A1258" s="1"/>
    </row>
    <row r="1259" spans="1:1" x14ac:dyDescent="0.3">
      <c r="A1259" s="1"/>
    </row>
    <row r="1260" spans="1:1" x14ac:dyDescent="0.3">
      <c r="A1260" s="1"/>
    </row>
    <row r="1261" spans="1:1" x14ac:dyDescent="0.3">
      <c r="A1261" s="1"/>
    </row>
    <row r="1262" spans="1:1" x14ac:dyDescent="0.3">
      <c r="A1262" s="1"/>
    </row>
    <row r="1263" spans="1:1" x14ac:dyDescent="0.3">
      <c r="A1263" s="1"/>
    </row>
    <row r="1264" spans="1:1" x14ac:dyDescent="0.3">
      <c r="A1264" s="1"/>
    </row>
    <row r="1265" spans="1:1" x14ac:dyDescent="0.3">
      <c r="A1265" s="1"/>
    </row>
    <row r="1266" spans="1:1" x14ac:dyDescent="0.3">
      <c r="A1266" s="1"/>
    </row>
    <row r="1267" spans="1:1" x14ac:dyDescent="0.3">
      <c r="A1267" s="1"/>
    </row>
    <row r="1268" spans="1:1" x14ac:dyDescent="0.3">
      <c r="A1268" s="1"/>
    </row>
    <row r="1269" spans="1:1" x14ac:dyDescent="0.3">
      <c r="A1269" s="1"/>
    </row>
    <row r="1270" spans="1:1" x14ac:dyDescent="0.3">
      <c r="A1270" s="1"/>
    </row>
    <row r="1271" spans="1:1" x14ac:dyDescent="0.3">
      <c r="A1271" s="1"/>
    </row>
    <row r="1272" spans="1:1" x14ac:dyDescent="0.3">
      <c r="A1272" s="1"/>
    </row>
    <row r="1273" spans="1:1" x14ac:dyDescent="0.3">
      <c r="A1273" s="1"/>
    </row>
    <row r="1274" spans="1:1" x14ac:dyDescent="0.3">
      <c r="A1274" s="1"/>
    </row>
    <row r="1275" spans="1:1" x14ac:dyDescent="0.3">
      <c r="A1275" s="1"/>
    </row>
    <row r="1276" spans="1:1" x14ac:dyDescent="0.3">
      <c r="A1276" s="1"/>
    </row>
    <row r="1277" spans="1:1" x14ac:dyDescent="0.3">
      <c r="A1277" s="1"/>
    </row>
    <row r="1278" spans="1:1" x14ac:dyDescent="0.3">
      <c r="A1278" s="1"/>
    </row>
    <row r="1279" spans="1:1" x14ac:dyDescent="0.3">
      <c r="A1279" s="1"/>
    </row>
    <row r="1280" spans="1:1" x14ac:dyDescent="0.3">
      <c r="A1280" s="1"/>
    </row>
    <row r="1281" spans="1:1" x14ac:dyDescent="0.3">
      <c r="A1281" s="1"/>
    </row>
    <row r="1282" spans="1:1" x14ac:dyDescent="0.3">
      <c r="A1282" s="1"/>
    </row>
    <row r="1283" spans="1:1" x14ac:dyDescent="0.3">
      <c r="A1283" s="1"/>
    </row>
    <row r="1284" spans="1:1" x14ac:dyDescent="0.3">
      <c r="A1284" s="1"/>
    </row>
    <row r="1285" spans="1:1" x14ac:dyDescent="0.3">
      <c r="A1285" s="1"/>
    </row>
    <row r="1286" spans="1:1" x14ac:dyDescent="0.3">
      <c r="A1286" s="1"/>
    </row>
    <row r="1287" spans="1:1" x14ac:dyDescent="0.3">
      <c r="A1287" s="1"/>
    </row>
    <row r="1288" spans="1:1" x14ac:dyDescent="0.3">
      <c r="A1288" s="1"/>
    </row>
    <row r="1289" spans="1:1" x14ac:dyDescent="0.3">
      <c r="A1289" s="1"/>
    </row>
    <row r="1290" spans="1:1" x14ac:dyDescent="0.3">
      <c r="A1290" s="1"/>
    </row>
    <row r="1291" spans="1:1" x14ac:dyDescent="0.3">
      <c r="A1291" s="1"/>
    </row>
    <row r="1292" spans="1:1" x14ac:dyDescent="0.3">
      <c r="A1292" s="1"/>
    </row>
    <row r="1293" spans="1:1" x14ac:dyDescent="0.3">
      <c r="A1293" s="1"/>
    </row>
    <row r="1294" spans="1:1" x14ac:dyDescent="0.3">
      <c r="A1294" s="1"/>
    </row>
    <row r="1295" spans="1:1" x14ac:dyDescent="0.3">
      <c r="A1295" s="1"/>
    </row>
    <row r="1296" spans="1:1" x14ac:dyDescent="0.3">
      <c r="A1296" s="1"/>
    </row>
    <row r="1297" spans="1:1" x14ac:dyDescent="0.3">
      <c r="A1297" s="1"/>
    </row>
    <row r="1298" spans="1:1" x14ac:dyDescent="0.3">
      <c r="A1298" s="1"/>
    </row>
    <row r="1299" spans="1:1" x14ac:dyDescent="0.3">
      <c r="A1299" s="1"/>
    </row>
    <row r="1300" spans="1:1" x14ac:dyDescent="0.3">
      <c r="A1300" s="1"/>
    </row>
    <row r="1301" spans="1:1" x14ac:dyDescent="0.3">
      <c r="A1301" s="1"/>
    </row>
    <row r="1302" spans="1:1" x14ac:dyDescent="0.3">
      <c r="A1302" s="1"/>
    </row>
    <row r="1303" spans="1:1" x14ac:dyDescent="0.3">
      <c r="A1303" s="1"/>
    </row>
    <row r="1304" spans="1:1" x14ac:dyDescent="0.3">
      <c r="A1304" s="1"/>
    </row>
    <row r="1305" spans="1:1" x14ac:dyDescent="0.3">
      <c r="A1305" s="1"/>
    </row>
    <row r="1306" spans="1:1" x14ac:dyDescent="0.3">
      <c r="A1306" s="1"/>
    </row>
    <row r="1307" spans="1:1" x14ac:dyDescent="0.3">
      <c r="A1307" s="1"/>
    </row>
    <row r="1308" spans="1:1" x14ac:dyDescent="0.3">
      <c r="A1308" s="1"/>
    </row>
    <row r="1309" spans="1:1" x14ac:dyDescent="0.3">
      <c r="A1309" s="1"/>
    </row>
    <row r="1310" spans="1:1" x14ac:dyDescent="0.3">
      <c r="A1310" s="1"/>
    </row>
    <row r="1311" spans="1:1" x14ac:dyDescent="0.3">
      <c r="A1311" s="1"/>
    </row>
    <row r="1312" spans="1:1" x14ac:dyDescent="0.3">
      <c r="A1312" s="1"/>
    </row>
    <row r="1313" spans="1:1" x14ac:dyDescent="0.3">
      <c r="A1313" s="1"/>
    </row>
    <row r="1314" spans="1:1" x14ac:dyDescent="0.3">
      <c r="A1314" s="1"/>
    </row>
    <row r="1315" spans="1:1" x14ac:dyDescent="0.3">
      <c r="A1315" s="1"/>
    </row>
    <row r="1316" spans="1:1" x14ac:dyDescent="0.3">
      <c r="A1316" s="1"/>
    </row>
    <row r="1317" spans="1:1" x14ac:dyDescent="0.3">
      <c r="A1317" s="1"/>
    </row>
    <row r="1318" spans="1:1" x14ac:dyDescent="0.3">
      <c r="A1318" s="1"/>
    </row>
    <row r="1319" spans="1:1" x14ac:dyDescent="0.3">
      <c r="A1319" s="1"/>
    </row>
    <row r="1320" spans="1:1" x14ac:dyDescent="0.3">
      <c r="A1320" s="1"/>
    </row>
    <row r="1321" spans="1:1" x14ac:dyDescent="0.3">
      <c r="A1321" s="1"/>
    </row>
    <row r="1322" spans="1:1" x14ac:dyDescent="0.3">
      <c r="A1322" s="1"/>
    </row>
    <row r="1323" spans="1:1" x14ac:dyDescent="0.3">
      <c r="A1323" s="1"/>
    </row>
    <row r="1324" spans="1:1" x14ac:dyDescent="0.3">
      <c r="A1324" s="1"/>
    </row>
    <row r="1325" spans="1:1" x14ac:dyDescent="0.3">
      <c r="A1325" s="1"/>
    </row>
    <row r="1326" spans="1:1" x14ac:dyDescent="0.3">
      <c r="A1326" s="1"/>
    </row>
    <row r="1327" spans="1:1" x14ac:dyDescent="0.3">
      <c r="A1327" s="1"/>
    </row>
    <row r="1328" spans="1:1" x14ac:dyDescent="0.3">
      <c r="A1328" s="1"/>
    </row>
    <row r="1329" spans="1:1" x14ac:dyDescent="0.3">
      <c r="A1329" s="1"/>
    </row>
    <row r="1330" spans="1:1" x14ac:dyDescent="0.3">
      <c r="A1330" s="1"/>
    </row>
    <row r="1331" spans="1:1" x14ac:dyDescent="0.3">
      <c r="A1331" s="1"/>
    </row>
    <row r="1332" spans="1:1" x14ac:dyDescent="0.3">
      <c r="A1332" s="1"/>
    </row>
    <row r="1333" spans="1:1" x14ac:dyDescent="0.3">
      <c r="A1333" s="1"/>
    </row>
    <row r="1334" spans="1:1" x14ac:dyDescent="0.3">
      <c r="A1334" s="1"/>
    </row>
    <row r="1335" spans="1:1" x14ac:dyDescent="0.3">
      <c r="A1335" s="1"/>
    </row>
    <row r="1336" spans="1:1" x14ac:dyDescent="0.3">
      <c r="A1336" s="1"/>
    </row>
    <row r="1337" spans="1:1" x14ac:dyDescent="0.3">
      <c r="A1337" s="1"/>
    </row>
    <row r="1338" spans="1:1" x14ac:dyDescent="0.3">
      <c r="A1338" s="1"/>
    </row>
    <row r="1339" spans="1:1" x14ac:dyDescent="0.3">
      <c r="A1339" s="1"/>
    </row>
    <row r="1340" spans="1:1" x14ac:dyDescent="0.3">
      <c r="A1340" s="1"/>
    </row>
    <row r="1341" spans="1:1" x14ac:dyDescent="0.3">
      <c r="A1341" s="1"/>
    </row>
    <row r="1342" spans="1:1" x14ac:dyDescent="0.3">
      <c r="A1342" s="1"/>
    </row>
    <row r="1343" spans="1:1" x14ac:dyDescent="0.3">
      <c r="A1343" s="1"/>
    </row>
    <row r="1344" spans="1:1" x14ac:dyDescent="0.3">
      <c r="A1344" s="1"/>
    </row>
    <row r="1345" spans="1:1" x14ac:dyDescent="0.3">
      <c r="A1345" s="1"/>
    </row>
    <row r="1346" spans="1:1" x14ac:dyDescent="0.3">
      <c r="A1346" s="1"/>
    </row>
    <row r="1347" spans="1:1" x14ac:dyDescent="0.3">
      <c r="A1347" s="1"/>
    </row>
    <row r="1348" spans="1:1" x14ac:dyDescent="0.3">
      <c r="A1348" s="1"/>
    </row>
    <row r="1349" spans="1:1" x14ac:dyDescent="0.3">
      <c r="A1349" s="1"/>
    </row>
    <row r="1350" spans="1:1" x14ac:dyDescent="0.3">
      <c r="A1350" s="1"/>
    </row>
    <row r="1351" spans="1:1" x14ac:dyDescent="0.3">
      <c r="A1351" s="1"/>
    </row>
    <row r="1352" spans="1:1" x14ac:dyDescent="0.3">
      <c r="A1352" s="1"/>
    </row>
    <row r="1353" spans="1:1" x14ac:dyDescent="0.3">
      <c r="A1353" s="1"/>
    </row>
    <row r="1354" spans="1:1" x14ac:dyDescent="0.3">
      <c r="A1354" s="1"/>
    </row>
    <row r="1355" spans="1:1" x14ac:dyDescent="0.3">
      <c r="A1355" s="1"/>
    </row>
    <row r="1356" spans="1:1" x14ac:dyDescent="0.3">
      <c r="A1356" s="1"/>
    </row>
    <row r="1357" spans="1:1" x14ac:dyDescent="0.3">
      <c r="A1357" s="1"/>
    </row>
    <row r="1358" spans="1:1" x14ac:dyDescent="0.3">
      <c r="A1358" s="1"/>
    </row>
    <row r="1359" spans="1:1" x14ac:dyDescent="0.3">
      <c r="A1359" s="1"/>
    </row>
    <row r="1360" spans="1:1" x14ac:dyDescent="0.3">
      <c r="A1360" s="1"/>
    </row>
    <row r="1361" spans="1:1" x14ac:dyDescent="0.3">
      <c r="A1361" s="1"/>
    </row>
    <row r="1362" spans="1:1" x14ac:dyDescent="0.3">
      <c r="A1362" s="1"/>
    </row>
    <row r="1363" spans="1:1" x14ac:dyDescent="0.3">
      <c r="A1363" s="1"/>
    </row>
    <row r="1364" spans="1:1" x14ac:dyDescent="0.3">
      <c r="A1364" s="1"/>
    </row>
    <row r="1365" spans="1:1" x14ac:dyDescent="0.3">
      <c r="A1365" s="1"/>
    </row>
    <row r="1366" spans="1:1" x14ac:dyDescent="0.3">
      <c r="A1366" s="1"/>
    </row>
    <row r="1367" spans="1:1" x14ac:dyDescent="0.3">
      <c r="A1367" s="1"/>
    </row>
    <row r="1368" spans="1:1" x14ac:dyDescent="0.3">
      <c r="A1368" s="1"/>
    </row>
    <row r="1369" spans="1:1" x14ac:dyDescent="0.3">
      <c r="A1369" s="1"/>
    </row>
    <row r="1370" spans="1:1" x14ac:dyDescent="0.3">
      <c r="A1370" s="1"/>
    </row>
    <row r="1371" spans="1:1" x14ac:dyDescent="0.3">
      <c r="A1371" s="1"/>
    </row>
    <row r="1372" spans="1:1" x14ac:dyDescent="0.3">
      <c r="A1372" s="1"/>
    </row>
    <row r="1373" spans="1:1" x14ac:dyDescent="0.3">
      <c r="A1373" s="1"/>
    </row>
    <row r="1374" spans="1:1" x14ac:dyDescent="0.3">
      <c r="A1374" s="1"/>
    </row>
    <row r="1375" spans="1:1" x14ac:dyDescent="0.3">
      <c r="A1375" s="1"/>
    </row>
    <row r="1376" spans="1:1" x14ac:dyDescent="0.3">
      <c r="A1376" s="1"/>
    </row>
    <row r="1377" spans="1:1" x14ac:dyDescent="0.3">
      <c r="A1377" s="1"/>
    </row>
    <row r="1378" spans="1:1" x14ac:dyDescent="0.3">
      <c r="A1378" s="1"/>
    </row>
    <row r="1379" spans="1:1" x14ac:dyDescent="0.3">
      <c r="A1379" s="1"/>
    </row>
    <row r="1380" spans="1:1" x14ac:dyDescent="0.3">
      <c r="A1380" s="1"/>
    </row>
    <row r="1381" spans="1:1" x14ac:dyDescent="0.3">
      <c r="A1381" s="1"/>
    </row>
    <row r="1382" spans="1:1" x14ac:dyDescent="0.3">
      <c r="A1382" s="1"/>
    </row>
    <row r="1383" spans="1:1" x14ac:dyDescent="0.3">
      <c r="A1383" s="1"/>
    </row>
    <row r="1384" spans="1:1" x14ac:dyDescent="0.3">
      <c r="A1384" s="1"/>
    </row>
    <row r="1385" spans="1:1" x14ac:dyDescent="0.3">
      <c r="A1385" s="1"/>
    </row>
    <row r="1386" spans="1:1" x14ac:dyDescent="0.3">
      <c r="A1386" s="44"/>
    </row>
    <row r="1387" spans="1:1" x14ac:dyDescent="0.3">
      <c r="A1387" s="1"/>
    </row>
    <row r="1388" spans="1:1" x14ac:dyDescent="0.3">
      <c r="A1388" s="1"/>
    </row>
    <row r="1389" spans="1:1" x14ac:dyDescent="0.3">
      <c r="A1389" s="1"/>
    </row>
    <row r="1390" spans="1:1" x14ac:dyDescent="0.3">
      <c r="A1390" s="44"/>
    </row>
    <row r="1391" spans="1:1" x14ac:dyDescent="0.3">
      <c r="A1391" s="1"/>
    </row>
    <row r="1392" spans="1:1" x14ac:dyDescent="0.3">
      <c r="A1392" s="1"/>
    </row>
    <row r="1393" spans="1:1" x14ac:dyDescent="0.3">
      <c r="A1393" s="1"/>
    </row>
    <row r="1394" spans="1:1" x14ac:dyDescent="0.3">
      <c r="A1394" s="1"/>
    </row>
    <row r="1395" spans="1:1" x14ac:dyDescent="0.3">
      <c r="A1395" s="1"/>
    </row>
    <row r="1396" spans="1:1" x14ac:dyDescent="0.3">
      <c r="A1396" s="1"/>
    </row>
    <row r="1397" spans="1:1" x14ac:dyDescent="0.3">
      <c r="A1397" s="44"/>
    </row>
    <row r="1398" spans="1:1" x14ac:dyDescent="0.3">
      <c r="A1398" s="1"/>
    </row>
    <row r="1399" spans="1:1" x14ac:dyDescent="0.3">
      <c r="A1399" s="44"/>
    </row>
    <row r="1400" spans="1:1" x14ac:dyDescent="0.3">
      <c r="A1400" s="1"/>
    </row>
    <row r="1401" spans="1:1" x14ac:dyDescent="0.3">
      <c r="A1401" s="1"/>
    </row>
    <row r="1402" spans="1:1" x14ac:dyDescent="0.3">
      <c r="A1402" s="1"/>
    </row>
    <row r="1403" spans="1:1" x14ac:dyDescent="0.3">
      <c r="A1403" s="1"/>
    </row>
    <row r="1404" spans="1:1" x14ac:dyDescent="0.3">
      <c r="A1404" s="1"/>
    </row>
    <row r="1405" spans="1:1" x14ac:dyDescent="0.3">
      <c r="A1405" s="1"/>
    </row>
    <row r="1406" spans="1:1" x14ac:dyDescent="0.3">
      <c r="A1406" s="1"/>
    </row>
    <row r="1407" spans="1:1" x14ac:dyDescent="0.3">
      <c r="A1407" s="1"/>
    </row>
    <row r="1408" spans="1:1" x14ac:dyDescent="0.3">
      <c r="A1408" s="1"/>
    </row>
    <row r="1409" spans="1:1" x14ac:dyDescent="0.3">
      <c r="A1409" s="1"/>
    </row>
    <row r="1410" spans="1:1" x14ac:dyDescent="0.3">
      <c r="A1410" s="1"/>
    </row>
    <row r="1411" spans="1:1" x14ac:dyDescent="0.3">
      <c r="A1411" s="1"/>
    </row>
    <row r="1412" spans="1:1" x14ac:dyDescent="0.3">
      <c r="A1412" s="1"/>
    </row>
    <row r="1413" spans="1:1" x14ac:dyDescent="0.3">
      <c r="A1413" s="1"/>
    </row>
    <row r="1414" spans="1:1" x14ac:dyDescent="0.3">
      <c r="A1414" s="1"/>
    </row>
    <row r="1415" spans="1:1" x14ac:dyDescent="0.3">
      <c r="A1415" s="1"/>
    </row>
    <row r="1416" spans="1:1" x14ac:dyDescent="0.3">
      <c r="A1416" s="1"/>
    </row>
    <row r="1417" spans="1:1" x14ac:dyDescent="0.3">
      <c r="A1417" s="1"/>
    </row>
    <row r="1418" spans="1:1" x14ac:dyDescent="0.3">
      <c r="A1418" s="1"/>
    </row>
    <row r="1419" spans="1:1" x14ac:dyDescent="0.3">
      <c r="A1419" s="44"/>
    </row>
    <row r="1420" spans="1:1" x14ac:dyDescent="0.3">
      <c r="A1420" s="1"/>
    </row>
    <row r="1421" spans="1:1" x14ac:dyDescent="0.3">
      <c r="A1421" s="1"/>
    </row>
    <row r="1422" spans="1:1" x14ac:dyDescent="0.3">
      <c r="A1422" s="1"/>
    </row>
    <row r="1423" spans="1:1" x14ac:dyDescent="0.3">
      <c r="A1423" s="1"/>
    </row>
    <row r="1424" spans="1:1" x14ac:dyDescent="0.3">
      <c r="A1424" s="1"/>
    </row>
    <row r="1425" spans="1:1" x14ac:dyDescent="0.3">
      <c r="A1425" s="1"/>
    </row>
    <row r="1426" spans="1:1" x14ac:dyDescent="0.3">
      <c r="A1426" s="44"/>
    </row>
    <row r="1427" spans="1:1" x14ac:dyDescent="0.3">
      <c r="A1427" s="44"/>
    </row>
    <row r="1428" spans="1:1" x14ac:dyDescent="0.3">
      <c r="A1428" s="44"/>
    </row>
    <row r="1429" spans="1:1" x14ac:dyDescent="0.3">
      <c r="A1429" s="1"/>
    </row>
    <row r="1430" spans="1:1" x14ac:dyDescent="0.3">
      <c r="A1430" s="1"/>
    </row>
    <row r="1431" spans="1:1" x14ac:dyDescent="0.3">
      <c r="A1431" s="1"/>
    </row>
    <row r="1432" spans="1:1" x14ac:dyDescent="0.3">
      <c r="A1432" s="1"/>
    </row>
    <row r="1433" spans="1:1" x14ac:dyDescent="0.3">
      <c r="A1433" s="1"/>
    </row>
    <row r="1434" spans="1:1" x14ac:dyDescent="0.3">
      <c r="A1434" s="1"/>
    </row>
    <row r="1435" spans="1:1" x14ac:dyDescent="0.3">
      <c r="A1435" s="1"/>
    </row>
    <row r="1436" spans="1:1" x14ac:dyDescent="0.3">
      <c r="A1436" s="1"/>
    </row>
    <row r="1437" spans="1:1" x14ac:dyDescent="0.3">
      <c r="A1437" s="1"/>
    </row>
    <row r="1438" spans="1:1" x14ac:dyDescent="0.3">
      <c r="A1438" s="1"/>
    </row>
    <row r="1439" spans="1:1" x14ac:dyDescent="0.3">
      <c r="A1439" s="1"/>
    </row>
    <row r="1440" spans="1:1" x14ac:dyDescent="0.3">
      <c r="A1440" s="1"/>
    </row>
    <row r="1441" spans="1:1" x14ac:dyDescent="0.3">
      <c r="A1441" s="1"/>
    </row>
    <row r="1442" spans="1:1" x14ac:dyDescent="0.3">
      <c r="A1442" s="1"/>
    </row>
    <row r="1443" spans="1:1" x14ac:dyDescent="0.3">
      <c r="A1443" s="1"/>
    </row>
    <row r="1444" spans="1:1" x14ac:dyDescent="0.3">
      <c r="A1444" s="1"/>
    </row>
    <row r="1445" spans="1:1" x14ac:dyDescent="0.3">
      <c r="A1445" s="1"/>
    </row>
    <row r="1446" spans="1:1" x14ac:dyDescent="0.3">
      <c r="A1446" s="1"/>
    </row>
    <row r="1447" spans="1:1" x14ac:dyDescent="0.3">
      <c r="A1447" s="1"/>
    </row>
    <row r="1448" spans="1:1" x14ac:dyDescent="0.3">
      <c r="A1448" s="1"/>
    </row>
    <row r="1449" spans="1:1" x14ac:dyDescent="0.3">
      <c r="A1449" s="1"/>
    </row>
    <row r="1450" spans="1:1" x14ac:dyDescent="0.3">
      <c r="A1450" s="1"/>
    </row>
    <row r="1451" spans="1:1" x14ac:dyDescent="0.3">
      <c r="A1451" s="1"/>
    </row>
    <row r="1452" spans="1:1" x14ac:dyDescent="0.3">
      <c r="A1452" s="1"/>
    </row>
    <row r="1453" spans="1:1" x14ac:dyDescent="0.3">
      <c r="A1453" s="1"/>
    </row>
    <row r="1454" spans="1:1" x14ac:dyDescent="0.3">
      <c r="A1454" s="44"/>
    </row>
    <row r="1455" spans="1:1" x14ac:dyDescent="0.3">
      <c r="A1455" s="1"/>
    </row>
    <row r="1456" spans="1:1" x14ac:dyDescent="0.3">
      <c r="A1456" s="1"/>
    </row>
    <row r="1457" spans="1:1" x14ac:dyDescent="0.3">
      <c r="A1457" s="1"/>
    </row>
    <row r="1458" spans="1:1" x14ac:dyDescent="0.3">
      <c r="A1458" s="1"/>
    </row>
    <row r="1459" spans="1:1" x14ac:dyDescent="0.3">
      <c r="A1459" s="44"/>
    </row>
    <row r="1460" spans="1:1" x14ac:dyDescent="0.3">
      <c r="A1460" s="1"/>
    </row>
    <row r="1461" spans="1:1" x14ac:dyDescent="0.3">
      <c r="A1461" s="1"/>
    </row>
    <row r="1462" spans="1:1" x14ac:dyDescent="0.3">
      <c r="A1462" s="1"/>
    </row>
    <row r="1463" spans="1:1" x14ac:dyDescent="0.3">
      <c r="A1463" s="44"/>
    </row>
    <row r="1464" spans="1:1" x14ac:dyDescent="0.3">
      <c r="A1464" s="1"/>
    </row>
    <row r="1465" spans="1:1" x14ac:dyDescent="0.3">
      <c r="A1465" s="1"/>
    </row>
    <row r="1466" spans="1:1" x14ac:dyDescent="0.3">
      <c r="A1466" s="1"/>
    </row>
    <row r="1467" spans="1:1" x14ac:dyDescent="0.3">
      <c r="A1467" s="1"/>
    </row>
    <row r="1468" spans="1:1" x14ac:dyDescent="0.3">
      <c r="A1468" s="1"/>
    </row>
    <row r="1469" spans="1:1" x14ac:dyDescent="0.3">
      <c r="A1469" s="1"/>
    </row>
    <row r="1470" spans="1:1" x14ac:dyDescent="0.3">
      <c r="A1470" s="44"/>
    </row>
    <row r="1471" spans="1:1" x14ac:dyDescent="0.3">
      <c r="A1471" s="1"/>
    </row>
    <row r="1472" spans="1:1" x14ac:dyDescent="0.3">
      <c r="A1472" s="1"/>
    </row>
    <row r="1473" spans="1:1" x14ac:dyDescent="0.3">
      <c r="A1473" s="1"/>
    </row>
    <row r="1474" spans="1:1" x14ac:dyDescent="0.3">
      <c r="A1474" s="1"/>
    </row>
    <row r="1475" spans="1:1" x14ac:dyDescent="0.3">
      <c r="A1475" s="1"/>
    </row>
    <row r="1476" spans="1:1" x14ac:dyDescent="0.3">
      <c r="A1476" s="1"/>
    </row>
    <row r="1477" spans="1:1" x14ac:dyDescent="0.3">
      <c r="A1477" s="1"/>
    </row>
    <row r="1478" spans="1:1" x14ac:dyDescent="0.3">
      <c r="A1478" s="44"/>
    </row>
    <row r="1479" spans="1:1" x14ac:dyDescent="0.3">
      <c r="A1479" s="1"/>
    </row>
    <row r="1480" spans="1:1" x14ac:dyDescent="0.3">
      <c r="A1480" s="1"/>
    </row>
    <row r="1481" spans="1:1" x14ac:dyDescent="0.3">
      <c r="A1481" s="1"/>
    </row>
    <row r="1482" spans="1:1" x14ac:dyDescent="0.3">
      <c r="A1482" s="1"/>
    </row>
    <row r="1483" spans="1:1" x14ac:dyDescent="0.3">
      <c r="A1483" s="1"/>
    </row>
    <row r="1484" spans="1:1" x14ac:dyDescent="0.3">
      <c r="A1484" s="44"/>
    </row>
    <row r="1485" spans="1:1" x14ac:dyDescent="0.3">
      <c r="A1485" s="1"/>
    </row>
    <row r="1486" spans="1:1" x14ac:dyDescent="0.3">
      <c r="A1486" s="1"/>
    </row>
    <row r="1487" spans="1:1" x14ac:dyDescent="0.3">
      <c r="A1487" s="1"/>
    </row>
    <row r="1488" spans="1:1" x14ac:dyDescent="0.3">
      <c r="A1488" s="1"/>
    </row>
    <row r="1489" spans="1:1" x14ac:dyDescent="0.3">
      <c r="A1489" s="1"/>
    </row>
    <row r="1490" spans="1:1" x14ac:dyDescent="0.3">
      <c r="A1490" s="1"/>
    </row>
    <row r="1491" spans="1:1" x14ac:dyDescent="0.3">
      <c r="A1491" s="1"/>
    </row>
    <row r="1492" spans="1:1" x14ac:dyDescent="0.3">
      <c r="A1492" s="1"/>
    </row>
    <row r="1493" spans="1:1" x14ac:dyDescent="0.3">
      <c r="A1493" s="1"/>
    </row>
    <row r="1494" spans="1:1" x14ac:dyDescent="0.3">
      <c r="A1494" s="1"/>
    </row>
    <row r="1495" spans="1:1" x14ac:dyDescent="0.3">
      <c r="A1495" s="1"/>
    </row>
    <row r="1496" spans="1:1" x14ac:dyDescent="0.3">
      <c r="A1496" s="1"/>
    </row>
    <row r="1497" spans="1:1" x14ac:dyDescent="0.3">
      <c r="A1497" s="1"/>
    </row>
    <row r="1498" spans="1:1" x14ac:dyDescent="0.3">
      <c r="A1498" s="1"/>
    </row>
    <row r="1499" spans="1:1" x14ac:dyDescent="0.3">
      <c r="A1499" s="1"/>
    </row>
    <row r="1500" spans="1:1" x14ac:dyDescent="0.3">
      <c r="A1500" s="44"/>
    </row>
    <row r="1501" spans="1:1" x14ac:dyDescent="0.3">
      <c r="A1501" s="1"/>
    </row>
    <row r="1502" spans="1:1" x14ac:dyDescent="0.3">
      <c r="A1502" s="1"/>
    </row>
    <row r="1503" spans="1:1" x14ac:dyDescent="0.3">
      <c r="A1503" s="1"/>
    </row>
    <row r="1504" spans="1:1" x14ac:dyDescent="0.3">
      <c r="A1504" s="1"/>
    </row>
    <row r="1505" spans="1:1" x14ac:dyDescent="0.3">
      <c r="A1505" s="1"/>
    </row>
    <row r="1506" spans="1:1" x14ac:dyDescent="0.3">
      <c r="A1506" s="44"/>
    </row>
    <row r="1507" spans="1:1" x14ac:dyDescent="0.3">
      <c r="A1507" s="1"/>
    </row>
    <row r="1508" spans="1:1" x14ac:dyDescent="0.3">
      <c r="A1508" s="1"/>
    </row>
    <row r="1509" spans="1:1" x14ac:dyDescent="0.3">
      <c r="A1509" s="1"/>
    </row>
    <row r="1510" spans="1:1" x14ac:dyDescent="0.3">
      <c r="A1510" s="44"/>
    </row>
    <row r="1511" spans="1:1" x14ac:dyDescent="0.3">
      <c r="A1511" s="1"/>
    </row>
    <row r="1512" spans="1:1" x14ac:dyDescent="0.3">
      <c r="A1512" s="44"/>
    </row>
    <row r="1513" spans="1:1" x14ac:dyDescent="0.3">
      <c r="A1513" s="1"/>
    </row>
    <row r="1514" spans="1:1" x14ac:dyDescent="0.3">
      <c r="A1514" s="1"/>
    </row>
    <row r="1515" spans="1:1" x14ac:dyDescent="0.3">
      <c r="A1515" s="44"/>
    </row>
    <row r="1516" spans="1:1" x14ac:dyDescent="0.3">
      <c r="A1516" s="1"/>
    </row>
    <row r="1517" spans="1:1" x14ac:dyDescent="0.3">
      <c r="A1517" s="44"/>
    </row>
    <row r="1518" spans="1:1" x14ac:dyDescent="0.3">
      <c r="A1518" s="1"/>
    </row>
    <row r="1519" spans="1:1" x14ac:dyDescent="0.3">
      <c r="A1519" s="1"/>
    </row>
    <row r="1520" spans="1:1" x14ac:dyDescent="0.3">
      <c r="A1520" s="1"/>
    </row>
    <row r="1521" spans="1:1" x14ac:dyDescent="0.3">
      <c r="A1521" s="1"/>
    </row>
    <row r="1522" spans="1:1" x14ac:dyDescent="0.3">
      <c r="A1522" s="1"/>
    </row>
    <row r="1523" spans="1:1" x14ac:dyDescent="0.3">
      <c r="A1523" s="1"/>
    </row>
    <row r="1524" spans="1:1" x14ac:dyDescent="0.3">
      <c r="A1524" s="1"/>
    </row>
    <row r="1525" spans="1:1" x14ac:dyDescent="0.3">
      <c r="A1525" s="44"/>
    </row>
    <row r="1526" spans="1:1" x14ac:dyDescent="0.3">
      <c r="A1526" s="1"/>
    </row>
    <row r="1527" spans="1:1" x14ac:dyDescent="0.3">
      <c r="A1527" s="1"/>
    </row>
    <row r="1528" spans="1:1" x14ac:dyDescent="0.3">
      <c r="A1528" s="1"/>
    </row>
    <row r="1529" spans="1:1" x14ac:dyDescent="0.3">
      <c r="A1529" s="44"/>
    </row>
    <row r="1530" spans="1:1" x14ac:dyDescent="0.3">
      <c r="A1530" s="1"/>
    </row>
    <row r="1531" spans="1:1" x14ac:dyDescent="0.3">
      <c r="A1531" s="1"/>
    </row>
    <row r="1532" spans="1:1" x14ac:dyDescent="0.3">
      <c r="A1532" s="1"/>
    </row>
    <row r="1533" spans="1:1" x14ac:dyDescent="0.3">
      <c r="A1533" s="44"/>
    </row>
    <row r="1534" spans="1:1" x14ac:dyDescent="0.3">
      <c r="A1534" s="1"/>
    </row>
    <row r="1535" spans="1:1" x14ac:dyDescent="0.3">
      <c r="A1535" s="1"/>
    </row>
    <row r="1536" spans="1:1" x14ac:dyDescent="0.3">
      <c r="A1536" s="1"/>
    </row>
    <row r="1537" spans="1:1" x14ac:dyDescent="0.3">
      <c r="A1537" s="1"/>
    </row>
    <row r="1538" spans="1:1" x14ac:dyDescent="0.3">
      <c r="A1538" s="1"/>
    </row>
    <row r="1539" spans="1:1" x14ac:dyDescent="0.3">
      <c r="A1539" s="44"/>
    </row>
    <row r="1540" spans="1:1" x14ac:dyDescent="0.3">
      <c r="A1540" s="1"/>
    </row>
    <row r="1541" spans="1:1" x14ac:dyDescent="0.3">
      <c r="A1541" s="1"/>
    </row>
    <row r="1542" spans="1:1" x14ac:dyDescent="0.3">
      <c r="A1542" s="1"/>
    </row>
    <row r="1543" spans="1:1" x14ac:dyDescent="0.3">
      <c r="A1543" s="1"/>
    </row>
    <row r="1544" spans="1:1" x14ac:dyDescent="0.3">
      <c r="A1544" s="44"/>
    </row>
    <row r="1545" spans="1:1" x14ac:dyDescent="0.3">
      <c r="A1545" s="1"/>
    </row>
    <row r="1546" spans="1:1" x14ac:dyDescent="0.3">
      <c r="A1546" s="1"/>
    </row>
    <row r="1547" spans="1:1" x14ac:dyDescent="0.3">
      <c r="A1547" s="1"/>
    </row>
    <row r="1548" spans="1:1" x14ac:dyDescent="0.3">
      <c r="A1548" s="1"/>
    </row>
    <row r="1549" spans="1:1" x14ac:dyDescent="0.3">
      <c r="A1549" s="1"/>
    </row>
    <row r="1550" spans="1:1" x14ac:dyDescent="0.3">
      <c r="A1550" s="44"/>
    </row>
    <row r="1551" spans="1:1" x14ac:dyDescent="0.3">
      <c r="A1551" s="1"/>
    </row>
    <row r="1552" spans="1:1" x14ac:dyDescent="0.3">
      <c r="A1552" s="1"/>
    </row>
    <row r="1553" spans="1:1" x14ac:dyDescent="0.3">
      <c r="A1553" s="1"/>
    </row>
    <row r="1554" spans="1:1" x14ac:dyDescent="0.3">
      <c r="A1554" s="1"/>
    </row>
    <row r="1555" spans="1:1" x14ac:dyDescent="0.3">
      <c r="A1555" s="1"/>
    </row>
    <row r="1556" spans="1:1" x14ac:dyDescent="0.3">
      <c r="A1556" s="1"/>
    </row>
    <row r="1557" spans="1:1" x14ac:dyDescent="0.3">
      <c r="A1557" s="1"/>
    </row>
    <row r="1558" spans="1:1" x14ac:dyDescent="0.3">
      <c r="A1558" s="1"/>
    </row>
    <row r="1559" spans="1:1" x14ac:dyDescent="0.3">
      <c r="A1559" s="44"/>
    </row>
    <row r="1560" spans="1:1" x14ac:dyDescent="0.3">
      <c r="A1560" s="1"/>
    </row>
    <row r="1561" spans="1:1" x14ac:dyDescent="0.3">
      <c r="A1561" s="1"/>
    </row>
    <row r="1562" spans="1:1" x14ac:dyDescent="0.3">
      <c r="A1562" s="1"/>
    </row>
    <row r="1563" spans="1:1" x14ac:dyDescent="0.3">
      <c r="A1563" s="1"/>
    </row>
    <row r="1564" spans="1:1" x14ac:dyDescent="0.3">
      <c r="A1564" s="1"/>
    </row>
    <row r="1565" spans="1:1" x14ac:dyDescent="0.3">
      <c r="A1565" s="1"/>
    </row>
    <row r="1566" spans="1:1" x14ac:dyDescent="0.3">
      <c r="A1566" s="1"/>
    </row>
    <row r="1567" spans="1:1" x14ac:dyDescent="0.3">
      <c r="A1567" s="1"/>
    </row>
    <row r="1568" spans="1:1" x14ac:dyDescent="0.3">
      <c r="A1568" s="1"/>
    </row>
    <row r="1569" spans="1:1" x14ac:dyDescent="0.3">
      <c r="A1569" s="1"/>
    </row>
    <row r="1570" spans="1:1" x14ac:dyDescent="0.3">
      <c r="A1570" s="1"/>
    </row>
    <row r="1571" spans="1:1" x14ac:dyDescent="0.3">
      <c r="A1571" s="1"/>
    </row>
    <row r="1572" spans="1:1" x14ac:dyDescent="0.3">
      <c r="A1572" s="1"/>
    </row>
    <row r="1573" spans="1:1" x14ac:dyDescent="0.3">
      <c r="A1573" s="1"/>
    </row>
    <row r="1574" spans="1:1" x14ac:dyDescent="0.3">
      <c r="A1574" s="1"/>
    </row>
    <row r="1575" spans="1:1" x14ac:dyDescent="0.3">
      <c r="A1575" s="1"/>
    </row>
    <row r="1576" spans="1:1" x14ac:dyDescent="0.3">
      <c r="A1576" s="1"/>
    </row>
    <row r="1577" spans="1:1" x14ac:dyDescent="0.3">
      <c r="A1577" s="1"/>
    </row>
    <row r="1578" spans="1:1" x14ac:dyDescent="0.3">
      <c r="A1578" s="1"/>
    </row>
    <row r="1579" spans="1:1" x14ac:dyDescent="0.3">
      <c r="A1579" s="1"/>
    </row>
    <row r="1580" spans="1:1" x14ac:dyDescent="0.3">
      <c r="A1580" s="44"/>
    </row>
    <row r="1581" spans="1:1" x14ac:dyDescent="0.3">
      <c r="A1581" s="1"/>
    </row>
    <row r="1582" spans="1:1" x14ac:dyDescent="0.3">
      <c r="A1582" s="1"/>
    </row>
    <row r="1583" spans="1:1" x14ac:dyDescent="0.3">
      <c r="A1583" s="1"/>
    </row>
    <row r="1584" spans="1:1" x14ac:dyDescent="0.3">
      <c r="A1584" s="1"/>
    </row>
    <row r="1585" spans="1:1" x14ac:dyDescent="0.3">
      <c r="A1585" s="1"/>
    </row>
    <row r="1586" spans="1:1" x14ac:dyDescent="0.3">
      <c r="A1586" s="1"/>
    </row>
    <row r="1587" spans="1:1" x14ac:dyDescent="0.3">
      <c r="A1587" s="1"/>
    </row>
    <row r="1588" spans="1:1" x14ac:dyDescent="0.3">
      <c r="A1588" s="1"/>
    </row>
    <row r="1589" spans="1:1" x14ac:dyDescent="0.3">
      <c r="A1589" s="1"/>
    </row>
    <row r="1590" spans="1:1" x14ac:dyDescent="0.3">
      <c r="A1590" s="1"/>
    </row>
    <row r="1591" spans="1:1" x14ac:dyDescent="0.3">
      <c r="A1591" s="1"/>
    </row>
    <row r="1592" spans="1:1" x14ac:dyDescent="0.3">
      <c r="A1592" s="1"/>
    </row>
    <row r="1593" spans="1:1" x14ac:dyDescent="0.3">
      <c r="A1593" s="1"/>
    </row>
    <row r="1594" spans="1:1" x14ac:dyDescent="0.3">
      <c r="A1594" s="1"/>
    </row>
    <row r="1595" spans="1:1" x14ac:dyDescent="0.3">
      <c r="A1595" s="1"/>
    </row>
    <row r="1596" spans="1:1" x14ac:dyDescent="0.3">
      <c r="A1596" s="1"/>
    </row>
    <row r="1597" spans="1:1" x14ac:dyDescent="0.3">
      <c r="A1597" s="1"/>
    </row>
    <row r="1598" spans="1:1" x14ac:dyDescent="0.3">
      <c r="A1598" s="1"/>
    </row>
    <row r="1599" spans="1:1" x14ac:dyDescent="0.3">
      <c r="A1599" s="1"/>
    </row>
    <row r="1600" spans="1:1" x14ac:dyDescent="0.3">
      <c r="A1600" s="1"/>
    </row>
    <row r="1601" spans="1:1" x14ac:dyDescent="0.3">
      <c r="A1601" s="1"/>
    </row>
    <row r="1602" spans="1:1" x14ac:dyDescent="0.3">
      <c r="A1602" s="1"/>
    </row>
    <row r="1603" spans="1:1" x14ac:dyDescent="0.3">
      <c r="A1603" s="1"/>
    </row>
    <row r="1604" spans="1:1" x14ac:dyDescent="0.3">
      <c r="A1604" s="1"/>
    </row>
    <row r="1605" spans="1:1" x14ac:dyDescent="0.3">
      <c r="A1605" s="1"/>
    </row>
    <row r="1606" spans="1:1" x14ac:dyDescent="0.3">
      <c r="A1606" s="1"/>
    </row>
    <row r="1607" spans="1:1" x14ac:dyDescent="0.3">
      <c r="A1607" s="1"/>
    </row>
    <row r="1608" spans="1:1" x14ac:dyDescent="0.3">
      <c r="A1608" s="1"/>
    </row>
    <row r="1609" spans="1:1" x14ac:dyDescent="0.3">
      <c r="A1609" s="1"/>
    </row>
    <row r="1610" spans="1:1" x14ac:dyDescent="0.3">
      <c r="A1610" s="1"/>
    </row>
    <row r="1611" spans="1:1" x14ac:dyDescent="0.3">
      <c r="A1611" s="1"/>
    </row>
    <row r="1612" spans="1:1" x14ac:dyDescent="0.3">
      <c r="A1612" s="1"/>
    </row>
    <row r="1613" spans="1:1" x14ac:dyDescent="0.3">
      <c r="A1613" s="1"/>
    </row>
    <row r="1614" spans="1:1" x14ac:dyDescent="0.3">
      <c r="A1614" s="1"/>
    </row>
    <row r="1615" spans="1:1" x14ac:dyDescent="0.3">
      <c r="A1615" s="1"/>
    </row>
    <row r="1616" spans="1:1" x14ac:dyDescent="0.3">
      <c r="A1616" s="1"/>
    </row>
    <row r="1617" spans="1:1" x14ac:dyDescent="0.3">
      <c r="A1617" s="1"/>
    </row>
    <row r="1618" spans="1:1" x14ac:dyDescent="0.3">
      <c r="A1618" s="1"/>
    </row>
    <row r="1619" spans="1:1" x14ac:dyDescent="0.3">
      <c r="A1619" s="1"/>
    </row>
    <row r="1620" spans="1:1" x14ac:dyDescent="0.3">
      <c r="A1620" s="1"/>
    </row>
    <row r="1621" spans="1:1" x14ac:dyDescent="0.3">
      <c r="A1621" s="1"/>
    </row>
    <row r="1622" spans="1:1" x14ac:dyDescent="0.3">
      <c r="A1622" s="1"/>
    </row>
    <row r="1623" spans="1:1" x14ac:dyDescent="0.3">
      <c r="A1623" s="1"/>
    </row>
    <row r="1624" spans="1:1" x14ac:dyDescent="0.3">
      <c r="A1624" s="1"/>
    </row>
    <row r="1625" spans="1:1" x14ac:dyDescent="0.3">
      <c r="A1625" s="1"/>
    </row>
    <row r="1626" spans="1:1" x14ac:dyDescent="0.3">
      <c r="A1626" s="1"/>
    </row>
    <row r="1627" spans="1:1" x14ac:dyDescent="0.3">
      <c r="A1627" s="1"/>
    </row>
    <row r="1628" spans="1:1" x14ac:dyDescent="0.3">
      <c r="A1628" s="1"/>
    </row>
    <row r="1629" spans="1:1" x14ac:dyDescent="0.3">
      <c r="A1629" s="1"/>
    </row>
    <row r="1630" spans="1:1" x14ac:dyDescent="0.3">
      <c r="A1630" s="1"/>
    </row>
    <row r="1631" spans="1:1" x14ac:dyDescent="0.3">
      <c r="A1631" s="1"/>
    </row>
    <row r="1632" spans="1:1" x14ac:dyDescent="0.3">
      <c r="A1632" s="1"/>
    </row>
    <row r="1633" spans="1:1" x14ac:dyDescent="0.3">
      <c r="A1633" s="1"/>
    </row>
    <row r="1634" spans="1:1" x14ac:dyDescent="0.3">
      <c r="A1634" s="1"/>
    </row>
    <row r="1635" spans="1:1" x14ac:dyDescent="0.3">
      <c r="A1635" s="1"/>
    </row>
    <row r="1636" spans="1:1" x14ac:dyDescent="0.3">
      <c r="A1636" s="1"/>
    </row>
    <row r="1637" spans="1:1" x14ac:dyDescent="0.3">
      <c r="A1637" s="1"/>
    </row>
    <row r="1638" spans="1:1" x14ac:dyDescent="0.3">
      <c r="A1638" s="1"/>
    </row>
    <row r="1639" spans="1:1" x14ac:dyDescent="0.3">
      <c r="A1639" s="1"/>
    </row>
    <row r="1640" spans="1:1" x14ac:dyDescent="0.3">
      <c r="A1640" s="1"/>
    </row>
    <row r="1641" spans="1:1" x14ac:dyDescent="0.3">
      <c r="A1641" s="1"/>
    </row>
    <row r="1642" spans="1:1" x14ac:dyDescent="0.3">
      <c r="A1642" s="1"/>
    </row>
    <row r="1643" spans="1:1" x14ac:dyDescent="0.3">
      <c r="A1643" s="1"/>
    </row>
    <row r="1644" spans="1:1" x14ac:dyDescent="0.3">
      <c r="A1644" s="1"/>
    </row>
    <row r="1645" spans="1:1" x14ac:dyDescent="0.3">
      <c r="A1645" s="1"/>
    </row>
    <row r="1646" spans="1:1" x14ac:dyDescent="0.3">
      <c r="A1646" s="1"/>
    </row>
    <row r="1647" spans="1:1" x14ac:dyDescent="0.3">
      <c r="A1647" s="1"/>
    </row>
    <row r="1648" spans="1:1" x14ac:dyDescent="0.3">
      <c r="A1648" s="1"/>
    </row>
    <row r="1649" spans="1:1" x14ac:dyDescent="0.3">
      <c r="A1649" s="1"/>
    </row>
    <row r="1650" spans="1:1" x14ac:dyDescent="0.3">
      <c r="A1650" s="1"/>
    </row>
    <row r="1651" spans="1:1" x14ac:dyDescent="0.3">
      <c r="A1651" s="1"/>
    </row>
    <row r="1652" spans="1:1" x14ac:dyDescent="0.3">
      <c r="A1652" s="1"/>
    </row>
    <row r="1653" spans="1:1" x14ac:dyDescent="0.3">
      <c r="A1653" s="1"/>
    </row>
    <row r="1654" spans="1:1" x14ac:dyDescent="0.3">
      <c r="A1654" s="1"/>
    </row>
    <row r="1655" spans="1:1" x14ac:dyDescent="0.3">
      <c r="A1655" s="1"/>
    </row>
    <row r="1656" spans="1:1" x14ac:dyDescent="0.3">
      <c r="A1656" s="1"/>
    </row>
    <row r="1657" spans="1:1" x14ac:dyDescent="0.3">
      <c r="A1657" s="1"/>
    </row>
    <row r="1658" spans="1:1" x14ac:dyDescent="0.3">
      <c r="A1658" s="1"/>
    </row>
    <row r="1659" spans="1:1" x14ac:dyDescent="0.3">
      <c r="A1659" s="1"/>
    </row>
    <row r="1660" spans="1:1" x14ac:dyDescent="0.3">
      <c r="A1660" s="1"/>
    </row>
    <row r="1661" spans="1:1" x14ac:dyDescent="0.3">
      <c r="A1661" s="1"/>
    </row>
    <row r="1662" spans="1:1" x14ac:dyDescent="0.3">
      <c r="A1662" s="1"/>
    </row>
    <row r="1663" spans="1:1" x14ac:dyDescent="0.3">
      <c r="A1663" s="1"/>
    </row>
    <row r="1664" spans="1:1" x14ac:dyDescent="0.3">
      <c r="A1664" s="1"/>
    </row>
    <row r="1665" spans="1:1" x14ac:dyDescent="0.3">
      <c r="A1665" s="1"/>
    </row>
    <row r="1666" spans="1:1" x14ac:dyDescent="0.3">
      <c r="A1666" s="1"/>
    </row>
    <row r="1667" spans="1:1" x14ac:dyDescent="0.3">
      <c r="A1667" s="1"/>
    </row>
    <row r="1668" spans="1:1" x14ac:dyDescent="0.3">
      <c r="A1668" s="1"/>
    </row>
    <row r="1669" spans="1:1" x14ac:dyDescent="0.3">
      <c r="A1669" s="1"/>
    </row>
    <row r="1670" spans="1:1" x14ac:dyDescent="0.3">
      <c r="A1670" s="1"/>
    </row>
    <row r="1671" spans="1:1" x14ac:dyDescent="0.3">
      <c r="A1671" s="1"/>
    </row>
    <row r="1672" spans="1:1" x14ac:dyDescent="0.3">
      <c r="A1672" s="1"/>
    </row>
    <row r="1673" spans="1:1" x14ac:dyDescent="0.3">
      <c r="A1673" s="1"/>
    </row>
    <row r="1674" spans="1:1" x14ac:dyDescent="0.3">
      <c r="A1674" s="1"/>
    </row>
    <row r="1675" spans="1:1" x14ac:dyDescent="0.3">
      <c r="A1675" s="1"/>
    </row>
    <row r="1676" spans="1:1" x14ac:dyDescent="0.3">
      <c r="A1676" s="1"/>
    </row>
    <row r="1677" spans="1:1" x14ac:dyDescent="0.3">
      <c r="A1677" s="1"/>
    </row>
    <row r="1678" spans="1:1" x14ac:dyDescent="0.3">
      <c r="A1678" s="1"/>
    </row>
    <row r="1679" spans="1:1" x14ac:dyDescent="0.3">
      <c r="A1679" s="1"/>
    </row>
    <row r="1680" spans="1:1" x14ac:dyDescent="0.3">
      <c r="A1680" s="1"/>
    </row>
    <row r="1681" spans="1:1" x14ac:dyDescent="0.3">
      <c r="A1681" s="1"/>
    </row>
    <row r="1682" spans="1:1" x14ac:dyDescent="0.3">
      <c r="A1682" s="1"/>
    </row>
    <row r="1683" spans="1:1" x14ac:dyDescent="0.3">
      <c r="A1683" s="1"/>
    </row>
    <row r="1684" spans="1:1" x14ac:dyDescent="0.3">
      <c r="A1684" s="1"/>
    </row>
    <row r="1685" spans="1:1" x14ac:dyDescent="0.3">
      <c r="A1685" s="1"/>
    </row>
    <row r="1686" spans="1:1" x14ac:dyDescent="0.3">
      <c r="A1686" s="1"/>
    </row>
    <row r="1687" spans="1:1" x14ac:dyDescent="0.3">
      <c r="A1687" s="1"/>
    </row>
    <row r="1688" spans="1:1" x14ac:dyDescent="0.3">
      <c r="A1688" s="1"/>
    </row>
    <row r="1689" spans="1:1" x14ac:dyDescent="0.3">
      <c r="A1689" s="1"/>
    </row>
    <row r="1690" spans="1:1" x14ac:dyDescent="0.3">
      <c r="A1690" s="1"/>
    </row>
    <row r="1691" spans="1:1" x14ac:dyDescent="0.3">
      <c r="A1691" s="1"/>
    </row>
    <row r="1692" spans="1:1" x14ac:dyDescent="0.3">
      <c r="A1692" s="1"/>
    </row>
    <row r="1693" spans="1:1" x14ac:dyDescent="0.3">
      <c r="A1693" s="1"/>
    </row>
    <row r="1694" spans="1:1" x14ac:dyDescent="0.3">
      <c r="A1694" s="1"/>
    </row>
    <row r="1695" spans="1:1" x14ac:dyDescent="0.3">
      <c r="A1695" s="1"/>
    </row>
    <row r="1696" spans="1:1" x14ac:dyDescent="0.3">
      <c r="A1696" s="1"/>
    </row>
    <row r="1697" spans="1:1" x14ac:dyDescent="0.3">
      <c r="A1697" s="1"/>
    </row>
    <row r="1698" spans="1:1" x14ac:dyDescent="0.3">
      <c r="A1698" s="1"/>
    </row>
    <row r="1699" spans="1:1" x14ac:dyDescent="0.3">
      <c r="A1699" s="1"/>
    </row>
    <row r="1700" spans="1:1" x14ac:dyDescent="0.3">
      <c r="A1700" s="1"/>
    </row>
    <row r="1701" spans="1:1" x14ac:dyDescent="0.3">
      <c r="A1701" s="1"/>
    </row>
    <row r="1702" spans="1:1" x14ac:dyDescent="0.3">
      <c r="A1702" s="1"/>
    </row>
    <row r="1703" spans="1:1" x14ac:dyDescent="0.3">
      <c r="A1703" s="1"/>
    </row>
    <row r="1704" spans="1:1" x14ac:dyDescent="0.3">
      <c r="A1704" s="1"/>
    </row>
    <row r="1705" spans="1:1" x14ac:dyDescent="0.3">
      <c r="A1705" s="1"/>
    </row>
    <row r="1706" spans="1:1" x14ac:dyDescent="0.3">
      <c r="A1706" s="1"/>
    </row>
    <row r="1707" spans="1:1" x14ac:dyDescent="0.3">
      <c r="A1707" s="1"/>
    </row>
    <row r="1708" spans="1:1" x14ac:dyDescent="0.3">
      <c r="A1708" s="1"/>
    </row>
    <row r="1709" spans="1:1" x14ac:dyDescent="0.3">
      <c r="A1709" s="1"/>
    </row>
    <row r="1710" spans="1:1" x14ac:dyDescent="0.3">
      <c r="A1710" s="44"/>
    </row>
    <row r="1711" spans="1:1" x14ac:dyDescent="0.3">
      <c r="A1711" s="1"/>
    </row>
    <row r="1712" spans="1:1" x14ac:dyDescent="0.3">
      <c r="A1712" s="1"/>
    </row>
    <row r="1713" spans="1:1" x14ac:dyDescent="0.3">
      <c r="A1713" s="1"/>
    </row>
    <row r="1714" spans="1:1" x14ac:dyDescent="0.3">
      <c r="A1714" s="44"/>
    </row>
    <row r="1715" spans="1:1" x14ac:dyDescent="0.3">
      <c r="A1715" s="1"/>
    </row>
    <row r="1716" spans="1:1" x14ac:dyDescent="0.3">
      <c r="A1716" s="1"/>
    </row>
    <row r="1717" spans="1:1" x14ac:dyDescent="0.3">
      <c r="A1717" s="1"/>
    </row>
    <row r="1718" spans="1:1" x14ac:dyDescent="0.3">
      <c r="A1718" s="1"/>
    </row>
    <row r="1719" spans="1:1" x14ac:dyDescent="0.3">
      <c r="A1719" s="1"/>
    </row>
    <row r="1720" spans="1:1" x14ac:dyDescent="0.3">
      <c r="A1720" s="1"/>
    </row>
    <row r="1721" spans="1:1" x14ac:dyDescent="0.3">
      <c r="A1721" s="44"/>
    </row>
    <row r="1722" spans="1:1" x14ac:dyDescent="0.3">
      <c r="A1722" s="1"/>
    </row>
    <row r="1723" spans="1:1" x14ac:dyDescent="0.3">
      <c r="A1723" s="44"/>
    </row>
    <row r="1724" spans="1:1" x14ac:dyDescent="0.3">
      <c r="A1724" s="1"/>
    </row>
    <row r="1725" spans="1:1" x14ac:dyDescent="0.3">
      <c r="A1725" s="1"/>
    </row>
    <row r="1726" spans="1:1" x14ac:dyDescent="0.3">
      <c r="A1726" s="1"/>
    </row>
    <row r="1727" spans="1:1" x14ac:dyDescent="0.3">
      <c r="A1727" s="1"/>
    </row>
    <row r="1728" spans="1:1" x14ac:dyDescent="0.3">
      <c r="A1728" s="1"/>
    </row>
    <row r="1729" spans="1:1" x14ac:dyDescent="0.3">
      <c r="A1729" s="1"/>
    </row>
    <row r="1730" spans="1:1" x14ac:dyDescent="0.3">
      <c r="A1730" s="1"/>
    </row>
    <row r="1731" spans="1:1" x14ac:dyDescent="0.3">
      <c r="A1731" s="1"/>
    </row>
    <row r="1732" spans="1:1" x14ac:dyDescent="0.3">
      <c r="A1732" s="1"/>
    </row>
    <row r="1733" spans="1:1" x14ac:dyDescent="0.3">
      <c r="A1733" s="1"/>
    </row>
    <row r="1734" spans="1:1" x14ac:dyDescent="0.3">
      <c r="A1734" s="1"/>
    </row>
    <row r="1735" spans="1:1" x14ac:dyDescent="0.3">
      <c r="A1735" s="1"/>
    </row>
    <row r="1736" spans="1:1" x14ac:dyDescent="0.3">
      <c r="A1736" s="1"/>
    </row>
    <row r="1737" spans="1:1" x14ac:dyDescent="0.3">
      <c r="A1737" s="1"/>
    </row>
    <row r="1738" spans="1:1" x14ac:dyDescent="0.3">
      <c r="A1738" s="1"/>
    </row>
    <row r="1739" spans="1:1" x14ac:dyDescent="0.3">
      <c r="A1739" s="1"/>
    </row>
    <row r="1740" spans="1:1" x14ac:dyDescent="0.3">
      <c r="A1740" s="1"/>
    </row>
    <row r="1741" spans="1:1" x14ac:dyDescent="0.3">
      <c r="A1741" s="1"/>
    </row>
    <row r="1742" spans="1:1" x14ac:dyDescent="0.3">
      <c r="A1742" s="1"/>
    </row>
    <row r="1743" spans="1:1" x14ac:dyDescent="0.3">
      <c r="A1743" s="44"/>
    </row>
    <row r="1744" spans="1:1" x14ac:dyDescent="0.3">
      <c r="A1744" s="1"/>
    </row>
    <row r="1745" spans="1:1" x14ac:dyDescent="0.3">
      <c r="A1745" s="1"/>
    </row>
    <row r="1746" spans="1:1" x14ac:dyDescent="0.3">
      <c r="A1746" s="1"/>
    </row>
    <row r="1747" spans="1:1" x14ac:dyDescent="0.3">
      <c r="A1747" s="1"/>
    </row>
    <row r="1748" spans="1:1" x14ac:dyDescent="0.3">
      <c r="A1748" s="1"/>
    </row>
    <row r="1749" spans="1:1" x14ac:dyDescent="0.3">
      <c r="A1749" s="1"/>
    </row>
    <row r="1750" spans="1:1" x14ac:dyDescent="0.3">
      <c r="A1750" s="44"/>
    </row>
    <row r="1751" spans="1:1" x14ac:dyDescent="0.3">
      <c r="A1751" s="44"/>
    </row>
    <row r="1752" spans="1:1" x14ac:dyDescent="0.3">
      <c r="A1752" s="44"/>
    </row>
    <row r="1753" spans="1:1" x14ac:dyDescent="0.3">
      <c r="A1753" s="1"/>
    </row>
    <row r="1754" spans="1:1" x14ac:dyDescent="0.3">
      <c r="A1754" s="1"/>
    </row>
    <row r="1755" spans="1:1" x14ac:dyDescent="0.3">
      <c r="A1755" s="1"/>
    </row>
    <row r="1756" spans="1:1" x14ac:dyDescent="0.3">
      <c r="A1756" s="1"/>
    </row>
    <row r="1757" spans="1:1" x14ac:dyDescent="0.3">
      <c r="A1757" s="1"/>
    </row>
    <row r="1758" spans="1:1" x14ac:dyDescent="0.3">
      <c r="A1758" s="1"/>
    </row>
    <row r="1759" spans="1:1" x14ac:dyDescent="0.3">
      <c r="A1759" s="1"/>
    </row>
    <row r="1760" spans="1:1" x14ac:dyDescent="0.3">
      <c r="A1760" s="1"/>
    </row>
    <row r="1761" spans="1:1" x14ac:dyDescent="0.3">
      <c r="A1761" s="1"/>
    </row>
    <row r="1762" spans="1:1" x14ac:dyDescent="0.3">
      <c r="A1762" s="1"/>
    </row>
    <row r="1763" spans="1:1" x14ac:dyDescent="0.3">
      <c r="A1763" s="1"/>
    </row>
    <row r="1764" spans="1:1" x14ac:dyDescent="0.3">
      <c r="A1764" s="1"/>
    </row>
    <row r="1765" spans="1:1" x14ac:dyDescent="0.3">
      <c r="A1765" s="1"/>
    </row>
    <row r="1766" spans="1:1" x14ac:dyDescent="0.3">
      <c r="A1766" s="1"/>
    </row>
    <row r="1767" spans="1:1" x14ac:dyDescent="0.3">
      <c r="A1767" s="1"/>
    </row>
    <row r="1768" spans="1:1" x14ac:dyDescent="0.3">
      <c r="A1768" s="1"/>
    </row>
    <row r="1769" spans="1:1" x14ac:dyDescent="0.3">
      <c r="A1769" s="1"/>
    </row>
    <row r="1770" spans="1:1" x14ac:dyDescent="0.3">
      <c r="A1770" s="1"/>
    </row>
    <row r="1771" spans="1:1" x14ac:dyDescent="0.3">
      <c r="A1771" s="1"/>
    </row>
    <row r="1772" spans="1:1" x14ac:dyDescent="0.3">
      <c r="A1772" s="1"/>
    </row>
    <row r="1773" spans="1:1" x14ac:dyDescent="0.3">
      <c r="A1773" s="1"/>
    </row>
    <row r="1774" spans="1:1" x14ac:dyDescent="0.3">
      <c r="A1774" s="1"/>
    </row>
    <row r="1775" spans="1:1" x14ac:dyDescent="0.3">
      <c r="A1775" s="1"/>
    </row>
    <row r="1776" spans="1:1" x14ac:dyDescent="0.3">
      <c r="A1776" s="1"/>
    </row>
    <row r="1777" spans="1:1" x14ac:dyDescent="0.3">
      <c r="A1777" s="1"/>
    </row>
    <row r="1778" spans="1:1" x14ac:dyDescent="0.3">
      <c r="A1778" s="44"/>
    </row>
    <row r="1779" spans="1:1" x14ac:dyDescent="0.3">
      <c r="A1779" s="1"/>
    </row>
    <row r="1780" spans="1:1" x14ac:dyDescent="0.3">
      <c r="A1780" s="1"/>
    </row>
    <row r="1781" spans="1:1" x14ac:dyDescent="0.3">
      <c r="A1781" s="1"/>
    </row>
    <row r="1782" spans="1:1" x14ac:dyDescent="0.3">
      <c r="A1782" s="1"/>
    </row>
    <row r="1783" spans="1:1" x14ac:dyDescent="0.3">
      <c r="A1783" s="44"/>
    </row>
    <row r="1784" spans="1:1" x14ac:dyDescent="0.3">
      <c r="A1784" s="1"/>
    </row>
    <row r="1785" spans="1:1" x14ac:dyDescent="0.3">
      <c r="A1785" s="1"/>
    </row>
    <row r="1786" spans="1:1" x14ac:dyDescent="0.3">
      <c r="A1786" s="1"/>
    </row>
    <row r="1787" spans="1:1" x14ac:dyDescent="0.3">
      <c r="A1787" s="44"/>
    </row>
    <row r="1788" spans="1:1" x14ac:dyDescent="0.3">
      <c r="A1788" s="1"/>
    </row>
    <row r="1789" spans="1:1" x14ac:dyDescent="0.3">
      <c r="A1789" s="1"/>
    </row>
    <row r="1790" spans="1:1" x14ac:dyDescent="0.3">
      <c r="A1790" s="1"/>
    </row>
    <row r="1791" spans="1:1" x14ac:dyDescent="0.3">
      <c r="A1791" s="1"/>
    </row>
    <row r="1792" spans="1:1" x14ac:dyDescent="0.3">
      <c r="A1792" s="1"/>
    </row>
    <row r="1793" spans="1:1" x14ac:dyDescent="0.3">
      <c r="A1793" s="1"/>
    </row>
    <row r="1794" spans="1:1" x14ac:dyDescent="0.3">
      <c r="A1794" s="44"/>
    </row>
    <row r="1795" spans="1:1" x14ac:dyDescent="0.3">
      <c r="A1795" s="1"/>
    </row>
    <row r="1796" spans="1:1" x14ac:dyDescent="0.3">
      <c r="A1796" s="1"/>
    </row>
    <row r="1797" spans="1:1" x14ac:dyDescent="0.3">
      <c r="A1797" s="1"/>
    </row>
    <row r="1798" spans="1:1" x14ac:dyDescent="0.3">
      <c r="A1798" s="1"/>
    </row>
    <row r="1799" spans="1:1" x14ac:dyDescent="0.3">
      <c r="A1799" s="1"/>
    </row>
    <row r="1800" spans="1:1" x14ac:dyDescent="0.3">
      <c r="A1800" s="1"/>
    </row>
    <row r="1801" spans="1:1" x14ac:dyDescent="0.3">
      <c r="A1801" s="1"/>
    </row>
    <row r="1802" spans="1:1" x14ac:dyDescent="0.3">
      <c r="A1802" s="44"/>
    </row>
    <row r="1803" spans="1:1" x14ac:dyDescent="0.3">
      <c r="A1803" s="1"/>
    </row>
    <row r="1804" spans="1:1" x14ac:dyDescent="0.3">
      <c r="A1804" s="1"/>
    </row>
    <row r="1805" spans="1:1" x14ac:dyDescent="0.3">
      <c r="A1805" s="1"/>
    </row>
    <row r="1806" spans="1:1" x14ac:dyDescent="0.3">
      <c r="A1806" s="1"/>
    </row>
    <row r="1807" spans="1:1" x14ac:dyDescent="0.3">
      <c r="A1807" s="1"/>
    </row>
    <row r="1808" spans="1:1" x14ac:dyDescent="0.3">
      <c r="A1808" s="44"/>
    </row>
    <row r="1809" spans="1:1" x14ac:dyDescent="0.3">
      <c r="A1809" s="1"/>
    </row>
    <row r="1810" spans="1:1" x14ac:dyDescent="0.3">
      <c r="A1810" s="1"/>
    </row>
    <row r="1811" spans="1:1" x14ac:dyDescent="0.3">
      <c r="A1811" s="1"/>
    </row>
    <row r="1812" spans="1:1" x14ac:dyDescent="0.3">
      <c r="A1812" s="1"/>
    </row>
    <row r="1813" spans="1:1" x14ac:dyDescent="0.3">
      <c r="A1813" s="1"/>
    </row>
    <row r="1814" spans="1:1" x14ac:dyDescent="0.3">
      <c r="A1814" s="1"/>
    </row>
    <row r="1815" spans="1:1" x14ac:dyDescent="0.3">
      <c r="A1815" s="1"/>
    </row>
    <row r="1816" spans="1:1" x14ac:dyDescent="0.3">
      <c r="A1816" s="1"/>
    </row>
    <row r="1817" spans="1:1" x14ac:dyDescent="0.3">
      <c r="A1817" s="1"/>
    </row>
    <row r="1818" spans="1:1" x14ac:dyDescent="0.3">
      <c r="A1818" s="1"/>
    </row>
    <row r="1819" spans="1:1" x14ac:dyDescent="0.3">
      <c r="A1819" s="1"/>
    </row>
    <row r="1820" spans="1:1" x14ac:dyDescent="0.3">
      <c r="A1820" s="1"/>
    </row>
    <row r="1821" spans="1:1" x14ac:dyDescent="0.3">
      <c r="A1821" s="1"/>
    </row>
    <row r="1822" spans="1:1" x14ac:dyDescent="0.3">
      <c r="A1822" s="1"/>
    </row>
    <row r="1823" spans="1:1" x14ac:dyDescent="0.3">
      <c r="A1823" s="1"/>
    </row>
    <row r="1824" spans="1:1" x14ac:dyDescent="0.3">
      <c r="A1824" s="44"/>
    </row>
    <row r="1825" spans="1:1" x14ac:dyDescent="0.3">
      <c r="A1825" s="1"/>
    </row>
    <row r="1826" spans="1:1" x14ac:dyDescent="0.3">
      <c r="A1826" s="1"/>
    </row>
    <row r="1827" spans="1:1" x14ac:dyDescent="0.3">
      <c r="A1827" s="1"/>
    </row>
    <row r="1828" spans="1:1" x14ac:dyDescent="0.3">
      <c r="A1828" s="1"/>
    </row>
    <row r="1829" spans="1:1" x14ac:dyDescent="0.3">
      <c r="A1829" s="1"/>
    </row>
    <row r="1830" spans="1:1" x14ac:dyDescent="0.3">
      <c r="A1830" s="44"/>
    </row>
    <row r="1831" spans="1:1" x14ac:dyDescent="0.3">
      <c r="A1831" s="1"/>
    </row>
    <row r="1832" spans="1:1" x14ac:dyDescent="0.3">
      <c r="A1832" s="1"/>
    </row>
    <row r="1833" spans="1:1" x14ac:dyDescent="0.3">
      <c r="A1833" s="1"/>
    </row>
    <row r="1834" spans="1:1" x14ac:dyDescent="0.3">
      <c r="A1834" s="44"/>
    </row>
    <row r="1835" spans="1:1" x14ac:dyDescent="0.3">
      <c r="A1835" s="1"/>
    </row>
    <row r="1836" spans="1:1" x14ac:dyDescent="0.3">
      <c r="A1836" s="44"/>
    </row>
    <row r="1837" spans="1:1" x14ac:dyDescent="0.3">
      <c r="A1837" s="1"/>
    </row>
    <row r="1838" spans="1:1" x14ac:dyDescent="0.3">
      <c r="A1838" s="1"/>
    </row>
    <row r="1839" spans="1:1" x14ac:dyDescent="0.3">
      <c r="A1839" s="44"/>
    </row>
    <row r="1840" spans="1:1" x14ac:dyDescent="0.3">
      <c r="A1840" s="1"/>
    </row>
    <row r="1841" spans="1:1" x14ac:dyDescent="0.3">
      <c r="A1841" s="44"/>
    </row>
    <row r="1842" spans="1:1" x14ac:dyDescent="0.3">
      <c r="A1842" s="1"/>
    </row>
    <row r="1843" spans="1:1" x14ac:dyDescent="0.3">
      <c r="A1843" s="1"/>
    </row>
    <row r="1844" spans="1:1" x14ac:dyDescent="0.3">
      <c r="A1844" s="1"/>
    </row>
    <row r="1845" spans="1:1" x14ac:dyDescent="0.3">
      <c r="A1845" s="1"/>
    </row>
    <row r="1846" spans="1:1" x14ac:dyDescent="0.3">
      <c r="A1846" s="1"/>
    </row>
    <row r="1847" spans="1:1" x14ac:dyDescent="0.3">
      <c r="A1847" s="1"/>
    </row>
    <row r="1848" spans="1:1" x14ac:dyDescent="0.3">
      <c r="A1848" s="1"/>
    </row>
    <row r="1849" spans="1:1" x14ac:dyDescent="0.3">
      <c r="A1849" s="44"/>
    </row>
    <row r="1850" spans="1:1" x14ac:dyDescent="0.3">
      <c r="A1850" s="1"/>
    </row>
    <row r="1851" spans="1:1" x14ac:dyDescent="0.3">
      <c r="A1851" s="1"/>
    </row>
    <row r="1852" spans="1:1" x14ac:dyDescent="0.3">
      <c r="A1852" s="1"/>
    </row>
    <row r="1853" spans="1:1" x14ac:dyDescent="0.3">
      <c r="A1853" s="44"/>
    </row>
    <row r="1854" spans="1:1" x14ac:dyDescent="0.3">
      <c r="A1854" s="1"/>
    </row>
    <row r="1855" spans="1:1" x14ac:dyDescent="0.3">
      <c r="A1855" s="1"/>
    </row>
    <row r="1856" spans="1:1" x14ac:dyDescent="0.3">
      <c r="A1856" s="1"/>
    </row>
    <row r="1857" spans="1:1" x14ac:dyDescent="0.3">
      <c r="A1857" s="44"/>
    </row>
    <row r="1858" spans="1:1" x14ac:dyDescent="0.3">
      <c r="A1858" s="1"/>
    </row>
    <row r="1859" spans="1:1" x14ac:dyDescent="0.3">
      <c r="A1859" s="1"/>
    </row>
    <row r="1860" spans="1:1" x14ac:dyDescent="0.3">
      <c r="A1860" s="1"/>
    </row>
    <row r="1861" spans="1:1" x14ac:dyDescent="0.3">
      <c r="A1861" s="1"/>
    </row>
    <row r="1862" spans="1:1" x14ac:dyDescent="0.3">
      <c r="A1862" s="1"/>
    </row>
    <row r="1863" spans="1:1" x14ac:dyDescent="0.3">
      <c r="A1863" s="44"/>
    </row>
    <row r="1864" spans="1:1" x14ac:dyDescent="0.3">
      <c r="A1864" s="1"/>
    </row>
    <row r="1865" spans="1:1" x14ac:dyDescent="0.3">
      <c r="A1865" s="1"/>
    </row>
    <row r="1866" spans="1:1" x14ac:dyDescent="0.3">
      <c r="A1866" s="1"/>
    </row>
    <row r="1867" spans="1:1" x14ac:dyDescent="0.3">
      <c r="A1867" s="1"/>
    </row>
    <row r="1868" spans="1:1" x14ac:dyDescent="0.3">
      <c r="A1868" s="44"/>
    </row>
    <row r="1869" spans="1:1" x14ac:dyDescent="0.3">
      <c r="A1869" s="1"/>
    </row>
    <row r="1870" spans="1:1" x14ac:dyDescent="0.3">
      <c r="A1870" s="1"/>
    </row>
    <row r="1871" spans="1:1" x14ac:dyDescent="0.3">
      <c r="A1871" s="1"/>
    </row>
    <row r="1872" spans="1:1" x14ac:dyDescent="0.3">
      <c r="A1872" s="1"/>
    </row>
    <row r="1873" spans="1:1" x14ac:dyDescent="0.3">
      <c r="A1873" s="1"/>
    </row>
    <row r="1874" spans="1:1" x14ac:dyDescent="0.3">
      <c r="A1874" s="44"/>
    </row>
    <row r="1875" spans="1:1" x14ac:dyDescent="0.3">
      <c r="A1875" s="1"/>
    </row>
    <row r="1876" spans="1:1" x14ac:dyDescent="0.3">
      <c r="A1876" s="1"/>
    </row>
    <row r="1877" spans="1:1" x14ac:dyDescent="0.3">
      <c r="A1877" s="1"/>
    </row>
    <row r="1878" spans="1:1" x14ac:dyDescent="0.3">
      <c r="A1878" s="1"/>
    </row>
    <row r="1879" spans="1:1" x14ac:dyDescent="0.3">
      <c r="A1879" s="1"/>
    </row>
    <row r="1880" spans="1:1" x14ac:dyDescent="0.3">
      <c r="A1880" s="1"/>
    </row>
    <row r="1881" spans="1:1" x14ac:dyDescent="0.3">
      <c r="A1881" s="1"/>
    </row>
    <row r="1882" spans="1:1" x14ac:dyDescent="0.3">
      <c r="A1882" s="1"/>
    </row>
    <row r="1883" spans="1:1" x14ac:dyDescent="0.3">
      <c r="A1883" s="44"/>
    </row>
    <row r="1884" spans="1:1" x14ac:dyDescent="0.3">
      <c r="A1884" s="1"/>
    </row>
    <row r="1885" spans="1:1" x14ac:dyDescent="0.3">
      <c r="A1885" s="1"/>
    </row>
    <row r="1886" spans="1:1" x14ac:dyDescent="0.3">
      <c r="A1886" s="1"/>
    </row>
    <row r="1887" spans="1:1" x14ac:dyDescent="0.3">
      <c r="A1887" s="1"/>
    </row>
    <row r="1888" spans="1:1" x14ac:dyDescent="0.3">
      <c r="A1888" s="1"/>
    </row>
    <row r="1889" spans="1:1" x14ac:dyDescent="0.3">
      <c r="A1889" s="1"/>
    </row>
    <row r="1890" spans="1:1" x14ac:dyDescent="0.3">
      <c r="A1890" s="1"/>
    </row>
    <row r="1891" spans="1:1" x14ac:dyDescent="0.3">
      <c r="A1891" s="1"/>
    </row>
    <row r="1892" spans="1:1" x14ac:dyDescent="0.3">
      <c r="A1892" s="1"/>
    </row>
    <row r="1893" spans="1:1" x14ac:dyDescent="0.3">
      <c r="A1893" s="1"/>
    </row>
    <row r="1894" spans="1:1" x14ac:dyDescent="0.3">
      <c r="A1894" s="1"/>
    </row>
    <row r="1895" spans="1:1" x14ac:dyDescent="0.3">
      <c r="A1895" s="1"/>
    </row>
    <row r="1896" spans="1:1" x14ac:dyDescent="0.3">
      <c r="A1896" s="1"/>
    </row>
    <row r="1897" spans="1:1" x14ac:dyDescent="0.3">
      <c r="A1897" s="1"/>
    </row>
    <row r="1898" spans="1:1" x14ac:dyDescent="0.3">
      <c r="A1898" s="1"/>
    </row>
    <row r="1899" spans="1:1" x14ac:dyDescent="0.3">
      <c r="A1899" s="1"/>
    </row>
    <row r="1900" spans="1:1" x14ac:dyDescent="0.3">
      <c r="A1900" s="1"/>
    </row>
    <row r="1901" spans="1:1" x14ac:dyDescent="0.3">
      <c r="A1901" s="1"/>
    </row>
    <row r="1902" spans="1:1" x14ac:dyDescent="0.3">
      <c r="A1902" s="1"/>
    </row>
    <row r="1903" spans="1:1" x14ac:dyDescent="0.3">
      <c r="A1903" s="1"/>
    </row>
    <row r="1904" spans="1:1" x14ac:dyDescent="0.3">
      <c r="A1904" s="44"/>
    </row>
    <row r="1905" spans="1:1" x14ac:dyDescent="0.3">
      <c r="A1905" s="1"/>
    </row>
    <row r="1906" spans="1:1" x14ac:dyDescent="0.3">
      <c r="A1906" s="1"/>
    </row>
    <row r="1907" spans="1:1" x14ac:dyDescent="0.3">
      <c r="A1907" s="1"/>
    </row>
    <row r="1908" spans="1:1" x14ac:dyDescent="0.3">
      <c r="A1908" s="1"/>
    </row>
    <row r="1909" spans="1:1" x14ac:dyDescent="0.3">
      <c r="A1909" s="1"/>
    </row>
    <row r="1910" spans="1:1" x14ac:dyDescent="0.3">
      <c r="A1910" s="86"/>
    </row>
    <row r="1911" spans="1:1" x14ac:dyDescent="0.3">
      <c r="A1911" s="1"/>
    </row>
    <row r="1912" spans="1:1" x14ac:dyDescent="0.3">
      <c r="A1912" s="86"/>
    </row>
    <row r="1913" spans="1:1" x14ac:dyDescent="0.3">
      <c r="A1913" s="1"/>
    </row>
    <row r="1914" spans="1:1" x14ac:dyDescent="0.3">
      <c r="A1914" s="1"/>
    </row>
    <row r="1915" spans="1:1" x14ac:dyDescent="0.3">
      <c r="A1915" s="1"/>
    </row>
    <row r="1916" spans="1:1" x14ac:dyDescent="0.3">
      <c r="A1916" s="1"/>
    </row>
    <row r="1917" spans="1:1" x14ac:dyDescent="0.3">
      <c r="A1917" s="1"/>
    </row>
    <row r="1918" spans="1:1" x14ac:dyDescent="0.3">
      <c r="A1918" s="1"/>
    </row>
    <row r="1919" spans="1:1" x14ac:dyDescent="0.3">
      <c r="A1919" s="1"/>
    </row>
    <row r="1920" spans="1:1" x14ac:dyDescent="0.3">
      <c r="A1920" s="1"/>
    </row>
    <row r="1921" spans="1:1" x14ac:dyDescent="0.3">
      <c r="A1921" s="1"/>
    </row>
    <row r="1922" spans="1:1" x14ac:dyDescent="0.3">
      <c r="A1922" s="1"/>
    </row>
    <row r="1923" spans="1:1" x14ac:dyDescent="0.3">
      <c r="A1923" s="1"/>
    </row>
    <row r="1924" spans="1:1" x14ac:dyDescent="0.3">
      <c r="A1924" s="1"/>
    </row>
    <row r="1925" spans="1:1" x14ac:dyDescent="0.3">
      <c r="A1925" s="1"/>
    </row>
    <row r="1926" spans="1:1" x14ac:dyDescent="0.3">
      <c r="A1926" s="1"/>
    </row>
    <row r="1927" spans="1:1" x14ac:dyDescent="0.3">
      <c r="A1927" s="1"/>
    </row>
    <row r="1928" spans="1:1" x14ac:dyDescent="0.3">
      <c r="A1928" s="1"/>
    </row>
    <row r="1929" spans="1:1" x14ac:dyDescent="0.3">
      <c r="A1929" s="1"/>
    </row>
    <row r="1930" spans="1:1" x14ac:dyDescent="0.3">
      <c r="A1930" s="1"/>
    </row>
    <row r="1931" spans="1:1" x14ac:dyDescent="0.3">
      <c r="A1931" s="1"/>
    </row>
    <row r="1932" spans="1:1" x14ac:dyDescent="0.3">
      <c r="A1932" s="1"/>
    </row>
    <row r="1933" spans="1:1" x14ac:dyDescent="0.3">
      <c r="A1933" s="86"/>
    </row>
    <row r="1934" spans="1:1" x14ac:dyDescent="0.3">
      <c r="A1934" s="1"/>
    </row>
    <row r="1935" spans="1:1" x14ac:dyDescent="0.3">
      <c r="A1935" s="1"/>
    </row>
    <row r="1936" spans="1:1" x14ac:dyDescent="0.3">
      <c r="A1936" s="1"/>
    </row>
    <row r="1937" spans="1:1" x14ac:dyDescent="0.3">
      <c r="A1937" s="1"/>
    </row>
    <row r="1938" spans="1:1" x14ac:dyDescent="0.3">
      <c r="A1938" s="1"/>
    </row>
    <row r="1939" spans="1:1" x14ac:dyDescent="0.3">
      <c r="A1939" s="1"/>
    </row>
    <row r="1940" spans="1:1" x14ac:dyDescent="0.3">
      <c r="A1940" s="1"/>
    </row>
    <row r="1941" spans="1:1" x14ac:dyDescent="0.3">
      <c r="A1941" s="1"/>
    </row>
    <row r="1942" spans="1:1" x14ac:dyDescent="0.3">
      <c r="A1942" s="1"/>
    </row>
    <row r="1943" spans="1:1" x14ac:dyDescent="0.3">
      <c r="A1943" s="1"/>
    </row>
    <row r="1944" spans="1:1" x14ac:dyDescent="0.3">
      <c r="A1944" s="1"/>
    </row>
    <row r="1945" spans="1:1" x14ac:dyDescent="0.3">
      <c r="A1945" s="1"/>
    </row>
    <row r="1946" spans="1:1" x14ac:dyDescent="0.3">
      <c r="A1946" s="1"/>
    </row>
    <row r="1947" spans="1:1" x14ac:dyDescent="0.3">
      <c r="A1947" s="1"/>
    </row>
    <row r="1948" spans="1:1" x14ac:dyDescent="0.3">
      <c r="A1948" s="1"/>
    </row>
    <row r="1949" spans="1:1" x14ac:dyDescent="0.3">
      <c r="A1949" s="1"/>
    </row>
    <row r="1950" spans="1:1" x14ac:dyDescent="0.3">
      <c r="A1950" s="1"/>
    </row>
    <row r="1951" spans="1:1" x14ac:dyDescent="0.3">
      <c r="A1951" s="1"/>
    </row>
    <row r="1952" spans="1:1" x14ac:dyDescent="0.3">
      <c r="A1952" s="1"/>
    </row>
    <row r="1953" spans="1:1" x14ac:dyDescent="0.3">
      <c r="A1953" s="1"/>
    </row>
    <row r="1954" spans="1:1" x14ac:dyDescent="0.3">
      <c r="A1954" s="1"/>
    </row>
    <row r="1955" spans="1:1" x14ac:dyDescent="0.3">
      <c r="A1955" s="1"/>
    </row>
    <row r="1956" spans="1:1" x14ac:dyDescent="0.3">
      <c r="A1956" s="1"/>
    </row>
    <row r="1957" spans="1:1" x14ac:dyDescent="0.3">
      <c r="A1957" s="1"/>
    </row>
    <row r="1958" spans="1:1" x14ac:dyDescent="0.3">
      <c r="A1958" s="1"/>
    </row>
    <row r="1959" spans="1:1" x14ac:dyDescent="0.3">
      <c r="A1959" s="1"/>
    </row>
    <row r="1960" spans="1:1" x14ac:dyDescent="0.3">
      <c r="A1960" s="1"/>
    </row>
    <row r="1961" spans="1:1" x14ac:dyDescent="0.3">
      <c r="A1961" s="86"/>
    </row>
    <row r="1962" spans="1:1" x14ac:dyDescent="0.3">
      <c r="A1962" s="1"/>
    </row>
    <row r="1963" spans="1:1" x14ac:dyDescent="0.3">
      <c r="A1963" s="1"/>
    </row>
    <row r="1964" spans="1:1" x14ac:dyDescent="0.3">
      <c r="A1964" s="1"/>
    </row>
    <row r="1965" spans="1:1" x14ac:dyDescent="0.3">
      <c r="A1965" s="1"/>
    </row>
    <row r="1966" spans="1:1" x14ac:dyDescent="0.3">
      <c r="A1966" s="1"/>
    </row>
    <row r="1967" spans="1:1" x14ac:dyDescent="0.3">
      <c r="A1967" s="1"/>
    </row>
    <row r="1968" spans="1:1" x14ac:dyDescent="0.3">
      <c r="A1968" s="1"/>
    </row>
    <row r="1969" spans="1:1" x14ac:dyDescent="0.3">
      <c r="A1969" s="1"/>
    </row>
    <row r="1970" spans="1:1" x14ac:dyDescent="0.3">
      <c r="A1970" s="1"/>
    </row>
    <row r="1971" spans="1:1" x14ac:dyDescent="0.3">
      <c r="A1971" s="1"/>
    </row>
    <row r="1972" spans="1:1" x14ac:dyDescent="0.3">
      <c r="A1972" s="1"/>
    </row>
    <row r="1973" spans="1:1" x14ac:dyDescent="0.3">
      <c r="A1973" s="1"/>
    </row>
    <row r="1974" spans="1:1" x14ac:dyDescent="0.3">
      <c r="A1974" s="1"/>
    </row>
    <row r="1975" spans="1:1" x14ac:dyDescent="0.3">
      <c r="A1975" s="1"/>
    </row>
    <row r="1976" spans="1:1" x14ac:dyDescent="0.3">
      <c r="A1976" s="1"/>
    </row>
    <row r="1977" spans="1:1" x14ac:dyDescent="0.3">
      <c r="A1977" s="1"/>
    </row>
    <row r="1978" spans="1:1" x14ac:dyDescent="0.3">
      <c r="A1978" s="1"/>
    </row>
    <row r="1979" spans="1:1" x14ac:dyDescent="0.3">
      <c r="A1979" s="1"/>
    </row>
    <row r="1980" spans="1:1" x14ac:dyDescent="0.3">
      <c r="A1980" s="1"/>
    </row>
    <row r="1981" spans="1:1" x14ac:dyDescent="0.3">
      <c r="A1981" s="1"/>
    </row>
    <row r="1982" spans="1:1" x14ac:dyDescent="0.3">
      <c r="A1982" s="1"/>
    </row>
    <row r="1983" spans="1:1" x14ac:dyDescent="0.3">
      <c r="A1983" s="1"/>
    </row>
    <row r="1984" spans="1:1" x14ac:dyDescent="0.3">
      <c r="A1984" s="1"/>
    </row>
    <row r="1985" spans="1:1" x14ac:dyDescent="0.3">
      <c r="A1985" s="1"/>
    </row>
    <row r="1986" spans="1:1" x14ac:dyDescent="0.3">
      <c r="A1986" s="1"/>
    </row>
    <row r="1987" spans="1:1" x14ac:dyDescent="0.3">
      <c r="A1987" s="1"/>
    </row>
    <row r="1988" spans="1:1" x14ac:dyDescent="0.3">
      <c r="A1988" s="1"/>
    </row>
    <row r="1989" spans="1:1" x14ac:dyDescent="0.3">
      <c r="A1989" s="1"/>
    </row>
    <row r="1990" spans="1:1" x14ac:dyDescent="0.3">
      <c r="A1990" s="1"/>
    </row>
    <row r="1991" spans="1:1" x14ac:dyDescent="0.3">
      <c r="A1991" s="1"/>
    </row>
    <row r="1992" spans="1:1" x14ac:dyDescent="0.3">
      <c r="A1992" s="1"/>
    </row>
    <row r="1993" spans="1:1" x14ac:dyDescent="0.3">
      <c r="A1993" s="1"/>
    </row>
    <row r="1994" spans="1:1" x14ac:dyDescent="0.3">
      <c r="A1994" s="1"/>
    </row>
    <row r="1995" spans="1:1" x14ac:dyDescent="0.3">
      <c r="A1995" s="1"/>
    </row>
    <row r="1996" spans="1:1" x14ac:dyDescent="0.3">
      <c r="A1996" s="1"/>
    </row>
    <row r="1997" spans="1:1" x14ac:dyDescent="0.3">
      <c r="A1997" s="1"/>
    </row>
    <row r="1998" spans="1:1" x14ac:dyDescent="0.3">
      <c r="A1998" s="1"/>
    </row>
    <row r="1999" spans="1:1" x14ac:dyDescent="0.3">
      <c r="A1999" s="1"/>
    </row>
    <row r="2000" spans="1:1" x14ac:dyDescent="0.3">
      <c r="A2000" s="1"/>
    </row>
    <row r="2001" spans="1:1" x14ac:dyDescent="0.3">
      <c r="A2001" s="1"/>
    </row>
    <row r="2002" spans="1:1" x14ac:dyDescent="0.3">
      <c r="A2002" s="1"/>
    </row>
    <row r="2003" spans="1:1" x14ac:dyDescent="0.3">
      <c r="A2003" s="1"/>
    </row>
    <row r="2004" spans="1:1" x14ac:dyDescent="0.3">
      <c r="A2004" s="1"/>
    </row>
    <row r="2005" spans="1:1" x14ac:dyDescent="0.3">
      <c r="A2005" s="1"/>
    </row>
    <row r="2006" spans="1:1" x14ac:dyDescent="0.3">
      <c r="A2006" s="1"/>
    </row>
    <row r="2007" spans="1:1" x14ac:dyDescent="0.3">
      <c r="A2007" s="1"/>
    </row>
    <row r="2008" spans="1:1" x14ac:dyDescent="0.3">
      <c r="A2008" s="1"/>
    </row>
    <row r="2009" spans="1:1" x14ac:dyDescent="0.3">
      <c r="A2009" s="1"/>
    </row>
    <row r="2010" spans="1:1" x14ac:dyDescent="0.3">
      <c r="A2010" s="1"/>
    </row>
    <row r="2011" spans="1:1" x14ac:dyDescent="0.3">
      <c r="A2011" s="1"/>
    </row>
    <row r="2012" spans="1:1" x14ac:dyDescent="0.3">
      <c r="A2012" s="1"/>
    </row>
    <row r="2013" spans="1:1" x14ac:dyDescent="0.3">
      <c r="A2013" s="1"/>
    </row>
    <row r="2014" spans="1:1" x14ac:dyDescent="0.3">
      <c r="A2014" s="1"/>
    </row>
    <row r="2015" spans="1:1" x14ac:dyDescent="0.3">
      <c r="A2015" s="1"/>
    </row>
    <row r="2016" spans="1:1" x14ac:dyDescent="0.3">
      <c r="A2016" s="86"/>
    </row>
    <row r="2017" spans="1:1" x14ac:dyDescent="0.3">
      <c r="A2017" s="1"/>
    </row>
    <row r="2018" spans="1:1" x14ac:dyDescent="0.3">
      <c r="A2018" s="1"/>
    </row>
    <row r="2019" spans="1:1" x14ac:dyDescent="0.3">
      <c r="A2019" s="1"/>
    </row>
    <row r="2020" spans="1:1" x14ac:dyDescent="0.3">
      <c r="A2020" s="1"/>
    </row>
    <row r="2021" spans="1:1" x14ac:dyDescent="0.3">
      <c r="A2021" s="1"/>
    </row>
    <row r="2022" spans="1:1" x14ac:dyDescent="0.3">
      <c r="A2022" s="1"/>
    </row>
    <row r="2023" spans="1:1" x14ac:dyDescent="0.3">
      <c r="A2023" s="1"/>
    </row>
    <row r="2024" spans="1:1" x14ac:dyDescent="0.3">
      <c r="A2024" s="1"/>
    </row>
    <row r="2025" spans="1:1" x14ac:dyDescent="0.3">
      <c r="A2025" s="1"/>
    </row>
    <row r="2026" spans="1:1" x14ac:dyDescent="0.3">
      <c r="A2026" s="1"/>
    </row>
    <row r="2027" spans="1:1" x14ac:dyDescent="0.3">
      <c r="A2027" s="1"/>
    </row>
    <row r="2028" spans="1:1" x14ac:dyDescent="0.3">
      <c r="A2028" s="1"/>
    </row>
    <row r="2029" spans="1:1" x14ac:dyDescent="0.3">
      <c r="A2029" s="1"/>
    </row>
    <row r="2030" spans="1:1" x14ac:dyDescent="0.3">
      <c r="A2030" s="1"/>
    </row>
    <row r="2031" spans="1:1" x14ac:dyDescent="0.3">
      <c r="A2031" s="1"/>
    </row>
    <row r="2032" spans="1:1" x14ac:dyDescent="0.3">
      <c r="A2032" s="1"/>
    </row>
    <row r="2033" spans="1:1" x14ac:dyDescent="0.3">
      <c r="A2033" s="1"/>
    </row>
    <row r="2034" spans="1:1" x14ac:dyDescent="0.3">
      <c r="A2034" s="1"/>
    </row>
    <row r="2035" spans="1:1" x14ac:dyDescent="0.3">
      <c r="A2035" s="1"/>
    </row>
    <row r="2036" spans="1:1" x14ac:dyDescent="0.3">
      <c r="A2036" s="1"/>
    </row>
    <row r="2037" spans="1:1" x14ac:dyDescent="0.3">
      <c r="A2037" s="1"/>
    </row>
    <row r="2038" spans="1:1" x14ac:dyDescent="0.3">
      <c r="A2038" s="1"/>
    </row>
    <row r="2039" spans="1:1" x14ac:dyDescent="0.3">
      <c r="A2039" s="1"/>
    </row>
    <row r="2040" spans="1:1" x14ac:dyDescent="0.3">
      <c r="A2040" s="1"/>
    </row>
    <row r="2041" spans="1:1" x14ac:dyDescent="0.3">
      <c r="A2041" s="1"/>
    </row>
    <row r="2042" spans="1:1" x14ac:dyDescent="0.3">
      <c r="A2042" s="1"/>
    </row>
    <row r="2043" spans="1:1" x14ac:dyDescent="0.3">
      <c r="A2043" s="1"/>
    </row>
    <row r="2044" spans="1:1" x14ac:dyDescent="0.3">
      <c r="A2044" s="1"/>
    </row>
    <row r="2045" spans="1:1" x14ac:dyDescent="0.3">
      <c r="A2045" s="1"/>
    </row>
    <row r="2046" spans="1:1" x14ac:dyDescent="0.3">
      <c r="A2046" s="1"/>
    </row>
    <row r="2047" spans="1:1" x14ac:dyDescent="0.3">
      <c r="A2047" s="1"/>
    </row>
    <row r="2048" spans="1:1" x14ac:dyDescent="0.3">
      <c r="A2048" s="1"/>
    </row>
    <row r="2049" spans="1:1" x14ac:dyDescent="0.3">
      <c r="A2049" s="1"/>
    </row>
    <row r="2050" spans="1:1" x14ac:dyDescent="0.3">
      <c r="A2050" s="1"/>
    </row>
    <row r="2051" spans="1:1" x14ac:dyDescent="0.3">
      <c r="A2051" s="1"/>
    </row>
    <row r="2052" spans="1:1" x14ac:dyDescent="0.3">
      <c r="A2052" s="1"/>
    </row>
    <row r="2053" spans="1:1" x14ac:dyDescent="0.3">
      <c r="A2053" s="1"/>
    </row>
    <row r="2054" spans="1:1" x14ac:dyDescent="0.3">
      <c r="A2054" s="1"/>
    </row>
    <row r="2055" spans="1:1" x14ac:dyDescent="0.3">
      <c r="A2055" s="1"/>
    </row>
    <row r="2056" spans="1:1" x14ac:dyDescent="0.3">
      <c r="A2056" s="1"/>
    </row>
    <row r="2057" spans="1:1" x14ac:dyDescent="0.3">
      <c r="A2057" s="1"/>
    </row>
    <row r="2058" spans="1:1" x14ac:dyDescent="0.3">
      <c r="A2058" s="1"/>
    </row>
    <row r="2059" spans="1:1" x14ac:dyDescent="0.3">
      <c r="A2059" s="1"/>
    </row>
    <row r="2060" spans="1:1" x14ac:dyDescent="0.3">
      <c r="A2060" s="1"/>
    </row>
    <row r="2061" spans="1:1" x14ac:dyDescent="0.3">
      <c r="A2061" s="1"/>
    </row>
    <row r="2062" spans="1:1" x14ac:dyDescent="0.3">
      <c r="A2062" s="1"/>
    </row>
    <row r="2063" spans="1:1" x14ac:dyDescent="0.3">
      <c r="A2063" s="1"/>
    </row>
    <row r="2064" spans="1:1" x14ac:dyDescent="0.3">
      <c r="A2064" s="1"/>
    </row>
    <row r="2065" spans="1:1" x14ac:dyDescent="0.3">
      <c r="A2065" s="1"/>
    </row>
    <row r="2066" spans="1:1" x14ac:dyDescent="0.3">
      <c r="A2066" s="1"/>
    </row>
    <row r="2067" spans="1:1" x14ac:dyDescent="0.3">
      <c r="A2067" s="1"/>
    </row>
    <row r="2068" spans="1:1" x14ac:dyDescent="0.3">
      <c r="A2068" s="1"/>
    </row>
    <row r="2069" spans="1:1" x14ac:dyDescent="0.3">
      <c r="A2069" s="1"/>
    </row>
    <row r="2070" spans="1:1" x14ac:dyDescent="0.3">
      <c r="A2070" s="1"/>
    </row>
    <row r="2071" spans="1:1" x14ac:dyDescent="0.3">
      <c r="A2071" s="1"/>
    </row>
    <row r="2072" spans="1:1" x14ac:dyDescent="0.3">
      <c r="A2072" s="1"/>
    </row>
    <row r="2073" spans="1:1" x14ac:dyDescent="0.3">
      <c r="A2073" s="1"/>
    </row>
    <row r="2074" spans="1:1" x14ac:dyDescent="0.3">
      <c r="A2074" s="1"/>
    </row>
    <row r="2075" spans="1:1" x14ac:dyDescent="0.3">
      <c r="A2075" s="1"/>
    </row>
    <row r="2076" spans="1:1" x14ac:dyDescent="0.3">
      <c r="A2076" s="1"/>
    </row>
    <row r="2077" spans="1:1" x14ac:dyDescent="0.3">
      <c r="A2077" s="1"/>
    </row>
    <row r="2078" spans="1:1" x14ac:dyDescent="0.3">
      <c r="A2078" s="1"/>
    </row>
    <row r="2079" spans="1:1" x14ac:dyDescent="0.3">
      <c r="A2079" s="1"/>
    </row>
    <row r="2080" spans="1:1" x14ac:dyDescent="0.3">
      <c r="A2080" s="1"/>
    </row>
    <row r="2081" spans="1:1" x14ac:dyDescent="0.3">
      <c r="A2081" s="1"/>
    </row>
    <row r="2082" spans="1:1" x14ac:dyDescent="0.3">
      <c r="A2082" s="1"/>
    </row>
    <row r="2083" spans="1:1" x14ac:dyDescent="0.3">
      <c r="A2083" s="1"/>
    </row>
    <row r="2084" spans="1:1" x14ac:dyDescent="0.3">
      <c r="A2084" s="1"/>
    </row>
    <row r="2085" spans="1:1" x14ac:dyDescent="0.3">
      <c r="A2085" s="1"/>
    </row>
    <row r="2086" spans="1:1" x14ac:dyDescent="0.3">
      <c r="A2086" s="1"/>
    </row>
    <row r="2087" spans="1:1" x14ac:dyDescent="0.3">
      <c r="A2087" s="1"/>
    </row>
    <row r="2088" spans="1:1" x14ac:dyDescent="0.3">
      <c r="A2088" s="1"/>
    </row>
    <row r="2089" spans="1:1" x14ac:dyDescent="0.3">
      <c r="A2089" s="1"/>
    </row>
    <row r="2090" spans="1:1" x14ac:dyDescent="0.3">
      <c r="A2090" s="1"/>
    </row>
    <row r="2091" spans="1:1" x14ac:dyDescent="0.3">
      <c r="A2091" s="1"/>
    </row>
    <row r="2092" spans="1:1" x14ac:dyDescent="0.3">
      <c r="A2092" s="1"/>
    </row>
    <row r="2093" spans="1:1" x14ac:dyDescent="0.3">
      <c r="A2093" s="1"/>
    </row>
    <row r="2094" spans="1:1" x14ac:dyDescent="0.3">
      <c r="A2094" s="86"/>
    </row>
    <row r="2095" spans="1:1" x14ac:dyDescent="0.3">
      <c r="A2095" s="1"/>
    </row>
    <row r="2096" spans="1:1" x14ac:dyDescent="0.3">
      <c r="A2096" s="1"/>
    </row>
    <row r="2097" spans="1:1" x14ac:dyDescent="0.3">
      <c r="A2097" s="1"/>
    </row>
    <row r="2098" spans="1:1" x14ac:dyDescent="0.3">
      <c r="A2098" s="1"/>
    </row>
    <row r="2099" spans="1:1" x14ac:dyDescent="0.3">
      <c r="A2099" s="86"/>
    </row>
    <row r="2100" spans="1:1" x14ac:dyDescent="0.3">
      <c r="A2100" s="1"/>
    </row>
    <row r="2101" spans="1:1" x14ac:dyDescent="0.3">
      <c r="A2101" s="1"/>
    </row>
    <row r="2102" spans="1:1" x14ac:dyDescent="0.3">
      <c r="A2102" s="1"/>
    </row>
    <row r="2103" spans="1:1" x14ac:dyDescent="0.3">
      <c r="A2103" s="1"/>
    </row>
    <row r="2104" spans="1:1" x14ac:dyDescent="0.3">
      <c r="A2104" s="1"/>
    </row>
    <row r="2105" spans="1:1" x14ac:dyDescent="0.3">
      <c r="A2105" s="1"/>
    </row>
    <row r="2106" spans="1:1" x14ac:dyDescent="0.3">
      <c r="A2106" s="1"/>
    </row>
    <row r="2107" spans="1:1" x14ac:dyDescent="0.3">
      <c r="A2107" s="1"/>
    </row>
    <row r="2108" spans="1:1" x14ac:dyDescent="0.3">
      <c r="A2108" s="1"/>
    </row>
    <row r="2109" spans="1:1" x14ac:dyDescent="0.3">
      <c r="A2109" s="1"/>
    </row>
    <row r="2110" spans="1:1" x14ac:dyDescent="0.3">
      <c r="A2110" s="1"/>
    </row>
    <row r="2111" spans="1:1" x14ac:dyDescent="0.3">
      <c r="A2111" s="1"/>
    </row>
    <row r="2112" spans="1:1" x14ac:dyDescent="0.3">
      <c r="A2112" s="1"/>
    </row>
    <row r="2113" spans="1:1" x14ac:dyDescent="0.3">
      <c r="A2113" s="1"/>
    </row>
    <row r="2114" spans="1:1" x14ac:dyDescent="0.3">
      <c r="A2114" s="1"/>
    </row>
    <row r="2115" spans="1:1" x14ac:dyDescent="0.3">
      <c r="A2115" s="1"/>
    </row>
    <row r="2116" spans="1:1" x14ac:dyDescent="0.3">
      <c r="A2116" s="1"/>
    </row>
    <row r="2117" spans="1:1" x14ac:dyDescent="0.3">
      <c r="A2117" s="1"/>
    </row>
    <row r="2118" spans="1:1" x14ac:dyDescent="0.3">
      <c r="A2118" s="1"/>
    </row>
    <row r="2119" spans="1:1" x14ac:dyDescent="0.3">
      <c r="A2119" s="1"/>
    </row>
    <row r="2120" spans="1:1" x14ac:dyDescent="0.3">
      <c r="A2120" s="1"/>
    </row>
    <row r="2121" spans="1:1" x14ac:dyDescent="0.3">
      <c r="A2121" s="1"/>
    </row>
    <row r="2122" spans="1:1" x14ac:dyDescent="0.3">
      <c r="A2122" s="1"/>
    </row>
    <row r="2123" spans="1:1" x14ac:dyDescent="0.3">
      <c r="A2123" s="1"/>
    </row>
    <row r="2124" spans="1:1" x14ac:dyDescent="0.3">
      <c r="A2124" s="1"/>
    </row>
    <row r="2125" spans="1:1" x14ac:dyDescent="0.3">
      <c r="A2125" s="1"/>
    </row>
    <row r="2126" spans="1:1" x14ac:dyDescent="0.3">
      <c r="A2126" s="1"/>
    </row>
    <row r="2127" spans="1:1" x14ac:dyDescent="0.3">
      <c r="A2127" s="1"/>
    </row>
    <row r="2128" spans="1:1" x14ac:dyDescent="0.3">
      <c r="A2128" s="1"/>
    </row>
    <row r="2129" spans="1:1" x14ac:dyDescent="0.3">
      <c r="A2129" s="1"/>
    </row>
    <row r="2130" spans="1:1" x14ac:dyDescent="0.3">
      <c r="A2130" s="1"/>
    </row>
    <row r="2131" spans="1:1" x14ac:dyDescent="0.3">
      <c r="A2131" s="1"/>
    </row>
    <row r="2132" spans="1:1" x14ac:dyDescent="0.3">
      <c r="A2132" s="1"/>
    </row>
    <row r="2133" spans="1:1" x14ac:dyDescent="0.3">
      <c r="A2133" s="1"/>
    </row>
    <row r="2134" spans="1:1" x14ac:dyDescent="0.3">
      <c r="A2134" s="1"/>
    </row>
    <row r="2135" spans="1:1" x14ac:dyDescent="0.3">
      <c r="A2135" s="1"/>
    </row>
    <row r="2136" spans="1:1" x14ac:dyDescent="0.3">
      <c r="A2136" s="1"/>
    </row>
    <row r="2137" spans="1:1" x14ac:dyDescent="0.3">
      <c r="A2137" s="1"/>
    </row>
    <row r="2138" spans="1:1" x14ac:dyDescent="0.3">
      <c r="A2138" s="1"/>
    </row>
    <row r="2139" spans="1:1" x14ac:dyDescent="0.3">
      <c r="A2139" s="1"/>
    </row>
    <row r="2140" spans="1:1" x14ac:dyDescent="0.3">
      <c r="A2140" s="1"/>
    </row>
    <row r="2141" spans="1:1" x14ac:dyDescent="0.3">
      <c r="A2141" s="1"/>
    </row>
    <row r="2142" spans="1:1" x14ac:dyDescent="0.3">
      <c r="A2142" s="1"/>
    </row>
    <row r="2143" spans="1:1" x14ac:dyDescent="0.3">
      <c r="A2143" s="1"/>
    </row>
    <row r="2144" spans="1:1" x14ac:dyDescent="0.3">
      <c r="A2144" s="1"/>
    </row>
    <row r="2145" spans="1:1" x14ac:dyDescent="0.3">
      <c r="A2145" s="1"/>
    </row>
    <row r="2146" spans="1:1" x14ac:dyDescent="0.3">
      <c r="A2146" s="1"/>
    </row>
    <row r="2147" spans="1:1" x14ac:dyDescent="0.3">
      <c r="A2147" s="1"/>
    </row>
    <row r="2148" spans="1:1" x14ac:dyDescent="0.3">
      <c r="A2148" s="1"/>
    </row>
    <row r="2149" spans="1:1" x14ac:dyDescent="0.3">
      <c r="A2149" s="1"/>
    </row>
    <row r="2150" spans="1:1" x14ac:dyDescent="0.3">
      <c r="A2150" s="1"/>
    </row>
    <row r="2151" spans="1:1" x14ac:dyDescent="0.3">
      <c r="A2151" s="1"/>
    </row>
    <row r="2152" spans="1:1" x14ac:dyDescent="0.3">
      <c r="A2152" s="1"/>
    </row>
    <row r="2153" spans="1:1" x14ac:dyDescent="0.3">
      <c r="A2153" s="1"/>
    </row>
    <row r="2154" spans="1:1" x14ac:dyDescent="0.3">
      <c r="A2154" s="1"/>
    </row>
    <row r="2155" spans="1:1" x14ac:dyDescent="0.3">
      <c r="A2155" s="1"/>
    </row>
    <row r="2156" spans="1:1" x14ac:dyDescent="0.3">
      <c r="A2156" s="1"/>
    </row>
    <row r="2157" spans="1:1" x14ac:dyDescent="0.3">
      <c r="A2157" s="1"/>
    </row>
    <row r="2158" spans="1:1" x14ac:dyDescent="0.3">
      <c r="A2158" s="1"/>
    </row>
    <row r="2159" spans="1:1" x14ac:dyDescent="0.3">
      <c r="A2159" s="1"/>
    </row>
    <row r="2160" spans="1:1" x14ac:dyDescent="0.3">
      <c r="A2160" s="1"/>
    </row>
    <row r="2161" spans="1:1" x14ac:dyDescent="0.3">
      <c r="A2161" s="1"/>
    </row>
    <row r="2162" spans="1:1" x14ac:dyDescent="0.3">
      <c r="A2162" s="1"/>
    </row>
    <row r="2163" spans="1:1" x14ac:dyDescent="0.3">
      <c r="A2163" s="1"/>
    </row>
    <row r="2164" spans="1:1" x14ac:dyDescent="0.3">
      <c r="A2164" s="1"/>
    </row>
    <row r="2165" spans="1:1" x14ac:dyDescent="0.3">
      <c r="A2165" s="1"/>
    </row>
    <row r="2166" spans="1:1" x14ac:dyDescent="0.3">
      <c r="A2166" s="1"/>
    </row>
    <row r="2167" spans="1:1" x14ac:dyDescent="0.3">
      <c r="A2167" s="1"/>
    </row>
    <row r="2168" spans="1:1" x14ac:dyDescent="0.3">
      <c r="A2168" s="1"/>
    </row>
    <row r="2169" spans="1:1" x14ac:dyDescent="0.3">
      <c r="A2169" s="1"/>
    </row>
    <row r="2170" spans="1:1" x14ac:dyDescent="0.3">
      <c r="A2170" s="1"/>
    </row>
    <row r="2171" spans="1:1" x14ac:dyDescent="0.3">
      <c r="A2171" s="1"/>
    </row>
    <row r="2172" spans="1:1" x14ac:dyDescent="0.3">
      <c r="A2172" s="1"/>
    </row>
    <row r="2173" spans="1:1" x14ac:dyDescent="0.3">
      <c r="A2173" s="1"/>
    </row>
    <row r="2174" spans="1:1" x14ac:dyDescent="0.3">
      <c r="A2174" s="1"/>
    </row>
    <row r="2175" spans="1:1" x14ac:dyDescent="0.3">
      <c r="A2175" s="1"/>
    </row>
    <row r="2176" spans="1:1" x14ac:dyDescent="0.3">
      <c r="A2176" s="1"/>
    </row>
    <row r="2177" spans="1:1" x14ac:dyDescent="0.3">
      <c r="A2177" s="1"/>
    </row>
    <row r="2178" spans="1:1" x14ac:dyDescent="0.3">
      <c r="A2178" s="1"/>
    </row>
    <row r="2179" spans="1:1" x14ac:dyDescent="0.3">
      <c r="A2179" s="1"/>
    </row>
    <row r="2180" spans="1:1" x14ac:dyDescent="0.3">
      <c r="A2180" s="1"/>
    </row>
    <row r="2181" spans="1:1" x14ac:dyDescent="0.3">
      <c r="A2181" s="1"/>
    </row>
    <row r="2182" spans="1:1" x14ac:dyDescent="0.3">
      <c r="A2182" s="1"/>
    </row>
    <row r="2183" spans="1:1" x14ac:dyDescent="0.3">
      <c r="A2183" s="1"/>
    </row>
    <row r="2184" spans="1:1" x14ac:dyDescent="0.3">
      <c r="A2184" s="1"/>
    </row>
    <row r="2185" spans="1:1" x14ac:dyDescent="0.3">
      <c r="A2185" s="1"/>
    </row>
    <row r="2186" spans="1:1" x14ac:dyDescent="0.3">
      <c r="A2186" s="1"/>
    </row>
    <row r="2187" spans="1:1" x14ac:dyDescent="0.3">
      <c r="A2187" s="1"/>
    </row>
    <row r="2188" spans="1:1" x14ac:dyDescent="0.3">
      <c r="A2188" s="1"/>
    </row>
    <row r="2189" spans="1:1" x14ac:dyDescent="0.3">
      <c r="A2189" s="1"/>
    </row>
    <row r="2190" spans="1:1" x14ac:dyDescent="0.3">
      <c r="A2190" s="1"/>
    </row>
    <row r="2191" spans="1:1" x14ac:dyDescent="0.3">
      <c r="A2191" s="1"/>
    </row>
    <row r="2192" spans="1:1" x14ac:dyDescent="0.3">
      <c r="A2192" s="1"/>
    </row>
    <row r="2193" spans="1:1" x14ac:dyDescent="0.3">
      <c r="A2193" s="1"/>
    </row>
    <row r="2194" spans="1:1" x14ac:dyDescent="0.3">
      <c r="A2194" s="1"/>
    </row>
    <row r="2195" spans="1:1" x14ac:dyDescent="0.3">
      <c r="A2195" s="1"/>
    </row>
    <row r="2196" spans="1:1" x14ac:dyDescent="0.3">
      <c r="A2196" s="1"/>
    </row>
    <row r="2197" spans="1:1" x14ac:dyDescent="0.3">
      <c r="A2197" s="1"/>
    </row>
    <row r="2198" spans="1:1" x14ac:dyDescent="0.3">
      <c r="A2198" s="1"/>
    </row>
    <row r="2199" spans="1:1" x14ac:dyDescent="0.3">
      <c r="A2199" s="1"/>
    </row>
    <row r="2200" spans="1:1" x14ac:dyDescent="0.3">
      <c r="A2200" s="1"/>
    </row>
    <row r="2201" spans="1:1" x14ac:dyDescent="0.3">
      <c r="A2201" s="1"/>
    </row>
    <row r="2202" spans="1:1" x14ac:dyDescent="0.3">
      <c r="A2202" s="1"/>
    </row>
    <row r="2203" spans="1:1" x14ac:dyDescent="0.3">
      <c r="A2203" s="1"/>
    </row>
    <row r="2204" spans="1:1" x14ac:dyDescent="0.3">
      <c r="A2204" s="1"/>
    </row>
    <row r="2205" spans="1:1" x14ac:dyDescent="0.3">
      <c r="A2205" s="1"/>
    </row>
    <row r="2206" spans="1:1" x14ac:dyDescent="0.3">
      <c r="A2206" s="1"/>
    </row>
    <row r="2207" spans="1:1" x14ac:dyDescent="0.3">
      <c r="A2207" s="1"/>
    </row>
    <row r="2208" spans="1:1" x14ac:dyDescent="0.3">
      <c r="A2208" s="1"/>
    </row>
    <row r="2209" spans="1:1" x14ac:dyDescent="0.3">
      <c r="A2209" s="86"/>
    </row>
    <row r="2210" spans="1:1" x14ac:dyDescent="0.3">
      <c r="A2210" s="1"/>
    </row>
    <row r="2211" spans="1:1" x14ac:dyDescent="0.3">
      <c r="A2211" s="1"/>
    </row>
    <row r="2212" spans="1:1" x14ac:dyDescent="0.3">
      <c r="A2212" s="1"/>
    </row>
    <row r="2213" spans="1:1" x14ac:dyDescent="0.3">
      <c r="A2213" s="1"/>
    </row>
    <row r="2214" spans="1:1" x14ac:dyDescent="0.3">
      <c r="A2214" s="1"/>
    </row>
    <row r="2215" spans="1:1" x14ac:dyDescent="0.3">
      <c r="A2215" s="1"/>
    </row>
    <row r="2216" spans="1:1" x14ac:dyDescent="0.3">
      <c r="A2216" s="1"/>
    </row>
    <row r="2217" spans="1:1" x14ac:dyDescent="0.3">
      <c r="A2217" s="1"/>
    </row>
    <row r="2218" spans="1:1" x14ac:dyDescent="0.3">
      <c r="A2218" s="1"/>
    </row>
    <row r="2219" spans="1:1" x14ac:dyDescent="0.3">
      <c r="A2219" s="1"/>
    </row>
    <row r="2220" spans="1:1" x14ac:dyDescent="0.3">
      <c r="A2220" s="1"/>
    </row>
    <row r="2221" spans="1:1" x14ac:dyDescent="0.3">
      <c r="A2221" s="1"/>
    </row>
    <row r="2222" spans="1:1" x14ac:dyDescent="0.3">
      <c r="A2222" s="1"/>
    </row>
    <row r="2223" spans="1:1" x14ac:dyDescent="0.3">
      <c r="A2223" s="1"/>
    </row>
    <row r="2224" spans="1:1" x14ac:dyDescent="0.3">
      <c r="A2224" s="1"/>
    </row>
    <row r="2225" spans="1:1" x14ac:dyDescent="0.3">
      <c r="A2225" s="1"/>
    </row>
    <row r="2226" spans="1:1" x14ac:dyDescent="0.3">
      <c r="A2226" s="1"/>
    </row>
    <row r="2227" spans="1:1" x14ac:dyDescent="0.3">
      <c r="A2227" s="1"/>
    </row>
    <row r="2228" spans="1:1" x14ac:dyDescent="0.3">
      <c r="A2228" s="1"/>
    </row>
    <row r="2229" spans="1:1" x14ac:dyDescent="0.3">
      <c r="A2229" s="1"/>
    </row>
    <row r="2230" spans="1:1" x14ac:dyDescent="0.3">
      <c r="A2230" s="1"/>
    </row>
    <row r="2231" spans="1:1" x14ac:dyDescent="0.3">
      <c r="A2231" s="1"/>
    </row>
    <row r="2232" spans="1:1" x14ac:dyDescent="0.3">
      <c r="A2232" s="1"/>
    </row>
    <row r="2233" spans="1:1" x14ac:dyDescent="0.3">
      <c r="A2233" s="86"/>
    </row>
    <row r="2234" spans="1:1" x14ac:dyDescent="0.3">
      <c r="A2234" s="1"/>
    </row>
    <row r="2235" spans="1:1" x14ac:dyDescent="0.3">
      <c r="A2235" s="1"/>
    </row>
    <row r="2236" spans="1:1" x14ac:dyDescent="0.3">
      <c r="A2236" s="1"/>
    </row>
    <row r="2237" spans="1:1" x14ac:dyDescent="0.3">
      <c r="A2237" s="1"/>
    </row>
    <row r="2238" spans="1:1" x14ac:dyDescent="0.3">
      <c r="A2238" s="1"/>
    </row>
    <row r="2239" spans="1:1" x14ac:dyDescent="0.3">
      <c r="A2239" s="1"/>
    </row>
    <row r="2240" spans="1:1" x14ac:dyDescent="0.3">
      <c r="A2240" s="1"/>
    </row>
    <row r="2241" spans="1:1" x14ac:dyDescent="0.3">
      <c r="A2241" s="1"/>
    </row>
    <row r="2242" spans="1:1" x14ac:dyDescent="0.3">
      <c r="A2242" s="1"/>
    </row>
    <row r="2243" spans="1:1" x14ac:dyDescent="0.3">
      <c r="A2243" s="1"/>
    </row>
    <row r="2244" spans="1:1" x14ac:dyDescent="0.3">
      <c r="A2244" s="1"/>
    </row>
    <row r="2245" spans="1:1" x14ac:dyDescent="0.3">
      <c r="A2245" s="1"/>
    </row>
    <row r="2246" spans="1:1" x14ac:dyDescent="0.3">
      <c r="A2246" s="1"/>
    </row>
    <row r="2247" spans="1:1" x14ac:dyDescent="0.3">
      <c r="A2247" s="1"/>
    </row>
    <row r="2248" spans="1:1" x14ac:dyDescent="0.3">
      <c r="A2248" s="1"/>
    </row>
    <row r="2249" spans="1:1" x14ac:dyDescent="0.3">
      <c r="A2249" s="1"/>
    </row>
    <row r="2250" spans="1:1" x14ac:dyDescent="0.3">
      <c r="A2250" s="1"/>
    </row>
    <row r="2251" spans="1:1" x14ac:dyDescent="0.3">
      <c r="A2251" s="1"/>
    </row>
    <row r="2252" spans="1:1" x14ac:dyDescent="0.3">
      <c r="A2252" s="1"/>
    </row>
    <row r="2253" spans="1:1" x14ac:dyDescent="0.3">
      <c r="A2253" s="1"/>
    </row>
    <row r="2254" spans="1:1" x14ac:dyDescent="0.3">
      <c r="A2254" s="1"/>
    </row>
    <row r="2255" spans="1:1" x14ac:dyDescent="0.3">
      <c r="A2255" s="1"/>
    </row>
    <row r="2256" spans="1:1" x14ac:dyDescent="0.3">
      <c r="A2256" s="1"/>
    </row>
    <row r="2257" spans="1:1" x14ac:dyDescent="0.3">
      <c r="A2257" s="1"/>
    </row>
    <row r="2258" spans="1:1" x14ac:dyDescent="0.3">
      <c r="A2258" s="1"/>
    </row>
    <row r="2259" spans="1:1" x14ac:dyDescent="0.3">
      <c r="A2259" s="1"/>
    </row>
    <row r="2260" spans="1:1" x14ac:dyDescent="0.3">
      <c r="A2260" s="1"/>
    </row>
    <row r="2261" spans="1:1" x14ac:dyDescent="0.3">
      <c r="A2261" s="1"/>
    </row>
    <row r="2262" spans="1:1" x14ac:dyDescent="0.3">
      <c r="A2262" s="1"/>
    </row>
    <row r="2263" spans="1:1" x14ac:dyDescent="0.3">
      <c r="A2263" s="1"/>
    </row>
    <row r="2264" spans="1:1" x14ac:dyDescent="0.3">
      <c r="A2264" s="1"/>
    </row>
    <row r="2265" spans="1:1" x14ac:dyDescent="0.3">
      <c r="A2265" s="1"/>
    </row>
    <row r="2266" spans="1:1" x14ac:dyDescent="0.3">
      <c r="A2266" s="1"/>
    </row>
    <row r="2267" spans="1:1" x14ac:dyDescent="0.3">
      <c r="A2267" s="86"/>
    </row>
    <row r="2268" spans="1:1" x14ac:dyDescent="0.3">
      <c r="A2268" s="1"/>
    </row>
    <row r="2269" spans="1:1" x14ac:dyDescent="0.3">
      <c r="A2269" s="1"/>
    </row>
    <row r="2270" spans="1:1" x14ac:dyDescent="0.3">
      <c r="A2270" s="1"/>
    </row>
    <row r="2271" spans="1:1" x14ac:dyDescent="0.3">
      <c r="A2271" s="1"/>
    </row>
    <row r="2272" spans="1:1" x14ac:dyDescent="0.3">
      <c r="A2272" s="1"/>
    </row>
    <row r="2273" spans="1:1" x14ac:dyDescent="0.3">
      <c r="A2273" s="1"/>
    </row>
    <row r="2274" spans="1:1" x14ac:dyDescent="0.3">
      <c r="A2274" s="1"/>
    </row>
    <row r="2275" spans="1:1" x14ac:dyDescent="0.3">
      <c r="A2275" s="1"/>
    </row>
    <row r="2276" spans="1:1" x14ac:dyDescent="0.3">
      <c r="A2276" s="1"/>
    </row>
    <row r="2277" spans="1:1" x14ac:dyDescent="0.3">
      <c r="A2277" s="1"/>
    </row>
    <row r="2278" spans="1:1" x14ac:dyDescent="0.3">
      <c r="A2278" s="1"/>
    </row>
    <row r="2279" spans="1:1" x14ac:dyDescent="0.3">
      <c r="A2279" s="1"/>
    </row>
    <row r="2280" spans="1:1" x14ac:dyDescent="0.3">
      <c r="A2280" s="1"/>
    </row>
    <row r="2281" spans="1:1" x14ac:dyDescent="0.3">
      <c r="A2281" s="1"/>
    </row>
    <row r="2282" spans="1:1" x14ac:dyDescent="0.3">
      <c r="A2282" s="1"/>
    </row>
    <row r="2283" spans="1:1" x14ac:dyDescent="0.3">
      <c r="A2283" s="1"/>
    </row>
    <row r="2284" spans="1:1" x14ac:dyDescent="0.3">
      <c r="A2284" s="1"/>
    </row>
    <row r="2285" spans="1:1" x14ac:dyDescent="0.3">
      <c r="A2285" s="1"/>
    </row>
    <row r="2286" spans="1:1" x14ac:dyDescent="0.3">
      <c r="A2286" s="1"/>
    </row>
    <row r="2287" spans="1:1" x14ac:dyDescent="0.3">
      <c r="A2287" s="86"/>
    </row>
    <row r="2288" spans="1:1" x14ac:dyDescent="0.3">
      <c r="A2288" s="1"/>
    </row>
    <row r="2289" spans="1:1" x14ac:dyDescent="0.3">
      <c r="A2289" s="1"/>
    </row>
    <row r="2290" spans="1:1" x14ac:dyDescent="0.3">
      <c r="A2290" s="1"/>
    </row>
    <row r="2291" spans="1:1" x14ac:dyDescent="0.3">
      <c r="A2291" s="86"/>
    </row>
    <row r="2292" spans="1:1" x14ac:dyDescent="0.3">
      <c r="A2292" s="1"/>
    </row>
    <row r="2293" spans="1:1" x14ac:dyDescent="0.3">
      <c r="A2293" s="1"/>
    </row>
    <row r="2294" spans="1:1" x14ac:dyDescent="0.3">
      <c r="A2294" s="1"/>
    </row>
    <row r="2295" spans="1:1" x14ac:dyDescent="0.3">
      <c r="A2295" s="86"/>
    </row>
    <row r="2296" spans="1:1" x14ac:dyDescent="0.3">
      <c r="A2296" s="1"/>
    </row>
    <row r="2297" spans="1:1" x14ac:dyDescent="0.3">
      <c r="A2297" s="1"/>
    </row>
    <row r="2298" spans="1:1" x14ac:dyDescent="0.3">
      <c r="A2298" s="1"/>
    </row>
    <row r="2299" spans="1:1" x14ac:dyDescent="0.3">
      <c r="A2299" s="1"/>
    </row>
    <row r="2300" spans="1:1" x14ac:dyDescent="0.3">
      <c r="A2300" s="1"/>
    </row>
    <row r="2301" spans="1:1" x14ac:dyDescent="0.3">
      <c r="A2301" s="1"/>
    </row>
    <row r="2302" spans="1:1" x14ac:dyDescent="0.3">
      <c r="A2302" s="1"/>
    </row>
    <row r="2303" spans="1:1" x14ac:dyDescent="0.3">
      <c r="A2303" s="1"/>
    </row>
    <row r="2304" spans="1:1" x14ac:dyDescent="0.3">
      <c r="A2304" s="1"/>
    </row>
    <row r="2305" spans="1:1" x14ac:dyDescent="0.3">
      <c r="A2305" s="1"/>
    </row>
    <row r="2306" spans="1:1" x14ac:dyDescent="0.3">
      <c r="A2306" s="1"/>
    </row>
    <row r="2307" spans="1:1" x14ac:dyDescent="0.3">
      <c r="A2307" s="1"/>
    </row>
    <row r="2308" spans="1:1" x14ac:dyDescent="0.3">
      <c r="A2308" s="86"/>
    </row>
    <row r="2309" spans="1:1" x14ac:dyDescent="0.3">
      <c r="A2309" s="1"/>
    </row>
    <row r="2310" spans="1:1" x14ac:dyDescent="0.3">
      <c r="A2310" s="1"/>
    </row>
    <row r="2311" spans="1:1" x14ac:dyDescent="0.3">
      <c r="A2311" s="1"/>
    </row>
    <row r="2312" spans="1:1" x14ac:dyDescent="0.3">
      <c r="A2312" s="86"/>
    </row>
    <row r="2313" spans="1:1" x14ac:dyDescent="0.3">
      <c r="A2313" s="1"/>
    </row>
    <row r="2314" spans="1:1" x14ac:dyDescent="0.3">
      <c r="A2314" s="1"/>
    </row>
    <row r="2315" spans="1:1" x14ac:dyDescent="0.3">
      <c r="A2315" s="1"/>
    </row>
    <row r="2316" spans="1:1" x14ac:dyDescent="0.3">
      <c r="A2316" s="86"/>
    </row>
    <row r="2317" spans="1:1" x14ac:dyDescent="0.3">
      <c r="A2317" s="1"/>
    </row>
    <row r="2318" spans="1:1" x14ac:dyDescent="0.3">
      <c r="A2318" s="1"/>
    </row>
    <row r="2319" spans="1:1" x14ac:dyDescent="0.3">
      <c r="A2319" s="1"/>
    </row>
    <row r="2320" spans="1:1" x14ac:dyDescent="0.3">
      <c r="A2320" s="1"/>
    </row>
    <row r="2321" spans="1:1" x14ac:dyDescent="0.3">
      <c r="A2321" s="1"/>
    </row>
    <row r="2322" spans="1:1" x14ac:dyDescent="0.3">
      <c r="A2322" s="1"/>
    </row>
    <row r="2323" spans="1:1" x14ac:dyDescent="0.3">
      <c r="A2323" s="1"/>
    </row>
    <row r="2324" spans="1:1" x14ac:dyDescent="0.3">
      <c r="A2324" s="1"/>
    </row>
    <row r="2325" spans="1:1" x14ac:dyDescent="0.3">
      <c r="A2325" s="1"/>
    </row>
    <row r="2326" spans="1:1" x14ac:dyDescent="0.3">
      <c r="A2326" s="1"/>
    </row>
    <row r="2327" spans="1:1" x14ac:dyDescent="0.3">
      <c r="A2327" s="1"/>
    </row>
    <row r="2328" spans="1:1" x14ac:dyDescent="0.3">
      <c r="A2328" s="1"/>
    </row>
    <row r="2329" spans="1:1" x14ac:dyDescent="0.3">
      <c r="A2329" s="1"/>
    </row>
    <row r="2330" spans="1:1" x14ac:dyDescent="0.3">
      <c r="A2330" s="1"/>
    </row>
    <row r="2331" spans="1:1" x14ac:dyDescent="0.3">
      <c r="A2331" s="1"/>
    </row>
    <row r="2332" spans="1:1" x14ac:dyDescent="0.3">
      <c r="A2332" s="1"/>
    </row>
    <row r="2333" spans="1:1" x14ac:dyDescent="0.3">
      <c r="A2333" s="1"/>
    </row>
    <row r="2334" spans="1:1" x14ac:dyDescent="0.3">
      <c r="A2334" s="1"/>
    </row>
    <row r="2335" spans="1:1" x14ac:dyDescent="0.3">
      <c r="A2335" s="1"/>
    </row>
    <row r="2336" spans="1:1" x14ac:dyDescent="0.3">
      <c r="A2336" s="1"/>
    </row>
    <row r="2337" spans="1:1" x14ac:dyDescent="0.3">
      <c r="A2337" s="1"/>
    </row>
    <row r="2338" spans="1:1" x14ac:dyDescent="0.3">
      <c r="A2338" s="1"/>
    </row>
    <row r="2339" spans="1:1" x14ac:dyDescent="0.3">
      <c r="A2339" s="1"/>
    </row>
    <row r="2340" spans="1:1" x14ac:dyDescent="0.3">
      <c r="A2340" s="1"/>
    </row>
    <row r="2341" spans="1:1" x14ac:dyDescent="0.3">
      <c r="A2341" s="1"/>
    </row>
    <row r="2342" spans="1:1" x14ac:dyDescent="0.3">
      <c r="A2342" s="1"/>
    </row>
    <row r="2343" spans="1:1" x14ac:dyDescent="0.3">
      <c r="A2343" s="1"/>
    </row>
    <row r="2344" spans="1:1" x14ac:dyDescent="0.3">
      <c r="A2344" s="1"/>
    </row>
    <row r="2345" spans="1:1" x14ac:dyDescent="0.3">
      <c r="A2345" s="1"/>
    </row>
    <row r="2346" spans="1:1" x14ac:dyDescent="0.3">
      <c r="A2346" s="1"/>
    </row>
    <row r="2347" spans="1:1" x14ac:dyDescent="0.3">
      <c r="A2347" s="1"/>
    </row>
    <row r="2348" spans="1:1" x14ac:dyDescent="0.3">
      <c r="A2348" s="1"/>
    </row>
    <row r="2349" spans="1:1" x14ac:dyDescent="0.3">
      <c r="A2349" s="1"/>
    </row>
    <row r="2350" spans="1:1" x14ac:dyDescent="0.3">
      <c r="A2350" s="1"/>
    </row>
    <row r="2351" spans="1:1" x14ac:dyDescent="0.3">
      <c r="A2351" s="1"/>
    </row>
    <row r="2352" spans="1:1" x14ac:dyDescent="0.3">
      <c r="A2352" s="1"/>
    </row>
    <row r="2353" spans="1:1" x14ac:dyDescent="0.3">
      <c r="A2353" s="1"/>
    </row>
    <row r="2354" spans="1:1" x14ac:dyDescent="0.3">
      <c r="A2354" s="1"/>
    </row>
    <row r="2355" spans="1:1" x14ac:dyDescent="0.3">
      <c r="A2355" s="1"/>
    </row>
    <row r="2356" spans="1:1" x14ac:dyDescent="0.3">
      <c r="A2356" s="1"/>
    </row>
    <row r="2357" spans="1:1" x14ac:dyDescent="0.3">
      <c r="A2357" s="1"/>
    </row>
    <row r="2358" spans="1:1" x14ac:dyDescent="0.3">
      <c r="A2358" s="1"/>
    </row>
    <row r="2359" spans="1:1" x14ac:dyDescent="0.3">
      <c r="A2359" s="1"/>
    </row>
    <row r="2360" spans="1:1" x14ac:dyDescent="0.3">
      <c r="A2360" s="1"/>
    </row>
    <row r="2361" spans="1:1" x14ac:dyDescent="0.3">
      <c r="A2361" s="1"/>
    </row>
    <row r="2362" spans="1:1" x14ac:dyDescent="0.3">
      <c r="A2362" s="1"/>
    </row>
    <row r="2363" spans="1:1" x14ac:dyDescent="0.3">
      <c r="A2363" s="1"/>
    </row>
    <row r="2364" spans="1:1" x14ac:dyDescent="0.3">
      <c r="A2364" s="1"/>
    </row>
    <row r="2365" spans="1:1" x14ac:dyDescent="0.3">
      <c r="A2365" s="1"/>
    </row>
    <row r="2366" spans="1:1" x14ac:dyDescent="0.3">
      <c r="A2366" s="1"/>
    </row>
    <row r="2367" spans="1:1" x14ac:dyDescent="0.3">
      <c r="A2367" s="1"/>
    </row>
    <row r="2368" spans="1:1" x14ac:dyDescent="0.3">
      <c r="A2368" s="1"/>
    </row>
    <row r="2369" spans="1:1" x14ac:dyDescent="0.3">
      <c r="A2369" s="1"/>
    </row>
    <row r="2370" spans="1:1" x14ac:dyDescent="0.3">
      <c r="A2370" s="1"/>
    </row>
    <row r="2371" spans="1:1" x14ac:dyDescent="0.3">
      <c r="A2371" s="1"/>
    </row>
    <row r="2372" spans="1:1" x14ac:dyDescent="0.3">
      <c r="A2372" s="1"/>
    </row>
    <row r="2373" spans="1:1" x14ac:dyDescent="0.3">
      <c r="A2373" s="1"/>
    </row>
    <row r="2374" spans="1:1" x14ac:dyDescent="0.3">
      <c r="A2374" s="1"/>
    </row>
    <row r="2375" spans="1:1" x14ac:dyDescent="0.3">
      <c r="A2375" s="1"/>
    </row>
    <row r="2376" spans="1:1" x14ac:dyDescent="0.3">
      <c r="A2376" s="1"/>
    </row>
    <row r="2377" spans="1:1" x14ac:dyDescent="0.3">
      <c r="A2377" s="1"/>
    </row>
    <row r="2378" spans="1:1" x14ac:dyDescent="0.3">
      <c r="A2378" s="1"/>
    </row>
    <row r="2379" spans="1:1" x14ac:dyDescent="0.3">
      <c r="A2379" s="1"/>
    </row>
    <row r="2380" spans="1:1" x14ac:dyDescent="0.3">
      <c r="A2380" s="1"/>
    </row>
    <row r="2381" spans="1:1" x14ac:dyDescent="0.3">
      <c r="A2381" s="86"/>
    </row>
    <row r="2382" spans="1:1" x14ac:dyDescent="0.3">
      <c r="A2382" s="1"/>
    </row>
    <row r="2383" spans="1:1" x14ac:dyDescent="0.3">
      <c r="A2383" s="1"/>
    </row>
    <row r="2384" spans="1:1" x14ac:dyDescent="0.3">
      <c r="A2384" s="1"/>
    </row>
    <row r="2385" spans="1:1" x14ac:dyDescent="0.3">
      <c r="A2385" s="1"/>
    </row>
    <row r="2386" spans="1:1" x14ac:dyDescent="0.3">
      <c r="A2386" s="1"/>
    </row>
    <row r="2387" spans="1:1" x14ac:dyDescent="0.3">
      <c r="A2387" s="1"/>
    </row>
    <row r="2388" spans="1:1" x14ac:dyDescent="0.3">
      <c r="A2388" s="1"/>
    </row>
    <row r="2389" spans="1:1" x14ac:dyDescent="0.3">
      <c r="A2389" s="1"/>
    </row>
    <row r="2390" spans="1:1" x14ac:dyDescent="0.3">
      <c r="A2390" s="1"/>
    </row>
    <row r="2391" spans="1:1" x14ac:dyDescent="0.3">
      <c r="A2391" s="1"/>
    </row>
    <row r="2392" spans="1:1" x14ac:dyDescent="0.3">
      <c r="A2392" s="1"/>
    </row>
    <row r="2393" spans="1:1" x14ac:dyDescent="0.3">
      <c r="A2393" s="1"/>
    </row>
    <row r="2394" spans="1:1" x14ac:dyDescent="0.3">
      <c r="A2394" s="1"/>
    </row>
    <row r="2395" spans="1:1" x14ac:dyDescent="0.3">
      <c r="A2395" s="1"/>
    </row>
    <row r="2396" spans="1:1" x14ac:dyDescent="0.3">
      <c r="A2396" s="1"/>
    </row>
    <row r="2397" spans="1:1" x14ac:dyDescent="0.3">
      <c r="A2397" s="1"/>
    </row>
    <row r="2398" spans="1:1" x14ac:dyDescent="0.3">
      <c r="A2398" s="1"/>
    </row>
    <row r="2399" spans="1:1" x14ac:dyDescent="0.3">
      <c r="A2399" s="1"/>
    </row>
    <row r="2400" spans="1:1" x14ac:dyDescent="0.3">
      <c r="A2400" s="1"/>
    </row>
    <row r="2401" spans="1:1" x14ac:dyDescent="0.3">
      <c r="A2401" s="1"/>
    </row>
    <row r="2402" spans="1:1" x14ac:dyDescent="0.3">
      <c r="A2402" s="1"/>
    </row>
    <row r="2403" spans="1:1" x14ac:dyDescent="0.3">
      <c r="A2403" s="1"/>
    </row>
    <row r="2404" spans="1:1" x14ac:dyDescent="0.3">
      <c r="A2404" s="1"/>
    </row>
    <row r="2405" spans="1:1" x14ac:dyDescent="0.3">
      <c r="A2405" s="1"/>
    </row>
    <row r="2406" spans="1:1" x14ac:dyDescent="0.3">
      <c r="A2406" s="1"/>
    </row>
    <row r="2407" spans="1:1" x14ac:dyDescent="0.3">
      <c r="A2407" s="1"/>
    </row>
    <row r="2408" spans="1:1" x14ac:dyDescent="0.3">
      <c r="A2408" s="1"/>
    </row>
    <row r="2409" spans="1:1" x14ac:dyDescent="0.3">
      <c r="A2409" s="1"/>
    </row>
    <row r="2410" spans="1:1" x14ac:dyDescent="0.3">
      <c r="A2410" s="1"/>
    </row>
    <row r="2411" spans="1:1" x14ac:dyDescent="0.3">
      <c r="A2411" s="1"/>
    </row>
    <row r="2412" spans="1:1" x14ac:dyDescent="0.3">
      <c r="A2412" s="1"/>
    </row>
    <row r="2413" spans="1:1" x14ac:dyDescent="0.3">
      <c r="A2413" s="1"/>
    </row>
    <row r="2414" spans="1:1" x14ac:dyDescent="0.3">
      <c r="A2414" s="86"/>
    </row>
    <row r="2415" spans="1:1" x14ac:dyDescent="0.3">
      <c r="A2415" s="1"/>
    </row>
    <row r="2416" spans="1:1" x14ac:dyDescent="0.3">
      <c r="A2416" s="1"/>
    </row>
    <row r="2417" spans="1:1" x14ac:dyDescent="0.3">
      <c r="A2417" s="1"/>
    </row>
    <row r="2418" spans="1:1" x14ac:dyDescent="0.3">
      <c r="A2418" s="86"/>
    </row>
    <row r="2419" spans="1:1" x14ac:dyDescent="0.3">
      <c r="A2419" s="1"/>
    </row>
    <row r="2420" spans="1:1" x14ac:dyDescent="0.3">
      <c r="A2420" s="1"/>
    </row>
    <row r="2421" spans="1:1" x14ac:dyDescent="0.3">
      <c r="A2421" s="1"/>
    </row>
    <row r="2422" spans="1:1" x14ac:dyDescent="0.3">
      <c r="A2422" s="86"/>
    </row>
    <row r="2423" spans="1:1" x14ac:dyDescent="0.3">
      <c r="A2423" s="1"/>
    </row>
    <row r="2424" spans="1:1" x14ac:dyDescent="0.3">
      <c r="A2424" s="1"/>
    </row>
    <row r="2425" spans="1:1" x14ac:dyDescent="0.3">
      <c r="A2425" s="1"/>
    </row>
    <row r="2426" spans="1:1" x14ac:dyDescent="0.3">
      <c r="A2426" s="86"/>
    </row>
    <row r="2427" spans="1:1" x14ac:dyDescent="0.3">
      <c r="A2427" s="1"/>
    </row>
    <row r="2428" spans="1:1" x14ac:dyDescent="0.3">
      <c r="A2428" s="1"/>
    </row>
    <row r="2429" spans="1:1" x14ac:dyDescent="0.3">
      <c r="A2429" s="1"/>
    </row>
    <row r="2430" spans="1:1" x14ac:dyDescent="0.3">
      <c r="A2430" s="1"/>
    </row>
    <row r="2431" spans="1:1" x14ac:dyDescent="0.3">
      <c r="A2431" s="1"/>
    </row>
    <row r="2432" spans="1:1" x14ac:dyDescent="0.3">
      <c r="A2432" s="1"/>
    </row>
    <row r="2433" spans="1:1" x14ac:dyDescent="0.3">
      <c r="A2433" s="1"/>
    </row>
    <row r="2434" spans="1:1" x14ac:dyDescent="0.3">
      <c r="A2434" s="1"/>
    </row>
    <row r="2435" spans="1:1" x14ac:dyDescent="0.3">
      <c r="A2435" s="1"/>
    </row>
    <row r="2436" spans="1:1" x14ac:dyDescent="0.3">
      <c r="A2436" s="1"/>
    </row>
    <row r="2437" spans="1:1" x14ac:dyDescent="0.3">
      <c r="A2437" s="1"/>
    </row>
    <row r="2438" spans="1:1" x14ac:dyDescent="0.3">
      <c r="A2438" s="1"/>
    </row>
    <row r="2439" spans="1:1" x14ac:dyDescent="0.3">
      <c r="A2439" s="1"/>
    </row>
    <row r="2440" spans="1:1" x14ac:dyDescent="0.3">
      <c r="A2440" s="1"/>
    </row>
    <row r="2441" spans="1:1" x14ac:dyDescent="0.3">
      <c r="A2441" s="1"/>
    </row>
    <row r="2442" spans="1:1" x14ac:dyDescent="0.3">
      <c r="A2442" s="1"/>
    </row>
    <row r="2443" spans="1:1" x14ac:dyDescent="0.3">
      <c r="A2443" s="1"/>
    </row>
    <row r="2444" spans="1:1" x14ac:dyDescent="0.3">
      <c r="A2444" s="1"/>
    </row>
    <row r="2445" spans="1:1" x14ac:dyDescent="0.3">
      <c r="A2445" s="1"/>
    </row>
    <row r="2446" spans="1:1" x14ac:dyDescent="0.3">
      <c r="A2446" s="1"/>
    </row>
    <row r="2447" spans="1:1" x14ac:dyDescent="0.3">
      <c r="A2447" s="1"/>
    </row>
    <row r="2448" spans="1:1" x14ac:dyDescent="0.3">
      <c r="A2448" s="1"/>
    </row>
    <row r="2449" spans="1:1" x14ac:dyDescent="0.3">
      <c r="A2449" s="1"/>
    </row>
    <row r="2450" spans="1:1" x14ac:dyDescent="0.3">
      <c r="A2450" s="1"/>
    </row>
    <row r="2451" spans="1:1" x14ac:dyDescent="0.3">
      <c r="A2451" s="1"/>
    </row>
    <row r="2452" spans="1:1" x14ac:dyDescent="0.3">
      <c r="A2452" s="1"/>
    </row>
    <row r="2453" spans="1:1" x14ac:dyDescent="0.3">
      <c r="A2453" s="1"/>
    </row>
    <row r="2454" spans="1:1" x14ac:dyDescent="0.3">
      <c r="A2454" s="1"/>
    </row>
    <row r="2455" spans="1:1" x14ac:dyDescent="0.3">
      <c r="A2455" s="1"/>
    </row>
    <row r="2456" spans="1:1" x14ac:dyDescent="0.3">
      <c r="A2456" s="1"/>
    </row>
    <row r="2457" spans="1:1" x14ac:dyDescent="0.3">
      <c r="A2457" s="1"/>
    </row>
    <row r="2458" spans="1:1" x14ac:dyDescent="0.3">
      <c r="A2458" s="1"/>
    </row>
    <row r="2459" spans="1:1" x14ac:dyDescent="0.3">
      <c r="A2459" s="1"/>
    </row>
    <row r="2460" spans="1:1" x14ac:dyDescent="0.3">
      <c r="A2460" s="1"/>
    </row>
    <row r="2461" spans="1:1" x14ac:dyDescent="0.3">
      <c r="A2461" s="1"/>
    </row>
    <row r="2462" spans="1:1" x14ac:dyDescent="0.3">
      <c r="A2462" s="1"/>
    </row>
    <row r="2463" spans="1:1" x14ac:dyDescent="0.3">
      <c r="A2463" s="1"/>
    </row>
    <row r="2464" spans="1:1" x14ac:dyDescent="0.3">
      <c r="A2464" s="1"/>
    </row>
    <row r="2465" spans="1:1" x14ac:dyDescent="0.3">
      <c r="A2465" s="1"/>
    </row>
    <row r="2466" spans="1:1" x14ac:dyDescent="0.3">
      <c r="A2466" s="1"/>
    </row>
    <row r="2467" spans="1:1" x14ac:dyDescent="0.3">
      <c r="A2467" s="1"/>
    </row>
    <row r="2468" spans="1:1" x14ac:dyDescent="0.3">
      <c r="A2468" s="1"/>
    </row>
    <row r="2469" spans="1:1" x14ac:dyDescent="0.3">
      <c r="A2469" s="1"/>
    </row>
    <row r="2470" spans="1:1" x14ac:dyDescent="0.3">
      <c r="A2470" s="1"/>
    </row>
    <row r="2471" spans="1:1" x14ac:dyDescent="0.3">
      <c r="A2471" s="1"/>
    </row>
    <row r="2472" spans="1:1" x14ac:dyDescent="0.3">
      <c r="A2472" s="1"/>
    </row>
    <row r="2473" spans="1:1" x14ac:dyDescent="0.3">
      <c r="A2473" s="1"/>
    </row>
    <row r="2474" spans="1:1" x14ac:dyDescent="0.3">
      <c r="A2474" s="1"/>
    </row>
    <row r="2475" spans="1:1" x14ac:dyDescent="0.3">
      <c r="A2475" s="1"/>
    </row>
    <row r="2476" spans="1:1" x14ac:dyDescent="0.3">
      <c r="A2476" s="1"/>
    </row>
    <row r="2477" spans="1:1" x14ac:dyDescent="0.3">
      <c r="A2477" s="1"/>
    </row>
    <row r="2478" spans="1:1" x14ac:dyDescent="0.3">
      <c r="A2478" s="1"/>
    </row>
    <row r="2479" spans="1:1" x14ac:dyDescent="0.3">
      <c r="A2479" s="1"/>
    </row>
    <row r="2480" spans="1:1" x14ac:dyDescent="0.3">
      <c r="A2480" s="1"/>
    </row>
    <row r="2481" spans="1:1" x14ac:dyDescent="0.3">
      <c r="A2481" s="1"/>
    </row>
    <row r="2482" spans="1:1" x14ac:dyDescent="0.3">
      <c r="A2482" s="1"/>
    </row>
    <row r="2483" spans="1:1" x14ac:dyDescent="0.3">
      <c r="A2483" s="1"/>
    </row>
    <row r="2484" spans="1:1" x14ac:dyDescent="0.3">
      <c r="A2484" s="1"/>
    </row>
    <row r="2485" spans="1:1" x14ac:dyDescent="0.3">
      <c r="A2485" s="1"/>
    </row>
    <row r="2486" spans="1:1" x14ac:dyDescent="0.3">
      <c r="A2486" s="1"/>
    </row>
    <row r="2487" spans="1:1" x14ac:dyDescent="0.3">
      <c r="A2487" s="1"/>
    </row>
    <row r="2488" spans="1:1" x14ac:dyDescent="0.3">
      <c r="A2488" s="1"/>
    </row>
    <row r="2489" spans="1:1" x14ac:dyDescent="0.3">
      <c r="A2489" s="1"/>
    </row>
    <row r="2490" spans="1:1" x14ac:dyDescent="0.3">
      <c r="A2490" s="1"/>
    </row>
    <row r="2491" spans="1:1" x14ac:dyDescent="0.3">
      <c r="A2491" s="1"/>
    </row>
    <row r="2492" spans="1:1" x14ac:dyDescent="0.3">
      <c r="A2492" s="1"/>
    </row>
    <row r="2493" spans="1:1" x14ac:dyDescent="0.3">
      <c r="A2493" s="1"/>
    </row>
    <row r="2494" spans="1:1" x14ac:dyDescent="0.3">
      <c r="A2494" s="1"/>
    </row>
    <row r="2495" spans="1:1" x14ac:dyDescent="0.3">
      <c r="A2495" s="1"/>
    </row>
    <row r="2496" spans="1:1" x14ac:dyDescent="0.3">
      <c r="A2496" s="1"/>
    </row>
    <row r="2497" spans="1:1" x14ac:dyDescent="0.3">
      <c r="A2497" s="1"/>
    </row>
    <row r="2498" spans="1:1" x14ac:dyDescent="0.3">
      <c r="A2498" s="1"/>
    </row>
    <row r="2499" spans="1:1" x14ac:dyDescent="0.3">
      <c r="A2499" s="1"/>
    </row>
    <row r="2500" spans="1:1" x14ac:dyDescent="0.3">
      <c r="A2500" s="1"/>
    </row>
    <row r="2501" spans="1:1" x14ac:dyDescent="0.3">
      <c r="A2501" s="1"/>
    </row>
    <row r="2502" spans="1:1" x14ac:dyDescent="0.3">
      <c r="A2502" s="1"/>
    </row>
    <row r="2503" spans="1:1" x14ac:dyDescent="0.3">
      <c r="A2503" s="1"/>
    </row>
    <row r="2504" spans="1:1" x14ac:dyDescent="0.3">
      <c r="A2504" s="1"/>
    </row>
    <row r="2505" spans="1:1" x14ac:dyDescent="0.3">
      <c r="A2505" s="1"/>
    </row>
    <row r="2506" spans="1:1" x14ac:dyDescent="0.3">
      <c r="A2506" s="1"/>
    </row>
    <row r="2507" spans="1:1" x14ac:dyDescent="0.3">
      <c r="A2507" s="1"/>
    </row>
    <row r="2508" spans="1:1" x14ac:dyDescent="0.3">
      <c r="A2508" s="1"/>
    </row>
    <row r="2509" spans="1:1" x14ac:dyDescent="0.3">
      <c r="A2509" s="1"/>
    </row>
    <row r="2510" spans="1:1" x14ac:dyDescent="0.3">
      <c r="A2510" s="1"/>
    </row>
    <row r="2511" spans="1:1" x14ac:dyDescent="0.3">
      <c r="A2511" s="1"/>
    </row>
    <row r="2512" spans="1:1" x14ac:dyDescent="0.3">
      <c r="A2512" s="1"/>
    </row>
    <row r="2513" spans="1:1" x14ac:dyDescent="0.3">
      <c r="A2513" s="1"/>
    </row>
    <row r="2514" spans="1:1" x14ac:dyDescent="0.3">
      <c r="A2514" s="1"/>
    </row>
    <row r="2515" spans="1:1" x14ac:dyDescent="0.3">
      <c r="A2515" s="1"/>
    </row>
    <row r="2516" spans="1:1" x14ac:dyDescent="0.3">
      <c r="A2516" s="1"/>
    </row>
    <row r="2517" spans="1:1" x14ac:dyDescent="0.3">
      <c r="A2517" s="1"/>
    </row>
    <row r="2518" spans="1:1" x14ac:dyDescent="0.3">
      <c r="A2518" s="1"/>
    </row>
    <row r="2519" spans="1:1" x14ac:dyDescent="0.3">
      <c r="A2519" s="1"/>
    </row>
    <row r="2520" spans="1:1" x14ac:dyDescent="0.3">
      <c r="A2520" s="1"/>
    </row>
    <row r="2521" spans="1:1" x14ac:dyDescent="0.3">
      <c r="A2521" s="1"/>
    </row>
    <row r="2522" spans="1:1" x14ac:dyDescent="0.3">
      <c r="A2522" s="1"/>
    </row>
    <row r="2523" spans="1:1" x14ac:dyDescent="0.3">
      <c r="A2523" s="1"/>
    </row>
    <row r="2524" spans="1:1" x14ac:dyDescent="0.3">
      <c r="A2524" s="1"/>
    </row>
    <row r="2525" spans="1:1" x14ac:dyDescent="0.3">
      <c r="A2525" s="1"/>
    </row>
    <row r="2526" spans="1:1" x14ac:dyDescent="0.3">
      <c r="A2526" s="1"/>
    </row>
    <row r="2527" spans="1:1" x14ac:dyDescent="0.3">
      <c r="A2527" s="1"/>
    </row>
    <row r="2528" spans="1:1" x14ac:dyDescent="0.3">
      <c r="A2528" s="1"/>
    </row>
    <row r="2529" spans="1:1" x14ac:dyDescent="0.3">
      <c r="A2529" s="1"/>
    </row>
    <row r="2530" spans="1:1" x14ac:dyDescent="0.3">
      <c r="A2530" s="1"/>
    </row>
    <row r="2531" spans="1:1" x14ac:dyDescent="0.3">
      <c r="A2531" s="1"/>
    </row>
    <row r="2532" spans="1:1" x14ac:dyDescent="0.3">
      <c r="A2532" s="1"/>
    </row>
    <row r="2533" spans="1:1" x14ac:dyDescent="0.3">
      <c r="A2533" s="1"/>
    </row>
    <row r="2534" spans="1:1" x14ac:dyDescent="0.3">
      <c r="A2534" s="1"/>
    </row>
    <row r="2535" spans="1:1" x14ac:dyDescent="0.3">
      <c r="A2535" s="1"/>
    </row>
    <row r="2536" spans="1:1" x14ac:dyDescent="0.3">
      <c r="A2536" s="1"/>
    </row>
    <row r="2537" spans="1:1" x14ac:dyDescent="0.3">
      <c r="A2537" s="1"/>
    </row>
    <row r="2538" spans="1:1" x14ac:dyDescent="0.3">
      <c r="A2538" s="1"/>
    </row>
    <row r="2539" spans="1:1" x14ac:dyDescent="0.3">
      <c r="A2539" s="1"/>
    </row>
    <row r="2540" spans="1:1" x14ac:dyDescent="0.3">
      <c r="A2540" s="1"/>
    </row>
    <row r="2541" spans="1:1" x14ac:dyDescent="0.3">
      <c r="A2541" s="1"/>
    </row>
    <row r="2542" spans="1:1" x14ac:dyDescent="0.3">
      <c r="A2542" s="1"/>
    </row>
    <row r="2543" spans="1:1" x14ac:dyDescent="0.3">
      <c r="A2543" s="1"/>
    </row>
    <row r="2544" spans="1:1" x14ac:dyDescent="0.3">
      <c r="A2544" s="1"/>
    </row>
    <row r="2545" spans="1:1" x14ac:dyDescent="0.3">
      <c r="A2545" s="1"/>
    </row>
    <row r="2546" spans="1:1" x14ac:dyDescent="0.3">
      <c r="A2546" s="1"/>
    </row>
    <row r="2547" spans="1:1" x14ac:dyDescent="0.3">
      <c r="A2547" s="1"/>
    </row>
    <row r="2548" spans="1:1" x14ac:dyDescent="0.3">
      <c r="A2548" s="1"/>
    </row>
    <row r="2549" spans="1:1" x14ac:dyDescent="0.3">
      <c r="A2549" s="1"/>
    </row>
    <row r="2550" spans="1:1" x14ac:dyDescent="0.3">
      <c r="A2550" s="1"/>
    </row>
    <row r="2551" spans="1:1" x14ac:dyDescent="0.3">
      <c r="A2551" s="1"/>
    </row>
    <row r="2552" spans="1:1" x14ac:dyDescent="0.3">
      <c r="A2552" s="1"/>
    </row>
    <row r="2553" spans="1:1" x14ac:dyDescent="0.3">
      <c r="A2553" s="1"/>
    </row>
    <row r="2554" spans="1:1" x14ac:dyDescent="0.3">
      <c r="A2554" s="1"/>
    </row>
    <row r="2555" spans="1:1" x14ac:dyDescent="0.3">
      <c r="A2555" s="1"/>
    </row>
    <row r="2556" spans="1:1" x14ac:dyDescent="0.3">
      <c r="A2556" s="1"/>
    </row>
    <row r="2557" spans="1:1" x14ac:dyDescent="0.3">
      <c r="A2557" s="1"/>
    </row>
    <row r="2558" spans="1:1" x14ac:dyDescent="0.3">
      <c r="A2558" s="1"/>
    </row>
    <row r="2559" spans="1:1" x14ac:dyDescent="0.3">
      <c r="A2559" s="1"/>
    </row>
    <row r="2560" spans="1:1" x14ac:dyDescent="0.3">
      <c r="A2560" s="1"/>
    </row>
    <row r="2561" spans="1:1" x14ac:dyDescent="0.3">
      <c r="A2561" s="1"/>
    </row>
    <row r="2562" spans="1:1" x14ac:dyDescent="0.3">
      <c r="A2562" s="1"/>
    </row>
    <row r="2563" spans="1:1" x14ac:dyDescent="0.3">
      <c r="A2563" s="1"/>
    </row>
    <row r="2564" spans="1:1" x14ac:dyDescent="0.3">
      <c r="A2564" s="1"/>
    </row>
    <row r="2565" spans="1:1" x14ac:dyDescent="0.3">
      <c r="A2565" s="1"/>
    </row>
    <row r="2566" spans="1:1" x14ac:dyDescent="0.3">
      <c r="A2566" s="1"/>
    </row>
    <row r="2567" spans="1:1" x14ac:dyDescent="0.3">
      <c r="A2567" s="1"/>
    </row>
    <row r="2568" spans="1:1" x14ac:dyDescent="0.3">
      <c r="A2568" s="1"/>
    </row>
    <row r="2569" spans="1:1" x14ac:dyDescent="0.3">
      <c r="A2569" s="1"/>
    </row>
    <row r="2570" spans="1:1" x14ac:dyDescent="0.3">
      <c r="A2570" s="1"/>
    </row>
    <row r="2571" spans="1:1" x14ac:dyDescent="0.3">
      <c r="A2571" s="1"/>
    </row>
    <row r="2572" spans="1:1" x14ac:dyDescent="0.3">
      <c r="A2572" s="1"/>
    </row>
    <row r="2573" spans="1:1" x14ac:dyDescent="0.3">
      <c r="A2573" s="86"/>
    </row>
    <row r="2574" spans="1:1" x14ac:dyDescent="0.3">
      <c r="A2574" s="1"/>
    </row>
    <row r="2575" spans="1:1" x14ac:dyDescent="0.3">
      <c r="A2575" s="1"/>
    </row>
    <row r="2576" spans="1:1" x14ac:dyDescent="0.3">
      <c r="A2576" s="1"/>
    </row>
    <row r="2577" spans="1:1" x14ac:dyDescent="0.3">
      <c r="A2577" s="1"/>
    </row>
    <row r="2578" spans="1:1" x14ac:dyDescent="0.3">
      <c r="A2578" s="1"/>
    </row>
    <row r="2579" spans="1:1" x14ac:dyDescent="0.3">
      <c r="A2579" s="1"/>
    </row>
    <row r="2580" spans="1:1" x14ac:dyDescent="0.3">
      <c r="A2580" s="1"/>
    </row>
    <row r="2581" spans="1:1" x14ac:dyDescent="0.3">
      <c r="A2581" s="1"/>
    </row>
    <row r="2582" spans="1:1" x14ac:dyDescent="0.3">
      <c r="A2582" s="1"/>
    </row>
    <row r="2583" spans="1:1" x14ac:dyDescent="0.3">
      <c r="A2583" s="1"/>
    </row>
    <row r="2584" spans="1:1" x14ac:dyDescent="0.3">
      <c r="A2584" s="1"/>
    </row>
    <row r="2585" spans="1:1" x14ac:dyDescent="0.3">
      <c r="A2585" s="1"/>
    </row>
    <row r="2586" spans="1:1" x14ac:dyDescent="0.3">
      <c r="A2586" s="1"/>
    </row>
    <row r="2587" spans="1:1" x14ac:dyDescent="0.3">
      <c r="A2587" s="1"/>
    </row>
    <row r="2588" spans="1:1" x14ac:dyDescent="0.3">
      <c r="A2588" s="1"/>
    </row>
    <row r="2589" spans="1:1" x14ac:dyDescent="0.3">
      <c r="A2589" s="1"/>
    </row>
    <row r="2590" spans="1:1" x14ac:dyDescent="0.3">
      <c r="A2590" s="1"/>
    </row>
    <row r="2591" spans="1:1" x14ac:dyDescent="0.3">
      <c r="A2591" s="1"/>
    </row>
    <row r="2592" spans="1:1" x14ac:dyDescent="0.3">
      <c r="A2592" s="1"/>
    </row>
    <row r="2593" spans="1:1" x14ac:dyDescent="0.3">
      <c r="A2593" s="1"/>
    </row>
    <row r="2594" spans="1:1" x14ac:dyDescent="0.3">
      <c r="A2594" s="1"/>
    </row>
    <row r="2595" spans="1:1" x14ac:dyDescent="0.3">
      <c r="A2595" s="1"/>
    </row>
    <row r="2596" spans="1:1" x14ac:dyDescent="0.3">
      <c r="A2596" s="1"/>
    </row>
    <row r="2597" spans="1:1" x14ac:dyDescent="0.3">
      <c r="A2597" s="1"/>
    </row>
    <row r="2598" spans="1:1" x14ac:dyDescent="0.3">
      <c r="A2598" s="1"/>
    </row>
    <row r="2599" spans="1:1" x14ac:dyDescent="0.3">
      <c r="A2599" s="1"/>
    </row>
    <row r="2600" spans="1:1" x14ac:dyDescent="0.3">
      <c r="A2600" s="1"/>
    </row>
    <row r="2601" spans="1:1" x14ac:dyDescent="0.3">
      <c r="A2601" s="1"/>
    </row>
    <row r="2602" spans="1:1" x14ac:dyDescent="0.3">
      <c r="A2602" s="1"/>
    </row>
    <row r="2603" spans="1:1" x14ac:dyDescent="0.3">
      <c r="A2603" s="1"/>
    </row>
    <row r="2604" spans="1:1" x14ac:dyDescent="0.3">
      <c r="A2604" s="1"/>
    </row>
    <row r="2605" spans="1:1" x14ac:dyDescent="0.3">
      <c r="A2605" s="1"/>
    </row>
    <row r="2606" spans="1:1" x14ac:dyDescent="0.3">
      <c r="A2606" s="1"/>
    </row>
    <row r="2607" spans="1:1" x14ac:dyDescent="0.3">
      <c r="A2607" s="1"/>
    </row>
    <row r="2608" spans="1:1" x14ac:dyDescent="0.3">
      <c r="A2608" s="1"/>
    </row>
    <row r="2609" spans="1:1" x14ac:dyDescent="0.3">
      <c r="A2609" s="1"/>
    </row>
    <row r="2610" spans="1:1" x14ac:dyDescent="0.3">
      <c r="A2610" s="1"/>
    </row>
    <row r="2611" spans="1:1" x14ac:dyDescent="0.3">
      <c r="A2611" s="1"/>
    </row>
    <row r="2612" spans="1:1" x14ac:dyDescent="0.3">
      <c r="A2612" s="1"/>
    </row>
    <row r="2613" spans="1:1" x14ac:dyDescent="0.3">
      <c r="A2613" s="1"/>
    </row>
    <row r="2614" spans="1:1" x14ac:dyDescent="0.3">
      <c r="A2614" s="1"/>
    </row>
    <row r="2615" spans="1:1" x14ac:dyDescent="0.3">
      <c r="A2615" s="1"/>
    </row>
    <row r="2616" spans="1:1" x14ac:dyDescent="0.3">
      <c r="A2616" s="1"/>
    </row>
    <row r="2617" spans="1:1" x14ac:dyDescent="0.3">
      <c r="A2617" s="1"/>
    </row>
    <row r="2618" spans="1:1" x14ac:dyDescent="0.3">
      <c r="A2618" s="1"/>
    </row>
    <row r="2619" spans="1:1" x14ac:dyDescent="0.3">
      <c r="A2619" s="1"/>
    </row>
    <row r="2620" spans="1:1" x14ac:dyDescent="0.3">
      <c r="A2620" s="1"/>
    </row>
    <row r="2621" spans="1:1" x14ac:dyDescent="0.3">
      <c r="A2621" s="1"/>
    </row>
    <row r="2622" spans="1:1" x14ac:dyDescent="0.3">
      <c r="A2622" s="1"/>
    </row>
    <row r="2623" spans="1:1" x14ac:dyDescent="0.3">
      <c r="A2623" s="1"/>
    </row>
    <row r="2624" spans="1:1" x14ac:dyDescent="0.3">
      <c r="A2624" s="1"/>
    </row>
    <row r="2625" spans="1:1" x14ac:dyDescent="0.3">
      <c r="A2625" s="1"/>
    </row>
    <row r="2626" spans="1:1" x14ac:dyDescent="0.3">
      <c r="A2626" s="1"/>
    </row>
    <row r="2627" spans="1:1" x14ac:dyDescent="0.3">
      <c r="A2627" s="1"/>
    </row>
    <row r="2628" spans="1:1" x14ac:dyDescent="0.3">
      <c r="A2628" s="1"/>
    </row>
    <row r="2629" spans="1:1" x14ac:dyDescent="0.3">
      <c r="A2629" s="1"/>
    </row>
    <row r="2630" spans="1:1" x14ac:dyDescent="0.3">
      <c r="A2630" s="1"/>
    </row>
    <row r="2631" spans="1:1" x14ac:dyDescent="0.3">
      <c r="A2631" s="1"/>
    </row>
    <row r="2632" spans="1:1" x14ac:dyDescent="0.3">
      <c r="A2632" s="86"/>
    </row>
    <row r="2633" spans="1:1" x14ac:dyDescent="0.3">
      <c r="A2633" s="1"/>
    </row>
    <row r="2634" spans="1:1" x14ac:dyDescent="0.3">
      <c r="A2634" s="1"/>
    </row>
    <row r="2635" spans="1:1" x14ac:dyDescent="0.3">
      <c r="A2635" s="1"/>
    </row>
    <row r="2636" spans="1:1" x14ac:dyDescent="0.3">
      <c r="A2636" s="1"/>
    </row>
    <row r="2637" spans="1:1" x14ac:dyDescent="0.3">
      <c r="A2637" s="1"/>
    </row>
    <row r="2638" spans="1:1" x14ac:dyDescent="0.3">
      <c r="A2638" s="1"/>
    </row>
    <row r="2639" spans="1:1" x14ac:dyDescent="0.3">
      <c r="A2639" s="1"/>
    </row>
    <row r="2640" spans="1:1" x14ac:dyDescent="0.3">
      <c r="A2640" s="1"/>
    </row>
    <row r="2641" spans="1:1" x14ac:dyDescent="0.3">
      <c r="A2641" s="1"/>
    </row>
    <row r="2642" spans="1:1" x14ac:dyDescent="0.3">
      <c r="A2642" s="1"/>
    </row>
    <row r="2643" spans="1:1" x14ac:dyDescent="0.3">
      <c r="A2643" s="1"/>
    </row>
    <row r="2644" spans="1:1" x14ac:dyDescent="0.3">
      <c r="A2644" s="1"/>
    </row>
    <row r="2645" spans="1:1" x14ac:dyDescent="0.3">
      <c r="A2645" s="1"/>
    </row>
    <row r="2646" spans="1:1" x14ac:dyDescent="0.3">
      <c r="A2646" s="1"/>
    </row>
    <row r="2647" spans="1:1" x14ac:dyDescent="0.3">
      <c r="A2647" s="1"/>
    </row>
    <row r="2648" spans="1:1" x14ac:dyDescent="0.3">
      <c r="A2648" s="1"/>
    </row>
    <row r="2649" spans="1:1" x14ac:dyDescent="0.3">
      <c r="A2649" s="1"/>
    </row>
    <row r="2650" spans="1:1" x14ac:dyDescent="0.3">
      <c r="A2650" s="1"/>
    </row>
    <row r="2651" spans="1:1" x14ac:dyDescent="0.3">
      <c r="A2651" s="1"/>
    </row>
    <row r="2652" spans="1:1" x14ac:dyDescent="0.3">
      <c r="A2652" s="1"/>
    </row>
    <row r="2653" spans="1:1" x14ac:dyDescent="0.3">
      <c r="A2653" s="1"/>
    </row>
    <row r="2654" spans="1:1" x14ac:dyDescent="0.3">
      <c r="A2654" s="1"/>
    </row>
    <row r="2655" spans="1:1" x14ac:dyDescent="0.3">
      <c r="A2655" s="1"/>
    </row>
    <row r="2656" spans="1:1" x14ac:dyDescent="0.3">
      <c r="A2656" s="1"/>
    </row>
    <row r="2657" spans="1:1" x14ac:dyDescent="0.3">
      <c r="A2657" s="1"/>
    </row>
    <row r="2658" spans="1:1" x14ac:dyDescent="0.3">
      <c r="A2658" s="1"/>
    </row>
    <row r="2659" spans="1:1" x14ac:dyDescent="0.3">
      <c r="A2659" s="1"/>
    </row>
    <row r="2660" spans="1:1" x14ac:dyDescent="0.3">
      <c r="A2660" s="1"/>
    </row>
    <row r="2661" spans="1:1" x14ac:dyDescent="0.3">
      <c r="A2661" s="1"/>
    </row>
    <row r="2662" spans="1:1" x14ac:dyDescent="0.3">
      <c r="A2662" s="1"/>
    </row>
    <row r="2663" spans="1:1" x14ac:dyDescent="0.3">
      <c r="A2663" s="1"/>
    </row>
    <row r="2664" spans="1:1" x14ac:dyDescent="0.3">
      <c r="A2664" s="1"/>
    </row>
    <row r="2665" spans="1:1" x14ac:dyDescent="0.3">
      <c r="A2665" s="1"/>
    </row>
    <row r="2666" spans="1:1" x14ac:dyDescent="0.3">
      <c r="A2666" s="1"/>
    </row>
    <row r="2667" spans="1:1" x14ac:dyDescent="0.3">
      <c r="A2667" s="1"/>
    </row>
    <row r="2668" spans="1:1" x14ac:dyDescent="0.3">
      <c r="A2668" s="1"/>
    </row>
    <row r="2669" spans="1:1" x14ac:dyDescent="0.3">
      <c r="A2669" s="1"/>
    </row>
    <row r="2670" spans="1:1" x14ac:dyDescent="0.3">
      <c r="A2670" s="1"/>
    </row>
    <row r="2671" spans="1:1" x14ac:dyDescent="0.3">
      <c r="A2671" s="1"/>
    </row>
    <row r="2672" spans="1:1" x14ac:dyDescent="0.3">
      <c r="A2672" s="1"/>
    </row>
    <row r="2673" spans="1:1" x14ac:dyDescent="0.3">
      <c r="A2673" s="1"/>
    </row>
    <row r="2674" spans="1:1" x14ac:dyDescent="0.3">
      <c r="A2674" s="1"/>
    </row>
    <row r="2675" spans="1:1" x14ac:dyDescent="0.3">
      <c r="A2675" s="1"/>
    </row>
    <row r="2676" spans="1:1" x14ac:dyDescent="0.3">
      <c r="A2676" s="1"/>
    </row>
    <row r="2677" spans="1:1" x14ac:dyDescent="0.3">
      <c r="A2677" s="1"/>
    </row>
    <row r="2678" spans="1:1" x14ac:dyDescent="0.3">
      <c r="A2678" s="1"/>
    </row>
    <row r="2679" spans="1:1" x14ac:dyDescent="0.3">
      <c r="A2679" s="1"/>
    </row>
    <row r="2680" spans="1:1" x14ac:dyDescent="0.3">
      <c r="A2680" s="1"/>
    </row>
    <row r="2681" spans="1:1" x14ac:dyDescent="0.3">
      <c r="A2681" s="1"/>
    </row>
    <row r="2682" spans="1:1" x14ac:dyDescent="0.3">
      <c r="A2682" s="1"/>
    </row>
    <row r="2683" spans="1:1" x14ac:dyDescent="0.3">
      <c r="A2683" s="1"/>
    </row>
    <row r="2684" spans="1:1" x14ac:dyDescent="0.3">
      <c r="A2684" s="1"/>
    </row>
    <row r="2685" spans="1:1" x14ac:dyDescent="0.3">
      <c r="A2685" s="1"/>
    </row>
    <row r="2686" spans="1:1" x14ac:dyDescent="0.3">
      <c r="A2686" s="1"/>
    </row>
    <row r="2687" spans="1:1" x14ac:dyDescent="0.3">
      <c r="A2687" s="1"/>
    </row>
    <row r="2688" spans="1:1" x14ac:dyDescent="0.3">
      <c r="A2688" s="1"/>
    </row>
    <row r="2689" spans="1:1" x14ac:dyDescent="0.3">
      <c r="A2689" s="1"/>
    </row>
    <row r="2690" spans="1:1" x14ac:dyDescent="0.3">
      <c r="A2690" s="1"/>
    </row>
    <row r="2691" spans="1:1" x14ac:dyDescent="0.3">
      <c r="A2691" s="1"/>
    </row>
    <row r="2692" spans="1:1" x14ac:dyDescent="0.3">
      <c r="A2692" s="1"/>
    </row>
    <row r="2693" spans="1:1" x14ac:dyDescent="0.3">
      <c r="A2693" s="1"/>
    </row>
    <row r="2694" spans="1:1" x14ac:dyDescent="0.3">
      <c r="A2694" s="1"/>
    </row>
    <row r="2695" spans="1:1" x14ac:dyDescent="0.3">
      <c r="A2695" s="1"/>
    </row>
    <row r="2696" spans="1:1" x14ac:dyDescent="0.3">
      <c r="A2696" s="1"/>
    </row>
    <row r="2697" spans="1:1" x14ac:dyDescent="0.3">
      <c r="A2697" s="1"/>
    </row>
    <row r="2698" spans="1:1" x14ac:dyDescent="0.3">
      <c r="A2698" s="1"/>
    </row>
    <row r="2699" spans="1:1" x14ac:dyDescent="0.3">
      <c r="A2699" s="1"/>
    </row>
    <row r="2700" spans="1:1" x14ac:dyDescent="0.3">
      <c r="A2700" s="1"/>
    </row>
    <row r="2701" spans="1:1" x14ac:dyDescent="0.3">
      <c r="A2701" s="1"/>
    </row>
    <row r="2702" spans="1:1" x14ac:dyDescent="0.3">
      <c r="A2702" s="1"/>
    </row>
    <row r="2703" spans="1:1" x14ac:dyDescent="0.3">
      <c r="A2703" s="1"/>
    </row>
    <row r="2704" spans="1:1" x14ac:dyDescent="0.3">
      <c r="A2704" s="1"/>
    </row>
    <row r="2705" spans="1:1" x14ac:dyDescent="0.3">
      <c r="A2705" s="1"/>
    </row>
    <row r="2706" spans="1:1" x14ac:dyDescent="0.3">
      <c r="A2706" s="1"/>
    </row>
    <row r="2707" spans="1:1" x14ac:dyDescent="0.3">
      <c r="A2707" s="1"/>
    </row>
    <row r="2708" spans="1:1" x14ac:dyDescent="0.3">
      <c r="A2708" s="1"/>
    </row>
    <row r="2709" spans="1:1" x14ac:dyDescent="0.3">
      <c r="A2709" s="1"/>
    </row>
    <row r="2710" spans="1:1" x14ac:dyDescent="0.3">
      <c r="A2710" s="1"/>
    </row>
    <row r="2711" spans="1:1" x14ac:dyDescent="0.3">
      <c r="A2711" s="1"/>
    </row>
    <row r="2712" spans="1:1" x14ac:dyDescent="0.3">
      <c r="A2712" s="1"/>
    </row>
    <row r="2713" spans="1:1" x14ac:dyDescent="0.3">
      <c r="A2713" s="1"/>
    </row>
    <row r="2714" spans="1:1" x14ac:dyDescent="0.3">
      <c r="A2714" s="1"/>
    </row>
    <row r="2715" spans="1:1" x14ac:dyDescent="0.3">
      <c r="A2715" s="1"/>
    </row>
    <row r="2716" spans="1:1" x14ac:dyDescent="0.3">
      <c r="A2716" s="1"/>
    </row>
    <row r="2717" spans="1:1" x14ac:dyDescent="0.3">
      <c r="A2717" s="1"/>
    </row>
    <row r="2718" spans="1:1" x14ac:dyDescent="0.3">
      <c r="A2718" s="1"/>
    </row>
    <row r="2719" spans="1:1" x14ac:dyDescent="0.3">
      <c r="A2719" s="1"/>
    </row>
    <row r="2720" spans="1:1" x14ac:dyDescent="0.3">
      <c r="A2720" s="1"/>
    </row>
    <row r="2721" spans="1:1" x14ac:dyDescent="0.3">
      <c r="A2721" s="1"/>
    </row>
    <row r="2722" spans="1:1" x14ac:dyDescent="0.3">
      <c r="A2722" s="1"/>
    </row>
    <row r="2723" spans="1:1" x14ac:dyDescent="0.3">
      <c r="A2723" s="1"/>
    </row>
    <row r="2724" spans="1:1" x14ac:dyDescent="0.3">
      <c r="A2724" s="1"/>
    </row>
    <row r="2725" spans="1:1" x14ac:dyDescent="0.3">
      <c r="A2725" s="1"/>
    </row>
    <row r="2726" spans="1:1" x14ac:dyDescent="0.3">
      <c r="A2726" s="1"/>
    </row>
    <row r="2727" spans="1:1" x14ac:dyDescent="0.3">
      <c r="A2727" s="1"/>
    </row>
    <row r="2728" spans="1:1" x14ac:dyDescent="0.3">
      <c r="A2728" s="1"/>
    </row>
    <row r="2729" spans="1:1" x14ac:dyDescent="0.3">
      <c r="A2729" s="1"/>
    </row>
    <row r="2730" spans="1:1" x14ac:dyDescent="0.3">
      <c r="A2730" s="1"/>
    </row>
    <row r="2731" spans="1:1" x14ac:dyDescent="0.3">
      <c r="A2731" s="1"/>
    </row>
    <row r="2732" spans="1:1" x14ac:dyDescent="0.3">
      <c r="A2732" s="1"/>
    </row>
    <row r="2733" spans="1:1" x14ac:dyDescent="0.3">
      <c r="A2733" s="1"/>
    </row>
    <row r="2734" spans="1:1" x14ac:dyDescent="0.3">
      <c r="A2734" s="1"/>
    </row>
    <row r="2735" spans="1:1" x14ac:dyDescent="0.3">
      <c r="A2735" s="1"/>
    </row>
    <row r="2736" spans="1:1" x14ac:dyDescent="0.3">
      <c r="A2736" s="1"/>
    </row>
    <row r="2737" spans="1:1" x14ac:dyDescent="0.3">
      <c r="A2737" s="1"/>
    </row>
    <row r="2738" spans="1:1" x14ac:dyDescent="0.3">
      <c r="A2738" s="1"/>
    </row>
    <row r="2739" spans="1:1" x14ac:dyDescent="0.3">
      <c r="A2739" s="1"/>
    </row>
    <row r="2740" spans="1:1" x14ac:dyDescent="0.3">
      <c r="A2740" s="1"/>
    </row>
    <row r="2741" spans="1:1" x14ac:dyDescent="0.3">
      <c r="A2741" s="1"/>
    </row>
    <row r="2742" spans="1:1" x14ac:dyDescent="0.3">
      <c r="A2742" s="1"/>
    </row>
    <row r="2743" spans="1:1" x14ac:dyDescent="0.3">
      <c r="A2743" s="1"/>
    </row>
    <row r="2744" spans="1:1" x14ac:dyDescent="0.3">
      <c r="A2744" s="1"/>
    </row>
    <row r="2745" spans="1:1" x14ac:dyDescent="0.3">
      <c r="A2745" s="1"/>
    </row>
    <row r="2746" spans="1:1" x14ac:dyDescent="0.3">
      <c r="A2746" s="1"/>
    </row>
    <row r="2747" spans="1:1" x14ac:dyDescent="0.3">
      <c r="A2747" s="1"/>
    </row>
    <row r="2748" spans="1:1" x14ac:dyDescent="0.3">
      <c r="A2748" s="1"/>
    </row>
    <row r="2749" spans="1:1" x14ac:dyDescent="0.3">
      <c r="A2749" s="1"/>
    </row>
    <row r="2750" spans="1:1" x14ac:dyDescent="0.3">
      <c r="A2750" s="1"/>
    </row>
    <row r="2751" spans="1:1" x14ac:dyDescent="0.3">
      <c r="A2751" s="1"/>
    </row>
    <row r="2752" spans="1:1" x14ac:dyDescent="0.3">
      <c r="A2752" s="1"/>
    </row>
    <row r="2753" spans="1:1" x14ac:dyDescent="0.3">
      <c r="A2753" s="1"/>
    </row>
    <row r="2754" spans="1:1" x14ac:dyDescent="0.3">
      <c r="A2754" s="1"/>
    </row>
    <row r="2755" spans="1:1" x14ac:dyDescent="0.3">
      <c r="A2755" s="1"/>
    </row>
    <row r="2756" spans="1:1" x14ac:dyDescent="0.3">
      <c r="A2756" s="1"/>
    </row>
    <row r="2757" spans="1:1" x14ac:dyDescent="0.3">
      <c r="A2757" s="1"/>
    </row>
    <row r="2758" spans="1:1" x14ac:dyDescent="0.3">
      <c r="A2758" s="1"/>
    </row>
    <row r="2759" spans="1:1" x14ac:dyDescent="0.3">
      <c r="A2759" s="1"/>
    </row>
    <row r="2760" spans="1:1" x14ac:dyDescent="0.3">
      <c r="A2760" s="1"/>
    </row>
    <row r="2761" spans="1:1" x14ac:dyDescent="0.3">
      <c r="A2761" s="1"/>
    </row>
    <row r="2762" spans="1:1" x14ac:dyDescent="0.3">
      <c r="A2762" s="1"/>
    </row>
    <row r="2763" spans="1:1" x14ac:dyDescent="0.3">
      <c r="A2763" s="1"/>
    </row>
    <row r="2764" spans="1:1" x14ac:dyDescent="0.3">
      <c r="A2764" s="1"/>
    </row>
    <row r="2765" spans="1:1" x14ac:dyDescent="0.3">
      <c r="A2765" s="1"/>
    </row>
    <row r="2766" spans="1:1" x14ac:dyDescent="0.3">
      <c r="A2766" s="1"/>
    </row>
    <row r="2767" spans="1:1" x14ac:dyDescent="0.3">
      <c r="A2767" s="1"/>
    </row>
    <row r="2768" spans="1:1" x14ac:dyDescent="0.3">
      <c r="A2768" s="1"/>
    </row>
    <row r="2769" spans="1:1" x14ac:dyDescent="0.3">
      <c r="A2769" s="1"/>
    </row>
    <row r="2770" spans="1:1" x14ac:dyDescent="0.3">
      <c r="A2770" s="1"/>
    </row>
    <row r="2771" spans="1:1" x14ac:dyDescent="0.3">
      <c r="A2771" s="1"/>
    </row>
    <row r="2772" spans="1:1" x14ac:dyDescent="0.3">
      <c r="A2772" s="1"/>
    </row>
    <row r="2773" spans="1:1" x14ac:dyDescent="0.3">
      <c r="A2773" s="1"/>
    </row>
    <row r="2774" spans="1:1" x14ac:dyDescent="0.3">
      <c r="A2774" s="1"/>
    </row>
    <row r="2775" spans="1:1" x14ac:dyDescent="0.3">
      <c r="A2775" s="1"/>
    </row>
    <row r="2776" spans="1:1" x14ac:dyDescent="0.3">
      <c r="A2776" s="1"/>
    </row>
    <row r="2777" spans="1:1" x14ac:dyDescent="0.3">
      <c r="A2777" s="1"/>
    </row>
    <row r="2778" spans="1:1" x14ac:dyDescent="0.3">
      <c r="A2778" s="1"/>
    </row>
    <row r="2779" spans="1:1" x14ac:dyDescent="0.3">
      <c r="A2779" s="1"/>
    </row>
    <row r="2780" spans="1:1" x14ac:dyDescent="0.3">
      <c r="A2780" s="1"/>
    </row>
    <row r="2781" spans="1:1" x14ac:dyDescent="0.3">
      <c r="A2781" s="1"/>
    </row>
    <row r="2782" spans="1:1" x14ac:dyDescent="0.3">
      <c r="A2782" s="1"/>
    </row>
    <row r="2783" spans="1:1" x14ac:dyDescent="0.3">
      <c r="A2783" s="1"/>
    </row>
    <row r="2784" spans="1:1" x14ac:dyDescent="0.3">
      <c r="A2784" s="1"/>
    </row>
    <row r="2785" spans="1:1" x14ac:dyDescent="0.3">
      <c r="A2785" s="1"/>
    </row>
    <row r="2786" spans="1:1" x14ac:dyDescent="0.3">
      <c r="A2786" s="1"/>
    </row>
    <row r="2787" spans="1:1" x14ac:dyDescent="0.3">
      <c r="A2787" s="1"/>
    </row>
    <row r="2788" spans="1:1" x14ac:dyDescent="0.3">
      <c r="A2788" s="1"/>
    </row>
    <row r="2789" spans="1:1" x14ac:dyDescent="0.3">
      <c r="A2789" s="1"/>
    </row>
    <row r="2790" spans="1:1" x14ac:dyDescent="0.3">
      <c r="A2790" s="1"/>
    </row>
    <row r="2791" spans="1:1" x14ac:dyDescent="0.3">
      <c r="A2791" s="1"/>
    </row>
    <row r="2792" spans="1:1" x14ac:dyDescent="0.3">
      <c r="A2792" s="1"/>
    </row>
    <row r="2793" spans="1:1" x14ac:dyDescent="0.3">
      <c r="A2793" s="1"/>
    </row>
    <row r="2794" spans="1:1" x14ac:dyDescent="0.3">
      <c r="A2794" s="1"/>
    </row>
    <row r="2795" spans="1:1" x14ac:dyDescent="0.3">
      <c r="A2795" s="1"/>
    </row>
    <row r="2796" spans="1:1" x14ac:dyDescent="0.3">
      <c r="A2796" s="1"/>
    </row>
    <row r="2797" spans="1:1" x14ac:dyDescent="0.3">
      <c r="A2797" s="1"/>
    </row>
    <row r="2798" spans="1:1" x14ac:dyDescent="0.3">
      <c r="A2798" s="1"/>
    </row>
    <row r="2799" spans="1:1" x14ac:dyDescent="0.3">
      <c r="A2799" s="1"/>
    </row>
    <row r="2800" spans="1:1" x14ac:dyDescent="0.3">
      <c r="A2800" s="1"/>
    </row>
    <row r="2801" spans="1:1" x14ac:dyDescent="0.3">
      <c r="A2801" s="1"/>
    </row>
    <row r="2802" spans="1:1" x14ac:dyDescent="0.3">
      <c r="A2802" s="1"/>
    </row>
    <row r="2803" spans="1:1" x14ac:dyDescent="0.3">
      <c r="A2803" s="1"/>
    </row>
    <row r="2804" spans="1:1" x14ac:dyDescent="0.3">
      <c r="A2804" s="1"/>
    </row>
    <row r="2805" spans="1:1" x14ac:dyDescent="0.3">
      <c r="A2805" s="1"/>
    </row>
    <row r="2806" spans="1:1" x14ac:dyDescent="0.3">
      <c r="A2806" s="1"/>
    </row>
    <row r="2807" spans="1:1" x14ac:dyDescent="0.3">
      <c r="A2807" s="1"/>
    </row>
    <row r="2808" spans="1:1" x14ac:dyDescent="0.3">
      <c r="A2808" s="1"/>
    </row>
    <row r="2809" spans="1:1" x14ac:dyDescent="0.3">
      <c r="A2809" s="1"/>
    </row>
    <row r="2810" spans="1:1" x14ac:dyDescent="0.3">
      <c r="A2810" s="1"/>
    </row>
    <row r="2811" spans="1:1" x14ac:dyDescent="0.3">
      <c r="A2811" s="1"/>
    </row>
    <row r="2812" spans="1:1" x14ac:dyDescent="0.3">
      <c r="A2812" s="1"/>
    </row>
    <row r="2813" spans="1:1" x14ac:dyDescent="0.3">
      <c r="A2813" s="1"/>
    </row>
    <row r="2814" spans="1:1" x14ac:dyDescent="0.3">
      <c r="A2814" s="1"/>
    </row>
    <row r="2815" spans="1:1" x14ac:dyDescent="0.3">
      <c r="A2815" s="1"/>
    </row>
    <row r="2816" spans="1:1" x14ac:dyDescent="0.3">
      <c r="A2816" s="1"/>
    </row>
    <row r="2817" spans="1:1" x14ac:dyDescent="0.3">
      <c r="A2817" s="1"/>
    </row>
    <row r="2818" spans="1:1" x14ac:dyDescent="0.3">
      <c r="A2818" s="1"/>
    </row>
    <row r="2819" spans="1:1" x14ac:dyDescent="0.3">
      <c r="A2819" s="1"/>
    </row>
    <row r="2820" spans="1:1" x14ac:dyDescent="0.3">
      <c r="A2820" s="1"/>
    </row>
    <row r="2821" spans="1:1" x14ac:dyDescent="0.3">
      <c r="A2821" s="1"/>
    </row>
    <row r="2822" spans="1:1" x14ac:dyDescent="0.3">
      <c r="A2822" s="1"/>
    </row>
    <row r="2823" spans="1:1" x14ac:dyDescent="0.3">
      <c r="A2823" s="1"/>
    </row>
    <row r="2824" spans="1:1" x14ac:dyDescent="0.3">
      <c r="A2824" s="1"/>
    </row>
    <row r="2825" spans="1:1" x14ac:dyDescent="0.3">
      <c r="A2825" s="1"/>
    </row>
    <row r="2826" spans="1:1" x14ac:dyDescent="0.3">
      <c r="A2826" s="1"/>
    </row>
    <row r="2827" spans="1:1" x14ac:dyDescent="0.3">
      <c r="A2827" s="1"/>
    </row>
    <row r="2828" spans="1:1" x14ac:dyDescent="0.3">
      <c r="A2828" s="1"/>
    </row>
    <row r="2829" spans="1:1" x14ac:dyDescent="0.3">
      <c r="A2829" s="1"/>
    </row>
    <row r="2830" spans="1:1" x14ac:dyDescent="0.3">
      <c r="A2830" s="1"/>
    </row>
    <row r="2831" spans="1:1" x14ac:dyDescent="0.3">
      <c r="A2831" s="1"/>
    </row>
    <row r="2832" spans="1:1" x14ac:dyDescent="0.3">
      <c r="A2832" s="1"/>
    </row>
    <row r="2833" spans="1:1" x14ac:dyDescent="0.3">
      <c r="A2833" s="1"/>
    </row>
    <row r="2834" spans="1:1" x14ac:dyDescent="0.3">
      <c r="A2834" s="1"/>
    </row>
    <row r="2835" spans="1:1" x14ac:dyDescent="0.3">
      <c r="A2835" s="1"/>
    </row>
    <row r="2836" spans="1:1" x14ac:dyDescent="0.3">
      <c r="A2836" s="1"/>
    </row>
    <row r="2837" spans="1:1" x14ac:dyDescent="0.3">
      <c r="A2837" s="1"/>
    </row>
    <row r="2838" spans="1:1" x14ac:dyDescent="0.3">
      <c r="A2838" s="1"/>
    </row>
    <row r="2839" spans="1:1" x14ac:dyDescent="0.3">
      <c r="A2839" s="1"/>
    </row>
    <row r="2840" spans="1:1" x14ac:dyDescent="0.3">
      <c r="A2840" s="1"/>
    </row>
    <row r="2841" spans="1:1" x14ac:dyDescent="0.3">
      <c r="A2841" s="1"/>
    </row>
    <row r="2842" spans="1:1" x14ac:dyDescent="0.3">
      <c r="A2842" s="1"/>
    </row>
    <row r="2843" spans="1:1" x14ac:dyDescent="0.3">
      <c r="A2843" s="1"/>
    </row>
    <row r="2844" spans="1:1" x14ac:dyDescent="0.3">
      <c r="A2844" s="1"/>
    </row>
    <row r="2845" spans="1:1" x14ac:dyDescent="0.3">
      <c r="A2845" s="1"/>
    </row>
    <row r="2846" spans="1:1" x14ac:dyDescent="0.3">
      <c r="A2846" s="1"/>
    </row>
    <row r="2847" spans="1:1" x14ac:dyDescent="0.3">
      <c r="A2847" s="1"/>
    </row>
    <row r="2848" spans="1:1" x14ac:dyDescent="0.3">
      <c r="A2848" s="1"/>
    </row>
    <row r="2849" spans="1:1" x14ac:dyDescent="0.3">
      <c r="A2849" s="1"/>
    </row>
    <row r="2850" spans="1:1" x14ac:dyDescent="0.3">
      <c r="A2850" s="1"/>
    </row>
    <row r="2851" spans="1:1" x14ac:dyDescent="0.3">
      <c r="A2851" s="1"/>
    </row>
    <row r="2852" spans="1:1" x14ac:dyDescent="0.3">
      <c r="A2852" s="1"/>
    </row>
    <row r="2853" spans="1:1" x14ac:dyDescent="0.3">
      <c r="A2853" s="1"/>
    </row>
    <row r="2854" spans="1:1" x14ac:dyDescent="0.3">
      <c r="A2854" s="1"/>
    </row>
    <row r="2855" spans="1:1" x14ac:dyDescent="0.3">
      <c r="A2855" s="1"/>
    </row>
    <row r="2856" spans="1:1" x14ac:dyDescent="0.3">
      <c r="A2856" s="1"/>
    </row>
    <row r="2857" spans="1:1" x14ac:dyDescent="0.3">
      <c r="A2857" s="1"/>
    </row>
    <row r="2858" spans="1:1" x14ac:dyDescent="0.3">
      <c r="A2858" s="1"/>
    </row>
    <row r="2859" spans="1:1" x14ac:dyDescent="0.3">
      <c r="A2859" s="1"/>
    </row>
    <row r="2860" spans="1:1" x14ac:dyDescent="0.3">
      <c r="A2860" s="1"/>
    </row>
    <row r="2861" spans="1:1" x14ac:dyDescent="0.3">
      <c r="A2861" s="1"/>
    </row>
    <row r="2862" spans="1:1" x14ac:dyDescent="0.3">
      <c r="A2862" s="1"/>
    </row>
    <row r="2863" spans="1:1" x14ac:dyDescent="0.3">
      <c r="A2863" s="1"/>
    </row>
    <row r="2864" spans="1:1" x14ac:dyDescent="0.3">
      <c r="A2864" s="1"/>
    </row>
    <row r="2865" spans="1:1" x14ac:dyDescent="0.3">
      <c r="A2865" s="1"/>
    </row>
    <row r="2866" spans="1:1" x14ac:dyDescent="0.3">
      <c r="A2866" s="1"/>
    </row>
    <row r="2867" spans="1:1" x14ac:dyDescent="0.3">
      <c r="A2867" s="1"/>
    </row>
    <row r="2868" spans="1:1" x14ac:dyDescent="0.3">
      <c r="A2868" s="1"/>
    </row>
    <row r="2869" spans="1:1" x14ac:dyDescent="0.3">
      <c r="A2869" s="1"/>
    </row>
    <row r="2870" spans="1:1" x14ac:dyDescent="0.3">
      <c r="A2870" s="1"/>
    </row>
    <row r="2871" spans="1:1" x14ac:dyDescent="0.3">
      <c r="A2871" s="1"/>
    </row>
    <row r="2872" spans="1:1" x14ac:dyDescent="0.3">
      <c r="A2872" s="1"/>
    </row>
    <row r="2873" spans="1:1" x14ac:dyDescent="0.3">
      <c r="A2873" s="1"/>
    </row>
    <row r="2874" spans="1:1" x14ac:dyDescent="0.3">
      <c r="A2874" s="1"/>
    </row>
    <row r="2875" spans="1:1" x14ac:dyDescent="0.3">
      <c r="A2875" s="1"/>
    </row>
    <row r="2876" spans="1:1" x14ac:dyDescent="0.3">
      <c r="A2876" s="1"/>
    </row>
    <row r="2877" spans="1:1" x14ac:dyDescent="0.3">
      <c r="A2877" s="1"/>
    </row>
    <row r="2878" spans="1:1" x14ac:dyDescent="0.3">
      <c r="A2878" s="1"/>
    </row>
    <row r="2879" spans="1:1" x14ac:dyDescent="0.3">
      <c r="A2879" s="1"/>
    </row>
    <row r="2880" spans="1:1" x14ac:dyDescent="0.3">
      <c r="A2880" s="1"/>
    </row>
    <row r="2881" spans="1:1" x14ac:dyDescent="0.3">
      <c r="A2881" s="1"/>
    </row>
    <row r="2882" spans="1:1" x14ac:dyDescent="0.3">
      <c r="A2882" s="1"/>
    </row>
    <row r="2883" spans="1:1" x14ac:dyDescent="0.3">
      <c r="A2883" s="1"/>
    </row>
    <row r="2884" spans="1:1" x14ac:dyDescent="0.3">
      <c r="A2884" s="1"/>
    </row>
    <row r="2885" spans="1:1" x14ac:dyDescent="0.3">
      <c r="A2885" s="1"/>
    </row>
    <row r="2886" spans="1:1" x14ac:dyDescent="0.3">
      <c r="A2886" s="1"/>
    </row>
    <row r="2887" spans="1:1" x14ac:dyDescent="0.3">
      <c r="A2887" s="1"/>
    </row>
    <row r="2888" spans="1:1" x14ac:dyDescent="0.3">
      <c r="A2888" s="1"/>
    </row>
    <row r="2889" spans="1:1" x14ac:dyDescent="0.3">
      <c r="A2889" s="1"/>
    </row>
    <row r="2890" spans="1:1" x14ac:dyDescent="0.3">
      <c r="A2890" s="1"/>
    </row>
    <row r="2891" spans="1:1" x14ac:dyDescent="0.3">
      <c r="A2891" s="1"/>
    </row>
    <row r="2892" spans="1:1" x14ac:dyDescent="0.3">
      <c r="A2892" s="1"/>
    </row>
    <row r="2893" spans="1:1" x14ac:dyDescent="0.3">
      <c r="A2893" s="1"/>
    </row>
    <row r="2894" spans="1:1" x14ac:dyDescent="0.3">
      <c r="A2894" s="1"/>
    </row>
    <row r="2895" spans="1:1" x14ac:dyDescent="0.3">
      <c r="A2895" s="1"/>
    </row>
    <row r="2896" spans="1:1" x14ac:dyDescent="0.3">
      <c r="A2896" s="1"/>
    </row>
    <row r="2897" spans="1:1" x14ac:dyDescent="0.3">
      <c r="A2897" s="1"/>
    </row>
    <row r="2898" spans="1:1" x14ac:dyDescent="0.3">
      <c r="A2898" s="1"/>
    </row>
    <row r="2899" spans="1:1" x14ac:dyDescent="0.3">
      <c r="A2899" s="1"/>
    </row>
    <row r="2900" spans="1:1" x14ac:dyDescent="0.3">
      <c r="A2900" s="1"/>
    </row>
    <row r="2901" spans="1:1" x14ac:dyDescent="0.3">
      <c r="A2901" s="1"/>
    </row>
    <row r="2902" spans="1:1" x14ac:dyDescent="0.3">
      <c r="A2902" s="1"/>
    </row>
    <row r="2903" spans="1:1" x14ac:dyDescent="0.3">
      <c r="A2903" s="1"/>
    </row>
    <row r="2904" spans="1:1" x14ac:dyDescent="0.3">
      <c r="A2904" s="1"/>
    </row>
    <row r="2905" spans="1:1" x14ac:dyDescent="0.3">
      <c r="A2905" s="1"/>
    </row>
    <row r="2906" spans="1:1" x14ac:dyDescent="0.3">
      <c r="A2906" s="1"/>
    </row>
    <row r="2907" spans="1:1" x14ac:dyDescent="0.3">
      <c r="A2907" s="1"/>
    </row>
    <row r="2908" spans="1:1" x14ac:dyDescent="0.3">
      <c r="A2908" s="1"/>
    </row>
    <row r="2909" spans="1:1" x14ac:dyDescent="0.3">
      <c r="A2909" s="1"/>
    </row>
    <row r="2910" spans="1:1" x14ac:dyDescent="0.3">
      <c r="A2910" s="1"/>
    </row>
    <row r="2911" spans="1:1" x14ac:dyDescent="0.3">
      <c r="A2911" s="1"/>
    </row>
    <row r="2912" spans="1:1" x14ac:dyDescent="0.3">
      <c r="A2912" s="1"/>
    </row>
    <row r="2913" spans="1:1" x14ac:dyDescent="0.3">
      <c r="A2913" s="1"/>
    </row>
    <row r="2914" spans="1:1" x14ac:dyDescent="0.3">
      <c r="A2914" s="1"/>
    </row>
    <row r="2915" spans="1:1" x14ac:dyDescent="0.3">
      <c r="A2915" s="1"/>
    </row>
    <row r="2916" spans="1:1" x14ac:dyDescent="0.3">
      <c r="A2916" s="1"/>
    </row>
    <row r="2917" spans="1:1" x14ac:dyDescent="0.3">
      <c r="A2917" s="1"/>
    </row>
    <row r="2918" spans="1:1" x14ac:dyDescent="0.3">
      <c r="A2918" s="1"/>
    </row>
    <row r="2919" spans="1:1" x14ac:dyDescent="0.3">
      <c r="A2919" s="1"/>
    </row>
    <row r="2920" spans="1:1" x14ac:dyDescent="0.3">
      <c r="A2920" s="1"/>
    </row>
    <row r="2921" spans="1:1" x14ac:dyDescent="0.3">
      <c r="A2921" s="1"/>
    </row>
    <row r="2922" spans="1:1" x14ac:dyDescent="0.3">
      <c r="A2922" s="1"/>
    </row>
    <row r="2923" spans="1:1" x14ac:dyDescent="0.3">
      <c r="A2923" s="1"/>
    </row>
    <row r="2924" spans="1:1" x14ac:dyDescent="0.3">
      <c r="A2924" s="1"/>
    </row>
    <row r="2925" spans="1:1" x14ac:dyDescent="0.3">
      <c r="A2925" s="1"/>
    </row>
    <row r="2926" spans="1:1" x14ac:dyDescent="0.3">
      <c r="A2926" s="1"/>
    </row>
    <row r="2927" spans="1:1" x14ac:dyDescent="0.3">
      <c r="A2927" s="1"/>
    </row>
    <row r="2928" spans="1:1" x14ac:dyDescent="0.3">
      <c r="A2928" s="1"/>
    </row>
    <row r="2929" spans="1:1" x14ac:dyDescent="0.3">
      <c r="A2929" s="1"/>
    </row>
    <row r="2930" spans="1:1" x14ac:dyDescent="0.3">
      <c r="A2930" s="1"/>
    </row>
    <row r="2931" spans="1:1" x14ac:dyDescent="0.3">
      <c r="A2931" s="1"/>
    </row>
    <row r="2932" spans="1:1" x14ac:dyDescent="0.3">
      <c r="A2932" s="1"/>
    </row>
    <row r="2933" spans="1:1" x14ac:dyDescent="0.3">
      <c r="A2933" s="1"/>
    </row>
    <row r="2934" spans="1:1" x14ac:dyDescent="0.3">
      <c r="A2934" s="1"/>
    </row>
    <row r="2935" spans="1:1" x14ac:dyDescent="0.3">
      <c r="A2935" s="1"/>
    </row>
    <row r="2936" spans="1:1" x14ac:dyDescent="0.3">
      <c r="A2936" s="1"/>
    </row>
    <row r="2937" spans="1:1" x14ac:dyDescent="0.3">
      <c r="A2937" s="1"/>
    </row>
    <row r="2938" spans="1:1" x14ac:dyDescent="0.3">
      <c r="A2938" s="1"/>
    </row>
    <row r="2939" spans="1:1" x14ac:dyDescent="0.3">
      <c r="A2939" s="1"/>
    </row>
    <row r="2940" spans="1:1" x14ac:dyDescent="0.3">
      <c r="A2940" s="1"/>
    </row>
    <row r="2941" spans="1:1" x14ac:dyDescent="0.3">
      <c r="A2941" s="1"/>
    </row>
    <row r="2942" spans="1:1" x14ac:dyDescent="0.3">
      <c r="A2942" s="1"/>
    </row>
    <row r="2943" spans="1:1" x14ac:dyDescent="0.3">
      <c r="A2943" s="1"/>
    </row>
    <row r="2944" spans="1:1" x14ac:dyDescent="0.3">
      <c r="A2944" s="1"/>
    </row>
    <row r="2945" spans="1:1" x14ac:dyDescent="0.3">
      <c r="A2945" s="1"/>
    </row>
    <row r="2946" spans="1:1" x14ac:dyDescent="0.3">
      <c r="A2946" s="1"/>
    </row>
    <row r="2947" spans="1:1" x14ac:dyDescent="0.3">
      <c r="A2947" s="1"/>
    </row>
    <row r="2948" spans="1:1" x14ac:dyDescent="0.3">
      <c r="A2948" s="1"/>
    </row>
    <row r="2949" spans="1:1" x14ac:dyDescent="0.3">
      <c r="A2949" s="1"/>
    </row>
    <row r="2950" spans="1:1" x14ac:dyDescent="0.3">
      <c r="A2950" s="1"/>
    </row>
    <row r="2951" spans="1:1" x14ac:dyDescent="0.3">
      <c r="A2951" s="1"/>
    </row>
    <row r="2952" spans="1:1" x14ac:dyDescent="0.3">
      <c r="A2952" s="1"/>
    </row>
    <row r="2953" spans="1:1" x14ac:dyDescent="0.3">
      <c r="A2953" s="1"/>
    </row>
    <row r="2954" spans="1:1" x14ac:dyDescent="0.3">
      <c r="A2954" s="1"/>
    </row>
    <row r="2955" spans="1:1" x14ac:dyDescent="0.3">
      <c r="A2955" s="1"/>
    </row>
    <row r="2956" spans="1:1" x14ac:dyDescent="0.3">
      <c r="A2956" s="1"/>
    </row>
    <row r="2957" spans="1:1" x14ac:dyDescent="0.3">
      <c r="A2957" s="1"/>
    </row>
    <row r="2958" spans="1:1" x14ac:dyDescent="0.3">
      <c r="A2958" s="1"/>
    </row>
    <row r="2959" spans="1:1" x14ac:dyDescent="0.3">
      <c r="A2959" s="1"/>
    </row>
    <row r="2960" spans="1:1" x14ac:dyDescent="0.3">
      <c r="A2960" s="1"/>
    </row>
    <row r="2961" spans="1:1" x14ac:dyDescent="0.3">
      <c r="A2961" s="1"/>
    </row>
    <row r="2962" spans="1:1" x14ac:dyDescent="0.3">
      <c r="A2962" s="1"/>
    </row>
    <row r="2963" spans="1:1" x14ac:dyDescent="0.3">
      <c r="A2963" s="1"/>
    </row>
    <row r="2964" spans="1:1" x14ac:dyDescent="0.3">
      <c r="A2964" s="1"/>
    </row>
    <row r="2965" spans="1:1" x14ac:dyDescent="0.3">
      <c r="A2965" s="1"/>
    </row>
    <row r="2966" spans="1:1" x14ac:dyDescent="0.3">
      <c r="A2966" s="1"/>
    </row>
    <row r="2967" spans="1:1" x14ac:dyDescent="0.3">
      <c r="A2967" s="1"/>
    </row>
    <row r="2968" spans="1:1" x14ac:dyDescent="0.3">
      <c r="A2968" s="1"/>
    </row>
    <row r="2969" spans="1:1" x14ac:dyDescent="0.3">
      <c r="A2969" s="1"/>
    </row>
    <row r="2970" spans="1:1" x14ac:dyDescent="0.3">
      <c r="A2970" s="1"/>
    </row>
    <row r="2971" spans="1:1" x14ac:dyDescent="0.3">
      <c r="A2971" s="1"/>
    </row>
    <row r="2972" spans="1:1" x14ac:dyDescent="0.3">
      <c r="A2972" s="1"/>
    </row>
    <row r="2973" spans="1:1" x14ac:dyDescent="0.3">
      <c r="A2973" s="1"/>
    </row>
    <row r="2974" spans="1:1" x14ac:dyDescent="0.3">
      <c r="A2974" s="1"/>
    </row>
    <row r="2975" spans="1:1" x14ac:dyDescent="0.3">
      <c r="A2975" s="1"/>
    </row>
    <row r="2976" spans="1:1" x14ac:dyDescent="0.3">
      <c r="A2976" s="1"/>
    </row>
    <row r="2977" spans="1:1" x14ac:dyDescent="0.3">
      <c r="A2977" s="1"/>
    </row>
    <row r="2978" spans="1:1" x14ac:dyDescent="0.3">
      <c r="A2978" s="1"/>
    </row>
    <row r="2979" spans="1:1" x14ac:dyDescent="0.3">
      <c r="A2979" s="1"/>
    </row>
    <row r="2980" spans="1:1" x14ac:dyDescent="0.3">
      <c r="A2980" s="1"/>
    </row>
    <row r="2981" spans="1:1" x14ac:dyDescent="0.3">
      <c r="A2981" s="1"/>
    </row>
    <row r="2982" spans="1:1" x14ac:dyDescent="0.3">
      <c r="A2982" s="1"/>
    </row>
    <row r="2983" spans="1:1" x14ac:dyDescent="0.3">
      <c r="A2983" s="1"/>
    </row>
    <row r="2984" spans="1:1" x14ac:dyDescent="0.3">
      <c r="A2984" s="1"/>
    </row>
    <row r="2985" spans="1:1" x14ac:dyDescent="0.3">
      <c r="A2985" s="1"/>
    </row>
    <row r="2986" spans="1:1" x14ac:dyDescent="0.3">
      <c r="A2986" s="1"/>
    </row>
    <row r="2987" spans="1:1" x14ac:dyDescent="0.3">
      <c r="A2987" s="1"/>
    </row>
    <row r="2988" spans="1:1" x14ac:dyDescent="0.3">
      <c r="A2988" s="1"/>
    </row>
    <row r="2989" spans="1:1" x14ac:dyDescent="0.3">
      <c r="A2989" s="1"/>
    </row>
    <row r="2990" spans="1:1" x14ac:dyDescent="0.3">
      <c r="A2990" s="1"/>
    </row>
    <row r="2991" spans="1:1" x14ac:dyDescent="0.3">
      <c r="A2991" s="1"/>
    </row>
    <row r="2992" spans="1:1" x14ac:dyDescent="0.3">
      <c r="A2992" s="1"/>
    </row>
    <row r="2993" spans="1:1" x14ac:dyDescent="0.3">
      <c r="A2993" s="1"/>
    </row>
    <row r="2994" spans="1:1" x14ac:dyDescent="0.3">
      <c r="A2994" s="1"/>
    </row>
    <row r="2995" spans="1:1" x14ac:dyDescent="0.3">
      <c r="A2995" s="1"/>
    </row>
    <row r="2996" spans="1:1" x14ac:dyDescent="0.3">
      <c r="A2996" s="1"/>
    </row>
    <row r="2997" spans="1:1" x14ac:dyDescent="0.3">
      <c r="A2997" s="1"/>
    </row>
    <row r="2998" spans="1:1" x14ac:dyDescent="0.3">
      <c r="A2998" s="1"/>
    </row>
    <row r="2999" spans="1:1" x14ac:dyDescent="0.3">
      <c r="A2999" s="1"/>
    </row>
    <row r="3000" spans="1:1" x14ac:dyDescent="0.3">
      <c r="A3000" s="1"/>
    </row>
    <row r="3001" spans="1:1" x14ac:dyDescent="0.3">
      <c r="A3001" s="1"/>
    </row>
    <row r="3002" spans="1:1" x14ac:dyDescent="0.3">
      <c r="A3002" s="1"/>
    </row>
    <row r="3003" spans="1:1" x14ac:dyDescent="0.3">
      <c r="A3003" s="1"/>
    </row>
    <row r="3004" spans="1:1" x14ac:dyDescent="0.3">
      <c r="A3004" s="1"/>
    </row>
    <row r="3005" spans="1:1" x14ac:dyDescent="0.3">
      <c r="A3005" s="1"/>
    </row>
    <row r="3006" spans="1:1" x14ac:dyDescent="0.3">
      <c r="A3006" s="1"/>
    </row>
    <row r="3007" spans="1:1" x14ac:dyDescent="0.3">
      <c r="A3007" s="1"/>
    </row>
    <row r="3008" spans="1:1" x14ac:dyDescent="0.3">
      <c r="A3008" s="1"/>
    </row>
    <row r="3009" spans="1:1" x14ac:dyDescent="0.3">
      <c r="A3009" s="1"/>
    </row>
    <row r="3010" spans="1:1" x14ac:dyDescent="0.3">
      <c r="A3010" s="1"/>
    </row>
    <row r="3011" spans="1:1" x14ac:dyDescent="0.3">
      <c r="A3011" s="1"/>
    </row>
    <row r="3012" spans="1:1" x14ac:dyDescent="0.3">
      <c r="A3012" s="1"/>
    </row>
    <row r="3013" spans="1:1" x14ac:dyDescent="0.3">
      <c r="A3013" s="1"/>
    </row>
    <row r="3014" spans="1:1" x14ac:dyDescent="0.3">
      <c r="A3014" s="1"/>
    </row>
    <row r="3015" spans="1:1" x14ac:dyDescent="0.3">
      <c r="A3015" s="1"/>
    </row>
    <row r="3016" spans="1:1" x14ac:dyDescent="0.3">
      <c r="A3016" s="1"/>
    </row>
    <row r="3017" spans="1:1" x14ac:dyDescent="0.3">
      <c r="A3017" s="1"/>
    </row>
    <row r="3018" spans="1:1" x14ac:dyDescent="0.3">
      <c r="A3018" s="1"/>
    </row>
    <row r="3019" spans="1:1" x14ac:dyDescent="0.3">
      <c r="A3019" s="1"/>
    </row>
    <row r="3020" spans="1:1" x14ac:dyDescent="0.3">
      <c r="A3020" s="1"/>
    </row>
    <row r="3021" spans="1:1" x14ac:dyDescent="0.3">
      <c r="A3021" s="1"/>
    </row>
    <row r="3022" spans="1:1" x14ac:dyDescent="0.3">
      <c r="A3022" s="1"/>
    </row>
    <row r="3023" spans="1:1" x14ac:dyDescent="0.3">
      <c r="A3023" s="1"/>
    </row>
    <row r="3024" spans="1:1" x14ac:dyDescent="0.3">
      <c r="A3024" s="1"/>
    </row>
    <row r="3025" spans="1:1" x14ac:dyDescent="0.3">
      <c r="A3025" s="1"/>
    </row>
    <row r="3026" spans="1:1" x14ac:dyDescent="0.3">
      <c r="A3026" s="1"/>
    </row>
    <row r="3027" spans="1:1" x14ac:dyDescent="0.3">
      <c r="A3027" s="1"/>
    </row>
    <row r="3028" spans="1:1" x14ac:dyDescent="0.3">
      <c r="A3028" s="1"/>
    </row>
    <row r="3029" spans="1:1" x14ac:dyDescent="0.3">
      <c r="A3029" s="1"/>
    </row>
    <row r="3030" spans="1:1" x14ac:dyDescent="0.3">
      <c r="A3030" s="1"/>
    </row>
    <row r="3031" spans="1:1" x14ac:dyDescent="0.3">
      <c r="A3031" s="1"/>
    </row>
    <row r="3032" spans="1:1" x14ac:dyDescent="0.3">
      <c r="A3032" s="1"/>
    </row>
    <row r="3033" spans="1:1" x14ac:dyDescent="0.3">
      <c r="A3033" s="1"/>
    </row>
    <row r="3034" spans="1:1" x14ac:dyDescent="0.3">
      <c r="A3034" s="1"/>
    </row>
    <row r="3035" spans="1:1" x14ac:dyDescent="0.3">
      <c r="A3035" s="1"/>
    </row>
    <row r="3036" spans="1:1" x14ac:dyDescent="0.3">
      <c r="A3036" s="1"/>
    </row>
    <row r="3037" spans="1:1" x14ac:dyDescent="0.3">
      <c r="A3037" s="1"/>
    </row>
    <row r="3038" spans="1:1" x14ac:dyDescent="0.3">
      <c r="A3038" s="1"/>
    </row>
    <row r="3039" spans="1:1" x14ac:dyDescent="0.3">
      <c r="A3039" s="1"/>
    </row>
    <row r="3040" spans="1:1" x14ac:dyDescent="0.3">
      <c r="A3040" s="1"/>
    </row>
    <row r="3041" spans="1:1" x14ac:dyDescent="0.3">
      <c r="A3041" s="1"/>
    </row>
    <row r="3042" spans="1:1" x14ac:dyDescent="0.3">
      <c r="A3042" s="1"/>
    </row>
    <row r="3043" spans="1:1" x14ac:dyDescent="0.3">
      <c r="A3043" s="1"/>
    </row>
    <row r="3044" spans="1:1" x14ac:dyDescent="0.3">
      <c r="A3044" s="1"/>
    </row>
    <row r="3045" spans="1:1" x14ac:dyDescent="0.3">
      <c r="A3045" s="1"/>
    </row>
    <row r="3046" spans="1:1" x14ac:dyDescent="0.3">
      <c r="A3046" s="1"/>
    </row>
    <row r="3047" spans="1:1" x14ac:dyDescent="0.3">
      <c r="A3047" s="1"/>
    </row>
    <row r="3048" spans="1:1" x14ac:dyDescent="0.3">
      <c r="A3048" s="1"/>
    </row>
    <row r="3049" spans="1:1" x14ac:dyDescent="0.3">
      <c r="A3049" s="1"/>
    </row>
    <row r="3050" spans="1:1" x14ac:dyDescent="0.3">
      <c r="A3050" s="1"/>
    </row>
    <row r="3051" spans="1:1" x14ac:dyDescent="0.3">
      <c r="A3051" s="1"/>
    </row>
    <row r="3052" spans="1:1" x14ac:dyDescent="0.3">
      <c r="A3052" s="1"/>
    </row>
    <row r="3053" spans="1:1" x14ac:dyDescent="0.3">
      <c r="A3053" s="1"/>
    </row>
    <row r="3054" spans="1:1" x14ac:dyDescent="0.3">
      <c r="A3054" s="1"/>
    </row>
    <row r="3055" spans="1:1" x14ac:dyDescent="0.3">
      <c r="A3055" s="1"/>
    </row>
    <row r="3056" spans="1:1" x14ac:dyDescent="0.3">
      <c r="A3056" s="1"/>
    </row>
    <row r="3057" spans="1:1" x14ac:dyDescent="0.3">
      <c r="A3057" s="1"/>
    </row>
    <row r="3058" spans="1:1" x14ac:dyDescent="0.3">
      <c r="A3058" s="1"/>
    </row>
    <row r="3059" spans="1:1" x14ac:dyDescent="0.3">
      <c r="A3059" s="1"/>
    </row>
    <row r="3060" spans="1:1" x14ac:dyDescent="0.3">
      <c r="A3060" s="1"/>
    </row>
    <row r="3061" spans="1:1" x14ac:dyDescent="0.3">
      <c r="A3061" s="1"/>
    </row>
    <row r="3062" spans="1:1" x14ac:dyDescent="0.3">
      <c r="A3062" s="1"/>
    </row>
    <row r="3063" spans="1:1" x14ac:dyDescent="0.3">
      <c r="A3063" s="1"/>
    </row>
    <row r="3064" spans="1:1" x14ac:dyDescent="0.3">
      <c r="A3064" s="1"/>
    </row>
    <row r="3065" spans="1:1" x14ac:dyDescent="0.3">
      <c r="A3065" s="1"/>
    </row>
    <row r="3066" spans="1:1" x14ac:dyDescent="0.3">
      <c r="A3066" s="1"/>
    </row>
    <row r="3067" spans="1:1" x14ac:dyDescent="0.3">
      <c r="A3067" s="1"/>
    </row>
    <row r="3068" spans="1:1" x14ac:dyDescent="0.3">
      <c r="A3068" s="1"/>
    </row>
    <row r="3069" spans="1:1" x14ac:dyDescent="0.3">
      <c r="A3069" s="1"/>
    </row>
    <row r="3070" spans="1:1" x14ac:dyDescent="0.3">
      <c r="A3070" s="1"/>
    </row>
    <row r="3071" spans="1:1" x14ac:dyDescent="0.3">
      <c r="A3071" s="1"/>
    </row>
    <row r="3072" spans="1:1" x14ac:dyDescent="0.3">
      <c r="A3072" s="1"/>
    </row>
    <row r="3073" spans="1:1" x14ac:dyDescent="0.3">
      <c r="A3073" s="1"/>
    </row>
    <row r="3074" spans="1:1" x14ac:dyDescent="0.3">
      <c r="A3074" s="1"/>
    </row>
    <row r="3075" spans="1:1" x14ac:dyDescent="0.3">
      <c r="A3075" s="1"/>
    </row>
    <row r="3076" spans="1:1" x14ac:dyDescent="0.3">
      <c r="A3076" s="1"/>
    </row>
    <row r="3077" spans="1:1" x14ac:dyDescent="0.3">
      <c r="A3077" s="1"/>
    </row>
    <row r="3078" spans="1:1" x14ac:dyDescent="0.3">
      <c r="A3078" s="1"/>
    </row>
    <row r="3079" spans="1:1" x14ac:dyDescent="0.3">
      <c r="A3079" s="1"/>
    </row>
    <row r="3080" spans="1:1" x14ac:dyDescent="0.3">
      <c r="A3080" s="1"/>
    </row>
    <row r="3081" spans="1:1" x14ac:dyDescent="0.3">
      <c r="A3081" s="1"/>
    </row>
    <row r="3082" spans="1:1" x14ac:dyDescent="0.3">
      <c r="A3082" s="1"/>
    </row>
    <row r="3083" spans="1:1" x14ac:dyDescent="0.3">
      <c r="A3083" s="1"/>
    </row>
    <row r="3084" spans="1:1" x14ac:dyDescent="0.3">
      <c r="A3084" s="1"/>
    </row>
    <row r="3085" spans="1:1" x14ac:dyDescent="0.3">
      <c r="A3085" s="1"/>
    </row>
    <row r="3086" spans="1:1" x14ac:dyDescent="0.3">
      <c r="A3086" s="1"/>
    </row>
    <row r="3087" spans="1:1" x14ac:dyDescent="0.3">
      <c r="A3087" s="1"/>
    </row>
    <row r="3088" spans="1:1" x14ac:dyDescent="0.3">
      <c r="A3088" s="1"/>
    </row>
    <row r="3089" spans="1:1" x14ac:dyDescent="0.3">
      <c r="A3089" s="1"/>
    </row>
    <row r="3090" spans="1:1" x14ac:dyDescent="0.3">
      <c r="A3090" s="1"/>
    </row>
    <row r="3091" spans="1:1" x14ac:dyDescent="0.3">
      <c r="A3091" s="1"/>
    </row>
    <row r="3092" spans="1:1" x14ac:dyDescent="0.3">
      <c r="A3092" s="1"/>
    </row>
    <row r="3093" spans="1:1" x14ac:dyDescent="0.3">
      <c r="A3093" s="1"/>
    </row>
    <row r="3094" spans="1:1" x14ac:dyDescent="0.3">
      <c r="A3094" s="1"/>
    </row>
    <row r="3095" spans="1:1" x14ac:dyDescent="0.3">
      <c r="A3095" s="1"/>
    </row>
    <row r="3096" spans="1:1" x14ac:dyDescent="0.3">
      <c r="A3096" s="1"/>
    </row>
    <row r="3097" spans="1:1" x14ac:dyDescent="0.3">
      <c r="A3097" s="1"/>
    </row>
    <row r="3098" spans="1:1" x14ac:dyDescent="0.3">
      <c r="A3098" s="1"/>
    </row>
    <row r="3100" spans="1:1" x14ac:dyDescent="0.3">
      <c r="A3100" s="1"/>
    </row>
    <row r="3101" spans="1:1" x14ac:dyDescent="0.3">
      <c r="A3101" s="1"/>
    </row>
    <row r="3102" spans="1:1" x14ac:dyDescent="0.3">
      <c r="A3102" s="1"/>
    </row>
    <row r="3103" spans="1:1" x14ac:dyDescent="0.3">
      <c r="A3103" s="1"/>
    </row>
    <row r="3104" spans="1:1" x14ac:dyDescent="0.3">
      <c r="A3104" s="1"/>
    </row>
    <row r="3105" spans="1:1" x14ac:dyDescent="0.3">
      <c r="A3105" s="1"/>
    </row>
    <row r="3106" spans="1:1" x14ac:dyDescent="0.3">
      <c r="A3106" s="1"/>
    </row>
    <row r="3107" spans="1:1" x14ac:dyDescent="0.3">
      <c r="A3107" s="1"/>
    </row>
    <row r="3108" spans="1:1" x14ac:dyDescent="0.3">
      <c r="A3108" s="1"/>
    </row>
    <row r="3109" spans="1:1" x14ac:dyDescent="0.3">
      <c r="A3109" s="1"/>
    </row>
    <row r="3110" spans="1:1" x14ac:dyDescent="0.3">
      <c r="A3110" s="1"/>
    </row>
    <row r="3111" spans="1:1" x14ac:dyDescent="0.3">
      <c r="A3111" s="1"/>
    </row>
    <row r="3112" spans="1:1" x14ac:dyDescent="0.3">
      <c r="A3112" s="1"/>
    </row>
    <row r="3113" spans="1:1" x14ac:dyDescent="0.3">
      <c r="A3113" s="1"/>
    </row>
    <row r="3114" spans="1:1" x14ac:dyDescent="0.3">
      <c r="A3114" s="1"/>
    </row>
    <row r="3115" spans="1:1" x14ac:dyDescent="0.3">
      <c r="A3115" s="1"/>
    </row>
    <row r="3116" spans="1:1" x14ac:dyDescent="0.3">
      <c r="A3116" s="1"/>
    </row>
    <row r="3117" spans="1:1" x14ac:dyDescent="0.3">
      <c r="A3117" s="1"/>
    </row>
    <row r="3118" spans="1:1" x14ac:dyDescent="0.3">
      <c r="A3118" s="1"/>
    </row>
    <row r="3119" spans="1:1" x14ac:dyDescent="0.3">
      <c r="A3119" s="1"/>
    </row>
    <row r="3120" spans="1:1" x14ac:dyDescent="0.3">
      <c r="A3120" s="1"/>
    </row>
    <row r="3121" spans="1:1" x14ac:dyDescent="0.3">
      <c r="A3121" s="1"/>
    </row>
    <row r="3122" spans="1:1" x14ac:dyDescent="0.3">
      <c r="A3122" s="1"/>
    </row>
    <row r="3123" spans="1:1" x14ac:dyDescent="0.3">
      <c r="A3123" s="1"/>
    </row>
    <row r="3124" spans="1:1" x14ac:dyDescent="0.3">
      <c r="A3124" s="1"/>
    </row>
    <row r="3125" spans="1:1" x14ac:dyDescent="0.3">
      <c r="A3125" s="1"/>
    </row>
    <row r="3126" spans="1:1" x14ac:dyDescent="0.3">
      <c r="A3126" s="1"/>
    </row>
    <row r="3127" spans="1:1" x14ac:dyDescent="0.3">
      <c r="A3127" s="1"/>
    </row>
    <row r="3128" spans="1:1" x14ac:dyDescent="0.3">
      <c r="A3128" s="1"/>
    </row>
    <row r="3129" spans="1:1" x14ac:dyDescent="0.3">
      <c r="A3129" s="1"/>
    </row>
    <row r="3130" spans="1:1" x14ac:dyDescent="0.3">
      <c r="A3130" s="1"/>
    </row>
    <row r="3131" spans="1:1" x14ac:dyDescent="0.3">
      <c r="A3131" s="1"/>
    </row>
    <row r="3132" spans="1:1" x14ac:dyDescent="0.3">
      <c r="A3132" s="1"/>
    </row>
    <row r="3133" spans="1:1" x14ac:dyDescent="0.3">
      <c r="A3133" s="1"/>
    </row>
    <row r="3134" spans="1:1" x14ac:dyDescent="0.3">
      <c r="A3134" s="1"/>
    </row>
    <row r="3135" spans="1:1" x14ac:dyDescent="0.3">
      <c r="A3135" s="1"/>
    </row>
    <row r="3136" spans="1:1" x14ac:dyDescent="0.3">
      <c r="A3136" s="1"/>
    </row>
    <row r="3137" spans="1:1" x14ac:dyDescent="0.3">
      <c r="A3137" s="1"/>
    </row>
    <row r="3138" spans="1:1" x14ac:dyDescent="0.3">
      <c r="A3138" s="1"/>
    </row>
    <row r="3139" spans="1:1" x14ac:dyDescent="0.3">
      <c r="A3139" s="1"/>
    </row>
    <row r="3140" spans="1:1" x14ac:dyDescent="0.3">
      <c r="A3140" s="1"/>
    </row>
    <row r="3141" spans="1:1" x14ac:dyDescent="0.3">
      <c r="A3141" s="1"/>
    </row>
    <row r="3142" spans="1:1" x14ac:dyDescent="0.3">
      <c r="A3142" s="1"/>
    </row>
    <row r="3143" spans="1:1" x14ac:dyDescent="0.3">
      <c r="A3143" s="1"/>
    </row>
    <row r="3144" spans="1:1" x14ac:dyDescent="0.3">
      <c r="A3144" s="1"/>
    </row>
    <row r="3145" spans="1:1" x14ac:dyDescent="0.3">
      <c r="A3145" s="1"/>
    </row>
    <row r="3146" spans="1:1" x14ac:dyDescent="0.3">
      <c r="A3146" s="1"/>
    </row>
    <row r="3147" spans="1:1" x14ac:dyDescent="0.3">
      <c r="A3147" s="1"/>
    </row>
    <row r="3148" spans="1:1" x14ac:dyDescent="0.3">
      <c r="A3148" s="1"/>
    </row>
    <row r="3149" spans="1:1" x14ac:dyDescent="0.3">
      <c r="A3149" s="1"/>
    </row>
    <row r="3150" spans="1:1" x14ac:dyDescent="0.3">
      <c r="A3150" s="1"/>
    </row>
    <row r="3151" spans="1:1" x14ac:dyDescent="0.3">
      <c r="A3151" s="1"/>
    </row>
    <row r="3152" spans="1:1" x14ac:dyDescent="0.3">
      <c r="A3152" s="1"/>
    </row>
    <row r="3153" spans="1:1" x14ac:dyDescent="0.3">
      <c r="A3153" s="1"/>
    </row>
    <row r="3154" spans="1:1" x14ac:dyDescent="0.3">
      <c r="A3154" s="1"/>
    </row>
    <row r="3155" spans="1:1" x14ac:dyDescent="0.3">
      <c r="A3155" s="1"/>
    </row>
    <row r="3156" spans="1:1" x14ac:dyDescent="0.3">
      <c r="A3156" s="1"/>
    </row>
    <row r="3157" spans="1:1" x14ac:dyDescent="0.3">
      <c r="A3157" s="1"/>
    </row>
    <row r="3158" spans="1:1" x14ac:dyDescent="0.3">
      <c r="A3158" s="1"/>
    </row>
    <row r="3159" spans="1:1" x14ac:dyDescent="0.3">
      <c r="A3159" s="1"/>
    </row>
    <row r="3160" spans="1:1" x14ac:dyDescent="0.3">
      <c r="A3160" s="1"/>
    </row>
    <row r="3161" spans="1:1" x14ac:dyDescent="0.3">
      <c r="A3161" s="1"/>
    </row>
    <row r="3162" spans="1:1" x14ac:dyDescent="0.3">
      <c r="A3162" s="1"/>
    </row>
    <row r="3163" spans="1:1" x14ac:dyDescent="0.3">
      <c r="A3163" s="1"/>
    </row>
    <row r="3164" spans="1:1" x14ac:dyDescent="0.3">
      <c r="A3164" s="1"/>
    </row>
    <row r="3165" spans="1:1" x14ac:dyDescent="0.3">
      <c r="A3165" s="1"/>
    </row>
    <row r="3166" spans="1:1" x14ac:dyDescent="0.3">
      <c r="A3166" s="1"/>
    </row>
    <row r="3167" spans="1:1" x14ac:dyDescent="0.3">
      <c r="A3167" s="1"/>
    </row>
    <row r="3168" spans="1:1" x14ac:dyDescent="0.3">
      <c r="A3168" s="1"/>
    </row>
    <row r="3169" spans="1:1" x14ac:dyDescent="0.3">
      <c r="A3169" s="1"/>
    </row>
    <row r="3170" spans="1:1" x14ac:dyDescent="0.3">
      <c r="A3170" s="1"/>
    </row>
    <row r="3171" spans="1:1" x14ac:dyDescent="0.3">
      <c r="A3171" s="1"/>
    </row>
    <row r="3172" spans="1:1" x14ac:dyDescent="0.3">
      <c r="A3172" s="1"/>
    </row>
    <row r="3173" spans="1:1" x14ac:dyDescent="0.3">
      <c r="A3173" s="1"/>
    </row>
    <row r="3174" spans="1:1" x14ac:dyDescent="0.3">
      <c r="A3174" s="1"/>
    </row>
    <row r="3175" spans="1:1" x14ac:dyDescent="0.3">
      <c r="A3175" s="1"/>
    </row>
    <row r="3176" spans="1:1" x14ac:dyDescent="0.3">
      <c r="A3176" s="1"/>
    </row>
    <row r="3177" spans="1:1" x14ac:dyDescent="0.3">
      <c r="A3177" s="1"/>
    </row>
    <row r="3178" spans="1:1" x14ac:dyDescent="0.3">
      <c r="A3178" s="1"/>
    </row>
    <row r="3179" spans="1:1" x14ac:dyDescent="0.3">
      <c r="A3179" s="1"/>
    </row>
    <row r="3180" spans="1:1" x14ac:dyDescent="0.3">
      <c r="A3180" s="1"/>
    </row>
    <row r="3181" spans="1:1" x14ac:dyDescent="0.3">
      <c r="A3181" s="1"/>
    </row>
    <row r="3182" spans="1:1" x14ac:dyDescent="0.3">
      <c r="A3182" s="1"/>
    </row>
    <row r="3183" spans="1:1" x14ac:dyDescent="0.3">
      <c r="A3183" s="1"/>
    </row>
    <row r="3184" spans="1:1" x14ac:dyDescent="0.3">
      <c r="A3184" s="1"/>
    </row>
    <row r="3185" spans="1:1" x14ac:dyDescent="0.3">
      <c r="A3185" s="1"/>
    </row>
    <row r="3186" spans="1:1" x14ac:dyDescent="0.3">
      <c r="A3186" s="1"/>
    </row>
    <row r="3187" spans="1:1" x14ac:dyDescent="0.3">
      <c r="A3187" s="1"/>
    </row>
    <row r="3188" spans="1:1" x14ac:dyDescent="0.3">
      <c r="A3188" s="1"/>
    </row>
    <row r="3189" spans="1:1" x14ac:dyDescent="0.3">
      <c r="A3189" s="1"/>
    </row>
    <row r="3190" spans="1:1" x14ac:dyDescent="0.3">
      <c r="A3190" s="1"/>
    </row>
    <row r="3191" spans="1:1" x14ac:dyDescent="0.3">
      <c r="A3191" s="1"/>
    </row>
    <row r="3192" spans="1:1" x14ac:dyDescent="0.3">
      <c r="A3192" s="1"/>
    </row>
    <row r="3193" spans="1:1" x14ac:dyDescent="0.3">
      <c r="A3193" s="1"/>
    </row>
    <row r="3194" spans="1:1" x14ac:dyDescent="0.3">
      <c r="A3194" s="1"/>
    </row>
    <row r="3195" spans="1:1" x14ac:dyDescent="0.3">
      <c r="A3195" s="1"/>
    </row>
    <row r="3196" spans="1:1" x14ac:dyDescent="0.3">
      <c r="A3196" s="1"/>
    </row>
    <row r="3197" spans="1:1" x14ac:dyDescent="0.3">
      <c r="A3197" s="1"/>
    </row>
    <row r="3198" spans="1:1" x14ac:dyDescent="0.3">
      <c r="A3198" s="1"/>
    </row>
    <row r="3199" spans="1:1" x14ac:dyDescent="0.3">
      <c r="A3199" s="1"/>
    </row>
    <row r="3201" spans="1:1" x14ac:dyDescent="0.3">
      <c r="A3201" s="1"/>
    </row>
    <row r="3202" spans="1:1" x14ac:dyDescent="0.3">
      <c r="A3202" s="1"/>
    </row>
    <row r="3203" spans="1:1" x14ac:dyDescent="0.3">
      <c r="A3203" s="1"/>
    </row>
    <row r="3204" spans="1:1" x14ac:dyDescent="0.3">
      <c r="A3204" s="1"/>
    </row>
    <row r="3205" spans="1:1" x14ac:dyDescent="0.3">
      <c r="A3205" s="1"/>
    </row>
    <row r="3206" spans="1:1" x14ac:dyDescent="0.3">
      <c r="A3206" s="1"/>
    </row>
    <row r="3207" spans="1:1" x14ac:dyDescent="0.3">
      <c r="A3207" s="1"/>
    </row>
    <row r="3208" spans="1:1" x14ac:dyDescent="0.3">
      <c r="A3208" s="1"/>
    </row>
    <row r="3209" spans="1:1" x14ac:dyDescent="0.3">
      <c r="A3209" s="1"/>
    </row>
    <row r="3210" spans="1:1" x14ac:dyDescent="0.3">
      <c r="A3210" s="1"/>
    </row>
    <row r="3211" spans="1:1" x14ac:dyDescent="0.3">
      <c r="A3211" s="1"/>
    </row>
    <row r="3212" spans="1:1" x14ac:dyDescent="0.3">
      <c r="A3212" s="1"/>
    </row>
    <row r="3213" spans="1:1" x14ac:dyDescent="0.3">
      <c r="A3213" s="1"/>
    </row>
    <row r="3214" spans="1:1" x14ac:dyDescent="0.3">
      <c r="A3214" s="1"/>
    </row>
    <row r="3215" spans="1:1" x14ac:dyDescent="0.3">
      <c r="A3215" s="1"/>
    </row>
    <row r="3216" spans="1:1" x14ac:dyDescent="0.3">
      <c r="A3216" s="1"/>
    </row>
    <row r="3217" spans="1:1" x14ac:dyDescent="0.3">
      <c r="A3217" s="1"/>
    </row>
    <row r="3218" spans="1:1" x14ac:dyDescent="0.3">
      <c r="A3218" s="1"/>
    </row>
    <row r="3219" spans="1:1" x14ac:dyDescent="0.3">
      <c r="A3219" s="1"/>
    </row>
    <row r="3220" spans="1:1" x14ac:dyDescent="0.3">
      <c r="A3220" s="1"/>
    </row>
    <row r="3221" spans="1:1" x14ac:dyDescent="0.3">
      <c r="A3221" s="1"/>
    </row>
    <row r="3222" spans="1:1" x14ac:dyDescent="0.3">
      <c r="A3222" s="1"/>
    </row>
    <row r="3223" spans="1:1" x14ac:dyDescent="0.3">
      <c r="A3223" s="1"/>
    </row>
    <row r="3224" spans="1:1" x14ac:dyDescent="0.3">
      <c r="A3224" s="1"/>
    </row>
    <row r="3225" spans="1:1" x14ac:dyDescent="0.3">
      <c r="A3225" s="1"/>
    </row>
    <row r="3226" spans="1:1" x14ac:dyDescent="0.3">
      <c r="A3226" s="1"/>
    </row>
    <row r="3227" spans="1:1" x14ac:dyDescent="0.3">
      <c r="A3227" s="1"/>
    </row>
    <row r="3228" spans="1:1" x14ac:dyDescent="0.3">
      <c r="A3228" s="1"/>
    </row>
    <row r="3229" spans="1:1" x14ac:dyDescent="0.3">
      <c r="A3229" s="1"/>
    </row>
    <row r="3230" spans="1:1" x14ac:dyDescent="0.3">
      <c r="A3230" s="1"/>
    </row>
    <row r="3231" spans="1:1" x14ac:dyDescent="0.3">
      <c r="A3231" s="1"/>
    </row>
    <row r="3232" spans="1:1" x14ac:dyDescent="0.3">
      <c r="A3232" s="1"/>
    </row>
    <row r="3233" spans="1:1" x14ac:dyDescent="0.3">
      <c r="A3233" s="1"/>
    </row>
    <row r="3234" spans="1:1" x14ac:dyDescent="0.3">
      <c r="A3234" s="1"/>
    </row>
    <row r="3235" spans="1:1" x14ac:dyDescent="0.3">
      <c r="A3235" s="1"/>
    </row>
    <row r="3236" spans="1:1" x14ac:dyDescent="0.3">
      <c r="A3236" s="1"/>
    </row>
    <row r="3237" spans="1:1" x14ac:dyDescent="0.3">
      <c r="A3237" s="1"/>
    </row>
    <row r="3238" spans="1:1" x14ac:dyDescent="0.3">
      <c r="A3238" s="1"/>
    </row>
    <row r="3239" spans="1:1" x14ac:dyDescent="0.3">
      <c r="A3239" s="1"/>
    </row>
    <row r="3240" spans="1:1" x14ac:dyDescent="0.3">
      <c r="A3240" s="1"/>
    </row>
    <row r="3241" spans="1:1" x14ac:dyDescent="0.3">
      <c r="A3241" s="1"/>
    </row>
    <row r="3242" spans="1:1" x14ac:dyDescent="0.3">
      <c r="A3242" s="1"/>
    </row>
    <row r="3243" spans="1:1" x14ac:dyDescent="0.3">
      <c r="A3243" s="1"/>
    </row>
    <row r="3244" spans="1:1" x14ac:dyDescent="0.3">
      <c r="A3244" s="1"/>
    </row>
    <row r="3245" spans="1:1" x14ac:dyDescent="0.3">
      <c r="A3245" s="1"/>
    </row>
    <row r="3246" spans="1:1" x14ac:dyDescent="0.3">
      <c r="A3246" s="1"/>
    </row>
    <row r="3247" spans="1:1" x14ac:dyDescent="0.3">
      <c r="A3247" s="1"/>
    </row>
    <row r="3248" spans="1:1" x14ac:dyDescent="0.3">
      <c r="A3248" s="1"/>
    </row>
    <row r="3249" spans="1:1" x14ac:dyDescent="0.3">
      <c r="A3249" s="1"/>
    </row>
    <row r="3250" spans="1:1" x14ac:dyDescent="0.3">
      <c r="A3250" s="1"/>
    </row>
    <row r="3251" spans="1:1" x14ac:dyDescent="0.3">
      <c r="A3251" s="1"/>
    </row>
    <row r="3252" spans="1:1" x14ac:dyDescent="0.3">
      <c r="A3252" s="1"/>
    </row>
    <row r="3253" spans="1:1" x14ac:dyDescent="0.3">
      <c r="A3253" s="1"/>
    </row>
    <row r="3254" spans="1:1" x14ac:dyDescent="0.3">
      <c r="A3254" s="1"/>
    </row>
    <row r="3255" spans="1:1" x14ac:dyDescent="0.3">
      <c r="A3255" s="1"/>
    </row>
    <row r="3256" spans="1:1" x14ac:dyDescent="0.3">
      <c r="A3256" s="1"/>
    </row>
    <row r="3257" spans="1:1" x14ac:dyDescent="0.3">
      <c r="A3257" s="1"/>
    </row>
    <row r="3258" spans="1:1" x14ac:dyDescent="0.3">
      <c r="A3258" s="1"/>
    </row>
    <row r="3259" spans="1:1" x14ac:dyDescent="0.3">
      <c r="A3259" s="1"/>
    </row>
    <row r="3260" spans="1:1" x14ac:dyDescent="0.3">
      <c r="A3260" s="1"/>
    </row>
    <row r="3261" spans="1:1" x14ac:dyDescent="0.3">
      <c r="A3261" s="1"/>
    </row>
    <row r="3262" spans="1:1" x14ac:dyDescent="0.3">
      <c r="A3262" s="1"/>
    </row>
    <row r="3263" spans="1:1" x14ac:dyDescent="0.3">
      <c r="A3263" s="1"/>
    </row>
    <row r="3264" spans="1:1" x14ac:dyDescent="0.3">
      <c r="A3264" s="1"/>
    </row>
    <row r="3265" spans="1:1" x14ac:dyDescent="0.3">
      <c r="A3265" s="1"/>
    </row>
    <row r="3266" spans="1:1" x14ac:dyDescent="0.3">
      <c r="A3266" s="1"/>
    </row>
    <row r="3267" spans="1:1" x14ac:dyDescent="0.3">
      <c r="A3267" s="1"/>
    </row>
    <row r="3268" spans="1:1" x14ac:dyDescent="0.3">
      <c r="A3268" s="1"/>
    </row>
    <row r="3269" spans="1:1" x14ac:dyDescent="0.3">
      <c r="A3269" s="1"/>
    </row>
    <row r="3270" spans="1:1" x14ac:dyDescent="0.3">
      <c r="A3270" s="1"/>
    </row>
    <row r="3271" spans="1:1" x14ac:dyDescent="0.3">
      <c r="A3271" s="1"/>
    </row>
    <row r="3272" spans="1:1" x14ac:dyDescent="0.3">
      <c r="A3272" s="1"/>
    </row>
    <row r="3273" spans="1:1" x14ac:dyDescent="0.3">
      <c r="A3273" s="1"/>
    </row>
    <row r="3274" spans="1:1" x14ac:dyDescent="0.3">
      <c r="A3274" s="1"/>
    </row>
    <row r="3275" spans="1:1" x14ac:dyDescent="0.3">
      <c r="A3275" s="1"/>
    </row>
    <row r="3276" spans="1:1" x14ac:dyDescent="0.3">
      <c r="A3276" s="1"/>
    </row>
    <row r="3277" spans="1:1" x14ac:dyDescent="0.3">
      <c r="A3277" s="1"/>
    </row>
    <row r="3278" spans="1:1" x14ac:dyDescent="0.3">
      <c r="A3278" s="1"/>
    </row>
    <row r="3279" spans="1:1" x14ac:dyDescent="0.3">
      <c r="A3279" s="1"/>
    </row>
    <row r="3280" spans="1:1" x14ac:dyDescent="0.3">
      <c r="A3280" s="1"/>
    </row>
    <row r="3281" spans="1:1" x14ac:dyDescent="0.3">
      <c r="A3281" s="1"/>
    </row>
    <row r="3282" spans="1:1" x14ac:dyDescent="0.3">
      <c r="A3282" s="1"/>
    </row>
    <row r="3283" spans="1:1" x14ac:dyDescent="0.3">
      <c r="A3283" s="1"/>
    </row>
    <row r="3284" spans="1:1" x14ac:dyDescent="0.3">
      <c r="A3284" s="1"/>
    </row>
    <row r="3285" spans="1:1" x14ac:dyDescent="0.3">
      <c r="A3285" s="1"/>
    </row>
    <row r="3286" spans="1:1" x14ac:dyDescent="0.3">
      <c r="A3286" s="1"/>
    </row>
    <row r="3287" spans="1:1" x14ac:dyDescent="0.3">
      <c r="A3287" s="1"/>
    </row>
    <row r="3288" spans="1:1" x14ac:dyDescent="0.3">
      <c r="A3288" s="1"/>
    </row>
    <row r="3289" spans="1:1" x14ac:dyDescent="0.3">
      <c r="A3289" s="1"/>
    </row>
    <row r="3290" spans="1:1" x14ac:dyDescent="0.3">
      <c r="A3290" s="1"/>
    </row>
    <row r="3291" spans="1:1" x14ac:dyDescent="0.3">
      <c r="A3291" s="1"/>
    </row>
    <row r="3292" spans="1:1" x14ac:dyDescent="0.3">
      <c r="A3292" s="1"/>
    </row>
    <row r="3293" spans="1:1" x14ac:dyDescent="0.3">
      <c r="A3293" s="1"/>
    </row>
    <row r="3294" spans="1:1" x14ac:dyDescent="0.3">
      <c r="A3294" s="1"/>
    </row>
    <row r="3295" spans="1:1" x14ac:dyDescent="0.3">
      <c r="A3295" s="1"/>
    </row>
    <row r="3296" spans="1:1" x14ac:dyDescent="0.3">
      <c r="A3296" s="1"/>
    </row>
    <row r="3297" spans="1:1" x14ac:dyDescent="0.3">
      <c r="A3297" s="1"/>
    </row>
    <row r="3298" spans="1:1" x14ac:dyDescent="0.3">
      <c r="A3298" s="1"/>
    </row>
    <row r="3299" spans="1:1" x14ac:dyDescent="0.3">
      <c r="A3299" s="1"/>
    </row>
    <row r="3300" spans="1:1" x14ac:dyDescent="0.3">
      <c r="A3300" s="1"/>
    </row>
    <row r="3301" spans="1:1" x14ac:dyDescent="0.3">
      <c r="A3301" s="1"/>
    </row>
    <row r="3302" spans="1:1" x14ac:dyDescent="0.3">
      <c r="A3302" s="1"/>
    </row>
    <row r="3303" spans="1:1" x14ac:dyDescent="0.3">
      <c r="A3303" s="1"/>
    </row>
    <row r="3304" spans="1:1" x14ac:dyDescent="0.3">
      <c r="A3304" s="1"/>
    </row>
    <row r="3305" spans="1:1" x14ac:dyDescent="0.3">
      <c r="A3305" s="1"/>
    </row>
    <row r="3306" spans="1:1" x14ac:dyDescent="0.3">
      <c r="A3306" s="1"/>
    </row>
    <row r="3307" spans="1:1" x14ac:dyDescent="0.3">
      <c r="A3307" s="1"/>
    </row>
    <row r="3308" spans="1:1" x14ac:dyDescent="0.3">
      <c r="A3308" s="1"/>
    </row>
    <row r="3309" spans="1:1" x14ac:dyDescent="0.3">
      <c r="A3309" s="1"/>
    </row>
    <row r="3310" spans="1:1" x14ac:dyDescent="0.3">
      <c r="A3310" s="1"/>
    </row>
    <row r="3311" spans="1:1" x14ac:dyDescent="0.3">
      <c r="A3311" s="1"/>
    </row>
    <row r="3312" spans="1:1" x14ac:dyDescent="0.3">
      <c r="A3312" s="1"/>
    </row>
    <row r="3313" spans="1:1" x14ac:dyDescent="0.3">
      <c r="A3313" s="1"/>
    </row>
    <row r="3314" spans="1:1" x14ac:dyDescent="0.3">
      <c r="A3314" s="1"/>
    </row>
    <row r="3315" spans="1:1" x14ac:dyDescent="0.3">
      <c r="A3315" s="1"/>
    </row>
    <row r="3316" spans="1:1" x14ac:dyDescent="0.3">
      <c r="A3316" s="1"/>
    </row>
    <row r="3317" spans="1:1" x14ac:dyDescent="0.3">
      <c r="A3317" s="1"/>
    </row>
    <row r="3318" spans="1:1" x14ac:dyDescent="0.3">
      <c r="A3318" s="1"/>
    </row>
    <row r="3319" spans="1:1" x14ac:dyDescent="0.3">
      <c r="A3319" s="1"/>
    </row>
    <row r="3320" spans="1:1" x14ac:dyDescent="0.3">
      <c r="A3320" s="1"/>
    </row>
    <row r="3321" spans="1:1" x14ac:dyDescent="0.3">
      <c r="A3321" s="1"/>
    </row>
    <row r="3322" spans="1:1" x14ac:dyDescent="0.3">
      <c r="A3322" s="1"/>
    </row>
    <row r="3323" spans="1:1" x14ac:dyDescent="0.3">
      <c r="A3323" s="1"/>
    </row>
    <row r="3324" spans="1:1" x14ac:dyDescent="0.3">
      <c r="A3324" s="1"/>
    </row>
    <row r="3325" spans="1:1" x14ac:dyDescent="0.3">
      <c r="A3325" s="1"/>
    </row>
    <row r="3326" spans="1:1" x14ac:dyDescent="0.3">
      <c r="A3326" s="1"/>
    </row>
    <row r="3327" spans="1:1" x14ac:dyDescent="0.3">
      <c r="A3327" s="1"/>
    </row>
    <row r="3328" spans="1:1" x14ac:dyDescent="0.3">
      <c r="A3328" s="1"/>
    </row>
    <row r="3329" spans="1:1" x14ac:dyDescent="0.3">
      <c r="A3329" s="1"/>
    </row>
    <row r="3330" spans="1:1" x14ac:dyDescent="0.3">
      <c r="A3330" s="1"/>
    </row>
    <row r="3331" spans="1:1" x14ac:dyDescent="0.3">
      <c r="A3331" s="1"/>
    </row>
    <row r="3332" spans="1:1" x14ac:dyDescent="0.3">
      <c r="A3332" s="1"/>
    </row>
    <row r="3333" spans="1:1" x14ac:dyDescent="0.3">
      <c r="A3333" s="1"/>
    </row>
    <row r="3334" spans="1:1" x14ac:dyDescent="0.3">
      <c r="A3334" s="1"/>
    </row>
    <row r="3335" spans="1:1" x14ac:dyDescent="0.3">
      <c r="A3335" s="1"/>
    </row>
    <row r="3336" spans="1:1" x14ac:dyDescent="0.3">
      <c r="A3336" s="1"/>
    </row>
    <row r="3337" spans="1:1" x14ac:dyDescent="0.3">
      <c r="A3337" s="1"/>
    </row>
    <row r="3338" spans="1:1" x14ac:dyDescent="0.3">
      <c r="A3338" s="1"/>
    </row>
    <row r="3339" spans="1:1" x14ac:dyDescent="0.3">
      <c r="A3339" s="1"/>
    </row>
    <row r="3340" spans="1:1" x14ac:dyDescent="0.3">
      <c r="A3340" s="1"/>
    </row>
    <row r="3341" spans="1:1" x14ac:dyDescent="0.3">
      <c r="A3341" s="1"/>
    </row>
    <row r="3342" spans="1:1" x14ac:dyDescent="0.3">
      <c r="A3342" s="1"/>
    </row>
    <row r="3343" spans="1:1" x14ac:dyDescent="0.3">
      <c r="A3343" s="1"/>
    </row>
    <row r="3344" spans="1:1" x14ac:dyDescent="0.3">
      <c r="A3344" s="1"/>
    </row>
    <row r="3345" spans="1:1" x14ac:dyDescent="0.3">
      <c r="A3345" s="1"/>
    </row>
    <row r="3346" spans="1:1" x14ac:dyDescent="0.3">
      <c r="A3346" s="1"/>
    </row>
    <row r="3347" spans="1:1" x14ac:dyDescent="0.3">
      <c r="A3347" s="1"/>
    </row>
    <row r="3348" spans="1:1" x14ac:dyDescent="0.3">
      <c r="A3348" s="1"/>
    </row>
    <row r="3349" spans="1:1" x14ac:dyDescent="0.3">
      <c r="A3349" s="1"/>
    </row>
    <row r="3350" spans="1:1" x14ac:dyDescent="0.3">
      <c r="A3350" s="1"/>
    </row>
    <row r="3351" spans="1:1" x14ac:dyDescent="0.3">
      <c r="A3351" s="1"/>
    </row>
    <row r="3352" spans="1:1" x14ac:dyDescent="0.3">
      <c r="A3352" s="1"/>
    </row>
    <row r="3353" spans="1:1" x14ac:dyDescent="0.3">
      <c r="A3353" s="1"/>
    </row>
    <row r="3354" spans="1:1" x14ac:dyDescent="0.3">
      <c r="A3354" s="1"/>
    </row>
    <row r="3355" spans="1:1" x14ac:dyDescent="0.3">
      <c r="A3355" s="1"/>
    </row>
    <row r="3356" spans="1:1" x14ac:dyDescent="0.3">
      <c r="A3356" s="1"/>
    </row>
    <row r="3357" spans="1:1" x14ac:dyDescent="0.3">
      <c r="A3357" s="1"/>
    </row>
    <row r="3358" spans="1:1" x14ac:dyDescent="0.3">
      <c r="A3358" s="1"/>
    </row>
    <row r="3359" spans="1:1" x14ac:dyDescent="0.3">
      <c r="A3359" s="1"/>
    </row>
    <row r="3360" spans="1:1" x14ac:dyDescent="0.3">
      <c r="A3360" s="1"/>
    </row>
    <row r="3361" spans="1:1" x14ac:dyDescent="0.3">
      <c r="A3361" s="1"/>
    </row>
    <row r="3362" spans="1:1" x14ac:dyDescent="0.3">
      <c r="A3362" s="1"/>
    </row>
    <row r="3363" spans="1:1" x14ac:dyDescent="0.3">
      <c r="A3363" s="1"/>
    </row>
    <row r="3364" spans="1:1" x14ac:dyDescent="0.3">
      <c r="A3364" s="1"/>
    </row>
    <row r="3365" spans="1:1" x14ac:dyDescent="0.3">
      <c r="A3365" s="1"/>
    </row>
    <row r="3366" spans="1:1" x14ac:dyDescent="0.3">
      <c r="A3366" s="1"/>
    </row>
    <row r="3367" spans="1:1" x14ac:dyDescent="0.3">
      <c r="A3367" s="1"/>
    </row>
    <row r="3368" spans="1:1" x14ac:dyDescent="0.3">
      <c r="A3368" s="1"/>
    </row>
    <row r="3369" spans="1:1" x14ac:dyDescent="0.3">
      <c r="A3369" s="1"/>
    </row>
    <row r="3370" spans="1:1" x14ac:dyDescent="0.3">
      <c r="A3370" s="1"/>
    </row>
    <row r="3371" spans="1:1" x14ac:dyDescent="0.3">
      <c r="A3371" s="1"/>
    </row>
    <row r="3372" spans="1:1" x14ac:dyDescent="0.3">
      <c r="A3372" s="1"/>
    </row>
    <row r="3373" spans="1:1" x14ac:dyDescent="0.3">
      <c r="A3373" s="1"/>
    </row>
    <row r="3374" spans="1:1" x14ac:dyDescent="0.3">
      <c r="A3374" s="1"/>
    </row>
    <row r="3375" spans="1:1" x14ac:dyDescent="0.3">
      <c r="A3375" s="1"/>
    </row>
    <row r="3376" spans="1:1" x14ac:dyDescent="0.3">
      <c r="A3376" s="1"/>
    </row>
    <row r="3377" spans="1:1" x14ac:dyDescent="0.3">
      <c r="A3377" s="1"/>
    </row>
    <row r="3378" spans="1:1" x14ac:dyDescent="0.3">
      <c r="A3378" s="1"/>
    </row>
    <row r="3379" spans="1:1" x14ac:dyDescent="0.3">
      <c r="A3379" s="1"/>
    </row>
    <row r="3380" spans="1:1" x14ac:dyDescent="0.3">
      <c r="A3380" s="1"/>
    </row>
    <row r="3381" spans="1:1" x14ac:dyDescent="0.3">
      <c r="A3381" s="1"/>
    </row>
    <row r="3382" spans="1:1" x14ac:dyDescent="0.3">
      <c r="A3382" s="1"/>
    </row>
    <row r="3383" spans="1:1" x14ac:dyDescent="0.3">
      <c r="A3383" s="1"/>
    </row>
    <row r="3384" spans="1:1" x14ac:dyDescent="0.3">
      <c r="A3384" s="1"/>
    </row>
    <row r="3385" spans="1:1" x14ac:dyDescent="0.3">
      <c r="A3385" s="1"/>
    </row>
    <row r="3386" spans="1:1" x14ac:dyDescent="0.3">
      <c r="A3386" s="1"/>
    </row>
    <row r="3387" spans="1:1" x14ac:dyDescent="0.3">
      <c r="A3387" s="1"/>
    </row>
    <row r="3388" spans="1:1" x14ac:dyDescent="0.3">
      <c r="A3388" s="1"/>
    </row>
    <row r="3389" spans="1:1" x14ac:dyDescent="0.3">
      <c r="A3389" s="1"/>
    </row>
    <row r="3390" spans="1:1" x14ac:dyDescent="0.3">
      <c r="A3390" s="1"/>
    </row>
    <row r="3391" spans="1:1" x14ac:dyDescent="0.3">
      <c r="A3391" s="1"/>
    </row>
    <row r="3392" spans="1:1" x14ac:dyDescent="0.3">
      <c r="A3392" s="1"/>
    </row>
    <row r="3393" spans="1:1" x14ac:dyDescent="0.3">
      <c r="A3393" s="1"/>
    </row>
    <row r="3394" spans="1:1" x14ac:dyDescent="0.3">
      <c r="A3394" s="1"/>
    </row>
    <row r="3395" spans="1:1" x14ac:dyDescent="0.3">
      <c r="A3395" s="1"/>
    </row>
    <row r="3396" spans="1:1" x14ac:dyDescent="0.3">
      <c r="A3396" s="1"/>
    </row>
    <row r="3397" spans="1:1" x14ac:dyDescent="0.3">
      <c r="A3397" s="1"/>
    </row>
    <row r="3398" spans="1:1" x14ac:dyDescent="0.3">
      <c r="A3398" s="1"/>
    </row>
    <row r="3399" spans="1:1" x14ac:dyDescent="0.3">
      <c r="A3399" s="1"/>
    </row>
    <row r="3400" spans="1:1" x14ac:dyDescent="0.3">
      <c r="A3400" s="1"/>
    </row>
    <row r="3401" spans="1:1" x14ac:dyDescent="0.3">
      <c r="A3401" s="1"/>
    </row>
    <row r="3402" spans="1:1" x14ac:dyDescent="0.3">
      <c r="A3402" s="1"/>
    </row>
    <row r="3403" spans="1:1" x14ac:dyDescent="0.3">
      <c r="A3403" s="1"/>
    </row>
    <row r="3404" spans="1:1" x14ac:dyDescent="0.3">
      <c r="A3404" s="1"/>
    </row>
    <row r="3405" spans="1:1" x14ac:dyDescent="0.3">
      <c r="A3405" s="1"/>
    </row>
    <row r="3406" spans="1:1" x14ac:dyDescent="0.3">
      <c r="A3406" s="1"/>
    </row>
    <row r="3407" spans="1:1" x14ac:dyDescent="0.3">
      <c r="A3407" s="1"/>
    </row>
    <row r="3408" spans="1:1" x14ac:dyDescent="0.3">
      <c r="A3408" s="1"/>
    </row>
    <row r="3409" spans="1:1" x14ac:dyDescent="0.3">
      <c r="A3409" s="1"/>
    </row>
    <row r="3410" spans="1:1" x14ac:dyDescent="0.3">
      <c r="A3410" s="1"/>
    </row>
    <row r="3411" spans="1:1" x14ac:dyDescent="0.3">
      <c r="A3411" s="1"/>
    </row>
    <row r="3412" spans="1:1" x14ac:dyDescent="0.3">
      <c r="A3412" s="1"/>
    </row>
    <row r="3413" spans="1:1" x14ac:dyDescent="0.3">
      <c r="A3413" s="1"/>
    </row>
    <row r="3414" spans="1:1" x14ac:dyDescent="0.3">
      <c r="A3414" s="1"/>
    </row>
    <row r="3415" spans="1:1" x14ac:dyDescent="0.3">
      <c r="A3415" s="1"/>
    </row>
    <row r="3416" spans="1:1" x14ac:dyDescent="0.3">
      <c r="A3416" s="1"/>
    </row>
    <row r="3417" spans="1:1" x14ac:dyDescent="0.3">
      <c r="A3417" s="1"/>
    </row>
    <row r="3418" spans="1:1" x14ac:dyDescent="0.3">
      <c r="A3418" s="1"/>
    </row>
    <row r="3419" spans="1:1" x14ac:dyDescent="0.3">
      <c r="A3419" s="1"/>
    </row>
    <row r="3420" spans="1:1" x14ac:dyDescent="0.3">
      <c r="A3420" s="1"/>
    </row>
    <row r="3421" spans="1:1" x14ac:dyDescent="0.3">
      <c r="A3421" s="1"/>
    </row>
    <row r="3422" spans="1:1" x14ac:dyDescent="0.3">
      <c r="A3422" s="1"/>
    </row>
    <row r="3423" spans="1:1" x14ac:dyDescent="0.3">
      <c r="A3423" s="1"/>
    </row>
    <row r="3424" spans="1:1" x14ac:dyDescent="0.3">
      <c r="A3424" s="1"/>
    </row>
    <row r="3426" spans="1:1" x14ac:dyDescent="0.3">
      <c r="A3426" s="1"/>
    </row>
    <row r="3427" spans="1:1" x14ac:dyDescent="0.3">
      <c r="A3427" s="1"/>
    </row>
    <row r="3428" spans="1:1" x14ac:dyDescent="0.3">
      <c r="A3428" s="1"/>
    </row>
    <row r="3430" spans="1:1" x14ac:dyDescent="0.3">
      <c r="A3430" s="1"/>
    </row>
    <row r="3431" spans="1:1" x14ac:dyDescent="0.3">
      <c r="A3431" s="1"/>
    </row>
    <row r="3432" spans="1:1" x14ac:dyDescent="0.3">
      <c r="A3432" s="1"/>
    </row>
    <row r="3433" spans="1:1" x14ac:dyDescent="0.3">
      <c r="A3433" s="1"/>
    </row>
    <row r="3434" spans="1:1" x14ac:dyDescent="0.3">
      <c r="A3434" s="1"/>
    </row>
    <row r="3435" spans="1:1" x14ac:dyDescent="0.3">
      <c r="A3435" s="1"/>
    </row>
    <row r="3436" spans="1:1" x14ac:dyDescent="0.3">
      <c r="A3436" s="1"/>
    </row>
    <row r="3437" spans="1:1" x14ac:dyDescent="0.3">
      <c r="A3437" s="1"/>
    </row>
    <row r="3438" spans="1:1" x14ac:dyDescent="0.3">
      <c r="A3438" s="1"/>
    </row>
    <row r="3439" spans="1:1" x14ac:dyDescent="0.3">
      <c r="A3439" s="1"/>
    </row>
    <row r="3440" spans="1:1" x14ac:dyDescent="0.3">
      <c r="A3440" s="1"/>
    </row>
    <row r="3441" spans="1:1" x14ac:dyDescent="0.3">
      <c r="A3441" s="1"/>
    </row>
    <row r="3442" spans="1:1" x14ac:dyDescent="0.3">
      <c r="A3442" s="1"/>
    </row>
    <row r="3443" spans="1:1" x14ac:dyDescent="0.3">
      <c r="A3443" s="1"/>
    </row>
    <row r="3444" spans="1:1" x14ac:dyDescent="0.3">
      <c r="A3444" s="1"/>
    </row>
    <row r="3445" spans="1:1" x14ac:dyDescent="0.3">
      <c r="A3445" s="1"/>
    </row>
    <row r="3446" spans="1:1" x14ac:dyDescent="0.3">
      <c r="A3446" s="1"/>
    </row>
    <row r="3447" spans="1:1" x14ac:dyDescent="0.3">
      <c r="A3447" s="1"/>
    </row>
    <row r="3448" spans="1:1" x14ac:dyDescent="0.3">
      <c r="A3448" s="1"/>
    </row>
    <row r="3449" spans="1:1" x14ac:dyDescent="0.3">
      <c r="A3449" s="1"/>
    </row>
    <row r="3450" spans="1:1" x14ac:dyDescent="0.3">
      <c r="A3450" s="1"/>
    </row>
    <row r="3451" spans="1:1" x14ac:dyDescent="0.3">
      <c r="A3451" s="1"/>
    </row>
    <row r="3452" spans="1:1" x14ac:dyDescent="0.3">
      <c r="A3452" s="1"/>
    </row>
    <row r="3453" spans="1:1" x14ac:dyDescent="0.3">
      <c r="A3453" s="1"/>
    </row>
    <row r="3454" spans="1:1" x14ac:dyDescent="0.3">
      <c r="A3454" s="1"/>
    </row>
    <row r="3455" spans="1:1" x14ac:dyDescent="0.3">
      <c r="A3455" s="1"/>
    </row>
    <row r="3456" spans="1:1" x14ac:dyDescent="0.3">
      <c r="A3456" s="1"/>
    </row>
    <row r="3457" spans="1:1" x14ac:dyDescent="0.3">
      <c r="A3457" s="1"/>
    </row>
    <row r="3458" spans="1:1" x14ac:dyDescent="0.3">
      <c r="A3458" s="1"/>
    </row>
    <row r="3459" spans="1:1" x14ac:dyDescent="0.3">
      <c r="A3459" s="1"/>
    </row>
    <row r="3460" spans="1:1" x14ac:dyDescent="0.3">
      <c r="A3460" s="1"/>
    </row>
    <row r="3461" spans="1:1" x14ac:dyDescent="0.3">
      <c r="A3461" s="1"/>
    </row>
    <row r="3462" spans="1:1" x14ac:dyDescent="0.3">
      <c r="A3462" s="1"/>
    </row>
    <row r="3463" spans="1:1" x14ac:dyDescent="0.3">
      <c r="A3463" s="1"/>
    </row>
    <row r="3464" spans="1:1" x14ac:dyDescent="0.3">
      <c r="A3464" s="1"/>
    </row>
    <row r="3465" spans="1:1" x14ac:dyDescent="0.3">
      <c r="A3465" s="1"/>
    </row>
    <row r="3466" spans="1:1" x14ac:dyDescent="0.3">
      <c r="A3466" s="1"/>
    </row>
    <row r="3467" spans="1:1" x14ac:dyDescent="0.3">
      <c r="A3467" s="1"/>
    </row>
    <row r="3468" spans="1:1" x14ac:dyDescent="0.3">
      <c r="A3468" s="1"/>
    </row>
    <row r="3469" spans="1:1" x14ac:dyDescent="0.3">
      <c r="A3469" s="1"/>
    </row>
    <row r="3470" spans="1:1" x14ac:dyDescent="0.3">
      <c r="A3470" s="1"/>
    </row>
    <row r="3471" spans="1:1" x14ac:dyDescent="0.3">
      <c r="A3471" s="1"/>
    </row>
    <row r="3472" spans="1:1" x14ac:dyDescent="0.3">
      <c r="A3472" s="1"/>
    </row>
    <row r="3473" spans="1:1" x14ac:dyDescent="0.3">
      <c r="A3473" s="1"/>
    </row>
    <row r="3474" spans="1:1" x14ac:dyDescent="0.3">
      <c r="A3474" s="1"/>
    </row>
    <row r="3475" spans="1:1" x14ac:dyDescent="0.3">
      <c r="A3475" s="1"/>
    </row>
    <row r="3476" spans="1:1" x14ac:dyDescent="0.3">
      <c r="A3476" s="1"/>
    </row>
    <row r="3477" spans="1:1" x14ac:dyDescent="0.3">
      <c r="A3477" s="1"/>
    </row>
    <row r="3478" spans="1:1" x14ac:dyDescent="0.3">
      <c r="A3478" s="1"/>
    </row>
    <row r="3479" spans="1:1" x14ac:dyDescent="0.3">
      <c r="A3479" s="1"/>
    </row>
    <row r="3480" spans="1:1" x14ac:dyDescent="0.3">
      <c r="A3480" s="1"/>
    </row>
    <row r="3481" spans="1:1" x14ac:dyDescent="0.3">
      <c r="A3481" s="1"/>
    </row>
    <row r="3482" spans="1:1" x14ac:dyDescent="0.3">
      <c r="A3482" s="1"/>
    </row>
    <row r="3483" spans="1:1" x14ac:dyDescent="0.3">
      <c r="A3483" s="1"/>
    </row>
    <row r="3484" spans="1:1" x14ac:dyDescent="0.3">
      <c r="A3484" s="1"/>
    </row>
    <row r="3485" spans="1:1" x14ac:dyDescent="0.3">
      <c r="A3485" s="1"/>
    </row>
    <row r="3486" spans="1:1" x14ac:dyDescent="0.3">
      <c r="A3486" s="1"/>
    </row>
    <row r="3487" spans="1:1" x14ac:dyDescent="0.3">
      <c r="A3487" s="1"/>
    </row>
    <row r="3488" spans="1:1" x14ac:dyDescent="0.3">
      <c r="A3488" s="1"/>
    </row>
    <row r="3489" spans="1:1" x14ac:dyDescent="0.3">
      <c r="A3489" s="1"/>
    </row>
    <row r="3490" spans="1:1" x14ac:dyDescent="0.3">
      <c r="A3490" s="1"/>
    </row>
    <row r="3491" spans="1:1" x14ac:dyDescent="0.3">
      <c r="A3491" s="1"/>
    </row>
    <row r="3492" spans="1:1" x14ac:dyDescent="0.3">
      <c r="A3492" s="1"/>
    </row>
    <row r="3493" spans="1:1" x14ac:dyDescent="0.3">
      <c r="A3493" s="1"/>
    </row>
    <row r="3494" spans="1:1" x14ac:dyDescent="0.3">
      <c r="A3494" s="1"/>
    </row>
    <row r="3495" spans="1:1" x14ac:dyDescent="0.3">
      <c r="A3495" s="1"/>
    </row>
    <row r="3496" spans="1:1" x14ac:dyDescent="0.3">
      <c r="A3496" s="1"/>
    </row>
    <row r="3497" spans="1:1" x14ac:dyDescent="0.3">
      <c r="A3497" s="1"/>
    </row>
    <row r="3498" spans="1:1" x14ac:dyDescent="0.3">
      <c r="A3498" s="1"/>
    </row>
    <row r="3499" spans="1:1" x14ac:dyDescent="0.3">
      <c r="A3499" s="1"/>
    </row>
    <row r="3500" spans="1:1" x14ac:dyDescent="0.3">
      <c r="A3500" s="1"/>
    </row>
    <row r="3501" spans="1:1" x14ac:dyDescent="0.3">
      <c r="A3501" s="1"/>
    </row>
    <row r="3502" spans="1:1" x14ac:dyDescent="0.3">
      <c r="A3502" s="1"/>
    </row>
    <row r="3503" spans="1:1" x14ac:dyDescent="0.3">
      <c r="A3503" s="1"/>
    </row>
    <row r="3504" spans="1:1" x14ac:dyDescent="0.3">
      <c r="A3504" s="1"/>
    </row>
    <row r="3505" spans="1:1" x14ac:dyDescent="0.3">
      <c r="A3505" s="1"/>
    </row>
    <row r="3506" spans="1:1" x14ac:dyDescent="0.3">
      <c r="A3506" s="1"/>
    </row>
    <row r="3507" spans="1:1" x14ac:dyDescent="0.3">
      <c r="A3507" s="1"/>
    </row>
    <row r="3508" spans="1:1" x14ac:dyDescent="0.3">
      <c r="A3508" s="1"/>
    </row>
    <row r="3509" spans="1:1" x14ac:dyDescent="0.3">
      <c r="A3509" s="1"/>
    </row>
    <row r="3510" spans="1:1" x14ac:dyDescent="0.3">
      <c r="A3510" s="1"/>
    </row>
    <row r="3511" spans="1:1" x14ac:dyDescent="0.3">
      <c r="A3511" s="1"/>
    </row>
    <row r="3512" spans="1:1" x14ac:dyDescent="0.3">
      <c r="A3512" s="1"/>
    </row>
    <row r="3513" spans="1:1" x14ac:dyDescent="0.3">
      <c r="A3513" s="1"/>
    </row>
    <row r="3514" spans="1:1" x14ac:dyDescent="0.3">
      <c r="A3514" s="1"/>
    </row>
    <row r="3515" spans="1:1" x14ac:dyDescent="0.3">
      <c r="A3515" s="1"/>
    </row>
    <row r="3517" spans="1:1" x14ac:dyDescent="0.3">
      <c r="A3517" s="1"/>
    </row>
    <row r="3518" spans="1:1" x14ac:dyDescent="0.3">
      <c r="A3518" s="1"/>
    </row>
    <row r="3519" spans="1:1" x14ac:dyDescent="0.3">
      <c r="A3519" s="1"/>
    </row>
    <row r="3520" spans="1:1" x14ac:dyDescent="0.3">
      <c r="A3520" s="1"/>
    </row>
    <row r="3521" spans="1:1" x14ac:dyDescent="0.3">
      <c r="A3521" s="1"/>
    </row>
    <row r="3522" spans="1:1" x14ac:dyDescent="0.3">
      <c r="A3522" s="1"/>
    </row>
    <row r="3523" spans="1:1" x14ac:dyDescent="0.3">
      <c r="A3523" s="1"/>
    </row>
    <row r="3524" spans="1:1" x14ac:dyDescent="0.3">
      <c r="A3524" s="1"/>
    </row>
    <row r="3525" spans="1:1" x14ac:dyDescent="0.3">
      <c r="A3525" s="1"/>
    </row>
    <row r="3526" spans="1:1" x14ac:dyDescent="0.3">
      <c r="A3526" s="1"/>
    </row>
    <row r="3527" spans="1:1" x14ac:dyDescent="0.3">
      <c r="A3527" s="1"/>
    </row>
    <row r="3528" spans="1:1" x14ac:dyDescent="0.3">
      <c r="A3528" s="1"/>
    </row>
    <row r="3529" spans="1:1" x14ac:dyDescent="0.3">
      <c r="A3529" s="1"/>
    </row>
    <row r="3530" spans="1:1" x14ac:dyDescent="0.3">
      <c r="A3530" s="1"/>
    </row>
    <row r="3531" spans="1:1" x14ac:dyDescent="0.3">
      <c r="A3531" s="1"/>
    </row>
    <row r="3532" spans="1:1" x14ac:dyDescent="0.3">
      <c r="A3532" s="1"/>
    </row>
    <row r="3533" spans="1:1" x14ac:dyDescent="0.3">
      <c r="A3533" s="1"/>
    </row>
    <row r="3534" spans="1:1" x14ac:dyDescent="0.3">
      <c r="A3534" s="1"/>
    </row>
    <row r="3535" spans="1:1" x14ac:dyDescent="0.3">
      <c r="A3535" s="1"/>
    </row>
    <row r="3536" spans="1:1" x14ac:dyDescent="0.3">
      <c r="A3536" s="1"/>
    </row>
    <row r="3537" spans="1:1" x14ac:dyDescent="0.3">
      <c r="A3537" s="1"/>
    </row>
    <row r="3538" spans="1:1" x14ac:dyDescent="0.3">
      <c r="A3538" s="1"/>
    </row>
    <row r="3539" spans="1:1" x14ac:dyDescent="0.3">
      <c r="A3539" s="1"/>
    </row>
    <row r="3540" spans="1:1" x14ac:dyDescent="0.3">
      <c r="A3540" s="1"/>
    </row>
    <row r="3541" spans="1:1" x14ac:dyDescent="0.3">
      <c r="A3541" s="1"/>
    </row>
    <row r="3542" spans="1:1" x14ac:dyDescent="0.3">
      <c r="A3542" s="1"/>
    </row>
    <row r="3543" spans="1:1" x14ac:dyDescent="0.3">
      <c r="A3543" s="1"/>
    </row>
    <row r="3544" spans="1:1" x14ac:dyDescent="0.3">
      <c r="A3544" s="1"/>
    </row>
    <row r="3545" spans="1:1" x14ac:dyDescent="0.3">
      <c r="A3545" s="1"/>
    </row>
    <row r="3546" spans="1:1" x14ac:dyDescent="0.3">
      <c r="A3546" s="1"/>
    </row>
    <row r="3547" spans="1:1" x14ac:dyDescent="0.3">
      <c r="A3547" s="1"/>
    </row>
    <row r="3548" spans="1:1" x14ac:dyDescent="0.3">
      <c r="A3548" s="1"/>
    </row>
    <row r="3549" spans="1:1" x14ac:dyDescent="0.3">
      <c r="A3549" s="1"/>
    </row>
    <row r="3550" spans="1:1" x14ac:dyDescent="0.3">
      <c r="A3550" s="1"/>
    </row>
    <row r="3551" spans="1:1" x14ac:dyDescent="0.3">
      <c r="A3551" s="1"/>
    </row>
    <row r="3552" spans="1:1" x14ac:dyDescent="0.3">
      <c r="A3552" s="1"/>
    </row>
    <row r="3553" spans="1:1" x14ac:dyDescent="0.3">
      <c r="A3553" s="1"/>
    </row>
    <row r="3554" spans="1:1" x14ac:dyDescent="0.3">
      <c r="A3554" s="1"/>
    </row>
    <row r="3555" spans="1:1" x14ac:dyDescent="0.3">
      <c r="A3555" s="1"/>
    </row>
    <row r="3556" spans="1:1" x14ac:dyDescent="0.3">
      <c r="A3556" s="1"/>
    </row>
    <row r="3557" spans="1:1" x14ac:dyDescent="0.3">
      <c r="A3557" s="1"/>
    </row>
    <row r="3558" spans="1:1" x14ac:dyDescent="0.3">
      <c r="A3558" s="1"/>
    </row>
    <row r="3559" spans="1:1" x14ac:dyDescent="0.3">
      <c r="A3559" s="1"/>
    </row>
    <row r="3560" spans="1:1" x14ac:dyDescent="0.3">
      <c r="A3560" s="1"/>
    </row>
    <row r="3561" spans="1:1" x14ac:dyDescent="0.3">
      <c r="A3561" s="1"/>
    </row>
    <row r="3562" spans="1:1" x14ac:dyDescent="0.3">
      <c r="A3562" s="1"/>
    </row>
    <row r="3563" spans="1:1" x14ac:dyDescent="0.3">
      <c r="A3563" s="1"/>
    </row>
    <row r="3564" spans="1:1" x14ac:dyDescent="0.3">
      <c r="A3564" s="1"/>
    </row>
    <row r="3565" spans="1:1" x14ac:dyDescent="0.3">
      <c r="A3565" s="1"/>
    </row>
    <row r="3566" spans="1:1" x14ac:dyDescent="0.3">
      <c r="A3566" s="1"/>
    </row>
    <row r="3567" spans="1:1" x14ac:dyDescent="0.3">
      <c r="A3567" s="1"/>
    </row>
    <row r="3568" spans="1:1" x14ac:dyDescent="0.3">
      <c r="A3568" s="1"/>
    </row>
    <row r="3569" spans="1:1" x14ac:dyDescent="0.3">
      <c r="A3569" s="1"/>
    </row>
    <row r="3570" spans="1:1" x14ac:dyDescent="0.3">
      <c r="A3570" s="1"/>
    </row>
    <row r="3571" spans="1:1" x14ac:dyDescent="0.3">
      <c r="A3571" s="1"/>
    </row>
    <row r="3572" spans="1:1" x14ac:dyDescent="0.3">
      <c r="A3572" s="1"/>
    </row>
    <row r="3573" spans="1:1" x14ac:dyDescent="0.3">
      <c r="A3573" s="1"/>
    </row>
    <row r="3574" spans="1:1" x14ac:dyDescent="0.3">
      <c r="A3574" s="1"/>
    </row>
    <row r="3575" spans="1:1" x14ac:dyDescent="0.3">
      <c r="A3575" s="1"/>
    </row>
    <row r="3576" spans="1:1" x14ac:dyDescent="0.3">
      <c r="A3576" s="1"/>
    </row>
    <row r="3577" spans="1:1" x14ac:dyDescent="0.3">
      <c r="A3577" s="1"/>
    </row>
    <row r="3578" spans="1:1" x14ac:dyDescent="0.3">
      <c r="A3578" s="1"/>
    </row>
    <row r="3579" spans="1:1" x14ac:dyDescent="0.3">
      <c r="A3579" s="1"/>
    </row>
    <row r="3580" spans="1:1" x14ac:dyDescent="0.3">
      <c r="A3580" s="1"/>
    </row>
    <row r="3581" spans="1:1" x14ac:dyDescent="0.3">
      <c r="A3581" s="1"/>
    </row>
    <row r="3582" spans="1:1" x14ac:dyDescent="0.3">
      <c r="A3582" s="1"/>
    </row>
    <row r="3583" spans="1:1" x14ac:dyDescent="0.3">
      <c r="A3583" s="1"/>
    </row>
    <row r="3584" spans="1:1" x14ac:dyDescent="0.3">
      <c r="A3584" s="1"/>
    </row>
    <row r="3585" spans="1:1" x14ac:dyDescent="0.3">
      <c r="A3585" s="1"/>
    </row>
    <row r="3586" spans="1:1" x14ac:dyDescent="0.3">
      <c r="A3586" s="1"/>
    </row>
    <row r="3587" spans="1:1" x14ac:dyDescent="0.3">
      <c r="A3587" s="1"/>
    </row>
    <row r="3588" spans="1:1" x14ac:dyDescent="0.3">
      <c r="A3588" s="1"/>
    </row>
    <row r="3589" spans="1:1" x14ac:dyDescent="0.3">
      <c r="A3589" s="1"/>
    </row>
    <row r="3590" spans="1:1" x14ac:dyDescent="0.3">
      <c r="A3590" s="1"/>
    </row>
    <row r="3591" spans="1:1" x14ac:dyDescent="0.3">
      <c r="A3591" s="1"/>
    </row>
    <row r="3592" spans="1:1" x14ac:dyDescent="0.3">
      <c r="A3592" s="1"/>
    </row>
    <row r="3593" spans="1:1" x14ac:dyDescent="0.3">
      <c r="A3593" s="1"/>
    </row>
    <row r="3594" spans="1:1" x14ac:dyDescent="0.3">
      <c r="A3594" s="1"/>
    </row>
    <row r="3595" spans="1:1" x14ac:dyDescent="0.3">
      <c r="A3595" s="1"/>
    </row>
    <row r="3596" spans="1:1" x14ac:dyDescent="0.3">
      <c r="A3596" s="1"/>
    </row>
    <row r="3597" spans="1:1" x14ac:dyDescent="0.3">
      <c r="A3597" s="1"/>
    </row>
    <row r="3598" spans="1:1" x14ac:dyDescent="0.3">
      <c r="A3598" s="1"/>
    </row>
    <row r="3599" spans="1:1" x14ac:dyDescent="0.3">
      <c r="A3599" s="1"/>
    </row>
    <row r="3600" spans="1:1" x14ac:dyDescent="0.3">
      <c r="A3600" s="1"/>
    </row>
    <row r="3601" spans="1:1" x14ac:dyDescent="0.3">
      <c r="A3601" s="1"/>
    </row>
    <row r="3602" spans="1:1" x14ac:dyDescent="0.3">
      <c r="A3602" s="1"/>
    </row>
    <row r="3603" spans="1:1" x14ac:dyDescent="0.3">
      <c r="A3603" s="1"/>
    </row>
    <row r="3604" spans="1:1" x14ac:dyDescent="0.3">
      <c r="A3604" s="1"/>
    </row>
    <row r="3605" spans="1:1" x14ac:dyDescent="0.3">
      <c r="A3605" s="1"/>
    </row>
    <row r="3606" spans="1:1" x14ac:dyDescent="0.3">
      <c r="A3606" s="1"/>
    </row>
    <row r="3607" spans="1:1" x14ac:dyDescent="0.3">
      <c r="A3607" s="1"/>
    </row>
    <row r="3608" spans="1:1" x14ac:dyDescent="0.3">
      <c r="A3608" s="1"/>
    </row>
    <row r="3609" spans="1:1" x14ac:dyDescent="0.3">
      <c r="A3609" s="1"/>
    </row>
    <row r="3610" spans="1:1" x14ac:dyDescent="0.3">
      <c r="A3610" s="1"/>
    </row>
    <row r="3611" spans="1:1" x14ac:dyDescent="0.3">
      <c r="A3611" s="1"/>
    </row>
    <row r="3612" spans="1:1" x14ac:dyDescent="0.3">
      <c r="A3612" s="1"/>
    </row>
    <row r="3613" spans="1:1" x14ac:dyDescent="0.3">
      <c r="A3613" s="1"/>
    </row>
    <row r="3614" spans="1:1" x14ac:dyDescent="0.3">
      <c r="A3614" s="1"/>
    </row>
    <row r="3615" spans="1:1" x14ac:dyDescent="0.3">
      <c r="A3615" s="1"/>
    </row>
    <row r="3616" spans="1:1" x14ac:dyDescent="0.3">
      <c r="A3616" s="1"/>
    </row>
    <row r="3617" spans="1:1" x14ac:dyDescent="0.3">
      <c r="A3617" s="1"/>
    </row>
    <row r="3618" spans="1:1" x14ac:dyDescent="0.3">
      <c r="A3618" s="1"/>
    </row>
    <row r="3619" spans="1:1" x14ac:dyDescent="0.3">
      <c r="A3619" s="1"/>
    </row>
    <row r="3620" spans="1:1" x14ac:dyDescent="0.3">
      <c r="A3620" s="1"/>
    </row>
    <row r="3621" spans="1:1" x14ac:dyDescent="0.3">
      <c r="A3621" s="1"/>
    </row>
    <row r="3622" spans="1:1" x14ac:dyDescent="0.3">
      <c r="A3622" s="1"/>
    </row>
    <row r="3623" spans="1:1" x14ac:dyDescent="0.3">
      <c r="A3623" s="1"/>
    </row>
    <row r="3624" spans="1:1" x14ac:dyDescent="0.3">
      <c r="A3624" s="1"/>
    </row>
    <row r="3625" spans="1:1" x14ac:dyDescent="0.3">
      <c r="A3625" s="1"/>
    </row>
    <row r="3626" spans="1:1" x14ac:dyDescent="0.3">
      <c r="A3626" s="1"/>
    </row>
    <row r="3627" spans="1:1" x14ac:dyDescent="0.3">
      <c r="A3627" s="1"/>
    </row>
    <row r="3628" spans="1:1" x14ac:dyDescent="0.3">
      <c r="A3628" s="1"/>
    </row>
    <row r="3629" spans="1:1" x14ac:dyDescent="0.3">
      <c r="A3629" s="1"/>
    </row>
    <row r="3630" spans="1:1" x14ac:dyDescent="0.3">
      <c r="A3630" s="1"/>
    </row>
    <row r="3631" spans="1:1" x14ac:dyDescent="0.3">
      <c r="A3631" s="1"/>
    </row>
    <row r="3632" spans="1:1" x14ac:dyDescent="0.3">
      <c r="A3632" s="1"/>
    </row>
    <row r="3633" spans="1:1" x14ac:dyDescent="0.3">
      <c r="A3633" s="1"/>
    </row>
    <row r="3634" spans="1:1" x14ac:dyDescent="0.3">
      <c r="A3634" s="1"/>
    </row>
    <row r="3635" spans="1:1" x14ac:dyDescent="0.3">
      <c r="A3635" s="1"/>
    </row>
    <row r="3636" spans="1:1" x14ac:dyDescent="0.3">
      <c r="A3636" s="1"/>
    </row>
    <row r="3637" spans="1:1" x14ac:dyDescent="0.3">
      <c r="A3637" s="1"/>
    </row>
    <row r="3638" spans="1:1" x14ac:dyDescent="0.3">
      <c r="A3638" s="1"/>
    </row>
    <row r="3639" spans="1:1" x14ac:dyDescent="0.3">
      <c r="A3639" s="1"/>
    </row>
    <row r="3640" spans="1:1" x14ac:dyDescent="0.3">
      <c r="A3640" s="1"/>
    </row>
    <row r="3641" spans="1:1" x14ac:dyDescent="0.3">
      <c r="A3641" s="1"/>
    </row>
    <row r="3642" spans="1:1" x14ac:dyDescent="0.3">
      <c r="A3642" s="1"/>
    </row>
    <row r="3643" spans="1:1" x14ac:dyDescent="0.3">
      <c r="A3643" s="1"/>
    </row>
    <row r="3644" spans="1:1" x14ac:dyDescent="0.3">
      <c r="A3644" s="1"/>
    </row>
    <row r="3645" spans="1:1" x14ac:dyDescent="0.3">
      <c r="A3645" s="1"/>
    </row>
    <row r="3646" spans="1:1" x14ac:dyDescent="0.3">
      <c r="A3646" s="1"/>
    </row>
    <row r="3647" spans="1:1" x14ac:dyDescent="0.3">
      <c r="A3647" s="1"/>
    </row>
    <row r="3648" spans="1:1" x14ac:dyDescent="0.3">
      <c r="A3648" s="1"/>
    </row>
    <row r="3649" spans="1:1" x14ac:dyDescent="0.3">
      <c r="A3649" s="1"/>
    </row>
    <row r="3650" spans="1:1" x14ac:dyDescent="0.3">
      <c r="A3650" s="1"/>
    </row>
    <row r="3651" spans="1:1" x14ac:dyDescent="0.3">
      <c r="A3651" s="1"/>
    </row>
    <row r="3652" spans="1:1" x14ac:dyDescent="0.3">
      <c r="A3652" s="1"/>
    </row>
    <row r="3653" spans="1:1" x14ac:dyDescent="0.3">
      <c r="A3653" s="1"/>
    </row>
    <row r="3654" spans="1:1" x14ac:dyDescent="0.3">
      <c r="A3654" s="1"/>
    </row>
    <row r="3655" spans="1:1" x14ac:dyDescent="0.3">
      <c r="A3655" s="1"/>
    </row>
    <row r="3656" spans="1:1" x14ac:dyDescent="0.3">
      <c r="A3656" s="1"/>
    </row>
    <row r="3657" spans="1:1" x14ac:dyDescent="0.3">
      <c r="A3657" s="1"/>
    </row>
    <row r="3658" spans="1:1" x14ac:dyDescent="0.3">
      <c r="A3658" s="1"/>
    </row>
    <row r="3659" spans="1:1" x14ac:dyDescent="0.3">
      <c r="A3659" s="1"/>
    </row>
    <row r="3660" spans="1:1" x14ac:dyDescent="0.3">
      <c r="A3660" s="1"/>
    </row>
    <row r="3661" spans="1:1" x14ac:dyDescent="0.3">
      <c r="A3661" s="1"/>
    </row>
    <row r="3662" spans="1:1" x14ac:dyDescent="0.3">
      <c r="A3662" s="1"/>
    </row>
    <row r="3663" spans="1:1" x14ac:dyDescent="0.3">
      <c r="A3663" s="1"/>
    </row>
    <row r="3664" spans="1:1" x14ac:dyDescent="0.3">
      <c r="A3664" s="1"/>
    </row>
    <row r="3665" spans="1:1" x14ac:dyDescent="0.3">
      <c r="A3665" s="1"/>
    </row>
    <row r="3666" spans="1:1" x14ac:dyDescent="0.3">
      <c r="A3666" s="1"/>
    </row>
    <row r="3667" spans="1:1" x14ac:dyDescent="0.3">
      <c r="A3667" s="1"/>
    </row>
    <row r="3668" spans="1:1" x14ac:dyDescent="0.3">
      <c r="A3668" s="1"/>
    </row>
    <row r="3669" spans="1:1" x14ac:dyDescent="0.3">
      <c r="A3669" s="1"/>
    </row>
    <row r="3670" spans="1:1" x14ac:dyDescent="0.3">
      <c r="A3670" s="1"/>
    </row>
    <row r="3671" spans="1:1" x14ac:dyDescent="0.3">
      <c r="A3671" s="1"/>
    </row>
    <row r="3672" spans="1:1" x14ac:dyDescent="0.3">
      <c r="A3672" s="1"/>
    </row>
    <row r="3673" spans="1:1" x14ac:dyDescent="0.3">
      <c r="A3673" s="1"/>
    </row>
    <row r="3674" spans="1:1" x14ac:dyDescent="0.3">
      <c r="A3674" s="1"/>
    </row>
    <row r="3675" spans="1:1" x14ac:dyDescent="0.3">
      <c r="A3675" s="1"/>
    </row>
    <row r="3676" spans="1:1" x14ac:dyDescent="0.3">
      <c r="A3676" s="1"/>
    </row>
    <row r="3677" spans="1:1" x14ac:dyDescent="0.3">
      <c r="A3677" s="1"/>
    </row>
    <row r="3678" spans="1:1" x14ac:dyDescent="0.3">
      <c r="A3678" s="1"/>
    </row>
    <row r="3679" spans="1:1" x14ac:dyDescent="0.3">
      <c r="A3679" s="1"/>
    </row>
    <row r="3680" spans="1:1" x14ac:dyDescent="0.3">
      <c r="A3680" s="1"/>
    </row>
    <row r="3681" spans="1:1" x14ac:dyDescent="0.3">
      <c r="A3681" s="1"/>
    </row>
    <row r="3682" spans="1:1" x14ac:dyDescent="0.3">
      <c r="A3682" s="1"/>
    </row>
    <row r="3683" spans="1:1" x14ac:dyDescent="0.3">
      <c r="A3683" s="1"/>
    </row>
    <row r="3684" spans="1:1" x14ac:dyDescent="0.3">
      <c r="A3684" s="1"/>
    </row>
    <row r="3685" spans="1:1" x14ac:dyDescent="0.3">
      <c r="A3685" s="1"/>
    </row>
    <row r="3686" spans="1:1" x14ac:dyDescent="0.3">
      <c r="A3686" s="1"/>
    </row>
    <row r="3687" spans="1:1" x14ac:dyDescent="0.3">
      <c r="A3687" s="1"/>
    </row>
    <row r="3688" spans="1:1" x14ac:dyDescent="0.3">
      <c r="A3688" s="1"/>
    </row>
    <row r="3689" spans="1:1" x14ac:dyDescent="0.3">
      <c r="A3689" s="1"/>
    </row>
    <row r="3690" spans="1:1" x14ac:dyDescent="0.3">
      <c r="A3690" s="1"/>
    </row>
    <row r="3691" spans="1:1" x14ac:dyDescent="0.3">
      <c r="A3691" s="1"/>
    </row>
    <row r="3692" spans="1:1" x14ac:dyDescent="0.3">
      <c r="A3692" s="1"/>
    </row>
    <row r="3693" spans="1:1" x14ac:dyDescent="0.3">
      <c r="A3693" s="1"/>
    </row>
    <row r="3694" spans="1:1" x14ac:dyDescent="0.3">
      <c r="A3694" s="1"/>
    </row>
    <row r="3695" spans="1:1" x14ac:dyDescent="0.3">
      <c r="A3695" s="1"/>
    </row>
    <row r="3696" spans="1:1" x14ac:dyDescent="0.3">
      <c r="A3696" s="1"/>
    </row>
    <row r="3697" spans="1:1" x14ac:dyDescent="0.3">
      <c r="A3697" s="1"/>
    </row>
    <row r="3698" spans="1:1" x14ac:dyDescent="0.3">
      <c r="A3698" s="1"/>
    </row>
    <row r="3699" spans="1:1" x14ac:dyDescent="0.3">
      <c r="A3699" s="1"/>
    </row>
    <row r="3700" spans="1:1" x14ac:dyDescent="0.3">
      <c r="A3700" s="1"/>
    </row>
    <row r="3701" spans="1:1" x14ac:dyDescent="0.3">
      <c r="A3701" s="1"/>
    </row>
    <row r="3702" spans="1:1" x14ac:dyDescent="0.3">
      <c r="A3702" s="1"/>
    </row>
    <row r="3703" spans="1:1" x14ac:dyDescent="0.3">
      <c r="A3703" s="1"/>
    </row>
    <row r="3704" spans="1:1" x14ac:dyDescent="0.3">
      <c r="A3704" s="1"/>
    </row>
    <row r="3705" spans="1:1" x14ac:dyDescent="0.3">
      <c r="A3705" s="1"/>
    </row>
    <row r="3706" spans="1:1" x14ac:dyDescent="0.3">
      <c r="A3706" s="1"/>
    </row>
    <row r="3707" spans="1:1" x14ac:dyDescent="0.3">
      <c r="A3707" s="1"/>
    </row>
    <row r="3708" spans="1:1" x14ac:dyDescent="0.3">
      <c r="A3708" s="1"/>
    </row>
    <row r="3709" spans="1:1" x14ac:dyDescent="0.3">
      <c r="A3709" s="1"/>
    </row>
    <row r="3710" spans="1:1" x14ac:dyDescent="0.3">
      <c r="A3710" s="1"/>
    </row>
    <row r="3711" spans="1:1" x14ac:dyDescent="0.3">
      <c r="A3711" s="1"/>
    </row>
    <row r="3712" spans="1:1" x14ac:dyDescent="0.3">
      <c r="A3712" s="1"/>
    </row>
    <row r="3713" spans="1:1" x14ac:dyDescent="0.3">
      <c r="A3713" s="1"/>
    </row>
    <row r="3714" spans="1:1" x14ac:dyDescent="0.3">
      <c r="A3714" s="1"/>
    </row>
    <row r="3715" spans="1:1" x14ac:dyDescent="0.3">
      <c r="A3715" s="1"/>
    </row>
    <row r="3716" spans="1:1" x14ac:dyDescent="0.3">
      <c r="A3716" s="1"/>
    </row>
    <row r="3717" spans="1:1" x14ac:dyDescent="0.3">
      <c r="A3717" s="1"/>
    </row>
    <row r="3718" spans="1:1" x14ac:dyDescent="0.3">
      <c r="A3718" s="1"/>
    </row>
    <row r="3719" spans="1:1" x14ac:dyDescent="0.3">
      <c r="A3719" s="1"/>
    </row>
    <row r="3720" spans="1:1" x14ac:dyDescent="0.3">
      <c r="A3720" s="1"/>
    </row>
    <row r="3721" spans="1:1" x14ac:dyDescent="0.3">
      <c r="A3721" s="1"/>
    </row>
    <row r="3722" spans="1:1" x14ac:dyDescent="0.3">
      <c r="A3722" s="1"/>
    </row>
    <row r="3723" spans="1:1" x14ac:dyDescent="0.3">
      <c r="A3723" s="1"/>
    </row>
    <row r="3724" spans="1:1" x14ac:dyDescent="0.3">
      <c r="A3724" s="1"/>
    </row>
    <row r="3725" spans="1:1" x14ac:dyDescent="0.3">
      <c r="A3725" s="1"/>
    </row>
    <row r="3726" spans="1:1" x14ac:dyDescent="0.3">
      <c r="A3726" s="1"/>
    </row>
    <row r="3727" spans="1:1" x14ac:dyDescent="0.3">
      <c r="A3727" s="1"/>
    </row>
    <row r="3728" spans="1:1" x14ac:dyDescent="0.3">
      <c r="A3728" s="1"/>
    </row>
    <row r="3729" spans="1:1" x14ac:dyDescent="0.3">
      <c r="A3729" s="1"/>
    </row>
    <row r="3730" spans="1:1" x14ac:dyDescent="0.3">
      <c r="A3730" s="1"/>
    </row>
    <row r="3731" spans="1:1" x14ac:dyDescent="0.3">
      <c r="A3731" s="1"/>
    </row>
    <row r="3732" spans="1:1" x14ac:dyDescent="0.3">
      <c r="A3732" s="1"/>
    </row>
    <row r="3733" spans="1:1" x14ac:dyDescent="0.3">
      <c r="A3733" s="1"/>
    </row>
    <row r="3734" spans="1:1" x14ac:dyDescent="0.3">
      <c r="A3734" s="1"/>
    </row>
    <row r="3735" spans="1:1" x14ac:dyDescent="0.3">
      <c r="A3735" s="1"/>
    </row>
    <row r="3736" spans="1:1" x14ac:dyDescent="0.3">
      <c r="A3736" s="1"/>
    </row>
    <row r="3737" spans="1:1" x14ac:dyDescent="0.3">
      <c r="A3737" s="1"/>
    </row>
    <row r="3738" spans="1:1" x14ac:dyDescent="0.3">
      <c r="A3738" s="1"/>
    </row>
    <row r="3739" spans="1:1" x14ac:dyDescent="0.3">
      <c r="A3739" s="1"/>
    </row>
    <row r="3740" spans="1:1" x14ac:dyDescent="0.3">
      <c r="A3740" s="1"/>
    </row>
    <row r="3741" spans="1:1" x14ac:dyDescent="0.3">
      <c r="A3741" s="1"/>
    </row>
    <row r="3742" spans="1:1" x14ac:dyDescent="0.3">
      <c r="A3742" s="1"/>
    </row>
    <row r="3743" spans="1:1" x14ac:dyDescent="0.3">
      <c r="A3743" s="1"/>
    </row>
    <row r="3744" spans="1:1" x14ac:dyDescent="0.3">
      <c r="A3744" s="1"/>
    </row>
    <row r="3745" spans="1:1" x14ac:dyDescent="0.3">
      <c r="A3745" s="1"/>
    </row>
    <row r="3746" spans="1:1" x14ac:dyDescent="0.3">
      <c r="A3746" s="1"/>
    </row>
    <row r="3747" spans="1:1" x14ac:dyDescent="0.3">
      <c r="A3747" s="1"/>
    </row>
    <row r="3748" spans="1:1" x14ac:dyDescent="0.3">
      <c r="A3748" s="1"/>
    </row>
    <row r="3749" spans="1:1" x14ac:dyDescent="0.3">
      <c r="A3749" s="1"/>
    </row>
    <row r="3750" spans="1:1" x14ac:dyDescent="0.3">
      <c r="A3750" s="1"/>
    </row>
    <row r="3751" spans="1:1" x14ac:dyDescent="0.3">
      <c r="A3751" s="1"/>
    </row>
    <row r="3752" spans="1:1" x14ac:dyDescent="0.3">
      <c r="A3752" s="1"/>
    </row>
    <row r="3753" spans="1:1" x14ac:dyDescent="0.3">
      <c r="A3753" s="1"/>
    </row>
    <row r="3754" spans="1:1" x14ac:dyDescent="0.3">
      <c r="A3754" s="1"/>
    </row>
    <row r="3755" spans="1:1" x14ac:dyDescent="0.3">
      <c r="A3755" s="1"/>
    </row>
    <row r="3756" spans="1:1" x14ac:dyDescent="0.3">
      <c r="A3756" s="1"/>
    </row>
    <row r="3757" spans="1:1" x14ac:dyDescent="0.3">
      <c r="A3757" s="1"/>
    </row>
    <row r="3758" spans="1:1" x14ac:dyDescent="0.3">
      <c r="A3758" s="1"/>
    </row>
    <row r="3759" spans="1:1" x14ac:dyDescent="0.3">
      <c r="A3759" s="1"/>
    </row>
    <row r="3760" spans="1:1" x14ac:dyDescent="0.3">
      <c r="A3760" s="1"/>
    </row>
    <row r="3761" spans="1:1" x14ac:dyDescent="0.3">
      <c r="A3761" s="1"/>
    </row>
    <row r="3762" spans="1:1" x14ac:dyDescent="0.3">
      <c r="A3762" s="1"/>
    </row>
    <row r="3763" spans="1:1" x14ac:dyDescent="0.3">
      <c r="A3763" s="1"/>
    </row>
    <row r="3764" spans="1:1" x14ac:dyDescent="0.3">
      <c r="A3764" s="1"/>
    </row>
    <row r="3765" spans="1:1" x14ac:dyDescent="0.3">
      <c r="A3765" s="1"/>
    </row>
    <row r="3766" spans="1:1" x14ac:dyDescent="0.3">
      <c r="A3766" s="1"/>
    </row>
    <row r="3767" spans="1:1" x14ac:dyDescent="0.3">
      <c r="A3767" s="1"/>
    </row>
    <row r="3768" spans="1:1" x14ac:dyDescent="0.3">
      <c r="A3768" s="1"/>
    </row>
    <row r="3769" spans="1:1" x14ac:dyDescent="0.3">
      <c r="A3769" s="1"/>
    </row>
    <row r="3770" spans="1:1" x14ac:dyDescent="0.3">
      <c r="A3770" s="1"/>
    </row>
    <row r="3771" spans="1:1" x14ac:dyDescent="0.3">
      <c r="A3771" s="1"/>
    </row>
    <row r="3772" spans="1:1" x14ac:dyDescent="0.3">
      <c r="A3772" s="1"/>
    </row>
    <row r="3773" spans="1:1" x14ac:dyDescent="0.3">
      <c r="A3773" s="1"/>
    </row>
    <row r="3774" spans="1:1" x14ac:dyDescent="0.3">
      <c r="A3774" s="1"/>
    </row>
    <row r="3775" spans="1:1" x14ac:dyDescent="0.3">
      <c r="A3775" s="1"/>
    </row>
    <row r="3776" spans="1:1" x14ac:dyDescent="0.3">
      <c r="A3776" s="1"/>
    </row>
    <row r="3777" spans="1:1" x14ac:dyDescent="0.3">
      <c r="A3777" s="1"/>
    </row>
    <row r="3778" spans="1:1" x14ac:dyDescent="0.3">
      <c r="A3778" s="1"/>
    </row>
    <row r="3779" spans="1:1" x14ac:dyDescent="0.3">
      <c r="A3779" s="1"/>
    </row>
    <row r="3780" spans="1:1" x14ac:dyDescent="0.3">
      <c r="A3780" s="1"/>
    </row>
    <row r="3781" spans="1:1" x14ac:dyDescent="0.3">
      <c r="A3781" s="1"/>
    </row>
    <row r="3782" spans="1:1" x14ac:dyDescent="0.3">
      <c r="A3782" s="1"/>
    </row>
    <row r="3783" spans="1:1" x14ac:dyDescent="0.3">
      <c r="A3783" s="1"/>
    </row>
    <row r="3784" spans="1:1" x14ac:dyDescent="0.3">
      <c r="A3784" s="1"/>
    </row>
    <row r="3785" spans="1:1" x14ac:dyDescent="0.3">
      <c r="A3785" s="1"/>
    </row>
    <row r="3786" spans="1:1" x14ac:dyDescent="0.3">
      <c r="A3786" s="1"/>
    </row>
    <row r="3787" spans="1:1" x14ac:dyDescent="0.3">
      <c r="A3787" s="1"/>
    </row>
    <row r="3788" spans="1:1" x14ac:dyDescent="0.3">
      <c r="A3788" s="1"/>
    </row>
    <row r="3789" spans="1:1" x14ac:dyDescent="0.3">
      <c r="A3789" s="1"/>
    </row>
    <row r="3790" spans="1:1" x14ac:dyDescent="0.3">
      <c r="A3790" s="1"/>
    </row>
    <row r="3791" spans="1:1" x14ac:dyDescent="0.3">
      <c r="A3791" s="1"/>
    </row>
    <row r="3792" spans="1:1" x14ac:dyDescent="0.3">
      <c r="A3792" s="1"/>
    </row>
    <row r="3793" spans="1:1" x14ac:dyDescent="0.3">
      <c r="A3793" s="1"/>
    </row>
    <row r="3794" spans="1:1" x14ac:dyDescent="0.3">
      <c r="A3794" s="1"/>
    </row>
    <row r="3795" spans="1:1" x14ac:dyDescent="0.3">
      <c r="A3795" s="1"/>
    </row>
    <row r="3796" spans="1:1" x14ac:dyDescent="0.3">
      <c r="A3796" s="1"/>
    </row>
    <row r="3797" spans="1:1" x14ac:dyDescent="0.3">
      <c r="A3797" s="1"/>
    </row>
    <row r="3798" spans="1:1" x14ac:dyDescent="0.3">
      <c r="A3798" s="1"/>
    </row>
    <row r="3799" spans="1:1" x14ac:dyDescent="0.3">
      <c r="A3799" s="1"/>
    </row>
    <row r="3800" spans="1:1" x14ac:dyDescent="0.3">
      <c r="A3800" s="1"/>
    </row>
    <row r="3801" spans="1:1" x14ac:dyDescent="0.3">
      <c r="A3801" s="1"/>
    </row>
    <row r="3802" spans="1:1" x14ac:dyDescent="0.3">
      <c r="A3802" s="1"/>
    </row>
    <row r="3803" spans="1:1" x14ac:dyDescent="0.3">
      <c r="A3803" s="1"/>
    </row>
    <row r="3804" spans="1:1" x14ac:dyDescent="0.3">
      <c r="A3804" s="1"/>
    </row>
    <row r="3805" spans="1:1" x14ac:dyDescent="0.3">
      <c r="A3805" s="1"/>
    </row>
    <row r="3806" spans="1:1" x14ac:dyDescent="0.3">
      <c r="A3806" s="1"/>
    </row>
    <row r="3807" spans="1:1" x14ac:dyDescent="0.3">
      <c r="A3807" s="1"/>
    </row>
    <row r="3808" spans="1:1" x14ac:dyDescent="0.3">
      <c r="A3808" s="1"/>
    </row>
    <row r="3809" spans="1:1" x14ac:dyDescent="0.3">
      <c r="A3809" s="1"/>
    </row>
    <row r="3810" spans="1:1" x14ac:dyDescent="0.3">
      <c r="A3810" s="1"/>
    </row>
    <row r="3811" spans="1:1" x14ac:dyDescent="0.3">
      <c r="A3811" s="1"/>
    </row>
    <row r="3812" spans="1:1" x14ac:dyDescent="0.3">
      <c r="A3812" s="1"/>
    </row>
    <row r="3813" spans="1:1" x14ac:dyDescent="0.3">
      <c r="A3813" s="1"/>
    </row>
    <row r="3814" spans="1:1" x14ac:dyDescent="0.3">
      <c r="A3814" s="1"/>
    </row>
    <row r="3815" spans="1:1" x14ac:dyDescent="0.3">
      <c r="A3815" s="1"/>
    </row>
    <row r="3816" spans="1:1" x14ac:dyDescent="0.3">
      <c r="A3816" s="1"/>
    </row>
    <row r="3817" spans="1:1" x14ac:dyDescent="0.3">
      <c r="A3817" s="1"/>
    </row>
    <row r="3818" spans="1:1" x14ac:dyDescent="0.3">
      <c r="A3818" s="1"/>
    </row>
    <row r="3819" spans="1:1" x14ac:dyDescent="0.3">
      <c r="A3819" s="1"/>
    </row>
    <row r="3820" spans="1:1" x14ac:dyDescent="0.3">
      <c r="A3820" s="1"/>
    </row>
    <row r="3821" spans="1:1" x14ac:dyDescent="0.3">
      <c r="A3821" s="1"/>
    </row>
    <row r="3822" spans="1:1" x14ac:dyDescent="0.3">
      <c r="A3822" s="1"/>
    </row>
    <row r="3823" spans="1:1" x14ac:dyDescent="0.3">
      <c r="A3823" s="1"/>
    </row>
    <row r="3824" spans="1:1" x14ac:dyDescent="0.3">
      <c r="A3824" s="1"/>
    </row>
    <row r="3825" spans="1:1" x14ac:dyDescent="0.3">
      <c r="A3825" s="1"/>
    </row>
    <row r="3826" spans="1:1" x14ac:dyDescent="0.3">
      <c r="A3826" s="1"/>
    </row>
    <row r="3827" spans="1:1" x14ac:dyDescent="0.3">
      <c r="A3827" s="1"/>
    </row>
    <row r="3828" spans="1:1" x14ac:dyDescent="0.3">
      <c r="A3828" s="1"/>
    </row>
    <row r="3829" spans="1:1" x14ac:dyDescent="0.3">
      <c r="A3829" s="1"/>
    </row>
    <row r="3830" spans="1:1" x14ac:dyDescent="0.3">
      <c r="A3830" s="1"/>
    </row>
    <row r="3831" spans="1:1" x14ac:dyDescent="0.3">
      <c r="A3831" s="1"/>
    </row>
    <row r="3832" spans="1:1" x14ac:dyDescent="0.3">
      <c r="A3832" s="1"/>
    </row>
    <row r="3833" spans="1:1" x14ac:dyDescent="0.3">
      <c r="A3833" s="1"/>
    </row>
    <row r="3834" spans="1:1" x14ac:dyDescent="0.3">
      <c r="A3834" s="1"/>
    </row>
    <row r="3835" spans="1:1" x14ac:dyDescent="0.3">
      <c r="A3835" s="1"/>
    </row>
    <row r="3836" spans="1:1" x14ac:dyDescent="0.3">
      <c r="A3836" s="1"/>
    </row>
    <row r="3837" spans="1:1" x14ac:dyDescent="0.3">
      <c r="A3837" s="1"/>
    </row>
    <row r="3838" spans="1:1" x14ac:dyDescent="0.3">
      <c r="A3838" s="1"/>
    </row>
    <row r="3839" spans="1:1" x14ac:dyDescent="0.3">
      <c r="A3839" s="1"/>
    </row>
    <row r="3840" spans="1:1" x14ac:dyDescent="0.3">
      <c r="A3840" s="1"/>
    </row>
    <row r="3841" spans="1:1" x14ac:dyDescent="0.3">
      <c r="A3841" s="1"/>
    </row>
    <row r="3842" spans="1:1" x14ac:dyDescent="0.3">
      <c r="A3842" s="1"/>
    </row>
    <row r="3843" spans="1:1" x14ac:dyDescent="0.3">
      <c r="A3843" s="1"/>
    </row>
    <row r="3844" spans="1:1" x14ac:dyDescent="0.3">
      <c r="A3844" s="1"/>
    </row>
    <row r="3845" spans="1:1" x14ac:dyDescent="0.3">
      <c r="A3845" s="1"/>
    </row>
    <row r="3846" spans="1:1" x14ac:dyDescent="0.3">
      <c r="A3846" s="1"/>
    </row>
    <row r="3847" spans="1:1" x14ac:dyDescent="0.3">
      <c r="A3847" s="1"/>
    </row>
    <row r="3848" spans="1:1" x14ac:dyDescent="0.3">
      <c r="A3848" s="1"/>
    </row>
    <row r="3849" spans="1:1" x14ac:dyDescent="0.3">
      <c r="A3849" s="1"/>
    </row>
    <row r="3850" spans="1:1" x14ac:dyDescent="0.3">
      <c r="A3850" s="1"/>
    </row>
    <row r="3851" spans="1:1" x14ac:dyDescent="0.3">
      <c r="A3851" s="1"/>
    </row>
    <row r="3852" spans="1:1" x14ac:dyDescent="0.3">
      <c r="A3852" s="1"/>
    </row>
    <row r="3853" spans="1:1" x14ac:dyDescent="0.3">
      <c r="A3853" s="1"/>
    </row>
    <row r="3854" spans="1:1" x14ac:dyDescent="0.3">
      <c r="A3854" s="1"/>
    </row>
    <row r="3855" spans="1:1" x14ac:dyDescent="0.3">
      <c r="A3855" s="1"/>
    </row>
    <row r="3856" spans="1:1" x14ac:dyDescent="0.3">
      <c r="A3856" s="1"/>
    </row>
    <row r="3857" spans="1:1" x14ac:dyDescent="0.3">
      <c r="A3857" s="1"/>
    </row>
    <row r="3858" spans="1:1" x14ac:dyDescent="0.3">
      <c r="A3858" s="1"/>
    </row>
    <row r="3859" spans="1:1" x14ac:dyDescent="0.3">
      <c r="A3859" s="1"/>
    </row>
    <row r="3860" spans="1:1" x14ac:dyDescent="0.3">
      <c r="A3860" s="1"/>
    </row>
    <row r="3861" spans="1:1" x14ac:dyDescent="0.3">
      <c r="A3861" s="1"/>
    </row>
    <row r="3862" spans="1:1" x14ac:dyDescent="0.3">
      <c r="A3862" s="1"/>
    </row>
    <row r="3863" spans="1:1" x14ac:dyDescent="0.3">
      <c r="A3863" s="1"/>
    </row>
    <row r="3864" spans="1:1" x14ac:dyDescent="0.3">
      <c r="A3864" s="1"/>
    </row>
    <row r="3865" spans="1:1" x14ac:dyDescent="0.3">
      <c r="A3865" s="1"/>
    </row>
    <row r="3866" spans="1:1" x14ac:dyDescent="0.3">
      <c r="A3866" s="1"/>
    </row>
    <row r="3867" spans="1:1" x14ac:dyDescent="0.3">
      <c r="A3867" s="1"/>
    </row>
    <row r="3868" spans="1:1" x14ac:dyDescent="0.3">
      <c r="A3868" s="1"/>
    </row>
    <row r="3869" spans="1:1" x14ac:dyDescent="0.3">
      <c r="A3869" s="1"/>
    </row>
    <row r="3870" spans="1:1" x14ac:dyDescent="0.3">
      <c r="A3870" s="1"/>
    </row>
    <row r="3871" spans="1:1" x14ac:dyDescent="0.3">
      <c r="A3871" s="1"/>
    </row>
    <row r="3872" spans="1:1" x14ac:dyDescent="0.3">
      <c r="A3872" s="1"/>
    </row>
    <row r="3873" spans="1:1" x14ac:dyDescent="0.3">
      <c r="A3873" s="1"/>
    </row>
    <row r="3874" spans="1:1" x14ac:dyDescent="0.3">
      <c r="A3874" s="1"/>
    </row>
    <row r="3875" spans="1:1" x14ac:dyDescent="0.3">
      <c r="A3875" s="1"/>
    </row>
    <row r="3876" spans="1:1" x14ac:dyDescent="0.3">
      <c r="A3876" s="1"/>
    </row>
    <row r="3877" spans="1:1" x14ac:dyDescent="0.3">
      <c r="A3877" s="1"/>
    </row>
    <row r="3878" spans="1:1" x14ac:dyDescent="0.3">
      <c r="A3878" s="1"/>
    </row>
    <row r="3879" spans="1:1" x14ac:dyDescent="0.3">
      <c r="A3879" s="1"/>
    </row>
    <row r="3880" spans="1:1" x14ac:dyDescent="0.3">
      <c r="A3880" s="1"/>
    </row>
    <row r="3881" spans="1:1" x14ac:dyDescent="0.3">
      <c r="A3881" s="1"/>
    </row>
    <row r="3882" spans="1:1" x14ac:dyDescent="0.3">
      <c r="A3882" s="1"/>
    </row>
    <row r="3883" spans="1:1" x14ac:dyDescent="0.3">
      <c r="A3883" s="1"/>
    </row>
    <row r="3884" spans="1:1" x14ac:dyDescent="0.3">
      <c r="A3884" s="1"/>
    </row>
    <row r="3885" spans="1:1" x14ac:dyDescent="0.3">
      <c r="A3885" s="1"/>
    </row>
    <row r="3886" spans="1:1" x14ac:dyDescent="0.3">
      <c r="A3886" s="1"/>
    </row>
    <row r="3887" spans="1:1" x14ac:dyDescent="0.3">
      <c r="A3887" s="1"/>
    </row>
    <row r="3888" spans="1:1" x14ac:dyDescent="0.3">
      <c r="A3888" s="1"/>
    </row>
    <row r="3889" spans="1:1" x14ac:dyDescent="0.3">
      <c r="A3889" s="1"/>
    </row>
    <row r="3890" spans="1:1" x14ac:dyDescent="0.3">
      <c r="A3890" s="1"/>
    </row>
    <row r="3891" spans="1:1" x14ac:dyDescent="0.3">
      <c r="A3891" s="1"/>
    </row>
    <row r="3892" spans="1:1" x14ac:dyDescent="0.3">
      <c r="A3892" s="1"/>
    </row>
    <row r="3893" spans="1:1" x14ac:dyDescent="0.3">
      <c r="A3893" s="1"/>
    </row>
    <row r="3894" spans="1:1" x14ac:dyDescent="0.3">
      <c r="A3894" s="1"/>
    </row>
    <row r="3895" spans="1:1" x14ac:dyDescent="0.3">
      <c r="A3895" s="1"/>
    </row>
    <row r="3896" spans="1:1" x14ac:dyDescent="0.3">
      <c r="A3896" s="1"/>
    </row>
    <row r="3897" spans="1:1" x14ac:dyDescent="0.3">
      <c r="A3897" s="1"/>
    </row>
    <row r="3898" spans="1:1" x14ac:dyDescent="0.3">
      <c r="A3898" s="1"/>
    </row>
    <row r="3899" spans="1:1" x14ac:dyDescent="0.3">
      <c r="A3899" s="1"/>
    </row>
    <row r="3900" spans="1:1" x14ac:dyDescent="0.3">
      <c r="A3900" s="1"/>
    </row>
    <row r="3901" spans="1:1" x14ac:dyDescent="0.3">
      <c r="A3901" s="1"/>
    </row>
    <row r="3902" spans="1:1" x14ac:dyDescent="0.3">
      <c r="A3902" s="1"/>
    </row>
    <row r="3903" spans="1:1" x14ac:dyDescent="0.3">
      <c r="A3903" s="1"/>
    </row>
    <row r="3904" spans="1:1" x14ac:dyDescent="0.3">
      <c r="A3904" s="1"/>
    </row>
    <row r="3905" spans="1:1" x14ac:dyDescent="0.3">
      <c r="A3905" s="1"/>
    </row>
    <row r="3906" spans="1:1" x14ac:dyDescent="0.3">
      <c r="A3906" s="1"/>
    </row>
    <row r="3907" spans="1:1" x14ac:dyDescent="0.3">
      <c r="A3907" s="1"/>
    </row>
    <row r="3908" spans="1:1" x14ac:dyDescent="0.3">
      <c r="A3908" s="1"/>
    </row>
    <row r="3909" spans="1:1" x14ac:dyDescent="0.3">
      <c r="A3909" s="1"/>
    </row>
    <row r="3910" spans="1:1" x14ac:dyDescent="0.3">
      <c r="A3910" s="1"/>
    </row>
    <row r="3911" spans="1:1" x14ac:dyDescent="0.3">
      <c r="A3911" s="1"/>
    </row>
    <row r="3912" spans="1:1" x14ac:dyDescent="0.3">
      <c r="A3912" s="1"/>
    </row>
    <row r="3913" spans="1:1" x14ac:dyDescent="0.3">
      <c r="A3913" s="1"/>
    </row>
    <row r="3914" spans="1:1" x14ac:dyDescent="0.3">
      <c r="A3914" s="1"/>
    </row>
    <row r="3915" spans="1:1" x14ac:dyDescent="0.3">
      <c r="A3915" s="1"/>
    </row>
    <row r="3916" spans="1:1" x14ac:dyDescent="0.3">
      <c r="A3916" s="1"/>
    </row>
    <row r="3917" spans="1:1" x14ac:dyDescent="0.3">
      <c r="A3917" s="1"/>
    </row>
    <row r="3918" spans="1:1" x14ac:dyDescent="0.3">
      <c r="A3918" s="1"/>
    </row>
    <row r="3919" spans="1:1" x14ac:dyDescent="0.3">
      <c r="A3919" s="1"/>
    </row>
    <row r="3920" spans="1:1" x14ac:dyDescent="0.3">
      <c r="A3920" s="1"/>
    </row>
    <row r="3921" spans="1:1" x14ac:dyDescent="0.3">
      <c r="A3921" s="1"/>
    </row>
    <row r="3922" spans="1:1" x14ac:dyDescent="0.3">
      <c r="A3922" s="1"/>
    </row>
    <row r="3923" spans="1:1" x14ac:dyDescent="0.3">
      <c r="A3923" s="1"/>
    </row>
    <row r="3924" spans="1:1" x14ac:dyDescent="0.3">
      <c r="A3924" s="1"/>
    </row>
    <row r="3925" spans="1:1" x14ac:dyDescent="0.3">
      <c r="A3925" s="1"/>
    </row>
    <row r="3926" spans="1:1" x14ac:dyDescent="0.3">
      <c r="A3926" s="1"/>
    </row>
    <row r="3927" spans="1:1" x14ac:dyDescent="0.3">
      <c r="A3927" s="1"/>
    </row>
    <row r="3928" spans="1:1" x14ac:dyDescent="0.3">
      <c r="A3928" s="1"/>
    </row>
    <row r="3929" spans="1:1" x14ac:dyDescent="0.3">
      <c r="A3929" s="1"/>
    </row>
    <row r="3930" spans="1:1" x14ac:dyDescent="0.3">
      <c r="A3930" s="1"/>
    </row>
    <row r="3931" spans="1:1" x14ac:dyDescent="0.3">
      <c r="A3931" s="1"/>
    </row>
    <row r="3932" spans="1:1" x14ac:dyDescent="0.3">
      <c r="A3932" s="1"/>
    </row>
    <row r="3933" spans="1:1" x14ac:dyDescent="0.3">
      <c r="A3933" s="1"/>
    </row>
    <row r="3934" spans="1:1" x14ac:dyDescent="0.3">
      <c r="A3934" s="1"/>
    </row>
    <row r="3935" spans="1:1" x14ac:dyDescent="0.3">
      <c r="A3935" s="1"/>
    </row>
    <row r="3936" spans="1:1" x14ac:dyDescent="0.3">
      <c r="A3936" s="1"/>
    </row>
    <row r="3937" spans="1:1" x14ac:dyDescent="0.3">
      <c r="A3937" s="1"/>
    </row>
    <row r="3938" spans="1:1" x14ac:dyDescent="0.3">
      <c r="A3938" s="1"/>
    </row>
    <row r="3939" spans="1:1" x14ac:dyDescent="0.3">
      <c r="A3939" s="1"/>
    </row>
    <row r="3940" spans="1:1" x14ac:dyDescent="0.3">
      <c r="A3940" s="1"/>
    </row>
    <row r="3941" spans="1:1" x14ac:dyDescent="0.3">
      <c r="A3941" s="1"/>
    </row>
    <row r="3942" spans="1:1" x14ac:dyDescent="0.3">
      <c r="A3942" s="1"/>
    </row>
    <row r="3943" spans="1:1" x14ac:dyDescent="0.3">
      <c r="A3943" s="1"/>
    </row>
    <row r="3944" spans="1:1" x14ac:dyDescent="0.3">
      <c r="A3944" s="1"/>
    </row>
    <row r="3945" spans="1:1" x14ac:dyDescent="0.3">
      <c r="A3945" s="1"/>
    </row>
    <row r="3946" spans="1:1" x14ac:dyDescent="0.3">
      <c r="A3946" s="1"/>
    </row>
    <row r="3947" spans="1:1" x14ac:dyDescent="0.3">
      <c r="A3947" s="1"/>
    </row>
    <row r="3948" spans="1:1" x14ac:dyDescent="0.3">
      <c r="A3948" s="1"/>
    </row>
    <row r="3949" spans="1:1" x14ac:dyDescent="0.3">
      <c r="A3949" s="1"/>
    </row>
    <row r="3950" spans="1:1" x14ac:dyDescent="0.3">
      <c r="A3950" s="1"/>
    </row>
    <row r="3951" spans="1:1" x14ac:dyDescent="0.3">
      <c r="A3951" s="1"/>
    </row>
    <row r="3952" spans="1:1" x14ac:dyDescent="0.3">
      <c r="A3952" s="1"/>
    </row>
    <row r="3953" spans="1:1" x14ac:dyDescent="0.3">
      <c r="A3953" s="1"/>
    </row>
    <row r="3954" spans="1:1" x14ac:dyDescent="0.3">
      <c r="A3954" s="1"/>
    </row>
    <row r="3955" spans="1:1" x14ac:dyDescent="0.3">
      <c r="A3955" s="1"/>
    </row>
    <row r="3956" spans="1:1" x14ac:dyDescent="0.3">
      <c r="A3956" s="1"/>
    </row>
    <row r="3957" spans="1:1" x14ac:dyDescent="0.3">
      <c r="A3957" s="1"/>
    </row>
    <row r="3958" spans="1:1" x14ac:dyDescent="0.3">
      <c r="A3958" s="1"/>
    </row>
    <row r="3959" spans="1:1" x14ac:dyDescent="0.3">
      <c r="A3959" s="1"/>
    </row>
    <row r="3960" spans="1:1" x14ac:dyDescent="0.3">
      <c r="A3960" s="1"/>
    </row>
    <row r="3961" spans="1:1" x14ac:dyDescent="0.3">
      <c r="A3961" s="1"/>
    </row>
    <row r="3962" spans="1:1" x14ac:dyDescent="0.3">
      <c r="A3962" s="1"/>
    </row>
    <row r="3963" spans="1:1" x14ac:dyDescent="0.3">
      <c r="A3963" s="1"/>
    </row>
    <row r="3964" spans="1:1" x14ac:dyDescent="0.3">
      <c r="A3964" s="1"/>
    </row>
    <row r="3965" spans="1:1" x14ac:dyDescent="0.3">
      <c r="A3965" s="1"/>
    </row>
    <row r="3966" spans="1:1" x14ac:dyDescent="0.3">
      <c r="A3966" s="1"/>
    </row>
    <row r="3967" spans="1:1" x14ac:dyDescent="0.3">
      <c r="A3967" s="1"/>
    </row>
    <row r="3968" spans="1:1" x14ac:dyDescent="0.3">
      <c r="A3968" s="1"/>
    </row>
    <row r="3969" spans="1:1" x14ac:dyDescent="0.3">
      <c r="A3969" s="1"/>
    </row>
    <row r="3970" spans="1:1" x14ac:dyDescent="0.3">
      <c r="A3970" s="1"/>
    </row>
    <row r="3971" spans="1:1" x14ac:dyDescent="0.3">
      <c r="A3971" s="1"/>
    </row>
    <row r="3972" spans="1:1" x14ac:dyDescent="0.3">
      <c r="A3972" s="1"/>
    </row>
    <row r="3973" spans="1:1" x14ac:dyDescent="0.3">
      <c r="A3973" s="1"/>
    </row>
    <row r="3974" spans="1:1" x14ac:dyDescent="0.3">
      <c r="A3974" s="1"/>
    </row>
    <row r="3975" spans="1:1" x14ac:dyDescent="0.3">
      <c r="A3975" s="1"/>
    </row>
    <row r="3976" spans="1:1" x14ac:dyDescent="0.3">
      <c r="A3976" s="1"/>
    </row>
    <row r="3977" spans="1:1" x14ac:dyDescent="0.3">
      <c r="A3977" s="1"/>
    </row>
    <row r="3978" spans="1:1" x14ac:dyDescent="0.3">
      <c r="A3978" s="1"/>
    </row>
    <row r="3979" spans="1:1" x14ac:dyDescent="0.3">
      <c r="A3979" s="1"/>
    </row>
    <row r="3980" spans="1:1" x14ac:dyDescent="0.3">
      <c r="A3980" s="1"/>
    </row>
    <row r="3981" spans="1:1" x14ac:dyDescent="0.3">
      <c r="A3981" s="1"/>
    </row>
    <row r="3982" spans="1:1" x14ac:dyDescent="0.3">
      <c r="A3982" s="1"/>
    </row>
    <row r="3983" spans="1:1" x14ac:dyDescent="0.3">
      <c r="A3983" s="1"/>
    </row>
    <row r="3984" spans="1:1" x14ac:dyDescent="0.3">
      <c r="A3984" s="1"/>
    </row>
    <row r="3985" spans="1:1" x14ac:dyDescent="0.3">
      <c r="A3985" s="1"/>
    </row>
    <row r="3986" spans="1:1" x14ac:dyDescent="0.3">
      <c r="A3986" s="1"/>
    </row>
    <row r="3987" spans="1:1" x14ac:dyDescent="0.3">
      <c r="A3987" s="1"/>
    </row>
    <row r="3988" spans="1:1" x14ac:dyDescent="0.3">
      <c r="A3988" s="1"/>
    </row>
    <row r="3989" spans="1:1" x14ac:dyDescent="0.3">
      <c r="A3989" s="1"/>
    </row>
    <row r="3990" spans="1:1" x14ac:dyDescent="0.3">
      <c r="A3990" s="1"/>
    </row>
    <row r="3991" spans="1:1" x14ac:dyDescent="0.3">
      <c r="A3991" s="1"/>
    </row>
    <row r="3992" spans="1:1" x14ac:dyDescent="0.3">
      <c r="A3992" s="1"/>
    </row>
    <row r="3993" spans="1:1" x14ac:dyDescent="0.3">
      <c r="A3993" s="1"/>
    </row>
    <row r="3994" spans="1:1" x14ac:dyDescent="0.3">
      <c r="A3994" s="1"/>
    </row>
    <row r="3995" spans="1:1" x14ac:dyDescent="0.3">
      <c r="A3995" s="1"/>
    </row>
    <row r="3996" spans="1:1" x14ac:dyDescent="0.3">
      <c r="A3996" s="1"/>
    </row>
    <row r="3997" spans="1:1" x14ac:dyDescent="0.3">
      <c r="A3997" s="1"/>
    </row>
    <row r="3998" spans="1:1" x14ac:dyDescent="0.3">
      <c r="A3998" s="1"/>
    </row>
    <row r="3999" spans="1:1" x14ac:dyDescent="0.3">
      <c r="A3999" s="1"/>
    </row>
    <row r="4000" spans="1:1" x14ac:dyDescent="0.3">
      <c r="A4000" s="1"/>
    </row>
    <row r="4001" spans="1:1" x14ac:dyDescent="0.3">
      <c r="A4001" s="1"/>
    </row>
    <row r="4002" spans="1:1" x14ac:dyDescent="0.3">
      <c r="A4002" s="1"/>
    </row>
    <row r="4003" spans="1:1" x14ac:dyDescent="0.3">
      <c r="A4003" s="1"/>
    </row>
    <row r="4004" spans="1:1" x14ac:dyDescent="0.3">
      <c r="A4004" s="1"/>
    </row>
    <row r="4005" spans="1:1" x14ac:dyDescent="0.3">
      <c r="A4005" s="1"/>
    </row>
    <row r="4006" spans="1:1" x14ac:dyDescent="0.3">
      <c r="A4006" s="1"/>
    </row>
    <row r="4007" spans="1:1" x14ac:dyDescent="0.3">
      <c r="A4007" s="1"/>
    </row>
    <row r="4008" spans="1:1" x14ac:dyDescent="0.3">
      <c r="A4008" s="1"/>
    </row>
    <row r="4009" spans="1:1" x14ac:dyDescent="0.3">
      <c r="A4009" s="1"/>
    </row>
    <row r="4010" spans="1:1" x14ac:dyDescent="0.3">
      <c r="A4010" s="1"/>
    </row>
    <row r="4011" spans="1:1" x14ac:dyDescent="0.3">
      <c r="A4011" s="1"/>
    </row>
    <row r="4012" spans="1:1" x14ac:dyDescent="0.3">
      <c r="A4012" s="1"/>
    </row>
    <row r="4013" spans="1:1" x14ac:dyDescent="0.3">
      <c r="A4013" s="1"/>
    </row>
    <row r="4014" spans="1:1" x14ac:dyDescent="0.3">
      <c r="A4014" s="1"/>
    </row>
    <row r="4015" spans="1:1" x14ac:dyDescent="0.3">
      <c r="A4015" s="1"/>
    </row>
    <row r="4016" spans="1:1" x14ac:dyDescent="0.3">
      <c r="A4016" s="1"/>
    </row>
    <row r="4017" spans="1:1" x14ac:dyDescent="0.3">
      <c r="A4017" s="1"/>
    </row>
    <row r="4018" spans="1:1" x14ac:dyDescent="0.3">
      <c r="A4018" s="1"/>
    </row>
    <row r="4019" spans="1:1" x14ac:dyDescent="0.3">
      <c r="A4019" s="1"/>
    </row>
    <row r="4020" spans="1:1" x14ac:dyDescent="0.3">
      <c r="A4020" s="1"/>
    </row>
    <row r="4021" spans="1:1" x14ac:dyDescent="0.3">
      <c r="A4021" s="1"/>
    </row>
    <row r="4022" spans="1:1" x14ac:dyDescent="0.3">
      <c r="A4022" s="1"/>
    </row>
    <row r="4023" spans="1:1" x14ac:dyDescent="0.3">
      <c r="A4023" s="1"/>
    </row>
    <row r="4024" spans="1:1" x14ac:dyDescent="0.3">
      <c r="A4024" s="1"/>
    </row>
    <row r="4025" spans="1:1" x14ac:dyDescent="0.3">
      <c r="A4025" s="1"/>
    </row>
    <row r="4026" spans="1:1" x14ac:dyDescent="0.3">
      <c r="A4026" s="1"/>
    </row>
    <row r="4027" spans="1:1" x14ac:dyDescent="0.3">
      <c r="A4027" s="1"/>
    </row>
    <row r="4028" spans="1:1" x14ac:dyDescent="0.3">
      <c r="A4028" s="1"/>
    </row>
    <row r="4029" spans="1:1" x14ac:dyDescent="0.3">
      <c r="A4029" s="1"/>
    </row>
    <row r="4030" spans="1:1" x14ac:dyDescent="0.3">
      <c r="A4030" s="1"/>
    </row>
    <row r="4031" spans="1:1" x14ac:dyDescent="0.3">
      <c r="A4031" s="1"/>
    </row>
    <row r="4032" spans="1:1" x14ac:dyDescent="0.3">
      <c r="A4032" s="1"/>
    </row>
    <row r="4033" spans="1:1" x14ac:dyDescent="0.3">
      <c r="A4033" s="1"/>
    </row>
    <row r="4034" spans="1:1" x14ac:dyDescent="0.3">
      <c r="A4034" s="1"/>
    </row>
    <row r="4035" spans="1:1" x14ac:dyDescent="0.3">
      <c r="A4035" s="1"/>
    </row>
    <row r="4036" spans="1:1" x14ac:dyDescent="0.3">
      <c r="A4036" s="1"/>
    </row>
    <row r="4037" spans="1:1" x14ac:dyDescent="0.3">
      <c r="A4037" s="1"/>
    </row>
    <row r="4038" spans="1:1" x14ac:dyDescent="0.3">
      <c r="A4038" s="1"/>
    </row>
    <row r="4039" spans="1:1" x14ac:dyDescent="0.3">
      <c r="A4039" s="1"/>
    </row>
    <row r="4040" spans="1:1" x14ac:dyDescent="0.3">
      <c r="A4040" s="1"/>
    </row>
    <row r="4041" spans="1:1" x14ac:dyDescent="0.3">
      <c r="A4041" s="1"/>
    </row>
    <row r="4042" spans="1:1" x14ac:dyDescent="0.3">
      <c r="A4042" s="1"/>
    </row>
    <row r="4043" spans="1:1" x14ac:dyDescent="0.3">
      <c r="A4043" s="1"/>
    </row>
    <row r="4044" spans="1:1" x14ac:dyDescent="0.3">
      <c r="A4044" s="1"/>
    </row>
    <row r="4045" spans="1:1" x14ac:dyDescent="0.3">
      <c r="A4045" s="1"/>
    </row>
    <row r="4046" spans="1:1" x14ac:dyDescent="0.3">
      <c r="A4046" s="1"/>
    </row>
    <row r="4047" spans="1:1" x14ac:dyDescent="0.3">
      <c r="A4047" s="1"/>
    </row>
    <row r="4048" spans="1:1" x14ac:dyDescent="0.3">
      <c r="A4048" s="1"/>
    </row>
    <row r="4049" spans="1:1" x14ac:dyDescent="0.3">
      <c r="A4049" s="1"/>
    </row>
    <row r="4050" spans="1:1" x14ac:dyDescent="0.3">
      <c r="A4050" s="1"/>
    </row>
    <row r="4051" spans="1:1" x14ac:dyDescent="0.3">
      <c r="A4051" s="1"/>
    </row>
    <row r="4052" spans="1:1" x14ac:dyDescent="0.3">
      <c r="A4052" s="1"/>
    </row>
    <row r="4053" spans="1:1" x14ac:dyDescent="0.3">
      <c r="A4053" s="1"/>
    </row>
    <row r="4054" spans="1:1" x14ac:dyDescent="0.3">
      <c r="A4054" s="1"/>
    </row>
    <row r="4055" spans="1:1" x14ac:dyDescent="0.3">
      <c r="A4055" s="1"/>
    </row>
    <row r="4056" spans="1:1" x14ac:dyDescent="0.3">
      <c r="A4056" s="1"/>
    </row>
    <row r="4057" spans="1:1" x14ac:dyDescent="0.3">
      <c r="A4057" s="1"/>
    </row>
    <row r="4058" spans="1:1" x14ac:dyDescent="0.3">
      <c r="A4058" s="1"/>
    </row>
    <row r="4059" spans="1:1" x14ac:dyDescent="0.3">
      <c r="A4059" s="1"/>
    </row>
    <row r="4060" spans="1:1" x14ac:dyDescent="0.3">
      <c r="A4060" s="1"/>
    </row>
    <row r="4061" spans="1:1" x14ac:dyDescent="0.3">
      <c r="A4061" s="1"/>
    </row>
    <row r="4062" spans="1:1" x14ac:dyDescent="0.3">
      <c r="A4062" s="1"/>
    </row>
    <row r="4063" spans="1:1" x14ac:dyDescent="0.3">
      <c r="A4063" s="1"/>
    </row>
    <row r="4064" spans="1:1" x14ac:dyDescent="0.3">
      <c r="A4064" s="1"/>
    </row>
    <row r="4065" spans="1:1" x14ac:dyDescent="0.3">
      <c r="A4065" s="1"/>
    </row>
    <row r="4066" spans="1:1" x14ac:dyDescent="0.3">
      <c r="A4066" s="1"/>
    </row>
    <row r="4067" spans="1:1" x14ac:dyDescent="0.3">
      <c r="A4067" s="1"/>
    </row>
    <row r="4068" spans="1:1" x14ac:dyDescent="0.3">
      <c r="A4068" s="1"/>
    </row>
    <row r="4069" spans="1:1" x14ac:dyDescent="0.3">
      <c r="A4069" s="1"/>
    </row>
    <row r="4070" spans="1:1" x14ac:dyDescent="0.3">
      <c r="A4070" s="1"/>
    </row>
    <row r="4071" spans="1:1" x14ac:dyDescent="0.3">
      <c r="A4071" s="1"/>
    </row>
    <row r="4072" spans="1:1" x14ac:dyDescent="0.3">
      <c r="A4072" s="1"/>
    </row>
    <row r="4073" spans="1:1" x14ac:dyDescent="0.3">
      <c r="A4073" s="1"/>
    </row>
    <row r="4074" spans="1:1" x14ac:dyDescent="0.3">
      <c r="A4074" s="1"/>
    </row>
    <row r="4075" spans="1:1" x14ac:dyDescent="0.3">
      <c r="A4075" s="1"/>
    </row>
    <row r="4076" spans="1:1" x14ac:dyDescent="0.3">
      <c r="A4076" s="1"/>
    </row>
    <row r="4077" spans="1:1" x14ac:dyDescent="0.3">
      <c r="A4077" s="1"/>
    </row>
    <row r="4078" spans="1:1" x14ac:dyDescent="0.3">
      <c r="A4078" s="1"/>
    </row>
    <row r="4079" spans="1:1" x14ac:dyDescent="0.3">
      <c r="A4079" s="1"/>
    </row>
    <row r="4080" spans="1:1" x14ac:dyDescent="0.3">
      <c r="A4080" s="1"/>
    </row>
    <row r="4081" spans="1:1" x14ac:dyDescent="0.3">
      <c r="A4081" s="1"/>
    </row>
    <row r="4082" spans="1:1" x14ac:dyDescent="0.3">
      <c r="A4082" s="1"/>
    </row>
    <row r="4083" spans="1:1" x14ac:dyDescent="0.3">
      <c r="A4083" s="1"/>
    </row>
    <row r="4084" spans="1:1" x14ac:dyDescent="0.3">
      <c r="A4084" s="1"/>
    </row>
    <row r="4085" spans="1:1" x14ac:dyDescent="0.3">
      <c r="A4085" s="1"/>
    </row>
    <row r="4086" spans="1:1" x14ac:dyDescent="0.3">
      <c r="A4086" s="1"/>
    </row>
    <row r="4087" spans="1:1" x14ac:dyDescent="0.3">
      <c r="A4087" s="1"/>
    </row>
    <row r="4088" spans="1:1" x14ac:dyDescent="0.3">
      <c r="A4088" s="1"/>
    </row>
    <row r="4089" spans="1:1" x14ac:dyDescent="0.3">
      <c r="A4089" s="1"/>
    </row>
    <row r="4090" spans="1:1" x14ac:dyDescent="0.3">
      <c r="A4090" s="1"/>
    </row>
    <row r="4091" spans="1:1" x14ac:dyDescent="0.3">
      <c r="A4091" s="1"/>
    </row>
    <row r="4092" spans="1:1" x14ac:dyDescent="0.3">
      <c r="A4092" s="1"/>
    </row>
    <row r="4093" spans="1:1" x14ac:dyDescent="0.3">
      <c r="A4093" s="1"/>
    </row>
    <row r="4094" spans="1:1" x14ac:dyDescent="0.3">
      <c r="A4094" s="1"/>
    </row>
    <row r="4095" spans="1:1" x14ac:dyDescent="0.3">
      <c r="A4095" s="1"/>
    </row>
    <row r="4096" spans="1:1" x14ac:dyDescent="0.3">
      <c r="A4096" s="1"/>
    </row>
    <row r="4097" spans="1:1" x14ac:dyDescent="0.3">
      <c r="A4097" s="1"/>
    </row>
    <row r="4098" spans="1:1" x14ac:dyDescent="0.3">
      <c r="A4098" s="1"/>
    </row>
    <row r="4099" spans="1:1" x14ac:dyDescent="0.3">
      <c r="A4099" s="1"/>
    </row>
    <row r="4100" spans="1:1" x14ac:dyDescent="0.3">
      <c r="A4100" s="1"/>
    </row>
    <row r="4101" spans="1:1" x14ac:dyDescent="0.3">
      <c r="A4101" s="1"/>
    </row>
    <row r="4102" spans="1:1" x14ac:dyDescent="0.3">
      <c r="A4102" s="1"/>
    </row>
    <row r="4103" spans="1:1" x14ac:dyDescent="0.3">
      <c r="A4103" s="1"/>
    </row>
    <row r="4104" spans="1:1" x14ac:dyDescent="0.3">
      <c r="A4104" s="1"/>
    </row>
    <row r="4105" spans="1:1" x14ac:dyDescent="0.3">
      <c r="A4105" s="1"/>
    </row>
    <row r="4106" spans="1:1" x14ac:dyDescent="0.3">
      <c r="A4106" s="1"/>
    </row>
    <row r="4107" spans="1:1" x14ac:dyDescent="0.3">
      <c r="A4107" s="1"/>
    </row>
    <row r="4108" spans="1:1" x14ac:dyDescent="0.3">
      <c r="A4108" s="1"/>
    </row>
    <row r="4109" spans="1:1" x14ac:dyDescent="0.3">
      <c r="A4109" s="1"/>
    </row>
    <row r="4110" spans="1:1" x14ac:dyDescent="0.3">
      <c r="A4110" s="1"/>
    </row>
    <row r="4111" spans="1:1" x14ac:dyDescent="0.3">
      <c r="A4111" s="1"/>
    </row>
    <row r="4112" spans="1:1" x14ac:dyDescent="0.3">
      <c r="A4112" s="1"/>
    </row>
    <row r="4113" spans="1:1" x14ac:dyDescent="0.3">
      <c r="A4113" s="1"/>
    </row>
    <row r="4114" spans="1:1" x14ac:dyDescent="0.3">
      <c r="A4114" s="1"/>
    </row>
    <row r="4115" spans="1:1" x14ac:dyDescent="0.3">
      <c r="A4115" s="1"/>
    </row>
    <row r="4116" spans="1:1" x14ac:dyDescent="0.3">
      <c r="A4116" s="1"/>
    </row>
    <row r="4117" spans="1:1" x14ac:dyDescent="0.3">
      <c r="A4117" s="1"/>
    </row>
    <row r="4118" spans="1:1" x14ac:dyDescent="0.3">
      <c r="A4118" s="1"/>
    </row>
    <row r="4119" spans="1:1" x14ac:dyDescent="0.3">
      <c r="A4119" s="1"/>
    </row>
    <row r="4120" spans="1:1" x14ac:dyDescent="0.3">
      <c r="A4120" s="1"/>
    </row>
    <row r="4121" spans="1:1" x14ac:dyDescent="0.3">
      <c r="A4121" s="1"/>
    </row>
    <row r="4122" spans="1:1" x14ac:dyDescent="0.3">
      <c r="A4122" s="1"/>
    </row>
    <row r="4123" spans="1:1" x14ac:dyDescent="0.3">
      <c r="A4123" s="1"/>
    </row>
    <row r="4124" spans="1:1" x14ac:dyDescent="0.3">
      <c r="A4124" s="1"/>
    </row>
    <row r="4125" spans="1:1" x14ac:dyDescent="0.3">
      <c r="A4125" s="1"/>
    </row>
    <row r="4126" spans="1:1" x14ac:dyDescent="0.3">
      <c r="A4126" s="1"/>
    </row>
    <row r="4127" spans="1:1" x14ac:dyDescent="0.3">
      <c r="A4127" s="1"/>
    </row>
    <row r="4128" spans="1:1" x14ac:dyDescent="0.3">
      <c r="A4128" s="1"/>
    </row>
    <row r="4129" spans="1:1" x14ac:dyDescent="0.3">
      <c r="A4129" s="1"/>
    </row>
    <row r="4130" spans="1:1" x14ac:dyDescent="0.3">
      <c r="A4130" s="1"/>
    </row>
    <row r="4131" spans="1:1" x14ac:dyDescent="0.3">
      <c r="A4131" s="1"/>
    </row>
    <row r="4132" spans="1:1" x14ac:dyDescent="0.3">
      <c r="A4132" s="1"/>
    </row>
    <row r="4133" spans="1:1" x14ac:dyDescent="0.3">
      <c r="A4133" s="1"/>
    </row>
    <row r="4134" spans="1:1" x14ac:dyDescent="0.3">
      <c r="A4134" s="1"/>
    </row>
    <row r="4135" spans="1:1" x14ac:dyDescent="0.3">
      <c r="A4135" s="1"/>
    </row>
    <row r="4136" spans="1:1" x14ac:dyDescent="0.3">
      <c r="A4136" s="1"/>
    </row>
    <row r="4137" spans="1:1" x14ac:dyDescent="0.3">
      <c r="A4137" s="1"/>
    </row>
    <row r="4138" spans="1:1" x14ac:dyDescent="0.3">
      <c r="A4138" s="1"/>
    </row>
    <row r="4139" spans="1:1" x14ac:dyDescent="0.3">
      <c r="A4139" s="1"/>
    </row>
    <row r="4140" spans="1:1" x14ac:dyDescent="0.3">
      <c r="A4140" s="1"/>
    </row>
    <row r="4141" spans="1:1" x14ac:dyDescent="0.3">
      <c r="A4141" s="1"/>
    </row>
    <row r="4142" spans="1:1" x14ac:dyDescent="0.3">
      <c r="A4142" s="1"/>
    </row>
    <row r="4143" spans="1:1" x14ac:dyDescent="0.3">
      <c r="A4143" s="1"/>
    </row>
    <row r="4144" spans="1:1" x14ac:dyDescent="0.3">
      <c r="A4144" s="1"/>
    </row>
    <row r="4145" spans="1:1" x14ac:dyDescent="0.3">
      <c r="A4145" s="1"/>
    </row>
    <row r="4146" spans="1:1" x14ac:dyDescent="0.3">
      <c r="A4146" s="1"/>
    </row>
    <row r="4147" spans="1:1" x14ac:dyDescent="0.3">
      <c r="A4147" s="1"/>
    </row>
    <row r="4148" spans="1:1" x14ac:dyDescent="0.3">
      <c r="A4148" s="1"/>
    </row>
    <row r="4149" spans="1:1" x14ac:dyDescent="0.3">
      <c r="A4149" s="1"/>
    </row>
    <row r="4150" spans="1:1" x14ac:dyDescent="0.3">
      <c r="A4150" s="1"/>
    </row>
    <row r="4151" spans="1:1" x14ac:dyDescent="0.3">
      <c r="A4151" s="1"/>
    </row>
    <row r="4152" spans="1:1" x14ac:dyDescent="0.3">
      <c r="A4152" s="1"/>
    </row>
    <row r="4153" spans="1:1" x14ac:dyDescent="0.3">
      <c r="A4153" s="1"/>
    </row>
    <row r="4154" spans="1:1" x14ac:dyDescent="0.3">
      <c r="A4154" s="1"/>
    </row>
    <row r="4155" spans="1:1" x14ac:dyDescent="0.3">
      <c r="A4155" s="1"/>
    </row>
    <row r="4156" spans="1:1" x14ac:dyDescent="0.3">
      <c r="A4156" s="1"/>
    </row>
    <row r="4157" spans="1:1" x14ac:dyDescent="0.3">
      <c r="A4157" s="1"/>
    </row>
    <row r="4158" spans="1:1" x14ac:dyDescent="0.3">
      <c r="A4158" s="1"/>
    </row>
    <row r="4159" spans="1:1" x14ac:dyDescent="0.3">
      <c r="A4159" s="1"/>
    </row>
    <row r="4160" spans="1:1" x14ac:dyDescent="0.3">
      <c r="A4160" s="1"/>
    </row>
    <row r="4161" spans="1:1" x14ac:dyDescent="0.3">
      <c r="A4161" s="1"/>
    </row>
    <row r="4162" spans="1:1" x14ac:dyDescent="0.3">
      <c r="A4162" s="1"/>
    </row>
    <row r="4163" spans="1:1" x14ac:dyDescent="0.3">
      <c r="A4163" s="1"/>
    </row>
    <row r="4164" spans="1:1" x14ac:dyDescent="0.3">
      <c r="A4164" s="1"/>
    </row>
    <row r="4165" spans="1:1" x14ac:dyDescent="0.3">
      <c r="A4165" s="1"/>
    </row>
    <row r="4166" spans="1:1" x14ac:dyDescent="0.3">
      <c r="A4166" s="1"/>
    </row>
    <row r="4167" spans="1:1" x14ac:dyDescent="0.3">
      <c r="A4167" s="1"/>
    </row>
    <row r="4168" spans="1:1" x14ac:dyDescent="0.3">
      <c r="A4168" s="1"/>
    </row>
    <row r="4169" spans="1:1" x14ac:dyDescent="0.3">
      <c r="A4169" s="1"/>
    </row>
    <row r="4170" spans="1:1" x14ac:dyDescent="0.3">
      <c r="A4170" s="1"/>
    </row>
    <row r="4171" spans="1:1" x14ac:dyDescent="0.3">
      <c r="A4171" s="1"/>
    </row>
    <row r="4172" spans="1:1" x14ac:dyDescent="0.3">
      <c r="A4172" s="1"/>
    </row>
    <row r="4173" spans="1:1" x14ac:dyDescent="0.3">
      <c r="A4173" s="1"/>
    </row>
    <row r="4174" spans="1:1" x14ac:dyDescent="0.3">
      <c r="A4174" s="1"/>
    </row>
    <row r="4175" spans="1:1" x14ac:dyDescent="0.3">
      <c r="A4175" s="1"/>
    </row>
    <row r="4176" spans="1:1" x14ac:dyDescent="0.3">
      <c r="A4176" s="1"/>
    </row>
    <row r="4177" spans="1:1" x14ac:dyDescent="0.3">
      <c r="A4177" s="1"/>
    </row>
    <row r="4178" spans="1:1" x14ac:dyDescent="0.3">
      <c r="A4178" s="1"/>
    </row>
    <row r="4179" spans="1:1" x14ac:dyDescent="0.3">
      <c r="A4179" s="1"/>
    </row>
    <row r="4180" spans="1:1" x14ac:dyDescent="0.3">
      <c r="A4180" s="1"/>
    </row>
    <row r="4181" spans="1:1" x14ac:dyDescent="0.3">
      <c r="A4181" s="1"/>
    </row>
    <row r="4182" spans="1:1" x14ac:dyDescent="0.3">
      <c r="A4182" s="1"/>
    </row>
    <row r="4183" spans="1:1" x14ac:dyDescent="0.3">
      <c r="A4183" s="1"/>
    </row>
    <row r="4184" spans="1:1" x14ac:dyDescent="0.3">
      <c r="A4184" s="1"/>
    </row>
    <row r="4185" spans="1:1" x14ac:dyDescent="0.3">
      <c r="A4185" s="1"/>
    </row>
    <row r="4186" spans="1:1" x14ac:dyDescent="0.3">
      <c r="A4186" s="1"/>
    </row>
    <row r="4187" spans="1:1" x14ac:dyDescent="0.3">
      <c r="A4187" s="1"/>
    </row>
    <row r="4188" spans="1:1" x14ac:dyDescent="0.3">
      <c r="A4188" s="1"/>
    </row>
    <row r="4189" spans="1:1" x14ac:dyDescent="0.3">
      <c r="A4189" s="1"/>
    </row>
    <row r="4190" spans="1:1" x14ac:dyDescent="0.3">
      <c r="A4190" s="1"/>
    </row>
    <row r="4191" spans="1:1" x14ac:dyDescent="0.3">
      <c r="A4191" s="1"/>
    </row>
    <row r="4192" spans="1:1" x14ac:dyDescent="0.3">
      <c r="A4192" s="1"/>
    </row>
    <row r="4193" spans="1:1" x14ac:dyDescent="0.3">
      <c r="A4193" s="1"/>
    </row>
    <row r="4194" spans="1:1" x14ac:dyDescent="0.3">
      <c r="A4194" s="1"/>
    </row>
    <row r="4195" spans="1:1" x14ac:dyDescent="0.3">
      <c r="A4195" s="1"/>
    </row>
    <row r="4196" spans="1:1" x14ac:dyDescent="0.3">
      <c r="A4196" s="1"/>
    </row>
    <row r="4197" spans="1:1" x14ac:dyDescent="0.3">
      <c r="A4197" s="1"/>
    </row>
    <row r="4198" spans="1:1" x14ac:dyDescent="0.3">
      <c r="A4198" s="1"/>
    </row>
    <row r="4199" spans="1:1" x14ac:dyDescent="0.3">
      <c r="A4199" s="1"/>
    </row>
    <row r="4200" spans="1:1" x14ac:dyDescent="0.3">
      <c r="A4200" s="1"/>
    </row>
    <row r="4201" spans="1:1" x14ac:dyDescent="0.3">
      <c r="A4201" s="1"/>
    </row>
    <row r="4202" spans="1:1" x14ac:dyDescent="0.3">
      <c r="A4202" s="1"/>
    </row>
    <row r="4203" spans="1:1" x14ac:dyDescent="0.3">
      <c r="A4203" s="1"/>
    </row>
    <row r="4204" spans="1:1" x14ac:dyDescent="0.3">
      <c r="A4204" s="1"/>
    </row>
    <row r="4205" spans="1:1" x14ac:dyDescent="0.3">
      <c r="A4205" s="1"/>
    </row>
    <row r="4206" spans="1:1" x14ac:dyDescent="0.3">
      <c r="A4206" s="1"/>
    </row>
    <row r="4207" spans="1:1" x14ac:dyDescent="0.3">
      <c r="A4207" s="1"/>
    </row>
    <row r="4208" spans="1:1" x14ac:dyDescent="0.3">
      <c r="A4208" s="1"/>
    </row>
    <row r="4209" spans="1:1" x14ac:dyDescent="0.3">
      <c r="A4209" s="1"/>
    </row>
    <row r="4210" spans="1:1" x14ac:dyDescent="0.3">
      <c r="A4210" s="1"/>
    </row>
    <row r="4211" spans="1:1" x14ac:dyDescent="0.3">
      <c r="A4211" s="1"/>
    </row>
    <row r="4212" spans="1:1" x14ac:dyDescent="0.3">
      <c r="A4212" s="1"/>
    </row>
    <row r="4213" spans="1:1" x14ac:dyDescent="0.3">
      <c r="A4213" s="1"/>
    </row>
    <row r="4214" spans="1:1" x14ac:dyDescent="0.3">
      <c r="A4214" s="1"/>
    </row>
    <row r="4215" spans="1:1" x14ac:dyDescent="0.3">
      <c r="A4215" s="1"/>
    </row>
    <row r="4216" spans="1:1" x14ac:dyDescent="0.3">
      <c r="A4216" s="1"/>
    </row>
    <row r="4217" spans="1:1" x14ac:dyDescent="0.3">
      <c r="A4217" s="1"/>
    </row>
    <row r="4218" spans="1:1" x14ac:dyDescent="0.3">
      <c r="A4218" s="1"/>
    </row>
    <row r="4219" spans="1:1" x14ac:dyDescent="0.3">
      <c r="A4219" s="1"/>
    </row>
    <row r="4220" spans="1:1" x14ac:dyDescent="0.3">
      <c r="A4220" s="1"/>
    </row>
    <row r="4221" spans="1:1" x14ac:dyDescent="0.3">
      <c r="A4221" s="1"/>
    </row>
    <row r="4222" spans="1:1" x14ac:dyDescent="0.3">
      <c r="A4222" s="1"/>
    </row>
    <row r="4223" spans="1:1" x14ac:dyDescent="0.3">
      <c r="A4223" s="1"/>
    </row>
    <row r="4224" spans="1:1" x14ac:dyDescent="0.3">
      <c r="A4224" s="1"/>
    </row>
    <row r="4225" spans="1:1" x14ac:dyDescent="0.3">
      <c r="A4225" s="1"/>
    </row>
    <row r="4226" spans="1:1" x14ac:dyDescent="0.3">
      <c r="A4226" s="1"/>
    </row>
    <row r="4227" spans="1:1" x14ac:dyDescent="0.3">
      <c r="A4227" s="1"/>
    </row>
    <row r="4228" spans="1:1" x14ac:dyDescent="0.3">
      <c r="A4228" s="1"/>
    </row>
    <row r="4229" spans="1:1" x14ac:dyDescent="0.3">
      <c r="A4229" s="1"/>
    </row>
    <row r="4230" spans="1:1" x14ac:dyDescent="0.3">
      <c r="A4230" s="1"/>
    </row>
    <row r="4231" spans="1:1" x14ac:dyDescent="0.3">
      <c r="A4231" s="1"/>
    </row>
    <row r="4232" spans="1:1" x14ac:dyDescent="0.3">
      <c r="A4232" s="1"/>
    </row>
    <row r="4233" spans="1:1" x14ac:dyDescent="0.3">
      <c r="A4233" s="1"/>
    </row>
    <row r="4234" spans="1:1" x14ac:dyDescent="0.3">
      <c r="A4234" s="1"/>
    </row>
    <row r="4235" spans="1:1" x14ac:dyDescent="0.3">
      <c r="A4235" s="1"/>
    </row>
    <row r="4236" spans="1:1" x14ac:dyDescent="0.3">
      <c r="A4236" s="1"/>
    </row>
    <row r="4237" spans="1:1" x14ac:dyDescent="0.3">
      <c r="A4237" s="1"/>
    </row>
    <row r="4238" spans="1:1" x14ac:dyDescent="0.3">
      <c r="A4238" s="1"/>
    </row>
    <row r="4239" spans="1:1" x14ac:dyDescent="0.3">
      <c r="A4239" s="1"/>
    </row>
    <row r="4240" spans="1:1" x14ac:dyDescent="0.3">
      <c r="A4240" s="1"/>
    </row>
    <row r="4241" spans="1:1" x14ac:dyDescent="0.3">
      <c r="A4241" s="1"/>
    </row>
    <row r="4242" spans="1:1" x14ac:dyDescent="0.3">
      <c r="A4242" s="1"/>
    </row>
    <row r="4243" spans="1:1" x14ac:dyDescent="0.3">
      <c r="A4243" s="1"/>
    </row>
    <row r="4244" spans="1:1" x14ac:dyDescent="0.3">
      <c r="A4244" s="1"/>
    </row>
    <row r="4245" spans="1:1" x14ac:dyDescent="0.3">
      <c r="A4245" s="1"/>
    </row>
    <row r="4246" spans="1:1" x14ac:dyDescent="0.3">
      <c r="A4246" s="1"/>
    </row>
    <row r="4247" spans="1:1" x14ac:dyDescent="0.3">
      <c r="A4247" s="1"/>
    </row>
    <row r="4248" spans="1:1" x14ac:dyDescent="0.3">
      <c r="A4248" s="1"/>
    </row>
    <row r="4249" spans="1:1" x14ac:dyDescent="0.3">
      <c r="A4249" s="1"/>
    </row>
    <row r="4250" spans="1:1" x14ac:dyDescent="0.3">
      <c r="A4250" s="1"/>
    </row>
    <row r="4251" spans="1:1" x14ac:dyDescent="0.3">
      <c r="A4251" s="1"/>
    </row>
    <row r="4252" spans="1:1" x14ac:dyDescent="0.3">
      <c r="A4252" s="1"/>
    </row>
    <row r="4253" spans="1:1" x14ac:dyDescent="0.3">
      <c r="A4253" s="1"/>
    </row>
    <row r="4254" spans="1:1" x14ac:dyDescent="0.3">
      <c r="A4254" s="1"/>
    </row>
    <row r="4255" spans="1:1" x14ac:dyDescent="0.3">
      <c r="A4255" s="1"/>
    </row>
    <row r="4256" spans="1:1" x14ac:dyDescent="0.3">
      <c r="A4256" s="1"/>
    </row>
    <row r="4257" spans="1:1" x14ac:dyDescent="0.3">
      <c r="A4257" s="1"/>
    </row>
    <row r="4258" spans="1:1" x14ac:dyDescent="0.3">
      <c r="A4258" s="1"/>
    </row>
    <row r="4259" spans="1:1" x14ac:dyDescent="0.3">
      <c r="A4259" s="1"/>
    </row>
    <row r="4260" spans="1:1" x14ac:dyDescent="0.3">
      <c r="A4260" s="1"/>
    </row>
    <row r="4261" spans="1:1" x14ac:dyDescent="0.3">
      <c r="A4261" s="1"/>
    </row>
    <row r="4262" spans="1:1" x14ac:dyDescent="0.3">
      <c r="A4262" s="1"/>
    </row>
    <row r="4263" spans="1:1" x14ac:dyDescent="0.3">
      <c r="A4263" s="1"/>
    </row>
    <row r="4264" spans="1:1" x14ac:dyDescent="0.3">
      <c r="A4264" s="1"/>
    </row>
    <row r="4265" spans="1:1" x14ac:dyDescent="0.3">
      <c r="A4265" s="1"/>
    </row>
    <row r="4266" spans="1:1" x14ac:dyDescent="0.3">
      <c r="A4266" s="1"/>
    </row>
    <row r="4267" spans="1:1" x14ac:dyDescent="0.3">
      <c r="A4267" s="1"/>
    </row>
    <row r="4268" spans="1:1" x14ac:dyDescent="0.3">
      <c r="A4268" s="1"/>
    </row>
    <row r="4269" spans="1:1" x14ac:dyDescent="0.3">
      <c r="A4269" s="1"/>
    </row>
    <row r="4270" spans="1:1" x14ac:dyDescent="0.3">
      <c r="A4270" s="1"/>
    </row>
    <row r="4271" spans="1:1" x14ac:dyDescent="0.3">
      <c r="A4271" s="1"/>
    </row>
    <row r="4272" spans="1:1" x14ac:dyDescent="0.3">
      <c r="A4272" s="1"/>
    </row>
    <row r="4273" spans="1:1" x14ac:dyDescent="0.3">
      <c r="A4273" s="1"/>
    </row>
    <row r="4274" spans="1:1" x14ac:dyDescent="0.3">
      <c r="A4274" s="1"/>
    </row>
    <row r="4275" spans="1:1" x14ac:dyDescent="0.3">
      <c r="A4275" s="1"/>
    </row>
    <row r="4277" spans="1:1" x14ac:dyDescent="0.3">
      <c r="A4277" s="1"/>
    </row>
    <row r="4278" spans="1:1" x14ac:dyDescent="0.3">
      <c r="A4278" s="1"/>
    </row>
    <row r="4279" spans="1:1" x14ac:dyDescent="0.3">
      <c r="A4279" s="1"/>
    </row>
    <row r="4280" spans="1:1" x14ac:dyDescent="0.3">
      <c r="A4280" s="1"/>
    </row>
    <row r="4281" spans="1:1" x14ac:dyDescent="0.3">
      <c r="A4281" s="1"/>
    </row>
    <row r="4282" spans="1:1" x14ac:dyDescent="0.3">
      <c r="A4282" s="1"/>
    </row>
    <row r="4283" spans="1:1" x14ac:dyDescent="0.3">
      <c r="A4283" s="1"/>
    </row>
    <row r="4284" spans="1:1" x14ac:dyDescent="0.3">
      <c r="A4284" s="1"/>
    </row>
    <row r="4285" spans="1:1" x14ac:dyDescent="0.3">
      <c r="A4285" s="1"/>
    </row>
    <row r="4286" spans="1:1" x14ac:dyDescent="0.3">
      <c r="A4286" s="1"/>
    </row>
    <row r="4287" spans="1:1" x14ac:dyDescent="0.3">
      <c r="A4287" s="1"/>
    </row>
    <row r="4288" spans="1:1" x14ac:dyDescent="0.3">
      <c r="A4288" s="1"/>
    </row>
    <row r="4289" spans="1:1" x14ac:dyDescent="0.3">
      <c r="A4289" s="1"/>
    </row>
    <row r="4290" spans="1:1" x14ac:dyDescent="0.3">
      <c r="A4290" s="1"/>
    </row>
    <row r="4291" spans="1:1" x14ac:dyDescent="0.3">
      <c r="A4291" s="1"/>
    </row>
    <row r="4292" spans="1:1" x14ac:dyDescent="0.3">
      <c r="A4292" s="1"/>
    </row>
    <row r="4293" spans="1:1" x14ac:dyDescent="0.3">
      <c r="A4293" s="1"/>
    </row>
    <row r="4294" spans="1:1" x14ac:dyDescent="0.3">
      <c r="A4294" s="1"/>
    </row>
    <row r="4295" spans="1:1" x14ac:dyDescent="0.3">
      <c r="A4295" s="1"/>
    </row>
    <row r="4296" spans="1:1" x14ac:dyDescent="0.3">
      <c r="A4296" s="1"/>
    </row>
    <row r="4297" spans="1:1" x14ac:dyDescent="0.3">
      <c r="A4297" s="1"/>
    </row>
    <row r="4298" spans="1:1" x14ac:dyDescent="0.3">
      <c r="A4298" s="1"/>
    </row>
    <row r="4299" spans="1:1" x14ac:dyDescent="0.3">
      <c r="A4299" s="1"/>
    </row>
    <row r="4300" spans="1:1" x14ac:dyDescent="0.3">
      <c r="A4300" s="1"/>
    </row>
    <row r="4301" spans="1:1" x14ac:dyDescent="0.3">
      <c r="A4301" s="1"/>
    </row>
    <row r="4302" spans="1:1" x14ac:dyDescent="0.3">
      <c r="A4302" s="1"/>
    </row>
    <row r="4303" spans="1:1" x14ac:dyDescent="0.3">
      <c r="A4303" s="1"/>
    </row>
    <row r="4304" spans="1:1" x14ac:dyDescent="0.3">
      <c r="A4304" s="1"/>
    </row>
    <row r="4305" spans="1:1" x14ac:dyDescent="0.3">
      <c r="A4305" s="1"/>
    </row>
    <row r="4306" spans="1:1" x14ac:dyDescent="0.3">
      <c r="A4306" s="1"/>
    </row>
    <row r="4307" spans="1:1" x14ac:dyDescent="0.3">
      <c r="A4307" s="1"/>
    </row>
    <row r="4308" spans="1:1" x14ac:dyDescent="0.3">
      <c r="A4308" s="1"/>
    </row>
    <row r="4309" spans="1:1" x14ac:dyDescent="0.3">
      <c r="A4309" s="1"/>
    </row>
    <row r="4310" spans="1:1" x14ac:dyDescent="0.3">
      <c r="A4310" s="1"/>
    </row>
    <row r="4311" spans="1:1" x14ac:dyDescent="0.3">
      <c r="A4311" s="1"/>
    </row>
    <row r="4312" spans="1:1" x14ac:dyDescent="0.3">
      <c r="A4312" s="1"/>
    </row>
    <row r="4313" spans="1:1" x14ac:dyDescent="0.3">
      <c r="A4313" s="1"/>
    </row>
    <row r="4314" spans="1:1" x14ac:dyDescent="0.3">
      <c r="A4314" s="1"/>
    </row>
    <row r="4315" spans="1:1" x14ac:dyDescent="0.3">
      <c r="A4315" s="1"/>
    </row>
    <row r="4316" spans="1:1" x14ac:dyDescent="0.3">
      <c r="A4316" s="1"/>
    </row>
    <row r="4317" spans="1:1" x14ac:dyDescent="0.3">
      <c r="A4317" s="1"/>
    </row>
    <row r="4318" spans="1:1" x14ac:dyDescent="0.3">
      <c r="A4318" s="1"/>
    </row>
    <row r="4319" spans="1:1" x14ac:dyDescent="0.3">
      <c r="A4319" s="1"/>
    </row>
    <row r="4320" spans="1:1" x14ac:dyDescent="0.3">
      <c r="A4320" s="1"/>
    </row>
    <row r="4321" spans="1:1" x14ac:dyDescent="0.3">
      <c r="A4321" s="1"/>
    </row>
    <row r="4322" spans="1:1" x14ac:dyDescent="0.3">
      <c r="A4322" s="1"/>
    </row>
    <row r="4323" spans="1:1" x14ac:dyDescent="0.3">
      <c r="A4323" s="1"/>
    </row>
    <row r="4324" spans="1:1" x14ac:dyDescent="0.3">
      <c r="A4324" s="1"/>
    </row>
    <row r="4325" spans="1:1" x14ac:dyDescent="0.3">
      <c r="A4325" s="1"/>
    </row>
    <row r="4326" spans="1:1" x14ac:dyDescent="0.3">
      <c r="A4326" s="1"/>
    </row>
    <row r="4327" spans="1:1" x14ac:dyDescent="0.3">
      <c r="A4327" s="1"/>
    </row>
    <row r="4328" spans="1:1" x14ac:dyDescent="0.3">
      <c r="A4328" s="1"/>
    </row>
    <row r="4329" spans="1:1" x14ac:dyDescent="0.3">
      <c r="A4329" s="1"/>
    </row>
    <row r="4330" spans="1:1" x14ac:dyDescent="0.3">
      <c r="A4330" s="1"/>
    </row>
    <row r="4331" spans="1:1" x14ac:dyDescent="0.3">
      <c r="A4331" s="1"/>
    </row>
    <row r="4332" spans="1:1" x14ac:dyDescent="0.3">
      <c r="A4332" s="1"/>
    </row>
    <row r="4333" spans="1:1" x14ac:dyDescent="0.3">
      <c r="A4333" s="1"/>
    </row>
    <row r="4334" spans="1:1" x14ac:dyDescent="0.3">
      <c r="A4334" s="1"/>
    </row>
    <row r="4335" spans="1:1" x14ac:dyDescent="0.3">
      <c r="A4335" s="1"/>
    </row>
    <row r="4336" spans="1:1" x14ac:dyDescent="0.3">
      <c r="A4336" s="1"/>
    </row>
    <row r="4337" spans="1:1" x14ac:dyDescent="0.3">
      <c r="A4337" s="1"/>
    </row>
    <row r="4338" spans="1:1" x14ac:dyDescent="0.3">
      <c r="A4338" s="1"/>
    </row>
    <row r="4339" spans="1:1" x14ac:dyDescent="0.3">
      <c r="A4339" s="1"/>
    </row>
    <row r="4340" spans="1:1" x14ac:dyDescent="0.3">
      <c r="A4340" s="1"/>
    </row>
    <row r="4341" spans="1:1" x14ac:dyDescent="0.3">
      <c r="A4341" s="1"/>
    </row>
    <row r="4342" spans="1:1" x14ac:dyDescent="0.3">
      <c r="A4342" s="1"/>
    </row>
    <row r="4343" spans="1:1" x14ac:dyDescent="0.3">
      <c r="A4343" s="1"/>
    </row>
    <row r="4344" spans="1:1" x14ac:dyDescent="0.3">
      <c r="A4344" s="1"/>
    </row>
    <row r="4345" spans="1:1" x14ac:dyDescent="0.3">
      <c r="A4345" s="1"/>
    </row>
    <row r="4346" spans="1:1" x14ac:dyDescent="0.3">
      <c r="A4346" s="1"/>
    </row>
    <row r="4347" spans="1:1" x14ac:dyDescent="0.3">
      <c r="A4347" s="1"/>
    </row>
    <row r="4348" spans="1:1" x14ac:dyDescent="0.3">
      <c r="A4348" s="1"/>
    </row>
    <row r="4349" spans="1:1" x14ac:dyDescent="0.3">
      <c r="A4349" s="1"/>
    </row>
    <row r="4350" spans="1:1" x14ac:dyDescent="0.3">
      <c r="A4350" s="1"/>
    </row>
    <row r="4351" spans="1:1" x14ac:dyDescent="0.3">
      <c r="A4351" s="1"/>
    </row>
    <row r="4352" spans="1:1" x14ac:dyDescent="0.3">
      <c r="A4352" s="1"/>
    </row>
    <row r="4353" spans="1:1" x14ac:dyDescent="0.3">
      <c r="A4353" s="1"/>
    </row>
    <row r="4354" spans="1:1" x14ac:dyDescent="0.3">
      <c r="A4354" s="1"/>
    </row>
    <row r="4355" spans="1:1" x14ac:dyDescent="0.3">
      <c r="A4355" s="1"/>
    </row>
    <row r="4356" spans="1:1" x14ac:dyDescent="0.3">
      <c r="A4356" s="1"/>
    </row>
    <row r="4357" spans="1:1" x14ac:dyDescent="0.3">
      <c r="A4357" s="1"/>
    </row>
    <row r="4358" spans="1:1" x14ac:dyDescent="0.3">
      <c r="A4358" s="1"/>
    </row>
    <row r="4359" spans="1:1" x14ac:dyDescent="0.3">
      <c r="A4359" s="1"/>
    </row>
    <row r="4360" spans="1:1" x14ac:dyDescent="0.3">
      <c r="A4360" s="1"/>
    </row>
    <row r="4361" spans="1:1" x14ac:dyDescent="0.3">
      <c r="A4361" s="1"/>
    </row>
    <row r="4362" spans="1:1" x14ac:dyDescent="0.3">
      <c r="A4362" s="1"/>
    </row>
    <row r="4363" spans="1:1" x14ac:dyDescent="0.3">
      <c r="A4363" s="1"/>
    </row>
    <row r="4364" spans="1:1" x14ac:dyDescent="0.3">
      <c r="A4364" s="1"/>
    </row>
    <row r="4365" spans="1:1" x14ac:dyDescent="0.3">
      <c r="A4365" s="1"/>
    </row>
    <row r="4366" spans="1:1" x14ac:dyDescent="0.3">
      <c r="A4366" s="1"/>
    </row>
    <row r="4367" spans="1:1" x14ac:dyDescent="0.3">
      <c r="A4367" s="1"/>
    </row>
    <row r="4368" spans="1:1" x14ac:dyDescent="0.3">
      <c r="A4368" s="1"/>
    </row>
    <row r="4369" spans="1:1" x14ac:dyDescent="0.3">
      <c r="A4369" s="1"/>
    </row>
    <row r="4370" spans="1:1" x14ac:dyDescent="0.3">
      <c r="A4370" s="1"/>
    </row>
    <row r="4371" spans="1:1" x14ac:dyDescent="0.3">
      <c r="A4371" s="1"/>
    </row>
    <row r="4372" spans="1:1" x14ac:dyDescent="0.3">
      <c r="A4372" s="1"/>
    </row>
    <row r="4373" spans="1:1" x14ac:dyDescent="0.3">
      <c r="A4373" s="1"/>
    </row>
    <row r="4374" spans="1:1" x14ac:dyDescent="0.3">
      <c r="A4374" s="1"/>
    </row>
    <row r="4375" spans="1:1" x14ac:dyDescent="0.3">
      <c r="A4375" s="1"/>
    </row>
    <row r="4376" spans="1:1" x14ac:dyDescent="0.3">
      <c r="A4376" s="1"/>
    </row>
    <row r="4377" spans="1:1" x14ac:dyDescent="0.3">
      <c r="A4377" s="1"/>
    </row>
    <row r="4378" spans="1:1" x14ac:dyDescent="0.3">
      <c r="A4378" s="1"/>
    </row>
    <row r="4379" spans="1:1" x14ac:dyDescent="0.3">
      <c r="A4379" s="1"/>
    </row>
    <row r="4380" spans="1:1" x14ac:dyDescent="0.3">
      <c r="A4380" s="1"/>
    </row>
    <row r="4381" spans="1:1" x14ac:dyDescent="0.3">
      <c r="A4381" s="1"/>
    </row>
    <row r="4382" spans="1:1" x14ac:dyDescent="0.3">
      <c r="A4382" s="1"/>
    </row>
    <row r="4383" spans="1:1" x14ac:dyDescent="0.3">
      <c r="A4383" s="1"/>
    </row>
    <row r="4384" spans="1:1" x14ac:dyDescent="0.3">
      <c r="A4384" s="1"/>
    </row>
    <row r="4385" spans="1:1" x14ac:dyDescent="0.3">
      <c r="A4385" s="1"/>
    </row>
    <row r="4386" spans="1:1" x14ac:dyDescent="0.3">
      <c r="A4386" s="1"/>
    </row>
    <row r="4387" spans="1:1" x14ac:dyDescent="0.3">
      <c r="A4387" s="1"/>
    </row>
    <row r="4388" spans="1:1" x14ac:dyDescent="0.3">
      <c r="A4388" s="1"/>
    </row>
    <row r="4389" spans="1:1" x14ac:dyDescent="0.3">
      <c r="A4389" s="1"/>
    </row>
    <row r="4390" spans="1:1" x14ac:dyDescent="0.3">
      <c r="A4390" s="1"/>
    </row>
    <row r="4391" spans="1:1" x14ac:dyDescent="0.3">
      <c r="A4391" s="1"/>
    </row>
    <row r="4392" spans="1:1" x14ac:dyDescent="0.3">
      <c r="A4392" s="1"/>
    </row>
    <row r="4393" spans="1:1" x14ac:dyDescent="0.3">
      <c r="A4393" s="1"/>
    </row>
    <row r="4394" spans="1:1" x14ac:dyDescent="0.3">
      <c r="A4394" s="1"/>
    </row>
    <row r="4395" spans="1:1" x14ac:dyDescent="0.3">
      <c r="A4395" s="1"/>
    </row>
    <row r="4396" spans="1:1" x14ac:dyDescent="0.3">
      <c r="A4396" s="1"/>
    </row>
    <row r="4397" spans="1:1" x14ac:dyDescent="0.3">
      <c r="A4397" s="1"/>
    </row>
    <row r="4398" spans="1:1" x14ac:dyDescent="0.3">
      <c r="A4398" s="1"/>
    </row>
    <row r="4399" spans="1:1" x14ac:dyDescent="0.3">
      <c r="A4399" s="1"/>
    </row>
    <row r="4400" spans="1:1" x14ac:dyDescent="0.3">
      <c r="A4400" s="1"/>
    </row>
    <row r="4401" spans="1:1" x14ac:dyDescent="0.3">
      <c r="A4401" s="1"/>
    </row>
    <row r="4402" spans="1:1" x14ac:dyDescent="0.3">
      <c r="A4402" s="1"/>
    </row>
    <row r="4403" spans="1:1" x14ac:dyDescent="0.3">
      <c r="A4403" s="1"/>
    </row>
    <row r="4404" spans="1:1" x14ac:dyDescent="0.3">
      <c r="A4404" s="1"/>
    </row>
    <row r="4405" spans="1:1" x14ac:dyDescent="0.3">
      <c r="A4405" s="1"/>
    </row>
    <row r="4406" spans="1:1" x14ac:dyDescent="0.3">
      <c r="A4406" s="1"/>
    </row>
    <row r="4407" spans="1:1" x14ac:dyDescent="0.3">
      <c r="A4407" s="1"/>
    </row>
    <row r="4408" spans="1:1" x14ac:dyDescent="0.3">
      <c r="A4408" s="1"/>
    </row>
    <row r="4409" spans="1:1" x14ac:dyDescent="0.3">
      <c r="A4409" s="1"/>
    </row>
    <row r="4410" spans="1:1" x14ac:dyDescent="0.3">
      <c r="A4410" s="1"/>
    </row>
    <row r="4411" spans="1:1" x14ac:dyDescent="0.3">
      <c r="A4411" s="1"/>
    </row>
    <row r="4412" spans="1:1" x14ac:dyDescent="0.3">
      <c r="A4412" s="1"/>
    </row>
    <row r="4413" spans="1:1" x14ac:dyDescent="0.3">
      <c r="A4413" s="1"/>
    </row>
    <row r="4414" spans="1:1" x14ac:dyDescent="0.3">
      <c r="A4414" s="1"/>
    </row>
    <row r="4415" spans="1:1" x14ac:dyDescent="0.3">
      <c r="A4415" s="1"/>
    </row>
    <row r="4416" spans="1:1" x14ac:dyDescent="0.3">
      <c r="A4416" s="1"/>
    </row>
    <row r="4417" spans="1:1" x14ac:dyDescent="0.3">
      <c r="A4417" s="1"/>
    </row>
    <row r="4418" spans="1:1" x14ac:dyDescent="0.3">
      <c r="A4418" s="1"/>
    </row>
    <row r="4419" spans="1:1" x14ac:dyDescent="0.3">
      <c r="A4419" s="1"/>
    </row>
    <row r="4420" spans="1:1" x14ac:dyDescent="0.3">
      <c r="A4420" s="1"/>
    </row>
    <row r="4421" spans="1:1" x14ac:dyDescent="0.3">
      <c r="A4421" s="1"/>
    </row>
    <row r="4422" spans="1:1" x14ac:dyDescent="0.3">
      <c r="A4422" s="1"/>
    </row>
    <row r="4423" spans="1:1" x14ac:dyDescent="0.3">
      <c r="A4423" s="1"/>
    </row>
    <row r="4424" spans="1:1" x14ac:dyDescent="0.3">
      <c r="A4424" s="1"/>
    </row>
    <row r="4425" spans="1:1" x14ac:dyDescent="0.3">
      <c r="A4425" s="1"/>
    </row>
    <row r="4426" spans="1:1" x14ac:dyDescent="0.3">
      <c r="A4426" s="1"/>
    </row>
    <row r="4427" spans="1:1" x14ac:dyDescent="0.3">
      <c r="A4427" s="1"/>
    </row>
    <row r="4428" spans="1:1" x14ac:dyDescent="0.3">
      <c r="A4428" s="1"/>
    </row>
    <row r="4429" spans="1:1" x14ac:dyDescent="0.3">
      <c r="A4429" s="1"/>
    </row>
    <row r="4430" spans="1:1" x14ac:dyDescent="0.3">
      <c r="A4430" s="1"/>
    </row>
    <row r="4431" spans="1:1" x14ac:dyDescent="0.3">
      <c r="A4431" s="1"/>
    </row>
    <row r="4432" spans="1:1" x14ac:dyDescent="0.3">
      <c r="A4432" s="1"/>
    </row>
    <row r="4433" spans="1:1" x14ac:dyDescent="0.3">
      <c r="A4433" s="1"/>
    </row>
    <row r="4434" spans="1:1" x14ac:dyDescent="0.3">
      <c r="A4434" s="1"/>
    </row>
    <row r="4435" spans="1:1" x14ac:dyDescent="0.3">
      <c r="A4435" s="1"/>
    </row>
    <row r="4436" spans="1:1" x14ac:dyDescent="0.3">
      <c r="A4436" s="1"/>
    </row>
    <row r="4437" spans="1:1" x14ac:dyDescent="0.3">
      <c r="A4437" s="1"/>
    </row>
    <row r="4438" spans="1:1" x14ac:dyDescent="0.3">
      <c r="A4438" s="1"/>
    </row>
    <row r="4439" spans="1:1" x14ac:dyDescent="0.3">
      <c r="A4439" s="1"/>
    </row>
    <row r="4440" spans="1:1" x14ac:dyDescent="0.3">
      <c r="A4440" s="1"/>
    </row>
    <row r="4441" spans="1:1" x14ac:dyDescent="0.3">
      <c r="A4441" s="1"/>
    </row>
    <row r="4442" spans="1:1" x14ac:dyDescent="0.3">
      <c r="A4442" s="1"/>
    </row>
    <row r="4443" spans="1:1" x14ac:dyDescent="0.3">
      <c r="A4443" s="1"/>
    </row>
    <row r="4444" spans="1:1" x14ac:dyDescent="0.3">
      <c r="A4444" s="1"/>
    </row>
    <row r="4445" spans="1:1" x14ac:dyDescent="0.3">
      <c r="A4445" s="1"/>
    </row>
    <row r="4446" spans="1:1" x14ac:dyDescent="0.3">
      <c r="A4446" s="1"/>
    </row>
    <row r="4447" spans="1:1" x14ac:dyDescent="0.3">
      <c r="A4447" s="1"/>
    </row>
    <row r="4448" spans="1:1" x14ac:dyDescent="0.3">
      <c r="A4448" s="1"/>
    </row>
    <row r="4449" spans="1:1" x14ac:dyDescent="0.3">
      <c r="A4449" s="1"/>
    </row>
    <row r="4450" spans="1:1" x14ac:dyDescent="0.3">
      <c r="A4450" s="1"/>
    </row>
    <row r="4451" spans="1:1" x14ac:dyDescent="0.3">
      <c r="A4451" s="1"/>
    </row>
    <row r="4452" spans="1:1" x14ac:dyDescent="0.3">
      <c r="A4452" s="1"/>
    </row>
    <row r="4453" spans="1:1" x14ac:dyDescent="0.3">
      <c r="A4453" s="1"/>
    </row>
    <row r="4454" spans="1:1" x14ac:dyDescent="0.3">
      <c r="A4454" s="1"/>
    </row>
    <row r="4455" spans="1:1" x14ac:dyDescent="0.3">
      <c r="A4455" s="1"/>
    </row>
    <row r="4456" spans="1:1" x14ac:dyDescent="0.3">
      <c r="A4456" s="1"/>
    </row>
    <row r="4457" spans="1:1" x14ac:dyDescent="0.3">
      <c r="A4457" s="1"/>
    </row>
    <row r="4458" spans="1:1" x14ac:dyDescent="0.3">
      <c r="A4458" s="1"/>
    </row>
    <row r="4459" spans="1:1" x14ac:dyDescent="0.3">
      <c r="A4459" s="1"/>
    </row>
    <row r="4460" spans="1:1" x14ac:dyDescent="0.3">
      <c r="A4460" s="1"/>
    </row>
    <row r="4461" spans="1:1" x14ac:dyDescent="0.3">
      <c r="A4461" s="1"/>
    </row>
    <row r="4462" spans="1:1" x14ac:dyDescent="0.3">
      <c r="A4462" s="1"/>
    </row>
    <row r="4463" spans="1:1" x14ac:dyDescent="0.3">
      <c r="A4463" s="1"/>
    </row>
    <row r="4464" spans="1:1" x14ac:dyDescent="0.3">
      <c r="A4464" s="1"/>
    </row>
    <row r="4465" spans="1:1" x14ac:dyDescent="0.3">
      <c r="A4465" s="1"/>
    </row>
    <row r="4466" spans="1:1" x14ac:dyDescent="0.3">
      <c r="A4466" s="1"/>
    </row>
    <row r="4467" spans="1:1" x14ac:dyDescent="0.3">
      <c r="A4467" s="1"/>
    </row>
    <row r="4468" spans="1:1" x14ac:dyDescent="0.3">
      <c r="A4468" s="1"/>
    </row>
    <row r="4469" spans="1:1" x14ac:dyDescent="0.3">
      <c r="A4469" s="1"/>
    </row>
    <row r="4470" spans="1:1" x14ac:dyDescent="0.3">
      <c r="A4470" s="1"/>
    </row>
    <row r="4471" spans="1:1" x14ac:dyDescent="0.3">
      <c r="A4471" s="1"/>
    </row>
    <row r="4472" spans="1:1" x14ac:dyDescent="0.3">
      <c r="A4472" s="1"/>
    </row>
    <row r="4473" spans="1:1" x14ac:dyDescent="0.3">
      <c r="A4473" s="1"/>
    </row>
    <row r="4474" spans="1:1" x14ac:dyDescent="0.3">
      <c r="A4474" s="1"/>
    </row>
    <row r="4475" spans="1:1" x14ac:dyDescent="0.3">
      <c r="A4475" s="1"/>
    </row>
    <row r="4476" spans="1:1" x14ac:dyDescent="0.3">
      <c r="A4476" s="1"/>
    </row>
    <row r="4477" spans="1:1" x14ac:dyDescent="0.3">
      <c r="A4477" s="1"/>
    </row>
    <row r="4478" spans="1:1" x14ac:dyDescent="0.3">
      <c r="A4478" s="1"/>
    </row>
    <row r="4479" spans="1:1" x14ac:dyDescent="0.3">
      <c r="A4479" s="1"/>
    </row>
    <row r="4480" spans="1:1" x14ac:dyDescent="0.3">
      <c r="A4480" s="1"/>
    </row>
    <row r="4481" spans="1:1" x14ac:dyDescent="0.3">
      <c r="A4481" s="1"/>
    </row>
    <row r="4482" spans="1:1" x14ac:dyDescent="0.3">
      <c r="A4482" s="1"/>
    </row>
    <row r="4483" spans="1:1" x14ac:dyDescent="0.3">
      <c r="A4483" s="1"/>
    </row>
    <row r="4484" spans="1:1" x14ac:dyDescent="0.3">
      <c r="A4484" s="1"/>
    </row>
    <row r="4485" spans="1:1" x14ac:dyDescent="0.3">
      <c r="A4485" s="1"/>
    </row>
    <row r="4486" spans="1:1" x14ac:dyDescent="0.3">
      <c r="A4486" s="1"/>
    </row>
    <row r="4487" spans="1:1" x14ac:dyDescent="0.3">
      <c r="A4487" s="1"/>
    </row>
    <row r="4488" spans="1:1" x14ac:dyDescent="0.3">
      <c r="A4488" s="1"/>
    </row>
    <row r="4489" spans="1:1" x14ac:dyDescent="0.3">
      <c r="A4489" s="1"/>
    </row>
    <row r="4490" spans="1:1" x14ac:dyDescent="0.3">
      <c r="A4490" s="1"/>
    </row>
    <row r="4491" spans="1:1" x14ac:dyDescent="0.3">
      <c r="A4491" s="1"/>
    </row>
    <row r="4492" spans="1:1" x14ac:dyDescent="0.3">
      <c r="A4492" s="1"/>
    </row>
    <row r="4493" spans="1:1" x14ac:dyDescent="0.3">
      <c r="A4493" s="1"/>
    </row>
    <row r="4494" spans="1:1" x14ac:dyDescent="0.3">
      <c r="A4494" s="1"/>
    </row>
    <row r="4495" spans="1:1" x14ac:dyDescent="0.3">
      <c r="A4495" s="1"/>
    </row>
    <row r="4496" spans="1:1" x14ac:dyDescent="0.3">
      <c r="A4496" s="1"/>
    </row>
    <row r="4497" spans="1:1" x14ac:dyDescent="0.3">
      <c r="A4497" s="1"/>
    </row>
    <row r="4498" spans="1:1" x14ac:dyDescent="0.3">
      <c r="A4498" s="1"/>
    </row>
    <row r="4499" spans="1:1" x14ac:dyDescent="0.3">
      <c r="A4499" s="1"/>
    </row>
    <row r="4500" spans="1:1" x14ac:dyDescent="0.3">
      <c r="A4500" s="1"/>
    </row>
    <row r="4501" spans="1:1" x14ac:dyDescent="0.3">
      <c r="A4501" s="1"/>
    </row>
    <row r="4502" spans="1:1" x14ac:dyDescent="0.3">
      <c r="A4502" s="1"/>
    </row>
    <row r="4503" spans="1:1" x14ac:dyDescent="0.3">
      <c r="A4503" s="1"/>
    </row>
    <row r="4504" spans="1:1" x14ac:dyDescent="0.3">
      <c r="A4504" s="1"/>
    </row>
    <row r="4505" spans="1:1" x14ac:dyDescent="0.3">
      <c r="A4505" s="1"/>
    </row>
    <row r="4506" spans="1:1" x14ac:dyDescent="0.3">
      <c r="A4506" s="1"/>
    </row>
    <row r="4507" spans="1:1" x14ac:dyDescent="0.3">
      <c r="A4507" s="1"/>
    </row>
    <row r="4508" spans="1:1" x14ac:dyDescent="0.3">
      <c r="A4508" s="1"/>
    </row>
    <row r="4509" spans="1:1" x14ac:dyDescent="0.3">
      <c r="A4509" s="1"/>
    </row>
    <row r="4510" spans="1:1" x14ac:dyDescent="0.3">
      <c r="A4510" s="1"/>
    </row>
    <row r="4511" spans="1:1" x14ac:dyDescent="0.3">
      <c r="A4511" s="1"/>
    </row>
    <row r="4512" spans="1:1" x14ac:dyDescent="0.3">
      <c r="A4512" s="1"/>
    </row>
    <row r="4513" spans="1:1" x14ac:dyDescent="0.3">
      <c r="A4513" s="1"/>
    </row>
    <row r="4514" spans="1:1" x14ac:dyDescent="0.3">
      <c r="A4514" s="1"/>
    </row>
    <row r="4515" spans="1:1" x14ac:dyDescent="0.3">
      <c r="A4515" s="1"/>
    </row>
    <row r="4516" spans="1:1" x14ac:dyDescent="0.3">
      <c r="A4516" s="1"/>
    </row>
    <row r="4517" spans="1:1" x14ac:dyDescent="0.3">
      <c r="A4517" s="1"/>
    </row>
    <row r="4518" spans="1:1" x14ac:dyDescent="0.3">
      <c r="A4518" s="1"/>
    </row>
    <row r="4519" spans="1:1" x14ac:dyDescent="0.3">
      <c r="A4519" s="1"/>
    </row>
    <row r="4520" spans="1:1" x14ac:dyDescent="0.3">
      <c r="A4520" s="1"/>
    </row>
    <row r="4521" spans="1:1" x14ac:dyDescent="0.3">
      <c r="A4521" s="1"/>
    </row>
    <row r="4522" spans="1:1" x14ac:dyDescent="0.3">
      <c r="A4522" s="1"/>
    </row>
    <row r="4523" spans="1:1" x14ac:dyDescent="0.3">
      <c r="A4523" s="1"/>
    </row>
    <row r="4524" spans="1:1" x14ac:dyDescent="0.3">
      <c r="A4524" s="1"/>
    </row>
    <row r="4525" spans="1:1" x14ac:dyDescent="0.3">
      <c r="A4525" s="1"/>
    </row>
    <row r="4526" spans="1:1" x14ac:dyDescent="0.3">
      <c r="A4526" s="1"/>
    </row>
    <row r="4527" spans="1:1" x14ac:dyDescent="0.3">
      <c r="A4527" s="1"/>
    </row>
    <row r="4528" spans="1:1" x14ac:dyDescent="0.3">
      <c r="A4528" s="1"/>
    </row>
    <row r="4529" spans="1:1" x14ac:dyDescent="0.3">
      <c r="A4529" s="1"/>
    </row>
    <row r="4530" spans="1:1" x14ac:dyDescent="0.3">
      <c r="A4530" s="1"/>
    </row>
    <row r="4531" spans="1:1" x14ac:dyDescent="0.3">
      <c r="A4531" s="1"/>
    </row>
    <row r="4532" spans="1:1" x14ac:dyDescent="0.3">
      <c r="A4532" s="1"/>
    </row>
    <row r="4533" spans="1:1" x14ac:dyDescent="0.3">
      <c r="A4533" s="1"/>
    </row>
    <row r="4534" spans="1:1" x14ac:dyDescent="0.3">
      <c r="A4534" s="1"/>
    </row>
    <row r="4535" spans="1:1" x14ac:dyDescent="0.3">
      <c r="A4535" s="1"/>
    </row>
    <row r="4536" spans="1:1" x14ac:dyDescent="0.3">
      <c r="A4536" s="1"/>
    </row>
    <row r="4537" spans="1:1" x14ac:dyDescent="0.3">
      <c r="A4537" s="1"/>
    </row>
    <row r="4538" spans="1:1" x14ac:dyDescent="0.3">
      <c r="A4538" s="1"/>
    </row>
    <row r="4539" spans="1:1" x14ac:dyDescent="0.3">
      <c r="A4539" s="1"/>
    </row>
    <row r="4540" spans="1:1" x14ac:dyDescent="0.3">
      <c r="A4540" s="1"/>
    </row>
    <row r="4541" spans="1:1" x14ac:dyDescent="0.3">
      <c r="A4541" s="1"/>
    </row>
    <row r="4542" spans="1:1" x14ac:dyDescent="0.3">
      <c r="A4542" s="1"/>
    </row>
    <row r="4543" spans="1:1" x14ac:dyDescent="0.3">
      <c r="A4543" s="1"/>
    </row>
    <row r="4544" spans="1:1" x14ac:dyDescent="0.3">
      <c r="A4544" s="1"/>
    </row>
    <row r="4545" spans="1:1" x14ac:dyDescent="0.3">
      <c r="A4545" s="1"/>
    </row>
    <row r="4546" spans="1:1" x14ac:dyDescent="0.3">
      <c r="A4546" s="1"/>
    </row>
    <row r="4547" spans="1:1" x14ac:dyDescent="0.3">
      <c r="A4547" s="1"/>
    </row>
    <row r="4548" spans="1:1" x14ac:dyDescent="0.3">
      <c r="A4548" s="1"/>
    </row>
    <row r="4549" spans="1:1" x14ac:dyDescent="0.3">
      <c r="A4549" s="1"/>
    </row>
    <row r="4550" spans="1:1" x14ac:dyDescent="0.3">
      <c r="A4550" s="1"/>
    </row>
    <row r="4552" spans="1:1" x14ac:dyDescent="0.3">
      <c r="A4552" s="1"/>
    </row>
    <row r="4553" spans="1:1" x14ac:dyDescent="0.3">
      <c r="A4553" s="1"/>
    </row>
    <row r="4554" spans="1:1" x14ac:dyDescent="0.3">
      <c r="A4554" s="1"/>
    </row>
    <row r="4555" spans="1:1" x14ac:dyDescent="0.3">
      <c r="A4555" s="1"/>
    </row>
    <row r="4556" spans="1:1" x14ac:dyDescent="0.3">
      <c r="A4556" s="1"/>
    </row>
    <row r="4557" spans="1:1" x14ac:dyDescent="0.3">
      <c r="A4557" s="1"/>
    </row>
    <row r="4558" spans="1:1" x14ac:dyDescent="0.3">
      <c r="A4558" s="1"/>
    </row>
    <row r="4559" spans="1:1" x14ac:dyDescent="0.3">
      <c r="A4559" s="1"/>
    </row>
    <row r="4560" spans="1:1" x14ac:dyDescent="0.3">
      <c r="A4560" s="1"/>
    </row>
    <row r="4561" spans="1:1" x14ac:dyDescent="0.3">
      <c r="A4561" s="1"/>
    </row>
    <row r="4562" spans="1:1" x14ac:dyDescent="0.3">
      <c r="A4562" s="1"/>
    </row>
    <row r="4563" spans="1:1" x14ac:dyDescent="0.3">
      <c r="A4563" s="1"/>
    </row>
    <row r="4564" spans="1:1" x14ac:dyDescent="0.3">
      <c r="A4564" s="1"/>
    </row>
    <row r="4565" spans="1:1" x14ac:dyDescent="0.3">
      <c r="A4565" s="1"/>
    </row>
    <row r="4566" spans="1:1" x14ac:dyDescent="0.3">
      <c r="A4566" s="1"/>
    </row>
    <row r="4567" spans="1:1" x14ac:dyDescent="0.3">
      <c r="A4567" s="1"/>
    </row>
    <row r="4568" spans="1:1" x14ac:dyDescent="0.3">
      <c r="A4568" s="1"/>
    </row>
    <row r="4569" spans="1:1" x14ac:dyDescent="0.3">
      <c r="A4569" s="1"/>
    </row>
    <row r="4570" spans="1:1" x14ac:dyDescent="0.3">
      <c r="A4570" s="1"/>
    </row>
    <row r="4571" spans="1:1" x14ac:dyDescent="0.3">
      <c r="A4571" s="1"/>
    </row>
    <row r="4572" spans="1:1" x14ac:dyDescent="0.3">
      <c r="A4572" s="1"/>
    </row>
    <row r="4573" spans="1:1" x14ac:dyDescent="0.3">
      <c r="A4573" s="1"/>
    </row>
    <row r="4574" spans="1:1" x14ac:dyDescent="0.3">
      <c r="A4574" s="1"/>
    </row>
    <row r="4575" spans="1:1" x14ac:dyDescent="0.3">
      <c r="A4575" s="1"/>
    </row>
    <row r="4576" spans="1:1" x14ac:dyDescent="0.3">
      <c r="A4576" s="1"/>
    </row>
    <row r="4577" spans="1:1" x14ac:dyDescent="0.3">
      <c r="A4577" s="1"/>
    </row>
    <row r="4578" spans="1:1" x14ac:dyDescent="0.3">
      <c r="A4578" s="1"/>
    </row>
    <row r="4579" spans="1:1" x14ac:dyDescent="0.3">
      <c r="A4579" s="1"/>
    </row>
    <row r="4580" spans="1:1" x14ac:dyDescent="0.3">
      <c r="A4580" s="1"/>
    </row>
    <row r="4581" spans="1:1" x14ac:dyDescent="0.3">
      <c r="A4581" s="1"/>
    </row>
    <row r="4582" spans="1:1" x14ac:dyDescent="0.3">
      <c r="A4582" s="1"/>
    </row>
    <row r="4583" spans="1:1" x14ac:dyDescent="0.3">
      <c r="A4583" s="1"/>
    </row>
    <row r="4584" spans="1:1" x14ac:dyDescent="0.3">
      <c r="A4584" s="1"/>
    </row>
    <row r="4585" spans="1:1" x14ac:dyDescent="0.3">
      <c r="A4585" s="1"/>
    </row>
    <row r="4586" spans="1:1" x14ac:dyDescent="0.3">
      <c r="A4586" s="1"/>
    </row>
    <row r="4587" spans="1:1" x14ac:dyDescent="0.3">
      <c r="A4587" s="1"/>
    </row>
    <row r="4588" spans="1:1" x14ac:dyDescent="0.3">
      <c r="A4588" s="1"/>
    </row>
    <row r="4589" spans="1:1" x14ac:dyDescent="0.3">
      <c r="A4589" s="1"/>
    </row>
    <row r="4590" spans="1:1" x14ac:dyDescent="0.3">
      <c r="A4590" s="1"/>
    </row>
    <row r="4591" spans="1:1" x14ac:dyDescent="0.3">
      <c r="A4591" s="1"/>
    </row>
    <row r="4592" spans="1:1" x14ac:dyDescent="0.3">
      <c r="A4592" s="1"/>
    </row>
    <row r="4593" spans="1:1" x14ac:dyDescent="0.3">
      <c r="A4593" s="1"/>
    </row>
    <row r="4594" spans="1:1" x14ac:dyDescent="0.3">
      <c r="A4594" s="1"/>
    </row>
    <row r="4595" spans="1:1" x14ac:dyDescent="0.3">
      <c r="A4595" s="1"/>
    </row>
    <row r="4596" spans="1:1" x14ac:dyDescent="0.3">
      <c r="A4596" s="1"/>
    </row>
    <row r="4597" spans="1:1" x14ac:dyDescent="0.3">
      <c r="A4597" s="1"/>
    </row>
    <row r="4598" spans="1:1" x14ac:dyDescent="0.3">
      <c r="A4598" s="1"/>
    </row>
    <row r="4599" spans="1:1" x14ac:dyDescent="0.3">
      <c r="A4599" s="1"/>
    </row>
    <row r="4600" spans="1:1" x14ac:dyDescent="0.3">
      <c r="A4600" s="1"/>
    </row>
    <row r="4601" spans="1:1" x14ac:dyDescent="0.3">
      <c r="A4601" s="1"/>
    </row>
    <row r="4602" spans="1:1" x14ac:dyDescent="0.3">
      <c r="A4602" s="1"/>
    </row>
    <row r="4603" spans="1:1" x14ac:dyDescent="0.3">
      <c r="A4603" s="1"/>
    </row>
    <row r="4604" spans="1:1" x14ac:dyDescent="0.3">
      <c r="A4604" s="1"/>
    </row>
    <row r="4605" spans="1:1" x14ac:dyDescent="0.3">
      <c r="A4605" s="1"/>
    </row>
    <row r="4606" spans="1:1" x14ac:dyDescent="0.3">
      <c r="A4606" s="1"/>
    </row>
    <row r="4607" spans="1:1" x14ac:dyDescent="0.3">
      <c r="A4607" s="1"/>
    </row>
    <row r="4608" spans="1:1" x14ac:dyDescent="0.3">
      <c r="A4608" s="1"/>
    </row>
    <row r="4609" spans="1:1" x14ac:dyDescent="0.3">
      <c r="A4609" s="1"/>
    </row>
    <row r="4610" spans="1:1" x14ac:dyDescent="0.3">
      <c r="A4610" s="1"/>
    </row>
    <row r="4611" spans="1:1" x14ac:dyDescent="0.3">
      <c r="A4611" s="1"/>
    </row>
    <row r="4612" spans="1:1" x14ac:dyDescent="0.3">
      <c r="A4612" s="1"/>
    </row>
    <row r="4613" spans="1:1" x14ac:dyDescent="0.3">
      <c r="A4613" s="1"/>
    </row>
    <row r="4614" spans="1:1" x14ac:dyDescent="0.3">
      <c r="A4614" s="1"/>
    </row>
    <row r="4615" spans="1:1" x14ac:dyDescent="0.3">
      <c r="A4615" s="1"/>
    </row>
    <row r="4616" spans="1:1" x14ac:dyDescent="0.3">
      <c r="A4616" s="1"/>
    </row>
    <row r="4617" spans="1:1" x14ac:dyDescent="0.3">
      <c r="A4617" s="1"/>
    </row>
    <row r="4618" spans="1:1" x14ac:dyDescent="0.3">
      <c r="A4618" s="1"/>
    </row>
    <row r="4619" spans="1:1" x14ac:dyDescent="0.3">
      <c r="A4619" s="1"/>
    </row>
    <row r="4620" spans="1:1" x14ac:dyDescent="0.3">
      <c r="A4620" s="1"/>
    </row>
    <row r="4621" spans="1:1" x14ac:dyDescent="0.3">
      <c r="A4621" s="1"/>
    </row>
    <row r="4622" spans="1:1" x14ac:dyDescent="0.3">
      <c r="A4622" s="1"/>
    </row>
    <row r="4623" spans="1:1" x14ac:dyDescent="0.3">
      <c r="A4623" s="1"/>
    </row>
    <row r="4624" spans="1:1" x14ac:dyDescent="0.3">
      <c r="A4624" s="1"/>
    </row>
    <row r="4625" spans="1:1" x14ac:dyDescent="0.3">
      <c r="A4625" s="1"/>
    </row>
    <row r="4626" spans="1:1" x14ac:dyDescent="0.3">
      <c r="A4626" s="1"/>
    </row>
    <row r="4627" spans="1:1" x14ac:dyDescent="0.3">
      <c r="A4627" s="1"/>
    </row>
    <row r="4628" spans="1:1" x14ac:dyDescent="0.3">
      <c r="A4628" s="1"/>
    </row>
    <row r="4629" spans="1:1" x14ac:dyDescent="0.3">
      <c r="A4629" s="1"/>
    </row>
    <row r="4630" spans="1:1" x14ac:dyDescent="0.3">
      <c r="A4630" s="1"/>
    </row>
    <row r="4631" spans="1:1" x14ac:dyDescent="0.3">
      <c r="A4631" s="1"/>
    </row>
    <row r="4632" spans="1:1" x14ac:dyDescent="0.3">
      <c r="A4632" s="1"/>
    </row>
    <row r="4633" spans="1:1" x14ac:dyDescent="0.3">
      <c r="A4633" s="1"/>
    </row>
    <row r="4634" spans="1:1" x14ac:dyDescent="0.3">
      <c r="A4634" s="1"/>
    </row>
    <row r="4635" spans="1:1" x14ac:dyDescent="0.3">
      <c r="A4635" s="1"/>
    </row>
    <row r="4636" spans="1:1" x14ac:dyDescent="0.3">
      <c r="A4636" s="1"/>
    </row>
    <row r="4637" spans="1:1" x14ac:dyDescent="0.3">
      <c r="A4637" s="1"/>
    </row>
    <row r="4638" spans="1:1" x14ac:dyDescent="0.3">
      <c r="A4638" s="1"/>
    </row>
    <row r="4639" spans="1:1" x14ac:dyDescent="0.3">
      <c r="A4639" s="1"/>
    </row>
    <row r="4640" spans="1:1" x14ac:dyDescent="0.3">
      <c r="A4640" s="1"/>
    </row>
    <row r="4641" spans="1:1" x14ac:dyDescent="0.3">
      <c r="A4641" s="1"/>
    </row>
    <row r="4642" spans="1:1" x14ac:dyDescent="0.3">
      <c r="A4642" s="1"/>
    </row>
    <row r="4643" spans="1:1" x14ac:dyDescent="0.3">
      <c r="A4643" s="1"/>
    </row>
    <row r="4644" spans="1:1" x14ac:dyDescent="0.3">
      <c r="A4644" s="1"/>
    </row>
    <row r="4645" spans="1:1" x14ac:dyDescent="0.3">
      <c r="A4645" s="1"/>
    </row>
    <row r="4646" spans="1:1" x14ac:dyDescent="0.3">
      <c r="A4646" s="1"/>
    </row>
    <row r="4647" spans="1:1" x14ac:dyDescent="0.3">
      <c r="A4647" s="1"/>
    </row>
    <row r="4648" spans="1:1" x14ac:dyDescent="0.3">
      <c r="A4648" s="1"/>
    </row>
    <row r="4649" spans="1:1" x14ac:dyDescent="0.3">
      <c r="A4649" s="1"/>
    </row>
    <row r="4650" spans="1:1" x14ac:dyDescent="0.3">
      <c r="A4650" s="1"/>
    </row>
    <row r="4651" spans="1:1" x14ac:dyDescent="0.3">
      <c r="A4651" s="1"/>
    </row>
    <row r="4652" spans="1:1" x14ac:dyDescent="0.3">
      <c r="A4652" s="1"/>
    </row>
    <row r="4653" spans="1:1" x14ac:dyDescent="0.3">
      <c r="A4653" s="1"/>
    </row>
    <row r="4654" spans="1:1" x14ac:dyDescent="0.3">
      <c r="A4654" s="1"/>
    </row>
    <row r="4655" spans="1:1" x14ac:dyDescent="0.3">
      <c r="A4655" s="1"/>
    </row>
    <row r="4656" spans="1:1" x14ac:dyDescent="0.3">
      <c r="A4656" s="1"/>
    </row>
    <row r="4657" spans="1:1" x14ac:dyDescent="0.3">
      <c r="A4657" s="1"/>
    </row>
    <row r="4658" spans="1:1" x14ac:dyDescent="0.3">
      <c r="A4658" s="1"/>
    </row>
    <row r="4659" spans="1:1" x14ac:dyDescent="0.3">
      <c r="A4659" s="1"/>
    </row>
    <row r="4660" spans="1:1" x14ac:dyDescent="0.3">
      <c r="A4660" s="1"/>
    </row>
    <row r="4661" spans="1:1" x14ac:dyDescent="0.3">
      <c r="A4661" s="1"/>
    </row>
    <row r="4662" spans="1:1" x14ac:dyDescent="0.3">
      <c r="A4662" s="1"/>
    </row>
    <row r="4663" spans="1:1" x14ac:dyDescent="0.3">
      <c r="A4663" s="1"/>
    </row>
    <row r="4664" spans="1:1" x14ac:dyDescent="0.3">
      <c r="A4664" s="1"/>
    </row>
    <row r="4665" spans="1:1" x14ac:dyDescent="0.3">
      <c r="A4665" s="1"/>
    </row>
    <row r="4666" spans="1:1" x14ac:dyDescent="0.3">
      <c r="A4666" s="1"/>
    </row>
    <row r="4667" spans="1:1" x14ac:dyDescent="0.3">
      <c r="A4667" s="1"/>
    </row>
    <row r="4668" spans="1:1" x14ac:dyDescent="0.3">
      <c r="A4668" s="1"/>
    </row>
    <row r="4669" spans="1:1" x14ac:dyDescent="0.3">
      <c r="A4669" s="1"/>
    </row>
    <row r="4670" spans="1:1" x14ac:dyDescent="0.3">
      <c r="A4670" s="1"/>
    </row>
    <row r="4671" spans="1:1" x14ac:dyDescent="0.3">
      <c r="A4671" s="1"/>
    </row>
    <row r="4672" spans="1:1" x14ac:dyDescent="0.3">
      <c r="A4672" s="1"/>
    </row>
    <row r="4673" spans="1:1" x14ac:dyDescent="0.3">
      <c r="A4673" s="1"/>
    </row>
    <row r="4674" spans="1:1" x14ac:dyDescent="0.3">
      <c r="A4674" s="1"/>
    </row>
    <row r="4675" spans="1:1" x14ac:dyDescent="0.3">
      <c r="A4675" s="1"/>
    </row>
    <row r="4676" spans="1:1" x14ac:dyDescent="0.3">
      <c r="A4676" s="1"/>
    </row>
    <row r="4677" spans="1:1" x14ac:dyDescent="0.3">
      <c r="A4677" s="1"/>
    </row>
    <row r="4678" spans="1:1" x14ac:dyDescent="0.3">
      <c r="A4678" s="1"/>
    </row>
    <row r="4679" spans="1:1" x14ac:dyDescent="0.3">
      <c r="A4679" s="1"/>
    </row>
    <row r="4680" spans="1:1" x14ac:dyDescent="0.3">
      <c r="A4680" s="1"/>
    </row>
    <row r="4681" spans="1:1" x14ac:dyDescent="0.3">
      <c r="A4681" s="1"/>
    </row>
    <row r="4682" spans="1:1" x14ac:dyDescent="0.3">
      <c r="A4682" s="1"/>
    </row>
    <row r="4683" spans="1:1" x14ac:dyDescent="0.3">
      <c r="A4683" s="1"/>
    </row>
    <row r="4684" spans="1:1" x14ac:dyDescent="0.3">
      <c r="A4684" s="1"/>
    </row>
    <row r="4685" spans="1:1" x14ac:dyDescent="0.3">
      <c r="A4685" s="1"/>
    </row>
    <row r="4686" spans="1:1" x14ac:dyDescent="0.3">
      <c r="A4686" s="1"/>
    </row>
    <row r="4687" spans="1:1" x14ac:dyDescent="0.3">
      <c r="A4687" s="1"/>
    </row>
    <row r="4688" spans="1:1" x14ac:dyDescent="0.3">
      <c r="A4688" s="1"/>
    </row>
    <row r="4689" spans="1:1" x14ac:dyDescent="0.3">
      <c r="A4689" s="1"/>
    </row>
    <row r="4690" spans="1:1" x14ac:dyDescent="0.3">
      <c r="A4690" s="1"/>
    </row>
    <row r="4691" spans="1:1" x14ac:dyDescent="0.3">
      <c r="A4691" s="1"/>
    </row>
    <row r="4692" spans="1:1" x14ac:dyDescent="0.3">
      <c r="A4692" s="1"/>
    </row>
    <row r="4693" spans="1:1" x14ac:dyDescent="0.3">
      <c r="A4693" s="1"/>
    </row>
    <row r="4694" spans="1:1" x14ac:dyDescent="0.3">
      <c r="A4694" s="1"/>
    </row>
    <row r="4695" spans="1:1" x14ac:dyDescent="0.3">
      <c r="A4695" s="1"/>
    </row>
    <row r="4696" spans="1:1" x14ac:dyDescent="0.3">
      <c r="A4696" s="1"/>
    </row>
    <row r="4697" spans="1:1" x14ac:dyDescent="0.3">
      <c r="A4697" s="1"/>
    </row>
    <row r="4698" spans="1:1" x14ac:dyDescent="0.3">
      <c r="A4698" s="1"/>
    </row>
    <row r="4699" spans="1:1" x14ac:dyDescent="0.3">
      <c r="A4699" s="1"/>
    </row>
    <row r="4700" spans="1:1" x14ac:dyDescent="0.3">
      <c r="A4700" s="1"/>
    </row>
    <row r="4701" spans="1:1" x14ac:dyDescent="0.3">
      <c r="A4701" s="1"/>
    </row>
    <row r="4702" spans="1:1" x14ac:dyDescent="0.3">
      <c r="A4702" s="1"/>
    </row>
    <row r="4703" spans="1:1" x14ac:dyDescent="0.3">
      <c r="A4703" s="1"/>
    </row>
    <row r="4704" spans="1:1" x14ac:dyDescent="0.3">
      <c r="A4704" s="1"/>
    </row>
    <row r="4705" spans="1:1" x14ac:dyDescent="0.3">
      <c r="A4705" s="1"/>
    </row>
    <row r="4706" spans="1:1" x14ac:dyDescent="0.3">
      <c r="A4706" s="1"/>
    </row>
    <row r="4707" spans="1:1" x14ac:dyDescent="0.3">
      <c r="A4707" s="1"/>
    </row>
    <row r="4708" spans="1:1" x14ac:dyDescent="0.3">
      <c r="A4708" s="1"/>
    </row>
    <row r="4709" spans="1:1" x14ac:dyDescent="0.3">
      <c r="A4709" s="1"/>
    </row>
    <row r="4710" spans="1:1" x14ac:dyDescent="0.3">
      <c r="A4710" s="1"/>
    </row>
    <row r="4711" spans="1:1" x14ac:dyDescent="0.3">
      <c r="A4711" s="1"/>
    </row>
    <row r="4712" spans="1:1" x14ac:dyDescent="0.3">
      <c r="A4712" s="1"/>
    </row>
    <row r="4713" spans="1:1" x14ac:dyDescent="0.3">
      <c r="A4713" s="1"/>
    </row>
    <row r="4714" spans="1:1" x14ac:dyDescent="0.3">
      <c r="A4714" s="1"/>
    </row>
    <row r="4715" spans="1:1" x14ac:dyDescent="0.3">
      <c r="A4715" s="1"/>
    </row>
    <row r="4716" spans="1:1" x14ac:dyDescent="0.3">
      <c r="A4716" s="1"/>
    </row>
    <row r="4717" spans="1:1" x14ac:dyDescent="0.3">
      <c r="A4717" s="1"/>
    </row>
    <row r="4718" spans="1:1" x14ac:dyDescent="0.3">
      <c r="A4718" s="1"/>
    </row>
    <row r="4719" spans="1:1" x14ac:dyDescent="0.3">
      <c r="A4719" s="1"/>
    </row>
    <row r="4720" spans="1:1" x14ac:dyDescent="0.3">
      <c r="A4720" s="1"/>
    </row>
    <row r="4721" spans="1:1" x14ac:dyDescent="0.3">
      <c r="A4721" s="1"/>
    </row>
    <row r="4722" spans="1:1" x14ac:dyDescent="0.3">
      <c r="A4722" s="1"/>
    </row>
    <row r="4723" spans="1:1" x14ac:dyDescent="0.3">
      <c r="A4723" s="1"/>
    </row>
    <row r="4724" spans="1:1" x14ac:dyDescent="0.3">
      <c r="A4724" s="1"/>
    </row>
    <row r="4725" spans="1:1" x14ac:dyDescent="0.3">
      <c r="A4725" s="1"/>
    </row>
    <row r="4726" spans="1:1" x14ac:dyDescent="0.3">
      <c r="A4726" s="1"/>
    </row>
    <row r="4727" spans="1:1" x14ac:dyDescent="0.3">
      <c r="A4727" s="1"/>
    </row>
    <row r="4728" spans="1:1" x14ac:dyDescent="0.3">
      <c r="A4728" s="1"/>
    </row>
    <row r="4729" spans="1:1" x14ac:dyDescent="0.3">
      <c r="A4729" s="1"/>
    </row>
    <row r="4730" spans="1:1" x14ac:dyDescent="0.3">
      <c r="A4730" s="1"/>
    </row>
    <row r="4731" spans="1:1" x14ac:dyDescent="0.3">
      <c r="A4731" s="1"/>
    </row>
    <row r="4732" spans="1:1" x14ac:dyDescent="0.3">
      <c r="A4732" s="1"/>
    </row>
    <row r="4733" spans="1:1" x14ac:dyDescent="0.3">
      <c r="A4733" s="1"/>
    </row>
    <row r="4734" spans="1:1" x14ac:dyDescent="0.3">
      <c r="A4734" s="1"/>
    </row>
    <row r="4735" spans="1:1" x14ac:dyDescent="0.3">
      <c r="A4735" s="1"/>
    </row>
    <row r="4736" spans="1:1" x14ac:dyDescent="0.3">
      <c r="A4736" s="1"/>
    </row>
    <row r="4737" spans="1:1" x14ac:dyDescent="0.3">
      <c r="A4737" s="1"/>
    </row>
    <row r="4738" spans="1:1" x14ac:dyDescent="0.3">
      <c r="A4738" s="1"/>
    </row>
    <row r="4739" spans="1:1" x14ac:dyDescent="0.3">
      <c r="A4739" s="1"/>
    </row>
    <row r="4740" spans="1:1" x14ac:dyDescent="0.3">
      <c r="A4740" s="1"/>
    </row>
    <row r="4741" spans="1:1" x14ac:dyDescent="0.3">
      <c r="A4741" s="1"/>
    </row>
    <row r="4742" spans="1:1" x14ac:dyDescent="0.3">
      <c r="A4742" s="1"/>
    </row>
    <row r="4743" spans="1:1" x14ac:dyDescent="0.3">
      <c r="A4743" s="1"/>
    </row>
    <row r="4744" spans="1:1" x14ac:dyDescent="0.3">
      <c r="A4744" s="1"/>
    </row>
    <row r="4745" spans="1:1" x14ac:dyDescent="0.3">
      <c r="A4745" s="1"/>
    </row>
    <row r="4746" spans="1:1" x14ac:dyDescent="0.3">
      <c r="A4746" s="1"/>
    </row>
    <row r="4747" spans="1:1" x14ac:dyDescent="0.3">
      <c r="A4747" s="1"/>
    </row>
    <row r="4748" spans="1:1" x14ac:dyDescent="0.3">
      <c r="A4748" s="1"/>
    </row>
    <row r="4749" spans="1:1" x14ac:dyDescent="0.3">
      <c r="A4749" s="1"/>
    </row>
    <row r="4750" spans="1:1" x14ac:dyDescent="0.3">
      <c r="A4750" s="1"/>
    </row>
    <row r="4751" spans="1:1" x14ac:dyDescent="0.3">
      <c r="A4751" s="1"/>
    </row>
    <row r="4752" spans="1:1" x14ac:dyDescent="0.3">
      <c r="A4752" s="1"/>
    </row>
    <row r="4753" spans="1:1" x14ac:dyDescent="0.3">
      <c r="A4753" s="1"/>
    </row>
    <row r="4754" spans="1:1" x14ac:dyDescent="0.3">
      <c r="A4754" s="1"/>
    </row>
    <row r="4755" spans="1:1" x14ac:dyDescent="0.3">
      <c r="A4755" s="1"/>
    </row>
    <row r="4756" spans="1:1" x14ac:dyDescent="0.3">
      <c r="A4756" s="1"/>
    </row>
    <row r="4757" spans="1:1" x14ac:dyDescent="0.3">
      <c r="A4757" s="1"/>
    </row>
    <row r="4758" spans="1:1" x14ac:dyDescent="0.3">
      <c r="A4758" s="1"/>
    </row>
    <row r="4759" spans="1:1" x14ac:dyDescent="0.3">
      <c r="A4759" s="1"/>
    </row>
    <row r="4760" spans="1:1" x14ac:dyDescent="0.3">
      <c r="A4760" s="1"/>
    </row>
    <row r="4761" spans="1:1" x14ac:dyDescent="0.3">
      <c r="A4761" s="1"/>
    </row>
    <row r="4762" spans="1:1" x14ac:dyDescent="0.3">
      <c r="A4762" s="1"/>
    </row>
    <row r="4763" spans="1:1" x14ac:dyDescent="0.3">
      <c r="A4763" s="1"/>
    </row>
    <row r="4764" spans="1:1" x14ac:dyDescent="0.3">
      <c r="A4764" s="1"/>
    </row>
    <row r="4765" spans="1:1" x14ac:dyDescent="0.3">
      <c r="A4765" s="1"/>
    </row>
    <row r="4766" spans="1:1" x14ac:dyDescent="0.3">
      <c r="A4766" s="1"/>
    </row>
    <row r="4767" spans="1:1" x14ac:dyDescent="0.3">
      <c r="A4767" s="1"/>
    </row>
    <row r="4768" spans="1:1" x14ac:dyDescent="0.3">
      <c r="A4768" s="1"/>
    </row>
    <row r="4769" spans="1:1" x14ac:dyDescent="0.3">
      <c r="A4769" s="1"/>
    </row>
    <row r="4770" spans="1:1" x14ac:dyDescent="0.3">
      <c r="A4770" s="1"/>
    </row>
    <row r="4771" spans="1:1" x14ac:dyDescent="0.3">
      <c r="A4771" s="1"/>
    </row>
    <row r="4772" spans="1:1" x14ac:dyDescent="0.3">
      <c r="A4772" s="1"/>
    </row>
    <row r="4773" spans="1:1" x14ac:dyDescent="0.3">
      <c r="A4773" s="1"/>
    </row>
    <row r="4774" spans="1:1" x14ac:dyDescent="0.3">
      <c r="A4774" s="1"/>
    </row>
    <row r="4775" spans="1:1" x14ac:dyDescent="0.3">
      <c r="A4775" s="1"/>
    </row>
    <row r="4776" spans="1:1" x14ac:dyDescent="0.3">
      <c r="A4776" s="1"/>
    </row>
    <row r="4777" spans="1:1" x14ac:dyDescent="0.3">
      <c r="A4777" s="1"/>
    </row>
    <row r="4778" spans="1:1" x14ac:dyDescent="0.3">
      <c r="A4778" s="1"/>
    </row>
    <row r="4779" spans="1:1" x14ac:dyDescent="0.3">
      <c r="A4779" s="1"/>
    </row>
    <row r="4780" spans="1:1" x14ac:dyDescent="0.3">
      <c r="A4780" s="1"/>
    </row>
    <row r="4781" spans="1:1" x14ac:dyDescent="0.3">
      <c r="A4781" s="1"/>
    </row>
    <row r="4782" spans="1:1" x14ac:dyDescent="0.3">
      <c r="A4782" s="1"/>
    </row>
    <row r="4783" spans="1:1" x14ac:dyDescent="0.3">
      <c r="A4783" s="1"/>
    </row>
    <row r="4784" spans="1:1" x14ac:dyDescent="0.3">
      <c r="A4784" s="1"/>
    </row>
    <row r="4785" spans="1:1" x14ac:dyDescent="0.3">
      <c r="A4785" s="1"/>
    </row>
    <row r="4786" spans="1:1" x14ac:dyDescent="0.3">
      <c r="A4786" s="1"/>
    </row>
    <row r="4787" spans="1:1" x14ac:dyDescent="0.3">
      <c r="A4787" s="1"/>
    </row>
    <row r="4788" spans="1:1" x14ac:dyDescent="0.3">
      <c r="A4788" s="1"/>
    </row>
    <row r="4789" spans="1:1" x14ac:dyDescent="0.3">
      <c r="A4789" s="1"/>
    </row>
    <row r="4790" spans="1:1" x14ac:dyDescent="0.3">
      <c r="A4790" s="1"/>
    </row>
    <row r="4791" spans="1:1" x14ac:dyDescent="0.3">
      <c r="A4791" s="1"/>
    </row>
    <row r="4792" spans="1:1" x14ac:dyDescent="0.3">
      <c r="A4792" s="1"/>
    </row>
    <row r="4793" spans="1:1" x14ac:dyDescent="0.3">
      <c r="A4793" s="1"/>
    </row>
    <row r="4794" spans="1:1" x14ac:dyDescent="0.3">
      <c r="A4794" s="1"/>
    </row>
    <row r="4795" spans="1:1" x14ac:dyDescent="0.3">
      <c r="A4795" s="1"/>
    </row>
    <row r="4796" spans="1:1" x14ac:dyDescent="0.3">
      <c r="A4796" s="1"/>
    </row>
    <row r="4797" spans="1:1" x14ac:dyDescent="0.3">
      <c r="A4797" s="1"/>
    </row>
    <row r="4798" spans="1:1" x14ac:dyDescent="0.3">
      <c r="A4798" s="1"/>
    </row>
    <row r="4799" spans="1:1" x14ac:dyDescent="0.3">
      <c r="A4799" s="1"/>
    </row>
    <row r="4800" spans="1:1" x14ac:dyDescent="0.3">
      <c r="A4800" s="1"/>
    </row>
    <row r="4801" spans="1:1" x14ac:dyDescent="0.3">
      <c r="A4801" s="1"/>
    </row>
    <row r="4802" spans="1:1" x14ac:dyDescent="0.3">
      <c r="A4802" s="1"/>
    </row>
    <row r="4803" spans="1:1" x14ac:dyDescent="0.3">
      <c r="A4803" s="1"/>
    </row>
    <row r="4804" spans="1:1" x14ac:dyDescent="0.3">
      <c r="A4804" s="1"/>
    </row>
    <row r="4805" spans="1:1" x14ac:dyDescent="0.3">
      <c r="A4805" s="1"/>
    </row>
    <row r="4806" spans="1:1" x14ac:dyDescent="0.3">
      <c r="A4806" s="1"/>
    </row>
    <row r="4807" spans="1:1" x14ac:dyDescent="0.3">
      <c r="A4807" s="1"/>
    </row>
    <row r="4808" spans="1:1" x14ac:dyDescent="0.3">
      <c r="A4808" s="1"/>
    </row>
    <row r="4809" spans="1:1" x14ac:dyDescent="0.3">
      <c r="A4809" s="1"/>
    </row>
    <row r="4810" spans="1:1" x14ac:dyDescent="0.3">
      <c r="A4810" s="1"/>
    </row>
    <row r="4811" spans="1:1" x14ac:dyDescent="0.3">
      <c r="A4811" s="1"/>
    </row>
    <row r="4812" spans="1:1" x14ac:dyDescent="0.3">
      <c r="A4812" s="1"/>
    </row>
    <row r="4813" spans="1:1" x14ac:dyDescent="0.3">
      <c r="A4813" s="1"/>
    </row>
    <row r="4814" spans="1:1" x14ac:dyDescent="0.3">
      <c r="A4814" s="1"/>
    </row>
    <row r="4815" spans="1:1" x14ac:dyDescent="0.3">
      <c r="A4815" s="1"/>
    </row>
    <row r="4816" spans="1:1" x14ac:dyDescent="0.3">
      <c r="A4816" s="1"/>
    </row>
    <row r="4817" spans="1:1" x14ac:dyDescent="0.3">
      <c r="A4817" s="1"/>
    </row>
    <row r="4818" spans="1:1" x14ac:dyDescent="0.3">
      <c r="A4818" s="1"/>
    </row>
    <row r="4819" spans="1:1" x14ac:dyDescent="0.3">
      <c r="A4819" s="1"/>
    </row>
    <row r="4820" spans="1:1" x14ac:dyDescent="0.3">
      <c r="A4820" s="1"/>
    </row>
    <row r="4821" spans="1:1" x14ac:dyDescent="0.3">
      <c r="A4821" s="1"/>
    </row>
    <row r="4822" spans="1:1" x14ac:dyDescent="0.3">
      <c r="A4822" s="1"/>
    </row>
    <row r="4823" spans="1:1" x14ac:dyDescent="0.3">
      <c r="A4823" s="1"/>
    </row>
    <row r="4824" spans="1:1" x14ac:dyDescent="0.3">
      <c r="A4824" s="1"/>
    </row>
    <row r="4825" spans="1:1" x14ac:dyDescent="0.3">
      <c r="A4825" s="1"/>
    </row>
    <row r="4826" spans="1:1" x14ac:dyDescent="0.3">
      <c r="A4826" s="1"/>
    </row>
    <row r="4827" spans="1:1" x14ac:dyDescent="0.3">
      <c r="A4827" s="1"/>
    </row>
    <row r="4828" spans="1:1" x14ac:dyDescent="0.3">
      <c r="A4828" s="1"/>
    </row>
    <row r="4829" spans="1:1" x14ac:dyDescent="0.3">
      <c r="A4829" s="1"/>
    </row>
    <row r="4830" spans="1:1" x14ac:dyDescent="0.3">
      <c r="A4830" s="1"/>
    </row>
    <row r="4831" spans="1:1" x14ac:dyDescent="0.3">
      <c r="A4831" s="1"/>
    </row>
    <row r="4832" spans="1:1" x14ac:dyDescent="0.3">
      <c r="A4832" s="1"/>
    </row>
    <row r="4833" spans="1:1" x14ac:dyDescent="0.3">
      <c r="A4833" s="1"/>
    </row>
    <row r="4834" spans="1:1" x14ac:dyDescent="0.3">
      <c r="A4834" s="1"/>
    </row>
    <row r="4835" spans="1:1" x14ac:dyDescent="0.3">
      <c r="A4835" s="1"/>
    </row>
    <row r="4836" spans="1:1" x14ac:dyDescent="0.3">
      <c r="A4836" s="1"/>
    </row>
    <row r="4837" spans="1:1" x14ac:dyDescent="0.3">
      <c r="A4837" s="1"/>
    </row>
    <row r="4838" spans="1:1" x14ac:dyDescent="0.3">
      <c r="A4838" s="1"/>
    </row>
    <row r="4839" spans="1:1" x14ac:dyDescent="0.3">
      <c r="A4839" s="1"/>
    </row>
    <row r="4840" spans="1:1" x14ac:dyDescent="0.3">
      <c r="A4840" s="1"/>
    </row>
    <row r="4841" spans="1:1" x14ac:dyDescent="0.3">
      <c r="A4841" s="1"/>
    </row>
    <row r="4842" spans="1:1" x14ac:dyDescent="0.3">
      <c r="A4842" s="1"/>
    </row>
    <row r="4843" spans="1:1" x14ac:dyDescent="0.3">
      <c r="A4843" s="1"/>
    </row>
    <row r="4844" spans="1:1" x14ac:dyDescent="0.3">
      <c r="A4844" s="1"/>
    </row>
    <row r="4845" spans="1:1" x14ac:dyDescent="0.3">
      <c r="A4845" s="1"/>
    </row>
    <row r="4846" spans="1:1" x14ac:dyDescent="0.3">
      <c r="A4846" s="1"/>
    </row>
    <row r="4847" spans="1:1" x14ac:dyDescent="0.3">
      <c r="A4847" s="1"/>
    </row>
    <row r="4848" spans="1:1" x14ac:dyDescent="0.3">
      <c r="A4848" s="1"/>
    </row>
    <row r="4849" spans="1:1" x14ac:dyDescent="0.3">
      <c r="A4849" s="1"/>
    </row>
    <row r="4850" spans="1:1" x14ac:dyDescent="0.3">
      <c r="A4850" s="1"/>
    </row>
    <row r="4851" spans="1:1" x14ac:dyDescent="0.3">
      <c r="A4851" s="1"/>
    </row>
    <row r="4852" spans="1:1" x14ac:dyDescent="0.3">
      <c r="A4852" s="1"/>
    </row>
    <row r="4853" spans="1:1" x14ac:dyDescent="0.3">
      <c r="A4853" s="1"/>
    </row>
    <row r="4854" spans="1:1" x14ac:dyDescent="0.3">
      <c r="A4854" s="1"/>
    </row>
    <row r="4855" spans="1:1" x14ac:dyDescent="0.3">
      <c r="A4855" s="1"/>
    </row>
    <row r="4856" spans="1:1" x14ac:dyDescent="0.3">
      <c r="A4856" s="1"/>
    </row>
    <row r="4857" spans="1:1" x14ac:dyDescent="0.3">
      <c r="A4857" s="1"/>
    </row>
    <row r="4858" spans="1:1" x14ac:dyDescent="0.3">
      <c r="A4858" s="1"/>
    </row>
    <row r="4859" spans="1:1" x14ac:dyDescent="0.3">
      <c r="A4859" s="1"/>
    </row>
    <row r="4860" spans="1:1" x14ac:dyDescent="0.3">
      <c r="A4860" s="1"/>
    </row>
    <row r="4861" spans="1:1" x14ac:dyDescent="0.3">
      <c r="A4861" s="1"/>
    </row>
    <row r="4862" spans="1:1" x14ac:dyDescent="0.3">
      <c r="A4862" s="1"/>
    </row>
    <row r="4863" spans="1:1" x14ac:dyDescent="0.3">
      <c r="A4863" s="1"/>
    </row>
    <row r="4864" spans="1:1" x14ac:dyDescent="0.3">
      <c r="A4864" s="1"/>
    </row>
    <row r="4865" spans="1:1" x14ac:dyDescent="0.3">
      <c r="A4865" s="1"/>
    </row>
    <row r="4866" spans="1:1" x14ac:dyDescent="0.3">
      <c r="A4866" s="1"/>
    </row>
    <row r="4867" spans="1:1" x14ac:dyDescent="0.3">
      <c r="A4867" s="1"/>
    </row>
    <row r="4868" spans="1:1" x14ac:dyDescent="0.3">
      <c r="A4868" s="1"/>
    </row>
    <row r="4869" spans="1:1" x14ac:dyDescent="0.3">
      <c r="A4869" s="1"/>
    </row>
    <row r="4870" spans="1:1" x14ac:dyDescent="0.3">
      <c r="A4870" s="1"/>
    </row>
    <row r="4871" spans="1:1" x14ac:dyDescent="0.3">
      <c r="A4871" s="1"/>
    </row>
    <row r="4872" spans="1:1" x14ac:dyDescent="0.3">
      <c r="A4872" s="1"/>
    </row>
    <row r="4873" spans="1:1" x14ac:dyDescent="0.3">
      <c r="A4873" s="1"/>
    </row>
    <row r="4874" spans="1:1" x14ac:dyDescent="0.3">
      <c r="A4874" s="1"/>
    </row>
    <row r="4875" spans="1:1" x14ac:dyDescent="0.3">
      <c r="A4875" s="1"/>
    </row>
    <row r="4876" spans="1:1" x14ac:dyDescent="0.3">
      <c r="A4876" s="1"/>
    </row>
    <row r="4877" spans="1:1" x14ac:dyDescent="0.3">
      <c r="A4877" s="1"/>
    </row>
    <row r="4878" spans="1:1" x14ac:dyDescent="0.3">
      <c r="A4878" s="1"/>
    </row>
    <row r="4879" spans="1:1" x14ac:dyDescent="0.3">
      <c r="A4879" s="1"/>
    </row>
    <row r="4880" spans="1:1" x14ac:dyDescent="0.3">
      <c r="A4880" s="1"/>
    </row>
    <row r="4881" spans="1:1" x14ac:dyDescent="0.3">
      <c r="A4881" s="1"/>
    </row>
    <row r="4882" spans="1:1" x14ac:dyDescent="0.3">
      <c r="A4882" s="1"/>
    </row>
    <row r="4883" spans="1:1" x14ac:dyDescent="0.3">
      <c r="A4883" s="1"/>
    </row>
    <row r="4884" spans="1:1" x14ac:dyDescent="0.3">
      <c r="A4884" s="1"/>
    </row>
    <row r="4885" spans="1:1" x14ac:dyDescent="0.3">
      <c r="A4885" s="1"/>
    </row>
    <row r="4886" spans="1:1" x14ac:dyDescent="0.3">
      <c r="A4886" s="1"/>
    </row>
    <row r="4887" spans="1:1" x14ac:dyDescent="0.3">
      <c r="A4887" s="1"/>
    </row>
    <row r="4888" spans="1:1" x14ac:dyDescent="0.3">
      <c r="A4888" s="1"/>
    </row>
    <row r="4889" spans="1:1" x14ac:dyDescent="0.3">
      <c r="A4889" s="1"/>
    </row>
    <row r="4890" spans="1:1" x14ac:dyDescent="0.3">
      <c r="A4890" s="1"/>
    </row>
    <row r="4891" spans="1:1" x14ac:dyDescent="0.3">
      <c r="A4891" s="1"/>
    </row>
    <row r="4892" spans="1:1" x14ac:dyDescent="0.3">
      <c r="A4892" s="1"/>
    </row>
    <row r="4893" spans="1:1" x14ac:dyDescent="0.3">
      <c r="A4893" s="1"/>
    </row>
    <row r="4894" spans="1:1" x14ac:dyDescent="0.3">
      <c r="A4894" s="1"/>
    </row>
    <row r="4895" spans="1:1" x14ac:dyDescent="0.3">
      <c r="A4895" s="1"/>
    </row>
    <row r="4896" spans="1:1" x14ac:dyDescent="0.3">
      <c r="A4896" s="1"/>
    </row>
    <row r="4897" spans="1:1" x14ac:dyDescent="0.3">
      <c r="A4897" s="1"/>
    </row>
    <row r="4898" spans="1:1" x14ac:dyDescent="0.3">
      <c r="A4898" s="1"/>
    </row>
    <row r="4899" spans="1:1" x14ac:dyDescent="0.3">
      <c r="A4899" s="1"/>
    </row>
    <row r="4900" spans="1:1" x14ac:dyDescent="0.3">
      <c r="A4900" s="1"/>
    </row>
    <row r="4901" spans="1:1" x14ac:dyDescent="0.3">
      <c r="A4901" s="1"/>
    </row>
    <row r="4902" spans="1:1" x14ac:dyDescent="0.3">
      <c r="A4902" s="1"/>
    </row>
    <row r="4903" spans="1:1" x14ac:dyDescent="0.3">
      <c r="A4903" s="1"/>
    </row>
    <row r="4904" spans="1:1" x14ac:dyDescent="0.3">
      <c r="A4904" s="1"/>
    </row>
    <row r="4905" spans="1:1" x14ac:dyDescent="0.3">
      <c r="A4905" s="1"/>
    </row>
    <row r="4906" spans="1:1" x14ac:dyDescent="0.3">
      <c r="A4906" s="1"/>
    </row>
    <row r="4907" spans="1:1" x14ac:dyDescent="0.3">
      <c r="A4907" s="1"/>
    </row>
    <row r="4908" spans="1:1" x14ac:dyDescent="0.3">
      <c r="A4908" s="1"/>
    </row>
    <row r="4909" spans="1:1" x14ac:dyDescent="0.3">
      <c r="A4909" s="1"/>
    </row>
    <row r="4910" spans="1:1" x14ac:dyDescent="0.3">
      <c r="A4910" s="1"/>
    </row>
    <row r="4911" spans="1:1" x14ac:dyDescent="0.3">
      <c r="A4911" s="1"/>
    </row>
    <row r="4912" spans="1:1" x14ac:dyDescent="0.3">
      <c r="A4912" s="1"/>
    </row>
    <row r="4913" spans="1:1" x14ac:dyDescent="0.3">
      <c r="A4913" s="1"/>
    </row>
    <row r="4914" spans="1:1" x14ac:dyDescent="0.3">
      <c r="A4914" s="1"/>
    </row>
    <row r="4915" spans="1:1" x14ac:dyDescent="0.3">
      <c r="A4915" s="1"/>
    </row>
    <row r="4916" spans="1:1" x14ac:dyDescent="0.3">
      <c r="A4916" s="1"/>
    </row>
    <row r="4917" spans="1:1" x14ac:dyDescent="0.3">
      <c r="A4917" s="1"/>
    </row>
    <row r="4918" spans="1:1" x14ac:dyDescent="0.3">
      <c r="A4918" s="1"/>
    </row>
    <row r="4919" spans="1:1" x14ac:dyDescent="0.3">
      <c r="A4919" s="1"/>
    </row>
    <row r="4920" spans="1:1" x14ac:dyDescent="0.3">
      <c r="A4920" s="1"/>
    </row>
    <row r="4921" spans="1:1" x14ac:dyDescent="0.3">
      <c r="A4921" s="1"/>
    </row>
    <row r="4922" spans="1:1" x14ac:dyDescent="0.3">
      <c r="A4922" s="1"/>
    </row>
    <row r="4923" spans="1:1" x14ac:dyDescent="0.3">
      <c r="A4923" s="1"/>
    </row>
    <row r="4924" spans="1:1" x14ac:dyDescent="0.3">
      <c r="A4924" s="1"/>
    </row>
    <row r="4925" spans="1:1" x14ac:dyDescent="0.3">
      <c r="A4925" s="1"/>
    </row>
    <row r="4926" spans="1:1" x14ac:dyDescent="0.3">
      <c r="A4926" s="1"/>
    </row>
    <row r="4927" spans="1:1" x14ac:dyDescent="0.3">
      <c r="A4927" s="1"/>
    </row>
    <row r="4928" spans="1:1" x14ac:dyDescent="0.3">
      <c r="A4928" s="1"/>
    </row>
    <row r="4929" spans="1:1" x14ac:dyDescent="0.3">
      <c r="A4929" s="1"/>
    </row>
    <row r="4930" spans="1:1" x14ac:dyDescent="0.3">
      <c r="A4930" s="1"/>
    </row>
    <row r="4931" spans="1:1" x14ac:dyDescent="0.3">
      <c r="A4931" s="1"/>
    </row>
    <row r="4932" spans="1:1" x14ac:dyDescent="0.3">
      <c r="A4932" s="1"/>
    </row>
    <row r="4933" spans="1:1" x14ac:dyDescent="0.3">
      <c r="A4933" s="1"/>
    </row>
    <row r="4934" spans="1:1" x14ac:dyDescent="0.3">
      <c r="A4934" s="1"/>
    </row>
    <row r="4935" spans="1:1" x14ac:dyDescent="0.3">
      <c r="A4935" s="1"/>
    </row>
    <row r="4936" spans="1:1" x14ac:dyDescent="0.3">
      <c r="A4936" s="1"/>
    </row>
    <row r="4937" spans="1:1" x14ac:dyDescent="0.3">
      <c r="A4937" s="1"/>
    </row>
    <row r="4938" spans="1:1" x14ac:dyDescent="0.3">
      <c r="A4938" s="1"/>
    </row>
    <row r="4939" spans="1:1" x14ac:dyDescent="0.3">
      <c r="A4939" s="1"/>
    </row>
    <row r="4940" spans="1:1" x14ac:dyDescent="0.3">
      <c r="A4940" s="1"/>
    </row>
    <row r="4941" spans="1:1" x14ac:dyDescent="0.3">
      <c r="A4941" s="1"/>
    </row>
    <row r="4942" spans="1:1" x14ac:dyDescent="0.3">
      <c r="A4942" s="1"/>
    </row>
    <row r="4943" spans="1:1" x14ac:dyDescent="0.3">
      <c r="A4943" s="1"/>
    </row>
    <row r="4944" spans="1:1" x14ac:dyDescent="0.3">
      <c r="A4944" s="1"/>
    </row>
    <row r="4945" spans="1:1" x14ac:dyDescent="0.3">
      <c r="A4945" s="1"/>
    </row>
    <row r="4946" spans="1:1" x14ac:dyDescent="0.3">
      <c r="A4946" s="1"/>
    </row>
    <row r="4947" spans="1:1" x14ac:dyDescent="0.3">
      <c r="A4947" s="1"/>
    </row>
    <row r="4948" spans="1:1" x14ac:dyDescent="0.3">
      <c r="A4948" s="1"/>
    </row>
    <row r="4949" spans="1:1" x14ac:dyDescent="0.3">
      <c r="A4949" s="1"/>
    </row>
    <row r="4950" spans="1:1" x14ac:dyDescent="0.3">
      <c r="A4950" s="1"/>
    </row>
    <row r="4951" spans="1:1" x14ac:dyDescent="0.3">
      <c r="A4951" s="1"/>
    </row>
    <row r="4952" spans="1:1" x14ac:dyDescent="0.3">
      <c r="A4952" s="1"/>
    </row>
    <row r="4953" spans="1:1" x14ac:dyDescent="0.3">
      <c r="A4953" s="1"/>
    </row>
    <row r="4954" spans="1:1" x14ac:dyDescent="0.3">
      <c r="A4954" s="1"/>
    </row>
    <row r="4955" spans="1:1" x14ac:dyDescent="0.3">
      <c r="A4955" s="1"/>
    </row>
    <row r="4956" spans="1:1" x14ac:dyDescent="0.3">
      <c r="A4956" s="1"/>
    </row>
    <row r="4957" spans="1:1" x14ac:dyDescent="0.3">
      <c r="A4957" s="1"/>
    </row>
    <row r="4958" spans="1:1" x14ac:dyDescent="0.3">
      <c r="A4958" s="1"/>
    </row>
    <row r="4959" spans="1:1" x14ac:dyDescent="0.3">
      <c r="A4959" s="1"/>
    </row>
    <row r="4960" spans="1:1" x14ac:dyDescent="0.3">
      <c r="A4960" s="1"/>
    </row>
    <row r="4961" spans="1:1" x14ac:dyDescent="0.3">
      <c r="A4961" s="1"/>
    </row>
    <row r="4962" spans="1:1" x14ac:dyDescent="0.3">
      <c r="A4962" s="1"/>
    </row>
    <row r="4963" spans="1:1" x14ac:dyDescent="0.3">
      <c r="A4963" s="1"/>
    </row>
    <row r="4964" spans="1:1" x14ac:dyDescent="0.3">
      <c r="A4964" s="1"/>
    </row>
    <row r="4965" spans="1:1" x14ac:dyDescent="0.3">
      <c r="A4965" s="1"/>
    </row>
    <row r="4966" spans="1:1" x14ac:dyDescent="0.3">
      <c r="A4966" s="1"/>
    </row>
    <row r="4967" spans="1:1" x14ac:dyDescent="0.3">
      <c r="A4967" s="1"/>
    </row>
    <row r="4968" spans="1:1" x14ac:dyDescent="0.3">
      <c r="A4968" s="1"/>
    </row>
    <row r="4969" spans="1:1" x14ac:dyDescent="0.3">
      <c r="A4969" s="1"/>
    </row>
    <row r="4970" spans="1:1" x14ac:dyDescent="0.3">
      <c r="A4970" s="1"/>
    </row>
    <row r="4971" spans="1:1" x14ac:dyDescent="0.3">
      <c r="A4971" s="1"/>
    </row>
    <row r="4972" spans="1:1" x14ac:dyDescent="0.3">
      <c r="A4972" s="1"/>
    </row>
    <row r="4973" spans="1:1" x14ac:dyDescent="0.3">
      <c r="A4973" s="1"/>
    </row>
    <row r="4974" spans="1:1" x14ac:dyDescent="0.3">
      <c r="A4974" s="1"/>
    </row>
    <row r="4975" spans="1:1" x14ac:dyDescent="0.3">
      <c r="A4975" s="1"/>
    </row>
    <row r="4976" spans="1:1" x14ac:dyDescent="0.3">
      <c r="A4976" s="1"/>
    </row>
    <row r="4977" spans="1:1" x14ac:dyDescent="0.3">
      <c r="A4977" s="1"/>
    </row>
    <row r="4978" spans="1:1" x14ac:dyDescent="0.3">
      <c r="A4978" s="1"/>
    </row>
    <row r="4979" spans="1:1" x14ac:dyDescent="0.3">
      <c r="A4979" s="1"/>
    </row>
    <row r="4980" spans="1:1" x14ac:dyDescent="0.3">
      <c r="A4980" s="1"/>
    </row>
    <row r="4981" spans="1:1" x14ac:dyDescent="0.3">
      <c r="A4981" s="1"/>
    </row>
    <row r="4982" spans="1:1" x14ac:dyDescent="0.3">
      <c r="A4982" s="1"/>
    </row>
    <row r="4983" spans="1:1" x14ac:dyDescent="0.3">
      <c r="A4983" s="1"/>
    </row>
    <row r="4984" spans="1:1" x14ac:dyDescent="0.3">
      <c r="A4984" s="1"/>
    </row>
    <row r="4985" spans="1:1" x14ac:dyDescent="0.3">
      <c r="A4985" s="1"/>
    </row>
    <row r="4986" spans="1:1" x14ac:dyDescent="0.3">
      <c r="A4986" s="1"/>
    </row>
    <row r="4987" spans="1:1" x14ac:dyDescent="0.3">
      <c r="A4987" s="1"/>
    </row>
    <row r="4988" spans="1:1" x14ac:dyDescent="0.3">
      <c r="A4988" s="1"/>
    </row>
    <row r="4989" spans="1:1" x14ac:dyDescent="0.3">
      <c r="A4989" s="1"/>
    </row>
    <row r="4990" spans="1:1" x14ac:dyDescent="0.3">
      <c r="A4990" s="1"/>
    </row>
    <row r="4991" spans="1:1" x14ac:dyDescent="0.3">
      <c r="A4991" s="1"/>
    </row>
    <row r="4992" spans="1:1" x14ac:dyDescent="0.3">
      <c r="A4992" s="1"/>
    </row>
    <row r="4993" spans="1:1" x14ac:dyDescent="0.3">
      <c r="A4993" s="1"/>
    </row>
    <row r="4994" spans="1:1" x14ac:dyDescent="0.3">
      <c r="A4994" s="1"/>
    </row>
    <row r="4995" spans="1:1" x14ac:dyDescent="0.3">
      <c r="A4995" s="1"/>
    </row>
    <row r="4996" spans="1:1" x14ac:dyDescent="0.3">
      <c r="A4996" s="1"/>
    </row>
    <row r="4997" spans="1:1" x14ac:dyDescent="0.3">
      <c r="A4997" s="1"/>
    </row>
    <row r="4998" spans="1:1" x14ac:dyDescent="0.3">
      <c r="A4998" s="1"/>
    </row>
    <row r="4999" spans="1:1" x14ac:dyDescent="0.3">
      <c r="A4999" s="1"/>
    </row>
    <row r="5000" spans="1:1" x14ac:dyDescent="0.3">
      <c r="A5000" s="1"/>
    </row>
    <row r="5001" spans="1:1" x14ac:dyDescent="0.3">
      <c r="A5001" s="1"/>
    </row>
    <row r="5002" spans="1:1" x14ac:dyDescent="0.3">
      <c r="A5002" s="1"/>
    </row>
    <row r="5003" spans="1:1" x14ac:dyDescent="0.3">
      <c r="A5003" s="1"/>
    </row>
    <row r="5004" spans="1:1" x14ac:dyDescent="0.3">
      <c r="A5004" s="1"/>
    </row>
    <row r="5005" spans="1:1" x14ac:dyDescent="0.3">
      <c r="A5005" s="1"/>
    </row>
    <row r="5006" spans="1:1" x14ac:dyDescent="0.3">
      <c r="A5006" s="1"/>
    </row>
    <row r="5007" spans="1:1" x14ac:dyDescent="0.3">
      <c r="A5007" s="1"/>
    </row>
    <row r="5008" spans="1:1" x14ac:dyDescent="0.3">
      <c r="A5008" s="1"/>
    </row>
    <row r="5009" spans="1:1" x14ac:dyDescent="0.3">
      <c r="A5009" s="1"/>
    </row>
    <row r="5010" spans="1:1" x14ac:dyDescent="0.3">
      <c r="A5010" s="1"/>
    </row>
    <row r="5011" spans="1:1" x14ac:dyDescent="0.3">
      <c r="A5011" s="1"/>
    </row>
    <row r="5012" spans="1:1" x14ac:dyDescent="0.3">
      <c r="A5012" s="1"/>
    </row>
    <row r="5013" spans="1:1" x14ac:dyDescent="0.3">
      <c r="A5013" s="1"/>
    </row>
    <row r="5014" spans="1:1" x14ac:dyDescent="0.3">
      <c r="A5014" s="1"/>
    </row>
    <row r="5015" spans="1:1" x14ac:dyDescent="0.3">
      <c r="A5015" s="1"/>
    </row>
    <row r="5016" spans="1:1" x14ac:dyDescent="0.3">
      <c r="A5016" s="1"/>
    </row>
    <row r="5017" spans="1:1" x14ac:dyDescent="0.3">
      <c r="A5017" s="1"/>
    </row>
    <row r="5018" spans="1:1" x14ac:dyDescent="0.3">
      <c r="A5018" s="1"/>
    </row>
    <row r="5019" spans="1:1" x14ac:dyDescent="0.3">
      <c r="A5019" s="1"/>
    </row>
    <row r="5020" spans="1:1" x14ac:dyDescent="0.3">
      <c r="A5020" s="1"/>
    </row>
    <row r="5021" spans="1:1" x14ac:dyDescent="0.3">
      <c r="A5021" s="1"/>
    </row>
    <row r="5022" spans="1:1" x14ac:dyDescent="0.3">
      <c r="A5022" s="1"/>
    </row>
    <row r="5023" spans="1:1" x14ac:dyDescent="0.3">
      <c r="A5023" s="1"/>
    </row>
    <row r="5024" spans="1:1" x14ac:dyDescent="0.3">
      <c r="A5024" s="1"/>
    </row>
    <row r="5025" spans="1:1" x14ac:dyDescent="0.3">
      <c r="A5025" s="1"/>
    </row>
    <row r="5026" spans="1:1" x14ac:dyDescent="0.3">
      <c r="A5026" s="1"/>
    </row>
    <row r="5027" spans="1:1" x14ac:dyDescent="0.3">
      <c r="A5027" s="1"/>
    </row>
    <row r="5028" spans="1:1" x14ac:dyDescent="0.3">
      <c r="A5028" s="1"/>
    </row>
    <row r="5029" spans="1:1" x14ac:dyDescent="0.3">
      <c r="A5029" s="1"/>
    </row>
    <row r="5030" spans="1:1" x14ac:dyDescent="0.3">
      <c r="A5030" s="1"/>
    </row>
    <row r="5031" spans="1:1" x14ac:dyDescent="0.3">
      <c r="A5031" s="1"/>
    </row>
    <row r="5032" spans="1:1" x14ac:dyDescent="0.3">
      <c r="A5032" s="1"/>
    </row>
    <row r="5033" spans="1:1" x14ac:dyDescent="0.3">
      <c r="A5033" s="1"/>
    </row>
    <row r="5034" spans="1:1" x14ac:dyDescent="0.3">
      <c r="A5034" s="1"/>
    </row>
    <row r="5035" spans="1:1" x14ac:dyDescent="0.3">
      <c r="A5035" s="1"/>
    </row>
    <row r="5036" spans="1:1" x14ac:dyDescent="0.3">
      <c r="A5036" s="1"/>
    </row>
    <row r="5037" spans="1:1" x14ac:dyDescent="0.3">
      <c r="A5037" s="1"/>
    </row>
    <row r="5038" spans="1:1" x14ac:dyDescent="0.3">
      <c r="A5038" s="1"/>
    </row>
    <row r="5039" spans="1:1" x14ac:dyDescent="0.3">
      <c r="A5039" s="1"/>
    </row>
    <row r="5040" spans="1:1" x14ac:dyDescent="0.3">
      <c r="A5040" s="1"/>
    </row>
    <row r="5041" spans="1:1" x14ac:dyDescent="0.3">
      <c r="A5041" s="1"/>
    </row>
    <row r="5042" spans="1:1" x14ac:dyDescent="0.3">
      <c r="A5042" s="1"/>
    </row>
    <row r="5043" spans="1:1" x14ac:dyDescent="0.3">
      <c r="A5043" s="1"/>
    </row>
    <row r="5044" spans="1:1" x14ac:dyDescent="0.3">
      <c r="A5044" s="1"/>
    </row>
    <row r="5045" spans="1:1" x14ac:dyDescent="0.3">
      <c r="A5045" s="1"/>
    </row>
    <row r="5046" spans="1:1" x14ac:dyDescent="0.3">
      <c r="A5046" s="1"/>
    </row>
    <row r="5047" spans="1:1" x14ac:dyDescent="0.3">
      <c r="A5047" s="1"/>
    </row>
    <row r="5048" spans="1:1" x14ac:dyDescent="0.3">
      <c r="A5048" s="1"/>
    </row>
    <row r="5049" spans="1:1" x14ac:dyDescent="0.3">
      <c r="A5049" s="1"/>
    </row>
    <row r="5050" spans="1:1" x14ac:dyDescent="0.3">
      <c r="A5050" s="1"/>
    </row>
    <row r="5051" spans="1:1" x14ac:dyDescent="0.3">
      <c r="A5051" s="1"/>
    </row>
    <row r="5052" spans="1:1" x14ac:dyDescent="0.3">
      <c r="A5052" s="1"/>
    </row>
    <row r="5053" spans="1:1" x14ac:dyDescent="0.3">
      <c r="A5053" s="1"/>
    </row>
    <row r="5054" spans="1:1" x14ac:dyDescent="0.3">
      <c r="A5054" s="1"/>
    </row>
    <row r="5055" spans="1:1" x14ac:dyDescent="0.3">
      <c r="A5055" s="1"/>
    </row>
    <row r="5056" spans="1:1" x14ac:dyDescent="0.3">
      <c r="A5056" s="1"/>
    </row>
    <row r="5057" spans="1:1" x14ac:dyDescent="0.3">
      <c r="A5057" s="1"/>
    </row>
    <row r="5058" spans="1:1" x14ac:dyDescent="0.3">
      <c r="A5058" s="1"/>
    </row>
    <row r="5059" spans="1:1" x14ac:dyDescent="0.3">
      <c r="A5059" s="1"/>
    </row>
    <row r="5060" spans="1:1" x14ac:dyDescent="0.3">
      <c r="A5060" s="1"/>
    </row>
    <row r="5061" spans="1:1" x14ac:dyDescent="0.3">
      <c r="A5061" s="1"/>
    </row>
    <row r="5062" spans="1:1" x14ac:dyDescent="0.3">
      <c r="A5062" s="1"/>
    </row>
    <row r="5063" spans="1:1" x14ac:dyDescent="0.3">
      <c r="A5063" s="1"/>
    </row>
    <row r="5064" spans="1:1" x14ac:dyDescent="0.3">
      <c r="A5064" s="1"/>
    </row>
    <row r="5065" spans="1:1" x14ac:dyDescent="0.3">
      <c r="A5065" s="1"/>
    </row>
    <row r="5066" spans="1:1" x14ac:dyDescent="0.3">
      <c r="A5066" s="1"/>
    </row>
    <row r="5067" spans="1:1" x14ac:dyDescent="0.3">
      <c r="A5067" s="1"/>
    </row>
    <row r="5068" spans="1:1" x14ac:dyDescent="0.3">
      <c r="A5068" s="1"/>
    </row>
    <row r="5069" spans="1:1" x14ac:dyDescent="0.3">
      <c r="A5069" s="1"/>
    </row>
    <row r="5070" spans="1:1" x14ac:dyDescent="0.3">
      <c r="A5070" s="1"/>
    </row>
    <row r="5071" spans="1:1" x14ac:dyDescent="0.3">
      <c r="A5071" s="1"/>
    </row>
    <row r="5072" spans="1:1" x14ac:dyDescent="0.3">
      <c r="A5072" s="1"/>
    </row>
    <row r="5073" spans="1:1" x14ac:dyDescent="0.3">
      <c r="A5073" s="1"/>
    </row>
    <row r="5074" spans="1:1" x14ac:dyDescent="0.3">
      <c r="A5074" s="1"/>
    </row>
    <row r="5075" spans="1:1" x14ac:dyDescent="0.3">
      <c r="A5075" s="1"/>
    </row>
    <row r="5076" spans="1:1" x14ac:dyDescent="0.3">
      <c r="A5076" s="1"/>
    </row>
    <row r="5077" spans="1:1" x14ac:dyDescent="0.3">
      <c r="A5077" s="1"/>
    </row>
    <row r="5078" spans="1:1" x14ac:dyDescent="0.3">
      <c r="A5078" s="1"/>
    </row>
    <row r="5079" spans="1:1" x14ac:dyDescent="0.3">
      <c r="A5079" s="1"/>
    </row>
    <row r="5080" spans="1:1" x14ac:dyDescent="0.3">
      <c r="A5080" s="1"/>
    </row>
    <row r="5081" spans="1:1" x14ac:dyDescent="0.3">
      <c r="A5081" s="1"/>
    </row>
    <row r="5082" spans="1:1" x14ac:dyDescent="0.3">
      <c r="A5082" s="1"/>
    </row>
    <row r="5083" spans="1:1" x14ac:dyDescent="0.3">
      <c r="A5083" s="1"/>
    </row>
    <row r="5084" spans="1:1" x14ac:dyDescent="0.3">
      <c r="A5084" s="1"/>
    </row>
    <row r="5085" spans="1:1" x14ac:dyDescent="0.3">
      <c r="A5085" s="1"/>
    </row>
    <row r="5086" spans="1:1" x14ac:dyDescent="0.3">
      <c r="A5086" s="1"/>
    </row>
    <row r="5087" spans="1:1" x14ac:dyDescent="0.3">
      <c r="A5087" s="1"/>
    </row>
    <row r="5088" spans="1:1" x14ac:dyDescent="0.3">
      <c r="A5088" s="1"/>
    </row>
    <row r="5089" spans="1:1" x14ac:dyDescent="0.3">
      <c r="A5089" s="1"/>
    </row>
    <row r="5090" spans="1:1" x14ac:dyDescent="0.3">
      <c r="A5090" s="1"/>
    </row>
    <row r="5091" spans="1:1" x14ac:dyDescent="0.3">
      <c r="A5091" s="1"/>
    </row>
    <row r="5092" spans="1:1" x14ac:dyDescent="0.3">
      <c r="A5092" s="1"/>
    </row>
    <row r="5093" spans="1:1" x14ac:dyDescent="0.3">
      <c r="A5093" s="1"/>
    </row>
    <row r="5094" spans="1:1" x14ac:dyDescent="0.3">
      <c r="A5094" s="1"/>
    </row>
    <row r="5095" spans="1:1" x14ac:dyDescent="0.3">
      <c r="A5095" s="1"/>
    </row>
    <row r="5096" spans="1:1" x14ac:dyDescent="0.3">
      <c r="A5096" s="1"/>
    </row>
    <row r="5097" spans="1:1" x14ac:dyDescent="0.3">
      <c r="A5097" s="1"/>
    </row>
    <row r="5098" spans="1:1" x14ac:dyDescent="0.3">
      <c r="A5098" s="1"/>
    </row>
    <row r="5099" spans="1:1" x14ac:dyDescent="0.3">
      <c r="A5099" s="1"/>
    </row>
    <row r="5100" spans="1:1" x14ac:dyDescent="0.3">
      <c r="A5100" s="1"/>
    </row>
    <row r="5101" spans="1:1" x14ac:dyDescent="0.3">
      <c r="A5101" s="1"/>
    </row>
    <row r="5102" spans="1:1" x14ac:dyDescent="0.3">
      <c r="A5102" s="1"/>
    </row>
    <row r="5103" spans="1:1" x14ac:dyDescent="0.3">
      <c r="A5103" s="1"/>
    </row>
    <row r="5104" spans="1:1" x14ac:dyDescent="0.3">
      <c r="A5104" s="1"/>
    </row>
    <row r="5105" spans="1:1" x14ac:dyDescent="0.3">
      <c r="A5105" s="1"/>
    </row>
    <row r="5106" spans="1:1" x14ac:dyDescent="0.3">
      <c r="A5106" s="1"/>
    </row>
    <row r="5107" spans="1:1" x14ac:dyDescent="0.3">
      <c r="A5107" s="1"/>
    </row>
    <row r="5108" spans="1:1" x14ac:dyDescent="0.3">
      <c r="A5108" s="1"/>
    </row>
    <row r="5109" spans="1:1" x14ac:dyDescent="0.3">
      <c r="A5109" s="1"/>
    </row>
    <row r="5110" spans="1:1" x14ac:dyDescent="0.3">
      <c r="A5110" s="1"/>
    </row>
    <row r="5111" spans="1:1" x14ac:dyDescent="0.3">
      <c r="A5111" s="1"/>
    </row>
    <row r="5112" spans="1:1" x14ac:dyDescent="0.3">
      <c r="A5112" s="1"/>
    </row>
    <row r="5113" spans="1:1" x14ac:dyDescent="0.3">
      <c r="A5113" s="1"/>
    </row>
    <row r="5114" spans="1:1" x14ac:dyDescent="0.3">
      <c r="A5114" s="1"/>
    </row>
    <row r="5115" spans="1:1" x14ac:dyDescent="0.3">
      <c r="A5115" s="1"/>
    </row>
    <row r="5116" spans="1:1" x14ac:dyDescent="0.3">
      <c r="A5116" s="1"/>
    </row>
    <row r="5117" spans="1:1" x14ac:dyDescent="0.3">
      <c r="A5117" s="1"/>
    </row>
    <row r="5118" spans="1:1" x14ac:dyDescent="0.3">
      <c r="A5118" s="1"/>
    </row>
    <row r="5119" spans="1:1" x14ac:dyDescent="0.3">
      <c r="A5119" s="1"/>
    </row>
    <row r="5120" spans="1:1" x14ac:dyDescent="0.3">
      <c r="A5120" s="1"/>
    </row>
    <row r="5121" spans="1:1" x14ac:dyDescent="0.3">
      <c r="A5121" s="1"/>
    </row>
    <row r="5122" spans="1:1" x14ac:dyDescent="0.3">
      <c r="A5122" s="1"/>
    </row>
    <row r="5123" spans="1:1" x14ac:dyDescent="0.3">
      <c r="A5123" s="1"/>
    </row>
    <row r="5124" spans="1:1" x14ac:dyDescent="0.3">
      <c r="A5124" s="1"/>
    </row>
    <row r="5126" spans="1:1" x14ac:dyDescent="0.3">
      <c r="A5126" s="1"/>
    </row>
    <row r="5127" spans="1:1" x14ac:dyDescent="0.3">
      <c r="A5127" s="1"/>
    </row>
    <row r="5128" spans="1:1" x14ac:dyDescent="0.3">
      <c r="A5128" s="1"/>
    </row>
    <row r="5129" spans="1:1" x14ac:dyDescent="0.3">
      <c r="A5129" s="1"/>
    </row>
    <row r="5130" spans="1:1" x14ac:dyDescent="0.3">
      <c r="A5130" s="1"/>
    </row>
    <row r="5131" spans="1:1" x14ac:dyDescent="0.3">
      <c r="A5131" s="1"/>
    </row>
    <row r="5132" spans="1:1" x14ac:dyDescent="0.3">
      <c r="A5132" s="1"/>
    </row>
    <row r="5133" spans="1:1" x14ac:dyDescent="0.3">
      <c r="A5133" s="1"/>
    </row>
    <row r="5134" spans="1:1" x14ac:dyDescent="0.3">
      <c r="A5134" s="1"/>
    </row>
    <row r="5135" spans="1:1" x14ac:dyDescent="0.3">
      <c r="A5135" s="1"/>
    </row>
    <row r="5136" spans="1:1" x14ac:dyDescent="0.3">
      <c r="A5136" s="1"/>
    </row>
    <row r="5137" spans="1:1" x14ac:dyDescent="0.3">
      <c r="A5137" s="1"/>
    </row>
    <row r="5138" spans="1:1" x14ac:dyDescent="0.3">
      <c r="A5138" s="1"/>
    </row>
    <row r="5139" spans="1:1" x14ac:dyDescent="0.3">
      <c r="A5139" s="1"/>
    </row>
    <row r="5140" spans="1:1" x14ac:dyDescent="0.3">
      <c r="A5140" s="1"/>
    </row>
    <row r="5141" spans="1:1" x14ac:dyDescent="0.3">
      <c r="A5141" s="1"/>
    </row>
    <row r="5142" spans="1:1" x14ac:dyDescent="0.3">
      <c r="A5142" s="1"/>
    </row>
    <row r="5143" spans="1:1" x14ac:dyDescent="0.3">
      <c r="A5143" s="1"/>
    </row>
    <row r="5144" spans="1:1" x14ac:dyDescent="0.3">
      <c r="A5144" s="1"/>
    </row>
    <row r="5145" spans="1:1" x14ac:dyDescent="0.3">
      <c r="A5145" s="1"/>
    </row>
    <row r="5146" spans="1:1" x14ac:dyDescent="0.3">
      <c r="A5146" s="1"/>
    </row>
    <row r="5147" spans="1:1" x14ac:dyDescent="0.3">
      <c r="A5147" s="1"/>
    </row>
    <row r="5148" spans="1:1" x14ac:dyDescent="0.3">
      <c r="A5148" s="1"/>
    </row>
    <row r="5149" spans="1:1" x14ac:dyDescent="0.3">
      <c r="A5149" s="1"/>
    </row>
    <row r="5150" spans="1:1" x14ac:dyDescent="0.3">
      <c r="A5150" s="1"/>
    </row>
    <row r="5151" spans="1:1" x14ac:dyDescent="0.3">
      <c r="A5151" s="1"/>
    </row>
    <row r="5152" spans="1:1" x14ac:dyDescent="0.3">
      <c r="A5152" s="1"/>
    </row>
    <row r="5153" spans="1:1" x14ac:dyDescent="0.3">
      <c r="A5153" s="1"/>
    </row>
    <row r="5154" spans="1:1" x14ac:dyDescent="0.3">
      <c r="A5154" s="1"/>
    </row>
    <row r="5155" spans="1:1" x14ac:dyDescent="0.3">
      <c r="A5155" s="1"/>
    </row>
    <row r="5156" spans="1:1" x14ac:dyDescent="0.3">
      <c r="A5156" s="1"/>
    </row>
    <row r="5157" spans="1:1" x14ac:dyDescent="0.3">
      <c r="A5157" s="1"/>
    </row>
    <row r="5158" spans="1:1" x14ac:dyDescent="0.3">
      <c r="A5158" s="1"/>
    </row>
    <row r="5159" spans="1:1" x14ac:dyDescent="0.3">
      <c r="A5159" s="1"/>
    </row>
    <row r="5160" spans="1:1" x14ac:dyDescent="0.3">
      <c r="A5160" s="1"/>
    </row>
    <row r="5161" spans="1:1" x14ac:dyDescent="0.3">
      <c r="A5161" s="1"/>
    </row>
    <row r="5162" spans="1:1" x14ac:dyDescent="0.3">
      <c r="A5162" s="1"/>
    </row>
    <row r="5163" spans="1:1" x14ac:dyDescent="0.3">
      <c r="A5163" s="1"/>
    </row>
    <row r="5164" spans="1:1" x14ac:dyDescent="0.3">
      <c r="A5164" s="1"/>
    </row>
    <row r="5165" spans="1:1" x14ac:dyDescent="0.3">
      <c r="A5165" s="1"/>
    </row>
    <row r="5166" spans="1:1" x14ac:dyDescent="0.3">
      <c r="A5166" s="1"/>
    </row>
    <row r="5167" spans="1:1" x14ac:dyDescent="0.3">
      <c r="A5167" s="1"/>
    </row>
    <row r="5168" spans="1:1" x14ac:dyDescent="0.3">
      <c r="A5168" s="1"/>
    </row>
    <row r="5169" spans="1:1" x14ac:dyDescent="0.3">
      <c r="A5169" s="1"/>
    </row>
    <row r="5170" spans="1:1" x14ac:dyDescent="0.3">
      <c r="A5170" s="1"/>
    </row>
    <row r="5171" spans="1:1" x14ac:dyDescent="0.3">
      <c r="A5171" s="1"/>
    </row>
    <row r="5172" spans="1:1" x14ac:dyDescent="0.3">
      <c r="A5172" s="1"/>
    </row>
    <row r="5173" spans="1:1" x14ac:dyDescent="0.3">
      <c r="A5173" s="1"/>
    </row>
    <row r="5174" spans="1:1" x14ac:dyDescent="0.3">
      <c r="A5174" s="1"/>
    </row>
    <row r="5175" spans="1:1" x14ac:dyDescent="0.3">
      <c r="A5175" s="1"/>
    </row>
    <row r="5176" spans="1:1" x14ac:dyDescent="0.3">
      <c r="A5176" s="1"/>
    </row>
    <row r="5177" spans="1:1" x14ac:dyDescent="0.3">
      <c r="A5177" s="1"/>
    </row>
    <row r="5178" spans="1:1" x14ac:dyDescent="0.3">
      <c r="A5178" s="1"/>
    </row>
    <row r="5179" spans="1:1" x14ac:dyDescent="0.3">
      <c r="A5179" s="1"/>
    </row>
    <row r="5180" spans="1:1" x14ac:dyDescent="0.3">
      <c r="A5180" s="1"/>
    </row>
    <row r="5181" spans="1:1" x14ac:dyDescent="0.3">
      <c r="A5181" s="1"/>
    </row>
    <row r="5182" spans="1:1" x14ac:dyDescent="0.3">
      <c r="A5182" s="1"/>
    </row>
    <row r="5183" spans="1:1" x14ac:dyDescent="0.3">
      <c r="A5183" s="1"/>
    </row>
    <row r="5184" spans="1:1" x14ac:dyDescent="0.3">
      <c r="A5184" s="1"/>
    </row>
    <row r="5185" spans="1:1" x14ac:dyDescent="0.3">
      <c r="A5185" s="1"/>
    </row>
    <row r="5186" spans="1:1" x14ac:dyDescent="0.3">
      <c r="A5186" s="1"/>
    </row>
    <row r="5187" spans="1:1" x14ac:dyDescent="0.3">
      <c r="A5187" s="1"/>
    </row>
    <row r="5188" spans="1:1" x14ac:dyDescent="0.3">
      <c r="A5188" s="1"/>
    </row>
    <row r="5189" spans="1:1" x14ac:dyDescent="0.3">
      <c r="A5189" s="1"/>
    </row>
    <row r="5190" spans="1:1" x14ac:dyDescent="0.3">
      <c r="A5190" s="1"/>
    </row>
    <row r="5191" spans="1:1" x14ac:dyDescent="0.3">
      <c r="A5191" s="1"/>
    </row>
    <row r="5192" spans="1:1" x14ac:dyDescent="0.3">
      <c r="A5192" s="1"/>
    </row>
    <row r="5193" spans="1:1" x14ac:dyDescent="0.3">
      <c r="A5193" s="1"/>
    </row>
    <row r="5194" spans="1:1" x14ac:dyDescent="0.3">
      <c r="A5194" s="1"/>
    </row>
    <row r="5195" spans="1:1" x14ac:dyDescent="0.3">
      <c r="A5195" s="1"/>
    </row>
    <row r="5196" spans="1:1" x14ac:dyDescent="0.3">
      <c r="A5196" s="1"/>
    </row>
    <row r="5197" spans="1:1" x14ac:dyDescent="0.3">
      <c r="A5197" s="1"/>
    </row>
    <row r="5198" spans="1:1" x14ac:dyDescent="0.3">
      <c r="A5198" s="1"/>
    </row>
    <row r="5199" spans="1:1" x14ac:dyDescent="0.3">
      <c r="A5199" s="1"/>
    </row>
    <row r="5200" spans="1:1" x14ac:dyDescent="0.3">
      <c r="A5200" s="1"/>
    </row>
    <row r="5201" spans="1:1" x14ac:dyDescent="0.3">
      <c r="A5201" s="1"/>
    </row>
    <row r="5202" spans="1:1" x14ac:dyDescent="0.3">
      <c r="A5202" s="1"/>
    </row>
    <row r="5203" spans="1:1" x14ac:dyDescent="0.3">
      <c r="A5203" s="1"/>
    </row>
    <row r="5204" spans="1:1" x14ac:dyDescent="0.3">
      <c r="A5204" s="1"/>
    </row>
    <row r="5205" spans="1:1" x14ac:dyDescent="0.3">
      <c r="A5205" s="1"/>
    </row>
    <row r="5206" spans="1:1" x14ac:dyDescent="0.3">
      <c r="A5206" s="1"/>
    </row>
    <row r="5207" spans="1:1" x14ac:dyDescent="0.3">
      <c r="A5207" s="1"/>
    </row>
    <row r="5208" spans="1:1" x14ac:dyDescent="0.3">
      <c r="A5208" s="1"/>
    </row>
    <row r="5209" spans="1:1" x14ac:dyDescent="0.3">
      <c r="A5209" s="1"/>
    </row>
    <row r="5210" spans="1:1" x14ac:dyDescent="0.3">
      <c r="A5210" s="1"/>
    </row>
    <row r="5211" spans="1:1" x14ac:dyDescent="0.3">
      <c r="A5211" s="1"/>
    </row>
    <row r="5212" spans="1:1" x14ac:dyDescent="0.3">
      <c r="A5212" s="1"/>
    </row>
    <row r="5213" spans="1:1" x14ac:dyDescent="0.3">
      <c r="A5213" s="1"/>
    </row>
    <row r="5214" spans="1:1" x14ac:dyDescent="0.3">
      <c r="A5214" s="1"/>
    </row>
    <row r="5215" spans="1:1" x14ac:dyDescent="0.3">
      <c r="A5215" s="1"/>
    </row>
    <row r="5216" spans="1:1" x14ac:dyDescent="0.3">
      <c r="A5216" s="1"/>
    </row>
    <row r="5217" spans="1:1" x14ac:dyDescent="0.3">
      <c r="A5217" s="1"/>
    </row>
    <row r="5218" spans="1:1" x14ac:dyDescent="0.3">
      <c r="A5218" s="1"/>
    </row>
    <row r="5219" spans="1:1" x14ac:dyDescent="0.3">
      <c r="A5219" s="1"/>
    </row>
    <row r="5220" spans="1:1" x14ac:dyDescent="0.3">
      <c r="A5220" s="1"/>
    </row>
    <row r="5221" spans="1:1" x14ac:dyDescent="0.3">
      <c r="A5221" s="1"/>
    </row>
    <row r="5222" spans="1:1" x14ac:dyDescent="0.3">
      <c r="A5222" s="1"/>
    </row>
    <row r="5223" spans="1:1" x14ac:dyDescent="0.3">
      <c r="A5223" s="1"/>
    </row>
    <row r="5224" spans="1:1" x14ac:dyDescent="0.3">
      <c r="A5224" s="1"/>
    </row>
    <row r="5225" spans="1:1" x14ac:dyDescent="0.3">
      <c r="A5225" s="1"/>
    </row>
    <row r="5226" spans="1:1" x14ac:dyDescent="0.3">
      <c r="A5226" s="1"/>
    </row>
    <row r="5227" spans="1:1" x14ac:dyDescent="0.3">
      <c r="A5227" s="1"/>
    </row>
    <row r="5228" spans="1:1" x14ac:dyDescent="0.3">
      <c r="A5228" s="1"/>
    </row>
    <row r="5229" spans="1:1" x14ac:dyDescent="0.3">
      <c r="A5229" s="1"/>
    </row>
    <row r="5230" spans="1:1" x14ac:dyDescent="0.3">
      <c r="A5230" s="1"/>
    </row>
    <row r="5231" spans="1:1" x14ac:dyDescent="0.3">
      <c r="A5231" s="1"/>
    </row>
    <row r="5232" spans="1:1" x14ac:dyDescent="0.3">
      <c r="A5232" s="1"/>
    </row>
    <row r="5233" spans="1:1" x14ac:dyDescent="0.3">
      <c r="A5233" s="1"/>
    </row>
    <row r="5234" spans="1:1" x14ac:dyDescent="0.3">
      <c r="A5234" s="1"/>
    </row>
    <row r="5235" spans="1:1" x14ac:dyDescent="0.3">
      <c r="A5235" s="1"/>
    </row>
    <row r="5236" spans="1:1" x14ac:dyDescent="0.3">
      <c r="A5236" s="1"/>
    </row>
    <row r="5237" spans="1:1" x14ac:dyDescent="0.3">
      <c r="A5237" s="1"/>
    </row>
    <row r="5238" spans="1:1" x14ac:dyDescent="0.3">
      <c r="A5238" s="1"/>
    </row>
    <row r="5239" spans="1:1" x14ac:dyDescent="0.3">
      <c r="A5239" s="1"/>
    </row>
    <row r="5240" spans="1:1" x14ac:dyDescent="0.3">
      <c r="A5240" s="1"/>
    </row>
    <row r="5241" spans="1:1" x14ac:dyDescent="0.3">
      <c r="A5241" s="1"/>
    </row>
    <row r="5242" spans="1:1" x14ac:dyDescent="0.3">
      <c r="A5242" s="1"/>
    </row>
    <row r="5243" spans="1:1" x14ac:dyDescent="0.3">
      <c r="A5243" s="1"/>
    </row>
    <row r="5244" spans="1:1" x14ac:dyDescent="0.3">
      <c r="A5244" s="1"/>
    </row>
    <row r="5245" spans="1:1" x14ac:dyDescent="0.3">
      <c r="A5245" s="1"/>
    </row>
    <row r="5246" spans="1:1" x14ac:dyDescent="0.3">
      <c r="A5246" s="1"/>
    </row>
    <row r="5247" spans="1:1" x14ac:dyDescent="0.3">
      <c r="A5247" s="1"/>
    </row>
    <row r="5248" spans="1:1" x14ac:dyDescent="0.3">
      <c r="A5248" s="1"/>
    </row>
    <row r="5249" spans="1:1" x14ac:dyDescent="0.3">
      <c r="A5249" s="1"/>
    </row>
    <row r="5250" spans="1:1" x14ac:dyDescent="0.3">
      <c r="A5250" s="1"/>
    </row>
    <row r="5251" spans="1:1" x14ac:dyDescent="0.3">
      <c r="A5251" s="1"/>
    </row>
    <row r="5252" spans="1:1" x14ac:dyDescent="0.3">
      <c r="A5252" s="1"/>
    </row>
    <row r="5253" spans="1:1" x14ac:dyDescent="0.3">
      <c r="A5253" s="1"/>
    </row>
    <row r="5254" spans="1:1" x14ac:dyDescent="0.3">
      <c r="A5254" s="1"/>
    </row>
    <row r="5255" spans="1:1" x14ac:dyDescent="0.3">
      <c r="A5255" s="1"/>
    </row>
    <row r="5256" spans="1:1" x14ac:dyDescent="0.3">
      <c r="A5256" s="1"/>
    </row>
    <row r="5257" spans="1:1" x14ac:dyDescent="0.3">
      <c r="A5257" s="1"/>
    </row>
    <row r="5258" spans="1:1" x14ac:dyDescent="0.3">
      <c r="A5258" s="1"/>
    </row>
    <row r="5259" spans="1:1" x14ac:dyDescent="0.3">
      <c r="A5259" s="1"/>
    </row>
    <row r="5260" spans="1:1" x14ac:dyDescent="0.3">
      <c r="A5260" s="1"/>
    </row>
    <row r="5261" spans="1:1" x14ac:dyDescent="0.3">
      <c r="A5261" s="1"/>
    </row>
    <row r="5262" spans="1:1" x14ac:dyDescent="0.3">
      <c r="A5262" s="1"/>
    </row>
    <row r="5263" spans="1:1" x14ac:dyDescent="0.3">
      <c r="A5263" s="1"/>
    </row>
    <row r="5264" spans="1:1" x14ac:dyDescent="0.3">
      <c r="A5264" s="1"/>
    </row>
    <row r="5265" spans="1:1" x14ac:dyDescent="0.3">
      <c r="A5265" s="1"/>
    </row>
    <row r="5266" spans="1:1" x14ac:dyDescent="0.3">
      <c r="A5266" s="1"/>
    </row>
    <row r="5267" spans="1:1" x14ac:dyDescent="0.3">
      <c r="A5267" s="1"/>
    </row>
    <row r="5268" spans="1:1" x14ac:dyDescent="0.3">
      <c r="A5268" s="1"/>
    </row>
    <row r="5269" spans="1:1" x14ac:dyDescent="0.3">
      <c r="A5269" s="1"/>
    </row>
    <row r="5270" spans="1:1" x14ac:dyDescent="0.3">
      <c r="A5270" s="1"/>
    </row>
    <row r="5271" spans="1:1" x14ac:dyDescent="0.3">
      <c r="A5271" s="1"/>
    </row>
    <row r="5272" spans="1:1" x14ac:dyDescent="0.3">
      <c r="A5272" s="1"/>
    </row>
    <row r="5273" spans="1:1" x14ac:dyDescent="0.3">
      <c r="A5273" s="1"/>
    </row>
    <row r="5274" spans="1:1" x14ac:dyDescent="0.3">
      <c r="A5274" s="1"/>
    </row>
    <row r="5275" spans="1:1" x14ac:dyDescent="0.3">
      <c r="A5275" s="1"/>
    </row>
    <row r="5276" spans="1:1" x14ac:dyDescent="0.3">
      <c r="A5276" s="1"/>
    </row>
    <row r="5277" spans="1:1" x14ac:dyDescent="0.3">
      <c r="A5277" s="1"/>
    </row>
    <row r="5278" spans="1:1" x14ac:dyDescent="0.3">
      <c r="A5278" s="1"/>
    </row>
    <row r="5279" spans="1:1" x14ac:dyDescent="0.3">
      <c r="A5279" s="1"/>
    </row>
    <row r="5280" spans="1:1" x14ac:dyDescent="0.3">
      <c r="A5280" s="1"/>
    </row>
    <row r="5281" spans="1:1" x14ac:dyDescent="0.3">
      <c r="A5281" s="1"/>
    </row>
    <row r="5282" spans="1:1" x14ac:dyDescent="0.3">
      <c r="A5282" s="1"/>
    </row>
    <row r="5283" spans="1:1" x14ac:dyDescent="0.3">
      <c r="A5283" s="1"/>
    </row>
    <row r="5284" spans="1:1" x14ac:dyDescent="0.3">
      <c r="A5284" s="1"/>
    </row>
    <row r="5285" spans="1:1" x14ac:dyDescent="0.3">
      <c r="A5285" s="1"/>
    </row>
    <row r="5286" spans="1:1" x14ac:dyDescent="0.3">
      <c r="A5286" s="1"/>
    </row>
    <row r="5287" spans="1:1" x14ac:dyDescent="0.3">
      <c r="A5287" s="1"/>
    </row>
    <row r="5288" spans="1:1" x14ac:dyDescent="0.3">
      <c r="A5288" s="1"/>
    </row>
    <row r="5289" spans="1:1" x14ac:dyDescent="0.3">
      <c r="A5289" s="1"/>
    </row>
    <row r="5290" spans="1:1" x14ac:dyDescent="0.3">
      <c r="A5290" s="1"/>
    </row>
    <row r="5291" spans="1:1" x14ac:dyDescent="0.3">
      <c r="A5291" s="1"/>
    </row>
    <row r="5292" spans="1:1" x14ac:dyDescent="0.3">
      <c r="A5292" s="1"/>
    </row>
    <row r="5293" spans="1:1" x14ac:dyDescent="0.3">
      <c r="A5293" s="1"/>
    </row>
    <row r="5294" spans="1:1" x14ac:dyDescent="0.3">
      <c r="A5294" s="1"/>
    </row>
    <row r="5295" spans="1:1" x14ac:dyDescent="0.3">
      <c r="A5295" s="1"/>
    </row>
    <row r="5296" spans="1:1" x14ac:dyDescent="0.3">
      <c r="A5296" s="1"/>
    </row>
    <row r="5297" spans="1:1" x14ac:dyDescent="0.3">
      <c r="A5297" s="1"/>
    </row>
    <row r="5298" spans="1:1" x14ac:dyDescent="0.3">
      <c r="A5298" s="1"/>
    </row>
    <row r="5299" spans="1:1" x14ac:dyDescent="0.3">
      <c r="A5299" s="1"/>
    </row>
    <row r="5300" spans="1:1" x14ac:dyDescent="0.3">
      <c r="A5300" s="1"/>
    </row>
    <row r="5301" spans="1:1" x14ac:dyDescent="0.3">
      <c r="A5301" s="1"/>
    </row>
    <row r="5302" spans="1:1" x14ac:dyDescent="0.3">
      <c r="A5302" s="1"/>
    </row>
    <row r="5303" spans="1:1" x14ac:dyDescent="0.3">
      <c r="A5303" s="1"/>
    </row>
    <row r="5304" spans="1:1" x14ac:dyDescent="0.3">
      <c r="A5304" s="1"/>
    </row>
    <row r="5305" spans="1:1" x14ac:dyDescent="0.3">
      <c r="A5305" s="1"/>
    </row>
    <row r="5306" spans="1:1" x14ac:dyDescent="0.3">
      <c r="A5306" s="1"/>
    </row>
    <row r="5307" spans="1:1" x14ac:dyDescent="0.3">
      <c r="A5307" s="1"/>
    </row>
    <row r="5308" spans="1:1" x14ac:dyDescent="0.3">
      <c r="A5308" s="1"/>
    </row>
    <row r="5309" spans="1:1" x14ac:dyDescent="0.3">
      <c r="A5309" s="1"/>
    </row>
    <row r="5310" spans="1:1" x14ac:dyDescent="0.3">
      <c r="A5310" s="1"/>
    </row>
    <row r="5311" spans="1:1" x14ac:dyDescent="0.3">
      <c r="A5311" s="1"/>
    </row>
    <row r="5312" spans="1:1" x14ac:dyDescent="0.3">
      <c r="A5312" s="1"/>
    </row>
    <row r="5313" spans="1:1" x14ac:dyDescent="0.3">
      <c r="A5313" s="1"/>
    </row>
    <row r="5314" spans="1:1" x14ac:dyDescent="0.3">
      <c r="A5314" s="1"/>
    </row>
    <row r="5315" spans="1:1" x14ac:dyDescent="0.3">
      <c r="A5315" s="1"/>
    </row>
    <row r="5316" spans="1:1" x14ac:dyDescent="0.3">
      <c r="A5316" s="1"/>
    </row>
    <row r="5317" spans="1:1" x14ac:dyDescent="0.3">
      <c r="A5317" s="1"/>
    </row>
    <row r="5318" spans="1:1" x14ac:dyDescent="0.3">
      <c r="A5318" s="1"/>
    </row>
    <row r="5319" spans="1:1" x14ac:dyDescent="0.3">
      <c r="A5319" s="1"/>
    </row>
    <row r="5320" spans="1:1" x14ac:dyDescent="0.3">
      <c r="A5320" s="1"/>
    </row>
    <row r="5321" spans="1:1" x14ac:dyDescent="0.3">
      <c r="A5321" s="1"/>
    </row>
    <row r="5322" spans="1:1" x14ac:dyDescent="0.3">
      <c r="A5322" s="1"/>
    </row>
    <row r="5323" spans="1:1" x14ac:dyDescent="0.3">
      <c r="A5323" s="1"/>
    </row>
    <row r="5324" spans="1:1" x14ac:dyDescent="0.3">
      <c r="A5324" s="1"/>
    </row>
    <row r="5325" spans="1:1" x14ac:dyDescent="0.3">
      <c r="A5325" s="1"/>
    </row>
    <row r="5326" spans="1:1" x14ac:dyDescent="0.3">
      <c r="A5326" s="1"/>
    </row>
    <row r="5327" spans="1:1" x14ac:dyDescent="0.3">
      <c r="A5327" s="1"/>
    </row>
    <row r="5328" spans="1:1" x14ac:dyDescent="0.3">
      <c r="A5328" s="1"/>
    </row>
    <row r="5329" spans="1:1" x14ac:dyDescent="0.3">
      <c r="A5329" s="1"/>
    </row>
    <row r="5330" spans="1:1" x14ac:dyDescent="0.3">
      <c r="A5330" s="1"/>
    </row>
    <row r="5331" spans="1:1" x14ac:dyDescent="0.3">
      <c r="A5331" s="1"/>
    </row>
    <row r="5332" spans="1:1" x14ac:dyDescent="0.3">
      <c r="A5332" s="1"/>
    </row>
    <row r="5333" spans="1:1" x14ac:dyDescent="0.3">
      <c r="A5333" s="1"/>
    </row>
    <row r="5334" spans="1:1" x14ac:dyDescent="0.3">
      <c r="A5334" s="1"/>
    </row>
    <row r="5335" spans="1:1" x14ac:dyDescent="0.3">
      <c r="A5335" s="1"/>
    </row>
    <row r="5336" spans="1:1" x14ac:dyDescent="0.3">
      <c r="A5336" s="1"/>
    </row>
    <row r="5337" spans="1:1" x14ac:dyDescent="0.3">
      <c r="A5337" s="1"/>
    </row>
    <row r="5338" spans="1:1" x14ac:dyDescent="0.3">
      <c r="A5338" s="1"/>
    </row>
    <row r="5339" spans="1:1" x14ac:dyDescent="0.3">
      <c r="A5339" s="1"/>
    </row>
    <row r="5340" spans="1:1" x14ac:dyDescent="0.3">
      <c r="A5340" s="1"/>
    </row>
    <row r="5341" spans="1:1" x14ac:dyDescent="0.3">
      <c r="A5341" s="1"/>
    </row>
    <row r="5342" spans="1:1" x14ac:dyDescent="0.3">
      <c r="A5342" s="1"/>
    </row>
    <row r="5343" spans="1:1" x14ac:dyDescent="0.3">
      <c r="A5343" s="1"/>
    </row>
    <row r="5344" spans="1:1" x14ac:dyDescent="0.3">
      <c r="A5344" s="1"/>
    </row>
    <row r="5345" spans="1:1" x14ac:dyDescent="0.3">
      <c r="A5345" s="1"/>
    </row>
    <row r="5346" spans="1:1" x14ac:dyDescent="0.3">
      <c r="A5346" s="1"/>
    </row>
    <row r="5347" spans="1:1" x14ac:dyDescent="0.3">
      <c r="A5347" s="1"/>
    </row>
    <row r="5348" spans="1:1" x14ac:dyDescent="0.3">
      <c r="A5348" s="1"/>
    </row>
    <row r="5349" spans="1:1" x14ac:dyDescent="0.3">
      <c r="A5349" s="1"/>
    </row>
    <row r="5350" spans="1:1" x14ac:dyDescent="0.3">
      <c r="A5350" s="1"/>
    </row>
    <row r="5351" spans="1:1" x14ac:dyDescent="0.3">
      <c r="A5351" s="1"/>
    </row>
    <row r="5352" spans="1:1" x14ac:dyDescent="0.3">
      <c r="A5352" s="1"/>
    </row>
    <row r="5353" spans="1:1" x14ac:dyDescent="0.3">
      <c r="A5353" s="1"/>
    </row>
    <row r="5354" spans="1:1" x14ac:dyDescent="0.3">
      <c r="A5354" s="1"/>
    </row>
    <row r="5355" spans="1:1" x14ac:dyDescent="0.3">
      <c r="A5355" s="1"/>
    </row>
    <row r="5356" spans="1:1" x14ac:dyDescent="0.3">
      <c r="A5356" s="1"/>
    </row>
    <row r="5357" spans="1:1" x14ac:dyDescent="0.3">
      <c r="A5357" s="1"/>
    </row>
    <row r="5358" spans="1:1" x14ac:dyDescent="0.3">
      <c r="A5358" s="1"/>
    </row>
    <row r="5359" spans="1:1" x14ac:dyDescent="0.3">
      <c r="A5359" s="1"/>
    </row>
    <row r="5360" spans="1:1" x14ac:dyDescent="0.3">
      <c r="A5360" s="1"/>
    </row>
    <row r="5361" spans="1:1" x14ac:dyDescent="0.3">
      <c r="A5361" s="1"/>
    </row>
    <row r="5362" spans="1:1" x14ac:dyDescent="0.3">
      <c r="A5362" s="1"/>
    </row>
    <row r="5363" spans="1:1" x14ac:dyDescent="0.3">
      <c r="A5363" s="1"/>
    </row>
    <row r="5364" spans="1:1" x14ac:dyDescent="0.3">
      <c r="A5364" s="1"/>
    </row>
    <row r="5365" spans="1:1" x14ac:dyDescent="0.3">
      <c r="A5365" s="1"/>
    </row>
    <row r="5366" spans="1:1" x14ac:dyDescent="0.3">
      <c r="A5366" s="1"/>
    </row>
    <row r="5367" spans="1:1" x14ac:dyDescent="0.3">
      <c r="A5367" s="1"/>
    </row>
    <row r="5368" spans="1:1" x14ac:dyDescent="0.3">
      <c r="A5368" s="1"/>
    </row>
    <row r="5369" spans="1:1" x14ac:dyDescent="0.3">
      <c r="A5369" s="1"/>
    </row>
    <row r="5370" spans="1:1" x14ac:dyDescent="0.3">
      <c r="A5370" s="1"/>
    </row>
    <row r="5371" spans="1:1" x14ac:dyDescent="0.3">
      <c r="A5371" s="1"/>
    </row>
    <row r="5372" spans="1:1" x14ac:dyDescent="0.3">
      <c r="A5372" s="1"/>
    </row>
    <row r="5373" spans="1:1" x14ac:dyDescent="0.3">
      <c r="A5373" s="1"/>
    </row>
    <row r="5374" spans="1:1" x14ac:dyDescent="0.3">
      <c r="A5374" s="1"/>
    </row>
    <row r="5375" spans="1:1" x14ac:dyDescent="0.3">
      <c r="A5375" s="1"/>
    </row>
    <row r="5377" spans="1:1" x14ac:dyDescent="0.3">
      <c r="A5377" s="1"/>
    </row>
    <row r="5378" spans="1:1" x14ac:dyDescent="0.3">
      <c r="A5378" s="1"/>
    </row>
    <row r="5379" spans="1:1" x14ac:dyDescent="0.3">
      <c r="A5379" s="1"/>
    </row>
    <row r="5380" spans="1:1" x14ac:dyDescent="0.3">
      <c r="A5380" s="1"/>
    </row>
    <row r="5381" spans="1:1" x14ac:dyDescent="0.3">
      <c r="A5381" s="1"/>
    </row>
    <row r="5382" spans="1:1" x14ac:dyDescent="0.3">
      <c r="A5382" s="1"/>
    </row>
    <row r="5383" spans="1:1" x14ac:dyDescent="0.3">
      <c r="A5383" s="1"/>
    </row>
    <row r="5384" spans="1:1" x14ac:dyDescent="0.3">
      <c r="A5384" s="1"/>
    </row>
    <row r="5385" spans="1:1" x14ac:dyDescent="0.3">
      <c r="A5385" s="1"/>
    </row>
    <row r="5386" spans="1:1" x14ac:dyDescent="0.3">
      <c r="A5386" s="1"/>
    </row>
    <row r="5387" spans="1:1" x14ac:dyDescent="0.3">
      <c r="A5387" s="1"/>
    </row>
    <row r="5388" spans="1:1" x14ac:dyDescent="0.3">
      <c r="A5388" s="1"/>
    </row>
    <row r="5389" spans="1:1" x14ac:dyDescent="0.3">
      <c r="A5389" s="1"/>
    </row>
    <row r="5390" spans="1:1" x14ac:dyDescent="0.3">
      <c r="A5390" s="1"/>
    </row>
    <row r="5391" spans="1:1" x14ac:dyDescent="0.3">
      <c r="A5391" s="1"/>
    </row>
    <row r="5392" spans="1:1" x14ac:dyDescent="0.3">
      <c r="A5392" s="1"/>
    </row>
    <row r="5393" spans="1:1" x14ac:dyDescent="0.3">
      <c r="A5393" s="1"/>
    </row>
    <row r="5394" spans="1:1" x14ac:dyDescent="0.3">
      <c r="A5394" s="1"/>
    </row>
    <row r="5395" spans="1:1" x14ac:dyDescent="0.3">
      <c r="A5395" s="1"/>
    </row>
    <row r="5396" spans="1:1" x14ac:dyDescent="0.3">
      <c r="A5396" s="1"/>
    </row>
    <row r="5397" spans="1:1" x14ac:dyDescent="0.3">
      <c r="A5397" s="1"/>
    </row>
    <row r="5398" spans="1:1" x14ac:dyDescent="0.3">
      <c r="A5398" s="1"/>
    </row>
    <row r="5399" spans="1:1" x14ac:dyDescent="0.3">
      <c r="A5399" s="1"/>
    </row>
    <row r="5400" spans="1:1" x14ac:dyDescent="0.3">
      <c r="A5400" s="1"/>
    </row>
    <row r="5401" spans="1:1" x14ac:dyDescent="0.3">
      <c r="A5401" s="1"/>
    </row>
    <row r="5402" spans="1:1" x14ac:dyDescent="0.3">
      <c r="A5402" s="1"/>
    </row>
    <row r="5403" spans="1:1" x14ac:dyDescent="0.3">
      <c r="A5403" s="1"/>
    </row>
    <row r="5404" spans="1:1" x14ac:dyDescent="0.3">
      <c r="A5404" s="1"/>
    </row>
    <row r="5405" spans="1:1" x14ac:dyDescent="0.3">
      <c r="A5405" s="1"/>
    </row>
    <row r="5406" spans="1:1" x14ac:dyDescent="0.3">
      <c r="A5406" s="1"/>
    </row>
    <row r="5407" spans="1:1" x14ac:dyDescent="0.3">
      <c r="A5407" s="1"/>
    </row>
    <row r="5408" spans="1:1" x14ac:dyDescent="0.3">
      <c r="A5408" s="1"/>
    </row>
    <row r="5409" spans="1:1" x14ac:dyDescent="0.3">
      <c r="A5409" s="1"/>
    </row>
    <row r="5410" spans="1:1" x14ac:dyDescent="0.3">
      <c r="A5410" s="1"/>
    </row>
    <row r="5411" spans="1:1" x14ac:dyDescent="0.3">
      <c r="A5411" s="1"/>
    </row>
    <row r="5412" spans="1:1" x14ac:dyDescent="0.3">
      <c r="A5412" s="1"/>
    </row>
    <row r="5413" spans="1:1" x14ac:dyDescent="0.3">
      <c r="A5413" s="1"/>
    </row>
    <row r="5414" spans="1:1" x14ac:dyDescent="0.3">
      <c r="A5414" s="1"/>
    </row>
    <row r="5415" spans="1:1" x14ac:dyDescent="0.3">
      <c r="A5415" s="1"/>
    </row>
    <row r="5416" spans="1:1" x14ac:dyDescent="0.3">
      <c r="A5416" s="1"/>
    </row>
    <row r="5417" spans="1:1" x14ac:dyDescent="0.3">
      <c r="A5417" s="1"/>
    </row>
    <row r="5418" spans="1:1" x14ac:dyDescent="0.3">
      <c r="A5418" s="1"/>
    </row>
    <row r="5419" spans="1:1" x14ac:dyDescent="0.3">
      <c r="A5419" s="1"/>
    </row>
    <row r="5420" spans="1:1" x14ac:dyDescent="0.3">
      <c r="A5420" s="1"/>
    </row>
    <row r="5421" spans="1:1" x14ac:dyDescent="0.3">
      <c r="A5421" s="1"/>
    </row>
    <row r="5422" spans="1:1" x14ac:dyDescent="0.3">
      <c r="A5422" s="1"/>
    </row>
    <row r="5423" spans="1:1" x14ac:dyDescent="0.3">
      <c r="A5423" s="1"/>
    </row>
    <row r="5424" spans="1:1" x14ac:dyDescent="0.3">
      <c r="A5424" s="1"/>
    </row>
    <row r="5425" spans="1:1" x14ac:dyDescent="0.3">
      <c r="A5425" s="1"/>
    </row>
    <row r="5426" spans="1:1" x14ac:dyDescent="0.3">
      <c r="A5426" s="1"/>
    </row>
    <row r="5427" spans="1:1" x14ac:dyDescent="0.3">
      <c r="A5427" s="1"/>
    </row>
    <row r="5428" spans="1:1" x14ac:dyDescent="0.3">
      <c r="A5428" s="1"/>
    </row>
    <row r="5429" spans="1:1" x14ac:dyDescent="0.3">
      <c r="A5429" s="1"/>
    </row>
    <row r="5430" spans="1:1" x14ac:dyDescent="0.3">
      <c r="A5430" s="1"/>
    </row>
    <row r="5431" spans="1:1" x14ac:dyDescent="0.3">
      <c r="A5431" s="1"/>
    </row>
    <row r="5432" spans="1:1" x14ac:dyDescent="0.3">
      <c r="A5432" s="1"/>
    </row>
    <row r="5433" spans="1:1" x14ac:dyDescent="0.3">
      <c r="A5433" s="1"/>
    </row>
    <row r="5434" spans="1:1" x14ac:dyDescent="0.3">
      <c r="A5434" s="1"/>
    </row>
    <row r="5435" spans="1:1" x14ac:dyDescent="0.3">
      <c r="A5435" s="1"/>
    </row>
    <row r="5436" spans="1:1" x14ac:dyDescent="0.3">
      <c r="A5436" s="1"/>
    </row>
    <row r="5437" spans="1:1" x14ac:dyDescent="0.3">
      <c r="A5437" s="1"/>
    </row>
    <row r="5438" spans="1:1" x14ac:dyDescent="0.3">
      <c r="A5438" s="1"/>
    </row>
    <row r="5439" spans="1:1" x14ac:dyDescent="0.3">
      <c r="A5439" s="1"/>
    </row>
    <row r="5440" spans="1:1" x14ac:dyDescent="0.3">
      <c r="A5440" s="1"/>
    </row>
    <row r="5441" spans="1:1" x14ac:dyDescent="0.3">
      <c r="A5441" s="1"/>
    </row>
    <row r="5442" spans="1:1" x14ac:dyDescent="0.3">
      <c r="A5442" s="1"/>
    </row>
    <row r="5443" spans="1:1" x14ac:dyDescent="0.3">
      <c r="A5443" s="1"/>
    </row>
    <row r="5444" spans="1:1" x14ac:dyDescent="0.3">
      <c r="A5444" s="1"/>
    </row>
    <row r="5445" spans="1:1" x14ac:dyDescent="0.3">
      <c r="A5445" s="1"/>
    </row>
    <row r="5446" spans="1:1" x14ac:dyDescent="0.3">
      <c r="A5446" s="1"/>
    </row>
    <row r="5447" spans="1:1" x14ac:dyDescent="0.3">
      <c r="A5447" s="1"/>
    </row>
    <row r="5448" spans="1:1" x14ac:dyDescent="0.3">
      <c r="A5448" s="1"/>
    </row>
    <row r="5449" spans="1:1" x14ac:dyDescent="0.3">
      <c r="A5449" s="1"/>
    </row>
    <row r="5450" spans="1:1" x14ac:dyDescent="0.3">
      <c r="A5450" s="1"/>
    </row>
    <row r="5451" spans="1:1" x14ac:dyDescent="0.3">
      <c r="A5451" s="1"/>
    </row>
    <row r="5452" spans="1:1" x14ac:dyDescent="0.3">
      <c r="A5452" s="1"/>
    </row>
    <row r="5453" spans="1:1" x14ac:dyDescent="0.3">
      <c r="A5453" s="1"/>
    </row>
    <row r="5454" spans="1:1" x14ac:dyDescent="0.3">
      <c r="A5454" s="1"/>
    </row>
    <row r="5455" spans="1:1" x14ac:dyDescent="0.3">
      <c r="A5455" s="1"/>
    </row>
    <row r="5456" spans="1:1" x14ac:dyDescent="0.3">
      <c r="A5456" s="1"/>
    </row>
    <row r="5457" spans="1:1" x14ac:dyDescent="0.3">
      <c r="A5457" s="1"/>
    </row>
    <row r="5458" spans="1:1" x14ac:dyDescent="0.3">
      <c r="A5458" s="1"/>
    </row>
    <row r="5459" spans="1:1" x14ac:dyDescent="0.3">
      <c r="A5459" s="1"/>
    </row>
    <row r="5460" spans="1:1" x14ac:dyDescent="0.3">
      <c r="A5460" s="1"/>
    </row>
    <row r="5461" spans="1:1" x14ac:dyDescent="0.3">
      <c r="A5461" s="1"/>
    </row>
    <row r="5462" spans="1:1" x14ac:dyDescent="0.3">
      <c r="A5462" s="1"/>
    </row>
    <row r="5463" spans="1:1" x14ac:dyDescent="0.3">
      <c r="A5463" s="1"/>
    </row>
    <row r="5464" spans="1:1" x14ac:dyDescent="0.3">
      <c r="A5464" s="1"/>
    </row>
    <row r="5465" spans="1:1" x14ac:dyDescent="0.3">
      <c r="A5465" s="1"/>
    </row>
    <row r="5466" spans="1:1" x14ac:dyDescent="0.3">
      <c r="A5466" s="1"/>
    </row>
    <row r="5467" spans="1:1" x14ac:dyDescent="0.3">
      <c r="A5467" s="1"/>
    </row>
    <row r="5468" spans="1:1" x14ac:dyDescent="0.3">
      <c r="A5468" s="1"/>
    </row>
    <row r="5469" spans="1:1" x14ac:dyDescent="0.3">
      <c r="A5469" s="1"/>
    </row>
    <row r="5470" spans="1:1" x14ac:dyDescent="0.3">
      <c r="A5470" s="1"/>
    </row>
    <row r="5471" spans="1:1" x14ac:dyDescent="0.3">
      <c r="A5471" s="1"/>
    </row>
    <row r="5472" spans="1:1" x14ac:dyDescent="0.3">
      <c r="A5472" s="1"/>
    </row>
    <row r="5473" spans="1:1" x14ac:dyDescent="0.3">
      <c r="A5473" s="1"/>
    </row>
    <row r="5474" spans="1:1" x14ac:dyDescent="0.3">
      <c r="A5474" s="1"/>
    </row>
    <row r="5475" spans="1:1" x14ac:dyDescent="0.3">
      <c r="A5475" s="1"/>
    </row>
    <row r="5476" spans="1:1" x14ac:dyDescent="0.3">
      <c r="A5476" s="1"/>
    </row>
    <row r="5477" spans="1:1" x14ac:dyDescent="0.3">
      <c r="A5477" s="1"/>
    </row>
    <row r="5478" spans="1:1" x14ac:dyDescent="0.3">
      <c r="A5478" s="1"/>
    </row>
    <row r="5479" spans="1:1" x14ac:dyDescent="0.3">
      <c r="A5479" s="1"/>
    </row>
    <row r="5480" spans="1:1" x14ac:dyDescent="0.3">
      <c r="A5480" s="1"/>
    </row>
    <row r="5481" spans="1:1" x14ac:dyDescent="0.3">
      <c r="A5481" s="1"/>
    </row>
    <row r="5482" spans="1:1" x14ac:dyDescent="0.3">
      <c r="A5482" s="1"/>
    </row>
    <row r="5483" spans="1:1" x14ac:dyDescent="0.3">
      <c r="A5483" s="1"/>
    </row>
    <row r="5484" spans="1:1" x14ac:dyDescent="0.3">
      <c r="A5484" s="1"/>
    </row>
    <row r="5485" spans="1:1" x14ac:dyDescent="0.3">
      <c r="A5485" s="1"/>
    </row>
    <row r="5486" spans="1:1" x14ac:dyDescent="0.3">
      <c r="A5486" s="1"/>
    </row>
    <row r="5487" spans="1:1" x14ac:dyDescent="0.3">
      <c r="A5487" s="1"/>
    </row>
    <row r="5488" spans="1:1" x14ac:dyDescent="0.3">
      <c r="A5488" s="1"/>
    </row>
    <row r="5489" spans="1:1" x14ac:dyDescent="0.3">
      <c r="A5489" s="1"/>
    </row>
    <row r="5490" spans="1:1" x14ac:dyDescent="0.3">
      <c r="A5490" s="1"/>
    </row>
    <row r="5491" spans="1:1" x14ac:dyDescent="0.3">
      <c r="A5491" s="1"/>
    </row>
    <row r="5492" spans="1:1" x14ac:dyDescent="0.3">
      <c r="A5492" s="1"/>
    </row>
    <row r="5493" spans="1:1" x14ac:dyDescent="0.3">
      <c r="A5493" s="1"/>
    </row>
    <row r="5494" spans="1:1" x14ac:dyDescent="0.3">
      <c r="A5494" s="1"/>
    </row>
    <row r="5495" spans="1:1" x14ac:dyDescent="0.3">
      <c r="A5495" s="1"/>
    </row>
    <row r="5496" spans="1:1" x14ac:dyDescent="0.3">
      <c r="A5496" s="1"/>
    </row>
    <row r="5497" spans="1:1" x14ac:dyDescent="0.3">
      <c r="A5497" s="1"/>
    </row>
    <row r="5498" spans="1:1" x14ac:dyDescent="0.3">
      <c r="A5498" s="1"/>
    </row>
    <row r="5499" spans="1:1" x14ac:dyDescent="0.3">
      <c r="A5499" s="1"/>
    </row>
    <row r="5500" spans="1:1" x14ac:dyDescent="0.3">
      <c r="A5500" s="1"/>
    </row>
    <row r="5501" spans="1:1" x14ac:dyDescent="0.3">
      <c r="A5501" s="1"/>
    </row>
    <row r="5502" spans="1:1" x14ac:dyDescent="0.3">
      <c r="A5502" s="1"/>
    </row>
    <row r="5503" spans="1:1" x14ac:dyDescent="0.3">
      <c r="A5503" s="1"/>
    </row>
    <row r="5504" spans="1:1" x14ac:dyDescent="0.3">
      <c r="A5504" s="1"/>
    </row>
    <row r="5505" spans="1:1" x14ac:dyDescent="0.3">
      <c r="A5505" s="1"/>
    </row>
    <row r="5506" spans="1:1" x14ac:dyDescent="0.3">
      <c r="A5506" s="1"/>
    </row>
    <row r="5507" spans="1:1" x14ac:dyDescent="0.3">
      <c r="A5507" s="1"/>
    </row>
    <row r="5508" spans="1:1" x14ac:dyDescent="0.3">
      <c r="A5508" s="1"/>
    </row>
    <row r="5509" spans="1:1" x14ac:dyDescent="0.3">
      <c r="A5509" s="1"/>
    </row>
    <row r="5510" spans="1:1" x14ac:dyDescent="0.3">
      <c r="A5510" s="1"/>
    </row>
    <row r="5511" spans="1:1" x14ac:dyDescent="0.3">
      <c r="A5511" s="1"/>
    </row>
    <row r="5512" spans="1:1" x14ac:dyDescent="0.3">
      <c r="A5512" s="1"/>
    </row>
    <row r="5513" spans="1:1" x14ac:dyDescent="0.3">
      <c r="A5513" s="1"/>
    </row>
    <row r="5514" spans="1:1" x14ac:dyDescent="0.3">
      <c r="A5514" s="1"/>
    </row>
    <row r="5515" spans="1:1" x14ac:dyDescent="0.3">
      <c r="A5515" s="1"/>
    </row>
    <row r="5516" spans="1:1" x14ac:dyDescent="0.3">
      <c r="A5516" s="1"/>
    </row>
    <row r="5517" spans="1:1" x14ac:dyDescent="0.3">
      <c r="A5517" s="1"/>
    </row>
    <row r="5518" spans="1:1" x14ac:dyDescent="0.3">
      <c r="A5518" s="1"/>
    </row>
    <row r="5519" spans="1:1" x14ac:dyDescent="0.3">
      <c r="A5519" s="1"/>
    </row>
    <row r="5520" spans="1:1" x14ac:dyDescent="0.3">
      <c r="A5520" s="1"/>
    </row>
    <row r="5521" spans="1:1" x14ac:dyDescent="0.3">
      <c r="A5521" s="1"/>
    </row>
    <row r="5522" spans="1:1" x14ac:dyDescent="0.3">
      <c r="A5522" s="1"/>
    </row>
    <row r="5523" spans="1:1" x14ac:dyDescent="0.3">
      <c r="A5523" s="1"/>
    </row>
    <row r="5524" spans="1:1" x14ac:dyDescent="0.3">
      <c r="A5524" s="1"/>
    </row>
    <row r="5525" spans="1:1" x14ac:dyDescent="0.3">
      <c r="A5525" s="1"/>
    </row>
    <row r="5526" spans="1:1" x14ac:dyDescent="0.3">
      <c r="A5526" s="1"/>
    </row>
    <row r="5527" spans="1:1" x14ac:dyDescent="0.3">
      <c r="A5527" s="1"/>
    </row>
    <row r="5528" spans="1:1" x14ac:dyDescent="0.3">
      <c r="A5528" s="1"/>
    </row>
    <row r="5529" spans="1:1" x14ac:dyDescent="0.3">
      <c r="A5529" s="1"/>
    </row>
    <row r="5530" spans="1:1" x14ac:dyDescent="0.3">
      <c r="A5530" s="1"/>
    </row>
    <row r="5531" spans="1:1" x14ac:dyDescent="0.3">
      <c r="A5531" s="1"/>
    </row>
    <row r="5532" spans="1:1" x14ac:dyDescent="0.3">
      <c r="A5532" s="1"/>
    </row>
    <row r="5533" spans="1:1" x14ac:dyDescent="0.3">
      <c r="A5533" s="1"/>
    </row>
    <row r="5534" spans="1:1" x14ac:dyDescent="0.3">
      <c r="A5534" s="1"/>
    </row>
    <row r="5535" spans="1:1" x14ac:dyDescent="0.3">
      <c r="A5535" s="1"/>
    </row>
    <row r="5536" spans="1:1" x14ac:dyDescent="0.3">
      <c r="A5536" s="1"/>
    </row>
    <row r="5537" spans="1:1" x14ac:dyDescent="0.3">
      <c r="A5537" s="1"/>
    </row>
    <row r="5538" spans="1:1" x14ac:dyDescent="0.3">
      <c r="A5538" s="1"/>
    </row>
    <row r="5539" spans="1:1" x14ac:dyDescent="0.3">
      <c r="A5539" s="1"/>
    </row>
    <row r="5540" spans="1:1" x14ac:dyDescent="0.3">
      <c r="A5540" s="1"/>
    </row>
    <row r="5541" spans="1:1" x14ac:dyDescent="0.3">
      <c r="A5541" s="1"/>
    </row>
    <row r="5542" spans="1:1" x14ac:dyDescent="0.3">
      <c r="A5542" s="1"/>
    </row>
    <row r="5543" spans="1:1" x14ac:dyDescent="0.3">
      <c r="A5543" s="1"/>
    </row>
    <row r="5544" spans="1:1" x14ac:dyDescent="0.3">
      <c r="A5544" s="1"/>
    </row>
    <row r="5545" spans="1:1" x14ac:dyDescent="0.3">
      <c r="A5545" s="1"/>
    </row>
    <row r="5546" spans="1:1" x14ac:dyDescent="0.3">
      <c r="A5546" s="1"/>
    </row>
    <row r="5547" spans="1:1" x14ac:dyDescent="0.3">
      <c r="A5547" s="1"/>
    </row>
    <row r="5548" spans="1:1" x14ac:dyDescent="0.3">
      <c r="A5548" s="1"/>
    </row>
    <row r="5549" spans="1:1" x14ac:dyDescent="0.3">
      <c r="A5549" s="1"/>
    </row>
    <row r="5550" spans="1:1" x14ac:dyDescent="0.3">
      <c r="A5550" s="1"/>
    </row>
    <row r="5551" spans="1:1" x14ac:dyDescent="0.3">
      <c r="A5551" s="1"/>
    </row>
    <row r="5552" spans="1:1" x14ac:dyDescent="0.3">
      <c r="A5552" s="1"/>
    </row>
    <row r="5553" spans="1:1" x14ac:dyDescent="0.3">
      <c r="A5553" s="1"/>
    </row>
    <row r="5554" spans="1:1" x14ac:dyDescent="0.3">
      <c r="A5554" s="1"/>
    </row>
    <row r="5555" spans="1:1" x14ac:dyDescent="0.3">
      <c r="A5555" s="1"/>
    </row>
    <row r="5556" spans="1:1" x14ac:dyDescent="0.3">
      <c r="A5556" s="1"/>
    </row>
    <row r="5557" spans="1:1" x14ac:dyDescent="0.3">
      <c r="A5557" s="1"/>
    </row>
    <row r="5558" spans="1:1" x14ac:dyDescent="0.3">
      <c r="A5558" s="1"/>
    </row>
    <row r="5559" spans="1:1" x14ac:dyDescent="0.3">
      <c r="A5559" s="1"/>
    </row>
    <row r="5560" spans="1:1" x14ac:dyDescent="0.3">
      <c r="A5560" s="1"/>
    </row>
    <row r="5561" spans="1:1" x14ac:dyDescent="0.3">
      <c r="A5561" s="1"/>
    </row>
    <row r="5562" spans="1:1" x14ac:dyDescent="0.3">
      <c r="A5562" s="1"/>
    </row>
    <row r="5563" spans="1:1" x14ac:dyDescent="0.3">
      <c r="A5563" s="1"/>
    </row>
    <row r="5564" spans="1:1" x14ac:dyDescent="0.3">
      <c r="A5564" s="1"/>
    </row>
    <row r="5565" spans="1:1" x14ac:dyDescent="0.3">
      <c r="A5565" s="1"/>
    </row>
    <row r="5566" spans="1:1" x14ac:dyDescent="0.3">
      <c r="A5566" s="1"/>
    </row>
    <row r="5567" spans="1:1" x14ac:dyDescent="0.3">
      <c r="A5567" s="1"/>
    </row>
    <row r="5568" spans="1:1" x14ac:dyDescent="0.3">
      <c r="A5568" s="1"/>
    </row>
    <row r="5569" spans="1:1" x14ac:dyDescent="0.3">
      <c r="A5569" s="1"/>
    </row>
    <row r="5570" spans="1:1" x14ac:dyDescent="0.3">
      <c r="A5570" s="1"/>
    </row>
    <row r="5571" spans="1:1" x14ac:dyDescent="0.3">
      <c r="A5571" s="1"/>
    </row>
    <row r="5572" spans="1:1" x14ac:dyDescent="0.3">
      <c r="A5572" s="1"/>
    </row>
    <row r="5573" spans="1:1" x14ac:dyDescent="0.3">
      <c r="A5573" s="1"/>
    </row>
    <row r="5574" spans="1:1" x14ac:dyDescent="0.3">
      <c r="A5574" s="1"/>
    </row>
    <row r="5575" spans="1:1" x14ac:dyDescent="0.3">
      <c r="A5575" s="1"/>
    </row>
    <row r="5576" spans="1:1" x14ac:dyDescent="0.3">
      <c r="A5576" s="1"/>
    </row>
    <row r="5577" spans="1:1" x14ac:dyDescent="0.3">
      <c r="A5577" s="1"/>
    </row>
    <row r="5578" spans="1:1" x14ac:dyDescent="0.3">
      <c r="A5578" s="1"/>
    </row>
    <row r="5579" spans="1:1" x14ac:dyDescent="0.3">
      <c r="A5579" s="1"/>
    </row>
    <row r="5580" spans="1:1" x14ac:dyDescent="0.3">
      <c r="A5580" s="1"/>
    </row>
    <row r="5581" spans="1:1" x14ac:dyDescent="0.3">
      <c r="A5581" s="1"/>
    </row>
    <row r="5582" spans="1:1" x14ac:dyDescent="0.3">
      <c r="A5582" s="1"/>
    </row>
    <row r="5583" spans="1:1" x14ac:dyDescent="0.3">
      <c r="A5583" s="1"/>
    </row>
    <row r="5584" spans="1:1" x14ac:dyDescent="0.3">
      <c r="A5584" s="1"/>
    </row>
    <row r="5585" spans="1:1" x14ac:dyDescent="0.3">
      <c r="A5585" s="1"/>
    </row>
    <row r="5586" spans="1:1" x14ac:dyDescent="0.3">
      <c r="A5586" s="1"/>
    </row>
    <row r="5587" spans="1:1" x14ac:dyDescent="0.3">
      <c r="A5587" s="1"/>
    </row>
    <row r="5588" spans="1:1" x14ac:dyDescent="0.3">
      <c r="A5588" s="1"/>
    </row>
    <row r="5589" spans="1:1" x14ac:dyDescent="0.3">
      <c r="A5589" s="1"/>
    </row>
    <row r="5590" spans="1:1" x14ac:dyDescent="0.3">
      <c r="A5590" s="1"/>
    </row>
    <row r="5591" spans="1:1" x14ac:dyDescent="0.3">
      <c r="A5591" s="1"/>
    </row>
    <row r="5592" spans="1:1" x14ac:dyDescent="0.3">
      <c r="A5592" s="1"/>
    </row>
    <row r="5593" spans="1:1" x14ac:dyDescent="0.3">
      <c r="A5593" s="1"/>
    </row>
    <row r="5594" spans="1:1" x14ac:dyDescent="0.3">
      <c r="A5594" s="1"/>
    </row>
    <row r="5595" spans="1:1" x14ac:dyDescent="0.3">
      <c r="A5595" s="1"/>
    </row>
    <row r="5596" spans="1:1" x14ac:dyDescent="0.3">
      <c r="A5596" s="1"/>
    </row>
    <row r="5597" spans="1:1" x14ac:dyDescent="0.3">
      <c r="A5597" s="1"/>
    </row>
    <row r="5598" spans="1:1" x14ac:dyDescent="0.3">
      <c r="A5598" s="1"/>
    </row>
    <row r="5599" spans="1:1" x14ac:dyDescent="0.3">
      <c r="A5599" s="1"/>
    </row>
    <row r="5600" spans="1:1" x14ac:dyDescent="0.3">
      <c r="A5600" s="1"/>
    </row>
    <row r="5601" spans="1:1" x14ac:dyDescent="0.3">
      <c r="A5601" s="1"/>
    </row>
    <row r="5602" spans="1:1" x14ac:dyDescent="0.3">
      <c r="A5602" s="1"/>
    </row>
    <row r="5603" spans="1:1" x14ac:dyDescent="0.3">
      <c r="A5603" s="1"/>
    </row>
    <row r="5604" spans="1:1" x14ac:dyDescent="0.3">
      <c r="A5604" s="1"/>
    </row>
    <row r="5605" spans="1:1" x14ac:dyDescent="0.3">
      <c r="A5605" s="1"/>
    </row>
    <row r="5606" spans="1:1" x14ac:dyDescent="0.3">
      <c r="A5606" s="1"/>
    </row>
    <row r="5607" spans="1:1" x14ac:dyDescent="0.3">
      <c r="A5607" s="1"/>
    </row>
    <row r="5608" spans="1:1" x14ac:dyDescent="0.3">
      <c r="A5608" s="1"/>
    </row>
    <row r="5609" spans="1:1" x14ac:dyDescent="0.3">
      <c r="A5609" s="1"/>
    </row>
    <row r="5610" spans="1:1" x14ac:dyDescent="0.3">
      <c r="A5610" s="1"/>
    </row>
    <row r="5611" spans="1:1" x14ac:dyDescent="0.3">
      <c r="A5611" s="1"/>
    </row>
    <row r="5612" spans="1:1" x14ac:dyDescent="0.3">
      <c r="A5612" s="1"/>
    </row>
    <row r="5613" spans="1:1" x14ac:dyDescent="0.3">
      <c r="A5613" s="1"/>
    </row>
    <row r="5614" spans="1:1" x14ac:dyDescent="0.3">
      <c r="A5614" s="1"/>
    </row>
    <row r="5615" spans="1:1" x14ac:dyDescent="0.3">
      <c r="A5615" s="1"/>
    </row>
    <row r="5616" spans="1:1" x14ac:dyDescent="0.3">
      <c r="A5616" s="1"/>
    </row>
    <row r="5617" spans="1:1" x14ac:dyDescent="0.3">
      <c r="A5617" s="1"/>
    </row>
    <row r="5618" spans="1:1" x14ac:dyDescent="0.3">
      <c r="A5618" s="1"/>
    </row>
    <row r="5619" spans="1:1" x14ac:dyDescent="0.3">
      <c r="A5619" s="1"/>
    </row>
    <row r="5620" spans="1:1" x14ac:dyDescent="0.3">
      <c r="A5620" s="1"/>
    </row>
    <row r="5621" spans="1:1" x14ac:dyDescent="0.3">
      <c r="A5621" s="1"/>
    </row>
    <row r="5622" spans="1:1" x14ac:dyDescent="0.3">
      <c r="A5622" s="1"/>
    </row>
    <row r="5623" spans="1:1" x14ac:dyDescent="0.3">
      <c r="A5623" s="1"/>
    </row>
    <row r="5624" spans="1:1" x14ac:dyDescent="0.3">
      <c r="A5624" s="1"/>
    </row>
    <row r="5625" spans="1:1" x14ac:dyDescent="0.3">
      <c r="A5625" s="1"/>
    </row>
    <row r="5626" spans="1:1" x14ac:dyDescent="0.3">
      <c r="A5626" s="1"/>
    </row>
    <row r="5627" spans="1:1" x14ac:dyDescent="0.3">
      <c r="A5627" s="1"/>
    </row>
    <row r="5628" spans="1:1" x14ac:dyDescent="0.3">
      <c r="A5628" s="1"/>
    </row>
    <row r="5629" spans="1:1" x14ac:dyDescent="0.3">
      <c r="A5629" s="1"/>
    </row>
    <row r="5630" spans="1:1" x14ac:dyDescent="0.3">
      <c r="A5630" s="1"/>
    </row>
    <row r="5631" spans="1:1" x14ac:dyDescent="0.3">
      <c r="A5631" s="1"/>
    </row>
    <row r="5632" spans="1:1" x14ac:dyDescent="0.3">
      <c r="A5632" s="1"/>
    </row>
    <row r="5633" spans="1:1" x14ac:dyDescent="0.3">
      <c r="A5633" s="1"/>
    </row>
    <row r="5634" spans="1:1" x14ac:dyDescent="0.3">
      <c r="A5634" s="1"/>
    </row>
    <row r="5635" spans="1:1" x14ac:dyDescent="0.3">
      <c r="A5635" s="1"/>
    </row>
    <row r="5636" spans="1:1" x14ac:dyDescent="0.3">
      <c r="A5636" s="1"/>
    </row>
    <row r="5637" spans="1:1" x14ac:dyDescent="0.3">
      <c r="A5637" s="1"/>
    </row>
    <row r="5638" spans="1:1" x14ac:dyDescent="0.3">
      <c r="A5638" s="1"/>
    </row>
    <row r="5639" spans="1:1" x14ac:dyDescent="0.3">
      <c r="A5639" s="1"/>
    </row>
    <row r="5640" spans="1:1" x14ac:dyDescent="0.3">
      <c r="A5640" s="1"/>
    </row>
    <row r="5641" spans="1:1" x14ac:dyDescent="0.3">
      <c r="A5641" s="1"/>
    </row>
    <row r="5642" spans="1:1" x14ac:dyDescent="0.3">
      <c r="A5642" s="1"/>
    </row>
    <row r="5643" spans="1:1" x14ac:dyDescent="0.3">
      <c r="A5643" s="1"/>
    </row>
    <row r="5644" spans="1:1" x14ac:dyDescent="0.3">
      <c r="A5644" s="1"/>
    </row>
    <row r="5645" spans="1:1" x14ac:dyDescent="0.3">
      <c r="A5645" s="1"/>
    </row>
    <row r="5646" spans="1:1" x14ac:dyDescent="0.3">
      <c r="A5646" s="1"/>
    </row>
    <row r="5647" spans="1:1" x14ac:dyDescent="0.3">
      <c r="A5647" s="1"/>
    </row>
    <row r="5648" spans="1:1" x14ac:dyDescent="0.3">
      <c r="A5648" s="1"/>
    </row>
    <row r="5649" spans="1:1" x14ac:dyDescent="0.3">
      <c r="A5649" s="1"/>
    </row>
    <row r="5650" spans="1:1" x14ac:dyDescent="0.3">
      <c r="A5650" s="1"/>
    </row>
    <row r="5651" spans="1:1" x14ac:dyDescent="0.3">
      <c r="A5651" s="1"/>
    </row>
    <row r="5652" spans="1:1" x14ac:dyDescent="0.3">
      <c r="A5652" s="1"/>
    </row>
    <row r="5653" spans="1:1" x14ac:dyDescent="0.3">
      <c r="A5653" s="1"/>
    </row>
    <row r="5654" spans="1:1" x14ac:dyDescent="0.3">
      <c r="A5654" s="1"/>
    </row>
    <row r="5655" spans="1:1" x14ac:dyDescent="0.3">
      <c r="A5655" s="1"/>
    </row>
    <row r="5656" spans="1:1" x14ac:dyDescent="0.3">
      <c r="A5656" s="1"/>
    </row>
    <row r="5657" spans="1:1" x14ac:dyDescent="0.3">
      <c r="A5657" s="1"/>
    </row>
    <row r="5658" spans="1:1" x14ac:dyDescent="0.3">
      <c r="A5658" s="1"/>
    </row>
    <row r="5659" spans="1:1" x14ac:dyDescent="0.3">
      <c r="A5659" s="1"/>
    </row>
    <row r="5660" spans="1:1" x14ac:dyDescent="0.3">
      <c r="A5660" s="1"/>
    </row>
    <row r="5661" spans="1:1" x14ac:dyDescent="0.3">
      <c r="A5661" s="1"/>
    </row>
    <row r="5662" spans="1:1" x14ac:dyDescent="0.3">
      <c r="A5662" s="1"/>
    </row>
    <row r="5663" spans="1:1" x14ac:dyDescent="0.3">
      <c r="A5663" s="1"/>
    </row>
    <row r="5664" spans="1:1" x14ac:dyDescent="0.3">
      <c r="A5664" s="1"/>
    </row>
    <row r="5665" spans="1:1" x14ac:dyDescent="0.3">
      <c r="A5665" s="1"/>
    </row>
    <row r="5666" spans="1:1" x14ac:dyDescent="0.3">
      <c r="A5666" s="1"/>
    </row>
    <row r="5667" spans="1:1" x14ac:dyDescent="0.3">
      <c r="A5667" s="1"/>
    </row>
    <row r="5668" spans="1:1" x14ac:dyDescent="0.3">
      <c r="A5668" s="1"/>
    </row>
    <row r="5669" spans="1:1" x14ac:dyDescent="0.3">
      <c r="A5669" s="1"/>
    </row>
    <row r="5670" spans="1:1" x14ac:dyDescent="0.3">
      <c r="A5670" s="1"/>
    </row>
    <row r="5671" spans="1:1" x14ac:dyDescent="0.3">
      <c r="A5671" s="1"/>
    </row>
    <row r="5672" spans="1:1" x14ac:dyDescent="0.3">
      <c r="A5672" s="1"/>
    </row>
    <row r="5673" spans="1:1" x14ac:dyDescent="0.3">
      <c r="A5673" s="1"/>
    </row>
    <row r="5674" spans="1:1" x14ac:dyDescent="0.3">
      <c r="A5674" s="1"/>
    </row>
    <row r="5675" spans="1:1" x14ac:dyDescent="0.3">
      <c r="A5675" s="1"/>
    </row>
    <row r="5676" spans="1:1" x14ac:dyDescent="0.3">
      <c r="A5676" s="1"/>
    </row>
    <row r="5677" spans="1:1" x14ac:dyDescent="0.3">
      <c r="A5677" s="1"/>
    </row>
    <row r="5678" spans="1:1" x14ac:dyDescent="0.3">
      <c r="A5678" s="1"/>
    </row>
    <row r="5679" spans="1:1" x14ac:dyDescent="0.3">
      <c r="A5679" s="1"/>
    </row>
    <row r="5680" spans="1:1" x14ac:dyDescent="0.3">
      <c r="A5680" s="1"/>
    </row>
    <row r="5681" spans="1:1" x14ac:dyDescent="0.3">
      <c r="A5681" s="1"/>
    </row>
    <row r="5682" spans="1:1" x14ac:dyDescent="0.3">
      <c r="A5682" s="1"/>
    </row>
    <row r="5683" spans="1:1" x14ac:dyDescent="0.3">
      <c r="A5683" s="1"/>
    </row>
    <row r="5684" spans="1:1" x14ac:dyDescent="0.3">
      <c r="A5684" s="1"/>
    </row>
    <row r="5685" spans="1:1" x14ac:dyDescent="0.3">
      <c r="A5685" s="1"/>
    </row>
    <row r="5686" spans="1:1" x14ac:dyDescent="0.3">
      <c r="A5686" s="1"/>
    </row>
    <row r="5687" spans="1:1" x14ac:dyDescent="0.3">
      <c r="A5687" s="1"/>
    </row>
    <row r="5688" spans="1:1" x14ac:dyDescent="0.3">
      <c r="A5688" s="1"/>
    </row>
    <row r="5689" spans="1:1" x14ac:dyDescent="0.3">
      <c r="A5689" s="1"/>
    </row>
    <row r="5690" spans="1:1" x14ac:dyDescent="0.3">
      <c r="A5690" s="1"/>
    </row>
    <row r="5691" spans="1:1" x14ac:dyDescent="0.3">
      <c r="A5691" s="1"/>
    </row>
    <row r="5692" spans="1:1" x14ac:dyDescent="0.3">
      <c r="A5692" s="1"/>
    </row>
    <row r="5693" spans="1:1" x14ac:dyDescent="0.3">
      <c r="A5693" s="1"/>
    </row>
    <row r="5694" spans="1:1" x14ac:dyDescent="0.3">
      <c r="A5694" s="1"/>
    </row>
    <row r="5695" spans="1:1" x14ac:dyDescent="0.3">
      <c r="A5695" s="1"/>
    </row>
    <row r="5696" spans="1:1" x14ac:dyDescent="0.3">
      <c r="A5696" s="1"/>
    </row>
    <row r="5697" spans="1:1" x14ac:dyDescent="0.3">
      <c r="A5697" s="1"/>
    </row>
    <row r="5698" spans="1:1" x14ac:dyDescent="0.3">
      <c r="A5698" s="1"/>
    </row>
    <row r="5699" spans="1:1" x14ac:dyDescent="0.3">
      <c r="A5699" s="1"/>
    </row>
    <row r="5700" spans="1:1" x14ac:dyDescent="0.3">
      <c r="A5700" s="1"/>
    </row>
    <row r="5701" spans="1:1" x14ac:dyDescent="0.3">
      <c r="A5701" s="1"/>
    </row>
    <row r="5702" spans="1:1" x14ac:dyDescent="0.3">
      <c r="A5702" s="1"/>
    </row>
    <row r="5703" spans="1:1" x14ac:dyDescent="0.3">
      <c r="A5703" s="1"/>
    </row>
    <row r="5704" spans="1:1" x14ac:dyDescent="0.3">
      <c r="A5704" s="1"/>
    </row>
    <row r="5705" spans="1:1" x14ac:dyDescent="0.3">
      <c r="A5705" s="1"/>
    </row>
    <row r="5706" spans="1:1" x14ac:dyDescent="0.3">
      <c r="A5706" s="1"/>
    </row>
    <row r="5707" spans="1:1" x14ac:dyDescent="0.3">
      <c r="A5707" s="1"/>
    </row>
    <row r="5708" spans="1:1" x14ac:dyDescent="0.3">
      <c r="A5708" s="1"/>
    </row>
    <row r="5709" spans="1:1" x14ac:dyDescent="0.3">
      <c r="A5709" s="1"/>
    </row>
    <row r="5710" spans="1:1" x14ac:dyDescent="0.3">
      <c r="A5710" s="1"/>
    </row>
    <row r="5711" spans="1:1" x14ac:dyDescent="0.3">
      <c r="A5711" s="1"/>
    </row>
    <row r="5712" spans="1:1" x14ac:dyDescent="0.3">
      <c r="A5712" s="1"/>
    </row>
    <row r="5713" spans="1:1" x14ac:dyDescent="0.3">
      <c r="A5713" s="1"/>
    </row>
    <row r="5714" spans="1:1" x14ac:dyDescent="0.3">
      <c r="A5714" s="1"/>
    </row>
    <row r="5715" spans="1:1" x14ac:dyDescent="0.3">
      <c r="A5715" s="1"/>
    </row>
    <row r="5716" spans="1:1" x14ac:dyDescent="0.3">
      <c r="A5716" s="1"/>
    </row>
    <row r="5717" spans="1:1" x14ac:dyDescent="0.3">
      <c r="A5717" s="1"/>
    </row>
    <row r="5718" spans="1:1" x14ac:dyDescent="0.3">
      <c r="A5718" s="1"/>
    </row>
    <row r="5719" spans="1:1" x14ac:dyDescent="0.3">
      <c r="A5719" s="1"/>
    </row>
    <row r="5720" spans="1:1" x14ac:dyDescent="0.3">
      <c r="A5720" s="1"/>
    </row>
    <row r="5721" spans="1:1" x14ac:dyDescent="0.3">
      <c r="A5721" s="1"/>
    </row>
    <row r="5722" spans="1:1" x14ac:dyDescent="0.3">
      <c r="A5722" s="1"/>
    </row>
    <row r="5723" spans="1:1" x14ac:dyDescent="0.3">
      <c r="A5723" s="1"/>
    </row>
    <row r="5724" spans="1:1" x14ac:dyDescent="0.3">
      <c r="A5724" s="1"/>
    </row>
    <row r="5725" spans="1:1" x14ac:dyDescent="0.3">
      <c r="A5725" s="1"/>
    </row>
    <row r="5726" spans="1:1" x14ac:dyDescent="0.3">
      <c r="A5726" s="1"/>
    </row>
    <row r="5727" spans="1:1" x14ac:dyDescent="0.3">
      <c r="A5727" s="1"/>
    </row>
    <row r="5728" spans="1:1" x14ac:dyDescent="0.3">
      <c r="A5728" s="1"/>
    </row>
    <row r="5729" spans="1:1" x14ac:dyDescent="0.3">
      <c r="A5729" s="1"/>
    </row>
    <row r="5730" spans="1:1" x14ac:dyDescent="0.3">
      <c r="A5730" s="1"/>
    </row>
    <row r="5731" spans="1:1" x14ac:dyDescent="0.3">
      <c r="A5731" s="1"/>
    </row>
    <row r="5732" spans="1:1" x14ac:dyDescent="0.3">
      <c r="A5732" s="1"/>
    </row>
    <row r="5733" spans="1:1" x14ac:dyDescent="0.3">
      <c r="A5733" s="1"/>
    </row>
    <row r="5734" spans="1:1" x14ac:dyDescent="0.3">
      <c r="A5734" s="1"/>
    </row>
    <row r="5735" spans="1:1" x14ac:dyDescent="0.3">
      <c r="A5735" s="1"/>
    </row>
    <row r="5736" spans="1:1" x14ac:dyDescent="0.3">
      <c r="A5736" s="1"/>
    </row>
    <row r="5737" spans="1:1" x14ac:dyDescent="0.3">
      <c r="A5737" s="1"/>
    </row>
    <row r="5738" spans="1:1" x14ac:dyDescent="0.3">
      <c r="A5738" s="1"/>
    </row>
    <row r="5739" spans="1:1" x14ac:dyDescent="0.3">
      <c r="A5739" s="1"/>
    </row>
    <row r="5740" spans="1:1" x14ac:dyDescent="0.3">
      <c r="A5740" s="1"/>
    </row>
    <row r="5741" spans="1:1" x14ac:dyDescent="0.3">
      <c r="A5741" s="1"/>
    </row>
    <row r="5742" spans="1:1" x14ac:dyDescent="0.3">
      <c r="A5742" s="1"/>
    </row>
    <row r="5743" spans="1:1" x14ac:dyDescent="0.3">
      <c r="A5743" s="1"/>
    </row>
    <row r="5744" spans="1:1" x14ac:dyDescent="0.3">
      <c r="A5744" s="1"/>
    </row>
    <row r="5745" spans="1:1" x14ac:dyDescent="0.3">
      <c r="A5745" s="1"/>
    </row>
    <row r="5746" spans="1:1" x14ac:dyDescent="0.3">
      <c r="A5746" s="1"/>
    </row>
    <row r="5747" spans="1:1" x14ac:dyDescent="0.3">
      <c r="A5747" s="1"/>
    </row>
    <row r="5748" spans="1:1" x14ac:dyDescent="0.3">
      <c r="A5748" s="1"/>
    </row>
    <row r="5749" spans="1:1" x14ac:dyDescent="0.3">
      <c r="A5749" s="1"/>
    </row>
    <row r="5750" spans="1:1" x14ac:dyDescent="0.3">
      <c r="A5750" s="1"/>
    </row>
    <row r="5751" spans="1:1" x14ac:dyDescent="0.3">
      <c r="A5751" s="1"/>
    </row>
    <row r="5752" spans="1:1" x14ac:dyDescent="0.3">
      <c r="A5752" s="1"/>
    </row>
    <row r="5753" spans="1:1" x14ac:dyDescent="0.3">
      <c r="A5753" s="1"/>
    </row>
    <row r="5754" spans="1:1" x14ac:dyDescent="0.3">
      <c r="A5754" s="1"/>
    </row>
    <row r="5755" spans="1:1" x14ac:dyDescent="0.3">
      <c r="A5755" s="1"/>
    </row>
    <row r="5756" spans="1:1" x14ac:dyDescent="0.3">
      <c r="A5756" s="1"/>
    </row>
    <row r="5757" spans="1:1" x14ac:dyDescent="0.3">
      <c r="A5757" s="1"/>
    </row>
    <row r="5758" spans="1:1" x14ac:dyDescent="0.3">
      <c r="A5758" s="1"/>
    </row>
    <row r="5759" spans="1:1" x14ac:dyDescent="0.3">
      <c r="A5759" s="1"/>
    </row>
    <row r="5760" spans="1:1" x14ac:dyDescent="0.3">
      <c r="A5760" s="1"/>
    </row>
    <row r="5761" spans="1:1" x14ac:dyDescent="0.3">
      <c r="A5761" s="1"/>
    </row>
    <row r="5762" spans="1:1" x14ac:dyDescent="0.3">
      <c r="A5762" s="1"/>
    </row>
    <row r="5763" spans="1:1" x14ac:dyDescent="0.3">
      <c r="A5763" s="1"/>
    </row>
    <row r="5764" spans="1:1" x14ac:dyDescent="0.3">
      <c r="A5764" s="1"/>
    </row>
    <row r="5765" spans="1:1" x14ac:dyDescent="0.3">
      <c r="A5765" s="1"/>
    </row>
    <row r="5766" spans="1:1" x14ac:dyDescent="0.3">
      <c r="A5766" s="1"/>
    </row>
    <row r="5767" spans="1:1" x14ac:dyDescent="0.3">
      <c r="A5767" s="1"/>
    </row>
    <row r="5768" spans="1:1" x14ac:dyDescent="0.3">
      <c r="A5768" s="1"/>
    </row>
    <row r="5769" spans="1:1" x14ac:dyDescent="0.3">
      <c r="A5769" s="1"/>
    </row>
    <row r="5770" spans="1:1" x14ac:dyDescent="0.3">
      <c r="A5770" s="1"/>
    </row>
    <row r="5771" spans="1:1" x14ac:dyDescent="0.3">
      <c r="A5771" s="1"/>
    </row>
    <row r="5772" spans="1:1" x14ac:dyDescent="0.3">
      <c r="A5772" s="1"/>
    </row>
    <row r="5773" spans="1:1" x14ac:dyDescent="0.3">
      <c r="A5773" s="1"/>
    </row>
    <row r="5774" spans="1:1" x14ac:dyDescent="0.3">
      <c r="A5774" s="1"/>
    </row>
    <row r="5775" spans="1:1" x14ac:dyDescent="0.3">
      <c r="A5775" s="1"/>
    </row>
    <row r="5776" spans="1:1" x14ac:dyDescent="0.3">
      <c r="A5776" s="1"/>
    </row>
    <row r="5777" spans="1:1" x14ac:dyDescent="0.3">
      <c r="A5777" s="1"/>
    </row>
    <row r="5778" spans="1:1" x14ac:dyDescent="0.3">
      <c r="A5778" s="1"/>
    </row>
    <row r="5779" spans="1:1" x14ac:dyDescent="0.3">
      <c r="A5779" s="1"/>
    </row>
    <row r="5780" spans="1:1" x14ac:dyDescent="0.3">
      <c r="A5780" s="1"/>
    </row>
    <row r="5781" spans="1:1" x14ac:dyDescent="0.3">
      <c r="A5781" s="1"/>
    </row>
    <row r="5782" spans="1:1" x14ac:dyDescent="0.3">
      <c r="A5782" s="1"/>
    </row>
    <row r="5783" spans="1:1" x14ac:dyDescent="0.3">
      <c r="A5783" s="1"/>
    </row>
    <row r="5784" spans="1:1" x14ac:dyDescent="0.3">
      <c r="A5784" s="1"/>
    </row>
    <row r="5785" spans="1:1" x14ac:dyDescent="0.3">
      <c r="A5785" s="1"/>
    </row>
    <row r="5786" spans="1:1" x14ac:dyDescent="0.3">
      <c r="A5786" s="1"/>
    </row>
    <row r="5787" spans="1:1" x14ac:dyDescent="0.3">
      <c r="A5787" s="1"/>
    </row>
    <row r="5788" spans="1:1" x14ac:dyDescent="0.3">
      <c r="A5788" s="1"/>
    </row>
    <row r="5789" spans="1:1" x14ac:dyDescent="0.3">
      <c r="A5789" s="1"/>
    </row>
    <row r="5790" spans="1:1" x14ac:dyDescent="0.3">
      <c r="A5790" s="1"/>
    </row>
    <row r="5791" spans="1:1" x14ac:dyDescent="0.3">
      <c r="A5791" s="1"/>
    </row>
    <row r="5792" spans="1:1" x14ac:dyDescent="0.3">
      <c r="A5792" s="1"/>
    </row>
    <row r="5793" spans="1:1" x14ac:dyDescent="0.3">
      <c r="A5793" s="1"/>
    </row>
    <row r="5794" spans="1:1" x14ac:dyDescent="0.3">
      <c r="A5794" s="1"/>
    </row>
    <row r="5795" spans="1:1" x14ac:dyDescent="0.3">
      <c r="A5795" s="1"/>
    </row>
    <row r="5796" spans="1:1" x14ac:dyDescent="0.3">
      <c r="A5796" s="1"/>
    </row>
    <row r="5797" spans="1:1" x14ac:dyDescent="0.3">
      <c r="A5797" s="1"/>
    </row>
    <row r="5798" spans="1:1" x14ac:dyDescent="0.3">
      <c r="A5798" s="1"/>
    </row>
    <row r="5799" spans="1:1" x14ac:dyDescent="0.3">
      <c r="A5799" s="1"/>
    </row>
    <row r="5800" spans="1:1" x14ac:dyDescent="0.3">
      <c r="A5800" s="1"/>
    </row>
    <row r="5801" spans="1:1" x14ac:dyDescent="0.3">
      <c r="A5801" s="1"/>
    </row>
    <row r="5802" spans="1:1" x14ac:dyDescent="0.3">
      <c r="A5802" s="1"/>
    </row>
    <row r="5803" spans="1:1" x14ac:dyDescent="0.3">
      <c r="A5803" s="1"/>
    </row>
    <row r="5804" spans="1:1" x14ac:dyDescent="0.3">
      <c r="A5804" s="1"/>
    </row>
    <row r="5805" spans="1:1" x14ac:dyDescent="0.3">
      <c r="A5805" s="1"/>
    </row>
    <row r="5806" spans="1:1" x14ac:dyDescent="0.3">
      <c r="A5806" s="1"/>
    </row>
    <row r="5807" spans="1:1" x14ac:dyDescent="0.3">
      <c r="A5807" s="1"/>
    </row>
    <row r="5808" spans="1:1" x14ac:dyDescent="0.3">
      <c r="A5808" s="1"/>
    </row>
    <row r="5809" spans="1:1" x14ac:dyDescent="0.3">
      <c r="A5809" s="1"/>
    </row>
    <row r="5810" spans="1:1" x14ac:dyDescent="0.3">
      <c r="A5810" s="1"/>
    </row>
    <row r="5811" spans="1:1" x14ac:dyDescent="0.3">
      <c r="A5811" s="1"/>
    </row>
    <row r="5812" spans="1:1" x14ac:dyDescent="0.3">
      <c r="A5812" s="1"/>
    </row>
    <row r="5813" spans="1:1" x14ac:dyDescent="0.3">
      <c r="A5813" s="1"/>
    </row>
    <row r="5814" spans="1:1" x14ac:dyDescent="0.3">
      <c r="A5814" s="1"/>
    </row>
    <row r="5815" spans="1:1" x14ac:dyDescent="0.3">
      <c r="A5815" s="1"/>
    </row>
    <row r="5816" spans="1:1" x14ac:dyDescent="0.3">
      <c r="A5816" s="1"/>
    </row>
    <row r="5817" spans="1:1" x14ac:dyDescent="0.3">
      <c r="A5817" s="1"/>
    </row>
    <row r="5818" spans="1:1" x14ac:dyDescent="0.3">
      <c r="A5818" s="1"/>
    </row>
    <row r="5819" spans="1:1" x14ac:dyDescent="0.3">
      <c r="A5819" s="1"/>
    </row>
    <row r="5820" spans="1:1" x14ac:dyDescent="0.3">
      <c r="A5820" s="1"/>
    </row>
    <row r="5821" spans="1:1" x14ac:dyDescent="0.3">
      <c r="A5821" s="1"/>
    </row>
    <row r="5822" spans="1:1" x14ac:dyDescent="0.3">
      <c r="A5822" s="1"/>
    </row>
    <row r="5823" spans="1:1" x14ac:dyDescent="0.3">
      <c r="A5823" s="1"/>
    </row>
    <row r="5824" spans="1:1" x14ac:dyDescent="0.3">
      <c r="A5824" s="1"/>
    </row>
    <row r="5825" spans="1:1" x14ac:dyDescent="0.3">
      <c r="A5825" s="1"/>
    </row>
    <row r="5826" spans="1:1" x14ac:dyDescent="0.3">
      <c r="A5826" s="1"/>
    </row>
    <row r="5827" spans="1:1" x14ac:dyDescent="0.3">
      <c r="A5827" s="1"/>
    </row>
    <row r="5828" spans="1:1" x14ac:dyDescent="0.3">
      <c r="A5828" s="1"/>
    </row>
    <row r="5829" spans="1:1" x14ac:dyDescent="0.3">
      <c r="A5829" s="1"/>
    </row>
    <row r="5830" spans="1:1" x14ac:dyDescent="0.3">
      <c r="A5830" s="1"/>
    </row>
    <row r="5831" spans="1:1" x14ac:dyDescent="0.3">
      <c r="A5831" s="1"/>
    </row>
    <row r="5832" spans="1:1" x14ac:dyDescent="0.3">
      <c r="A5832" s="1"/>
    </row>
    <row r="5833" spans="1:1" x14ac:dyDescent="0.3">
      <c r="A5833" s="1"/>
    </row>
    <row r="5834" spans="1:1" x14ac:dyDescent="0.3">
      <c r="A5834" s="1"/>
    </row>
    <row r="5835" spans="1:1" x14ac:dyDescent="0.3">
      <c r="A5835" s="1"/>
    </row>
    <row r="5836" spans="1:1" x14ac:dyDescent="0.3">
      <c r="A5836" s="1"/>
    </row>
    <row r="5837" spans="1:1" x14ac:dyDescent="0.3">
      <c r="A5837" s="1"/>
    </row>
    <row r="5838" spans="1:1" x14ac:dyDescent="0.3">
      <c r="A5838" s="1"/>
    </row>
    <row r="5839" spans="1:1" x14ac:dyDescent="0.3">
      <c r="A5839" s="1"/>
    </row>
    <row r="5840" spans="1:1" x14ac:dyDescent="0.3">
      <c r="A5840" s="1"/>
    </row>
    <row r="5841" spans="1:1" x14ac:dyDescent="0.3">
      <c r="A5841" s="1"/>
    </row>
    <row r="5842" spans="1:1" x14ac:dyDescent="0.3">
      <c r="A5842" s="1"/>
    </row>
    <row r="5843" spans="1:1" x14ac:dyDescent="0.3">
      <c r="A5843" s="1"/>
    </row>
    <row r="5844" spans="1:1" x14ac:dyDescent="0.3">
      <c r="A5844" s="1"/>
    </row>
    <row r="5845" spans="1:1" x14ac:dyDescent="0.3">
      <c r="A5845" s="1"/>
    </row>
    <row r="5846" spans="1:1" x14ac:dyDescent="0.3">
      <c r="A5846" s="1"/>
    </row>
    <row r="5847" spans="1:1" x14ac:dyDescent="0.3">
      <c r="A5847" s="1"/>
    </row>
    <row r="5848" spans="1:1" x14ac:dyDescent="0.3">
      <c r="A5848" s="1"/>
    </row>
    <row r="5849" spans="1:1" x14ac:dyDescent="0.3">
      <c r="A5849" s="1"/>
    </row>
    <row r="5850" spans="1:1" x14ac:dyDescent="0.3">
      <c r="A5850" s="1"/>
    </row>
    <row r="5851" spans="1:1" x14ac:dyDescent="0.3">
      <c r="A5851" s="1"/>
    </row>
    <row r="5852" spans="1:1" x14ac:dyDescent="0.3">
      <c r="A5852" s="1"/>
    </row>
    <row r="5853" spans="1:1" x14ac:dyDescent="0.3">
      <c r="A5853" s="1"/>
    </row>
    <row r="5854" spans="1:1" x14ac:dyDescent="0.3">
      <c r="A5854" s="1"/>
    </row>
    <row r="5855" spans="1:1" x14ac:dyDescent="0.3">
      <c r="A5855" s="1"/>
    </row>
    <row r="5856" spans="1:1" x14ac:dyDescent="0.3">
      <c r="A5856" s="1"/>
    </row>
    <row r="5857" spans="1:1" x14ac:dyDescent="0.3">
      <c r="A5857" s="1"/>
    </row>
    <row r="5858" spans="1:1" x14ac:dyDescent="0.3">
      <c r="A5858" s="1"/>
    </row>
    <row r="5859" spans="1:1" x14ac:dyDescent="0.3">
      <c r="A5859" s="1"/>
    </row>
    <row r="5860" spans="1:1" x14ac:dyDescent="0.3">
      <c r="A5860" s="1"/>
    </row>
    <row r="5861" spans="1:1" x14ac:dyDescent="0.3">
      <c r="A5861" s="1"/>
    </row>
    <row r="5862" spans="1:1" x14ac:dyDescent="0.3">
      <c r="A5862" s="1"/>
    </row>
    <row r="5863" spans="1:1" x14ac:dyDescent="0.3">
      <c r="A5863" s="1"/>
    </row>
    <row r="5864" spans="1:1" x14ac:dyDescent="0.3">
      <c r="A5864" s="1"/>
    </row>
    <row r="5865" spans="1:1" x14ac:dyDescent="0.3">
      <c r="A5865" s="1"/>
    </row>
    <row r="5866" spans="1:1" x14ac:dyDescent="0.3">
      <c r="A5866" s="1"/>
    </row>
    <row r="5867" spans="1:1" x14ac:dyDescent="0.3">
      <c r="A5867" s="1"/>
    </row>
    <row r="5868" spans="1:1" x14ac:dyDescent="0.3">
      <c r="A5868" s="1"/>
    </row>
    <row r="5869" spans="1:1" x14ac:dyDescent="0.3">
      <c r="A5869" s="1"/>
    </row>
    <row r="5870" spans="1:1" x14ac:dyDescent="0.3">
      <c r="A5870" s="1"/>
    </row>
    <row r="5871" spans="1:1" x14ac:dyDescent="0.3">
      <c r="A5871" s="1"/>
    </row>
    <row r="5872" spans="1:1" x14ac:dyDescent="0.3">
      <c r="A5872" s="1"/>
    </row>
    <row r="5873" spans="1:1" x14ac:dyDescent="0.3">
      <c r="A5873" s="1"/>
    </row>
    <row r="5874" spans="1:1" x14ac:dyDescent="0.3">
      <c r="A5874" s="1"/>
    </row>
    <row r="5875" spans="1:1" x14ac:dyDescent="0.3">
      <c r="A5875" s="1"/>
    </row>
    <row r="5876" spans="1:1" x14ac:dyDescent="0.3">
      <c r="A5876" s="1"/>
    </row>
    <row r="5877" spans="1:1" x14ac:dyDescent="0.3">
      <c r="A5877" s="1"/>
    </row>
    <row r="5878" spans="1:1" x14ac:dyDescent="0.3">
      <c r="A5878" s="1"/>
    </row>
    <row r="5879" spans="1:1" x14ac:dyDescent="0.3">
      <c r="A5879" s="1"/>
    </row>
    <row r="5880" spans="1:1" x14ac:dyDescent="0.3">
      <c r="A5880" s="1"/>
    </row>
    <row r="5881" spans="1:1" x14ac:dyDescent="0.3">
      <c r="A5881" s="1"/>
    </row>
    <row r="5882" spans="1:1" x14ac:dyDescent="0.3">
      <c r="A5882" s="1"/>
    </row>
    <row r="5883" spans="1:1" x14ac:dyDescent="0.3">
      <c r="A5883" s="1"/>
    </row>
    <row r="5884" spans="1:1" x14ac:dyDescent="0.3">
      <c r="A5884" s="1"/>
    </row>
    <row r="5885" spans="1:1" x14ac:dyDescent="0.3">
      <c r="A5885" s="1"/>
    </row>
    <row r="5886" spans="1:1" x14ac:dyDescent="0.3">
      <c r="A5886" s="1"/>
    </row>
    <row r="5887" spans="1:1" x14ac:dyDescent="0.3">
      <c r="A5887" s="1"/>
    </row>
    <row r="5888" spans="1:1" x14ac:dyDescent="0.3">
      <c r="A5888" s="1"/>
    </row>
    <row r="5889" spans="1:1" x14ac:dyDescent="0.3">
      <c r="A5889" s="1"/>
    </row>
    <row r="5890" spans="1:1" x14ac:dyDescent="0.3">
      <c r="A5890" s="1"/>
    </row>
    <row r="5891" spans="1:1" x14ac:dyDescent="0.3">
      <c r="A5891" s="1"/>
    </row>
    <row r="5892" spans="1:1" x14ac:dyDescent="0.3">
      <c r="A5892" s="1"/>
    </row>
    <row r="5893" spans="1:1" x14ac:dyDescent="0.3">
      <c r="A5893" s="1"/>
    </row>
    <row r="5894" spans="1:1" x14ac:dyDescent="0.3">
      <c r="A5894" s="1"/>
    </row>
    <row r="5895" spans="1:1" x14ac:dyDescent="0.3">
      <c r="A5895" s="1"/>
    </row>
    <row r="5896" spans="1:1" x14ac:dyDescent="0.3">
      <c r="A5896" s="1"/>
    </row>
    <row r="5897" spans="1:1" x14ac:dyDescent="0.3">
      <c r="A5897" s="1"/>
    </row>
    <row r="5898" spans="1:1" x14ac:dyDescent="0.3">
      <c r="A5898" s="1"/>
    </row>
    <row r="5899" spans="1:1" x14ac:dyDescent="0.3">
      <c r="A5899" s="1"/>
    </row>
    <row r="5900" spans="1:1" x14ac:dyDescent="0.3">
      <c r="A5900" s="1"/>
    </row>
    <row r="5901" spans="1:1" x14ac:dyDescent="0.3">
      <c r="A5901" s="1"/>
    </row>
    <row r="5902" spans="1:1" x14ac:dyDescent="0.3">
      <c r="A5902" s="1"/>
    </row>
    <row r="5903" spans="1:1" x14ac:dyDescent="0.3">
      <c r="A5903" s="1"/>
    </row>
    <row r="5904" spans="1:1" x14ac:dyDescent="0.3">
      <c r="A5904" s="1"/>
    </row>
    <row r="5905" spans="1:1" x14ac:dyDescent="0.3">
      <c r="A5905" s="1"/>
    </row>
    <row r="5906" spans="1:1" x14ac:dyDescent="0.3">
      <c r="A5906" s="1"/>
    </row>
    <row r="5907" spans="1:1" x14ac:dyDescent="0.3">
      <c r="A5907" s="1"/>
    </row>
    <row r="5908" spans="1:1" x14ac:dyDescent="0.3">
      <c r="A5908" s="1"/>
    </row>
    <row r="5909" spans="1:1" x14ac:dyDescent="0.3">
      <c r="A5909" s="1"/>
    </row>
    <row r="5910" spans="1:1" x14ac:dyDescent="0.3">
      <c r="A5910" s="1"/>
    </row>
    <row r="5911" spans="1:1" x14ac:dyDescent="0.3">
      <c r="A5911" s="1"/>
    </row>
    <row r="5912" spans="1:1" x14ac:dyDescent="0.3">
      <c r="A5912" s="1"/>
    </row>
    <row r="5913" spans="1:1" x14ac:dyDescent="0.3">
      <c r="A5913" s="1"/>
    </row>
    <row r="5914" spans="1:1" x14ac:dyDescent="0.3">
      <c r="A5914" s="1"/>
    </row>
    <row r="5915" spans="1:1" x14ac:dyDescent="0.3">
      <c r="A5915" s="1"/>
    </row>
    <row r="5916" spans="1:1" x14ac:dyDescent="0.3">
      <c r="A5916" s="1"/>
    </row>
    <row r="5917" spans="1:1" x14ac:dyDescent="0.3">
      <c r="A5917" s="1"/>
    </row>
    <row r="5918" spans="1:1" x14ac:dyDescent="0.3">
      <c r="A5918" s="1"/>
    </row>
    <row r="5919" spans="1:1" x14ac:dyDescent="0.3">
      <c r="A5919" s="1"/>
    </row>
    <row r="5920" spans="1:1" x14ac:dyDescent="0.3">
      <c r="A5920" s="1"/>
    </row>
    <row r="5921" spans="1:1" x14ac:dyDescent="0.3">
      <c r="A5921" s="1"/>
    </row>
    <row r="5922" spans="1:1" x14ac:dyDescent="0.3">
      <c r="A5922" s="1"/>
    </row>
    <row r="5923" spans="1:1" x14ac:dyDescent="0.3">
      <c r="A5923" s="1"/>
    </row>
    <row r="5924" spans="1:1" x14ac:dyDescent="0.3">
      <c r="A5924" s="1"/>
    </row>
    <row r="5925" spans="1:1" x14ac:dyDescent="0.3">
      <c r="A5925" s="1"/>
    </row>
    <row r="5926" spans="1:1" x14ac:dyDescent="0.3">
      <c r="A5926" s="1"/>
    </row>
    <row r="5927" spans="1:1" x14ac:dyDescent="0.3">
      <c r="A5927" s="1"/>
    </row>
    <row r="5928" spans="1:1" x14ac:dyDescent="0.3">
      <c r="A5928" s="1"/>
    </row>
    <row r="5929" spans="1:1" x14ac:dyDescent="0.3">
      <c r="A5929" s="1"/>
    </row>
    <row r="5930" spans="1:1" x14ac:dyDescent="0.3">
      <c r="A5930" s="1"/>
    </row>
    <row r="5931" spans="1:1" x14ac:dyDescent="0.3">
      <c r="A5931" s="1"/>
    </row>
    <row r="5932" spans="1:1" x14ac:dyDescent="0.3">
      <c r="A5932" s="1"/>
    </row>
    <row r="5933" spans="1:1" x14ac:dyDescent="0.3">
      <c r="A5933" s="1"/>
    </row>
    <row r="5934" spans="1:1" x14ac:dyDescent="0.3">
      <c r="A5934" s="1"/>
    </row>
    <row r="5935" spans="1:1" x14ac:dyDescent="0.3">
      <c r="A5935" s="1"/>
    </row>
    <row r="5936" spans="1:1" x14ac:dyDescent="0.3">
      <c r="A5936" s="1"/>
    </row>
    <row r="5937" spans="1:1" x14ac:dyDescent="0.3">
      <c r="A5937" s="1"/>
    </row>
    <row r="5938" spans="1:1" x14ac:dyDescent="0.3">
      <c r="A5938" s="1"/>
    </row>
    <row r="5939" spans="1:1" x14ac:dyDescent="0.3">
      <c r="A5939" s="1"/>
    </row>
    <row r="5940" spans="1:1" x14ac:dyDescent="0.3">
      <c r="A5940" s="1"/>
    </row>
    <row r="5941" spans="1:1" x14ac:dyDescent="0.3">
      <c r="A5941" s="1"/>
    </row>
    <row r="5942" spans="1:1" x14ac:dyDescent="0.3">
      <c r="A5942" s="1"/>
    </row>
    <row r="5943" spans="1:1" x14ac:dyDescent="0.3">
      <c r="A5943" s="1"/>
    </row>
    <row r="5944" spans="1:1" x14ac:dyDescent="0.3">
      <c r="A5944" s="1"/>
    </row>
    <row r="5945" spans="1:1" x14ac:dyDescent="0.3">
      <c r="A5945" s="1"/>
    </row>
    <row r="5946" spans="1:1" x14ac:dyDescent="0.3">
      <c r="A5946" s="1"/>
    </row>
    <row r="5947" spans="1:1" x14ac:dyDescent="0.3">
      <c r="A5947" s="1"/>
    </row>
    <row r="5948" spans="1:1" x14ac:dyDescent="0.3">
      <c r="A5948" s="1"/>
    </row>
    <row r="5949" spans="1:1" x14ac:dyDescent="0.3">
      <c r="A5949" s="1"/>
    </row>
    <row r="5950" spans="1:1" x14ac:dyDescent="0.3">
      <c r="A5950" s="1"/>
    </row>
    <row r="5951" spans="1:1" x14ac:dyDescent="0.3">
      <c r="A5951" s="1"/>
    </row>
    <row r="5952" spans="1:1" x14ac:dyDescent="0.3">
      <c r="A5952" s="1"/>
    </row>
    <row r="5953" spans="1:1" x14ac:dyDescent="0.3">
      <c r="A5953" s="1"/>
    </row>
    <row r="5954" spans="1:1" x14ac:dyDescent="0.3">
      <c r="A5954" s="1"/>
    </row>
    <row r="5955" spans="1:1" x14ac:dyDescent="0.3">
      <c r="A5955" s="1"/>
    </row>
    <row r="5956" spans="1:1" x14ac:dyDescent="0.3">
      <c r="A5956" s="1"/>
    </row>
    <row r="5957" spans="1:1" x14ac:dyDescent="0.3">
      <c r="A5957" s="1"/>
    </row>
    <row r="5958" spans="1:1" x14ac:dyDescent="0.3">
      <c r="A5958" s="1"/>
    </row>
    <row r="5959" spans="1:1" x14ac:dyDescent="0.3">
      <c r="A5959" s="1"/>
    </row>
    <row r="5960" spans="1:1" x14ac:dyDescent="0.3">
      <c r="A5960" s="1"/>
    </row>
    <row r="5961" spans="1:1" x14ac:dyDescent="0.3">
      <c r="A5961" s="1"/>
    </row>
    <row r="5962" spans="1:1" x14ac:dyDescent="0.3">
      <c r="A5962" s="1"/>
    </row>
    <row r="5963" spans="1:1" x14ac:dyDescent="0.3">
      <c r="A5963" s="1"/>
    </row>
    <row r="5964" spans="1:1" x14ac:dyDescent="0.3">
      <c r="A5964" s="1"/>
    </row>
    <row r="5965" spans="1:1" x14ac:dyDescent="0.3">
      <c r="A5965" s="1"/>
    </row>
    <row r="5966" spans="1:1" x14ac:dyDescent="0.3">
      <c r="A5966" s="1"/>
    </row>
    <row r="5967" spans="1:1" x14ac:dyDescent="0.3">
      <c r="A5967" s="1"/>
    </row>
    <row r="5968" spans="1:1" x14ac:dyDescent="0.3">
      <c r="A5968" s="1"/>
    </row>
    <row r="5969" spans="1:1" x14ac:dyDescent="0.3">
      <c r="A5969" s="1"/>
    </row>
    <row r="5970" spans="1:1" x14ac:dyDescent="0.3">
      <c r="A5970" s="1"/>
    </row>
    <row r="5971" spans="1:1" x14ac:dyDescent="0.3">
      <c r="A5971" s="1"/>
    </row>
    <row r="5972" spans="1:1" x14ac:dyDescent="0.3">
      <c r="A5972" s="1"/>
    </row>
    <row r="5973" spans="1:1" x14ac:dyDescent="0.3">
      <c r="A5973" s="1"/>
    </row>
    <row r="5974" spans="1:1" x14ac:dyDescent="0.3">
      <c r="A5974" s="1"/>
    </row>
    <row r="5975" spans="1:1" x14ac:dyDescent="0.3">
      <c r="A5975" s="1"/>
    </row>
    <row r="5976" spans="1:1" x14ac:dyDescent="0.3">
      <c r="A5976" s="1"/>
    </row>
    <row r="5977" spans="1:1" x14ac:dyDescent="0.3">
      <c r="A5977" s="1"/>
    </row>
    <row r="5978" spans="1:1" x14ac:dyDescent="0.3">
      <c r="A5978" s="1"/>
    </row>
    <row r="5979" spans="1:1" x14ac:dyDescent="0.3">
      <c r="A5979" s="1"/>
    </row>
    <row r="5980" spans="1:1" x14ac:dyDescent="0.3">
      <c r="A5980" s="1"/>
    </row>
    <row r="5981" spans="1:1" x14ac:dyDescent="0.3">
      <c r="A5981" s="1"/>
    </row>
    <row r="5982" spans="1:1" x14ac:dyDescent="0.3">
      <c r="A5982" s="1"/>
    </row>
    <row r="5983" spans="1:1" x14ac:dyDescent="0.3">
      <c r="A5983" s="1"/>
    </row>
    <row r="5984" spans="1:1" x14ac:dyDescent="0.3">
      <c r="A5984" s="1"/>
    </row>
    <row r="5985" spans="1:1" x14ac:dyDescent="0.3">
      <c r="A5985" s="1"/>
    </row>
    <row r="5986" spans="1:1" x14ac:dyDescent="0.3">
      <c r="A5986" s="1"/>
    </row>
    <row r="5987" spans="1:1" x14ac:dyDescent="0.3">
      <c r="A5987" s="1"/>
    </row>
    <row r="5988" spans="1:1" x14ac:dyDescent="0.3">
      <c r="A5988" s="1"/>
    </row>
    <row r="5989" spans="1:1" x14ac:dyDescent="0.3">
      <c r="A5989" s="1"/>
    </row>
    <row r="5990" spans="1:1" x14ac:dyDescent="0.3">
      <c r="A5990" s="1"/>
    </row>
    <row r="5991" spans="1:1" x14ac:dyDescent="0.3">
      <c r="A5991" s="1"/>
    </row>
    <row r="5992" spans="1:1" x14ac:dyDescent="0.3">
      <c r="A5992" s="1"/>
    </row>
    <row r="5993" spans="1:1" x14ac:dyDescent="0.3">
      <c r="A5993" s="1"/>
    </row>
    <row r="5994" spans="1:1" x14ac:dyDescent="0.3">
      <c r="A5994" s="1"/>
    </row>
    <row r="5995" spans="1:1" x14ac:dyDescent="0.3">
      <c r="A5995" s="1"/>
    </row>
    <row r="5996" spans="1:1" x14ac:dyDescent="0.3">
      <c r="A5996" s="1"/>
    </row>
    <row r="5997" spans="1:1" x14ac:dyDescent="0.3">
      <c r="A5997" s="1"/>
    </row>
    <row r="5998" spans="1:1" x14ac:dyDescent="0.3">
      <c r="A5998" s="1"/>
    </row>
    <row r="5999" spans="1:1" x14ac:dyDescent="0.3">
      <c r="A5999" s="1"/>
    </row>
    <row r="6000" spans="1:1" x14ac:dyDescent="0.3">
      <c r="A6000" s="1"/>
    </row>
    <row r="6001" spans="1:1" x14ac:dyDescent="0.3">
      <c r="A6001" s="1"/>
    </row>
    <row r="6002" spans="1:1" x14ac:dyDescent="0.3">
      <c r="A6002" s="1"/>
    </row>
    <row r="6003" spans="1:1" x14ac:dyDescent="0.3">
      <c r="A6003" s="1"/>
    </row>
    <row r="6004" spans="1:1" x14ac:dyDescent="0.3">
      <c r="A6004" s="1"/>
    </row>
    <row r="6005" spans="1:1" x14ac:dyDescent="0.3">
      <c r="A6005" s="1"/>
    </row>
    <row r="6006" spans="1:1" x14ac:dyDescent="0.3">
      <c r="A6006" s="1"/>
    </row>
    <row r="6007" spans="1:1" x14ac:dyDescent="0.3">
      <c r="A6007" s="1"/>
    </row>
    <row r="6008" spans="1:1" x14ac:dyDescent="0.3">
      <c r="A6008" s="1"/>
    </row>
    <row r="6009" spans="1:1" x14ac:dyDescent="0.3">
      <c r="A6009" s="1"/>
    </row>
    <row r="6010" spans="1:1" x14ac:dyDescent="0.3">
      <c r="A6010" s="1"/>
    </row>
    <row r="6011" spans="1:1" x14ac:dyDescent="0.3">
      <c r="A6011" s="1"/>
    </row>
    <row r="6012" spans="1:1" x14ac:dyDescent="0.3">
      <c r="A6012" s="1"/>
    </row>
    <row r="6013" spans="1:1" x14ac:dyDescent="0.3">
      <c r="A6013" s="1"/>
    </row>
    <row r="6014" spans="1:1" x14ac:dyDescent="0.3">
      <c r="A6014" s="1"/>
    </row>
    <row r="6015" spans="1:1" x14ac:dyDescent="0.3">
      <c r="A6015" s="1"/>
    </row>
    <row r="6016" spans="1:1" x14ac:dyDescent="0.3">
      <c r="A6016" s="1"/>
    </row>
    <row r="6017" spans="1:1" x14ac:dyDescent="0.3">
      <c r="A6017" s="1"/>
    </row>
    <row r="6018" spans="1:1" x14ac:dyDescent="0.3">
      <c r="A6018" s="1"/>
    </row>
    <row r="6019" spans="1:1" x14ac:dyDescent="0.3">
      <c r="A6019" s="1"/>
    </row>
    <row r="6020" spans="1:1" x14ac:dyDescent="0.3">
      <c r="A6020" s="1"/>
    </row>
    <row r="6021" spans="1:1" x14ac:dyDescent="0.3">
      <c r="A6021" s="1"/>
    </row>
    <row r="6022" spans="1:1" x14ac:dyDescent="0.3">
      <c r="A6022" s="1"/>
    </row>
    <row r="6023" spans="1:1" x14ac:dyDescent="0.3">
      <c r="A6023" s="1"/>
    </row>
    <row r="6024" spans="1:1" x14ac:dyDescent="0.3">
      <c r="A6024" s="1"/>
    </row>
    <row r="6025" spans="1:1" x14ac:dyDescent="0.3">
      <c r="A6025" s="1"/>
    </row>
    <row r="6026" spans="1:1" x14ac:dyDescent="0.3">
      <c r="A6026" s="1"/>
    </row>
    <row r="6027" spans="1:1" x14ac:dyDescent="0.3">
      <c r="A6027" s="1"/>
    </row>
    <row r="6028" spans="1:1" x14ac:dyDescent="0.3">
      <c r="A6028" s="1"/>
    </row>
    <row r="6029" spans="1:1" x14ac:dyDescent="0.3">
      <c r="A6029" s="1"/>
    </row>
    <row r="6030" spans="1:1" x14ac:dyDescent="0.3">
      <c r="A6030" s="1"/>
    </row>
    <row r="6031" spans="1:1" x14ac:dyDescent="0.3">
      <c r="A6031" s="1"/>
    </row>
    <row r="6032" spans="1:1" x14ac:dyDescent="0.3">
      <c r="A6032" s="1"/>
    </row>
    <row r="6033" spans="1:1" x14ac:dyDescent="0.3">
      <c r="A6033" s="1"/>
    </row>
    <row r="6034" spans="1:1" x14ac:dyDescent="0.3">
      <c r="A6034" s="1"/>
    </row>
    <row r="6035" spans="1:1" x14ac:dyDescent="0.3">
      <c r="A6035" s="1"/>
    </row>
    <row r="6036" spans="1:1" x14ac:dyDescent="0.3">
      <c r="A6036" s="1"/>
    </row>
    <row r="6037" spans="1:1" x14ac:dyDescent="0.3">
      <c r="A6037" s="1"/>
    </row>
    <row r="6038" spans="1:1" x14ac:dyDescent="0.3">
      <c r="A6038" s="1"/>
    </row>
    <row r="6039" spans="1:1" x14ac:dyDescent="0.3">
      <c r="A6039" s="1"/>
    </row>
    <row r="6040" spans="1:1" x14ac:dyDescent="0.3">
      <c r="A6040" s="1"/>
    </row>
    <row r="6041" spans="1:1" x14ac:dyDescent="0.3">
      <c r="A6041" s="1"/>
    </row>
    <row r="6042" spans="1:1" x14ac:dyDescent="0.3">
      <c r="A6042" s="1"/>
    </row>
    <row r="6043" spans="1:1" x14ac:dyDescent="0.3">
      <c r="A6043" s="1"/>
    </row>
    <row r="6044" spans="1:1" x14ac:dyDescent="0.3">
      <c r="A6044" s="1"/>
    </row>
    <row r="6045" spans="1:1" x14ac:dyDescent="0.3">
      <c r="A6045" s="1"/>
    </row>
    <row r="6046" spans="1:1" x14ac:dyDescent="0.3">
      <c r="A6046" s="1"/>
    </row>
    <row r="6047" spans="1:1" x14ac:dyDescent="0.3">
      <c r="A6047" s="1"/>
    </row>
    <row r="6048" spans="1:1" x14ac:dyDescent="0.3">
      <c r="A6048" s="1"/>
    </row>
    <row r="6049" spans="1:1" x14ac:dyDescent="0.3">
      <c r="A6049" s="1"/>
    </row>
    <row r="6050" spans="1:1" x14ac:dyDescent="0.3">
      <c r="A6050" s="1"/>
    </row>
    <row r="6051" spans="1:1" x14ac:dyDescent="0.3">
      <c r="A6051" s="1"/>
    </row>
    <row r="6052" spans="1:1" x14ac:dyDescent="0.3">
      <c r="A6052" s="1"/>
    </row>
    <row r="6053" spans="1:1" x14ac:dyDescent="0.3">
      <c r="A6053" s="1"/>
    </row>
    <row r="6054" spans="1:1" x14ac:dyDescent="0.3">
      <c r="A6054" s="1"/>
    </row>
    <row r="6055" spans="1:1" x14ac:dyDescent="0.3">
      <c r="A6055" s="1"/>
    </row>
    <row r="6056" spans="1:1" x14ac:dyDescent="0.3">
      <c r="A6056" s="1"/>
    </row>
    <row r="6057" spans="1:1" x14ac:dyDescent="0.3">
      <c r="A6057" s="1"/>
    </row>
    <row r="6058" spans="1:1" x14ac:dyDescent="0.3">
      <c r="A6058" s="1"/>
    </row>
    <row r="6059" spans="1:1" x14ac:dyDescent="0.3">
      <c r="A6059" s="1"/>
    </row>
    <row r="6060" spans="1:1" x14ac:dyDescent="0.3">
      <c r="A6060" s="1"/>
    </row>
    <row r="6061" spans="1:1" x14ac:dyDescent="0.3">
      <c r="A6061" s="1"/>
    </row>
    <row r="6062" spans="1:1" x14ac:dyDescent="0.3">
      <c r="A6062" s="1"/>
    </row>
    <row r="6063" spans="1:1" x14ac:dyDescent="0.3">
      <c r="A6063" s="1"/>
    </row>
    <row r="6064" spans="1:1" x14ac:dyDescent="0.3">
      <c r="A6064" s="1"/>
    </row>
    <row r="6065" spans="1:1" x14ac:dyDescent="0.3">
      <c r="A6065" s="1"/>
    </row>
    <row r="6066" spans="1:1" x14ac:dyDescent="0.3">
      <c r="A6066" s="1"/>
    </row>
    <row r="6067" spans="1:1" x14ac:dyDescent="0.3">
      <c r="A6067" s="1"/>
    </row>
    <row r="6068" spans="1:1" x14ac:dyDescent="0.3">
      <c r="A6068" s="1"/>
    </row>
    <row r="6069" spans="1:1" x14ac:dyDescent="0.3">
      <c r="A6069" s="1"/>
    </row>
    <row r="6070" spans="1:1" x14ac:dyDescent="0.3">
      <c r="A6070" s="1"/>
    </row>
    <row r="6071" spans="1:1" x14ac:dyDescent="0.3">
      <c r="A6071" s="1"/>
    </row>
    <row r="6072" spans="1:1" x14ac:dyDescent="0.3">
      <c r="A6072" s="1"/>
    </row>
    <row r="6073" spans="1:1" x14ac:dyDescent="0.3">
      <c r="A6073" s="1"/>
    </row>
    <row r="6074" spans="1:1" x14ac:dyDescent="0.3">
      <c r="A6074" s="1"/>
    </row>
    <row r="6075" spans="1:1" x14ac:dyDescent="0.3">
      <c r="A6075" s="1"/>
    </row>
    <row r="6076" spans="1:1" x14ac:dyDescent="0.3">
      <c r="A6076" s="1"/>
    </row>
    <row r="6077" spans="1:1" x14ac:dyDescent="0.3">
      <c r="A6077" s="1"/>
    </row>
    <row r="6078" spans="1:1" x14ac:dyDescent="0.3">
      <c r="A6078" s="1"/>
    </row>
    <row r="6079" spans="1:1" x14ac:dyDescent="0.3">
      <c r="A6079" s="1"/>
    </row>
    <row r="6080" spans="1:1" x14ac:dyDescent="0.3">
      <c r="A6080" s="1"/>
    </row>
    <row r="6081" spans="1:1" x14ac:dyDescent="0.3">
      <c r="A6081" s="1"/>
    </row>
    <row r="6082" spans="1:1" x14ac:dyDescent="0.3">
      <c r="A6082" s="1"/>
    </row>
    <row r="6083" spans="1:1" x14ac:dyDescent="0.3">
      <c r="A6083" s="1"/>
    </row>
    <row r="6084" spans="1:1" x14ac:dyDescent="0.3">
      <c r="A6084" s="1"/>
    </row>
    <row r="6085" spans="1:1" x14ac:dyDescent="0.3">
      <c r="A6085" s="1"/>
    </row>
    <row r="6086" spans="1:1" x14ac:dyDescent="0.3">
      <c r="A6086" s="1"/>
    </row>
    <row r="6087" spans="1:1" x14ac:dyDescent="0.3">
      <c r="A6087" s="1"/>
    </row>
    <row r="6088" spans="1:1" x14ac:dyDescent="0.3">
      <c r="A6088" s="1"/>
    </row>
    <row r="6089" spans="1:1" x14ac:dyDescent="0.3">
      <c r="A6089" s="1"/>
    </row>
    <row r="6090" spans="1:1" x14ac:dyDescent="0.3">
      <c r="A6090" s="1"/>
    </row>
    <row r="6091" spans="1:1" x14ac:dyDescent="0.3">
      <c r="A6091" s="1"/>
    </row>
    <row r="6092" spans="1:1" x14ac:dyDescent="0.3">
      <c r="A6092" s="1"/>
    </row>
    <row r="6093" spans="1:1" x14ac:dyDescent="0.3">
      <c r="A6093" s="1"/>
    </row>
    <row r="6094" spans="1:1" x14ac:dyDescent="0.3">
      <c r="A6094" s="1"/>
    </row>
    <row r="6095" spans="1:1" x14ac:dyDescent="0.3">
      <c r="A6095" s="1"/>
    </row>
    <row r="6096" spans="1:1" x14ac:dyDescent="0.3">
      <c r="A6096" s="1"/>
    </row>
    <row r="6097" spans="1:1" x14ac:dyDescent="0.3">
      <c r="A6097" s="1"/>
    </row>
    <row r="6098" spans="1:1" x14ac:dyDescent="0.3">
      <c r="A6098" s="1"/>
    </row>
    <row r="6099" spans="1:1" x14ac:dyDescent="0.3">
      <c r="A6099" s="1"/>
    </row>
    <row r="6100" spans="1:1" x14ac:dyDescent="0.3">
      <c r="A6100" s="1"/>
    </row>
    <row r="6101" spans="1:1" x14ac:dyDescent="0.3">
      <c r="A6101" s="1"/>
    </row>
    <row r="6102" spans="1:1" x14ac:dyDescent="0.3">
      <c r="A6102" s="1"/>
    </row>
    <row r="6103" spans="1:1" x14ac:dyDescent="0.3">
      <c r="A6103" s="1"/>
    </row>
    <row r="6104" spans="1:1" x14ac:dyDescent="0.3">
      <c r="A6104" s="1"/>
    </row>
    <row r="6105" spans="1:1" x14ac:dyDescent="0.3">
      <c r="A6105" s="1"/>
    </row>
    <row r="6106" spans="1:1" x14ac:dyDescent="0.3">
      <c r="A6106" s="1"/>
    </row>
    <row r="6107" spans="1:1" x14ac:dyDescent="0.3">
      <c r="A6107" s="1"/>
    </row>
    <row r="6108" spans="1:1" x14ac:dyDescent="0.3">
      <c r="A6108" s="1"/>
    </row>
    <row r="6109" spans="1:1" x14ac:dyDescent="0.3">
      <c r="A6109" s="1"/>
    </row>
    <row r="6110" spans="1:1" x14ac:dyDescent="0.3">
      <c r="A6110" s="1"/>
    </row>
    <row r="6111" spans="1:1" x14ac:dyDescent="0.3">
      <c r="A6111" s="1"/>
    </row>
    <row r="6112" spans="1:1" x14ac:dyDescent="0.3">
      <c r="A6112" s="1"/>
    </row>
    <row r="6113" spans="1:1" x14ac:dyDescent="0.3">
      <c r="A6113" s="1"/>
    </row>
    <row r="6114" spans="1:1" x14ac:dyDescent="0.3">
      <c r="A6114" s="1"/>
    </row>
    <row r="6115" spans="1:1" x14ac:dyDescent="0.3">
      <c r="A6115" s="1"/>
    </row>
    <row r="6116" spans="1:1" x14ac:dyDescent="0.3">
      <c r="A6116" s="1"/>
    </row>
    <row r="6117" spans="1:1" x14ac:dyDescent="0.3">
      <c r="A6117" s="1"/>
    </row>
    <row r="6118" spans="1:1" x14ac:dyDescent="0.3">
      <c r="A6118" s="1"/>
    </row>
    <row r="6119" spans="1:1" x14ac:dyDescent="0.3">
      <c r="A6119" s="1"/>
    </row>
    <row r="6120" spans="1:1" x14ac:dyDescent="0.3">
      <c r="A6120" s="1"/>
    </row>
    <row r="6121" spans="1:1" x14ac:dyDescent="0.3">
      <c r="A6121" s="1"/>
    </row>
    <row r="6122" spans="1:1" x14ac:dyDescent="0.3">
      <c r="A6122" s="1"/>
    </row>
    <row r="6123" spans="1:1" x14ac:dyDescent="0.3">
      <c r="A6123" s="1"/>
    </row>
    <row r="6124" spans="1:1" x14ac:dyDescent="0.3">
      <c r="A6124" s="1"/>
    </row>
    <row r="6125" spans="1:1" x14ac:dyDescent="0.3">
      <c r="A6125" s="1"/>
    </row>
    <row r="6126" spans="1:1" x14ac:dyDescent="0.3">
      <c r="A6126" s="1"/>
    </row>
    <row r="6127" spans="1:1" x14ac:dyDescent="0.3">
      <c r="A6127" s="1"/>
    </row>
    <row r="6128" spans="1:1" x14ac:dyDescent="0.3">
      <c r="A6128" s="1"/>
    </row>
    <row r="6129" spans="1:1" x14ac:dyDescent="0.3">
      <c r="A6129" s="1"/>
    </row>
    <row r="6130" spans="1:1" x14ac:dyDescent="0.3">
      <c r="A6130" s="1"/>
    </row>
    <row r="6131" spans="1:1" x14ac:dyDescent="0.3">
      <c r="A6131" s="1"/>
    </row>
    <row r="6132" spans="1:1" x14ac:dyDescent="0.3">
      <c r="A6132" s="1"/>
    </row>
    <row r="6133" spans="1:1" x14ac:dyDescent="0.3">
      <c r="A6133" s="1"/>
    </row>
    <row r="6134" spans="1:1" x14ac:dyDescent="0.3">
      <c r="A6134" s="1"/>
    </row>
    <row r="6135" spans="1:1" x14ac:dyDescent="0.3">
      <c r="A6135" s="1"/>
    </row>
    <row r="6136" spans="1:1" x14ac:dyDescent="0.3">
      <c r="A6136" s="1"/>
    </row>
    <row r="6137" spans="1:1" x14ac:dyDescent="0.3">
      <c r="A6137" s="1"/>
    </row>
    <row r="6138" spans="1:1" x14ac:dyDescent="0.3">
      <c r="A6138" s="1"/>
    </row>
    <row r="6139" spans="1:1" x14ac:dyDescent="0.3">
      <c r="A6139" s="1"/>
    </row>
    <row r="6140" spans="1:1" x14ac:dyDescent="0.3">
      <c r="A6140" s="1"/>
    </row>
    <row r="6141" spans="1:1" x14ac:dyDescent="0.3">
      <c r="A6141" s="1"/>
    </row>
    <row r="6142" spans="1:1" x14ac:dyDescent="0.3">
      <c r="A6142" s="1"/>
    </row>
    <row r="6143" spans="1:1" x14ac:dyDescent="0.3">
      <c r="A6143" s="1"/>
    </row>
    <row r="6144" spans="1:1" x14ac:dyDescent="0.3">
      <c r="A6144" s="1"/>
    </row>
    <row r="6145" spans="1:1" x14ac:dyDescent="0.3">
      <c r="A6145" s="1"/>
    </row>
    <row r="6146" spans="1:1" x14ac:dyDescent="0.3">
      <c r="A6146" s="1"/>
    </row>
    <row r="6147" spans="1:1" x14ac:dyDescent="0.3">
      <c r="A6147" s="1"/>
    </row>
    <row r="6148" spans="1:1" x14ac:dyDescent="0.3">
      <c r="A6148" s="1"/>
    </row>
    <row r="6149" spans="1:1" x14ac:dyDescent="0.3">
      <c r="A6149" s="1"/>
    </row>
    <row r="6150" spans="1:1" x14ac:dyDescent="0.3">
      <c r="A6150" s="1"/>
    </row>
    <row r="6151" spans="1:1" x14ac:dyDescent="0.3">
      <c r="A6151" s="1"/>
    </row>
    <row r="6152" spans="1:1" x14ac:dyDescent="0.3">
      <c r="A6152" s="1"/>
    </row>
    <row r="6153" spans="1:1" x14ac:dyDescent="0.3">
      <c r="A6153" s="1"/>
    </row>
    <row r="6154" spans="1:1" x14ac:dyDescent="0.3">
      <c r="A6154" s="1"/>
    </row>
    <row r="6155" spans="1:1" x14ac:dyDescent="0.3">
      <c r="A6155" s="1"/>
    </row>
    <row r="6156" spans="1:1" x14ac:dyDescent="0.3">
      <c r="A6156" s="1"/>
    </row>
    <row r="6157" spans="1:1" x14ac:dyDescent="0.3">
      <c r="A6157" s="1"/>
    </row>
    <row r="6158" spans="1:1" x14ac:dyDescent="0.3">
      <c r="A6158" s="1"/>
    </row>
    <row r="6159" spans="1:1" x14ac:dyDescent="0.3">
      <c r="A6159" s="1"/>
    </row>
    <row r="6160" spans="1:1" x14ac:dyDescent="0.3">
      <c r="A6160" s="1"/>
    </row>
    <row r="6161" spans="1:1" x14ac:dyDescent="0.3">
      <c r="A6161" s="1"/>
    </row>
    <row r="6162" spans="1:1" x14ac:dyDescent="0.3">
      <c r="A6162" s="1"/>
    </row>
    <row r="6163" spans="1:1" x14ac:dyDescent="0.3">
      <c r="A6163" s="1"/>
    </row>
    <row r="6164" spans="1:1" x14ac:dyDescent="0.3">
      <c r="A6164" s="1"/>
    </row>
    <row r="6165" spans="1:1" x14ac:dyDescent="0.3">
      <c r="A6165" s="1"/>
    </row>
    <row r="6166" spans="1:1" x14ac:dyDescent="0.3">
      <c r="A6166" s="1"/>
    </row>
    <row r="6167" spans="1:1" x14ac:dyDescent="0.3">
      <c r="A6167" s="1"/>
    </row>
    <row r="6168" spans="1:1" x14ac:dyDescent="0.3">
      <c r="A6168" s="1"/>
    </row>
    <row r="6169" spans="1:1" x14ac:dyDescent="0.3">
      <c r="A6169" s="1"/>
    </row>
    <row r="6170" spans="1:1" x14ac:dyDescent="0.3">
      <c r="A6170" s="1"/>
    </row>
    <row r="6171" spans="1:1" x14ac:dyDescent="0.3">
      <c r="A6171" s="1"/>
    </row>
    <row r="6172" spans="1:1" x14ac:dyDescent="0.3">
      <c r="A6172" s="1"/>
    </row>
    <row r="6173" spans="1:1" x14ac:dyDescent="0.3">
      <c r="A6173" s="1"/>
    </row>
    <row r="6174" spans="1:1" x14ac:dyDescent="0.3">
      <c r="A6174" s="1"/>
    </row>
    <row r="6175" spans="1:1" x14ac:dyDescent="0.3">
      <c r="A6175" s="1"/>
    </row>
    <row r="6176" spans="1:1" x14ac:dyDescent="0.3">
      <c r="A6176" s="1"/>
    </row>
    <row r="6177" spans="1:1" x14ac:dyDescent="0.3">
      <c r="A6177" s="1"/>
    </row>
    <row r="6178" spans="1:1" x14ac:dyDescent="0.3">
      <c r="A6178" s="1"/>
    </row>
    <row r="6179" spans="1:1" x14ac:dyDescent="0.3">
      <c r="A6179" s="1"/>
    </row>
    <row r="6180" spans="1:1" x14ac:dyDescent="0.3">
      <c r="A6180" s="1"/>
    </row>
    <row r="6181" spans="1:1" x14ac:dyDescent="0.3">
      <c r="A6181" s="1"/>
    </row>
    <row r="6182" spans="1:1" x14ac:dyDescent="0.3">
      <c r="A6182" s="1"/>
    </row>
    <row r="6183" spans="1:1" x14ac:dyDescent="0.3">
      <c r="A6183" s="1"/>
    </row>
    <row r="6184" spans="1:1" x14ac:dyDescent="0.3">
      <c r="A6184" s="1"/>
    </row>
    <row r="6185" spans="1:1" x14ac:dyDescent="0.3">
      <c r="A6185" s="1"/>
    </row>
    <row r="6186" spans="1:1" x14ac:dyDescent="0.3">
      <c r="A6186" s="1"/>
    </row>
    <row r="6187" spans="1:1" x14ac:dyDescent="0.3">
      <c r="A6187" s="1"/>
    </row>
    <row r="6188" spans="1:1" x14ac:dyDescent="0.3">
      <c r="A6188" s="1"/>
    </row>
    <row r="6189" spans="1:1" x14ac:dyDescent="0.3">
      <c r="A6189" s="1"/>
    </row>
    <row r="6190" spans="1:1" x14ac:dyDescent="0.3">
      <c r="A6190" s="1"/>
    </row>
    <row r="6191" spans="1:1" x14ac:dyDescent="0.3">
      <c r="A6191" s="1"/>
    </row>
    <row r="6192" spans="1:1" x14ac:dyDescent="0.3">
      <c r="A6192" s="1"/>
    </row>
    <row r="6193" spans="1:1" x14ac:dyDescent="0.3">
      <c r="A6193" s="1"/>
    </row>
    <row r="6194" spans="1:1" x14ac:dyDescent="0.3">
      <c r="A6194" s="1"/>
    </row>
    <row r="6195" spans="1:1" x14ac:dyDescent="0.3">
      <c r="A6195" s="1"/>
    </row>
    <row r="6196" spans="1:1" x14ac:dyDescent="0.3">
      <c r="A6196" s="1"/>
    </row>
    <row r="6197" spans="1:1" x14ac:dyDescent="0.3">
      <c r="A6197" s="1"/>
    </row>
    <row r="6198" spans="1:1" x14ac:dyDescent="0.3">
      <c r="A6198" s="1"/>
    </row>
    <row r="6199" spans="1:1" x14ac:dyDescent="0.3">
      <c r="A6199" s="1"/>
    </row>
    <row r="6200" spans="1:1" x14ac:dyDescent="0.3">
      <c r="A6200" s="1"/>
    </row>
    <row r="6201" spans="1:1" x14ac:dyDescent="0.3">
      <c r="A6201" s="1"/>
    </row>
    <row r="6202" spans="1:1" x14ac:dyDescent="0.3">
      <c r="A6202" s="1"/>
    </row>
    <row r="6203" spans="1:1" x14ac:dyDescent="0.3">
      <c r="A6203" s="1"/>
    </row>
    <row r="6204" spans="1:1" x14ac:dyDescent="0.3">
      <c r="A6204" s="1"/>
    </row>
    <row r="6205" spans="1:1" x14ac:dyDescent="0.3">
      <c r="A6205" s="1"/>
    </row>
    <row r="6206" spans="1:1" x14ac:dyDescent="0.3">
      <c r="A6206" s="1"/>
    </row>
    <row r="6207" spans="1:1" x14ac:dyDescent="0.3">
      <c r="A6207" s="1"/>
    </row>
    <row r="6208" spans="1:1" x14ac:dyDescent="0.3">
      <c r="A6208" s="1"/>
    </row>
    <row r="6209" spans="1:1" x14ac:dyDescent="0.3">
      <c r="A6209" s="1"/>
    </row>
    <row r="6210" spans="1:1" x14ac:dyDescent="0.3">
      <c r="A6210" s="1"/>
    </row>
    <row r="6211" spans="1:1" x14ac:dyDescent="0.3">
      <c r="A6211" s="1"/>
    </row>
    <row r="6212" spans="1:1" x14ac:dyDescent="0.3">
      <c r="A6212" s="1"/>
    </row>
    <row r="6213" spans="1:1" x14ac:dyDescent="0.3">
      <c r="A6213" s="1"/>
    </row>
    <row r="6214" spans="1:1" x14ac:dyDescent="0.3">
      <c r="A6214" s="1"/>
    </row>
    <row r="6215" spans="1:1" x14ac:dyDescent="0.3">
      <c r="A6215" s="1"/>
    </row>
    <row r="6216" spans="1:1" x14ac:dyDescent="0.3">
      <c r="A6216" s="1"/>
    </row>
    <row r="6217" spans="1:1" x14ac:dyDescent="0.3">
      <c r="A6217" s="1"/>
    </row>
    <row r="6218" spans="1:1" x14ac:dyDescent="0.3">
      <c r="A6218" s="1"/>
    </row>
    <row r="6219" spans="1:1" x14ac:dyDescent="0.3">
      <c r="A6219" s="1"/>
    </row>
    <row r="6220" spans="1:1" x14ac:dyDescent="0.3">
      <c r="A6220" s="1"/>
    </row>
    <row r="6221" spans="1:1" x14ac:dyDescent="0.3">
      <c r="A6221" s="1"/>
    </row>
    <row r="6222" spans="1:1" x14ac:dyDescent="0.3">
      <c r="A6222" s="1"/>
    </row>
    <row r="6223" spans="1:1" x14ac:dyDescent="0.3">
      <c r="A6223" s="1"/>
    </row>
    <row r="6224" spans="1:1" x14ac:dyDescent="0.3">
      <c r="A6224" s="1"/>
    </row>
    <row r="6225" spans="1:1" x14ac:dyDescent="0.3">
      <c r="A6225" s="1"/>
    </row>
    <row r="6226" spans="1:1" x14ac:dyDescent="0.3">
      <c r="A6226" s="1"/>
    </row>
    <row r="6227" spans="1:1" x14ac:dyDescent="0.3">
      <c r="A6227" s="1"/>
    </row>
    <row r="6228" spans="1:1" x14ac:dyDescent="0.3">
      <c r="A6228" s="1"/>
    </row>
    <row r="6229" spans="1:1" x14ac:dyDescent="0.3">
      <c r="A6229" s="1"/>
    </row>
    <row r="6230" spans="1:1" x14ac:dyDescent="0.3">
      <c r="A6230" s="1"/>
    </row>
    <row r="6231" spans="1:1" x14ac:dyDescent="0.3">
      <c r="A6231" s="1"/>
    </row>
    <row r="6232" spans="1:1" x14ac:dyDescent="0.3">
      <c r="A6232" s="1"/>
    </row>
    <row r="6233" spans="1:1" x14ac:dyDescent="0.3">
      <c r="A6233" s="1"/>
    </row>
    <row r="6234" spans="1:1" x14ac:dyDescent="0.3">
      <c r="A6234" s="1"/>
    </row>
    <row r="6235" spans="1:1" x14ac:dyDescent="0.3">
      <c r="A6235" s="1"/>
    </row>
    <row r="6236" spans="1:1" x14ac:dyDescent="0.3">
      <c r="A6236" s="1"/>
    </row>
    <row r="6237" spans="1:1" x14ac:dyDescent="0.3">
      <c r="A6237" s="1"/>
    </row>
    <row r="6238" spans="1:1" x14ac:dyDescent="0.3">
      <c r="A6238" s="1"/>
    </row>
    <row r="6239" spans="1:1" x14ac:dyDescent="0.3">
      <c r="A6239" s="1"/>
    </row>
    <row r="6240" spans="1:1" x14ac:dyDescent="0.3">
      <c r="A6240" s="1"/>
    </row>
    <row r="6241" spans="1:1" x14ac:dyDescent="0.3">
      <c r="A6241" s="1"/>
    </row>
    <row r="6242" spans="1:1" x14ac:dyDescent="0.3">
      <c r="A6242" s="1"/>
    </row>
    <row r="6243" spans="1:1" x14ac:dyDescent="0.3">
      <c r="A6243" s="1"/>
    </row>
    <row r="6244" spans="1:1" x14ac:dyDescent="0.3">
      <c r="A6244" s="1"/>
    </row>
    <row r="6245" spans="1:1" x14ac:dyDescent="0.3">
      <c r="A6245" s="1"/>
    </row>
    <row r="6246" spans="1:1" x14ac:dyDescent="0.3">
      <c r="A6246" s="1"/>
    </row>
    <row r="6247" spans="1:1" x14ac:dyDescent="0.3">
      <c r="A6247" s="1"/>
    </row>
    <row r="6248" spans="1:1" x14ac:dyDescent="0.3">
      <c r="A6248" s="1"/>
    </row>
    <row r="6249" spans="1:1" x14ac:dyDescent="0.3">
      <c r="A6249" s="1"/>
    </row>
    <row r="6250" spans="1:1" x14ac:dyDescent="0.3">
      <c r="A6250" s="1"/>
    </row>
    <row r="6251" spans="1:1" x14ac:dyDescent="0.3">
      <c r="A6251" s="1"/>
    </row>
    <row r="6252" spans="1:1" x14ac:dyDescent="0.3">
      <c r="A6252" s="1"/>
    </row>
    <row r="6253" spans="1:1" x14ac:dyDescent="0.3">
      <c r="A6253" s="1"/>
    </row>
    <row r="6254" spans="1:1" x14ac:dyDescent="0.3">
      <c r="A6254" s="1"/>
    </row>
    <row r="6255" spans="1:1" x14ac:dyDescent="0.3">
      <c r="A6255" s="1"/>
    </row>
    <row r="6256" spans="1:1" x14ac:dyDescent="0.3">
      <c r="A6256" s="1"/>
    </row>
    <row r="6257" spans="1:1" x14ac:dyDescent="0.3">
      <c r="A6257" s="1"/>
    </row>
    <row r="6258" spans="1:1" x14ac:dyDescent="0.3">
      <c r="A6258" s="1"/>
    </row>
    <row r="6259" spans="1:1" x14ac:dyDescent="0.3">
      <c r="A6259" s="1"/>
    </row>
    <row r="6260" spans="1:1" x14ac:dyDescent="0.3">
      <c r="A6260" s="1"/>
    </row>
    <row r="6261" spans="1:1" x14ac:dyDescent="0.3">
      <c r="A6261" s="1"/>
    </row>
    <row r="6262" spans="1:1" x14ac:dyDescent="0.3">
      <c r="A6262" s="1"/>
    </row>
    <row r="6263" spans="1:1" x14ac:dyDescent="0.3">
      <c r="A6263" s="1"/>
    </row>
    <row r="6264" spans="1:1" x14ac:dyDescent="0.3">
      <c r="A6264" s="1"/>
    </row>
    <row r="6265" spans="1:1" x14ac:dyDescent="0.3">
      <c r="A6265" s="1"/>
    </row>
    <row r="6266" spans="1:1" x14ac:dyDescent="0.3">
      <c r="A6266" s="1"/>
    </row>
    <row r="6267" spans="1:1" x14ac:dyDescent="0.3">
      <c r="A6267" s="1"/>
    </row>
    <row r="6268" spans="1:1" x14ac:dyDescent="0.3">
      <c r="A6268" s="1"/>
    </row>
    <row r="6269" spans="1:1" x14ac:dyDescent="0.3">
      <c r="A6269" s="1"/>
    </row>
    <row r="6270" spans="1:1" x14ac:dyDescent="0.3">
      <c r="A6270" s="1"/>
    </row>
    <row r="6271" spans="1:1" x14ac:dyDescent="0.3">
      <c r="A6271" s="1"/>
    </row>
    <row r="6272" spans="1:1" x14ac:dyDescent="0.3">
      <c r="A6272" s="1"/>
    </row>
    <row r="6273" spans="1:1" x14ac:dyDescent="0.3">
      <c r="A6273" s="1"/>
    </row>
    <row r="6274" spans="1:1" x14ac:dyDescent="0.3">
      <c r="A6274" s="1"/>
    </row>
    <row r="6275" spans="1:1" x14ac:dyDescent="0.3">
      <c r="A6275" s="1"/>
    </row>
    <row r="6276" spans="1:1" x14ac:dyDescent="0.3">
      <c r="A6276" s="1"/>
    </row>
    <row r="6277" spans="1:1" x14ac:dyDescent="0.3">
      <c r="A6277" s="1"/>
    </row>
    <row r="6278" spans="1:1" x14ac:dyDescent="0.3">
      <c r="A6278" s="1"/>
    </row>
    <row r="6279" spans="1:1" x14ac:dyDescent="0.3">
      <c r="A6279" s="1"/>
    </row>
    <row r="6280" spans="1:1" x14ac:dyDescent="0.3">
      <c r="A6280" s="1"/>
    </row>
    <row r="6281" spans="1:1" x14ac:dyDescent="0.3">
      <c r="A6281" s="1"/>
    </row>
    <row r="6282" spans="1:1" x14ac:dyDescent="0.3">
      <c r="A6282" s="1"/>
    </row>
    <row r="6283" spans="1:1" x14ac:dyDescent="0.3">
      <c r="A6283" s="1"/>
    </row>
    <row r="6284" spans="1:1" x14ac:dyDescent="0.3">
      <c r="A6284" s="1"/>
    </row>
    <row r="6285" spans="1:1" x14ac:dyDescent="0.3">
      <c r="A6285" s="1"/>
    </row>
    <row r="6286" spans="1:1" x14ac:dyDescent="0.3">
      <c r="A6286" s="1"/>
    </row>
    <row r="6287" spans="1:1" x14ac:dyDescent="0.3">
      <c r="A6287" s="1"/>
    </row>
    <row r="6288" spans="1:1" x14ac:dyDescent="0.3">
      <c r="A6288" s="1"/>
    </row>
    <row r="6289" spans="1:1" x14ac:dyDescent="0.3">
      <c r="A6289" s="1"/>
    </row>
    <row r="6290" spans="1:1" x14ac:dyDescent="0.3">
      <c r="A6290" s="1"/>
    </row>
    <row r="6291" spans="1:1" x14ac:dyDescent="0.3">
      <c r="A6291" s="1"/>
    </row>
    <row r="6292" spans="1:1" x14ac:dyDescent="0.3">
      <c r="A6292" s="1"/>
    </row>
    <row r="6293" spans="1:1" x14ac:dyDescent="0.3">
      <c r="A6293" s="1"/>
    </row>
    <row r="6294" spans="1:1" x14ac:dyDescent="0.3">
      <c r="A6294" s="1"/>
    </row>
    <row r="6295" spans="1:1" x14ac:dyDescent="0.3">
      <c r="A6295" s="1"/>
    </row>
    <row r="6296" spans="1:1" x14ac:dyDescent="0.3">
      <c r="A6296" s="1"/>
    </row>
    <row r="6297" spans="1:1" x14ac:dyDescent="0.3">
      <c r="A6297" s="1"/>
    </row>
    <row r="6298" spans="1:1" x14ac:dyDescent="0.3">
      <c r="A6298" s="1"/>
    </row>
    <row r="6299" spans="1:1" x14ac:dyDescent="0.3">
      <c r="A6299" s="1"/>
    </row>
    <row r="6300" spans="1:1" x14ac:dyDescent="0.3">
      <c r="A6300" s="1"/>
    </row>
    <row r="6301" spans="1:1" x14ac:dyDescent="0.3">
      <c r="A6301" s="1"/>
    </row>
    <row r="6302" spans="1:1" x14ac:dyDescent="0.3">
      <c r="A6302" s="1"/>
    </row>
    <row r="6303" spans="1:1" x14ac:dyDescent="0.3">
      <c r="A6303" s="1"/>
    </row>
    <row r="6304" spans="1:1" x14ac:dyDescent="0.3">
      <c r="A6304" s="1"/>
    </row>
    <row r="6305" spans="1:1" x14ac:dyDescent="0.3">
      <c r="A6305" s="1"/>
    </row>
    <row r="6306" spans="1:1" x14ac:dyDescent="0.3">
      <c r="A6306" s="1"/>
    </row>
    <row r="6307" spans="1:1" x14ac:dyDescent="0.3">
      <c r="A6307" s="1"/>
    </row>
    <row r="6308" spans="1:1" x14ac:dyDescent="0.3">
      <c r="A6308" s="1"/>
    </row>
    <row r="6309" spans="1:1" x14ac:dyDescent="0.3">
      <c r="A6309" s="1"/>
    </row>
    <row r="6310" spans="1:1" x14ac:dyDescent="0.3">
      <c r="A6310" s="1"/>
    </row>
    <row r="6311" spans="1:1" x14ac:dyDescent="0.3">
      <c r="A6311" s="1"/>
    </row>
    <row r="6312" spans="1:1" x14ac:dyDescent="0.3">
      <c r="A6312" s="1"/>
    </row>
    <row r="6313" spans="1:1" x14ac:dyDescent="0.3">
      <c r="A6313" s="1"/>
    </row>
    <row r="6314" spans="1:1" x14ac:dyDescent="0.3">
      <c r="A6314" s="1"/>
    </row>
    <row r="6315" spans="1:1" x14ac:dyDescent="0.3">
      <c r="A6315" s="1"/>
    </row>
    <row r="6316" spans="1:1" x14ac:dyDescent="0.3">
      <c r="A6316" s="1"/>
    </row>
    <row r="6317" spans="1:1" x14ac:dyDescent="0.3">
      <c r="A6317" s="1"/>
    </row>
    <row r="6318" spans="1:1" x14ac:dyDescent="0.3">
      <c r="A6318" s="1"/>
    </row>
    <row r="6319" spans="1:1" x14ac:dyDescent="0.3">
      <c r="A6319" s="1"/>
    </row>
    <row r="6320" spans="1:1" x14ac:dyDescent="0.3">
      <c r="A6320" s="1"/>
    </row>
    <row r="6321" spans="1:1" x14ac:dyDescent="0.3">
      <c r="A6321" s="1"/>
    </row>
    <row r="6322" spans="1:1" x14ac:dyDescent="0.3">
      <c r="A6322" s="1"/>
    </row>
    <row r="6323" spans="1:1" x14ac:dyDescent="0.3">
      <c r="A6323" s="1"/>
    </row>
    <row r="6324" spans="1:1" x14ac:dyDescent="0.3">
      <c r="A6324" s="1"/>
    </row>
    <row r="6325" spans="1:1" x14ac:dyDescent="0.3">
      <c r="A6325" s="1"/>
    </row>
    <row r="6326" spans="1:1" x14ac:dyDescent="0.3">
      <c r="A6326" s="1"/>
    </row>
    <row r="6327" spans="1:1" x14ac:dyDescent="0.3">
      <c r="A6327" s="1"/>
    </row>
    <row r="6328" spans="1:1" x14ac:dyDescent="0.3">
      <c r="A6328" s="1"/>
    </row>
    <row r="6329" spans="1:1" x14ac:dyDescent="0.3">
      <c r="A6329" s="1"/>
    </row>
    <row r="6330" spans="1:1" x14ac:dyDescent="0.3">
      <c r="A6330" s="1"/>
    </row>
    <row r="6331" spans="1:1" x14ac:dyDescent="0.3">
      <c r="A6331" s="1"/>
    </row>
    <row r="6332" spans="1:1" x14ac:dyDescent="0.3">
      <c r="A6332" s="1"/>
    </row>
    <row r="6333" spans="1:1" x14ac:dyDescent="0.3">
      <c r="A6333" s="1"/>
    </row>
    <row r="6334" spans="1:1" x14ac:dyDescent="0.3">
      <c r="A6334" s="1"/>
    </row>
    <row r="6335" spans="1:1" x14ac:dyDescent="0.3">
      <c r="A6335" s="1"/>
    </row>
    <row r="6336" spans="1:1" x14ac:dyDescent="0.3">
      <c r="A6336" s="1"/>
    </row>
    <row r="6337" spans="1:1" x14ac:dyDescent="0.3">
      <c r="A6337" s="1"/>
    </row>
    <row r="6338" spans="1:1" x14ac:dyDescent="0.3">
      <c r="A6338" s="1"/>
    </row>
    <row r="6339" spans="1:1" x14ac:dyDescent="0.3">
      <c r="A6339" s="1"/>
    </row>
    <row r="6340" spans="1:1" x14ac:dyDescent="0.3">
      <c r="A6340" s="1"/>
    </row>
    <row r="6341" spans="1:1" x14ac:dyDescent="0.3">
      <c r="A6341" s="1"/>
    </row>
    <row r="6342" spans="1:1" x14ac:dyDescent="0.3">
      <c r="A6342" s="1"/>
    </row>
    <row r="6343" spans="1:1" x14ac:dyDescent="0.3">
      <c r="A6343" s="1"/>
    </row>
    <row r="6344" spans="1:1" x14ac:dyDescent="0.3">
      <c r="A6344" s="1"/>
    </row>
    <row r="6345" spans="1:1" x14ac:dyDescent="0.3">
      <c r="A6345" s="1"/>
    </row>
    <row r="6346" spans="1:1" x14ac:dyDescent="0.3">
      <c r="A6346" s="1"/>
    </row>
    <row r="6347" spans="1:1" x14ac:dyDescent="0.3">
      <c r="A6347" s="1"/>
    </row>
    <row r="6348" spans="1:1" x14ac:dyDescent="0.3">
      <c r="A6348" s="1"/>
    </row>
    <row r="6349" spans="1:1" x14ac:dyDescent="0.3">
      <c r="A6349" s="1"/>
    </row>
    <row r="6350" spans="1:1" x14ac:dyDescent="0.3">
      <c r="A6350" s="1"/>
    </row>
    <row r="6351" spans="1:1" x14ac:dyDescent="0.3">
      <c r="A6351" s="1"/>
    </row>
    <row r="6352" spans="1:1" x14ac:dyDescent="0.3">
      <c r="A6352" s="1"/>
    </row>
    <row r="6353" spans="1:1" x14ac:dyDescent="0.3">
      <c r="A6353" s="1"/>
    </row>
    <row r="6354" spans="1:1" x14ac:dyDescent="0.3">
      <c r="A6354" s="1"/>
    </row>
    <row r="6355" spans="1:1" x14ac:dyDescent="0.3">
      <c r="A6355" s="1"/>
    </row>
    <row r="6356" spans="1:1" x14ac:dyDescent="0.3">
      <c r="A6356" s="1"/>
    </row>
    <row r="6357" spans="1:1" x14ac:dyDescent="0.3">
      <c r="A6357" s="1"/>
    </row>
    <row r="6358" spans="1:1" x14ac:dyDescent="0.3">
      <c r="A6358" s="1"/>
    </row>
    <row r="6359" spans="1:1" x14ac:dyDescent="0.3">
      <c r="A6359" s="1"/>
    </row>
    <row r="6360" spans="1:1" x14ac:dyDescent="0.3">
      <c r="A6360" s="1"/>
    </row>
    <row r="6361" spans="1:1" x14ac:dyDescent="0.3">
      <c r="A6361" s="1"/>
    </row>
    <row r="6362" spans="1:1" x14ac:dyDescent="0.3">
      <c r="A6362" s="1"/>
    </row>
    <row r="6363" spans="1:1" x14ac:dyDescent="0.3">
      <c r="A6363" s="1"/>
    </row>
    <row r="6364" spans="1:1" x14ac:dyDescent="0.3">
      <c r="A6364" s="1"/>
    </row>
    <row r="6365" spans="1:1" x14ac:dyDescent="0.3">
      <c r="A6365" s="1"/>
    </row>
    <row r="6366" spans="1:1" x14ac:dyDescent="0.3">
      <c r="A6366" s="1"/>
    </row>
    <row r="6367" spans="1:1" x14ac:dyDescent="0.3">
      <c r="A6367" s="1"/>
    </row>
    <row r="6368" spans="1:1" x14ac:dyDescent="0.3">
      <c r="A6368" s="1"/>
    </row>
    <row r="6369" spans="1:1" x14ac:dyDescent="0.3">
      <c r="A6369" s="1"/>
    </row>
    <row r="6370" spans="1:1" x14ac:dyDescent="0.3">
      <c r="A6370" s="1"/>
    </row>
    <row r="6371" spans="1:1" x14ac:dyDescent="0.3">
      <c r="A6371" s="1"/>
    </row>
    <row r="6372" spans="1:1" x14ac:dyDescent="0.3">
      <c r="A6372" s="1"/>
    </row>
    <row r="6373" spans="1:1" x14ac:dyDescent="0.3">
      <c r="A6373" s="1"/>
    </row>
    <row r="6374" spans="1:1" x14ac:dyDescent="0.3">
      <c r="A6374" s="1"/>
    </row>
    <row r="6375" spans="1:1" x14ac:dyDescent="0.3">
      <c r="A6375" s="1"/>
    </row>
    <row r="6376" spans="1:1" x14ac:dyDescent="0.3">
      <c r="A6376" s="1"/>
    </row>
    <row r="6377" spans="1:1" x14ac:dyDescent="0.3">
      <c r="A6377" s="1"/>
    </row>
    <row r="6378" spans="1:1" x14ac:dyDescent="0.3">
      <c r="A6378" s="1"/>
    </row>
    <row r="6379" spans="1:1" x14ac:dyDescent="0.3">
      <c r="A6379" s="1"/>
    </row>
    <row r="6380" spans="1:1" x14ac:dyDescent="0.3">
      <c r="A6380" s="1"/>
    </row>
    <row r="6381" spans="1:1" x14ac:dyDescent="0.3">
      <c r="A6381" s="1"/>
    </row>
    <row r="6382" spans="1:1" x14ac:dyDescent="0.3">
      <c r="A6382" s="1"/>
    </row>
    <row r="6383" spans="1:1" x14ac:dyDescent="0.3">
      <c r="A6383" s="1"/>
    </row>
    <row r="6384" spans="1:1" x14ac:dyDescent="0.3">
      <c r="A6384" s="1"/>
    </row>
    <row r="6385" spans="1:1" x14ac:dyDescent="0.3">
      <c r="A6385" s="1"/>
    </row>
    <row r="6386" spans="1:1" x14ac:dyDescent="0.3">
      <c r="A6386" s="1"/>
    </row>
    <row r="6387" spans="1:1" x14ac:dyDescent="0.3">
      <c r="A6387" s="1"/>
    </row>
    <row r="6388" spans="1:1" x14ac:dyDescent="0.3">
      <c r="A6388" s="1"/>
    </row>
    <row r="6389" spans="1:1" x14ac:dyDescent="0.3">
      <c r="A6389" s="1"/>
    </row>
    <row r="6390" spans="1:1" x14ac:dyDescent="0.3">
      <c r="A6390" s="1"/>
    </row>
    <row r="6391" spans="1:1" x14ac:dyDescent="0.3">
      <c r="A6391" s="1"/>
    </row>
    <row r="6392" spans="1:1" x14ac:dyDescent="0.3">
      <c r="A6392" s="1"/>
    </row>
    <row r="6393" spans="1:1" x14ac:dyDescent="0.3">
      <c r="A6393" s="1"/>
    </row>
    <row r="6394" spans="1:1" x14ac:dyDescent="0.3">
      <c r="A6394" s="1"/>
    </row>
    <row r="6395" spans="1:1" x14ac:dyDescent="0.3">
      <c r="A6395" s="1"/>
    </row>
    <row r="6396" spans="1:1" x14ac:dyDescent="0.3">
      <c r="A6396" s="1"/>
    </row>
    <row r="6397" spans="1:1" x14ac:dyDescent="0.3">
      <c r="A6397" s="1"/>
    </row>
    <row r="6398" spans="1:1" x14ac:dyDescent="0.3">
      <c r="A6398" s="1"/>
    </row>
    <row r="6399" spans="1:1" x14ac:dyDescent="0.3">
      <c r="A6399" s="1"/>
    </row>
    <row r="6400" spans="1:1" x14ac:dyDescent="0.3">
      <c r="A6400" s="1"/>
    </row>
    <row r="6401" spans="1:1" x14ac:dyDescent="0.3">
      <c r="A6401" s="1"/>
    </row>
    <row r="6402" spans="1:1" x14ac:dyDescent="0.3">
      <c r="A6402" s="1"/>
    </row>
    <row r="6403" spans="1:1" x14ac:dyDescent="0.3">
      <c r="A6403" s="1"/>
    </row>
    <row r="6404" spans="1:1" x14ac:dyDescent="0.3">
      <c r="A6404" s="1"/>
    </row>
    <row r="6405" spans="1:1" x14ac:dyDescent="0.3">
      <c r="A6405" s="1"/>
    </row>
    <row r="6406" spans="1:1" x14ac:dyDescent="0.3">
      <c r="A6406" s="1"/>
    </row>
    <row r="6407" spans="1:1" x14ac:dyDescent="0.3">
      <c r="A6407" s="1"/>
    </row>
    <row r="6408" spans="1:1" x14ac:dyDescent="0.3">
      <c r="A6408" s="1"/>
    </row>
    <row r="6409" spans="1:1" x14ac:dyDescent="0.3">
      <c r="A6409" s="1"/>
    </row>
    <row r="6410" spans="1:1" x14ac:dyDescent="0.3">
      <c r="A6410" s="1"/>
    </row>
    <row r="6411" spans="1:1" x14ac:dyDescent="0.3">
      <c r="A6411" s="1"/>
    </row>
    <row r="6412" spans="1:1" x14ac:dyDescent="0.3">
      <c r="A6412" s="1"/>
    </row>
    <row r="6413" spans="1:1" x14ac:dyDescent="0.3">
      <c r="A6413" s="1"/>
    </row>
    <row r="6414" spans="1:1" x14ac:dyDescent="0.3">
      <c r="A6414" s="1"/>
    </row>
    <row r="6415" spans="1:1" x14ac:dyDescent="0.3">
      <c r="A6415" s="1"/>
    </row>
    <row r="6416" spans="1:1" x14ac:dyDescent="0.3">
      <c r="A6416" s="1"/>
    </row>
    <row r="6417" spans="1:1" x14ac:dyDescent="0.3">
      <c r="A6417" s="1"/>
    </row>
    <row r="6418" spans="1:1" x14ac:dyDescent="0.3">
      <c r="A6418" s="1"/>
    </row>
    <row r="6419" spans="1:1" x14ac:dyDescent="0.3">
      <c r="A6419" s="1"/>
    </row>
    <row r="6420" spans="1:1" x14ac:dyDescent="0.3">
      <c r="A6420" s="1"/>
    </row>
    <row r="6421" spans="1:1" x14ac:dyDescent="0.3">
      <c r="A6421" s="1"/>
    </row>
    <row r="6422" spans="1:1" x14ac:dyDescent="0.3">
      <c r="A6422" s="1"/>
    </row>
    <row r="6423" spans="1:1" x14ac:dyDescent="0.3">
      <c r="A6423" s="1"/>
    </row>
    <row r="6424" spans="1:1" x14ac:dyDescent="0.3">
      <c r="A6424" s="1"/>
    </row>
    <row r="6425" spans="1:1" x14ac:dyDescent="0.3">
      <c r="A6425" s="1"/>
    </row>
    <row r="6426" spans="1:1" x14ac:dyDescent="0.3">
      <c r="A6426" s="1"/>
    </row>
    <row r="6427" spans="1:1" x14ac:dyDescent="0.3">
      <c r="A6427" s="1"/>
    </row>
    <row r="6428" spans="1:1" x14ac:dyDescent="0.3">
      <c r="A6428" s="1"/>
    </row>
    <row r="6429" spans="1:1" x14ac:dyDescent="0.3">
      <c r="A6429" s="1"/>
    </row>
    <row r="6430" spans="1:1" x14ac:dyDescent="0.3">
      <c r="A6430" s="1"/>
    </row>
    <row r="6431" spans="1:1" x14ac:dyDescent="0.3">
      <c r="A6431" s="1"/>
    </row>
    <row r="6432" spans="1:1" x14ac:dyDescent="0.3">
      <c r="A6432" s="1"/>
    </row>
    <row r="6433" spans="1:1" x14ac:dyDescent="0.3">
      <c r="A6433" s="1"/>
    </row>
    <row r="6434" spans="1:1" x14ac:dyDescent="0.3">
      <c r="A6434" s="1"/>
    </row>
    <row r="6435" spans="1:1" x14ac:dyDescent="0.3">
      <c r="A6435" s="1"/>
    </row>
    <row r="6436" spans="1:1" x14ac:dyDescent="0.3">
      <c r="A6436" s="1"/>
    </row>
    <row r="6437" spans="1:1" x14ac:dyDescent="0.3">
      <c r="A6437" s="1"/>
    </row>
    <row r="6438" spans="1:1" x14ac:dyDescent="0.3">
      <c r="A6438" s="1"/>
    </row>
    <row r="6439" spans="1:1" x14ac:dyDescent="0.3">
      <c r="A6439" s="1"/>
    </row>
    <row r="6440" spans="1:1" x14ac:dyDescent="0.3">
      <c r="A6440" s="1"/>
    </row>
    <row r="6441" spans="1:1" x14ac:dyDescent="0.3">
      <c r="A6441" s="1"/>
    </row>
    <row r="6442" spans="1:1" x14ac:dyDescent="0.3">
      <c r="A6442" s="1"/>
    </row>
    <row r="6443" spans="1:1" x14ac:dyDescent="0.3">
      <c r="A6443" s="1"/>
    </row>
    <row r="6444" spans="1:1" x14ac:dyDescent="0.3">
      <c r="A6444" s="1"/>
    </row>
    <row r="6445" spans="1:1" x14ac:dyDescent="0.3">
      <c r="A6445" s="1"/>
    </row>
    <row r="6446" spans="1:1" x14ac:dyDescent="0.3">
      <c r="A6446" s="1"/>
    </row>
    <row r="6447" spans="1:1" x14ac:dyDescent="0.3">
      <c r="A6447" s="1"/>
    </row>
    <row r="6448" spans="1:1" x14ac:dyDescent="0.3">
      <c r="A6448" s="1"/>
    </row>
    <row r="6449" spans="1:1" x14ac:dyDescent="0.3">
      <c r="A6449" s="1"/>
    </row>
    <row r="6450" spans="1:1" x14ac:dyDescent="0.3">
      <c r="A6450" s="1"/>
    </row>
    <row r="6451" spans="1:1" x14ac:dyDescent="0.3">
      <c r="A6451" s="1"/>
    </row>
    <row r="6452" spans="1:1" x14ac:dyDescent="0.3">
      <c r="A6452" s="1"/>
    </row>
    <row r="6453" spans="1:1" x14ac:dyDescent="0.3">
      <c r="A6453" s="1"/>
    </row>
    <row r="6454" spans="1:1" x14ac:dyDescent="0.3">
      <c r="A6454" s="1"/>
    </row>
    <row r="6455" spans="1:1" x14ac:dyDescent="0.3">
      <c r="A6455" s="1"/>
    </row>
    <row r="6456" spans="1:1" x14ac:dyDescent="0.3">
      <c r="A6456" s="1"/>
    </row>
    <row r="6457" spans="1:1" x14ac:dyDescent="0.3">
      <c r="A6457" s="1"/>
    </row>
    <row r="6458" spans="1:1" x14ac:dyDescent="0.3">
      <c r="A6458" s="1"/>
    </row>
    <row r="6459" spans="1:1" x14ac:dyDescent="0.3">
      <c r="A6459" s="1"/>
    </row>
    <row r="6460" spans="1:1" x14ac:dyDescent="0.3">
      <c r="A6460" s="1"/>
    </row>
    <row r="6461" spans="1:1" x14ac:dyDescent="0.3">
      <c r="A6461" s="1"/>
    </row>
    <row r="6462" spans="1:1" x14ac:dyDescent="0.3">
      <c r="A6462" s="1"/>
    </row>
    <row r="6463" spans="1:1" x14ac:dyDescent="0.3">
      <c r="A6463" s="1"/>
    </row>
    <row r="6464" spans="1:1" x14ac:dyDescent="0.3">
      <c r="A6464" s="1"/>
    </row>
    <row r="6465" spans="1:1" x14ac:dyDescent="0.3">
      <c r="A6465" s="1"/>
    </row>
    <row r="6466" spans="1:1" x14ac:dyDescent="0.3">
      <c r="A6466" s="1"/>
    </row>
    <row r="6467" spans="1:1" x14ac:dyDescent="0.3">
      <c r="A6467" s="1"/>
    </row>
    <row r="6468" spans="1:1" x14ac:dyDescent="0.3">
      <c r="A6468" s="1"/>
    </row>
    <row r="6469" spans="1:1" x14ac:dyDescent="0.3">
      <c r="A6469" s="1"/>
    </row>
    <row r="6470" spans="1:1" x14ac:dyDescent="0.3">
      <c r="A6470" s="1"/>
    </row>
    <row r="6471" spans="1:1" x14ac:dyDescent="0.3">
      <c r="A6471" s="1"/>
    </row>
    <row r="6472" spans="1:1" x14ac:dyDescent="0.3">
      <c r="A6472" s="1"/>
    </row>
    <row r="6473" spans="1:1" x14ac:dyDescent="0.3">
      <c r="A6473" s="1"/>
    </row>
    <row r="6474" spans="1:1" x14ac:dyDescent="0.3">
      <c r="A6474" s="1"/>
    </row>
    <row r="6475" spans="1:1" x14ac:dyDescent="0.3">
      <c r="A6475" s="1"/>
    </row>
    <row r="6476" spans="1:1" x14ac:dyDescent="0.3">
      <c r="A6476" s="1"/>
    </row>
    <row r="6477" spans="1:1" x14ac:dyDescent="0.3">
      <c r="A6477" s="1"/>
    </row>
    <row r="6478" spans="1:1" x14ac:dyDescent="0.3">
      <c r="A6478" s="1"/>
    </row>
    <row r="6479" spans="1:1" x14ac:dyDescent="0.3">
      <c r="A6479" s="1"/>
    </row>
    <row r="6480" spans="1:1" x14ac:dyDescent="0.3">
      <c r="A6480" s="1"/>
    </row>
    <row r="6481" spans="1:1" x14ac:dyDescent="0.3">
      <c r="A6481" s="1"/>
    </row>
    <row r="6482" spans="1:1" x14ac:dyDescent="0.3">
      <c r="A6482" s="1"/>
    </row>
    <row r="6483" spans="1:1" x14ac:dyDescent="0.3">
      <c r="A6483" s="1"/>
    </row>
    <row r="6484" spans="1:1" x14ac:dyDescent="0.3">
      <c r="A6484" s="1"/>
    </row>
    <row r="6485" spans="1:1" x14ac:dyDescent="0.3">
      <c r="A6485" s="1"/>
    </row>
    <row r="6486" spans="1:1" x14ac:dyDescent="0.3">
      <c r="A6486" s="1"/>
    </row>
    <row r="6487" spans="1:1" x14ac:dyDescent="0.3">
      <c r="A6487" s="1"/>
    </row>
    <row r="6488" spans="1:1" x14ac:dyDescent="0.3">
      <c r="A6488" s="1"/>
    </row>
    <row r="6489" spans="1:1" x14ac:dyDescent="0.3">
      <c r="A6489" s="1"/>
    </row>
    <row r="6490" spans="1:1" x14ac:dyDescent="0.3">
      <c r="A6490" s="1"/>
    </row>
    <row r="6491" spans="1:1" x14ac:dyDescent="0.3">
      <c r="A6491" s="1"/>
    </row>
    <row r="6492" spans="1:1" x14ac:dyDescent="0.3">
      <c r="A6492" s="1"/>
    </row>
    <row r="6493" spans="1:1" x14ac:dyDescent="0.3">
      <c r="A6493" s="1"/>
    </row>
    <row r="6494" spans="1:1" x14ac:dyDescent="0.3">
      <c r="A6494" s="1"/>
    </row>
    <row r="6495" spans="1:1" x14ac:dyDescent="0.3">
      <c r="A6495" s="1"/>
    </row>
    <row r="6496" spans="1:1" x14ac:dyDescent="0.3">
      <c r="A6496" s="1"/>
    </row>
    <row r="6497" spans="1:1" x14ac:dyDescent="0.3">
      <c r="A6497" s="1"/>
    </row>
    <row r="6498" spans="1:1" x14ac:dyDescent="0.3">
      <c r="A6498" s="1"/>
    </row>
    <row r="6499" spans="1:1" x14ac:dyDescent="0.3">
      <c r="A6499" s="1"/>
    </row>
    <row r="6500" spans="1:1" x14ac:dyDescent="0.3">
      <c r="A6500" s="1"/>
    </row>
    <row r="6501" spans="1:1" x14ac:dyDescent="0.3">
      <c r="A6501" s="1"/>
    </row>
    <row r="6502" spans="1:1" x14ac:dyDescent="0.3">
      <c r="A6502" s="1"/>
    </row>
    <row r="6503" spans="1:1" x14ac:dyDescent="0.3">
      <c r="A6503" s="1"/>
    </row>
    <row r="6504" spans="1:1" x14ac:dyDescent="0.3">
      <c r="A6504" s="1"/>
    </row>
    <row r="6505" spans="1:1" x14ac:dyDescent="0.3">
      <c r="A6505" s="1"/>
    </row>
    <row r="6506" spans="1:1" x14ac:dyDescent="0.3">
      <c r="A6506" s="1"/>
    </row>
    <row r="6507" spans="1:1" x14ac:dyDescent="0.3">
      <c r="A6507" s="1"/>
    </row>
    <row r="6508" spans="1:1" x14ac:dyDescent="0.3">
      <c r="A6508" s="1"/>
    </row>
    <row r="6509" spans="1:1" x14ac:dyDescent="0.3">
      <c r="A6509" s="1"/>
    </row>
    <row r="6510" spans="1:1" x14ac:dyDescent="0.3">
      <c r="A6510" s="1"/>
    </row>
    <row r="6511" spans="1:1" x14ac:dyDescent="0.3">
      <c r="A6511" s="1"/>
    </row>
    <row r="6512" spans="1:1" x14ac:dyDescent="0.3">
      <c r="A6512" s="1"/>
    </row>
    <row r="6513" spans="1:1" x14ac:dyDescent="0.3">
      <c r="A6513" s="1"/>
    </row>
    <row r="6514" spans="1:1" x14ac:dyDescent="0.3">
      <c r="A6514" s="1"/>
    </row>
    <row r="6515" spans="1:1" x14ac:dyDescent="0.3">
      <c r="A6515" s="1"/>
    </row>
    <row r="6516" spans="1:1" x14ac:dyDescent="0.3">
      <c r="A6516" s="1"/>
    </row>
    <row r="6517" spans="1:1" x14ac:dyDescent="0.3">
      <c r="A6517" s="1"/>
    </row>
    <row r="6518" spans="1:1" x14ac:dyDescent="0.3">
      <c r="A6518" s="1"/>
    </row>
    <row r="6519" spans="1:1" x14ac:dyDescent="0.3">
      <c r="A6519" s="1"/>
    </row>
    <row r="6520" spans="1:1" x14ac:dyDescent="0.3">
      <c r="A6520" s="1"/>
    </row>
    <row r="6521" spans="1:1" x14ac:dyDescent="0.3">
      <c r="A6521" s="1"/>
    </row>
    <row r="6522" spans="1:1" x14ac:dyDescent="0.3">
      <c r="A6522" s="1"/>
    </row>
    <row r="6523" spans="1:1" x14ac:dyDescent="0.3">
      <c r="A6523" s="1"/>
    </row>
    <row r="6524" spans="1:1" x14ac:dyDescent="0.3">
      <c r="A6524" s="1"/>
    </row>
    <row r="6525" spans="1:1" x14ac:dyDescent="0.3">
      <c r="A6525" s="1"/>
    </row>
    <row r="6526" spans="1:1" x14ac:dyDescent="0.3">
      <c r="A6526" s="1"/>
    </row>
    <row r="6527" spans="1:1" x14ac:dyDescent="0.3">
      <c r="A6527" s="1"/>
    </row>
    <row r="6528" spans="1:1" x14ac:dyDescent="0.3">
      <c r="A6528" s="1"/>
    </row>
    <row r="6529" spans="1:1" x14ac:dyDescent="0.3">
      <c r="A6529" s="1"/>
    </row>
    <row r="6530" spans="1:1" x14ac:dyDescent="0.3">
      <c r="A6530" s="1"/>
    </row>
    <row r="6531" spans="1:1" x14ac:dyDescent="0.3">
      <c r="A6531" s="1"/>
    </row>
    <row r="6532" spans="1:1" x14ac:dyDescent="0.3">
      <c r="A6532" s="1"/>
    </row>
    <row r="6534" spans="1:1" x14ac:dyDescent="0.3">
      <c r="A6534" s="1"/>
    </row>
    <row r="6536" spans="1:1" x14ac:dyDescent="0.3">
      <c r="A6536" s="1"/>
    </row>
    <row r="6537" spans="1:1" x14ac:dyDescent="0.3">
      <c r="A6537" s="1"/>
    </row>
    <row r="6538" spans="1:1" x14ac:dyDescent="0.3">
      <c r="A6538" s="1"/>
    </row>
    <row r="6539" spans="1:1" x14ac:dyDescent="0.3">
      <c r="A6539" s="1"/>
    </row>
    <row r="6540" spans="1:1" x14ac:dyDescent="0.3">
      <c r="A6540" s="1"/>
    </row>
    <row r="6541" spans="1:1" x14ac:dyDescent="0.3">
      <c r="A6541" s="1"/>
    </row>
    <row r="6542" spans="1:1" x14ac:dyDescent="0.3">
      <c r="A6542" s="1"/>
    </row>
    <row r="6543" spans="1:1" x14ac:dyDescent="0.3">
      <c r="A6543" s="1"/>
    </row>
    <row r="6544" spans="1:1" x14ac:dyDescent="0.3">
      <c r="A6544" s="1"/>
    </row>
    <row r="6545" spans="1:1" x14ac:dyDescent="0.3">
      <c r="A6545" s="1"/>
    </row>
    <row r="6546" spans="1:1" x14ac:dyDescent="0.3">
      <c r="A6546" s="1"/>
    </row>
    <row r="6547" spans="1:1" x14ac:dyDescent="0.3">
      <c r="A6547" s="1"/>
    </row>
    <row r="6548" spans="1:1" x14ac:dyDescent="0.3">
      <c r="A6548" s="1"/>
    </row>
    <row r="6549" spans="1:1" x14ac:dyDescent="0.3">
      <c r="A6549" s="1"/>
    </row>
    <row r="6551" spans="1:1" x14ac:dyDescent="0.3">
      <c r="A6551" s="1"/>
    </row>
    <row r="6552" spans="1:1" x14ac:dyDescent="0.3">
      <c r="A6552" s="1"/>
    </row>
    <row r="6553" spans="1:1" x14ac:dyDescent="0.3">
      <c r="A6553" s="1"/>
    </row>
    <row r="6555" spans="1:1" x14ac:dyDescent="0.3">
      <c r="A6555" s="1"/>
    </row>
    <row r="6556" spans="1:1" x14ac:dyDescent="0.3">
      <c r="A6556" s="1"/>
    </row>
    <row r="6557" spans="1:1" x14ac:dyDescent="0.3">
      <c r="A6557" s="1"/>
    </row>
    <row r="6559" spans="1:1" x14ac:dyDescent="0.3">
      <c r="A6559" s="1"/>
    </row>
    <row r="6561" spans="1:1" x14ac:dyDescent="0.3">
      <c r="A6561" s="1"/>
    </row>
    <row r="6562" spans="1:1" x14ac:dyDescent="0.3">
      <c r="A6562" s="1"/>
    </row>
    <row r="6563" spans="1:1" x14ac:dyDescent="0.3">
      <c r="A6563" s="1"/>
    </row>
    <row r="6564" spans="1:1" x14ac:dyDescent="0.3">
      <c r="A6564" s="1"/>
    </row>
    <row r="6565" spans="1:1" x14ac:dyDescent="0.3">
      <c r="A6565" s="1"/>
    </row>
    <row r="6566" spans="1:1" x14ac:dyDescent="0.3">
      <c r="A6566" s="1"/>
    </row>
    <row r="6567" spans="1:1" x14ac:dyDescent="0.3">
      <c r="A6567" s="1"/>
    </row>
    <row r="6568" spans="1:1" x14ac:dyDescent="0.3">
      <c r="A6568" s="1"/>
    </row>
    <row r="6569" spans="1:1" x14ac:dyDescent="0.3">
      <c r="A6569" s="1"/>
    </row>
    <row r="6570" spans="1:1" x14ac:dyDescent="0.3">
      <c r="A6570" s="1"/>
    </row>
    <row r="6571" spans="1:1" x14ac:dyDescent="0.3">
      <c r="A6571" s="1"/>
    </row>
    <row r="6572" spans="1:1" x14ac:dyDescent="0.3">
      <c r="A6572" s="1"/>
    </row>
    <row r="6574" spans="1:1" x14ac:dyDescent="0.3">
      <c r="A6574" s="1"/>
    </row>
    <row r="6575" spans="1:1" x14ac:dyDescent="0.3">
      <c r="A6575" s="1"/>
    </row>
    <row r="6576" spans="1:1" x14ac:dyDescent="0.3">
      <c r="A6576" s="1"/>
    </row>
    <row r="6577" spans="1:1" x14ac:dyDescent="0.3">
      <c r="A6577" s="1"/>
    </row>
    <row r="6578" spans="1:1" x14ac:dyDescent="0.3">
      <c r="A6578" s="1"/>
    </row>
    <row r="6579" spans="1:1" x14ac:dyDescent="0.3">
      <c r="A6579" s="1"/>
    </row>
    <row r="6580" spans="1:1" x14ac:dyDescent="0.3">
      <c r="A6580" s="1"/>
    </row>
    <row r="6581" spans="1:1" x14ac:dyDescent="0.3">
      <c r="A6581" s="1"/>
    </row>
    <row r="6582" spans="1:1" x14ac:dyDescent="0.3">
      <c r="A6582" s="1"/>
    </row>
    <row r="6583" spans="1:1" x14ac:dyDescent="0.3">
      <c r="A6583" s="1"/>
    </row>
    <row r="6584" spans="1:1" x14ac:dyDescent="0.3">
      <c r="A6584" s="1"/>
    </row>
    <row r="6585" spans="1:1" x14ac:dyDescent="0.3">
      <c r="A6585" s="1"/>
    </row>
    <row r="6586" spans="1:1" x14ac:dyDescent="0.3">
      <c r="A6586" s="1"/>
    </row>
    <row r="6587" spans="1:1" x14ac:dyDescent="0.3">
      <c r="A6587" s="1"/>
    </row>
    <row r="6588" spans="1:1" x14ac:dyDescent="0.3">
      <c r="A6588" s="1"/>
    </row>
    <row r="6589" spans="1:1" x14ac:dyDescent="0.3">
      <c r="A6589" s="1"/>
    </row>
    <row r="6590" spans="1:1" x14ac:dyDescent="0.3">
      <c r="A6590" s="1"/>
    </row>
    <row r="6591" spans="1:1" x14ac:dyDescent="0.3">
      <c r="A6591" s="1"/>
    </row>
    <row r="6592" spans="1:1" x14ac:dyDescent="0.3">
      <c r="A6592" s="1"/>
    </row>
    <row r="6593" spans="1:1" x14ac:dyDescent="0.3">
      <c r="A6593" s="1"/>
    </row>
    <row r="6594" spans="1:1" x14ac:dyDescent="0.3">
      <c r="A6594" s="1"/>
    </row>
    <row r="6595" spans="1:1" x14ac:dyDescent="0.3">
      <c r="A6595" s="1"/>
    </row>
    <row r="6596" spans="1:1" x14ac:dyDescent="0.3">
      <c r="A6596" s="1"/>
    </row>
    <row r="6597" spans="1:1" x14ac:dyDescent="0.3">
      <c r="A6597" s="1"/>
    </row>
    <row r="6598" spans="1:1" x14ac:dyDescent="0.3">
      <c r="A6598" s="1"/>
    </row>
    <row r="6599" spans="1:1" x14ac:dyDescent="0.3">
      <c r="A6599" s="1"/>
    </row>
    <row r="6600" spans="1:1" x14ac:dyDescent="0.3">
      <c r="A6600" s="1"/>
    </row>
    <row r="6601" spans="1:1" x14ac:dyDescent="0.3">
      <c r="A6601" s="1"/>
    </row>
    <row r="6602" spans="1:1" x14ac:dyDescent="0.3">
      <c r="A6602" s="1"/>
    </row>
    <row r="6603" spans="1:1" x14ac:dyDescent="0.3">
      <c r="A6603" s="1"/>
    </row>
    <row r="6604" spans="1:1" x14ac:dyDescent="0.3">
      <c r="A6604" s="1"/>
    </row>
    <row r="6605" spans="1:1" x14ac:dyDescent="0.3">
      <c r="A6605" s="1"/>
    </row>
    <row r="6606" spans="1:1" x14ac:dyDescent="0.3">
      <c r="A6606" s="1"/>
    </row>
    <row r="6607" spans="1:1" x14ac:dyDescent="0.3">
      <c r="A6607" s="1"/>
    </row>
    <row r="6608" spans="1:1" x14ac:dyDescent="0.3">
      <c r="A6608" s="1"/>
    </row>
    <row r="6609" spans="1:1" x14ac:dyDescent="0.3">
      <c r="A6609" s="1"/>
    </row>
    <row r="6610" spans="1:1" x14ac:dyDescent="0.3">
      <c r="A6610" s="1"/>
    </row>
    <row r="6611" spans="1:1" x14ac:dyDescent="0.3">
      <c r="A6611" s="1"/>
    </row>
    <row r="6612" spans="1:1" x14ac:dyDescent="0.3">
      <c r="A6612" s="1"/>
    </row>
    <row r="6613" spans="1:1" x14ac:dyDescent="0.3">
      <c r="A6613" s="1"/>
    </row>
    <row r="6614" spans="1:1" x14ac:dyDescent="0.3">
      <c r="A6614" s="1"/>
    </row>
    <row r="6615" spans="1:1" x14ac:dyDescent="0.3">
      <c r="A6615" s="1"/>
    </row>
    <row r="6616" spans="1:1" x14ac:dyDescent="0.3">
      <c r="A6616" s="1"/>
    </row>
    <row r="6617" spans="1:1" x14ac:dyDescent="0.3">
      <c r="A6617" s="1"/>
    </row>
    <row r="6618" spans="1:1" x14ac:dyDescent="0.3">
      <c r="A6618" s="1"/>
    </row>
    <row r="6619" spans="1:1" x14ac:dyDescent="0.3">
      <c r="A6619" s="1"/>
    </row>
    <row r="6620" spans="1:1" x14ac:dyDescent="0.3">
      <c r="A6620" s="1"/>
    </row>
    <row r="6621" spans="1:1" x14ac:dyDescent="0.3">
      <c r="A6621" s="1"/>
    </row>
    <row r="6622" spans="1:1" x14ac:dyDescent="0.3">
      <c r="A6622" s="1"/>
    </row>
    <row r="6623" spans="1:1" x14ac:dyDescent="0.3">
      <c r="A6623" s="1"/>
    </row>
    <row r="6624" spans="1:1" x14ac:dyDescent="0.3">
      <c r="A6624" s="1"/>
    </row>
    <row r="6625" spans="1:1" x14ac:dyDescent="0.3">
      <c r="A6625" s="1"/>
    </row>
    <row r="6626" spans="1:1" x14ac:dyDescent="0.3">
      <c r="A6626" s="1"/>
    </row>
    <row r="6627" spans="1:1" x14ac:dyDescent="0.3">
      <c r="A6627" s="1"/>
    </row>
    <row r="6628" spans="1:1" x14ac:dyDescent="0.3">
      <c r="A6628" s="1"/>
    </row>
    <row r="6629" spans="1:1" x14ac:dyDescent="0.3">
      <c r="A6629" s="1"/>
    </row>
    <row r="6630" spans="1:1" x14ac:dyDescent="0.3">
      <c r="A6630" s="1"/>
    </row>
    <row r="6631" spans="1:1" x14ac:dyDescent="0.3">
      <c r="A6631" s="1"/>
    </row>
    <row r="6632" spans="1:1" x14ac:dyDescent="0.3">
      <c r="A6632" s="1"/>
    </row>
    <row r="6633" spans="1:1" x14ac:dyDescent="0.3">
      <c r="A6633" s="1"/>
    </row>
    <row r="6634" spans="1:1" x14ac:dyDescent="0.3">
      <c r="A6634" s="1"/>
    </row>
    <row r="6635" spans="1:1" x14ac:dyDescent="0.3">
      <c r="A6635" s="1"/>
    </row>
    <row r="6636" spans="1:1" x14ac:dyDescent="0.3">
      <c r="A6636" s="1"/>
    </row>
    <row r="6637" spans="1:1" x14ac:dyDescent="0.3">
      <c r="A6637" s="1"/>
    </row>
    <row r="6638" spans="1:1" x14ac:dyDescent="0.3">
      <c r="A6638" s="1"/>
    </row>
    <row r="6639" spans="1:1" x14ac:dyDescent="0.3">
      <c r="A6639" s="1"/>
    </row>
    <row r="6640" spans="1:1" x14ac:dyDescent="0.3">
      <c r="A6640" s="1"/>
    </row>
    <row r="6641" spans="1:1" x14ac:dyDescent="0.3">
      <c r="A6641" s="1"/>
    </row>
    <row r="6642" spans="1:1" x14ac:dyDescent="0.3">
      <c r="A6642" s="1"/>
    </row>
    <row r="6643" spans="1:1" x14ac:dyDescent="0.3">
      <c r="A6643" s="1"/>
    </row>
    <row r="6644" spans="1:1" x14ac:dyDescent="0.3">
      <c r="A6644" s="1"/>
    </row>
    <row r="6645" spans="1:1" x14ac:dyDescent="0.3">
      <c r="A6645" s="1"/>
    </row>
    <row r="6646" spans="1:1" x14ac:dyDescent="0.3">
      <c r="A6646" s="1"/>
    </row>
    <row r="6647" spans="1:1" x14ac:dyDescent="0.3">
      <c r="A6647" s="1"/>
    </row>
    <row r="6648" spans="1:1" x14ac:dyDescent="0.3">
      <c r="A6648" s="1"/>
    </row>
    <row r="6649" spans="1:1" x14ac:dyDescent="0.3">
      <c r="A6649" s="1"/>
    </row>
    <row r="6650" spans="1:1" x14ac:dyDescent="0.3">
      <c r="A6650" s="1"/>
    </row>
    <row r="6651" spans="1:1" x14ac:dyDescent="0.3">
      <c r="A6651" s="1"/>
    </row>
    <row r="6652" spans="1:1" x14ac:dyDescent="0.3">
      <c r="A6652" s="1"/>
    </row>
    <row r="6653" spans="1:1" x14ac:dyDescent="0.3">
      <c r="A6653" s="1"/>
    </row>
    <row r="6654" spans="1:1" x14ac:dyDescent="0.3">
      <c r="A6654" s="1"/>
    </row>
    <row r="6656" spans="1:1" x14ac:dyDescent="0.3">
      <c r="A6656" s="1"/>
    </row>
    <row r="6658" spans="1:1" x14ac:dyDescent="0.3">
      <c r="A6658" s="1"/>
    </row>
    <row r="6659" spans="1:1" x14ac:dyDescent="0.3">
      <c r="A6659" s="1"/>
    </row>
    <row r="6660" spans="1:1" x14ac:dyDescent="0.3">
      <c r="A6660" s="1"/>
    </row>
    <row r="6661" spans="1:1" x14ac:dyDescent="0.3">
      <c r="A6661" s="1"/>
    </row>
    <row r="6662" spans="1:1" x14ac:dyDescent="0.3">
      <c r="A6662" s="1"/>
    </row>
    <row r="6663" spans="1:1" x14ac:dyDescent="0.3">
      <c r="A6663" s="1"/>
    </row>
    <row r="6664" spans="1:1" x14ac:dyDescent="0.3">
      <c r="A6664" s="1"/>
    </row>
    <row r="6665" spans="1:1" x14ac:dyDescent="0.3">
      <c r="A6665" s="1"/>
    </row>
    <row r="6666" spans="1:1" x14ac:dyDescent="0.3">
      <c r="A6666" s="1"/>
    </row>
    <row r="6667" spans="1:1" x14ac:dyDescent="0.3">
      <c r="A6667" s="1"/>
    </row>
    <row r="6668" spans="1:1" x14ac:dyDescent="0.3">
      <c r="A6668" s="1"/>
    </row>
    <row r="6669" spans="1:1" x14ac:dyDescent="0.3">
      <c r="A6669" s="1"/>
    </row>
    <row r="6671" spans="1:1" x14ac:dyDescent="0.3">
      <c r="A6671" s="1"/>
    </row>
    <row r="6672" spans="1:1" x14ac:dyDescent="0.3">
      <c r="A6672" s="1"/>
    </row>
    <row r="6673" spans="1:1" x14ac:dyDescent="0.3">
      <c r="A6673" s="1"/>
    </row>
    <row r="6675" spans="1:1" x14ac:dyDescent="0.3">
      <c r="A6675" s="1"/>
    </row>
    <row r="6676" spans="1:1" x14ac:dyDescent="0.3">
      <c r="A6676" s="1"/>
    </row>
    <row r="6677" spans="1:1" x14ac:dyDescent="0.3">
      <c r="A6677" s="1"/>
    </row>
    <row r="6678" spans="1:1" x14ac:dyDescent="0.3">
      <c r="A6678" s="1"/>
    </row>
    <row r="6679" spans="1:1" x14ac:dyDescent="0.3">
      <c r="A6679" s="1"/>
    </row>
    <row r="6680" spans="1:1" x14ac:dyDescent="0.3">
      <c r="A6680" s="1"/>
    </row>
    <row r="6681" spans="1:1" x14ac:dyDescent="0.3">
      <c r="A6681" s="1"/>
    </row>
    <row r="6682" spans="1:1" x14ac:dyDescent="0.3">
      <c r="A6682" s="1"/>
    </row>
    <row r="6683" spans="1:1" x14ac:dyDescent="0.3">
      <c r="A6683" s="1"/>
    </row>
    <row r="6684" spans="1:1" x14ac:dyDescent="0.3">
      <c r="A6684" s="1"/>
    </row>
    <row r="6685" spans="1:1" x14ac:dyDescent="0.3">
      <c r="A6685" s="1"/>
    </row>
    <row r="6686" spans="1:1" x14ac:dyDescent="0.3">
      <c r="A6686" s="1"/>
    </row>
    <row r="6687" spans="1:1" x14ac:dyDescent="0.3">
      <c r="A6687" s="1"/>
    </row>
    <row r="6688" spans="1:1" x14ac:dyDescent="0.3">
      <c r="A6688" s="1"/>
    </row>
    <row r="6689" spans="1:1" x14ac:dyDescent="0.3">
      <c r="A6689" s="1"/>
    </row>
    <row r="6690" spans="1:1" x14ac:dyDescent="0.3">
      <c r="A6690" s="1"/>
    </row>
    <row r="6692" spans="1:1" x14ac:dyDescent="0.3">
      <c r="A6692" s="1"/>
    </row>
    <row r="6694" spans="1:1" x14ac:dyDescent="0.3">
      <c r="A6694" s="1"/>
    </row>
    <row r="6695" spans="1:1" x14ac:dyDescent="0.3">
      <c r="A6695" s="1"/>
    </row>
    <row r="6696" spans="1:1" x14ac:dyDescent="0.3">
      <c r="A6696" s="1"/>
    </row>
    <row r="6697" spans="1:1" x14ac:dyDescent="0.3">
      <c r="A6697" s="1"/>
    </row>
    <row r="6698" spans="1:1" x14ac:dyDescent="0.3">
      <c r="A6698" s="1"/>
    </row>
    <row r="6699" spans="1:1" x14ac:dyDescent="0.3">
      <c r="A6699" s="1"/>
    </row>
    <row r="6700" spans="1:1" x14ac:dyDescent="0.3">
      <c r="A6700" s="1"/>
    </row>
    <row r="6701" spans="1:1" x14ac:dyDescent="0.3">
      <c r="A6701" s="1"/>
    </row>
    <row r="6702" spans="1:1" x14ac:dyDescent="0.3">
      <c r="A6702" s="1"/>
    </row>
    <row r="6703" spans="1:1" x14ac:dyDescent="0.3">
      <c r="A6703" s="1"/>
    </row>
    <row r="6704" spans="1:1" x14ac:dyDescent="0.3">
      <c r="A6704" s="1"/>
    </row>
    <row r="6705" spans="1:1" x14ac:dyDescent="0.3">
      <c r="A6705" s="1"/>
    </row>
    <row r="6706" spans="1:1" x14ac:dyDescent="0.3">
      <c r="A6706" s="1"/>
    </row>
    <row r="6707" spans="1:1" x14ac:dyDescent="0.3">
      <c r="A6707" s="1"/>
    </row>
    <row r="6708" spans="1:1" x14ac:dyDescent="0.3">
      <c r="A6708" s="1"/>
    </row>
    <row r="6709" spans="1:1" x14ac:dyDescent="0.3">
      <c r="A6709" s="1"/>
    </row>
    <row r="6710" spans="1:1" x14ac:dyDescent="0.3">
      <c r="A6710" s="1"/>
    </row>
    <row r="6711" spans="1:1" x14ac:dyDescent="0.3">
      <c r="A6711" s="1"/>
    </row>
    <row r="6713" spans="1:1" x14ac:dyDescent="0.3">
      <c r="A6713" s="1"/>
    </row>
    <row r="6715" spans="1:1" x14ac:dyDescent="0.3">
      <c r="A6715" s="1"/>
    </row>
    <row r="6717" spans="1:1" x14ac:dyDescent="0.3">
      <c r="A6717" s="1"/>
    </row>
    <row r="6718" spans="1:1" x14ac:dyDescent="0.3">
      <c r="A6718" s="1"/>
    </row>
    <row r="6719" spans="1:1" x14ac:dyDescent="0.3">
      <c r="A6719" s="1"/>
    </row>
    <row r="6720" spans="1:1" x14ac:dyDescent="0.3">
      <c r="A6720" s="1"/>
    </row>
    <row r="6721" spans="1:1" x14ac:dyDescent="0.3">
      <c r="A6721" s="1"/>
    </row>
    <row r="6722" spans="1:1" x14ac:dyDescent="0.3">
      <c r="A6722" s="1"/>
    </row>
    <row r="6724" spans="1:1" x14ac:dyDescent="0.3">
      <c r="A6724" s="1"/>
    </row>
    <row r="6725" spans="1:1" x14ac:dyDescent="0.3">
      <c r="A6725" s="1"/>
    </row>
    <row r="6726" spans="1:1" x14ac:dyDescent="0.3">
      <c r="A6726" s="1"/>
    </row>
    <row r="6727" spans="1:1" x14ac:dyDescent="0.3">
      <c r="A6727" s="1"/>
    </row>
    <row r="6728" spans="1:1" x14ac:dyDescent="0.3">
      <c r="A6728" s="1"/>
    </row>
    <row r="6729" spans="1:1" x14ac:dyDescent="0.3">
      <c r="A6729" s="1"/>
    </row>
    <row r="6730" spans="1:1" x14ac:dyDescent="0.3">
      <c r="A6730" s="1"/>
    </row>
    <row r="6731" spans="1:1" x14ac:dyDescent="0.3">
      <c r="A6731" s="1"/>
    </row>
    <row r="6732" spans="1:1" x14ac:dyDescent="0.3">
      <c r="A6732" s="1"/>
    </row>
    <row r="6733" spans="1:1" x14ac:dyDescent="0.3">
      <c r="A6733" s="1"/>
    </row>
    <row r="6734" spans="1:1" x14ac:dyDescent="0.3">
      <c r="A6734" s="1"/>
    </row>
    <row r="6735" spans="1:1" x14ac:dyDescent="0.3">
      <c r="A6735" s="1"/>
    </row>
    <row r="6736" spans="1:1" x14ac:dyDescent="0.3">
      <c r="A6736" s="1"/>
    </row>
    <row r="6737" spans="1:1" x14ac:dyDescent="0.3">
      <c r="A6737" s="1"/>
    </row>
    <row r="6738" spans="1:1" x14ac:dyDescent="0.3">
      <c r="A6738" s="1"/>
    </row>
    <row r="6739" spans="1:1" x14ac:dyDescent="0.3">
      <c r="A6739" s="1"/>
    </row>
    <row r="6740" spans="1:1" x14ac:dyDescent="0.3">
      <c r="A6740" s="1"/>
    </row>
    <row r="6742" spans="1:1" x14ac:dyDescent="0.3">
      <c r="A6742" s="1"/>
    </row>
    <row r="6743" spans="1:1" x14ac:dyDescent="0.3">
      <c r="A6743" s="1"/>
    </row>
    <row r="6744" spans="1:1" x14ac:dyDescent="0.3">
      <c r="A6744" s="1"/>
    </row>
    <row r="6745" spans="1:1" x14ac:dyDescent="0.3">
      <c r="A6745" s="1"/>
    </row>
    <row r="6746" spans="1:1" x14ac:dyDescent="0.3">
      <c r="A6746" s="1"/>
    </row>
    <row r="6747" spans="1:1" x14ac:dyDescent="0.3">
      <c r="A6747" s="1"/>
    </row>
    <row r="6748" spans="1:1" x14ac:dyDescent="0.3">
      <c r="A6748" s="1"/>
    </row>
    <row r="6749" spans="1:1" x14ac:dyDescent="0.3">
      <c r="A6749" s="1"/>
    </row>
    <row r="6750" spans="1:1" x14ac:dyDescent="0.3">
      <c r="A6750" s="1"/>
    </row>
    <row r="6751" spans="1:1" x14ac:dyDescent="0.3">
      <c r="A6751" s="1"/>
    </row>
    <row r="6752" spans="1:1" x14ac:dyDescent="0.3">
      <c r="A6752" s="1"/>
    </row>
    <row r="6753" spans="1:1" x14ac:dyDescent="0.3">
      <c r="A6753" s="1"/>
    </row>
    <row r="6754" spans="1:1" x14ac:dyDescent="0.3">
      <c r="A6754" s="1"/>
    </row>
    <row r="6755" spans="1:1" x14ac:dyDescent="0.3">
      <c r="A6755" s="1"/>
    </row>
    <row r="6756" spans="1:1" x14ac:dyDescent="0.3">
      <c r="A6756" s="1"/>
    </row>
    <row r="6757" spans="1:1" x14ac:dyDescent="0.3">
      <c r="A6757" s="1"/>
    </row>
    <row r="6759" spans="1:1" x14ac:dyDescent="0.3">
      <c r="A6759" s="1"/>
    </row>
    <row r="6761" spans="1:1" x14ac:dyDescent="0.3">
      <c r="A6761" s="1"/>
    </row>
    <row r="6763" spans="1:1" x14ac:dyDescent="0.3">
      <c r="A6763" s="1"/>
    </row>
    <row r="6764" spans="1:1" x14ac:dyDescent="0.3">
      <c r="A6764" s="1"/>
    </row>
    <row r="6765" spans="1:1" x14ac:dyDescent="0.3">
      <c r="A6765" s="1"/>
    </row>
    <row r="6766" spans="1:1" x14ac:dyDescent="0.3">
      <c r="A6766" s="1"/>
    </row>
    <row r="6767" spans="1:1" x14ac:dyDescent="0.3">
      <c r="A6767" s="1"/>
    </row>
    <row r="6768" spans="1:1" x14ac:dyDescent="0.3">
      <c r="A6768" s="1"/>
    </row>
    <row r="6769" spans="1:1" x14ac:dyDescent="0.3">
      <c r="A6769" s="1"/>
    </row>
    <row r="6770" spans="1:1" x14ac:dyDescent="0.3">
      <c r="A6770" s="1"/>
    </row>
    <row r="6771" spans="1:1" x14ac:dyDescent="0.3">
      <c r="A6771" s="1"/>
    </row>
    <row r="6772" spans="1:1" x14ac:dyDescent="0.3">
      <c r="A6772" s="1"/>
    </row>
    <row r="6773" spans="1:1" x14ac:dyDescent="0.3">
      <c r="A6773" s="1"/>
    </row>
    <row r="6774" spans="1:1" x14ac:dyDescent="0.3">
      <c r="A6774" s="1"/>
    </row>
    <row r="6775" spans="1:1" x14ac:dyDescent="0.3">
      <c r="A6775" s="1"/>
    </row>
    <row r="6776" spans="1:1" x14ac:dyDescent="0.3">
      <c r="A6776" s="1"/>
    </row>
    <row r="6778" spans="1:1" x14ac:dyDescent="0.3">
      <c r="A6778" s="1"/>
    </row>
    <row r="6780" spans="1:1" x14ac:dyDescent="0.3">
      <c r="A6780" s="1"/>
    </row>
    <row r="6782" spans="1:1" x14ac:dyDescent="0.3">
      <c r="A6782" s="1"/>
    </row>
    <row r="6783" spans="1:1" x14ac:dyDescent="0.3">
      <c r="A6783" s="1"/>
    </row>
    <row r="6784" spans="1:1" x14ac:dyDescent="0.3">
      <c r="A6784" s="1"/>
    </row>
    <row r="6785" spans="1:1" x14ac:dyDescent="0.3">
      <c r="A6785" s="1"/>
    </row>
    <row r="6786" spans="1:1" x14ac:dyDescent="0.3">
      <c r="A6786" s="1"/>
    </row>
    <row r="6787" spans="1:1" x14ac:dyDescent="0.3">
      <c r="A6787" s="1"/>
    </row>
    <row r="6788" spans="1:1" x14ac:dyDescent="0.3">
      <c r="A6788" s="1"/>
    </row>
    <row r="6789" spans="1:1" x14ac:dyDescent="0.3">
      <c r="A6789" s="1"/>
    </row>
    <row r="6790" spans="1:1" x14ac:dyDescent="0.3">
      <c r="A6790" s="1"/>
    </row>
    <row r="6791" spans="1:1" x14ac:dyDescent="0.3">
      <c r="A6791" s="1"/>
    </row>
    <row r="6792" spans="1:1" x14ac:dyDescent="0.3">
      <c r="A6792" s="1"/>
    </row>
    <row r="6793" spans="1:1" x14ac:dyDescent="0.3">
      <c r="A6793" s="1"/>
    </row>
    <row r="6795" spans="1:1" x14ac:dyDescent="0.3">
      <c r="A6795" s="1"/>
    </row>
    <row r="6796" spans="1:1" x14ac:dyDescent="0.3">
      <c r="A6796" s="1"/>
    </row>
    <row r="6797" spans="1:1" x14ac:dyDescent="0.3">
      <c r="A6797" s="1"/>
    </row>
    <row r="6799" spans="1:1" x14ac:dyDescent="0.3">
      <c r="A6799" s="1"/>
    </row>
    <row r="6800" spans="1:1" x14ac:dyDescent="0.3">
      <c r="A6800" s="1"/>
    </row>
    <row r="6801" spans="1:1" x14ac:dyDescent="0.3">
      <c r="A6801" s="1"/>
    </row>
    <row r="6802" spans="1:1" x14ac:dyDescent="0.3">
      <c r="A6802" s="1"/>
    </row>
    <row r="6803" spans="1:1" x14ac:dyDescent="0.3">
      <c r="A6803" s="1"/>
    </row>
    <row r="6804" spans="1:1" x14ac:dyDescent="0.3">
      <c r="A6804" s="1"/>
    </row>
    <row r="6805" spans="1:1" x14ac:dyDescent="0.3">
      <c r="A6805" s="1"/>
    </row>
    <row r="6806" spans="1:1" x14ac:dyDescent="0.3">
      <c r="A6806" s="1"/>
    </row>
    <row r="6807" spans="1:1" x14ac:dyDescent="0.3">
      <c r="A6807" s="1"/>
    </row>
    <row r="6808" spans="1:1" x14ac:dyDescent="0.3">
      <c r="A6808" s="1"/>
    </row>
    <row r="6809" spans="1:1" x14ac:dyDescent="0.3">
      <c r="A6809" s="1"/>
    </row>
    <row r="6810" spans="1:1" x14ac:dyDescent="0.3">
      <c r="A6810" s="1"/>
    </row>
    <row r="6811" spans="1:1" x14ac:dyDescent="0.3">
      <c r="A6811" s="1"/>
    </row>
    <row r="6812" spans="1:1" x14ac:dyDescent="0.3">
      <c r="A6812" s="1"/>
    </row>
    <row r="6813" spans="1:1" x14ac:dyDescent="0.3">
      <c r="A6813" s="1"/>
    </row>
    <row r="6814" spans="1:1" x14ac:dyDescent="0.3">
      <c r="A6814" s="1"/>
    </row>
    <row r="6815" spans="1:1" x14ac:dyDescent="0.3">
      <c r="A6815" s="1"/>
    </row>
    <row r="6816" spans="1:1" x14ac:dyDescent="0.3">
      <c r="A6816" s="1"/>
    </row>
    <row r="6817" spans="1:1" x14ac:dyDescent="0.3">
      <c r="A6817" s="1"/>
    </row>
    <row r="6818" spans="1:1" x14ac:dyDescent="0.3">
      <c r="A6818" s="1"/>
    </row>
    <row r="6819" spans="1:1" x14ac:dyDescent="0.3">
      <c r="A6819" s="1"/>
    </row>
    <row r="6820" spans="1:1" x14ac:dyDescent="0.3">
      <c r="A6820" s="1"/>
    </row>
    <row r="6821" spans="1:1" x14ac:dyDescent="0.3">
      <c r="A6821" s="1"/>
    </row>
    <row r="6822" spans="1:1" x14ac:dyDescent="0.3">
      <c r="A6822" s="1"/>
    </row>
    <row r="6823" spans="1:1" x14ac:dyDescent="0.3">
      <c r="A6823" s="1"/>
    </row>
    <row r="6824" spans="1:1" x14ac:dyDescent="0.3">
      <c r="A6824" s="1"/>
    </row>
    <row r="6825" spans="1:1" x14ac:dyDescent="0.3">
      <c r="A6825" s="1"/>
    </row>
    <row r="6826" spans="1:1" x14ac:dyDescent="0.3">
      <c r="A6826" s="1"/>
    </row>
    <row r="6827" spans="1:1" x14ac:dyDescent="0.3">
      <c r="A6827" s="1"/>
    </row>
    <row r="6828" spans="1:1" x14ac:dyDescent="0.3">
      <c r="A6828" s="1"/>
    </row>
    <row r="6829" spans="1:1" x14ac:dyDescent="0.3">
      <c r="A6829" s="1"/>
    </row>
    <row r="6830" spans="1:1" x14ac:dyDescent="0.3">
      <c r="A6830" s="1"/>
    </row>
    <row r="6831" spans="1:1" x14ac:dyDescent="0.3">
      <c r="A6831" s="1"/>
    </row>
    <row r="6832" spans="1:1" x14ac:dyDescent="0.3">
      <c r="A6832" s="1"/>
    </row>
    <row r="6833" spans="1:1" x14ac:dyDescent="0.3">
      <c r="A6833" s="1"/>
    </row>
    <row r="6834" spans="1:1" x14ac:dyDescent="0.3">
      <c r="A6834" s="1"/>
    </row>
    <row r="6836" spans="1:1" x14ac:dyDescent="0.3">
      <c r="A6836" s="1"/>
    </row>
    <row r="6837" spans="1:1" x14ac:dyDescent="0.3">
      <c r="A6837" s="1"/>
    </row>
    <row r="6838" spans="1:1" x14ac:dyDescent="0.3">
      <c r="A6838" s="1"/>
    </row>
    <row r="6839" spans="1:1" x14ac:dyDescent="0.3">
      <c r="A6839" s="1"/>
    </row>
    <row r="6840" spans="1:1" x14ac:dyDescent="0.3">
      <c r="A6840" s="1"/>
    </row>
    <row r="6841" spans="1:1" x14ac:dyDescent="0.3">
      <c r="A6841" s="1"/>
    </row>
    <row r="6842" spans="1:1" x14ac:dyDescent="0.3">
      <c r="A6842" s="1"/>
    </row>
    <row r="6843" spans="1:1" x14ac:dyDescent="0.3">
      <c r="A6843" s="1"/>
    </row>
    <row r="6844" spans="1:1" x14ac:dyDescent="0.3">
      <c r="A6844" s="1"/>
    </row>
    <row r="6845" spans="1:1" x14ac:dyDescent="0.3">
      <c r="A6845" s="1"/>
    </row>
    <row r="6846" spans="1:1" x14ac:dyDescent="0.3">
      <c r="A6846" s="1"/>
    </row>
    <row r="6847" spans="1:1" x14ac:dyDescent="0.3">
      <c r="A6847" s="1"/>
    </row>
    <row r="6848" spans="1:1" x14ac:dyDescent="0.3">
      <c r="A6848" s="1"/>
    </row>
    <row r="6849" spans="1:1" x14ac:dyDescent="0.3">
      <c r="A6849" s="1"/>
    </row>
    <row r="6850" spans="1:1" x14ac:dyDescent="0.3">
      <c r="A6850" s="1"/>
    </row>
    <row r="6851" spans="1:1" x14ac:dyDescent="0.3">
      <c r="A6851" s="1"/>
    </row>
    <row r="6852" spans="1:1" x14ac:dyDescent="0.3">
      <c r="A6852" s="1"/>
    </row>
    <row r="6853" spans="1:1" x14ac:dyDescent="0.3">
      <c r="A6853" s="1"/>
    </row>
    <row r="6854" spans="1:1" x14ac:dyDescent="0.3">
      <c r="A6854" s="1"/>
    </row>
    <row r="6855" spans="1:1" x14ac:dyDescent="0.3">
      <c r="A6855" s="1"/>
    </row>
    <row r="6856" spans="1:1" x14ac:dyDescent="0.3">
      <c r="A6856" s="1"/>
    </row>
    <row r="6857" spans="1:1" x14ac:dyDescent="0.3">
      <c r="A6857" s="1"/>
    </row>
    <row r="6858" spans="1:1" x14ac:dyDescent="0.3">
      <c r="A6858" s="1"/>
    </row>
    <row r="6859" spans="1:1" x14ac:dyDescent="0.3">
      <c r="A6859" s="1"/>
    </row>
    <row r="6860" spans="1:1" x14ac:dyDescent="0.3">
      <c r="A6860" s="1"/>
    </row>
    <row r="6862" spans="1:1" x14ac:dyDescent="0.3">
      <c r="A6862" s="1"/>
    </row>
    <row r="6863" spans="1:1" x14ac:dyDescent="0.3">
      <c r="A6863" s="1"/>
    </row>
    <row r="6864" spans="1:1" x14ac:dyDescent="0.3">
      <c r="A6864" s="1"/>
    </row>
    <row r="6865" spans="1:1" x14ac:dyDescent="0.3">
      <c r="A6865" s="1"/>
    </row>
    <row r="6866" spans="1:1" x14ac:dyDescent="0.3">
      <c r="A6866" s="1"/>
    </row>
    <row r="6867" spans="1:1" x14ac:dyDescent="0.3">
      <c r="A6867" s="1"/>
    </row>
    <row r="6868" spans="1:1" x14ac:dyDescent="0.3">
      <c r="A6868" s="1"/>
    </row>
    <row r="6869" spans="1:1" x14ac:dyDescent="0.3">
      <c r="A6869" s="1"/>
    </row>
    <row r="6870" spans="1:1" x14ac:dyDescent="0.3">
      <c r="A6870" s="1"/>
    </row>
    <row r="6871" spans="1:1" x14ac:dyDescent="0.3">
      <c r="A6871" s="1"/>
    </row>
    <row r="6872" spans="1:1" x14ac:dyDescent="0.3">
      <c r="A6872" s="1"/>
    </row>
    <row r="6873" spans="1:1" x14ac:dyDescent="0.3">
      <c r="A6873" s="1"/>
    </row>
    <row r="6874" spans="1:1" x14ac:dyDescent="0.3">
      <c r="A6874" s="1"/>
    </row>
    <row r="6875" spans="1:1" x14ac:dyDescent="0.3">
      <c r="A6875" s="1"/>
    </row>
    <row r="6876" spans="1:1" x14ac:dyDescent="0.3">
      <c r="A6876" s="1"/>
    </row>
    <row r="6877" spans="1:1" x14ac:dyDescent="0.3">
      <c r="A6877" s="1"/>
    </row>
    <row r="6878" spans="1:1" x14ac:dyDescent="0.3">
      <c r="A6878" s="1"/>
    </row>
    <row r="6879" spans="1:1" x14ac:dyDescent="0.3">
      <c r="A6879" s="1"/>
    </row>
    <row r="6880" spans="1:1" x14ac:dyDescent="0.3">
      <c r="A6880" s="1"/>
    </row>
    <row r="6881" spans="1:1" x14ac:dyDescent="0.3">
      <c r="A6881" s="1"/>
    </row>
    <row r="6882" spans="1:1" x14ac:dyDescent="0.3">
      <c r="A6882" s="1"/>
    </row>
    <row r="6883" spans="1:1" x14ac:dyDescent="0.3">
      <c r="A6883" s="1"/>
    </row>
    <row r="6884" spans="1:1" x14ac:dyDescent="0.3">
      <c r="A6884" s="1"/>
    </row>
    <row r="6885" spans="1:1" x14ac:dyDescent="0.3">
      <c r="A6885" s="1"/>
    </row>
    <row r="6886" spans="1:1" x14ac:dyDescent="0.3">
      <c r="A6886" s="1"/>
    </row>
    <row r="6887" spans="1:1" x14ac:dyDescent="0.3">
      <c r="A6887" s="1"/>
    </row>
    <row r="6888" spans="1:1" x14ac:dyDescent="0.3">
      <c r="A6888" s="1"/>
    </row>
    <row r="6889" spans="1:1" x14ac:dyDescent="0.3">
      <c r="A6889" s="1"/>
    </row>
    <row r="6890" spans="1:1" x14ac:dyDescent="0.3">
      <c r="A6890" s="1"/>
    </row>
    <row r="6892" spans="1:1" x14ac:dyDescent="0.3">
      <c r="A6892" s="1"/>
    </row>
    <row r="6893" spans="1:1" x14ac:dyDescent="0.3">
      <c r="A6893" s="1"/>
    </row>
    <row r="6894" spans="1:1" x14ac:dyDescent="0.3">
      <c r="A6894" s="1"/>
    </row>
    <row r="6895" spans="1:1" x14ac:dyDescent="0.3">
      <c r="A6895" s="1"/>
    </row>
    <row r="6896" spans="1:1" x14ac:dyDescent="0.3">
      <c r="A6896" s="1"/>
    </row>
    <row r="6897" spans="1:1" x14ac:dyDescent="0.3">
      <c r="A6897" s="1"/>
    </row>
    <row r="6898" spans="1:1" x14ac:dyDescent="0.3">
      <c r="A6898" s="1"/>
    </row>
    <row r="6899" spans="1:1" x14ac:dyDescent="0.3">
      <c r="A6899" s="1"/>
    </row>
    <row r="6900" spans="1:1" x14ac:dyDescent="0.3">
      <c r="A6900" s="1"/>
    </row>
    <row r="6901" spans="1:1" x14ac:dyDescent="0.3">
      <c r="A6901" s="1"/>
    </row>
    <row r="6902" spans="1:1" x14ac:dyDescent="0.3">
      <c r="A6902" s="1"/>
    </row>
    <row r="6903" spans="1:1" x14ac:dyDescent="0.3">
      <c r="A6903" s="1"/>
    </row>
    <row r="6904" spans="1:1" x14ac:dyDescent="0.3">
      <c r="A6904" s="1"/>
    </row>
    <row r="6905" spans="1:1" x14ac:dyDescent="0.3">
      <c r="A6905" s="1"/>
    </row>
    <row r="6906" spans="1:1" x14ac:dyDescent="0.3">
      <c r="A6906" s="1"/>
    </row>
    <row r="6907" spans="1:1" x14ac:dyDescent="0.3">
      <c r="A6907" s="1"/>
    </row>
    <row r="6908" spans="1:1" x14ac:dyDescent="0.3">
      <c r="A6908" s="1"/>
    </row>
    <row r="6909" spans="1:1" x14ac:dyDescent="0.3">
      <c r="A6909" s="1"/>
    </row>
    <row r="6910" spans="1:1" x14ac:dyDescent="0.3">
      <c r="A6910" s="1"/>
    </row>
    <row r="6912" spans="1:1" x14ac:dyDescent="0.3">
      <c r="A6912" s="1"/>
    </row>
    <row r="6914" spans="1:1" x14ac:dyDescent="0.3">
      <c r="A6914" s="1"/>
    </row>
    <row r="6916" spans="1:1" x14ac:dyDescent="0.3">
      <c r="A6916" s="1"/>
    </row>
    <row r="6917" spans="1:1" x14ac:dyDescent="0.3">
      <c r="A6917" s="1"/>
    </row>
    <row r="6918" spans="1:1" x14ac:dyDescent="0.3">
      <c r="A6918" s="1"/>
    </row>
    <row r="6919" spans="1:1" x14ac:dyDescent="0.3">
      <c r="A6919" s="1"/>
    </row>
    <row r="6920" spans="1:1" x14ac:dyDescent="0.3">
      <c r="A6920" s="1"/>
    </row>
    <row r="6921" spans="1:1" x14ac:dyDescent="0.3">
      <c r="A6921" s="1"/>
    </row>
    <row r="6922" spans="1:1" x14ac:dyDescent="0.3">
      <c r="A6922" s="1"/>
    </row>
    <row r="6923" spans="1:1" x14ac:dyDescent="0.3">
      <c r="A6923" s="1"/>
    </row>
    <row r="6924" spans="1:1" x14ac:dyDescent="0.3">
      <c r="A6924" s="1"/>
    </row>
    <row r="6926" spans="1:1" x14ac:dyDescent="0.3">
      <c r="A6926" s="1"/>
    </row>
    <row r="6927" spans="1:1" x14ac:dyDescent="0.3">
      <c r="A6927" s="1"/>
    </row>
    <row r="6928" spans="1:1" x14ac:dyDescent="0.3">
      <c r="A6928" s="1"/>
    </row>
    <row r="6929" spans="1:1" x14ac:dyDescent="0.3">
      <c r="A6929" s="1"/>
    </row>
    <row r="6931" spans="1:1" x14ac:dyDescent="0.3">
      <c r="A6931" s="1"/>
    </row>
    <row r="6932" spans="1:1" x14ac:dyDescent="0.3">
      <c r="A6932" s="1"/>
    </row>
    <row r="6933" spans="1:1" x14ac:dyDescent="0.3">
      <c r="A6933" s="1"/>
    </row>
    <row r="6934" spans="1:1" x14ac:dyDescent="0.3">
      <c r="A6934" s="1"/>
    </row>
    <row r="6935" spans="1:1" x14ac:dyDescent="0.3">
      <c r="A6935" s="1"/>
    </row>
    <row r="6936" spans="1:1" x14ac:dyDescent="0.3">
      <c r="A6936" s="1"/>
    </row>
    <row r="6937" spans="1:1" x14ac:dyDescent="0.3">
      <c r="A6937" s="1"/>
    </row>
    <row r="6938" spans="1:1" x14ac:dyDescent="0.3">
      <c r="A6938" s="1"/>
    </row>
    <row r="6939" spans="1:1" x14ac:dyDescent="0.3">
      <c r="A6939" s="1"/>
    </row>
    <row r="6940" spans="1:1" x14ac:dyDescent="0.3">
      <c r="A6940" s="1"/>
    </row>
    <row r="6941" spans="1:1" x14ac:dyDescent="0.3">
      <c r="A6941" s="1"/>
    </row>
    <row r="6942" spans="1:1" x14ac:dyDescent="0.3">
      <c r="A6942" s="1"/>
    </row>
    <row r="6943" spans="1:1" x14ac:dyDescent="0.3">
      <c r="A6943" s="1"/>
    </row>
    <row r="6944" spans="1:1" x14ac:dyDescent="0.3">
      <c r="A6944" s="1"/>
    </row>
    <row r="6945" spans="1:1" x14ac:dyDescent="0.3">
      <c r="A6945" s="1"/>
    </row>
    <row r="6946" spans="1:1" x14ac:dyDescent="0.3">
      <c r="A6946" s="1"/>
    </row>
    <row r="6947" spans="1:1" x14ac:dyDescent="0.3">
      <c r="A6947" s="1"/>
    </row>
    <row r="6948" spans="1:1" x14ac:dyDescent="0.3">
      <c r="A6948" s="1"/>
    </row>
    <row r="6950" spans="1:1" x14ac:dyDescent="0.3">
      <c r="A6950" s="1"/>
    </row>
    <row r="6951" spans="1:1" x14ac:dyDescent="0.3">
      <c r="A6951" s="1"/>
    </row>
    <row r="6952" spans="1:1" x14ac:dyDescent="0.3">
      <c r="A6952" s="1"/>
    </row>
    <row r="6953" spans="1:1" x14ac:dyDescent="0.3">
      <c r="A6953" s="1"/>
    </row>
    <row r="6954" spans="1:1" x14ac:dyDescent="0.3">
      <c r="A6954" s="1"/>
    </row>
    <row r="6955" spans="1:1" x14ac:dyDescent="0.3">
      <c r="A6955" s="1"/>
    </row>
    <row r="6956" spans="1:1" x14ac:dyDescent="0.3">
      <c r="A6956" s="1"/>
    </row>
    <row r="6957" spans="1:1" x14ac:dyDescent="0.3">
      <c r="A6957" s="1"/>
    </row>
    <row r="6958" spans="1:1" x14ac:dyDescent="0.3">
      <c r="A6958" s="1"/>
    </row>
    <row r="6959" spans="1:1" x14ac:dyDescent="0.3">
      <c r="A6959" s="1"/>
    </row>
    <row r="6960" spans="1:1" x14ac:dyDescent="0.3">
      <c r="A6960" s="1"/>
    </row>
    <row r="6961" spans="1:1" x14ac:dyDescent="0.3">
      <c r="A6961" s="1"/>
    </row>
    <row r="6962" spans="1:1" x14ac:dyDescent="0.3">
      <c r="A6962" s="1"/>
    </row>
    <row r="6963" spans="1:1" x14ac:dyDescent="0.3">
      <c r="A6963" s="1"/>
    </row>
    <row r="6964" spans="1:1" x14ac:dyDescent="0.3">
      <c r="A6964" s="1"/>
    </row>
    <row r="6965" spans="1:1" x14ac:dyDescent="0.3">
      <c r="A6965" s="1"/>
    </row>
    <row r="6966" spans="1:1" x14ac:dyDescent="0.3">
      <c r="A6966" s="1"/>
    </row>
    <row r="6967" spans="1:1" x14ac:dyDescent="0.3">
      <c r="A6967" s="1"/>
    </row>
    <row r="6968" spans="1:1" x14ac:dyDescent="0.3">
      <c r="A6968" s="1"/>
    </row>
    <row r="6969" spans="1:1" x14ac:dyDescent="0.3">
      <c r="A6969" s="1"/>
    </row>
    <row r="6970" spans="1:1" x14ac:dyDescent="0.3">
      <c r="A6970" s="1"/>
    </row>
    <row r="6971" spans="1:1" x14ac:dyDescent="0.3">
      <c r="A6971" s="1"/>
    </row>
    <row r="6972" spans="1:1" x14ac:dyDescent="0.3">
      <c r="A6972" s="1"/>
    </row>
    <row r="6973" spans="1:1" x14ac:dyDescent="0.3">
      <c r="A6973" s="1"/>
    </row>
    <row r="6975" spans="1:1" x14ac:dyDescent="0.3">
      <c r="A6975" s="1"/>
    </row>
    <row r="6976" spans="1:1" x14ac:dyDescent="0.3">
      <c r="A6976" s="1"/>
    </row>
    <row r="6977" spans="1:1" x14ac:dyDescent="0.3">
      <c r="A6977" s="1"/>
    </row>
    <row r="6978" spans="1:1" x14ac:dyDescent="0.3">
      <c r="A6978" s="1"/>
    </row>
    <row r="6979" spans="1:1" x14ac:dyDescent="0.3">
      <c r="A6979" s="1"/>
    </row>
    <row r="6980" spans="1:1" x14ac:dyDescent="0.3">
      <c r="A6980" s="1"/>
    </row>
    <row r="6981" spans="1:1" x14ac:dyDescent="0.3">
      <c r="A6981" s="1"/>
    </row>
    <row r="6982" spans="1:1" x14ac:dyDescent="0.3">
      <c r="A6982" s="1"/>
    </row>
    <row r="6983" spans="1:1" x14ac:dyDescent="0.3">
      <c r="A6983" s="1"/>
    </row>
    <row r="6984" spans="1:1" x14ac:dyDescent="0.3">
      <c r="A6984" s="1"/>
    </row>
    <row r="6985" spans="1:1" x14ac:dyDescent="0.3">
      <c r="A6985" s="1"/>
    </row>
    <row r="6986" spans="1:1" x14ac:dyDescent="0.3">
      <c r="A6986" s="1"/>
    </row>
    <row r="6987" spans="1:1" x14ac:dyDescent="0.3">
      <c r="A6987" s="1"/>
    </row>
    <row r="6988" spans="1:1" x14ac:dyDescent="0.3">
      <c r="A6988" s="1"/>
    </row>
    <row r="6990" spans="1:1" x14ac:dyDescent="0.3">
      <c r="A6990" s="1"/>
    </row>
    <row r="6992" spans="1:1" x14ac:dyDescent="0.3">
      <c r="A6992" s="1"/>
    </row>
    <row r="6993" spans="1:1" x14ac:dyDescent="0.3">
      <c r="A6993" s="1"/>
    </row>
    <row r="6994" spans="1:1" x14ac:dyDescent="0.3">
      <c r="A6994" s="1"/>
    </row>
    <row r="6995" spans="1:1" x14ac:dyDescent="0.3">
      <c r="A6995" s="1"/>
    </row>
    <row r="6996" spans="1:1" x14ac:dyDescent="0.3">
      <c r="A6996" s="1"/>
    </row>
    <row r="6997" spans="1:1" x14ac:dyDescent="0.3">
      <c r="A6997" s="1"/>
    </row>
    <row r="6998" spans="1:1" x14ac:dyDescent="0.3">
      <c r="A6998" s="1"/>
    </row>
    <row r="6999" spans="1:1" x14ac:dyDescent="0.3">
      <c r="A6999" s="1"/>
    </row>
    <row r="7000" spans="1:1" x14ac:dyDescent="0.3">
      <c r="A7000" s="1"/>
    </row>
    <row r="7002" spans="1:1" x14ac:dyDescent="0.3">
      <c r="A7002" s="1"/>
    </row>
    <row r="7003" spans="1:1" x14ac:dyDescent="0.3">
      <c r="A7003" s="1"/>
    </row>
    <row r="7004" spans="1:1" x14ac:dyDescent="0.3">
      <c r="A7004" s="1"/>
    </row>
    <row r="7005" spans="1:1" x14ac:dyDescent="0.3">
      <c r="A7005" s="1"/>
    </row>
    <row r="7007" spans="1:1" x14ac:dyDescent="0.3">
      <c r="A7007" s="1"/>
    </row>
    <row r="7008" spans="1:1" x14ac:dyDescent="0.3">
      <c r="A7008" s="1"/>
    </row>
    <row r="7009" spans="1:1" x14ac:dyDescent="0.3">
      <c r="A7009" s="1"/>
    </row>
    <row r="7010" spans="1:1" x14ac:dyDescent="0.3">
      <c r="A7010" s="1"/>
    </row>
    <row r="7011" spans="1:1" x14ac:dyDescent="0.3">
      <c r="A7011" s="1"/>
    </row>
    <row r="7012" spans="1:1" x14ac:dyDescent="0.3">
      <c r="A7012" s="1"/>
    </row>
    <row r="7013" spans="1:1" x14ac:dyDescent="0.3">
      <c r="A7013" s="1"/>
    </row>
    <row r="7014" spans="1:1" x14ac:dyDescent="0.3">
      <c r="A7014" s="1"/>
    </row>
    <row r="7015" spans="1:1" x14ac:dyDescent="0.3">
      <c r="A7015" s="1"/>
    </row>
    <row r="7016" spans="1:1" x14ac:dyDescent="0.3">
      <c r="A7016" s="1"/>
    </row>
    <row r="7017" spans="1:1" x14ac:dyDescent="0.3">
      <c r="A7017" s="1"/>
    </row>
    <row r="7018" spans="1:1" x14ac:dyDescent="0.3">
      <c r="A7018" s="1"/>
    </row>
    <row r="7019" spans="1:1" x14ac:dyDescent="0.3">
      <c r="A7019" s="1"/>
    </row>
    <row r="7020" spans="1:1" x14ac:dyDescent="0.3">
      <c r="A7020" s="1"/>
    </row>
    <row r="7021" spans="1:1" x14ac:dyDescent="0.3">
      <c r="A7021" s="1"/>
    </row>
    <row r="7022" spans="1:1" x14ac:dyDescent="0.3">
      <c r="A7022" s="1"/>
    </row>
    <row r="7023" spans="1:1" x14ac:dyDescent="0.3">
      <c r="A7023" s="1"/>
    </row>
    <row r="7024" spans="1:1" x14ac:dyDescent="0.3">
      <c r="A7024" s="1"/>
    </row>
    <row r="7025" spans="1:1" x14ac:dyDescent="0.3">
      <c r="A7025" s="1"/>
    </row>
    <row r="7026" spans="1:1" x14ac:dyDescent="0.3">
      <c r="A7026" s="1"/>
    </row>
    <row r="7027" spans="1:1" x14ac:dyDescent="0.3">
      <c r="A7027" s="1"/>
    </row>
    <row r="7028" spans="1:1" x14ac:dyDescent="0.3">
      <c r="A7028" s="1"/>
    </row>
    <row r="7029" spans="1:1" x14ac:dyDescent="0.3">
      <c r="A7029" s="1"/>
    </row>
    <row r="7030" spans="1:1" x14ac:dyDescent="0.3">
      <c r="A7030" s="1"/>
    </row>
    <row r="7031" spans="1:1" x14ac:dyDescent="0.3">
      <c r="A7031" s="1"/>
    </row>
    <row r="7032" spans="1:1" x14ac:dyDescent="0.3">
      <c r="A7032" s="1"/>
    </row>
    <row r="7033" spans="1:1" x14ac:dyDescent="0.3">
      <c r="A7033" s="1"/>
    </row>
    <row r="7034" spans="1:1" x14ac:dyDescent="0.3">
      <c r="A7034" s="1"/>
    </row>
    <row r="7035" spans="1:1" x14ac:dyDescent="0.3">
      <c r="A7035" s="1"/>
    </row>
    <row r="7036" spans="1:1" x14ac:dyDescent="0.3">
      <c r="A7036" s="1"/>
    </row>
    <row r="7037" spans="1:1" x14ac:dyDescent="0.3">
      <c r="A7037" s="1"/>
    </row>
    <row r="7038" spans="1:1" x14ac:dyDescent="0.3">
      <c r="A7038" s="1"/>
    </row>
    <row r="7039" spans="1:1" x14ac:dyDescent="0.3">
      <c r="A7039" s="1"/>
    </row>
    <row r="7040" spans="1:1" x14ac:dyDescent="0.3">
      <c r="A7040" s="1"/>
    </row>
    <row r="7041" spans="1:1" x14ac:dyDescent="0.3">
      <c r="A7041" s="1"/>
    </row>
    <row r="7042" spans="1:1" x14ac:dyDescent="0.3">
      <c r="A7042" s="1"/>
    </row>
    <row r="7043" spans="1:1" x14ac:dyDescent="0.3">
      <c r="A7043" s="1"/>
    </row>
    <row r="7044" spans="1:1" x14ac:dyDescent="0.3">
      <c r="A7044" s="1"/>
    </row>
    <row r="7045" spans="1:1" x14ac:dyDescent="0.3">
      <c r="A7045" s="1"/>
    </row>
    <row r="7046" spans="1:1" x14ac:dyDescent="0.3">
      <c r="A7046" s="1"/>
    </row>
    <row r="7047" spans="1:1" x14ac:dyDescent="0.3">
      <c r="A7047" s="1"/>
    </row>
    <row r="7048" spans="1:1" x14ac:dyDescent="0.3">
      <c r="A7048" s="1"/>
    </row>
    <row r="7049" spans="1:1" x14ac:dyDescent="0.3">
      <c r="A7049" s="1"/>
    </row>
    <row r="7050" spans="1:1" x14ac:dyDescent="0.3">
      <c r="A7050" s="1"/>
    </row>
    <row r="7051" spans="1:1" x14ac:dyDescent="0.3">
      <c r="A7051" s="1"/>
    </row>
    <row r="7052" spans="1:1" x14ac:dyDescent="0.3">
      <c r="A7052" s="1"/>
    </row>
    <row r="7053" spans="1:1" x14ac:dyDescent="0.3">
      <c r="A7053" s="1"/>
    </row>
    <row r="7054" spans="1:1" x14ac:dyDescent="0.3">
      <c r="A7054" s="1"/>
    </row>
    <row r="7055" spans="1:1" x14ac:dyDescent="0.3">
      <c r="A7055" s="1"/>
    </row>
    <row r="7056" spans="1:1" x14ac:dyDescent="0.3">
      <c r="A7056" s="1"/>
    </row>
    <row r="7057" spans="1:1" x14ac:dyDescent="0.3">
      <c r="A7057" s="1"/>
    </row>
    <row r="7059" spans="1:1" x14ac:dyDescent="0.3">
      <c r="A7059" s="1"/>
    </row>
    <row r="7061" spans="1:1" x14ac:dyDescent="0.3">
      <c r="A7061" s="1"/>
    </row>
    <row r="7063" spans="1:1" x14ac:dyDescent="0.3">
      <c r="A7063" s="1"/>
    </row>
    <row r="7065" spans="1:1" x14ac:dyDescent="0.3">
      <c r="A7065" s="1"/>
    </row>
    <row r="7067" spans="1:1" x14ac:dyDescent="0.3">
      <c r="A7067" s="1"/>
    </row>
    <row r="7068" spans="1:1" x14ac:dyDescent="0.3">
      <c r="A7068" s="1"/>
    </row>
    <row r="7069" spans="1:1" x14ac:dyDescent="0.3">
      <c r="A7069" s="1"/>
    </row>
    <row r="7070" spans="1:1" x14ac:dyDescent="0.3">
      <c r="A7070" s="1"/>
    </row>
    <row r="7071" spans="1:1" x14ac:dyDescent="0.3">
      <c r="A7071" s="1"/>
    </row>
    <row r="7072" spans="1:1" x14ac:dyDescent="0.3">
      <c r="A7072" s="1"/>
    </row>
    <row r="7073" spans="1:1" x14ac:dyDescent="0.3">
      <c r="A7073" s="1"/>
    </row>
    <row r="7074" spans="1:1" x14ac:dyDescent="0.3">
      <c r="A7074" s="1"/>
    </row>
    <row r="7076" spans="1:1" x14ac:dyDescent="0.3">
      <c r="A7076" s="1"/>
    </row>
    <row r="7078" spans="1:1" x14ac:dyDescent="0.3">
      <c r="A7078" s="1"/>
    </row>
    <row r="7080" spans="1:1" x14ac:dyDescent="0.3">
      <c r="A7080" s="1"/>
    </row>
    <row r="7081" spans="1:1" x14ac:dyDescent="0.3">
      <c r="A7081" s="1"/>
    </row>
    <row r="7082" spans="1:1" x14ac:dyDescent="0.3">
      <c r="A7082" s="1"/>
    </row>
    <row r="7083" spans="1:1" x14ac:dyDescent="0.3">
      <c r="A7083" s="1"/>
    </row>
    <row r="7084" spans="1:1" x14ac:dyDescent="0.3">
      <c r="A7084" s="1"/>
    </row>
    <row r="7085" spans="1:1" x14ac:dyDescent="0.3">
      <c r="A7085" s="1"/>
    </row>
    <row r="7086" spans="1:1" x14ac:dyDescent="0.3">
      <c r="A7086" s="1"/>
    </row>
    <row r="7087" spans="1:1" x14ac:dyDescent="0.3">
      <c r="A7087" s="1"/>
    </row>
    <row r="7088" spans="1:1" x14ac:dyDescent="0.3">
      <c r="A7088" s="1"/>
    </row>
    <row r="7089" spans="1:1" x14ac:dyDescent="0.3">
      <c r="A7089" s="1"/>
    </row>
    <row r="7090" spans="1:1" x14ac:dyDescent="0.3">
      <c r="A7090" s="1"/>
    </row>
    <row r="7091" spans="1:1" x14ac:dyDescent="0.3">
      <c r="A7091" s="1"/>
    </row>
    <row r="7092" spans="1:1" x14ac:dyDescent="0.3">
      <c r="A7092" s="1"/>
    </row>
    <row r="7093" spans="1:1" x14ac:dyDescent="0.3">
      <c r="A7093" s="1"/>
    </row>
    <row r="7095" spans="1:1" x14ac:dyDescent="0.3">
      <c r="A7095" s="1"/>
    </row>
    <row r="7097" spans="1:1" x14ac:dyDescent="0.3">
      <c r="A7097" s="1"/>
    </row>
    <row r="7099" spans="1:1" x14ac:dyDescent="0.3">
      <c r="A7099" s="1"/>
    </row>
    <row r="7101" spans="1:1" x14ac:dyDescent="0.3">
      <c r="A7101" s="1"/>
    </row>
    <row r="7103" spans="1:1" x14ac:dyDescent="0.3">
      <c r="A7103" s="1"/>
    </row>
    <row r="7105" spans="1:1" x14ac:dyDescent="0.3">
      <c r="A7105" s="1"/>
    </row>
    <row r="7107" spans="1:1" x14ac:dyDescent="0.3">
      <c r="A7107" s="1"/>
    </row>
    <row r="7109" spans="1:1" x14ac:dyDescent="0.3">
      <c r="A7109" s="1"/>
    </row>
    <row r="7110" spans="1:1" x14ac:dyDescent="0.3">
      <c r="A7110" s="1"/>
    </row>
    <row r="7111" spans="1:1" x14ac:dyDescent="0.3">
      <c r="A7111" s="1"/>
    </row>
    <row r="7112" spans="1:1" x14ac:dyDescent="0.3">
      <c r="A7112" s="1"/>
    </row>
    <row r="7113" spans="1:1" x14ac:dyDescent="0.3">
      <c r="A7113" s="1"/>
    </row>
    <row r="7114" spans="1:1" x14ac:dyDescent="0.3">
      <c r="A7114" s="1"/>
    </row>
    <row r="7116" spans="1:1" x14ac:dyDescent="0.3">
      <c r="A7116" s="1"/>
    </row>
    <row r="7117" spans="1:1" x14ac:dyDescent="0.3">
      <c r="A7117" s="1"/>
    </row>
    <row r="7118" spans="1:1" x14ac:dyDescent="0.3">
      <c r="A7118" s="1"/>
    </row>
    <row r="7119" spans="1:1" x14ac:dyDescent="0.3">
      <c r="A7119" s="1"/>
    </row>
    <row r="7120" spans="1:1" x14ac:dyDescent="0.3">
      <c r="A7120" s="1"/>
    </row>
    <row r="7121" spans="1:1" x14ac:dyDescent="0.3">
      <c r="A7121" s="1"/>
    </row>
    <row r="7122" spans="1:1" x14ac:dyDescent="0.3">
      <c r="A7122" s="1"/>
    </row>
    <row r="7123" spans="1:1" x14ac:dyDescent="0.3">
      <c r="A7123" s="1"/>
    </row>
    <row r="7124" spans="1:1" x14ac:dyDescent="0.3">
      <c r="A7124" s="1"/>
    </row>
    <row r="7125" spans="1:1" x14ac:dyDescent="0.3">
      <c r="A7125" s="1"/>
    </row>
    <row r="7126" spans="1:1" x14ac:dyDescent="0.3">
      <c r="A7126" s="1"/>
    </row>
    <row r="7127" spans="1:1" x14ac:dyDescent="0.3">
      <c r="A7127" s="1"/>
    </row>
    <row r="7128" spans="1:1" x14ac:dyDescent="0.3">
      <c r="A7128" s="1"/>
    </row>
    <row r="7129" spans="1:1" x14ac:dyDescent="0.3">
      <c r="A7129" s="1"/>
    </row>
    <row r="7130" spans="1:1" x14ac:dyDescent="0.3">
      <c r="A7130" s="1"/>
    </row>
    <row r="7131" spans="1:1" x14ac:dyDescent="0.3">
      <c r="A7131" s="1"/>
    </row>
    <row r="7132" spans="1:1" x14ac:dyDescent="0.3">
      <c r="A7132" s="1"/>
    </row>
    <row r="7133" spans="1:1" x14ac:dyDescent="0.3">
      <c r="A7133" s="1"/>
    </row>
    <row r="7135" spans="1:1" x14ac:dyDescent="0.3">
      <c r="A7135" s="1"/>
    </row>
    <row r="7136" spans="1:1" x14ac:dyDescent="0.3">
      <c r="A7136" s="1"/>
    </row>
    <row r="7137" spans="1:1" x14ac:dyDescent="0.3">
      <c r="A7137" s="1"/>
    </row>
    <row r="7138" spans="1:1" x14ac:dyDescent="0.3">
      <c r="A7138" s="1"/>
    </row>
    <row r="7139" spans="1:1" x14ac:dyDescent="0.3">
      <c r="A7139" s="1"/>
    </row>
    <row r="7141" spans="1:1" x14ac:dyDescent="0.3">
      <c r="A7141" s="1"/>
    </row>
    <row r="7142" spans="1:1" x14ac:dyDescent="0.3">
      <c r="A7142" s="1"/>
    </row>
    <row r="7143" spans="1:1" x14ac:dyDescent="0.3">
      <c r="A7143" s="1"/>
    </row>
    <row r="7144" spans="1:1" x14ac:dyDescent="0.3">
      <c r="A7144" s="1"/>
    </row>
    <row r="7145" spans="1:1" x14ac:dyDescent="0.3">
      <c r="A7145" s="1"/>
    </row>
    <row r="7146" spans="1:1" x14ac:dyDescent="0.3">
      <c r="A7146" s="1"/>
    </row>
    <row r="7147" spans="1:1" x14ac:dyDescent="0.3">
      <c r="A7147" s="1"/>
    </row>
    <row r="7148" spans="1:1" x14ac:dyDescent="0.3">
      <c r="A7148" s="1"/>
    </row>
    <row r="7149" spans="1:1" x14ac:dyDescent="0.3">
      <c r="A7149" s="1"/>
    </row>
    <row r="7150" spans="1:1" x14ac:dyDescent="0.3">
      <c r="A7150" s="1"/>
    </row>
    <row r="7151" spans="1:1" x14ac:dyDescent="0.3">
      <c r="A7151" s="1"/>
    </row>
    <row r="7152" spans="1:1" x14ac:dyDescent="0.3">
      <c r="A7152" s="1"/>
    </row>
    <row r="7153" spans="1:1" x14ac:dyDescent="0.3">
      <c r="A7153" s="1"/>
    </row>
    <row r="7154" spans="1:1" x14ac:dyDescent="0.3">
      <c r="A7154" s="1"/>
    </row>
    <row r="7155" spans="1:1" x14ac:dyDescent="0.3">
      <c r="A7155" s="1"/>
    </row>
    <row r="7156" spans="1:1" x14ac:dyDescent="0.3">
      <c r="A7156" s="1"/>
    </row>
    <row r="7157" spans="1:1" x14ac:dyDescent="0.3">
      <c r="A7157" s="1"/>
    </row>
    <row r="7158" spans="1:1" x14ac:dyDescent="0.3">
      <c r="A7158" s="1"/>
    </row>
    <row r="7159" spans="1:1" x14ac:dyDescent="0.3">
      <c r="A7159" s="1"/>
    </row>
    <row r="7160" spans="1:1" x14ac:dyDescent="0.3">
      <c r="A7160" s="1"/>
    </row>
    <row r="7161" spans="1:1" x14ac:dyDescent="0.3">
      <c r="A7161" s="1"/>
    </row>
    <row r="7162" spans="1:1" x14ac:dyDescent="0.3">
      <c r="A7162" s="1"/>
    </row>
    <row r="7163" spans="1:1" x14ac:dyDescent="0.3">
      <c r="A7163" s="1"/>
    </row>
    <row r="7164" spans="1:1" x14ac:dyDescent="0.3">
      <c r="A7164" s="1"/>
    </row>
    <row r="7165" spans="1:1" x14ac:dyDescent="0.3">
      <c r="A7165" s="1"/>
    </row>
    <row r="7166" spans="1:1" x14ac:dyDescent="0.3">
      <c r="A7166" s="1"/>
    </row>
    <row r="7167" spans="1:1" x14ac:dyDescent="0.3">
      <c r="A7167" s="1"/>
    </row>
    <row r="7168" spans="1:1" x14ac:dyDescent="0.3">
      <c r="A7168" s="1"/>
    </row>
    <row r="7169" spans="1:1" x14ac:dyDescent="0.3">
      <c r="A7169" s="1"/>
    </row>
    <row r="7170" spans="1:1" x14ac:dyDescent="0.3">
      <c r="A7170" s="1"/>
    </row>
    <row r="7171" spans="1:1" x14ac:dyDescent="0.3">
      <c r="A7171" s="1"/>
    </row>
    <row r="7172" spans="1:1" x14ac:dyDescent="0.3">
      <c r="A7172" s="1"/>
    </row>
    <row r="7173" spans="1:1" x14ac:dyDescent="0.3">
      <c r="A7173" s="1"/>
    </row>
    <row r="7174" spans="1:1" x14ac:dyDescent="0.3">
      <c r="A7174" s="1"/>
    </row>
    <row r="7175" spans="1:1" x14ac:dyDescent="0.3">
      <c r="A7175" s="1"/>
    </row>
    <row r="7176" spans="1:1" x14ac:dyDescent="0.3">
      <c r="A7176" s="1"/>
    </row>
    <row r="7177" spans="1:1" x14ac:dyDescent="0.3">
      <c r="A7177" s="1"/>
    </row>
    <row r="7178" spans="1:1" x14ac:dyDescent="0.3">
      <c r="A7178" s="1"/>
    </row>
    <row r="7179" spans="1:1" x14ac:dyDescent="0.3">
      <c r="A7179" s="1"/>
    </row>
    <row r="7180" spans="1:1" x14ac:dyDescent="0.3">
      <c r="A7180" s="1"/>
    </row>
    <row r="7181" spans="1:1" x14ac:dyDescent="0.3">
      <c r="A7181" s="1"/>
    </row>
    <row r="7182" spans="1:1" x14ac:dyDescent="0.3">
      <c r="A7182" s="1"/>
    </row>
    <row r="7183" spans="1:1" x14ac:dyDescent="0.3">
      <c r="A7183" s="1"/>
    </row>
    <row r="7184" spans="1:1" x14ac:dyDescent="0.3">
      <c r="A7184" s="1"/>
    </row>
    <row r="7185" spans="1:1" x14ac:dyDescent="0.3">
      <c r="A7185" s="1"/>
    </row>
    <row r="7186" spans="1:1" x14ac:dyDescent="0.3">
      <c r="A7186" s="1"/>
    </row>
    <row r="7187" spans="1:1" x14ac:dyDescent="0.3">
      <c r="A7187" s="1"/>
    </row>
    <row r="7188" spans="1:1" x14ac:dyDescent="0.3">
      <c r="A7188" s="1"/>
    </row>
    <row r="7189" spans="1:1" x14ac:dyDescent="0.3">
      <c r="A7189" s="1"/>
    </row>
    <row r="7190" spans="1:1" x14ac:dyDescent="0.3">
      <c r="A7190" s="1"/>
    </row>
    <row r="7191" spans="1:1" x14ac:dyDescent="0.3">
      <c r="A7191" s="1"/>
    </row>
    <row r="7192" spans="1:1" x14ac:dyDescent="0.3">
      <c r="A7192" s="1"/>
    </row>
    <row r="7193" spans="1:1" x14ac:dyDescent="0.3">
      <c r="A7193" s="1"/>
    </row>
    <row r="7194" spans="1:1" x14ac:dyDescent="0.3">
      <c r="A7194" s="1"/>
    </row>
    <row r="7195" spans="1:1" x14ac:dyDescent="0.3">
      <c r="A7195" s="1"/>
    </row>
    <row r="7196" spans="1:1" x14ac:dyDescent="0.3">
      <c r="A7196" s="1"/>
    </row>
    <row r="7197" spans="1:1" x14ac:dyDescent="0.3">
      <c r="A7197" s="1"/>
    </row>
    <row r="7198" spans="1:1" x14ac:dyDescent="0.3">
      <c r="A7198" s="1"/>
    </row>
    <row r="7199" spans="1:1" x14ac:dyDescent="0.3">
      <c r="A7199" s="1"/>
    </row>
    <row r="7200" spans="1:1" x14ac:dyDescent="0.3">
      <c r="A7200" s="1"/>
    </row>
    <row r="7201" spans="1:1" x14ac:dyDescent="0.3">
      <c r="A7201" s="1"/>
    </row>
    <row r="7202" spans="1:1" x14ac:dyDescent="0.3">
      <c r="A7202" s="1"/>
    </row>
    <row r="7203" spans="1:1" x14ac:dyDescent="0.3">
      <c r="A7203" s="1"/>
    </row>
    <row r="7205" spans="1:1" x14ac:dyDescent="0.3">
      <c r="A7205" s="1"/>
    </row>
    <row r="7207" spans="1:1" x14ac:dyDescent="0.3">
      <c r="A7207" s="1"/>
    </row>
    <row r="7209" spans="1:1" x14ac:dyDescent="0.3">
      <c r="A7209" s="1"/>
    </row>
    <row r="7210" spans="1:1" x14ac:dyDescent="0.3">
      <c r="A7210" s="1"/>
    </row>
    <row r="7211" spans="1:1" x14ac:dyDescent="0.3">
      <c r="A7211" s="1"/>
    </row>
    <row r="7212" spans="1:1" x14ac:dyDescent="0.3">
      <c r="A7212" s="1"/>
    </row>
    <row r="7213" spans="1:1" x14ac:dyDescent="0.3">
      <c r="A7213" s="1"/>
    </row>
    <row r="7214" spans="1:1" x14ac:dyDescent="0.3">
      <c r="A7214" s="1"/>
    </row>
    <row r="7215" spans="1:1" x14ac:dyDescent="0.3">
      <c r="A7215" s="1"/>
    </row>
    <row r="7216" spans="1:1" x14ac:dyDescent="0.3">
      <c r="A7216" s="1"/>
    </row>
    <row r="7217" spans="1:1" x14ac:dyDescent="0.3">
      <c r="A7217" s="1"/>
    </row>
    <row r="7218" spans="1:1" x14ac:dyDescent="0.3">
      <c r="A7218" s="1"/>
    </row>
    <row r="7219" spans="1:1" x14ac:dyDescent="0.3">
      <c r="A7219" s="1"/>
    </row>
    <row r="7220" spans="1:1" x14ac:dyDescent="0.3">
      <c r="A7220" s="1"/>
    </row>
    <row r="7222" spans="1:1" x14ac:dyDescent="0.3">
      <c r="A7222" s="1"/>
    </row>
    <row r="7224" spans="1:1" x14ac:dyDescent="0.3">
      <c r="A7224" s="1"/>
    </row>
    <row r="7226" spans="1:1" x14ac:dyDescent="0.3">
      <c r="A7226" s="1"/>
    </row>
    <row r="7227" spans="1:1" x14ac:dyDescent="0.3">
      <c r="A7227" s="1"/>
    </row>
    <row r="7228" spans="1:1" x14ac:dyDescent="0.3">
      <c r="A7228" s="1"/>
    </row>
    <row r="7229" spans="1:1" x14ac:dyDescent="0.3">
      <c r="A7229" s="1"/>
    </row>
    <row r="7230" spans="1:1" x14ac:dyDescent="0.3">
      <c r="A7230" s="1"/>
    </row>
    <row r="7231" spans="1:1" x14ac:dyDescent="0.3">
      <c r="A7231" s="1"/>
    </row>
    <row r="7232" spans="1:1" x14ac:dyDescent="0.3">
      <c r="A7232" s="1"/>
    </row>
    <row r="7233" spans="1:1" x14ac:dyDescent="0.3">
      <c r="A7233" s="1"/>
    </row>
    <row r="7234" spans="1:1" x14ac:dyDescent="0.3">
      <c r="A7234" s="1"/>
    </row>
    <row r="7235" spans="1:1" x14ac:dyDescent="0.3">
      <c r="A7235" s="1"/>
    </row>
    <row r="7236" spans="1:1" x14ac:dyDescent="0.3">
      <c r="A7236" s="1"/>
    </row>
    <row r="7237" spans="1:1" x14ac:dyDescent="0.3">
      <c r="A7237" s="1"/>
    </row>
    <row r="7238" spans="1:1" x14ac:dyDescent="0.3">
      <c r="A7238" s="1"/>
    </row>
    <row r="7239" spans="1:1" x14ac:dyDescent="0.3">
      <c r="A7239" s="1"/>
    </row>
    <row r="7240" spans="1:1" x14ac:dyDescent="0.3">
      <c r="A7240" s="1"/>
    </row>
    <row r="7241" spans="1:1" x14ac:dyDescent="0.3">
      <c r="A7241" s="1"/>
    </row>
    <row r="7243" spans="1:1" x14ac:dyDescent="0.3">
      <c r="A7243" s="1"/>
    </row>
    <row r="7244" spans="1:1" x14ac:dyDescent="0.3">
      <c r="A7244" s="1"/>
    </row>
    <row r="7245" spans="1:1" x14ac:dyDescent="0.3">
      <c r="A7245" s="1"/>
    </row>
    <row r="7246" spans="1:1" x14ac:dyDescent="0.3">
      <c r="A7246" s="1"/>
    </row>
    <row r="7247" spans="1:1" x14ac:dyDescent="0.3">
      <c r="A7247" s="1"/>
    </row>
    <row r="7248" spans="1:1" x14ac:dyDescent="0.3">
      <c r="A7248" s="1"/>
    </row>
    <row r="7249" spans="1:1" x14ac:dyDescent="0.3">
      <c r="A7249" s="1"/>
    </row>
    <row r="7250" spans="1:1" x14ac:dyDescent="0.3">
      <c r="A7250" s="1"/>
    </row>
    <row r="7251" spans="1:1" x14ac:dyDescent="0.3">
      <c r="A7251" s="1"/>
    </row>
    <row r="7252" spans="1:1" x14ac:dyDescent="0.3">
      <c r="A7252" s="1"/>
    </row>
    <row r="7253" spans="1:1" x14ac:dyDescent="0.3">
      <c r="A7253" s="1"/>
    </row>
    <row r="7254" spans="1:1" x14ac:dyDescent="0.3">
      <c r="A7254" s="1"/>
    </row>
    <row r="7255" spans="1:1" x14ac:dyDescent="0.3">
      <c r="A7255" s="1"/>
    </row>
    <row r="7256" spans="1:1" x14ac:dyDescent="0.3">
      <c r="A7256" s="1"/>
    </row>
    <row r="7257" spans="1:1" x14ac:dyDescent="0.3">
      <c r="A7257" s="1"/>
    </row>
    <row r="7258" spans="1:1" x14ac:dyDescent="0.3">
      <c r="A7258" s="1"/>
    </row>
    <row r="7259" spans="1:1" x14ac:dyDescent="0.3">
      <c r="A7259" s="1"/>
    </row>
    <row r="7260" spans="1:1" x14ac:dyDescent="0.3">
      <c r="A7260" s="1"/>
    </row>
    <row r="7262" spans="1:1" x14ac:dyDescent="0.3">
      <c r="A7262" s="1"/>
    </row>
    <row r="7263" spans="1:1" x14ac:dyDescent="0.3">
      <c r="A7263" s="1"/>
    </row>
    <row r="7264" spans="1:1" x14ac:dyDescent="0.3">
      <c r="A7264" s="1"/>
    </row>
    <row r="7265" spans="1:1" x14ac:dyDescent="0.3">
      <c r="A7265" s="1"/>
    </row>
    <row r="7266" spans="1:1" x14ac:dyDescent="0.3">
      <c r="A7266" s="1"/>
    </row>
    <row r="7267" spans="1:1" x14ac:dyDescent="0.3">
      <c r="A7267" s="1"/>
    </row>
    <row r="7268" spans="1:1" x14ac:dyDescent="0.3">
      <c r="A7268" s="1"/>
    </row>
    <row r="7269" spans="1:1" x14ac:dyDescent="0.3">
      <c r="A7269" s="1"/>
    </row>
    <row r="7270" spans="1:1" x14ac:dyDescent="0.3">
      <c r="A7270" s="1"/>
    </row>
    <row r="7271" spans="1:1" x14ac:dyDescent="0.3">
      <c r="A7271" s="1"/>
    </row>
    <row r="7272" spans="1:1" x14ac:dyDescent="0.3">
      <c r="A7272" s="1"/>
    </row>
    <row r="7273" spans="1:1" x14ac:dyDescent="0.3">
      <c r="A7273" s="1"/>
    </row>
    <row r="7274" spans="1:1" x14ac:dyDescent="0.3">
      <c r="A7274" s="1"/>
    </row>
    <row r="7275" spans="1:1" x14ac:dyDescent="0.3">
      <c r="A7275" s="1"/>
    </row>
    <row r="7276" spans="1:1" x14ac:dyDescent="0.3">
      <c r="A7276" s="1"/>
    </row>
    <row r="7277" spans="1:1" x14ac:dyDescent="0.3">
      <c r="A7277" s="1"/>
    </row>
    <row r="7278" spans="1:1" x14ac:dyDescent="0.3">
      <c r="A7278" s="1"/>
    </row>
    <row r="7279" spans="1:1" x14ac:dyDescent="0.3">
      <c r="A7279" s="1"/>
    </row>
    <row r="7280" spans="1:1" x14ac:dyDescent="0.3">
      <c r="A7280" s="1"/>
    </row>
    <row r="7281" spans="1:1" x14ac:dyDescent="0.3">
      <c r="A7281" s="1"/>
    </row>
    <row r="7282" spans="1:1" x14ac:dyDescent="0.3">
      <c r="A7282" s="1"/>
    </row>
    <row r="7283" spans="1:1" x14ac:dyDescent="0.3">
      <c r="A7283" s="1"/>
    </row>
    <row r="7284" spans="1:1" x14ac:dyDescent="0.3">
      <c r="A7284" s="1"/>
    </row>
    <row r="7285" spans="1:1" x14ac:dyDescent="0.3">
      <c r="A7285" s="1"/>
    </row>
    <row r="7286" spans="1:1" x14ac:dyDescent="0.3">
      <c r="A7286" s="1"/>
    </row>
    <row r="7287" spans="1:1" x14ac:dyDescent="0.3">
      <c r="A7287" s="1"/>
    </row>
    <row r="7288" spans="1:1" x14ac:dyDescent="0.3">
      <c r="A7288" s="1"/>
    </row>
    <row r="7289" spans="1:1" x14ac:dyDescent="0.3">
      <c r="A7289" s="1"/>
    </row>
    <row r="7290" spans="1:1" x14ac:dyDescent="0.3">
      <c r="A7290" s="1"/>
    </row>
    <row r="7291" spans="1:1" x14ac:dyDescent="0.3">
      <c r="A7291" s="1"/>
    </row>
    <row r="7292" spans="1:1" x14ac:dyDescent="0.3">
      <c r="A7292" s="1"/>
    </row>
    <row r="7293" spans="1:1" x14ac:dyDescent="0.3">
      <c r="A7293" s="1"/>
    </row>
    <row r="7294" spans="1:1" x14ac:dyDescent="0.3">
      <c r="A7294" s="1"/>
    </row>
    <row r="7295" spans="1:1" x14ac:dyDescent="0.3">
      <c r="A7295" s="1"/>
    </row>
    <row r="7296" spans="1:1" x14ac:dyDescent="0.3">
      <c r="A7296" s="1"/>
    </row>
    <row r="7297" spans="1:1" x14ac:dyDescent="0.3">
      <c r="A7297" s="1"/>
    </row>
    <row r="7298" spans="1:1" x14ac:dyDescent="0.3">
      <c r="A7298" s="1"/>
    </row>
    <row r="7299" spans="1:1" x14ac:dyDescent="0.3">
      <c r="A7299" s="1"/>
    </row>
    <row r="7300" spans="1:1" x14ac:dyDescent="0.3">
      <c r="A7300" s="1"/>
    </row>
    <row r="7302" spans="1:1" x14ac:dyDescent="0.3">
      <c r="A7302" s="1"/>
    </row>
    <row r="7304" spans="1:1" x14ac:dyDescent="0.3">
      <c r="A7304" s="1"/>
    </row>
    <row r="7305" spans="1:1" x14ac:dyDescent="0.3">
      <c r="A7305" s="1"/>
    </row>
    <row r="7306" spans="1:1" x14ac:dyDescent="0.3">
      <c r="A7306" s="1"/>
    </row>
    <row r="7307" spans="1:1" x14ac:dyDescent="0.3">
      <c r="A7307" s="1"/>
    </row>
    <row r="7308" spans="1:1" x14ac:dyDescent="0.3">
      <c r="A7308" s="1"/>
    </row>
    <row r="7309" spans="1:1" x14ac:dyDescent="0.3">
      <c r="A7309" s="1"/>
    </row>
    <row r="7310" spans="1:1" x14ac:dyDescent="0.3">
      <c r="A7310" s="1"/>
    </row>
    <row r="7311" spans="1:1" x14ac:dyDescent="0.3">
      <c r="A7311" s="1"/>
    </row>
    <row r="7312" spans="1:1" x14ac:dyDescent="0.3">
      <c r="A7312" s="1"/>
    </row>
    <row r="7313" spans="1:1" x14ac:dyDescent="0.3">
      <c r="A7313" s="1"/>
    </row>
    <row r="7314" spans="1:1" x14ac:dyDescent="0.3">
      <c r="A7314" s="1"/>
    </row>
    <row r="7315" spans="1:1" x14ac:dyDescent="0.3">
      <c r="A7315" s="1"/>
    </row>
    <row r="7316" spans="1:1" x14ac:dyDescent="0.3">
      <c r="A7316" s="1"/>
    </row>
    <row r="7317" spans="1:1" x14ac:dyDescent="0.3">
      <c r="A7317" s="1"/>
    </row>
    <row r="7318" spans="1:1" x14ac:dyDescent="0.3">
      <c r="A7318" s="1"/>
    </row>
    <row r="7319" spans="1:1" x14ac:dyDescent="0.3">
      <c r="A7319" s="1"/>
    </row>
    <row r="7321" spans="1:1" x14ac:dyDescent="0.3">
      <c r="A7321" s="1"/>
    </row>
    <row r="7323" spans="1:1" x14ac:dyDescent="0.3">
      <c r="A7323" s="1"/>
    </row>
    <row r="7324" spans="1:1" x14ac:dyDescent="0.3">
      <c r="A7324" s="1"/>
    </row>
    <row r="7325" spans="1:1" x14ac:dyDescent="0.3">
      <c r="A7325" s="1"/>
    </row>
    <row r="7326" spans="1:1" x14ac:dyDescent="0.3">
      <c r="A7326" s="1"/>
    </row>
    <row r="7327" spans="1:1" x14ac:dyDescent="0.3">
      <c r="A7327" s="1"/>
    </row>
    <row r="7328" spans="1:1" x14ac:dyDescent="0.3">
      <c r="A7328" s="1"/>
    </row>
    <row r="7329" spans="1:1" x14ac:dyDescent="0.3">
      <c r="A7329" s="1"/>
    </row>
    <row r="7330" spans="1:1" x14ac:dyDescent="0.3">
      <c r="A7330" s="1"/>
    </row>
    <row r="7331" spans="1:1" x14ac:dyDescent="0.3">
      <c r="A7331" s="1"/>
    </row>
    <row r="7332" spans="1:1" x14ac:dyDescent="0.3">
      <c r="A7332" s="1"/>
    </row>
    <row r="7333" spans="1:1" x14ac:dyDescent="0.3">
      <c r="A7333" s="1"/>
    </row>
    <row r="7334" spans="1:1" x14ac:dyDescent="0.3">
      <c r="A7334" s="1"/>
    </row>
    <row r="7336" spans="1:1" x14ac:dyDescent="0.3">
      <c r="A7336" s="1"/>
    </row>
    <row r="7338" spans="1:1" x14ac:dyDescent="0.3">
      <c r="A7338" s="1"/>
    </row>
    <row r="7340" spans="1:1" x14ac:dyDescent="0.3">
      <c r="A7340" s="1"/>
    </row>
    <row r="7342" spans="1:1" x14ac:dyDescent="0.3">
      <c r="A7342" s="1"/>
    </row>
    <row r="7344" spans="1:1" x14ac:dyDescent="0.3">
      <c r="A7344" s="1"/>
    </row>
    <row r="7346" spans="1:1" x14ac:dyDescent="0.3">
      <c r="A7346" s="1"/>
    </row>
    <row r="7348" spans="1:1" x14ac:dyDescent="0.3">
      <c r="A7348" s="1"/>
    </row>
    <row r="7349" spans="1:1" x14ac:dyDescent="0.3">
      <c r="A7349" s="1"/>
    </row>
    <row r="7350" spans="1:1" x14ac:dyDescent="0.3">
      <c r="A7350" s="1"/>
    </row>
    <row r="7351" spans="1:1" x14ac:dyDescent="0.3">
      <c r="A7351" s="1"/>
    </row>
    <row r="7352" spans="1:1" x14ac:dyDescent="0.3">
      <c r="A7352" s="1"/>
    </row>
    <row r="7353" spans="1:1" x14ac:dyDescent="0.3">
      <c r="A7353" s="1"/>
    </row>
    <row r="7354" spans="1:1" x14ac:dyDescent="0.3">
      <c r="A7354" s="1"/>
    </row>
    <row r="7355" spans="1:1" x14ac:dyDescent="0.3">
      <c r="A7355" s="1"/>
    </row>
    <row r="7356" spans="1:1" x14ac:dyDescent="0.3">
      <c r="A7356" s="1"/>
    </row>
    <row r="7357" spans="1:1" x14ac:dyDescent="0.3">
      <c r="A7357" s="1"/>
    </row>
    <row r="7358" spans="1:1" x14ac:dyDescent="0.3">
      <c r="A7358" s="1"/>
    </row>
    <row r="7359" spans="1:1" x14ac:dyDescent="0.3">
      <c r="A7359" s="1"/>
    </row>
    <row r="7360" spans="1:1" x14ac:dyDescent="0.3">
      <c r="A7360" s="1"/>
    </row>
    <row r="7361" spans="1:1" x14ac:dyDescent="0.3">
      <c r="A7361" s="1"/>
    </row>
    <row r="7363" spans="1:1" x14ac:dyDescent="0.3">
      <c r="A7363" s="1"/>
    </row>
    <row r="7364" spans="1:1" x14ac:dyDescent="0.3">
      <c r="A7364" s="1"/>
    </row>
    <row r="7365" spans="1:1" x14ac:dyDescent="0.3">
      <c r="A7365" s="1"/>
    </row>
    <row r="7366" spans="1:1" x14ac:dyDescent="0.3">
      <c r="A7366" s="1"/>
    </row>
    <row r="7367" spans="1:1" x14ac:dyDescent="0.3">
      <c r="A7367" s="1"/>
    </row>
    <row r="7368" spans="1:1" x14ac:dyDescent="0.3">
      <c r="A7368" s="1"/>
    </row>
    <row r="7369" spans="1:1" x14ac:dyDescent="0.3">
      <c r="A7369" s="1"/>
    </row>
    <row r="7370" spans="1:1" x14ac:dyDescent="0.3">
      <c r="A7370" s="1"/>
    </row>
    <row r="7371" spans="1:1" x14ac:dyDescent="0.3">
      <c r="A7371" s="1"/>
    </row>
    <row r="7372" spans="1:1" x14ac:dyDescent="0.3">
      <c r="A7372" s="1"/>
    </row>
    <row r="7373" spans="1:1" x14ac:dyDescent="0.3">
      <c r="A7373" s="1"/>
    </row>
    <row r="7375" spans="1:1" x14ac:dyDescent="0.3">
      <c r="A7375" s="1"/>
    </row>
    <row r="7376" spans="1:1" x14ac:dyDescent="0.3">
      <c r="A7376" s="1"/>
    </row>
    <row r="7377" spans="1:1" x14ac:dyDescent="0.3">
      <c r="A7377" s="1"/>
    </row>
    <row r="7378" spans="1:1" x14ac:dyDescent="0.3">
      <c r="A7378" s="1"/>
    </row>
    <row r="7379" spans="1:1" x14ac:dyDescent="0.3">
      <c r="A7379" s="1"/>
    </row>
    <row r="7380" spans="1:1" x14ac:dyDescent="0.3">
      <c r="A7380" s="1"/>
    </row>
    <row r="7381" spans="1:1" x14ac:dyDescent="0.3">
      <c r="A7381" s="1"/>
    </row>
    <row r="7382" spans="1:1" x14ac:dyDescent="0.3">
      <c r="A7382" s="1"/>
    </row>
    <row r="7383" spans="1:1" x14ac:dyDescent="0.3">
      <c r="A7383" s="1"/>
    </row>
    <row r="7384" spans="1:1" x14ac:dyDescent="0.3">
      <c r="A7384" s="1"/>
    </row>
    <row r="7385" spans="1:1" x14ac:dyDescent="0.3">
      <c r="A7385" s="1"/>
    </row>
    <row r="7386" spans="1:1" x14ac:dyDescent="0.3">
      <c r="A7386" s="1"/>
    </row>
    <row r="7387" spans="1:1" x14ac:dyDescent="0.3">
      <c r="A7387" s="1"/>
    </row>
    <row r="7388" spans="1:1" x14ac:dyDescent="0.3">
      <c r="A7388" s="1"/>
    </row>
    <row r="7389" spans="1:1" x14ac:dyDescent="0.3">
      <c r="A7389" s="1"/>
    </row>
    <row r="7390" spans="1:1" x14ac:dyDescent="0.3">
      <c r="A7390" s="1"/>
    </row>
    <row r="7391" spans="1:1" x14ac:dyDescent="0.3">
      <c r="A7391" s="1"/>
    </row>
    <row r="7392" spans="1:1" x14ac:dyDescent="0.3">
      <c r="A7392" s="1"/>
    </row>
    <row r="7393" spans="1:1" x14ac:dyDescent="0.3">
      <c r="A7393" s="1"/>
    </row>
    <row r="7394" spans="1:1" x14ac:dyDescent="0.3">
      <c r="A7394" s="1"/>
    </row>
    <row r="7395" spans="1:1" x14ac:dyDescent="0.3">
      <c r="A7395" s="1"/>
    </row>
    <row r="7396" spans="1:1" x14ac:dyDescent="0.3">
      <c r="A7396" s="1"/>
    </row>
    <row r="7397" spans="1:1" x14ac:dyDescent="0.3">
      <c r="A7397" s="1"/>
    </row>
    <row r="7399" spans="1:1" x14ac:dyDescent="0.3">
      <c r="A7399" s="1"/>
    </row>
    <row r="7400" spans="1:1" x14ac:dyDescent="0.3">
      <c r="A7400" s="1"/>
    </row>
    <row r="7401" spans="1:1" x14ac:dyDescent="0.3">
      <c r="A7401" s="1"/>
    </row>
    <row r="7402" spans="1:1" x14ac:dyDescent="0.3">
      <c r="A7402" s="1"/>
    </row>
    <row r="7403" spans="1:1" x14ac:dyDescent="0.3">
      <c r="A7403" s="1"/>
    </row>
    <row r="7404" spans="1:1" x14ac:dyDescent="0.3">
      <c r="A7404" s="1"/>
    </row>
    <row r="7405" spans="1:1" x14ac:dyDescent="0.3">
      <c r="A7405" s="1"/>
    </row>
    <row r="7406" spans="1:1" x14ac:dyDescent="0.3">
      <c r="A7406" s="1"/>
    </row>
    <row r="7407" spans="1:1" x14ac:dyDescent="0.3">
      <c r="A7407" s="1"/>
    </row>
    <row r="7408" spans="1:1" x14ac:dyDescent="0.3">
      <c r="A7408" s="1"/>
    </row>
    <row r="7409" spans="1:1" x14ac:dyDescent="0.3">
      <c r="A7409" s="1"/>
    </row>
    <row r="7410" spans="1:1" x14ac:dyDescent="0.3">
      <c r="A7410" s="1"/>
    </row>
    <row r="7411" spans="1:1" x14ac:dyDescent="0.3">
      <c r="A7411" s="1"/>
    </row>
    <row r="7412" spans="1:1" x14ac:dyDescent="0.3">
      <c r="A7412" s="1"/>
    </row>
    <row r="7413" spans="1:1" x14ac:dyDescent="0.3">
      <c r="A7413" s="1"/>
    </row>
    <row r="7414" spans="1:1" x14ac:dyDescent="0.3">
      <c r="A7414" s="1"/>
    </row>
    <row r="7415" spans="1:1" x14ac:dyDescent="0.3">
      <c r="A7415" s="1"/>
    </row>
    <row r="7416" spans="1:1" x14ac:dyDescent="0.3">
      <c r="A7416" s="1"/>
    </row>
    <row r="7417" spans="1:1" x14ac:dyDescent="0.3">
      <c r="A7417" s="1"/>
    </row>
    <row r="7418" spans="1:1" x14ac:dyDescent="0.3">
      <c r="A7418" s="1"/>
    </row>
    <row r="7419" spans="1:1" x14ac:dyDescent="0.3">
      <c r="A7419" s="1"/>
    </row>
    <row r="7420" spans="1:1" x14ac:dyDescent="0.3">
      <c r="A7420" s="1"/>
    </row>
    <row r="7421" spans="1:1" x14ac:dyDescent="0.3">
      <c r="A7421" s="1"/>
    </row>
    <row r="7422" spans="1:1" x14ac:dyDescent="0.3">
      <c r="A7422" s="1"/>
    </row>
    <row r="7423" spans="1:1" x14ac:dyDescent="0.3">
      <c r="A7423" s="1"/>
    </row>
    <row r="7424" spans="1:1" x14ac:dyDescent="0.3">
      <c r="A7424" s="1"/>
    </row>
    <row r="7425" spans="1:1" x14ac:dyDescent="0.3">
      <c r="A7425" s="1"/>
    </row>
    <row r="7426" spans="1:1" x14ac:dyDescent="0.3">
      <c r="A7426" s="1"/>
    </row>
    <row r="7427" spans="1:1" x14ac:dyDescent="0.3">
      <c r="A7427" s="1"/>
    </row>
    <row r="7428" spans="1:1" x14ac:dyDescent="0.3">
      <c r="A7428" s="1"/>
    </row>
    <row r="7429" spans="1:1" x14ac:dyDescent="0.3">
      <c r="A7429" s="1"/>
    </row>
    <row r="7430" spans="1:1" x14ac:dyDescent="0.3">
      <c r="A7430" s="1"/>
    </row>
    <row r="7431" spans="1:1" x14ac:dyDescent="0.3">
      <c r="A7431" s="1"/>
    </row>
    <row r="7432" spans="1:1" x14ac:dyDescent="0.3">
      <c r="A7432" s="1"/>
    </row>
    <row r="7433" spans="1:1" x14ac:dyDescent="0.3">
      <c r="A7433" s="1"/>
    </row>
    <row r="7434" spans="1:1" x14ac:dyDescent="0.3">
      <c r="A7434" s="1"/>
    </row>
    <row r="7435" spans="1:1" x14ac:dyDescent="0.3">
      <c r="A7435" s="1"/>
    </row>
    <row r="7436" spans="1:1" x14ac:dyDescent="0.3">
      <c r="A7436" s="1"/>
    </row>
    <row r="7437" spans="1:1" x14ac:dyDescent="0.3">
      <c r="A7437" s="1"/>
    </row>
    <row r="7438" spans="1:1" x14ac:dyDescent="0.3">
      <c r="A7438" s="1"/>
    </row>
    <row r="7439" spans="1:1" x14ac:dyDescent="0.3">
      <c r="A7439" s="1"/>
    </row>
    <row r="7440" spans="1:1" x14ac:dyDescent="0.3">
      <c r="A7440" s="1"/>
    </row>
    <row r="7441" spans="1:1" x14ac:dyDescent="0.3">
      <c r="A7441" s="1"/>
    </row>
    <row r="7442" spans="1:1" x14ac:dyDescent="0.3">
      <c r="A7442" s="1"/>
    </row>
    <row r="7443" spans="1:1" x14ac:dyDescent="0.3">
      <c r="A7443" s="1"/>
    </row>
    <row r="7444" spans="1:1" x14ac:dyDescent="0.3">
      <c r="A7444" s="1"/>
    </row>
    <row r="7445" spans="1:1" x14ac:dyDescent="0.3">
      <c r="A7445" s="1"/>
    </row>
    <row r="7446" spans="1:1" x14ac:dyDescent="0.3">
      <c r="A7446" s="1"/>
    </row>
    <row r="7447" spans="1:1" x14ac:dyDescent="0.3">
      <c r="A7447" s="1"/>
    </row>
    <row r="7448" spans="1:1" x14ac:dyDescent="0.3">
      <c r="A7448" s="1"/>
    </row>
    <row r="7449" spans="1:1" x14ac:dyDescent="0.3">
      <c r="A7449" s="1"/>
    </row>
    <row r="7450" spans="1:1" x14ac:dyDescent="0.3">
      <c r="A7450" s="1"/>
    </row>
    <row r="7451" spans="1:1" x14ac:dyDescent="0.3">
      <c r="A7451" s="1"/>
    </row>
    <row r="7452" spans="1:1" x14ac:dyDescent="0.3">
      <c r="A7452" s="1"/>
    </row>
    <row r="7453" spans="1:1" x14ac:dyDescent="0.3">
      <c r="A7453" s="1"/>
    </row>
    <row r="7454" spans="1:1" x14ac:dyDescent="0.3">
      <c r="A7454" s="1"/>
    </row>
    <row r="7456" spans="1:1" x14ac:dyDescent="0.3">
      <c r="A7456" s="1"/>
    </row>
    <row r="7458" spans="1:1" x14ac:dyDescent="0.3">
      <c r="A7458" s="1"/>
    </row>
    <row r="7459" spans="1:1" x14ac:dyDescent="0.3">
      <c r="A7459" s="1"/>
    </row>
    <row r="7460" spans="1:1" x14ac:dyDescent="0.3">
      <c r="A7460" s="1"/>
    </row>
    <row r="7461" spans="1:1" x14ac:dyDescent="0.3">
      <c r="A7461" s="1"/>
    </row>
    <row r="7462" spans="1:1" x14ac:dyDescent="0.3">
      <c r="A7462" s="1"/>
    </row>
    <row r="7463" spans="1:1" x14ac:dyDescent="0.3">
      <c r="A7463" s="1"/>
    </row>
    <row r="7464" spans="1:1" x14ac:dyDescent="0.3">
      <c r="A7464" s="1"/>
    </row>
    <row r="7465" spans="1:1" x14ac:dyDescent="0.3">
      <c r="A7465" s="1"/>
    </row>
    <row r="7466" spans="1:1" x14ac:dyDescent="0.3">
      <c r="A7466" s="1"/>
    </row>
    <row r="7467" spans="1:1" x14ac:dyDescent="0.3">
      <c r="A7467" s="1"/>
    </row>
    <row r="7468" spans="1:1" x14ac:dyDescent="0.3">
      <c r="A7468" s="1"/>
    </row>
    <row r="7469" spans="1:1" x14ac:dyDescent="0.3">
      <c r="A7469" s="1"/>
    </row>
    <row r="7470" spans="1:1" x14ac:dyDescent="0.3">
      <c r="A7470" s="1"/>
    </row>
    <row r="7471" spans="1:1" x14ac:dyDescent="0.3">
      <c r="A7471" s="1"/>
    </row>
    <row r="7472" spans="1:1" x14ac:dyDescent="0.3">
      <c r="A7472" s="1"/>
    </row>
    <row r="7473" spans="1:1" x14ac:dyDescent="0.3">
      <c r="A7473" s="1"/>
    </row>
    <row r="7474" spans="1:1" x14ac:dyDescent="0.3">
      <c r="A7474" s="1"/>
    </row>
    <row r="7475" spans="1:1" x14ac:dyDescent="0.3">
      <c r="A7475" s="1"/>
    </row>
    <row r="7476" spans="1:1" x14ac:dyDescent="0.3">
      <c r="A7476" s="1"/>
    </row>
    <row r="7477" spans="1:1" x14ac:dyDescent="0.3">
      <c r="A7477" s="1"/>
    </row>
    <row r="7478" spans="1:1" x14ac:dyDescent="0.3">
      <c r="A7478" s="1"/>
    </row>
    <row r="7479" spans="1:1" x14ac:dyDescent="0.3">
      <c r="A7479" s="1"/>
    </row>
    <row r="7480" spans="1:1" x14ac:dyDescent="0.3">
      <c r="A7480" s="1"/>
    </row>
    <row r="7481" spans="1:1" x14ac:dyDescent="0.3">
      <c r="A7481" s="1"/>
    </row>
    <row r="7482" spans="1:1" x14ac:dyDescent="0.3">
      <c r="A7482" s="1"/>
    </row>
    <row r="7483" spans="1:1" x14ac:dyDescent="0.3">
      <c r="A7483" s="1"/>
    </row>
    <row r="7484" spans="1:1" x14ac:dyDescent="0.3">
      <c r="A7484" s="1"/>
    </row>
    <row r="7485" spans="1:1" x14ac:dyDescent="0.3">
      <c r="A7485" s="1"/>
    </row>
    <row r="7486" spans="1:1" x14ac:dyDescent="0.3">
      <c r="A7486" s="1"/>
    </row>
    <row r="7488" spans="1:1" x14ac:dyDescent="0.3">
      <c r="A7488" s="1"/>
    </row>
    <row r="7490" spans="1:1" x14ac:dyDescent="0.3">
      <c r="A7490" s="1"/>
    </row>
    <row r="7492" spans="1:1" x14ac:dyDescent="0.3">
      <c r="A7492" s="1"/>
    </row>
    <row r="7494" spans="1:1" x14ac:dyDescent="0.3">
      <c r="A7494" s="1"/>
    </row>
    <row r="7496" spans="1:1" x14ac:dyDescent="0.3">
      <c r="A7496" s="1"/>
    </row>
    <row r="7498" spans="1:1" x14ac:dyDescent="0.3">
      <c r="A7498" s="1"/>
    </row>
    <row r="7500" spans="1:1" x14ac:dyDescent="0.3">
      <c r="A7500" s="1"/>
    </row>
    <row r="7501" spans="1:1" x14ac:dyDescent="0.3">
      <c r="A7501" s="1"/>
    </row>
    <row r="7502" spans="1:1" x14ac:dyDescent="0.3">
      <c r="A7502" s="1"/>
    </row>
    <row r="7503" spans="1:1" x14ac:dyDescent="0.3">
      <c r="A7503" s="1"/>
    </row>
    <row r="7504" spans="1:1" x14ac:dyDescent="0.3">
      <c r="A7504" s="1"/>
    </row>
    <row r="7505" spans="1:1" x14ac:dyDescent="0.3">
      <c r="A7505" s="1"/>
    </row>
    <row r="7506" spans="1:1" x14ac:dyDescent="0.3">
      <c r="A7506" s="1"/>
    </row>
    <row r="7507" spans="1:1" x14ac:dyDescent="0.3">
      <c r="A7507" s="1"/>
    </row>
    <row r="7508" spans="1:1" x14ac:dyDescent="0.3">
      <c r="A7508" s="1"/>
    </row>
    <row r="7509" spans="1:1" x14ac:dyDescent="0.3">
      <c r="A7509" s="1"/>
    </row>
    <row r="7510" spans="1:1" x14ac:dyDescent="0.3">
      <c r="A7510" s="1"/>
    </row>
    <row r="7511" spans="1:1" x14ac:dyDescent="0.3">
      <c r="A7511" s="1"/>
    </row>
    <row r="7513" spans="1:1" x14ac:dyDescent="0.3">
      <c r="A7513" s="1"/>
    </row>
    <row r="7515" spans="1:1" x14ac:dyDescent="0.3">
      <c r="A7515" s="1"/>
    </row>
    <row r="7517" spans="1:1" x14ac:dyDescent="0.3">
      <c r="A7517" s="1"/>
    </row>
    <row r="7518" spans="1:1" x14ac:dyDescent="0.3">
      <c r="A7518" s="1"/>
    </row>
    <row r="7519" spans="1:1" x14ac:dyDescent="0.3">
      <c r="A7519" s="1"/>
    </row>
    <row r="7520" spans="1:1" x14ac:dyDescent="0.3">
      <c r="A7520" s="1"/>
    </row>
    <row r="7521" spans="1:1" x14ac:dyDescent="0.3">
      <c r="A7521" s="1"/>
    </row>
    <row r="7522" spans="1:1" x14ac:dyDescent="0.3">
      <c r="A7522" s="1"/>
    </row>
    <row r="7523" spans="1:1" x14ac:dyDescent="0.3">
      <c r="A7523" s="1"/>
    </row>
    <row r="7524" spans="1:1" x14ac:dyDescent="0.3">
      <c r="A7524" s="1"/>
    </row>
    <row r="7525" spans="1:1" x14ac:dyDescent="0.3">
      <c r="A7525" s="1"/>
    </row>
    <row r="7527" spans="1:1" x14ac:dyDescent="0.3">
      <c r="A7527" s="1"/>
    </row>
    <row r="7528" spans="1:1" x14ac:dyDescent="0.3">
      <c r="A7528" s="1"/>
    </row>
    <row r="7530" spans="1:1" x14ac:dyDescent="0.3">
      <c r="A7530" s="1"/>
    </row>
    <row r="7531" spans="1:1" x14ac:dyDescent="0.3">
      <c r="A7531" s="1"/>
    </row>
    <row r="7532" spans="1:1" x14ac:dyDescent="0.3">
      <c r="A7532" s="1"/>
    </row>
    <row r="7534" spans="1:1" x14ac:dyDescent="0.3">
      <c r="A7534" s="1"/>
    </row>
    <row r="7535" spans="1:1" x14ac:dyDescent="0.3">
      <c r="A7535" s="1"/>
    </row>
    <row r="7536" spans="1:1" x14ac:dyDescent="0.3">
      <c r="A7536" s="1"/>
    </row>
    <row r="7537" spans="1:1" x14ac:dyDescent="0.3">
      <c r="A7537" s="1"/>
    </row>
    <row r="7538" spans="1:1" x14ac:dyDescent="0.3">
      <c r="A7538" s="1"/>
    </row>
    <row r="7539" spans="1:1" x14ac:dyDescent="0.3">
      <c r="A7539" s="1"/>
    </row>
    <row r="7540" spans="1:1" x14ac:dyDescent="0.3">
      <c r="A7540" s="1"/>
    </row>
    <row r="7541" spans="1:1" x14ac:dyDescent="0.3">
      <c r="A7541" s="1"/>
    </row>
    <row r="7542" spans="1:1" x14ac:dyDescent="0.3">
      <c r="A7542" s="1"/>
    </row>
    <row r="7543" spans="1:1" x14ac:dyDescent="0.3">
      <c r="A7543" s="1"/>
    </row>
    <row r="7544" spans="1:1" x14ac:dyDescent="0.3">
      <c r="A7544" s="1"/>
    </row>
    <row r="7545" spans="1:1" x14ac:dyDescent="0.3">
      <c r="A7545" s="1"/>
    </row>
    <row r="7546" spans="1:1" x14ac:dyDescent="0.3">
      <c r="A7546" s="1"/>
    </row>
    <row r="7547" spans="1:1" x14ac:dyDescent="0.3">
      <c r="A7547" s="1"/>
    </row>
    <row r="7549" spans="1:1" x14ac:dyDescent="0.3">
      <c r="A7549" s="1"/>
    </row>
    <row r="7551" spans="1:1" x14ac:dyDescent="0.3">
      <c r="A7551" s="1"/>
    </row>
    <row r="7553" spans="1:1" x14ac:dyDescent="0.3">
      <c r="A7553" s="1"/>
    </row>
    <row r="7554" spans="1:1" x14ac:dyDescent="0.3">
      <c r="A7554" s="1"/>
    </row>
    <row r="7555" spans="1:1" x14ac:dyDescent="0.3">
      <c r="A7555" s="1"/>
    </row>
    <row r="7556" spans="1:1" x14ac:dyDescent="0.3">
      <c r="A7556" s="1"/>
    </row>
    <row r="7557" spans="1:1" x14ac:dyDescent="0.3">
      <c r="A7557" s="1"/>
    </row>
    <row r="7558" spans="1:1" x14ac:dyDescent="0.3">
      <c r="A7558" s="1"/>
    </row>
    <row r="7559" spans="1:1" x14ac:dyDescent="0.3">
      <c r="A7559" s="1"/>
    </row>
    <row r="7560" spans="1:1" x14ac:dyDescent="0.3">
      <c r="A7560" s="1"/>
    </row>
    <row r="7561" spans="1:1" x14ac:dyDescent="0.3">
      <c r="A7561" s="1"/>
    </row>
    <row r="7562" spans="1:1" x14ac:dyDescent="0.3">
      <c r="A7562" s="1"/>
    </row>
    <row r="7564" spans="1:1" x14ac:dyDescent="0.3">
      <c r="A7564" s="1"/>
    </row>
    <row r="7566" spans="1:1" x14ac:dyDescent="0.3">
      <c r="A7566" s="1"/>
    </row>
    <row r="7568" spans="1:1" x14ac:dyDescent="0.3">
      <c r="A7568" s="1"/>
    </row>
    <row r="7570" spans="1:1" x14ac:dyDescent="0.3">
      <c r="A7570" s="1"/>
    </row>
    <row r="7572" spans="1:1" x14ac:dyDescent="0.3">
      <c r="A7572" s="1"/>
    </row>
    <row r="7574" spans="1:1" x14ac:dyDescent="0.3">
      <c r="A7574" s="1"/>
    </row>
    <row r="7576" spans="1:1" x14ac:dyDescent="0.3">
      <c r="A7576" s="1"/>
    </row>
    <row r="7577" spans="1:1" x14ac:dyDescent="0.3">
      <c r="A7577" s="1"/>
    </row>
    <row r="7578" spans="1:1" x14ac:dyDescent="0.3">
      <c r="A7578" s="1"/>
    </row>
    <row r="7579" spans="1:1" x14ac:dyDescent="0.3">
      <c r="A7579" s="1"/>
    </row>
    <row r="7580" spans="1:1" x14ac:dyDescent="0.3">
      <c r="A7580" s="1"/>
    </row>
    <row r="7581" spans="1:1" x14ac:dyDescent="0.3">
      <c r="A7581" s="1"/>
    </row>
    <row r="7582" spans="1:1" x14ac:dyDescent="0.3">
      <c r="A7582" s="1"/>
    </row>
    <row r="7583" spans="1:1" x14ac:dyDescent="0.3">
      <c r="A7583" s="1"/>
    </row>
    <row r="7584" spans="1:1" x14ac:dyDescent="0.3">
      <c r="A7584" s="1"/>
    </row>
    <row r="7585" spans="1:1" x14ac:dyDescent="0.3">
      <c r="A7585" s="1"/>
    </row>
    <row r="7586" spans="1:1" x14ac:dyDescent="0.3">
      <c r="A7586" s="1"/>
    </row>
    <row r="7587" spans="1:1" x14ac:dyDescent="0.3">
      <c r="A7587" s="1"/>
    </row>
    <row r="7589" spans="1:1" x14ac:dyDescent="0.3">
      <c r="A7589" s="1"/>
    </row>
    <row r="7591" spans="1:1" x14ac:dyDescent="0.3">
      <c r="A7591" s="1"/>
    </row>
    <row r="7593" spans="1:1" x14ac:dyDescent="0.3">
      <c r="A7593" s="1"/>
    </row>
    <row r="7594" spans="1:1" x14ac:dyDescent="0.3">
      <c r="A7594" s="1"/>
    </row>
    <row r="7595" spans="1:1" x14ac:dyDescent="0.3">
      <c r="A7595" s="1"/>
    </row>
    <row r="7596" spans="1:1" x14ac:dyDescent="0.3">
      <c r="A7596" s="1"/>
    </row>
    <row r="7597" spans="1:1" x14ac:dyDescent="0.3">
      <c r="A7597" s="1"/>
    </row>
    <row r="7598" spans="1:1" x14ac:dyDescent="0.3">
      <c r="A7598" s="1"/>
    </row>
    <row r="7599" spans="1:1" x14ac:dyDescent="0.3">
      <c r="A7599" s="1"/>
    </row>
    <row r="7600" spans="1:1" x14ac:dyDescent="0.3">
      <c r="A7600" s="1"/>
    </row>
    <row r="7601" spans="1:1" x14ac:dyDescent="0.3">
      <c r="A7601" s="1"/>
    </row>
    <row r="7603" spans="1:1" x14ac:dyDescent="0.3">
      <c r="A7603" s="1"/>
    </row>
    <row r="7604" spans="1:1" x14ac:dyDescent="0.3">
      <c r="A7604" s="1"/>
    </row>
    <row r="7605" spans="1:1" x14ac:dyDescent="0.3">
      <c r="A7605" s="1"/>
    </row>
    <row r="7606" spans="1:1" x14ac:dyDescent="0.3">
      <c r="A7606" s="1"/>
    </row>
    <row r="7607" spans="1:1" x14ac:dyDescent="0.3">
      <c r="A7607" s="1"/>
    </row>
    <row r="7608" spans="1:1" x14ac:dyDescent="0.3">
      <c r="A7608" s="1"/>
    </row>
    <row r="7609" spans="1:1" x14ac:dyDescent="0.3">
      <c r="A7609" s="1"/>
    </row>
    <row r="7610" spans="1:1" x14ac:dyDescent="0.3">
      <c r="A7610" s="1"/>
    </row>
    <row r="7611" spans="1:1" x14ac:dyDescent="0.3">
      <c r="A7611" s="1"/>
    </row>
    <row r="7612" spans="1:1" x14ac:dyDescent="0.3">
      <c r="A7612" s="1"/>
    </row>
    <row r="7613" spans="1:1" x14ac:dyDescent="0.3">
      <c r="A7613" s="1"/>
    </row>
    <row r="7614" spans="1:1" x14ac:dyDescent="0.3">
      <c r="A7614" s="1"/>
    </row>
    <row r="7615" spans="1:1" x14ac:dyDescent="0.3">
      <c r="A7615" s="1"/>
    </row>
    <row r="7616" spans="1:1" x14ac:dyDescent="0.3">
      <c r="A7616" s="1"/>
    </row>
    <row r="7617" spans="1:1" x14ac:dyDescent="0.3">
      <c r="A7617" s="1"/>
    </row>
    <row r="7618" spans="1:1" x14ac:dyDescent="0.3">
      <c r="A7618" s="1"/>
    </row>
    <row r="7619" spans="1:1" x14ac:dyDescent="0.3">
      <c r="A7619" s="1"/>
    </row>
    <row r="7620" spans="1:1" x14ac:dyDescent="0.3">
      <c r="A7620" s="1"/>
    </row>
    <row r="7621" spans="1:1" x14ac:dyDescent="0.3">
      <c r="A7621" s="1"/>
    </row>
    <row r="7622" spans="1:1" x14ac:dyDescent="0.3">
      <c r="A7622" s="1"/>
    </row>
    <row r="7623" spans="1:1" x14ac:dyDescent="0.3">
      <c r="A7623" s="1"/>
    </row>
    <row r="7625" spans="1:1" x14ac:dyDescent="0.3">
      <c r="A7625" s="1"/>
    </row>
    <row r="7627" spans="1:1" x14ac:dyDescent="0.3">
      <c r="A7627" s="1"/>
    </row>
    <row r="7629" spans="1:1" x14ac:dyDescent="0.3">
      <c r="A7629" s="1"/>
    </row>
    <row r="7630" spans="1:1" x14ac:dyDescent="0.3">
      <c r="A7630" s="1"/>
    </row>
    <row r="7631" spans="1:1" x14ac:dyDescent="0.3">
      <c r="A7631" s="1"/>
    </row>
    <row r="7632" spans="1:1" x14ac:dyDescent="0.3">
      <c r="A7632" s="1"/>
    </row>
    <row r="7633" spans="1:1" x14ac:dyDescent="0.3">
      <c r="A7633" s="1"/>
    </row>
    <row r="7634" spans="1:1" x14ac:dyDescent="0.3">
      <c r="A7634" s="1"/>
    </row>
    <row r="7635" spans="1:1" x14ac:dyDescent="0.3">
      <c r="A7635" s="1"/>
    </row>
    <row r="7636" spans="1:1" x14ac:dyDescent="0.3">
      <c r="A7636" s="1"/>
    </row>
    <row r="7637" spans="1:1" x14ac:dyDescent="0.3">
      <c r="A7637" s="1"/>
    </row>
    <row r="7638" spans="1:1" x14ac:dyDescent="0.3">
      <c r="A7638" s="1"/>
    </row>
    <row r="7639" spans="1:1" x14ac:dyDescent="0.3">
      <c r="A7639" s="1"/>
    </row>
    <row r="7640" spans="1:1" x14ac:dyDescent="0.3">
      <c r="A7640" s="1"/>
    </row>
    <row r="7641" spans="1:1" x14ac:dyDescent="0.3">
      <c r="A7641" s="1"/>
    </row>
    <row r="7642" spans="1:1" x14ac:dyDescent="0.3">
      <c r="A7642" s="1"/>
    </row>
    <row r="7644" spans="1:1" x14ac:dyDescent="0.3">
      <c r="A7644" s="1"/>
    </row>
    <row r="7646" spans="1:1" x14ac:dyDescent="0.3">
      <c r="A7646" s="1"/>
    </row>
    <row r="7648" spans="1:1" x14ac:dyDescent="0.3">
      <c r="A7648" s="1"/>
    </row>
    <row r="7650" spans="1:1" x14ac:dyDescent="0.3">
      <c r="A7650" s="1"/>
    </row>
    <row r="7652" spans="1:1" x14ac:dyDescent="0.3">
      <c r="A7652" s="1"/>
    </row>
    <row r="7653" spans="1:1" x14ac:dyDescent="0.3">
      <c r="A7653" s="1"/>
    </row>
    <row r="7654" spans="1:1" x14ac:dyDescent="0.3">
      <c r="A7654" s="1"/>
    </row>
    <row r="7655" spans="1:1" x14ac:dyDescent="0.3">
      <c r="A7655" s="1"/>
    </row>
    <row r="7656" spans="1:1" x14ac:dyDescent="0.3">
      <c r="A7656" s="1"/>
    </row>
    <row r="7657" spans="1:1" x14ac:dyDescent="0.3">
      <c r="A7657" s="1"/>
    </row>
    <row r="7658" spans="1:1" x14ac:dyDescent="0.3">
      <c r="A7658" s="1"/>
    </row>
    <row r="7659" spans="1:1" x14ac:dyDescent="0.3">
      <c r="A7659" s="1"/>
    </row>
    <row r="7660" spans="1:1" x14ac:dyDescent="0.3">
      <c r="A7660" s="1"/>
    </row>
    <row r="7661" spans="1:1" x14ac:dyDescent="0.3">
      <c r="A7661" s="1"/>
    </row>
    <row r="7662" spans="1:1" x14ac:dyDescent="0.3">
      <c r="A7662" s="1"/>
    </row>
    <row r="7663" spans="1:1" x14ac:dyDescent="0.3">
      <c r="A7663" s="1"/>
    </row>
    <row r="7664" spans="1:1" x14ac:dyDescent="0.3">
      <c r="A7664" s="1"/>
    </row>
    <row r="7665" spans="1:1" x14ac:dyDescent="0.3">
      <c r="A7665" s="1"/>
    </row>
    <row r="7666" spans="1:1" x14ac:dyDescent="0.3">
      <c r="A7666" s="1"/>
    </row>
    <row r="7667" spans="1:1" x14ac:dyDescent="0.3">
      <c r="A7667" s="1"/>
    </row>
    <row r="7668" spans="1:1" x14ac:dyDescent="0.3">
      <c r="A7668" s="1"/>
    </row>
    <row r="7669" spans="1:1" x14ac:dyDescent="0.3">
      <c r="A7669" s="1"/>
    </row>
    <row r="7670" spans="1:1" x14ac:dyDescent="0.3">
      <c r="A7670" s="1"/>
    </row>
    <row r="7671" spans="1:1" x14ac:dyDescent="0.3">
      <c r="A7671" s="1"/>
    </row>
    <row r="7673" spans="1:1" x14ac:dyDescent="0.3">
      <c r="A7673" s="1"/>
    </row>
    <row r="7675" spans="1:1" x14ac:dyDescent="0.3">
      <c r="A7675" s="1"/>
    </row>
    <row r="7677" spans="1:1" x14ac:dyDescent="0.3">
      <c r="A7677" s="1"/>
    </row>
    <row r="7678" spans="1:1" x14ac:dyDescent="0.3">
      <c r="A7678" s="1"/>
    </row>
    <row r="7679" spans="1:1" x14ac:dyDescent="0.3">
      <c r="A7679" s="1"/>
    </row>
    <row r="7680" spans="1:1" x14ac:dyDescent="0.3">
      <c r="A7680" s="1"/>
    </row>
    <row r="7681" spans="1:1" x14ac:dyDescent="0.3">
      <c r="A7681" s="1"/>
    </row>
    <row r="7682" spans="1:1" x14ac:dyDescent="0.3">
      <c r="A7682" s="1"/>
    </row>
    <row r="7683" spans="1:1" x14ac:dyDescent="0.3">
      <c r="A7683" s="1"/>
    </row>
    <row r="7684" spans="1:1" x14ac:dyDescent="0.3">
      <c r="A7684" s="1"/>
    </row>
    <row r="7685" spans="1:1" x14ac:dyDescent="0.3">
      <c r="A7685" s="1"/>
    </row>
    <row r="7686" spans="1:1" x14ac:dyDescent="0.3">
      <c r="A7686" s="1"/>
    </row>
    <row r="7687" spans="1:1" x14ac:dyDescent="0.3">
      <c r="A7687" s="1"/>
    </row>
    <row r="7688" spans="1:1" x14ac:dyDescent="0.3">
      <c r="A7688" s="1"/>
    </row>
    <row r="7689" spans="1:1" x14ac:dyDescent="0.3">
      <c r="A7689" s="1"/>
    </row>
    <row r="7690" spans="1:1" x14ac:dyDescent="0.3">
      <c r="A7690" s="1"/>
    </row>
    <row r="7692" spans="1:1" x14ac:dyDescent="0.3">
      <c r="A7692" s="1"/>
    </row>
    <row r="7693" spans="1:1" x14ac:dyDescent="0.3">
      <c r="A7693" s="1"/>
    </row>
    <row r="7694" spans="1:1" x14ac:dyDescent="0.3">
      <c r="A7694" s="1"/>
    </row>
    <row r="7695" spans="1:1" x14ac:dyDescent="0.3">
      <c r="A7695" s="1"/>
    </row>
    <row r="7696" spans="1:1" x14ac:dyDescent="0.3">
      <c r="A7696" s="1"/>
    </row>
    <row r="7697" spans="1:1" x14ac:dyDescent="0.3">
      <c r="A7697" s="1"/>
    </row>
    <row r="7698" spans="1:1" x14ac:dyDescent="0.3">
      <c r="A7698" s="1"/>
    </row>
    <row r="7699" spans="1:1" x14ac:dyDescent="0.3">
      <c r="A7699" s="1"/>
    </row>
    <row r="7700" spans="1:1" x14ac:dyDescent="0.3">
      <c r="A7700" s="1"/>
    </row>
    <row r="7701" spans="1:1" x14ac:dyDescent="0.3">
      <c r="A7701" s="1"/>
    </row>
    <row r="7702" spans="1:1" x14ac:dyDescent="0.3">
      <c r="A7702" s="1"/>
    </row>
    <row r="7703" spans="1:1" x14ac:dyDescent="0.3">
      <c r="A7703" s="1"/>
    </row>
    <row r="7704" spans="1:1" x14ac:dyDescent="0.3">
      <c r="A7704" s="1"/>
    </row>
    <row r="7705" spans="1:1" x14ac:dyDescent="0.3">
      <c r="A7705" s="1"/>
    </row>
    <row r="7706" spans="1:1" x14ac:dyDescent="0.3">
      <c r="A7706" s="1"/>
    </row>
    <row r="7707" spans="1:1" x14ac:dyDescent="0.3">
      <c r="A7707" s="1"/>
    </row>
    <row r="7708" spans="1:1" x14ac:dyDescent="0.3">
      <c r="A7708" s="1"/>
    </row>
    <row r="7709" spans="1:1" x14ac:dyDescent="0.3">
      <c r="A7709" s="1"/>
    </row>
    <row r="7710" spans="1:1" x14ac:dyDescent="0.3">
      <c r="A7710" s="1"/>
    </row>
    <row r="7711" spans="1:1" x14ac:dyDescent="0.3">
      <c r="A7711" s="1"/>
    </row>
    <row r="7712" spans="1:1" x14ac:dyDescent="0.3">
      <c r="A7712" s="1"/>
    </row>
    <row r="7713" spans="1:1" x14ac:dyDescent="0.3">
      <c r="A7713" s="1"/>
    </row>
    <row r="7714" spans="1:1" x14ac:dyDescent="0.3">
      <c r="A7714" s="1"/>
    </row>
    <row r="7715" spans="1:1" x14ac:dyDescent="0.3">
      <c r="A7715" s="1"/>
    </row>
    <row r="7716" spans="1:1" x14ac:dyDescent="0.3">
      <c r="A7716" s="1"/>
    </row>
    <row r="7717" spans="1:1" x14ac:dyDescent="0.3">
      <c r="A7717" s="1"/>
    </row>
    <row r="7718" spans="1:1" x14ac:dyDescent="0.3">
      <c r="A7718" s="1"/>
    </row>
    <row r="7719" spans="1:1" x14ac:dyDescent="0.3">
      <c r="A7719" s="1"/>
    </row>
    <row r="7720" spans="1:1" x14ac:dyDescent="0.3">
      <c r="A7720" s="1"/>
    </row>
    <row r="7721" spans="1:1" x14ac:dyDescent="0.3">
      <c r="A7721" s="1"/>
    </row>
    <row r="7722" spans="1:1" x14ac:dyDescent="0.3">
      <c r="A7722" s="1"/>
    </row>
    <row r="7723" spans="1:1" x14ac:dyDescent="0.3">
      <c r="A7723" s="1"/>
    </row>
    <row r="7724" spans="1:1" x14ac:dyDescent="0.3">
      <c r="A7724" s="1"/>
    </row>
    <row r="7725" spans="1:1" x14ac:dyDescent="0.3">
      <c r="A7725" s="1"/>
    </row>
    <row r="7726" spans="1:1" x14ac:dyDescent="0.3">
      <c r="A7726" s="1"/>
    </row>
    <row r="7727" spans="1:1" x14ac:dyDescent="0.3">
      <c r="A7727" s="1"/>
    </row>
    <row r="7728" spans="1:1" x14ac:dyDescent="0.3">
      <c r="A7728" s="1"/>
    </row>
    <row r="7729" spans="1:1" x14ac:dyDescent="0.3">
      <c r="A7729" s="1"/>
    </row>
    <row r="7730" spans="1:1" x14ac:dyDescent="0.3">
      <c r="A7730" s="1"/>
    </row>
    <row r="7731" spans="1:1" x14ac:dyDescent="0.3">
      <c r="A7731" s="1"/>
    </row>
    <row r="7732" spans="1:1" x14ac:dyDescent="0.3">
      <c r="A7732" s="1"/>
    </row>
    <row r="7733" spans="1:1" x14ac:dyDescent="0.3">
      <c r="A7733" s="1"/>
    </row>
    <row r="7734" spans="1:1" x14ac:dyDescent="0.3">
      <c r="A7734" s="1"/>
    </row>
    <row r="7735" spans="1:1" x14ac:dyDescent="0.3">
      <c r="A7735" s="1"/>
    </row>
    <row r="7736" spans="1:1" x14ac:dyDescent="0.3">
      <c r="A7736" s="1"/>
    </row>
    <row r="7737" spans="1:1" x14ac:dyDescent="0.3">
      <c r="A7737" s="1"/>
    </row>
    <row r="7738" spans="1:1" x14ac:dyDescent="0.3">
      <c r="A7738" s="1"/>
    </row>
    <row r="7739" spans="1:1" x14ac:dyDescent="0.3">
      <c r="A7739" s="1"/>
    </row>
    <row r="7740" spans="1:1" x14ac:dyDescent="0.3">
      <c r="A7740" s="1"/>
    </row>
    <row r="7741" spans="1:1" x14ac:dyDescent="0.3">
      <c r="A7741" s="1"/>
    </row>
    <row r="7742" spans="1:1" x14ac:dyDescent="0.3">
      <c r="A7742" s="1"/>
    </row>
    <row r="7743" spans="1:1" x14ac:dyDescent="0.3">
      <c r="A7743" s="1"/>
    </row>
    <row r="7744" spans="1:1" x14ac:dyDescent="0.3">
      <c r="A7744" s="1"/>
    </row>
    <row r="7745" spans="1:1" x14ac:dyDescent="0.3">
      <c r="A7745" s="1"/>
    </row>
    <row r="7746" spans="1:1" x14ac:dyDescent="0.3">
      <c r="A7746" s="1"/>
    </row>
    <row r="7748" spans="1:1" x14ac:dyDescent="0.3">
      <c r="A7748" s="1"/>
    </row>
    <row r="7749" spans="1:1" x14ac:dyDescent="0.3">
      <c r="A7749" s="1"/>
    </row>
    <row r="7750" spans="1:1" x14ac:dyDescent="0.3">
      <c r="A7750" s="1"/>
    </row>
    <row r="7751" spans="1:1" x14ac:dyDescent="0.3">
      <c r="A7751" s="1"/>
    </row>
    <row r="7752" spans="1:1" x14ac:dyDescent="0.3">
      <c r="A7752" s="1"/>
    </row>
    <row r="7753" spans="1:1" x14ac:dyDescent="0.3">
      <c r="A7753" s="1"/>
    </row>
    <row r="7754" spans="1:1" x14ac:dyDescent="0.3">
      <c r="A7754" s="1"/>
    </row>
    <row r="7755" spans="1:1" x14ac:dyDescent="0.3">
      <c r="A7755" s="1"/>
    </row>
    <row r="7756" spans="1:1" x14ac:dyDescent="0.3">
      <c r="A7756" s="1"/>
    </row>
    <row r="7757" spans="1:1" x14ac:dyDescent="0.3">
      <c r="A7757" s="1"/>
    </row>
    <row r="7758" spans="1:1" x14ac:dyDescent="0.3">
      <c r="A7758" s="1"/>
    </row>
    <row r="7759" spans="1:1" x14ac:dyDescent="0.3">
      <c r="A7759" s="1"/>
    </row>
    <row r="7760" spans="1:1" x14ac:dyDescent="0.3">
      <c r="A7760" s="1"/>
    </row>
    <row r="7761" spans="1:1" x14ac:dyDescent="0.3">
      <c r="A7761" s="1"/>
    </row>
    <row r="7762" spans="1:1" x14ac:dyDescent="0.3">
      <c r="A7762" s="1"/>
    </row>
    <row r="7763" spans="1:1" x14ac:dyDescent="0.3">
      <c r="A7763" s="1"/>
    </row>
    <row r="7764" spans="1:1" x14ac:dyDescent="0.3">
      <c r="A7764" s="1"/>
    </row>
    <row r="7765" spans="1:1" x14ac:dyDescent="0.3">
      <c r="A7765" s="1"/>
    </row>
    <row r="7766" spans="1:1" x14ac:dyDescent="0.3">
      <c r="A7766" s="1"/>
    </row>
    <row r="7767" spans="1:1" x14ac:dyDescent="0.3">
      <c r="A7767" s="1"/>
    </row>
    <row r="7768" spans="1:1" x14ac:dyDescent="0.3">
      <c r="A7768" s="1"/>
    </row>
    <row r="7769" spans="1:1" x14ac:dyDescent="0.3">
      <c r="A7769" s="1"/>
    </row>
    <row r="7770" spans="1:1" x14ac:dyDescent="0.3">
      <c r="A7770" s="1"/>
    </row>
    <row r="7771" spans="1:1" x14ac:dyDescent="0.3">
      <c r="A7771" s="1"/>
    </row>
    <row r="7772" spans="1:1" x14ac:dyDescent="0.3">
      <c r="A7772" s="1"/>
    </row>
    <row r="7773" spans="1:1" x14ac:dyDescent="0.3">
      <c r="A7773" s="1"/>
    </row>
    <row r="7774" spans="1:1" x14ac:dyDescent="0.3">
      <c r="A7774" s="1"/>
    </row>
    <row r="7775" spans="1:1" x14ac:dyDescent="0.3">
      <c r="A7775" s="1"/>
    </row>
    <row r="7776" spans="1:1" x14ac:dyDescent="0.3">
      <c r="A7776" s="1"/>
    </row>
    <row r="7777" spans="1:1" x14ac:dyDescent="0.3">
      <c r="A7777" s="1"/>
    </row>
    <row r="7778" spans="1:1" x14ac:dyDescent="0.3">
      <c r="A7778" s="1"/>
    </row>
    <row r="7779" spans="1:1" x14ac:dyDescent="0.3">
      <c r="A7779" s="1"/>
    </row>
    <row r="7780" spans="1:1" x14ac:dyDescent="0.3">
      <c r="A7780" s="1"/>
    </row>
    <row r="7781" spans="1:1" x14ac:dyDescent="0.3">
      <c r="A7781" s="1"/>
    </row>
    <row r="7782" spans="1:1" x14ac:dyDescent="0.3">
      <c r="A7782" s="1"/>
    </row>
    <row r="7783" spans="1:1" x14ac:dyDescent="0.3">
      <c r="A7783" s="1"/>
    </row>
    <row r="7784" spans="1:1" x14ac:dyDescent="0.3">
      <c r="A7784" s="1"/>
    </row>
    <row r="7785" spans="1:1" x14ac:dyDescent="0.3">
      <c r="A7785" s="1"/>
    </row>
    <row r="7786" spans="1:1" x14ac:dyDescent="0.3">
      <c r="A7786" s="1"/>
    </row>
    <row r="7788" spans="1:1" x14ac:dyDescent="0.3">
      <c r="A7788" s="1"/>
    </row>
    <row r="7790" spans="1:1" x14ac:dyDescent="0.3">
      <c r="A7790" s="1"/>
    </row>
    <row r="7792" spans="1:1" x14ac:dyDescent="0.3">
      <c r="A7792" s="1"/>
    </row>
    <row r="7794" spans="1:1" x14ac:dyDescent="0.3">
      <c r="A7794" s="1"/>
    </row>
    <row r="7796" spans="1:1" x14ac:dyDescent="0.3">
      <c r="A7796" s="1"/>
    </row>
    <row r="7797" spans="1:1" x14ac:dyDescent="0.3">
      <c r="A7797" s="1"/>
    </row>
    <row r="7798" spans="1:1" x14ac:dyDescent="0.3">
      <c r="A7798" s="1"/>
    </row>
    <row r="7799" spans="1:1" x14ac:dyDescent="0.3">
      <c r="A7799" s="1"/>
    </row>
    <row r="7800" spans="1:1" x14ac:dyDescent="0.3">
      <c r="A7800" s="1"/>
    </row>
    <row r="7801" spans="1:1" x14ac:dyDescent="0.3">
      <c r="A7801" s="1"/>
    </row>
    <row r="7802" spans="1:1" x14ac:dyDescent="0.3">
      <c r="A7802" s="1"/>
    </row>
    <row r="7803" spans="1:1" x14ac:dyDescent="0.3">
      <c r="A7803" s="1"/>
    </row>
    <row r="7804" spans="1:1" x14ac:dyDescent="0.3">
      <c r="A7804" s="1"/>
    </row>
    <row r="7805" spans="1:1" x14ac:dyDescent="0.3">
      <c r="A7805" s="1"/>
    </row>
    <row r="7806" spans="1:1" x14ac:dyDescent="0.3">
      <c r="A7806" s="1"/>
    </row>
    <row r="7807" spans="1:1" x14ac:dyDescent="0.3">
      <c r="A7807" s="1"/>
    </row>
    <row r="7808" spans="1:1" x14ac:dyDescent="0.3">
      <c r="A7808" s="1"/>
    </row>
    <row r="7809" spans="1:1" x14ac:dyDescent="0.3">
      <c r="A7809" s="1"/>
    </row>
    <row r="7810" spans="1:1" x14ac:dyDescent="0.3">
      <c r="A7810" s="1"/>
    </row>
    <row r="7811" spans="1:1" x14ac:dyDescent="0.3">
      <c r="A7811" s="1"/>
    </row>
    <row r="7812" spans="1:1" x14ac:dyDescent="0.3">
      <c r="A7812" s="1"/>
    </row>
    <row r="7813" spans="1:1" x14ac:dyDescent="0.3">
      <c r="A7813" s="1"/>
    </row>
    <row r="7814" spans="1:1" x14ac:dyDescent="0.3">
      <c r="A7814" s="1"/>
    </row>
    <row r="7816" spans="1:1" x14ac:dyDescent="0.3">
      <c r="A7816" s="1"/>
    </row>
    <row r="7818" spans="1:1" x14ac:dyDescent="0.3">
      <c r="A7818" s="1"/>
    </row>
    <row r="7819" spans="1:1" x14ac:dyDescent="0.3">
      <c r="A7819" s="1"/>
    </row>
    <row r="7820" spans="1:1" x14ac:dyDescent="0.3">
      <c r="A7820" s="1"/>
    </row>
    <row r="7821" spans="1:1" x14ac:dyDescent="0.3">
      <c r="A7821" s="1"/>
    </row>
    <row r="7822" spans="1:1" x14ac:dyDescent="0.3">
      <c r="A7822" s="1"/>
    </row>
    <row r="7823" spans="1:1" x14ac:dyDescent="0.3">
      <c r="A7823" s="1"/>
    </row>
    <row r="7824" spans="1:1" x14ac:dyDescent="0.3">
      <c r="A7824" s="1"/>
    </row>
    <row r="7825" spans="1:1" x14ac:dyDescent="0.3">
      <c r="A7825" s="1"/>
    </row>
    <row r="7826" spans="1:1" x14ac:dyDescent="0.3">
      <c r="A7826" s="1"/>
    </row>
    <row r="7827" spans="1:1" x14ac:dyDescent="0.3">
      <c r="A7827" s="1"/>
    </row>
    <row r="7828" spans="1:1" x14ac:dyDescent="0.3">
      <c r="A7828" s="1"/>
    </row>
    <row r="7829" spans="1:1" x14ac:dyDescent="0.3">
      <c r="A7829" s="1"/>
    </row>
    <row r="7830" spans="1:1" x14ac:dyDescent="0.3">
      <c r="A7830" s="1"/>
    </row>
    <row r="7831" spans="1:1" x14ac:dyDescent="0.3">
      <c r="A7831" s="1"/>
    </row>
    <row r="7832" spans="1:1" x14ac:dyDescent="0.3">
      <c r="A7832" s="1"/>
    </row>
    <row r="7833" spans="1:1" x14ac:dyDescent="0.3">
      <c r="A7833" s="1"/>
    </row>
    <row r="7834" spans="1:1" x14ac:dyDescent="0.3">
      <c r="A7834" s="1"/>
    </row>
    <row r="7835" spans="1:1" x14ac:dyDescent="0.3">
      <c r="A7835" s="1"/>
    </row>
    <row r="7836" spans="1:1" x14ac:dyDescent="0.3">
      <c r="A7836" s="1"/>
    </row>
    <row r="7837" spans="1:1" x14ac:dyDescent="0.3">
      <c r="A7837" s="1"/>
    </row>
    <row r="7838" spans="1:1" x14ac:dyDescent="0.3">
      <c r="A7838" s="1"/>
    </row>
    <row r="7839" spans="1:1" x14ac:dyDescent="0.3">
      <c r="A7839" s="1"/>
    </row>
    <row r="7840" spans="1:1" x14ac:dyDescent="0.3">
      <c r="A7840" s="1"/>
    </row>
    <row r="7841" spans="1:1" x14ac:dyDescent="0.3">
      <c r="A7841" s="1"/>
    </row>
    <row r="7842" spans="1:1" x14ac:dyDescent="0.3">
      <c r="A7842" s="1"/>
    </row>
    <row r="7843" spans="1:1" x14ac:dyDescent="0.3">
      <c r="A7843" s="1"/>
    </row>
    <row r="7844" spans="1:1" x14ac:dyDescent="0.3">
      <c r="A7844" s="1"/>
    </row>
    <row r="7845" spans="1:1" x14ac:dyDescent="0.3">
      <c r="A7845" s="1"/>
    </row>
    <row r="7846" spans="1:1" x14ac:dyDescent="0.3">
      <c r="A7846" s="1"/>
    </row>
    <row r="7847" spans="1:1" x14ac:dyDescent="0.3">
      <c r="A7847" s="1"/>
    </row>
    <row r="7848" spans="1:1" x14ac:dyDescent="0.3">
      <c r="A7848" s="1"/>
    </row>
    <row r="7849" spans="1:1" x14ac:dyDescent="0.3">
      <c r="A7849" s="1"/>
    </row>
    <row r="7850" spans="1:1" x14ac:dyDescent="0.3">
      <c r="A7850" s="1"/>
    </row>
    <row r="7851" spans="1:1" x14ac:dyDescent="0.3">
      <c r="A7851" s="1"/>
    </row>
    <row r="7852" spans="1:1" x14ac:dyDescent="0.3">
      <c r="A7852" s="1"/>
    </row>
    <row r="7853" spans="1:1" x14ac:dyDescent="0.3">
      <c r="A7853" s="1"/>
    </row>
    <row r="7854" spans="1:1" x14ac:dyDescent="0.3">
      <c r="A7854" s="1"/>
    </row>
    <row r="7855" spans="1:1" x14ac:dyDescent="0.3">
      <c r="A7855" s="1"/>
    </row>
    <row r="7856" spans="1:1" x14ac:dyDescent="0.3">
      <c r="A7856" s="1"/>
    </row>
    <row r="7857" spans="1:1" x14ac:dyDescent="0.3">
      <c r="A7857" s="1"/>
    </row>
    <row r="7858" spans="1:1" x14ac:dyDescent="0.3">
      <c r="A7858" s="1"/>
    </row>
    <row r="7859" spans="1:1" x14ac:dyDescent="0.3">
      <c r="A7859" s="1"/>
    </row>
    <row r="7860" spans="1:1" x14ac:dyDescent="0.3">
      <c r="A7860" s="1"/>
    </row>
    <row r="7861" spans="1:1" x14ac:dyDescent="0.3">
      <c r="A7861" s="1"/>
    </row>
    <row r="7862" spans="1:1" x14ac:dyDescent="0.3">
      <c r="A7862" s="1"/>
    </row>
    <row r="7863" spans="1:1" x14ac:dyDescent="0.3">
      <c r="A7863" s="1"/>
    </row>
    <row r="7864" spans="1:1" x14ac:dyDescent="0.3">
      <c r="A7864" s="1"/>
    </row>
    <row r="7865" spans="1:1" x14ac:dyDescent="0.3">
      <c r="A7865" s="1"/>
    </row>
    <row r="7866" spans="1:1" x14ac:dyDescent="0.3">
      <c r="A7866" s="1"/>
    </row>
    <row r="7867" spans="1:1" x14ac:dyDescent="0.3">
      <c r="A7867" s="1"/>
    </row>
    <row r="7868" spans="1:1" x14ac:dyDescent="0.3">
      <c r="A7868" s="1"/>
    </row>
    <row r="7869" spans="1:1" x14ac:dyDescent="0.3">
      <c r="A7869" s="1"/>
    </row>
    <row r="7870" spans="1:1" x14ac:dyDescent="0.3">
      <c r="A7870" s="1"/>
    </row>
    <row r="7871" spans="1:1" x14ac:dyDescent="0.3">
      <c r="A7871" s="1"/>
    </row>
    <row r="7872" spans="1:1" x14ac:dyDescent="0.3">
      <c r="A7872" s="1"/>
    </row>
    <row r="7873" spans="1:1" x14ac:dyDescent="0.3">
      <c r="A7873" s="1"/>
    </row>
    <row r="7874" spans="1:1" x14ac:dyDescent="0.3">
      <c r="A7874" s="1"/>
    </row>
    <row r="7875" spans="1:1" x14ac:dyDescent="0.3">
      <c r="A7875" s="1"/>
    </row>
    <row r="7876" spans="1:1" x14ac:dyDescent="0.3">
      <c r="A7876" s="1"/>
    </row>
    <row r="7877" spans="1:1" x14ac:dyDescent="0.3">
      <c r="A7877" s="1"/>
    </row>
    <row r="7878" spans="1:1" x14ac:dyDescent="0.3">
      <c r="A7878" s="1"/>
    </row>
    <row r="7879" spans="1:1" x14ac:dyDescent="0.3">
      <c r="A7879" s="1"/>
    </row>
    <row r="7880" spans="1:1" x14ac:dyDescent="0.3">
      <c r="A7880" s="1"/>
    </row>
    <row r="7881" spans="1:1" x14ac:dyDescent="0.3">
      <c r="A7881" s="1"/>
    </row>
    <row r="7882" spans="1:1" x14ac:dyDescent="0.3">
      <c r="A7882" s="1"/>
    </row>
    <row r="7883" spans="1:1" x14ac:dyDescent="0.3">
      <c r="A7883" s="1"/>
    </row>
    <row r="7884" spans="1:1" x14ac:dyDescent="0.3">
      <c r="A7884" s="1"/>
    </row>
    <row r="7885" spans="1:1" x14ac:dyDescent="0.3">
      <c r="A7885" s="1"/>
    </row>
    <row r="7886" spans="1:1" x14ac:dyDescent="0.3">
      <c r="A7886" s="1"/>
    </row>
    <row r="7887" spans="1:1" x14ac:dyDescent="0.3">
      <c r="A7887" s="1"/>
    </row>
    <row r="7888" spans="1:1" x14ac:dyDescent="0.3">
      <c r="A7888" s="1"/>
    </row>
    <row r="7889" spans="1:1" x14ac:dyDescent="0.3">
      <c r="A7889" s="1"/>
    </row>
    <row r="7890" spans="1:1" x14ac:dyDescent="0.3">
      <c r="A7890" s="1"/>
    </row>
    <row r="7891" spans="1:1" x14ac:dyDescent="0.3">
      <c r="A7891" s="1"/>
    </row>
    <row r="7892" spans="1:1" x14ac:dyDescent="0.3">
      <c r="A7892" s="1"/>
    </row>
    <row r="7893" spans="1:1" x14ac:dyDescent="0.3">
      <c r="A7893" s="1"/>
    </row>
    <row r="7894" spans="1:1" x14ac:dyDescent="0.3">
      <c r="A7894" s="1"/>
    </row>
    <row r="7895" spans="1:1" x14ac:dyDescent="0.3">
      <c r="A7895" s="1"/>
    </row>
    <row r="7896" spans="1:1" x14ac:dyDescent="0.3">
      <c r="A7896" s="1"/>
    </row>
    <row r="7897" spans="1:1" x14ac:dyDescent="0.3">
      <c r="A7897" s="1"/>
    </row>
    <row r="7898" spans="1:1" x14ac:dyDescent="0.3">
      <c r="A7898" s="1"/>
    </row>
    <row r="7899" spans="1:1" x14ac:dyDescent="0.3">
      <c r="A7899" s="1"/>
    </row>
    <row r="7900" spans="1:1" x14ac:dyDescent="0.3">
      <c r="A7900" s="1"/>
    </row>
    <row r="7901" spans="1:1" x14ac:dyDescent="0.3">
      <c r="A7901" s="1"/>
    </row>
    <row r="7902" spans="1:1" x14ac:dyDescent="0.3">
      <c r="A7902" s="1"/>
    </row>
    <row r="7903" spans="1:1" x14ac:dyDescent="0.3">
      <c r="A7903" s="1"/>
    </row>
    <row r="7904" spans="1:1" x14ac:dyDescent="0.3">
      <c r="A7904" s="1"/>
    </row>
    <row r="7905" spans="1:1" x14ac:dyDescent="0.3">
      <c r="A7905" s="1"/>
    </row>
    <row r="7906" spans="1:1" x14ac:dyDescent="0.3">
      <c r="A7906" s="1"/>
    </row>
    <row r="7907" spans="1:1" x14ac:dyDescent="0.3">
      <c r="A7907" s="1"/>
    </row>
    <row r="7908" spans="1:1" x14ac:dyDescent="0.3">
      <c r="A7908" s="1"/>
    </row>
    <row r="7909" spans="1:1" x14ac:dyDescent="0.3">
      <c r="A7909" s="1"/>
    </row>
    <row r="7910" spans="1:1" x14ac:dyDescent="0.3">
      <c r="A7910" s="1"/>
    </row>
    <row r="7911" spans="1:1" x14ac:dyDescent="0.3">
      <c r="A7911" s="1"/>
    </row>
    <row r="7912" spans="1:1" x14ac:dyDescent="0.3">
      <c r="A7912" s="1"/>
    </row>
    <row r="7913" spans="1:1" x14ac:dyDescent="0.3">
      <c r="A7913" s="1"/>
    </row>
    <row r="7914" spans="1:1" x14ac:dyDescent="0.3">
      <c r="A7914" s="1"/>
    </row>
    <row r="7915" spans="1:1" x14ac:dyDescent="0.3">
      <c r="A7915" s="1"/>
    </row>
    <row r="7916" spans="1:1" x14ac:dyDescent="0.3">
      <c r="A7916" s="1"/>
    </row>
    <row r="7917" spans="1:1" x14ac:dyDescent="0.3">
      <c r="A7917" s="1"/>
    </row>
    <row r="7918" spans="1:1" x14ac:dyDescent="0.3">
      <c r="A7918" s="1"/>
    </row>
    <row r="7919" spans="1:1" x14ac:dyDescent="0.3">
      <c r="A7919" s="1"/>
    </row>
    <row r="7920" spans="1:1" x14ac:dyDescent="0.3">
      <c r="A7920" s="1"/>
    </row>
    <row r="7921" spans="1:1" x14ac:dyDescent="0.3">
      <c r="A7921" s="1"/>
    </row>
    <row r="7922" spans="1:1" x14ac:dyDescent="0.3">
      <c r="A7922" s="1"/>
    </row>
    <row r="7923" spans="1:1" x14ac:dyDescent="0.3">
      <c r="A7923" s="1"/>
    </row>
    <row r="7924" spans="1:1" x14ac:dyDescent="0.3">
      <c r="A7924" s="1"/>
    </row>
    <row r="7925" spans="1:1" x14ac:dyDescent="0.3">
      <c r="A7925" s="1"/>
    </row>
    <row r="7926" spans="1:1" x14ac:dyDescent="0.3">
      <c r="A7926" s="1"/>
    </row>
    <row r="7927" spans="1:1" x14ac:dyDescent="0.3">
      <c r="A7927" s="1"/>
    </row>
    <row r="7928" spans="1:1" x14ac:dyDescent="0.3">
      <c r="A7928" s="1"/>
    </row>
    <row r="7929" spans="1:1" x14ac:dyDescent="0.3">
      <c r="A7929" s="1"/>
    </row>
    <row r="7930" spans="1:1" x14ac:dyDescent="0.3">
      <c r="A7930" s="1"/>
    </row>
    <row r="7931" spans="1:1" x14ac:dyDescent="0.3">
      <c r="A7931" s="1"/>
    </row>
    <row r="7932" spans="1:1" x14ac:dyDescent="0.3">
      <c r="A7932" s="1"/>
    </row>
    <row r="7933" spans="1:1" x14ac:dyDescent="0.3">
      <c r="A7933" s="1"/>
    </row>
    <row r="7934" spans="1:1" x14ac:dyDescent="0.3">
      <c r="A7934" s="1"/>
    </row>
    <row r="7935" spans="1:1" x14ac:dyDescent="0.3">
      <c r="A7935" s="1"/>
    </row>
    <row r="7936" spans="1:1" x14ac:dyDescent="0.3">
      <c r="A7936" s="1"/>
    </row>
    <row r="7937" spans="1:1" x14ac:dyDescent="0.3">
      <c r="A7937" s="1"/>
    </row>
    <row r="7938" spans="1:1" x14ac:dyDescent="0.3">
      <c r="A7938" s="1"/>
    </row>
    <row r="7940" spans="1:1" x14ac:dyDescent="0.3">
      <c r="A7940" s="1"/>
    </row>
    <row r="7942" spans="1:1" x14ac:dyDescent="0.3">
      <c r="A7942" s="1"/>
    </row>
    <row r="7944" spans="1:1" x14ac:dyDescent="0.3">
      <c r="A7944" s="1"/>
    </row>
    <row r="7946" spans="1:1" x14ac:dyDescent="0.3">
      <c r="A7946" s="1"/>
    </row>
    <row r="7948" spans="1:1" x14ac:dyDescent="0.3">
      <c r="A7948" s="1"/>
    </row>
    <row r="7949" spans="1:1" x14ac:dyDescent="0.3">
      <c r="A7949" s="1"/>
    </row>
    <row r="7950" spans="1:1" x14ac:dyDescent="0.3">
      <c r="A7950" s="1"/>
    </row>
    <row r="7951" spans="1:1" x14ac:dyDescent="0.3">
      <c r="A7951" s="1"/>
    </row>
    <row r="7952" spans="1:1" x14ac:dyDescent="0.3">
      <c r="A7952" s="1"/>
    </row>
    <row r="7953" spans="1:1" x14ac:dyDescent="0.3">
      <c r="A7953" s="1"/>
    </row>
    <row r="7954" spans="1:1" x14ac:dyDescent="0.3">
      <c r="A7954" s="1"/>
    </row>
    <row r="7955" spans="1:1" x14ac:dyDescent="0.3">
      <c r="A7955" s="1"/>
    </row>
    <row r="7956" spans="1:1" x14ac:dyDescent="0.3">
      <c r="A7956" s="1"/>
    </row>
    <row r="7957" spans="1:1" x14ac:dyDescent="0.3">
      <c r="A7957" s="1"/>
    </row>
    <row r="7958" spans="1:1" x14ac:dyDescent="0.3">
      <c r="A7958" s="1"/>
    </row>
    <row r="7959" spans="1:1" x14ac:dyDescent="0.3">
      <c r="A7959" s="1"/>
    </row>
    <row r="7960" spans="1:1" x14ac:dyDescent="0.3">
      <c r="A7960" s="1"/>
    </row>
    <row r="7961" spans="1:1" x14ac:dyDescent="0.3">
      <c r="A7961" s="1"/>
    </row>
    <row r="7962" spans="1:1" x14ac:dyDescent="0.3">
      <c r="A7962" s="1"/>
    </row>
    <row r="7963" spans="1:1" x14ac:dyDescent="0.3">
      <c r="A7963" s="1"/>
    </row>
    <row r="7964" spans="1:1" x14ac:dyDescent="0.3">
      <c r="A7964" s="1"/>
    </row>
    <row r="7965" spans="1:1" x14ac:dyDescent="0.3">
      <c r="A7965" s="1"/>
    </row>
    <row r="7966" spans="1:1" x14ac:dyDescent="0.3">
      <c r="A7966" s="1"/>
    </row>
    <row r="7967" spans="1:1" x14ac:dyDescent="0.3">
      <c r="A7967" s="1"/>
    </row>
    <row r="7969" spans="1:1" x14ac:dyDescent="0.3">
      <c r="A7969" s="1"/>
    </row>
    <row r="7971" spans="1:1" x14ac:dyDescent="0.3">
      <c r="A7971" s="1"/>
    </row>
    <row r="7973" spans="1:1" x14ac:dyDescent="0.3">
      <c r="A7973" s="1"/>
    </row>
    <row r="7975" spans="1:1" x14ac:dyDescent="0.3">
      <c r="A7975" s="1"/>
    </row>
    <row r="7976" spans="1:1" x14ac:dyDescent="0.3">
      <c r="A7976" s="1"/>
    </row>
    <row r="7977" spans="1:1" x14ac:dyDescent="0.3">
      <c r="A7977" s="1"/>
    </row>
    <row r="7978" spans="1:1" x14ac:dyDescent="0.3">
      <c r="A7978" s="1"/>
    </row>
    <row r="7979" spans="1:1" x14ac:dyDescent="0.3">
      <c r="A7979" s="1"/>
    </row>
    <row r="7980" spans="1:1" x14ac:dyDescent="0.3">
      <c r="A7980" s="1"/>
    </row>
    <row r="7981" spans="1:1" x14ac:dyDescent="0.3">
      <c r="A7981" s="1"/>
    </row>
    <row r="7982" spans="1:1" x14ac:dyDescent="0.3">
      <c r="A7982" s="1"/>
    </row>
    <row r="7983" spans="1:1" x14ac:dyDescent="0.3">
      <c r="A7983" s="1"/>
    </row>
    <row r="7984" spans="1:1" x14ac:dyDescent="0.3">
      <c r="A7984" s="1"/>
    </row>
    <row r="7985" spans="1:1" x14ac:dyDescent="0.3">
      <c r="A7985" s="1"/>
    </row>
    <row r="7986" spans="1:1" x14ac:dyDescent="0.3">
      <c r="A7986" s="1"/>
    </row>
    <row r="7987" spans="1:1" x14ac:dyDescent="0.3">
      <c r="A7987" s="1"/>
    </row>
    <row r="7988" spans="1:1" x14ac:dyDescent="0.3">
      <c r="A7988" s="1"/>
    </row>
    <row r="7989" spans="1:1" x14ac:dyDescent="0.3">
      <c r="A7989" s="1"/>
    </row>
    <row r="7990" spans="1:1" x14ac:dyDescent="0.3">
      <c r="A7990" s="1"/>
    </row>
    <row r="7991" spans="1:1" x14ac:dyDescent="0.3">
      <c r="A7991" s="1"/>
    </row>
    <row r="7992" spans="1:1" x14ac:dyDescent="0.3">
      <c r="A7992" s="1"/>
    </row>
    <row r="7993" spans="1:1" x14ac:dyDescent="0.3">
      <c r="A7993" s="1"/>
    </row>
    <row r="7994" spans="1:1" x14ac:dyDescent="0.3">
      <c r="A7994" s="1"/>
    </row>
    <row r="7995" spans="1:1" x14ac:dyDescent="0.3">
      <c r="A7995" s="1"/>
    </row>
    <row r="7997" spans="1:1" x14ac:dyDescent="0.3">
      <c r="A7997" s="1"/>
    </row>
    <row r="7999" spans="1:1" x14ac:dyDescent="0.3">
      <c r="A7999" s="1"/>
    </row>
    <row r="8001" spans="1:1" x14ac:dyDescent="0.3">
      <c r="A8001" s="1"/>
    </row>
    <row r="8003" spans="1:1" x14ac:dyDescent="0.3">
      <c r="A8003" s="1"/>
    </row>
    <row r="8004" spans="1:1" x14ac:dyDescent="0.3">
      <c r="A8004" s="1"/>
    </row>
    <row r="8005" spans="1:1" x14ac:dyDescent="0.3">
      <c r="A8005" s="1"/>
    </row>
    <row r="8006" spans="1:1" x14ac:dyDescent="0.3">
      <c r="A8006" s="1"/>
    </row>
    <row r="8007" spans="1:1" x14ac:dyDescent="0.3">
      <c r="A8007" s="1"/>
    </row>
    <row r="8008" spans="1:1" x14ac:dyDescent="0.3">
      <c r="A8008" s="1"/>
    </row>
    <row r="8010" spans="1:1" x14ac:dyDescent="0.3">
      <c r="A8010" s="1"/>
    </row>
    <row r="8012" spans="1:1" x14ac:dyDescent="0.3">
      <c r="A8012" s="1"/>
    </row>
    <row r="8014" spans="1:1" x14ac:dyDescent="0.3">
      <c r="A8014" s="1"/>
    </row>
    <row r="8016" spans="1:1" x14ac:dyDescent="0.3">
      <c r="A8016" s="1"/>
    </row>
    <row r="8018" spans="1:1" x14ac:dyDescent="0.3">
      <c r="A8018" s="1"/>
    </row>
    <row r="8020" spans="1:1" x14ac:dyDescent="0.3">
      <c r="A8020" s="1"/>
    </row>
    <row r="8022" spans="1:1" x14ac:dyDescent="0.3">
      <c r="A8022" s="1"/>
    </row>
    <row r="8024" spans="1:1" x14ac:dyDescent="0.3">
      <c r="A8024" s="1"/>
    </row>
    <row r="8025" spans="1:1" x14ac:dyDescent="0.3">
      <c r="A8025" s="1"/>
    </row>
    <row r="8026" spans="1:1" x14ac:dyDescent="0.3">
      <c r="A8026" s="1"/>
    </row>
    <row r="8027" spans="1:1" x14ac:dyDescent="0.3">
      <c r="A8027" s="1"/>
    </row>
    <row r="8028" spans="1:1" x14ac:dyDescent="0.3">
      <c r="A8028" s="1"/>
    </row>
    <row r="8029" spans="1:1" x14ac:dyDescent="0.3">
      <c r="A8029" s="1"/>
    </row>
    <row r="8031" spans="1:1" x14ac:dyDescent="0.3">
      <c r="A8031" s="1"/>
    </row>
    <row r="8033" spans="1:1" x14ac:dyDescent="0.3">
      <c r="A8033" s="1"/>
    </row>
    <row r="8035" spans="1:1" x14ac:dyDescent="0.3">
      <c r="A8035" s="1"/>
    </row>
    <row r="8037" spans="1:1" x14ac:dyDescent="0.3">
      <c r="A8037" s="1"/>
    </row>
    <row r="8039" spans="1:1" x14ac:dyDescent="0.3">
      <c r="A8039" s="1"/>
    </row>
    <row r="8041" spans="1:1" x14ac:dyDescent="0.3">
      <c r="A8041" s="1"/>
    </row>
    <row r="8043" spans="1:1" x14ac:dyDescent="0.3">
      <c r="A8043" s="1"/>
    </row>
    <row r="8045" spans="1:1" x14ac:dyDescent="0.3">
      <c r="A8045" s="1"/>
    </row>
    <row r="8047" spans="1:1" x14ac:dyDescent="0.3">
      <c r="A8047" s="1"/>
    </row>
    <row r="8049" spans="1:1" x14ac:dyDescent="0.3">
      <c r="A8049" s="1"/>
    </row>
    <row r="8051" spans="1:1" x14ac:dyDescent="0.3">
      <c r="A8051" s="1"/>
    </row>
    <row r="8053" spans="1:1" x14ac:dyDescent="0.3">
      <c r="A8053" s="1"/>
    </row>
    <row r="8055" spans="1:1" x14ac:dyDescent="0.3">
      <c r="A8055" s="1"/>
    </row>
    <row r="8057" spans="1:1" x14ac:dyDescent="0.3">
      <c r="A8057" s="1"/>
    </row>
    <row r="8059" spans="1:1" x14ac:dyDescent="0.3">
      <c r="A8059" s="1"/>
    </row>
    <row r="8060" spans="1:1" x14ac:dyDescent="0.3">
      <c r="A8060" s="1"/>
    </row>
    <row r="8061" spans="1:1" x14ac:dyDescent="0.3">
      <c r="A8061" s="1"/>
    </row>
    <row r="8062" spans="1:1" x14ac:dyDescent="0.3">
      <c r="A8062" s="1"/>
    </row>
    <row r="8063" spans="1:1" x14ac:dyDescent="0.3">
      <c r="A8063" s="1"/>
    </row>
    <row r="8064" spans="1:1" x14ac:dyDescent="0.3">
      <c r="A8064" s="1"/>
    </row>
    <row r="8065" spans="1:1" x14ac:dyDescent="0.3">
      <c r="A8065" s="1"/>
    </row>
    <row r="8066" spans="1:1" x14ac:dyDescent="0.3">
      <c r="A8066" s="1"/>
    </row>
    <row r="8067" spans="1:1" x14ac:dyDescent="0.3">
      <c r="A8067" s="1"/>
    </row>
    <row r="8069" spans="1:1" x14ac:dyDescent="0.3">
      <c r="A8069" s="1"/>
    </row>
    <row r="8070" spans="1:1" x14ac:dyDescent="0.3">
      <c r="A8070" s="1"/>
    </row>
    <row r="8071" spans="1:1" x14ac:dyDescent="0.3">
      <c r="A8071" s="1"/>
    </row>
    <row r="8072" spans="1:1" x14ac:dyDescent="0.3">
      <c r="A8072" s="1"/>
    </row>
    <row r="8073" spans="1:1" x14ac:dyDescent="0.3">
      <c r="A8073" s="1"/>
    </row>
    <row r="8075" spans="1:1" x14ac:dyDescent="0.3">
      <c r="A8075" s="1"/>
    </row>
    <row r="8077" spans="1:1" x14ac:dyDescent="0.3">
      <c r="A8077" s="1"/>
    </row>
    <row r="8079" spans="1:1" x14ac:dyDescent="0.3">
      <c r="A8079" s="1"/>
    </row>
    <row r="8081" spans="1:1" x14ac:dyDescent="0.3">
      <c r="A8081" s="1"/>
    </row>
    <row r="8083" spans="1:1" x14ac:dyDescent="0.3">
      <c r="A8083" s="1"/>
    </row>
    <row r="8084" spans="1:1" x14ac:dyDescent="0.3">
      <c r="A8084" s="1"/>
    </row>
    <row r="8085" spans="1:1" x14ac:dyDescent="0.3">
      <c r="A8085" s="1"/>
    </row>
    <row r="8086" spans="1:1" x14ac:dyDescent="0.3">
      <c r="A8086" s="1"/>
    </row>
    <row r="8087" spans="1:1" x14ac:dyDescent="0.3">
      <c r="A8087" s="1"/>
    </row>
    <row r="8088" spans="1:1" x14ac:dyDescent="0.3">
      <c r="A8088" s="1"/>
    </row>
    <row r="8089" spans="1:1" x14ac:dyDescent="0.3">
      <c r="A8089" s="1"/>
    </row>
    <row r="8090" spans="1:1" x14ac:dyDescent="0.3">
      <c r="A8090" s="1"/>
    </row>
    <row r="8091" spans="1:1" x14ac:dyDescent="0.3">
      <c r="A8091" s="1"/>
    </row>
    <row r="8092" spans="1:1" x14ac:dyDescent="0.3">
      <c r="A8092" s="1"/>
    </row>
    <row r="8093" spans="1:1" x14ac:dyDescent="0.3">
      <c r="A8093" s="1"/>
    </row>
    <row r="8094" spans="1:1" x14ac:dyDescent="0.3">
      <c r="A8094" s="1"/>
    </row>
    <row r="8095" spans="1:1" x14ac:dyDescent="0.3">
      <c r="A8095" s="1"/>
    </row>
    <row r="8096" spans="1:1" x14ac:dyDescent="0.3">
      <c r="A8096" s="1"/>
    </row>
    <row r="8097" spans="1:1" x14ac:dyDescent="0.3">
      <c r="A8097" s="1"/>
    </row>
    <row r="8098" spans="1:1" x14ac:dyDescent="0.3">
      <c r="A8098" s="1"/>
    </row>
    <row r="8099" spans="1:1" x14ac:dyDescent="0.3">
      <c r="A8099" s="1"/>
    </row>
    <row r="8100" spans="1:1" x14ac:dyDescent="0.3">
      <c r="A8100" s="1"/>
    </row>
    <row r="8102" spans="1:1" x14ac:dyDescent="0.3">
      <c r="A8102" s="1"/>
    </row>
    <row r="8104" spans="1:1" x14ac:dyDescent="0.3">
      <c r="A8104" s="1"/>
    </row>
    <row r="8106" spans="1:1" x14ac:dyDescent="0.3">
      <c r="A8106" s="1"/>
    </row>
    <row r="8108" spans="1:1" x14ac:dyDescent="0.3">
      <c r="A8108" s="1"/>
    </row>
    <row r="8110" spans="1:1" x14ac:dyDescent="0.3">
      <c r="A8110" s="1"/>
    </row>
    <row r="8112" spans="1:1" x14ac:dyDescent="0.3">
      <c r="A8112" s="1"/>
    </row>
    <row r="8114" spans="1:1" x14ac:dyDescent="0.3">
      <c r="A8114" s="1"/>
    </row>
    <row r="8116" spans="1:1" x14ac:dyDescent="0.3">
      <c r="A8116" s="1"/>
    </row>
    <row r="8118" spans="1:1" x14ac:dyDescent="0.3">
      <c r="A8118" s="1"/>
    </row>
    <row r="8120" spans="1:1" x14ac:dyDescent="0.3">
      <c r="A8120" s="1"/>
    </row>
    <row r="8122" spans="1:1" x14ac:dyDescent="0.3">
      <c r="A8122" s="1"/>
    </row>
    <row r="8124" spans="1:1" x14ac:dyDescent="0.3">
      <c r="A8124" s="1"/>
    </row>
    <row r="8126" spans="1:1" x14ac:dyDescent="0.3">
      <c r="A8126" s="1"/>
    </row>
    <row r="8133" spans="1:1" x14ac:dyDescent="0.3">
      <c r="A8133" s="1"/>
    </row>
    <row r="8137" spans="1:1" x14ac:dyDescent="0.3">
      <c r="A8137" s="1"/>
    </row>
    <row r="8141" spans="1:1" x14ac:dyDescent="0.3">
      <c r="A8141" s="1"/>
    </row>
    <row r="8145" spans="1:1" x14ac:dyDescent="0.3">
      <c r="A8145" s="1"/>
    </row>
    <row r="8147" spans="1:1" x14ac:dyDescent="0.3">
      <c r="A8147" s="1"/>
    </row>
    <row r="8149" spans="1:1" x14ac:dyDescent="0.3">
      <c r="A8149" s="1"/>
    </row>
    <row r="8151" spans="1:1" x14ac:dyDescent="0.3">
      <c r="A8151" s="1"/>
    </row>
    <row r="8153" spans="1:1" x14ac:dyDescent="0.3">
      <c r="A8153" s="1"/>
    </row>
    <row r="8155" spans="1:1" x14ac:dyDescent="0.3">
      <c r="A8155" s="1"/>
    </row>
    <row r="8157" spans="1:1" x14ac:dyDescent="0.3">
      <c r="A8157" s="1"/>
    </row>
    <row r="8159" spans="1:1" x14ac:dyDescent="0.3">
      <c r="A8159" s="1"/>
    </row>
    <row r="8161" spans="1:1" x14ac:dyDescent="0.3">
      <c r="A8161" s="1"/>
    </row>
    <row r="8163" spans="1:1" x14ac:dyDescent="0.3">
      <c r="A8163" s="1"/>
    </row>
    <row r="8165" spans="1:1" x14ac:dyDescent="0.3">
      <c r="A8165" s="1"/>
    </row>
    <row r="8167" spans="1:1" x14ac:dyDescent="0.3">
      <c r="A8167" s="1"/>
    </row>
    <row r="8169" spans="1:1" x14ac:dyDescent="0.3">
      <c r="A8169" s="1"/>
    </row>
    <row r="8172" spans="1:1" x14ac:dyDescent="0.3">
      <c r="A8172" s="1"/>
    </row>
    <row r="8173" spans="1:1" x14ac:dyDescent="0.3">
      <c r="A8173" s="1"/>
    </row>
    <row r="8174" spans="1:1" x14ac:dyDescent="0.3">
      <c r="A8174" s="1"/>
    </row>
    <row r="8176" spans="1:1" x14ac:dyDescent="0.3">
      <c r="A8176" s="1"/>
    </row>
    <row r="8177" spans="1:1" x14ac:dyDescent="0.3">
      <c r="A8177" s="1"/>
    </row>
    <row r="8178" spans="1:1" x14ac:dyDescent="0.3">
      <c r="A8178" s="1"/>
    </row>
    <row r="8180" spans="1:1" x14ac:dyDescent="0.3">
      <c r="A8180" s="1"/>
    </row>
    <row r="8181" spans="1:1" x14ac:dyDescent="0.3">
      <c r="A8181" s="1"/>
    </row>
    <row r="8182" spans="1:1" x14ac:dyDescent="0.3">
      <c r="A8182" s="1"/>
    </row>
    <row r="8185" spans="1:1" x14ac:dyDescent="0.3">
      <c r="A8185" s="1"/>
    </row>
    <row r="8186" spans="1:1" x14ac:dyDescent="0.3">
      <c r="A8186" s="1"/>
    </row>
    <row r="8188" spans="1:1" x14ac:dyDescent="0.3">
      <c r="A8188" s="1"/>
    </row>
    <row r="8189" spans="1:1" x14ac:dyDescent="0.3">
      <c r="A8189" s="1"/>
    </row>
    <row r="8190" spans="1:1" x14ac:dyDescent="0.3">
      <c r="A8190" s="1"/>
    </row>
    <row r="8191" spans="1:1" x14ac:dyDescent="0.3">
      <c r="A8191" s="1"/>
    </row>
    <row r="8192" spans="1:1" x14ac:dyDescent="0.3">
      <c r="A8192" s="1"/>
    </row>
    <row r="8193" spans="1:1" x14ac:dyDescent="0.3">
      <c r="A8193" s="1"/>
    </row>
    <row r="8194" spans="1:1" x14ac:dyDescent="0.3">
      <c r="A8194" s="1"/>
    </row>
    <row r="8195" spans="1:1" x14ac:dyDescent="0.3">
      <c r="A8195" s="1"/>
    </row>
    <row r="8196" spans="1:1" x14ac:dyDescent="0.3">
      <c r="A8196" s="1"/>
    </row>
    <row r="8197" spans="1:1" x14ac:dyDescent="0.3">
      <c r="A8197" s="1"/>
    </row>
    <row r="8198" spans="1:1" x14ac:dyDescent="0.3">
      <c r="A8198" s="1"/>
    </row>
    <row r="8199" spans="1:1" x14ac:dyDescent="0.3">
      <c r="A8199" s="1"/>
    </row>
    <row r="8200" spans="1:1" x14ac:dyDescent="0.3">
      <c r="A8200" s="1"/>
    </row>
    <row r="8201" spans="1:1" x14ac:dyDescent="0.3">
      <c r="A8201" s="1"/>
    </row>
    <row r="8202" spans="1:1" x14ac:dyDescent="0.3">
      <c r="A8202" s="1"/>
    </row>
    <row r="8203" spans="1:1" x14ac:dyDescent="0.3">
      <c r="A8203" s="1"/>
    </row>
    <row r="8204" spans="1:1" x14ac:dyDescent="0.3">
      <c r="A8204" s="1"/>
    </row>
    <row r="8205" spans="1:1" x14ac:dyDescent="0.3">
      <c r="A8205" s="1"/>
    </row>
    <row r="8206" spans="1:1" x14ac:dyDescent="0.3">
      <c r="A8206" s="1"/>
    </row>
    <row r="8207" spans="1:1" x14ac:dyDescent="0.3">
      <c r="A8207" s="1"/>
    </row>
    <row r="8208" spans="1:1" x14ac:dyDescent="0.3">
      <c r="A8208" s="1"/>
    </row>
    <row r="8209" spans="1:1" x14ac:dyDescent="0.3">
      <c r="A8209" s="1"/>
    </row>
    <row r="8210" spans="1:1" x14ac:dyDescent="0.3">
      <c r="A8210" s="1"/>
    </row>
    <row r="8211" spans="1:1" x14ac:dyDescent="0.3">
      <c r="A8211" s="1"/>
    </row>
    <row r="8212" spans="1:1" x14ac:dyDescent="0.3">
      <c r="A8212" s="1"/>
    </row>
    <row r="8213" spans="1:1" x14ac:dyDescent="0.3">
      <c r="A8213" s="1"/>
    </row>
    <row r="8214" spans="1:1" x14ac:dyDescent="0.3">
      <c r="A8214" s="1"/>
    </row>
    <row r="8215" spans="1:1" x14ac:dyDescent="0.3">
      <c r="A8215" s="1"/>
    </row>
    <row r="8216" spans="1:1" x14ac:dyDescent="0.3">
      <c r="A8216" s="1"/>
    </row>
    <row r="8217" spans="1:1" x14ac:dyDescent="0.3">
      <c r="A8217" s="1"/>
    </row>
    <row r="8218" spans="1:1" x14ac:dyDescent="0.3">
      <c r="A8218" s="1"/>
    </row>
    <row r="8219" spans="1:1" x14ac:dyDescent="0.3">
      <c r="A8219" s="1"/>
    </row>
    <row r="8220" spans="1:1" x14ac:dyDescent="0.3">
      <c r="A8220" s="1"/>
    </row>
    <row r="8221" spans="1:1" x14ac:dyDescent="0.3">
      <c r="A8221" s="1"/>
    </row>
    <row r="8222" spans="1:1" x14ac:dyDescent="0.3">
      <c r="A8222" s="1"/>
    </row>
    <row r="8223" spans="1:1" x14ac:dyDescent="0.3">
      <c r="A8223" s="1"/>
    </row>
    <row r="8224" spans="1:1" x14ac:dyDescent="0.3">
      <c r="A8224" s="1"/>
    </row>
    <row r="8225" spans="1:1" x14ac:dyDescent="0.3">
      <c r="A8225" s="1"/>
    </row>
    <row r="8227" spans="1:1" x14ac:dyDescent="0.3">
      <c r="A8227" s="1"/>
    </row>
    <row r="8229" spans="1:1" x14ac:dyDescent="0.3">
      <c r="A8229" s="1"/>
    </row>
    <row r="8231" spans="1:1" x14ac:dyDescent="0.3">
      <c r="A8231" s="1"/>
    </row>
    <row r="8232" spans="1:1" x14ac:dyDescent="0.3">
      <c r="A8232" s="1"/>
    </row>
    <row r="8233" spans="1:1" x14ac:dyDescent="0.3">
      <c r="A8233" s="1"/>
    </row>
    <row r="8234" spans="1:1" x14ac:dyDescent="0.3">
      <c r="A8234" s="1"/>
    </row>
    <row r="8235" spans="1:1" x14ac:dyDescent="0.3">
      <c r="A8235" s="1"/>
    </row>
    <row r="8236" spans="1:1" x14ac:dyDescent="0.3">
      <c r="A8236" s="1"/>
    </row>
    <row r="8238" spans="1:1" x14ac:dyDescent="0.3">
      <c r="A8238" s="1"/>
    </row>
    <row r="8240" spans="1:1" x14ac:dyDescent="0.3">
      <c r="A8240" s="1"/>
    </row>
    <row r="8242" spans="1:1" x14ac:dyDescent="0.3">
      <c r="A8242" s="1"/>
    </row>
    <row r="8244" spans="1:1" x14ac:dyDescent="0.3">
      <c r="A8244" s="1"/>
    </row>
    <row r="8246" spans="1:1" x14ac:dyDescent="0.3">
      <c r="A8246" s="1"/>
    </row>
    <row r="8248" spans="1:1" x14ac:dyDescent="0.3">
      <c r="A8248" s="1"/>
    </row>
    <row r="8250" spans="1:1" x14ac:dyDescent="0.3">
      <c r="A8250" s="1"/>
    </row>
    <row r="8252" spans="1:1" x14ac:dyDescent="0.3">
      <c r="A8252" s="1"/>
    </row>
    <row r="8254" spans="1:1" x14ac:dyDescent="0.3">
      <c r="A8254" s="1"/>
    </row>
    <row r="8256" spans="1:1" x14ac:dyDescent="0.3">
      <c r="A8256" s="1"/>
    </row>
    <row r="8258" spans="1:1" x14ac:dyDescent="0.3">
      <c r="A8258" s="1"/>
    </row>
    <row r="8260" spans="1:1" x14ac:dyDescent="0.3">
      <c r="A8260" s="1"/>
    </row>
    <row r="8262" spans="1:1" x14ac:dyDescent="0.3">
      <c r="A8262" s="1"/>
    </row>
    <row r="8264" spans="1:1" x14ac:dyDescent="0.3">
      <c r="A8264" s="1"/>
    </row>
    <row r="8266" spans="1:1" x14ac:dyDescent="0.3">
      <c r="A8266" s="1"/>
    </row>
    <row r="8268" spans="1:1" x14ac:dyDescent="0.3">
      <c r="A8268" s="1"/>
    </row>
    <row r="8270" spans="1:1" x14ac:dyDescent="0.3">
      <c r="A8270" s="1"/>
    </row>
    <row r="8272" spans="1:1" x14ac:dyDescent="0.3">
      <c r="A8272" s="1"/>
    </row>
    <row r="8274" spans="1:1" x14ac:dyDescent="0.3">
      <c r="A8274" s="1"/>
    </row>
    <row r="8276" spans="1:1" x14ac:dyDescent="0.3">
      <c r="A8276" s="1"/>
    </row>
    <row r="8278" spans="1:1" x14ac:dyDescent="0.3">
      <c r="A8278" s="1"/>
    </row>
    <row r="8280" spans="1:1" x14ac:dyDescent="0.3">
      <c r="A8280" s="1"/>
    </row>
    <row r="8282" spans="1:1" x14ac:dyDescent="0.3">
      <c r="A8282" s="1"/>
    </row>
    <row r="8284" spans="1:1" x14ac:dyDescent="0.3">
      <c r="A8284" s="1"/>
    </row>
    <row r="8286" spans="1:1" x14ac:dyDescent="0.3">
      <c r="A8286" s="1"/>
    </row>
    <row r="8287" spans="1:1" x14ac:dyDescent="0.3">
      <c r="A8287" s="1"/>
    </row>
    <row r="8288" spans="1:1" x14ac:dyDescent="0.3">
      <c r="A8288" s="1"/>
    </row>
    <row r="8290" spans="1:1" x14ac:dyDescent="0.3">
      <c r="A8290" s="1"/>
    </row>
    <row r="8291" spans="1:1" x14ac:dyDescent="0.3">
      <c r="A8291" s="1"/>
    </row>
    <row r="8292" spans="1:1" x14ac:dyDescent="0.3">
      <c r="A8292" s="1"/>
    </row>
    <row r="8293" spans="1:1" x14ac:dyDescent="0.3">
      <c r="A8293" s="1"/>
    </row>
    <row r="8294" spans="1:1" x14ac:dyDescent="0.3">
      <c r="A8294" s="1"/>
    </row>
    <row r="8295" spans="1:1" x14ac:dyDescent="0.3">
      <c r="A8295" s="1"/>
    </row>
    <row r="8297" spans="1:1" x14ac:dyDescent="0.3">
      <c r="A8297" s="1"/>
    </row>
    <row r="8299" spans="1:1" x14ac:dyDescent="0.3">
      <c r="A8299" s="1"/>
    </row>
    <row r="8301" spans="1:1" x14ac:dyDescent="0.3">
      <c r="A8301" s="1"/>
    </row>
    <row r="8303" spans="1:1" x14ac:dyDescent="0.3">
      <c r="A8303" s="1"/>
    </row>
    <row r="8305" spans="1:1" x14ac:dyDescent="0.3">
      <c r="A8305" s="1"/>
    </row>
    <row r="8307" spans="1:1" x14ac:dyDescent="0.3">
      <c r="A8307" s="1"/>
    </row>
    <row r="8309" spans="1:1" x14ac:dyDescent="0.3">
      <c r="A8309" s="1"/>
    </row>
    <row r="8311" spans="1:1" x14ac:dyDescent="0.3">
      <c r="A8311" s="1"/>
    </row>
    <row r="8313" spans="1:1" x14ac:dyDescent="0.3">
      <c r="A8313" s="1"/>
    </row>
    <row r="8315" spans="1:1" x14ac:dyDescent="0.3">
      <c r="A8315" s="1"/>
    </row>
    <row r="8317" spans="1:1" x14ac:dyDescent="0.3">
      <c r="A8317" s="1"/>
    </row>
    <row r="8319" spans="1:1" x14ac:dyDescent="0.3">
      <c r="A8319" s="1"/>
    </row>
    <row r="8323" spans="1:1" x14ac:dyDescent="0.3">
      <c r="A8323" s="1"/>
    </row>
    <row r="8328" spans="1:1" x14ac:dyDescent="0.3">
      <c r="A8328" s="1"/>
    </row>
    <row r="8330" spans="1:1" x14ac:dyDescent="0.3">
      <c r="A8330" s="1"/>
    </row>
    <row r="8332" spans="1:1" x14ac:dyDescent="0.3">
      <c r="A8332" s="1"/>
    </row>
    <row r="8334" spans="1:1" x14ac:dyDescent="0.3">
      <c r="A8334" s="1"/>
    </row>
    <row r="8336" spans="1:1" x14ac:dyDescent="0.3">
      <c r="A8336" s="1"/>
    </row>
    <row r="8338" spans="1:1" x14ac:dyDescent="0.3">
      <c r="A8338" s="1"/>
    </row>
    <row r="8340" spans="1:1" x14ac:dyDescent="0.3">
      <c r="A8340" s="1"/>
    </row>
    <row r="8342" spans="1:1" x14ac:dyDescent="0.3">
      <c r="A8342" s="1"/>
    </row>
    <row r="8344" spans="1:1" x14ac:dyDescent="0.3">
      <c r="A8344" s="1"/>
    </row>
    <row r="8346" spans="1:1" x14ac:dyDescent="0.3">
      <c r="A8346" s="1"/>
    </row>
    <row r="8348" spans="1:1" x14ac:dyDescent="0.3">
      <c r="A8348" s="1"/>
    </row>
    <row r="8351" spans="1:1" x14ac:dyDescent="0.3">
      <c r="A8351" s="1"/>
    </row>
    <row r="8352" spans="1:1" x14ac:dyDescent="0.3">
      <c r="A8352" s="1"/>
    </row>
    <row r="8355" spans="1:1" x14ac:dyDescent="0.3">
      <c r="A8355" s="1"/>
    </row>
    <row r="8356" spans="1:1" x14ac:dyDescent="0.3">
      <c r="A8356" s="1"/>
    </row>
    <row r="8357" spans="1:1" x14ac:dyDescent="0.3">
      <c r="A8357" s="1"/>
    </row>
    <row r="8360" spans="1:1" x14ac:dyDescent="0.3">
      <c r="A8360" s="1"/>
    </row>
    <row r="8362" spans="1:1" x14ac:dyDescent="0.3">
      <c r="A8362" s="1"/>
    </row>
    <row r="8364" spans="1:1" x14ac:dyDescent="0.3">
      <c r="A8364" s="1"/>
    </row>
    <row r="8366" spans="1:1" x14ac:dyDescent="0.3">
      <c r="A8366" s="1"/>
    </row>
    <row r="8368" spans="1:1" x14ac:dyDescent="0.3">
      <c r="A8368" s="1"/>
    </row>
    <row r="8370" spans="1:1" x14ac:dyDescent="0.3">
      <c r="A8370" s="1"/>
    </row>
    <row r="8372" spans="1:1" x14ac:dyDescent="0.3">
      <c r="A8372" s="1"/>
    </row>
    <row r="8374" spans="1:1" x14ac:dyDescent="0.3">
      <c r="A8374" s="1"/>
    </row>
    <row r="8376" spans="1:1" x14ac:dyDescent="0.3">
      <c r="A8376" s="1"/>
    </row>
    <row r="8380" spans="1:1" x14ac:dyDescent="0.3">
      <c r="A8380" s="1"/>
    </row>
    <row r="8381" spans="1:1" x14ac:dyDescent="0.3">
      <c r="A8381" s="1"/>
    </row>
    <row r="8383" spans="1:1" x14ac:dyDescent="0.3">
      <c r="A8383" s="1"/>
    </row>
    <row r="8384" spans="1:1" x14ac:dyDescent="0.3">
      <c r="A8384" s="1"/>
    </row>
    <row r="8385" spans="1:1" x14ac:dyDescent="0.3">
      <c r="A8385" s="1"/>
    </row>
    <row r="8387" spans="1:1" x14ac:dyDescent="0.3">
      <c r="A8387" s="1"/>
    </row>
    <row r="8388" spans="1:1" x14ac:dyDescent="0.3">
      <c r="A8388" s="1"/>
    </row>
    <row r="8389" spans="1:1" x14ac:dyDescent="0.3">
      <c r="A8389" s="1"/>
    </row>
    <row r="8391" spans="1:1" x14ac:dyDescent="0.3">
      <c r="A8391" s="1"/>
    </row>
    <row r="8392" spans="1:1" x14ac:dyDescent="0.3">
      <c r="A8392" s="1"/>
    </row>
    <row r="8396" spans="1:1" x14ac:dyDescent="0.3">
      <c r="A8396" s="1"/>
    </row>
    <row r="8397" spans="1:1" x14ac:dyDescent="0.3">
      <c r="A8397" s="1"/>
    </row>
    <row r="8399" spans="1:1" x14ac:dyDescent="0.3">
      <c r="A8399" s="1"/>
    </row>
    <row r="8400" spans="1:1" x14ac:dyDescent="0.3">
      <c r="A8400" s="1"/>
    </row>
    <row r="8401" spans="1:1" x14ac:dyDescent="0.3">
      <c r="A8401" s="1"/>
    </row>
    <row r="8403" spans="1:1" x14ac:dyDescent="0.3">
      <c r="A8403" s="1"/>
    </row>
    <row r="8405" spans="1:1" x14ac:dyDescent="0.3">
      <c r="A8405" s="1"/>
    </row>
    <row r="8407" spans="1:1" x14ac:dyDescent="0.3">
      <c r="A8407" s="1"/>
    </row>
    <row r="8408" spans="1:1" x14ac:dyDescent="0.3">
      <c r="A8408" s="1"/>
    </row>
    <row r="8409" spans="1:1" x14ac:dyDescent="0.3">
      <c r="A8409" s="1"/>
    </row>
    <row r="8411" spans="1:1" x14ac:dyDescent="0.3">
      <c r="A8411" s="1"/>
    </row>
    <row r="8412" spans="1:1" x14ac:dyDescent="0.3">
      <c r="A8412" s="1"/>
    </row>
    <row r="8413" spans="1:1" x14ac:dyDescent="0.3">
      <c r="A8413" s="1"/>
    </row>
    <row r="8415" spans="1:1" x14ac:dyDescent="0.3">
      <c r="A8415" s="1"/>
    </row>
    <row r="8416" spans="1:1" x14ac:dyDescent="0.3">
      <c r="A8416" s="1"/>
    </row>
    <row r="8417" spans="1:1" x14ac:dyDescent="0.3">
      <c r="A8417" s="1"/>
    </row>
    <row r="8419" spans="1:1" x14ac:dyDescent="0.3">
      <c r="A8419" s="1"/>
    </row>
    <row r="8420" spans="1:1" x14ac:dyDescent="0.3">
      <c r="A8420" s="1"/>
    </row>
    <row r="8421" spans="1:1" x14ac:dyDescent="0.3">
      <c r="A8421" s="1"/>
    </row>
    <row r="8423" spans="1:1" x14ac:dyDescent="0.3">
      <c r="A8423" s="1"/>
    </row>
    <row r="8425" spans="1:1" x14ac:dyDescent="0.3">
      <c r="A8425" s="1"/>
    </row>
    <row r="8427" spans="1:1" x14ac:dyDescent="0.3">
      <c r="A8427" s="1"/>
    </row>
    <row r="8428" spans="1:1" x14ac:dyDescent="0.3">
      <c r="A8428" s="1"/>
    </row>
    <row r="8429" spans="1:1" x14ac:dyDescent="0.3">
      <c r="A8429" s="1"/>
    </row>
    <row r="8431" spans="1:1" x14ac:dyDescent="0.3">
      <c r="A8431" s="1"/>
    </row>
    <row r="8432" spans="1:1" x14ac:dyDescent="0.3">
      <c r="A8432" s="1"/>
    </row>
    <row r="8434" spans="1:1" x14ac:dyDescent="0.3">
      <c r="A8434" s="1"/>
    </row>
    <row r="8435" spans="1:1" x14ac:dyDescent="0.3">
      <c r="A8435" s="1"/>
    </row>
    <row r="8436" spans="1:1" x14ac:dyDescent="0.3">
      <c r="A8436" s="1"/>
    </row>
    <row r="8437" spans="1:1" x14ac:dyDescent="0.3">
      <c r="A8437" s="1"/>
    </row>
    <row r="8438" spans="1:1" x14ac:dyDescent="0.3">
      <c r="A8438" s="1"/>
    </row>
    <row r="8439" spans="1:1" x14ac:dyDescent="0.3">
      <c r="A8439" s="1"/>
    </row>
    <row r="8440" spans="1:1" x14ac:dyDescent="0.3">
      <c r="A8440" s="1"/>
    </row>
    <row r="8441" spans="1:1" x14ac:dyDescent="0.3">
      <c r="A8441" s="1"/>
    </row>
    <row r="8442" spans="1:1" x14ac:dyDescent="0.3">
      <c r="A8442" s="1"/>
    </row>
    <row r="8443" spans="1:1" x14ac:dyDescent="0.3">
      <c r="A8443" s="1"/>
    </row>
    <row r="8444" spans="1:1" x14ac:dyDescent="0.3">
      <c r="A8444" s="1"/>
    </row>
    <row r="8445" spans="1:1" x14ac:dyDescent="0.3">
      <c r="A8445" s="1"/>
    </row>
    <row r="8446" spans="1:1" x14ac:dyDescent="0.3">
      <c r="A8446" s="1"/>
    </row>
    <row r="8447" spans="1:1" x14ac:dyDescent="0.3">
      <c r="A8447" s="1"/>
    </row>
    <row r="8448" spans="1:1" x14ac:dyDescent="0.3">
      <c r="A8448" s="1"/>
    </row>
    <row r="8449" spans="1:1" x14ac:dyDescent="0.3">
      <c r="A8449" s="1"/>
    </row>
    <row r="8450" spans="1:1" x14ac:dyDescent="0.3">
      <c r="A8450" s="1"/>
    </row>
    <row r="8451" spans="1:1" x14ac:dyDescent="0.3">
      <c r="A8451" s="1"/>
    </row>
    <row r="8452" spans="1:1" x14ac:dyDescent="0.3">
      <c r="A8452" s="1"/>
    </row>
    <row r="8453" spans="1:1" x14ac:dyDescent="0.3">
      <c r="A8453" s="1"/>
    </row>
    <row r="8454" spans="1:1" x14ac:dyDescent="0.3">
      <c r="A8454" s="1"/>
    </row>
    <row r="8455" spans="1:1" x14ac:dyDescent="0.3">
      <c r="A8455" s="1"/>
    </row>
    <row r="8456" spans="1:1" x14ac:dyDescent="0.3">
      <c r="A8456" s="1"/>
    </row>
    <row r="8457" spans="1:1" x14ac:dyDescent="0.3">
      <c r="A8457" s="1"/>
    </row>
    <row r="8458" spans="1:1" x14ac:dyDescent="0.3">
      <c r="A8458" s="1"/>
    </row>
    <row r="8459" spans="1:1" x14ac:dyDescent="0.3">
      <c r="A8459" s="1"/>
    </row>
    <row r="8460" spans="1:1" x14ac:dyDescent="0.3">
      <c r="A8460" s="1"/>
    </row>
    <row r="8461" spans="1:1" x14ac:dyDescent="0.3">
      <c r="A8461" s="1"/>
    </row>
    <row r="8462" spans="1:1" x14ac:dyDescent="0.3">
      <c r="A8462" s="1"/>
    </row>
    <row r="8464" spans="1:1" x14ac:dyDescent="0.3">
      <c r="A8464" s="1"/>
    </row>
    <row r="8466" spans="1:1" x14ac:dyDescent="0.3">
      <c r="A8466" s="1"/>
    </row>
    <row r="8468" spans="1:1" x14ac:dyDescent="0.3">
      <c r="A8468" s="1"/>
    </row>
    <row r="8469" spans="1:1" x14ac:dyDescent="0.3">
      <c r="A8469" s="1"/>
    </row>
    <row r="8470" spans="1:1" x14ac:dyDescent="0.3">
      <c r="A8470" s="1"/>
    </row>
    <row r="8471" spans="1:1" x14ac:dyDescent="0.3">
      <c r="A8471" s="1"/>
    </row>
    <row r="8472" spans="1:1" x14ac:dyDescent="0.3">
      <c r="A8472" s="1"/>
    </row>
    <row r="8473" spans="1:1" x14ac:dyDescent="0.3">
      <c r="A8473" s="1"/>
    </row>
    <row r="8474" spans="1:1" x14ac:dyDescent="0.3">
      <c r="A8474" s="1"/>
    </row>
    <row r="8475" spans="1:1" x14ac:dyDescent="0.3">
      <c r="A8475" s="1"/>
    </row>
    <row r="8476" spans="1:1" x14ac:dyDescent="0.3">
      <c r="A8476" s="1"/>
    </row>
    <row r="8477" spans="1:1" x14ac:dyDescent="0.3">
      <c r="A8477" s="1"/>
    </row>
    <row r="8478" spans="1:1" x14ac:dyDescent="0.3">
      <c r="A8478" s="1"/>
    </row>
    <row r="8479" spans="1:1" x14ac:dyDescent="0.3">
      <c r="A8479" s="1"/>
    </row>
    <row r="8480" spans="1:1" x14ac:dyDescent="0.3">
      <c r="A8480" s="1"/>
    </row>
    <row r="8481" spans="1:1" x14ac:dyDescent="0.3">
      <c r="A8481" s="1"/>
    </row>
    <row r="8482" spans="1:1" x14ac:dyDescent="0.3">
      <c r="A8482" s="1"/>
    </row>
    <row r="8483" spans="1:1" x14ac:dyDescent="0.3">
      <c r="A8483" s="1"/>
    </row>
    <row r="8485" spans="1:1" x14ac:dyDescent="0.3">
      <c r="A8485" s="1"/>
    </row>
    <row r="8491" spans="1:1" x14ac:dyDescent="0.3">
      <c r="A8491" s="1"/>
    </row>
    <row r="8495" spans="1:1" x14ac:dyDescent="0.3">
      <c r="A8495" s="1"/>
    </row>
    <row r="8499" spans="1:1" x14ac:dyDescent="0.3">
      <c r="A8499" s="1"/>
    </row>
    <row r="8503" spans="1:1" x14ac:dyDescent="0.3">
      <c r="A8503" s="1"/>
    </row>
    <row r="8506" spans="1:1" x14ac:dyDescent="0.3">
      <c r="A8506" s="1"/>
    </row>
    <row r="8507" spans="1:1" x14ac:dyDescent="0.3">
      <c r="A8507" s="1"/>
    </row>
    <row r="8508" spans="1:1" x14ac:dyDescent="0.3">
      <c r="A8508" s="1"/>
    </row>
    <row r="8510" spans="1:1" x14ac:dyDescent="0.3">
      <c r="A8510" s="1"/>
    </row>
    <row r="8511" spans="1:1" x14ac:dyDescent="0.3">
      <c r="A8511" s="1"/>
    </row>
    <row r="8512" spans="1:1" x14ac:dyDescent="0.3">
      <c r="A8512" s="1"/>
    </row>
    <row r="8514" spans="1:1" x14ac:dyDescent="0.3">
      <c r="A8514" s="1"/>
    </row>
    <row r="8516" spans="1:1" x14ac:dyDescent="0.3">
      <c r="A8516" s="1"/>
    </row>
    <row r="8518" spans="1:1" x14ac:dyDescent="0.3">
      <c r="A8518" s="1"/>
    </row>
    <row r="8520" spans="1:1" x14ac:dyDescent="0.3">
      <c r="A8520" s="1"/>
    </row>
    <row r="8522" spans="1:1" x14ac:dyDescent="0.3">
      <c r="A8522" s="1"/>
    </row>
    <row r="8524" spans="1:1" x14ac:dyDescent="0.3">
      <c r="A8524" s="1"/>
    </row>
    <row r="8525" spans="1:1" x14ac:dyDescent="0.3">
      <c r="A8525" s="1"/>
    </row>
    <row r="8526" spans="1:1" x14ac:dyDescent="0.3">
      <c r="A8526" s="1"/>
    </row>
    <row r="8527" spans="1:1" x14ac:dyDescent="0.3">
      <c r="A8527" s="1"/>
    </row>
    <row r="8528" spans="1:1" x14ac:dyDescent="0.3">
      <c r="A8528" s="1"/>
    </row>
    <row r="8529" spans="1:1" x14ac:dyDescent="0.3">
      <c r="A8529" s="1"/>
    </row>
    <row r="8531" spans="1:1" x14ac:dyDescent="0.3">
      <c r="A8531" s="1"/>
    </row>
    <row r="8533" spans="1:1" x14ac:dyDescent="0.3">
      <c r="A8533" s="1"/>
    </row>
    <row r="8535" spans="1:1" x14ac:dyDescent="0.3">
      <c r="A8535" s="1"/>
    </row>
    <row r="8537" spans="1:1" x14ac:dyDescent="0.3">
      <c r="A8537" s="1"/>
    </row>
    <row r="8539" spans="1:1" x14ac:dyDescent="0.3">
      <c r="A8539" s="1"/>
    </row>
    <row r="8541" spans="1:1" x14ac:dyDescent="0.3">
      <c r="A8541" s="1"/>
    </row>
    <row r="8543" spans="1:1" x14ac:dyDescent="0.3">
      <c r="A8543" s="1"/>
    </row>
    <row r="8545" spans="1:1" x14ac:dyDescent="0.3">
      <c r="A8545" s="1"/>
    </row>
    <row r="8546" spans="1:1" x14ac:dyDescent="0.3">
      <c r="A8546" s="1"/>
    </row>
    <row r="8547" spans="1:1" x14ac:dyDescent="0.3">
      <c r="A8547" s="1"/>
    </row>
    <row r="8549" spans="1:1" x14ac:dyDescent="0.3">
      <c r="A8549" s="1"/>
    </row>
    <row r="8551" spans="1:1" x14ac:dyDescent="0.3">
      <c r="A8551" s="1"/>
    </row>
    <row r="8552" spans="1:1" x14ac:dyDescent="0.3">
      <c r="A8552" s="1"/>
    </row>
    <row r="8553" spans="1:1" x14ac:dyDescent="0.3">
      <c r="A8553" s="1"/>
    </row>
    <row r="8554" spans="1:1" x14ac:dyDescent="0.3">
      <c r="A8554" s="1"/>
    </row>
    <row r="8555" spans="1:1" x14ac:dyDescent="0.3">
      <c r="A8555" s="1"/>
    </row>
    <row r="8556" spans="1:1" x14ac:dyDescent="0.3">
      <c r="A8556" s="1"/>
    </row>
    <row r="8557" spans="1:1" x14ac:dyDescent="0.3">
      <c r="A8557" s="1"/>
    </row>
    <row r="8558" spans="1:1" x14ac:dyDescent="0.3">
      <c r="A8558" s="1"/>
    </row>
    <row r="8559" spans="1:1" x14ac:dyDescent="0.3">
      <c r="A8559" s="1"/>
    </row>
    <row r="8560" spans="1:1" x14ac:dyDescent="0.3">
      <c r="A8560" s="1"/>
    </row>
    <row r="8561" spans="1:1" x14ac:dyDescent="0.3">
      <c r="A8561" s="1"/>
    </row>
    <row r="8562" spans="1:1" x14ac:dyDescent="0.3">
      <c r="A8562" s="1"/>
    </row>
    <row r="8563" spans="1:1" x14ac:dyDescent="0.3">
      <c r="A8563" s="1"/>
    </row>
    <row r="8564" spans="1:1" x14ac:dyDescent="0.3">
      <c r="A8564" s="1"/>
    </row>
    <row r="8565" spans="1:1" x14ac:dyDescent="0.3">
      <c r="A8565" s="1"/>
    </row>
    <row r="8566" spans="1:1" x14ac:dyDescent="0.3">
      <c r="A8566" s="1"/>
    </row>
    <row r="8567" spans="1:1" x14ac:dyDescent="0.3">
      <c r="A8567" s="1"/>
    </row>
    <row r="8568" spans="1:1" x14ac:dyDescent="0.3">
      <c r="A8568" s="1"/>
    </row>
    <row r="8569" spans="1:1" x14ac:dyDescent="0.3">
      <c r="A8569" s="1"/>
    </row>
    <row r="8570" spans="1:1" x14ac:dyDescent="0.3">
      <c r="A8570" s="1"/>
    </row>
    <row r="8571" spans="1:1" x14ac:dyDescent="0.3">
      <c r="A8571" s="1"/>
    </row>
    <row r="8572" spans="1:1" x14ac:dyDescent="0.3">
      <c r="A8572" s="1"/>
    </row>
    <row r="8573" spans="1:1" x14ac:dyDescent="0.3">
      <c r="A8573" s="1"/>
    </row>
    <row r="8574" spans="1:1" x14ac:dyDescent="0.3">
      <c r="A8574" s="1"/>
    </row>
    <row r="8575" spans="1:1" x14ac:dyDescent="0.3">
      <c r="A8575" s="1"/>
    </row>
    <row r="8576" spans="1:1" x14ac:dyDescent="0.3">
      <c r="A8576" s="1"/>
    </row>
    <row r="8577" spans="1:1" x14ac:dyDescent="0.3">
      <c r="A8577" s="1"/>
    </row>
    <row r="8578" spans="1:1" x14ac:dyDescent="0.3">
      <c r="A8578" s="1"/>
    </row>
    <row r="8579" spans="1:1" x14ac:dyDescent="0.3">
      <c r="A8579" s="1"/>
    </row>
    <row r="8580" spans="1:1" x14ac:dyDescent="0.3">
      <c r="A8580" s="1"/>
    </row>
    <row r="8581" spans="1:1" x14ac:dyDescent="0.3">
      <c r="A8581" s="1"/>
    </row>
    <row r="8582" spans="1:1" x14ac:dyDescent="0.3">
      <c r="A8582" s="1"/>
    </row>
    <row r="8584" spans="1:1" x14ac:dyDescent="0.3">
      <c r="A8584" s="1"/>
    </row>
    <row r="8586" spans="1:1" x14ac:dyDescent="0.3">
      <c r="A8586" s="1"/>
    </row>
    <row r="8588" spans="1:1" x14ac:dyDescent="0.3">
      <c r="A8588" s="1"/>
    </row>
    <row r="8590" spans="1:1" x14ac:dyDescent="0.3">
      <c r="A8590" s="1"/>
    </row>
    <row r="8592" spans="1:1" x14ac:dyDescent="0.3">
      <c r="A8592" s="1"/>
    </row>
    <row r="8594" spans="1:1" x14ac:dyDescent="0.3">
      <c r="A8594" s="1"/>
    </row>
    <row r="8595" spans="1:1" x14ac:dyDescent="0.3">
      <c r="A8595" s="1"/>
    </row>
    <row r="8598" spans="1:1" x14ac:dyDescent="0.3">
      <c r="A8598" s="1"/>
    </row>
    <row r="8599" spans="1:1" x14ac:dyDescent="0.3">
      <c r="A8599" s="1"/>
    </row>
    <row r="8602" spans="1:1" x14ac:dyDescent="0.3">
      <c r="A8602" s="1"/>
    </row>
    <row r="8603" spans="1:1" x14ac:dyDescent="0.3">
      <c r="A8603" s="1"/>
    </row>
    <row r="8606" spans="1:1" x14ac:dyDescent="0.3">
      <c r="A8606" s="1"/>
    </row>
    <row r="8607" spans="1:1" x14ac:dyDescent="0.3">
      <c r="A8607" s="1"/>
    </row>
    <row r="8610" spans="1:1" x14ac:dyDescent="0.3">
      <c r="A8610" s="1"/>
    </row>
    <row r="8611" spans="1:1" x14ac:dyDescent="0.3">
      <c r="A8611" s="1"/>
    </row>
    <row r="8615" spans="1:1" x14ac:dyDescent="0.3">
      <c r="A8615" s="1"/>
    </row>
    <row r="8617" spans="1:1" x14ac:dyDescent="0.3">
      <c r="A8617" s="1"/>
    </row>
    <row r="8619" spans="1:1" x14ac:dyDescent="0.3">
      <c r="A8619" s="1"/>
    </row>
    <row r="8620" spans="1:1" x14ac:dyDescent="0.3">
      <c r="A8620" s="1"/>
    </row>
    <row r="8621" spans="1:1" x14ac:dyDescent="0.3">
      <c r="A8621" s="1"/>
    </row>
    <row r="8622" spans="1:1" x14ac:dyDescent="0.3">
      <c r="A8622" s="1"/>
    </row>
    <row r="8623" spans="1:1" x14ac:dyDescent="0.3">
      <c r="A8623" s="1"/>
    </row>
    <row r="8624" spans="1:1" x14ac:dyDescent="0.3">
      <c r="A8624" s="1"/>
    </row>
    <row r="8625" spans="1:1" x14ac:dyDescent="0.3">
      <c r="A8625" s="1"/>
    </row>
    <row r="8626" spans="1:1" x14ac:dyDescent="0.3">
      <c r="A8626" s="1"/>
    </row>
    <row r="8627" spans="1:1" x14ac:dyDescent="0.3">
      <c r="A8627" s="1"/>
    </row>
    <row r="8628" spans="1:1" x14ac:dyDescent="0.3">
      <c r="A8628" s="1"/>
    </row>
    <row r="8630" spans="1:1" x14ac:dyDescent="0.3">
      <c r="A8630" s="1"/>
    </row>
    <row r="8631" spans="1:1" x14ac:dyDescent="0.3">
      <c r="A8631" s="1"/>
    </row>
    <row r="8634" spans="1:1" x14ac:dyDescent="0.3">
      <c r="A8634" s="1"/>
    </row>
    <row r="8635" spans="1:1" x14ac:dyDescent="0.3">
      <c r="A8635" s="1"/>
    </row>
    <row r="8636" spans="1:1" x14ac:dyDescent="0.3">
      <c r="A8636" s="1"/>
    </row>
    <row r="8639" spans="1:1" x14ac:dyDescent="0.3">
      <c r="A8639" s="1"/>
    </row>
    <row r="8643" spans="1:1" x14ac:dyDescent="0.3">
      <c r="A8643" s="1"/>
    </row>
    <row r="8647" spans="1:1" x14ac:dyDescent="0.3">
      <c r="A8647" s="1"/>
    </row>
    <row r="8651" spans="1:1" x14ac:dyDescent="0.3">
      <c r="A8651" s="1"/>
    </row>
    <row r="8655" spans="1:1" x14ac:dyDescent="0.3">
      <c r="A8655" s="1"/>
    </row>
    <row r="8659" spans="1:1" x14ac:dyDescent="0.3">
      <c r="A8659" s="1"/>
    </row>
    <row r="8663" spans="1:1" x14ac:dyDescent="0.3">
      <c r="A8663" s="1"/>
    </row>
    <row r="8664" spans="1:1" x14ac:dyDescent="0.3">
      <c r="A8664" s="1"/>
    </row>
    <row r="8666" spans="1:1" x14ac:dyDescent="0.3">
      <c r="A8666" s="1"/>
    </row>
    <row r="8668" spans="1:1" x14ac:dyDescent="0.3">
      <c r="A8668" s="1"/>
    </row>
    <row r="8670" spans="1:1" x14ac:dyDescent="0.3">
      <c r="A8670" s="1"/>
    </row>
    <row r="8672" spans="1:1" x14ac:dyDescent="0.3">
      <c r="A8672" s="1"/>
    </row>
    <row r="8674" spans="1:1" x14ac:dyDescent="0.3">
      <c r="A8674" s="1"/>
    </row>
    <row r="8676" spans="1:1" x14ac:dyDescent="0.3">
      <c r="A8676" s="1"/>
    </row>
    <row r="8678" spans="1:1" x14ac:dyDescent="0.3">
      <c r="A8678" s="1"/>
    </row>
    <row r="8680" spans="1:1" x14ac:dyDescent="0.3">
      <c r="A8680" s="1"/>
    </row>
    <row r="8682" spans="1:1" x14ac:dyDescent="0.3">
      <c r="A8682" s="1"/>
    </row>
    <row r="8684" spans="1:1" x14ac:dyDescent="0.3">
      <c r="A8684" s="1"/>
    </row>
    <row r="8686" spans="1:1" x14ac:dyDescent="0.3">
      <c r="A8686" s="1"/>
    </row>
    <row r="8687" spans="1:1" x14ac:dyDescent="0.3">
      <c r="A8687" s="1"/>
    </row>
    <row r="8691" spans="1:1" x14ac:dyDescent="0.3">
      <c r="A8691" s="1"/>
    </row>
    <row r="8693" spans="1:1" x14ac:dyDescent="0.3">
      <c r="A8693" s="1"/>
    </row>
    <row r="8695" spans="1:1" x14ac:dyDescent="0.3">
      <c r="A8695" s="1"/>
    </row>
    <row r="8697" spans="1:1" x14ac:dyDescent="0.3">
      <c r="A8697" s="1"/>
    </row>
    <row r="8698" spans="1:1" x14ac:dyDescent="0.3">
      <c r="A8698" s="1"/>
    </row>
    <row r="8700" spans="1:1" x14ac:dyDescent="0.3">
      <c r="A8700" s="1"/>
    </row>
    <row r="8702" spans="1:1" x14ac:dyDescent="0.3">
      <c r="A8702" s="1"/>
    </row>
    <row r="8704" spans="1:1" x14ac:dyDescent="0.3">
      <c r="A8704" s="1"/>
    </row>
    <row r="8706" spans="1:1" x14ac:dyDescent="0.3">
      <c r="A8706" s="1"/>
    </row>
    <row r="8708" spans="1:1" x14ac:dyDescent="0.3">
      <c r="A8708" s="1"/>
    </row>
    <row r="8710" spans="1:1" x14ac:dyDescent="0.3">
      <c r="A8710" s="1"/>
    </row>
    <row r="8712" spans="1:1" x14ac:dyDescent="0.3">
      <c r="A8712" s="1"/>
    </row>
    <row r="8714" spans="1:1" x14ac:dyDescent="0.3">
      <c r="A8714" s="1"/>
    </row>
    <row r="8716" spans="1:1" x14ac:dyDescent="0.3">
      <c r="A8716" s="1"/>
    </row>
    <row r="8717" spans="1:1" x14ac:dyDescent="0.3">
      <c r="A8717" s="1"/>
    </row>
    <row r="8719" spans="1:1" x14ac:dyDescent="0.3">
      <c r="A8719" s="1"/>
    </row>
    <row r="8721" spans="1:1" x14ac:dyDescent="0.3">
      <c r="A8721" s="1"/>
    </row>
    <row r="8723" spans="1:1" x14ac:dyDescent="0.3">
      <c r="A8723" s="1"/>
    </row>
    <row r="8725" spans="1:1" x14ac:dyDescent="0.3">
      <c r="A8725" s="1"/>
    </row>
    <row r="8727" spans="1:1" x14ac:dyDescent="0.3">
      <c r="A8727" s="1"/>
    </row>
    <row r="8729" spans="1:1" x14ac:dyDescent="0.3">
      <c r="A8729" s="1"/>
    </row>
    <row r="8731" spans="1:1" x14ac:dyDescent="0.3">
      <c r="A8731" s="1"/>
    </row>
    <row r="8744" spans="1:1" x14ac:dyDescent="0.3">
      <c r="A8744" s="1"/>
    </row>
    <row r="8748" spans="1:1" x14ac:dyDescent="0.3">
      <c r="A8748" s="1"/>
    </row>
    <row r="8752" spans="1:1" x14ac:dyDescent="0.3">
      <c r="A8752" s="1"/>
    </row>
    <row r="8756" spans="1:1" x14ac:dyDescent="0.3">
      <c r="A8756" s="1"/>
    </row>
    <row r="8759" spans="1:1" x14ac:dyDescent="0.3">
      <c r="A8759" s="1"/>
    </row>
    <row r="8760" spans="1:1" x14ac:dyDescent="0.3">
      <c r="A8760" s="1"/>
    </row>
    <row r="8761" spans="1:1" x14ac:dyDescent="0.3">
      <c r="A8761" s="1"/>
    </row>
    <row r="8763" spans="1:1" x14ac:dyDescent="0.3">
      <c r="A8763" s="1"/>
    </row>
    <row r="8765" spans="1:1" x14ac:dyDescent="0.3">
      <c r="A8765" s="1"/>
    </row>
    <row r="8767" spans="1:1" x14ac:dyDescent="0.3">
      <c r="A8767" s="1"/>
    </row>
    <row r="8769" spans="1:1" x14ac:dyDescent="0.3">
      <c r="A8769" s="1"/>
    </row>
    <row r="8771" spans="1:1" x14ac:dyDescent="0.3">
      <c r="A8771" s="1"/>
    </row>
    <row r="8773" spans="1:1" x14ac:dyDescent="0.3">
      <c r="A8773" s="1"/>
    </row>
    <row r="8775" spans="1:1" x14ac:dyDescent="0.3">
      <c r="A8775" s="1"/>
    </row>
    <row r="8777" spans="1:1" x14ac:dyDescent="0.3">
      <c r="A8777" s="1"/>
    </row>
    <row r="8778" spans="1:1" x14ac:dyDescent="0.3">
      <c r="A8778" s="1"/>
    </row>
    <row r="8780" spans="1:1" x14ac:dyDescent="0.3">
      <c r="A8780" s="1"/>
    </row>
    <row r="8782" spans="1:1" x14ac:dyDescent="0.3">
      <c r="A8782" s="1"/>
    </row>
    <row r="8784" spans="1:1" x14ac:dyDescent="0.3">
      <c r="A8784" s="1"/>
    </row>
    <row r="8786" spans="1:1" x14ac:dyDescent="0.3">
      <c r="A8786" s="1"/>
    </row>
    <row r="8788" spans="1:1" x14ac:dyDescent="0.3">
      <c r="A8788" s="1"/>
    </row>
    <row r="8790" spans="1:1" x14ac:dyDescent="0.3">
      <c r="A8790" s="1"/>
    </row>
    <row r="8792" spans="1:1" x14ac:dyDescent="0.3">
      <c r="A8792" s="1"/>
    </row>
    <row r="8794" spans="1:1" x14ac:dyDescent="0.3">
      <c r="A8794" s="1"/>
    </row>
    <row r="8796" spans="1:1" x14ac:dyDescent="0.3">
      <c r="A8796" s="1"/>
    </row>
    <row r="8798" spans="1:1" x14ac:dyDescent="0.3">
      <c r="A8798" s="1"/>
    </row>
    <row r="8800" spans="1:1" x14ac:dyDescent="0.3">
      <c r="A8800" s="1"/>
    </row>
    <row r="8802" spans="1:1" x14ac:dyDescent="0.3">
      <c r="A8802" s="1"/>
    </row>
    <row r="8804" spans="1:1" x14ac:dyDescent="0.3">
      <c r="A8804" s="1"/>
    </row>
    <row r="8805" spans="1:1" x14ac:dyDescent="0.3">
      <c r="A8805" s="1"/>
    </row>
    <row r="8807" spans="1:1" x14ac:dyDescent="0.3">
      <c r="A8807" s="1"/>
    </row>
    <row r="8809" spans="1:1" x14ac:dyDescent="0.3">
      <c r="A8809" s="1"/>
    </row>
    <row r="8811" spans="1:1" x14ac:dyDescent="0.3">
      <c r="A8811" s="1"/>
    </row>
    <row r="8813" spans="1:1" x14ac:dyDescent="0.3">
      <c r="A8813" s="1"/>
    </row>
    <row r="8815" spans="1:1" x14ac:dyDescent="0.3">
      <c r="A8815" s="1"/>
    </row>
    <row r="8817" spans="1:1" x14ac:dyDescent="0.3">
      <c r="A8817" s="1"/>
    </row>
    <row r="8819" spans="1:1" x14ac:dyDescent="0.3">
      <c r="A8819" s="1"/>
    </row>
    <row r="8821" spans="1:1" x14ac:dyDescent="0.3">
      <c r="A8821" s="1"/>
    </row>
    <row r="8823" spans="1:1" x14ac:dyDescent="0.3">
      <c r="A8823" s="1"/>
    </row>
    <row r="8825" spans="1:1" x14ac:dyDescent="0.3">
      <c r="A8825" s="1"/>
    </row>
    <row r="8842" spans="1:1" x14ac:dyDescent="0.3">
      <c r="A8842" s="1"/>
    </row>
    <row r="8846" spans="1:1" x14ac:dyDescent="0.3">
      <c r="A8846" s="1"/>
    </row>
    <row r="8850" spans="1:1" x14ac:dyDescent="0.3">
      <c r="A8850" s="1"/>
    </row>
    <row r="8854" spans="1:1" x14ac:dyDescent="0.3">
      <c r="A8854" s="1"/>
    </row>
    <row r="8858" spans="1:1" x14ac:dyDescent="0.3">
      <c r="A8858" s="1"/>
    </row>
    <row r="8862" spans="1:1" x14ac:dyDescent="0.3">
      <c r="A8862" s="1"/>
    </row>
    <row r="8866" spans="1:1" x14ac:dyDescent="0.3">
      <c r="A8866" s="1"/>
    </row>
    <row r="8867" spans="1:1" x14ac:dyDescent="0.3">
      <c r="A8867" s="1"/>
    </row>
    <row r="8869" spans="1:1" x14ac:dyDescent="0.3">
      <c r="A8869" s="1"/>
    </row>
    <row r="8871" spans="1:1" x14ac:dyDescent="0.3">
      <c r="A8871" s="1"/>
    </row>
    <row r="8873" spans="1:1" x14ac:dyDescent="0.3">
      <c r="A8873" s="1"/>
    </row>
    <row r="8875" spans="1:1" x14ac:dyDescent="0.3">
      <c r="A8875" s="1"/>
    </row>
    <row r="8877" spans="1:1" x14ac:dyDescent="0.3">
      <c r="A8877" s="1"/>
    </row>
    <row r="8879" spans="1:1" x14ac:dyDescent="0.3">
      <c r="A8879" s="1"/>
    </row>
    <row r="8881" spans="1:1" x14ac:dyDescent="0.3">
      <c r="A8881" s="1"/>
    </row>
    <row r="8883" spans="1:1" x14ac:dyDescent="0.3">
      <c r="A8883" s="1"/>
    </row>
    <row r="8885" spans="1:1" x14ac:dyDescent="0.3">
      <c r="A8885" s="1"/>
    </row>
    <row r="8887" spans="1:1" x14ac:dyDescent="0.3">
      <c r="A8887" s="1"/>
    </row>
    <row r="8915" spans="1:1" x14ac:dyDescent="0.3">
      <c r="A8915" s="1"/>
    </row>
    <row r="9015" spans="1:1" x14ac:dyDescent="0.3">
      <c r="A9015" s="1"/>
    </row>
    <row r="9143" spans="1:1" x14ac:dyDescent="0.3">
      <c r="A9143" s="1"/>
    </row>
    <row r="9271" spans="1:1" x14ac:dyDescent="0.3">
      <c r="A9271" s="1"/>
    </row>
    <row r="9284" spans="1:1" x14ac:dyDescent="0.3">
      <c r="A9284" s="1"/>
    </row>
    <row r="9533" spans="1:1" x14ac:dyDescent="0.3">
      <c r="A9533" s="1"/>
    </row>
    <row r="9782" spans="1:1" x14ac:dyDescent="0.3">
      <c r="A9782" s="1"/>
    </row>
    <row r="10031" spans="1:1" x14ac:dyDescent="0.3">
      <c r="A10031" s="1"/>
    </row>
    <row r="10280" spans="1:1" x14ac:dyDescent="0.3">
      <c r="A10280" s="1"/>
    </row>
    <row r="10649" spans="1:1" x14ac:dyDescent="0.3">
      <c r="A10649" s="1"/>
    </row>
    <row r="11018" spans="1:1" x14ac:dyDescent="0.3">
      <c r="A11018" s="1"/>
    </row>
    <row r="11387" spans="1:1" x14ac:dyDescent="0.3">
      <c r="A11387" s="1"/>
    </row>
    <row r="11756" spans="1:1" x14ac:dyDescent="0.3">
      <c r="A11756" s="1"/>
    </row>
    <row r="12629" spans="1:1" x14ac:dyDescent="0.3">
      <c r="A12629" s="1"/>
    </row>
    <row r="13502" spans="1:1" x14ac:dyDescent="0.3">
      <c r="A13502" s="1"/>
    </row>
    <row r="13751" spans="1:1" x14ac:dyDescent="0.3">
      <c r="A13751" s="1"/>
    </row>
    <row r="14120" spans="1:1" x14ac:dyDescent="0.3">
      <c r="A14120" s="1"/>
    </row>
    <row r="14489" spans="1:1" x14ac:dyDescent="0.3">
      <c r="A14489" s="1"/>
    </row>
    <row r="15122" spans="1:1" x14ac:dyDescent="0.3">
      <c r="A15122" s="1"/>
    </row>
    <row r="15755" spans="1:1" x14ac:dyDescent="0.3">
      <c r="A15755" s="1"/>
    </row>
    <row r="16124" spans="1:1" x14ac:dyDescent="0.3">
      <c r="A16124" s="1"/>
    </row>
    <row r="16997" spans="1:1" x14ac:dyDescent="0.3">
      <c r="A16997" s="1"/>
    </row>
    <row r="17246" spans="1:1" x14ac:dyDescent="0.3">
      <c r="A17246" s="1"/>
    </row>
    <row r="17495" spans="1:1" x14ac:dyDescent="0.3">
      <c r="A17495" s="1"/>
    </row>
    <row r="17744" spans="1:1" x14ac:dyDescent="0.3">
      <c r="A17744" s="1"/>
    </row>
    <row r="17993" spans="1:1" x14ac:dyDescent="0.3">
      <c r="A17993" s="1"/>
    </row>
    <row r="18242" spans="1:1" x14ac:dyDescent="0.3">
      <c r="A18242" s="1"/>
    </row>
  </sheetData>
  <dataConsolidate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A1352"/>
  <sheetViews>
    <sheetView topLeftCell="A1338" workbookViewId="0">
      <selection activeCell="H16" sqref="H16"/>
    </sheetView>
  </sheetViews>
  <sheetFormatPr defaultRowHeight="14.4" x14ac:dyDescent="0.3"/>
  <cols>
    <col min="1" max="1" width="105.109375" customWidth="1"/>
  </cols>
  <sheetData>
    <row r="1" spans="1:1" x14ac:dyDescent="0.3">
      <c r="A1" t="s">
        <v>2440</v>
      </c>
    </row>
    <row r="5" spans="1:1" x14ac:dyDescent="0.3">
      <c r="A5" t="s">
        <v>2311</v>
      </c>
    </row>
    <row r="6" spans="1:1" x14ac:dyDescent="0.3">
      <c r="A6" t="s">
        <v>1135</v>
      </c>
    </row>
    <row r="7" spans="1:1" x14ac:dyDescent="0.3">
      <c r="A7" t="s">
        <v>2409</v>
      </c>
    </row>
    <row r="9" spans="1:1" x14ac:dyDescent="0.3">
      <c r="A9" t="s">
        <v>1044</v>
      </c>
    </row>
    <row r="10" spans="1:1" x14ac:dyDescent="0.3">
      <c r="A10" t="s">
        <v>2410</v>
      </c>
    </row>
    <row r="12" spans="1:1" x14ac:dyDescent="0.3">
      <c r="A12" t="s">
        <v>1045</v>
      </c>
    </row>
    <row r="13" spans="1:1" x14ac:dyDescent="0.3">
      <c r="A13" t="s">
        <v>2411</v>
      </c>
    </row>
    <row r="15" spans="1:1" x14ac:dyDescent="0.3">
      <c r="A15" t="s">
        <v>1046</v>
      </c>
    </row>
    <row r="16" spans="1:1" x14ac:dyDescent="0.3">
      <c r="A16" t="s">
        <v>2412</v>
      </c>
    </row>
    <row r="18" spans="1:1" x14ac:dyDescent="0.3">
      <c r="A18" t="s">
        <v>1047</v>
      </c>
    </row>
    <row r="19" spans="1:1" x14ac:dyDescent="0.3">
      <c r="A19" t="s">
        <v>2413</v>
      </c>
    </row>
    <row r="23" spans="1:1" x14ac:dyDescent="0.3">
      <c r="A23" t="s">
        <v>2214</v>
      </c>
    </row>
    <row r="28" spans="1:1" x14ac:dyDescent="0.3">
      <c r="A28" t="s">
        <v>2310</v>
      </c>
    </row>
    <row r="1352" spans="1:1" x14ac:dyDescent="0.3">
      <c r="A1352" s="86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A149"/>
  <sheetViews>
    <sheetView workbookViewId="0">
      <selection activeCell="A127" sqref="A127"/>
    </sheetView>
  </sheetViews>
  <sheetFormatPr defaultRowHeight="14.4" x14ac:dyDescent="0.3"/>
  <sheetData>
    <row r="1" spans="1:1" x14ac:dyDescent="0.3">
      <c r="A1" t="s">
        <v>1182</v>
      </c>
    </row>
    <row r="3" spans="1:1" x14ac:dyDescent="0.3">
      <c r="A3" t="s">
        <v>1168</v>
      </c>
    </row>
    <row r="4" spans="1:1" x14ac:dyDescent="0.3">
      <c r="A4" t="s">
        <v>1135</v>
      </c>
    </row>
    <row r="5" spans="1:1" x14ac:dyDescent="0.3">
      <c r="A5" t="s">
        <v>1183</v>
      </c>
    </row>
    <row r="7" spans="1:1" x14ac:dyDescent="0.3">
      <c r="A7" t="s">
        <v>1044</v>
      </c>
    </row>
    <row r="8" spans="1:1" x14ac:dyDescent="0.3">
      <c r="A8" t="s">
        <v>1184</v>
      </c>
    </row>
    <row r="10" spans="1:1" x14ac:dyDescent="0.3">
      <c r="A10" t="s">
        <v>1045</v>
      </c>
    </row>
    <row r="11" spans="1:1" x14ac:dyDescent="0.3">
      <c r="A11" t="s">
        <v>1185</v>
      </c>
    </row>
    <row r="13" spans="1:1" x14ac:dyDescent="0.3">
      <c r="A13" t="s">
        <v>1046</v>
      </c>
    </row>
    <row r="14" spans="1:1" x14ac:dyDescent="0.3">
      <c r="A14" t="s">
        <v>1186</v>
      </c>
    </row>
    <row r="16" spans="1:1" x14ac:dyDescent="0.3">
      <c r="A16" t="s">
        <v>1169</v>
      </c>
    </row>
    <row r="17" spans="1:1" x14ac:dyDescent="0.3">
      <c r="A17" t="s">
        <v>1135</v>
      </c>
    </row>
    <row r="18" spans="1:1" x14ac:dyDescent="0.3">
      <c r="A18" t="s">
        <v>1187</v>
      </c>
    </row>
    <row r="20" spans="1:1" x14ac:dyDescent="0.3">
      <c r="A20" t="s">
        <v>1044</v>
      </c>
    </row>
    <row r="21" spans="1:1" x14ac:dyDescent="0.3">
      <c r="A21" t="s">
        <v>1188</v>
      </c>
    </row>
    <row r="23" spans="1:1" x14ac:dyDescent="0.3">
      <c r="A23" t="s">
        <v>1045</v>
      </c>
    </row>
    <row r="24" spans="1:1" x14ac:dyDescent="0.3">
      <c r="A24" t="s">
        <v>1189</v>
      </c>
    </row>
    <row r="26" spans="1:1" x14ac:dyDescent="0.3">
      <c r="A26" t="s">
        <v>1046</v>
      </c>
    </row>
    <row r="27" spans="1:1" x14ac:dyDescent="0.3">
      <c r="A27" t="s">
        <v>1190</v>
      </c>
    </row>
    <row r="29" spans="1:1" x14ac:dyDescent="0.3">
      <c r="A29" t="s">
        <v>1047</v>
      </c>
    </row>
    <row r="30" spans="1:1" x14ac:dyDescent="0.3">
      <c r="A30" t="s">
        <v>1191</v>
      </c>
    </row>
    <row r="32" spans="1:1" x14ac:dyDescent="0.3">
      <c r="A32" t="s">
        <v>1136</v>
      </c>
    </row>
    <row r="33" spans="1:1" x14ac:dyDescent="0.3">
      <c r="A33" t="s">
        <v>1192</v>
      </c>
    </row>
    <row r="35" spans="1:1" x14ac:dyDescent="0.3">
      <c r="A35" t="s">
        <v>1048</v>
      </c>
    </row>
    <row r="36" spans="1:1" x14ac:dyDescent="0.3">
      <c r="A36" t="s">
        <v>1193</v>
      </c>
    </row>
    <row r="38" spans="1:1" x14ac:dyDescent="0.3">
      <c r="A38" t="s">
        <v>1049</v>
      </c>
    </row>
    <row r="39" spans="1:1" x14ac:dyDescent="0.3">
      <c r="A39" t="s">
        <v>1194</v>
      </c>
    </row>
    <row r="41" spans="1:1" x14ac:dyDescent="0.3">
      <c r="A41" t="s">
        <v>1050</v>
      </c>
    </row>
    <row r="42" spans="1:1" x14ac:dyDescent="0.3">
      <c r="A42" t="s">
        <v>1195</v>
      </c>
    </row>
    <row r="44" spans="1:1" x14ac:dyDescent="0.3">
      <c r="A44" t="s">
        <v>1051</v>
      </c>
    </row>
    <row r="45" spans="1:1" x14ac:dyDescent="0.3">
      <c r="A45" t="s">
        <v>1196</v>
      </c>
    </row>
    <row r="47" spans="1:1" x14ac:dyDescent="0.3">
      <c r="A47" t="s">
        <v>1053</v>
      </c>
    </row>
    <row r="48" spans="1:1" x14ac:dyDescent="0.3">
      <c r="A48" t="s">
        <v>1197</v>
      </c>
    </row>
    <row r="50" spans="1:1" x14ac:dyDescent="0.3">
      <c r="A50" t="s">
        <v>1137</v>
      </c>
    </row>
    <row r="51" spans="1:1" x14ac:dyDescent="0.3">
      <c r="A51" t="s">
        <v>1198</v>
      </c>
    </row>
    <row r="53" spans="1:1" x14ac:dyDescent="0.3">
      <c r="A53" t="s">
        <v>1054</v>
      </c>
    </row>
    <row r="54" spans="1:1" x14ac:dyDescent="0.3">
      <c r="A54" t="s">
        <v>1199</v>
      </c>
    </row>
    <row r="56" spans="1:1" x14ac:dyDescent="0.3">
      <c r="A56" t="s">
        <v>1055</v>
      </c>
    </row>
    <row r="57" spans="1:1" x14ac:dyDescent="0.3">
      <c r="A57" t="s">
        <v>1200</v>
      </c>
    </row>
    <row r="59" spans="1:1" x14ac:dyDescent="0.3">
      <c r="A59" t="s">
        <v>1056</v>
      </c>
    </row>
    <row r="60" spans="1:1" x14ac:dyDescent="0.3">
      <c r="A60" t="s">
        <v>1201</v>
      </c>
    </row>
    <row r="62" spans="1:1" x14ac:dyDescent="0.3">
      <c r="A62" t="s">
        <v>1057</v>
      </c>
    </row>
    <row r="63" spans="1:1" x14ac:dyDescent="0.3">
      <c r="A63" t="s">
        <v>1202</v>
      </c>
    </row>
    <row r="65" spans="1:1" x14ac:dyDescent="0.3">
      <c r="A65" t="s">
        <v>1058</v>
      </c>
    </row>
    <row r="66" spans="1:1" x14ac:dyDescent="0.3">
      <c r="A66" t="s">
        <v>1203</v>
      </c>
    </row>
    <row r="68" spans="1:1" x14ac:dyDescent="0.3">
      <c r="A68" t="s">
        <v>1059</v>
      </c>
    </row>
    <row r="69" spans="1:1" x14ac:dyDescent="0.3">
      <c r="A69" t="s">
        <v>1204</v>
      </c>
    </row>
    <row r="71" spans="1:1" x14ac:dyDescent="0.3">
      <c r="A71" t="s">
        <v>1060</v>
      </c>
    </row>
    <row r="72" spans="1:1" x14ac:dyDescent="0.3">
      <c r="A72" t="s">
        <v>1205</v>
      </c>
    </row>
    <row r="74" spans="1:1" x14ac:dyDescent="0.3">
      <c r="A74" t="s">
        <v>1061</v>
      </c>
    </row>
    <row r="75" spans="1:1" x14ac:dyDescent="0.3">
      <c r="A75" t="s">
        <v>1206</v>
      </c>
    </row>
    <row r="77" spans="1:1" x14ac:dyDescent="0.3">
      <c r="A77" t="s">
        <v>1062</v>
      </c>
    </row>
    <row r="78" spans="1:1" x14ac:dyDescent="0.3">
      <c r="A78" t="s">
        <v>1207</v>
      </c>
    </row>
    <row r="80" spans="1:1" x14ac:dyDescent="0.3">
      <c r="A80" t="s">
        <v>1138</v>
      </c>
    </row>
    <row r="81" spans="1:1" x14ac:dyDescent="0.3">
      <c r="A81" t="s">
        <v>1208</v>
      </c>
    </row>
    <row r="83" spans="1:1" x14ac:dyDescent="0.3">
      <c r="A83" t="s">
        <v>1063</v>
      </c>
    </row>
    <row r="84" spans="1:1" x14ac:dyDescent="0.3">
      <c r="A84" t="s">
        <v>1209</v>
      </c>
    </row>
    <row r="86" spans="1:1" x14ac:dyDescent="0.3">
      <c r="A86" t="s">
        <v>1064</v>
      </c>
    </row>
    <row r="87" spans="1:1" x14ac:dyDescent="0.3">
      <c r="A87" t="s">
        <v>1210</v>
      </c>
    </row>
    <row r="89" spans="1:1" x14ac:dyDescent="0.3">
      <c r="A89" t="s">
        <v>1065</v>
      </c>
    </row>
    <row r="90" spans="1:1" x14ac:dyDescent="0.3">
      <c r="A90" t="s">
        <v>1211</v>
      </c>
    </row>
    <row r="92" spans="1:1" x14ac:dyDescent="0.3">
      <c r="A92" t="s">
        <v>1066</v>
      </c>
    </row>
    <row r="93" spans="1:1" x14ac:dyDescent="0.3">
      <c r="A93" t="s">
        <v>1212</v>
      </c>
    </row>
    <row r="95" spans="1:1" x14ac:dyDescent="0.3">
      <c r="A95" t="s">
        <v>1067</v>
      </c>
    </row>
    <row r="96" spans="1:1" x14ac:dyDescent="0.3">
      <c r="A96" t="s">
        <v>1213</v>
      </c>
    </row>
    <row r="98" spans="1:1" x14ac:dyDescent="0.3">
      <c r="A98" t="s">
        <v>1068</v>
      </c>
    </row>
    <row r="99" spans="1:1" x14ac:dyDescent="0.3">
      <c r="A99" t="s">
        <v>1214</v>
      </c>
    </row>
    <row r="101" spans="1:1" x14ac:dyDescent="0.3">
      <c r="A101" t="s">
        <v>1069</v>
      </c>
    </row>
    <row r="102" spans="1:1" x14ac:dyDescent="0.3">
      <c r="A102" t="s">
        <v>1215</v>
      </c>
    </row>
    <row r="104" spans="1:1" x14ac:dyDescent="0.3">
      <c r="A104" t="s">
        <v>1070</v>
      </c>
    </row>
    <row r="105" spans="1:1" x14ac:dyDescent="0.3">
      <c r="A105" t="s">
        <v>1216</v>
      </c>
    </row>
    <row r="107" spans="1:1" x14ac:dyDescent="0.3">
      <c r="A107" t="s">
        <v>1071</v>
      </c>
    </row>
    <row r="108" spans="1:1" x14ac:dyDescent="0.3">
      <c r="A108" t="s">
        <v>1217</v>
      </c>
    </row>
    <row r="110" spans="1:1" x14ac:dyDescent="0.3">
      <c r="A110" t="s">
        <v>1139</v>
      </c>
    </row>
    <row r="111" spans="1:1" x14ac:dyDescent="0.3">
      <c r="A111" t="s">
        <v>1218</v>
      </c>
    </row>
    <row r="113" spans="1:1" x14ac:dyDescent="0.3">
      <c r="A113" t="s">
        <v>1170</v>
      </c>
    </row>
    <row r="114" spans="1:1" x14ac:dyDescent="0.3">
      <c r="A114" t="s">
        <v>1135</v>
      </c>
    </row>
    <row r="115" spans="1:1" x14ac:dyDescent="0.3">
      <c r="A115" t="s">
        <v>1219</v>
      </c>
    </row>
    <row r="117" spans="1:1" x14ac:dyDescent="0.3">
      <c r="A117" t="s">
        <v>1044</v>
      </c>
    </row>
    <row r="118" spans="1:1" x14ac:dyDescent="0.3">
      <c r="A118" t="s">
        <v>1220</v>
      </c>
    </row>
    <row r="120" spans="1:1" x14ac:dyDescent="0.3">
      <c r="A120" t="s">
        <v>1171</v>
      </c>
    </row>
    <row r="121" spans="1:1" x14ac:dyDescent="0.3">
      <c r="A121" t="s">
        <v>1135</v>
      </c>
    </row>
    <row r="122" spans="1:1" x14ac:dyDescent="0.3">
      <c r="A122" t="s">
        <v>1221</v>
      </c>
    </row>
    <row r="124" spans="1:1" x14ac:dyDescent="0.3">
      <c r="A124" t="s">
        <v>1044</v>
      </c>
    </row>
    <row r="125" spans="1:1" x14ac:dyDescent="0.3">
      <c r="A125" t="s">
        <v>1222</v>
      </c>
    </row>
    <row r="127" spans="1:1" x14ac:dyDescent="0.3">
      <c r="A127" t="s">
        <v>1045</v>
      </c>
    </row>
    <row r="128" spans="1:1" x14ac:dyDescent="0.3">
      <c r="A128" t="s">
        <v>1223</v>
      </c>
    </row>
    <row r="130" spans="1:1" x14ac:dyDescent="0.3">
      <c r="A130" t="s">
        <v>1046</v>
      </c>
    </row>
    <row r="131" spans="1:1" x14ac:dyDescent="0.3">
      <c r="A131" t="s">
        <v>1224</v>
      </c>
    </row>
    <row r="133" spans="1:1" x14ac:dyDescent="0.3">
      <c r="A133" t="s">
        <v>1047</v>
      </c>
    </row>
    <row r="134" spans="1:1" x14ac:dyDescent="0.3">
      <c r="A134" t="s">
        <v>1225</v>
      </c>
    </row>
    <row r="136" spans="1:1" x14ac:dyDescent="0.3">
      <c r="A136" t="s">
        <v>1136</v>
      </c>
    </row>
    <row r="137" spans="1:1" x14ac:dyDescent="0.3">
      <c r="A137" t="s">
        <v>1226</v>
      </c>
    </row>
    <row r="139" spans="1:1" x14ac:dyDescent="0.3">
      <c r="A139" t="s">
        <v>1048</v>
      </c>
    </row>
    <row r="140" spans="1:1" x14ac:dyDescent="0.3">
      <c r="A140" t="s">
        <v>1227</v>
      </c>
    </row>
    <row r="142" spans="1:1" x14ac:dyDescent="0.3">
      <c r="A142" t="s">
        <v>1049</v>
      </c>
    </row>
    <row r="143" spans="1:1" x14ac:dyDescent="0.3">
      <c r="A143" t="s">
        <v>1228</v>
      </c>
    </row>
    <row r="145" spans="1:1" x14ac:dyDescent="0.3">
      <c r="A145" t="s">
        <v>1050</v>
      </c>
    </row>
    <row r="146" spans="1:1" x14ac:dyDescent="0.3">
      <c r="A146" t="s">
        <v>1229</v>
      </c>
    </row>
    <row r="148" spans="1:1" x14ac:dyDescent="0.3">
      <c r="A148" t="s">
        <v>1051</v>
      </c>
    </row>
    <row r="149" spans="1:1" x14ac:dyDescent="0.3">
      <c r="A149" t="s">
        <v>1230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A30"/>
  <sheetViews>
    <sheetView workbookViewId="0">
      <selection activeCell="A13" sqref="A13"/>
    </sheetView>
  </sheetViews>
  <sheetFormatPr defaultRowHeight="14.4" x14ac:dyDescent="0.3"/>
  <sheetData>
    <row r="1" spans="1:1" x14ac:dyDescent="0.3">
      <c r="A1" t="s">
        <v>1231</v>
      </c>
    </row>
    <row r="3" spans="1:1" x14ac:dyDescent="0.3">
      <c r="A3" t="s">
        <v>1173</v>
      </c>
    </row>
    <row r="4" spans="1:1" x14ac:dyDescent="0.3">
      <c r="A4" t="s">
        <v>1135</v>
      </c>
    </row>
    <row r="5" spans="1:1" x14ac:dyDescent="0.3">
      <c r="A5" t="s">
        <v>1232</v>
      </c>
    </row>
    <row r="7" spans="1:1" x14ac:dyDescent="0.3">
      <c r="A7" t="s">
        <v>1044</v>
      </c>
    </row>
    <row r="8" spans="1:1" x14ac:dyDescent="0.3">
      <c r="A8" t="s">
        <v>1233</v>
      </c>
    </row>
    <row r="10" spans="1:1" x14ac:dyDescent="0.3">
      <c r="A10" t="s">
        <v>1045</v>
      </c>
    </row>
    <row r="11" spans="1:1" x14ac:dyDescent="0.3">
      <c r="A11" t="s">
        <v>1234</v>
      </c>
    </row>
    <row r="13" spans="1:1" x14ac:dyDescent="0.3">
      <c r="A13" t="s">
        <v>1174</v>
      </c>
    </row>
    <row r="14" spans="1:1" x14ac:dyDescent="0.3">
      <c r="A14" t="s">
        <v>1135</v>
      </c>
    </row>
    <row r="15" spans="1:1" x14ac:dyDescent="0.3">
      <c r="A15" t="s">
        <v>1235</v>
      </c>
    </row>
    <row r="17" spans="1:1" x14ac:dyDescent="0.3">
      <c r="A17" t="s">
        <v>1044</v>
      </c>
    </row>
    <row r="18" spans="1:1" x14ac:dyDescent="0.3">
      <c r="A18" t="s">
        <v>1236</v>
      </c>
    </row>
    <row r="20" spans="1:1" x14ac:dyDescent="0.3">
      <c r="A20" t="s">
        <v>1045</v>
      </c>
    </row>
    <row r="21" spans="1:1" x14ac:dyDescent="0.3">
      <c r="A21" t="s">
        <v>1237</v>
      </c>
    </row>
    <row r="23" spans="1:1" x14ac:dyDescent="0.3">
      <c r="A23" t="s">
        <v>1046</v>
      </c>
    </row>
    <row r="24" spans="1:1" x14ac:dyDescent="0.3">
      <c r="A24" t="s">
        <v>1238</v>
      </c>
    </row>
    <row r="26" spans="1:1" x14ac:dyDescent="0.3">
      <c r="A26" t="s">
        <v>1047</v>
      </c>
    </row>
    <row r="27" spans="1:1" x14ac:dyDescent="0.3">
      <c r="A27" t="s">
        <v>1239</v>
      </c>
    </row>
    <row r="29" spans="1:1" x14ac:dyDescent="0.3">
      <c r="A29" t="s">
        <v>1136</v>
      </c>
    </row>
    <row r="30" spans="1:1" x14ac:dyDescent="0.3">
      <c r="A30" t="s">
        <v>1240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"/>
  <sheetViews>
    <sheetView workbookViewId="0"/>
  </sheetViews>
  <sheetFormatPr defaultRowHeight="14.4" x14ac:dyDescent="0.3"/>
  <sheetData>
    <row r="1" spans="1:1" ht="409.6" x14ac:dyDescent="0.3">
      <c r="A1" s="86" t="s">
        <v>1988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101</vt:i4>
      </vt:variant>
    </vt:vector>
  </HeadingPairs>
  <TitlesOfParts>
    <vt:vector size="132" baseType="lpstr">
      <vt:lpstr>ERM_TABLE</vt:lpstr>
      <vt:lpstr>ERM_TABLE_ATTR</vt:lpstr>
      <vt:lpstr>ERM_DOMAIN</vt:lpstr>
      <vt:lpstr>ERM_TABLE_VIEW </vt:lpstr>
      <vt:lpstr>SEC_GRP_TAB_ATTR</vt:lpstr>
      <vt:lpstr>SEC_GRP</vt:lpstr>
      <vt:lpstr>TAB_SEC_GRP</vt:lpstr>
      <vt:lpstr>SEC_ROLE</vt:lpstr>
      <vt:lpstr>USR_GRP_SEC_GRP</vt:lpstr>
      <vt:lpstr>USR_USR_GRP</vt:lpstr>
      <vt:lpstr>USR_GRP</vt:lpstr>
      <vt:lpstr>SEC_ROLES_PRIV</vt:lpstr>
      <vt:lpstr>SEC_PRIV</vt:lpstr>
      <vt:lpstr>USR</vt:lpstr>
      <vt:lpstr>JOIN_ATTR</vt:lpstr>
      <vt:lpstr>JOIN_LIST</vt:lpstr>
      <vt:lpstr>ETL_PROC</vt:lpstr>
      <vt:lpstr>ETL_PROC_PARAM</vt:lpstr>
      <vt:lpstr>TEMPLATES_WIDE</vt:lpstr>
      <vt:lpstr>JOIN_PART</vt:lpstr>
      <vt:lpstr>JOIN_PART_EXP</vt:lpstr>
      <vt:lpstr>TEMPLATES</vt:lpstr>
      <vt:lpstr>LST</vt:lpstr>
      <vt:lpstr>Лист1</vt:lpstr>
      <vt:lpstr>ChangeLog</vt:lpstr>
      <vt:lpstr>Скрипт</vt:lpstr>
      <vt:lpstr>Скрипт_очистки</vt:lpstr>
      <vt:lpstr>Security</vt:lpstr>
      <vt:lpstr>View</vt:lpstr>
      <vt:lpstr>ETL</vt:lpstr>
      <vt:lpstr>Лист2</vt:lpstr>
      <vt:lpstr>_A</vt:lpstr>
      <vt:lpstr>_S</vt:lpstr>
      <vt:lpstr>_T</vt:lpstr>
      <vt:lpstr>ChangeLog!_ФильтрБазыДанных</vt:lpstr>
      <vt:lpstr>ATTR_NAME</vt:lpstr>
      <vt:lpstr>BUILD_LIST</vt:lpstr>
      <vt:lpstr>DATATYPES_DBMS</vt:lpstr>
      <vt:lpstr>DATATYPES_DEFAULT_FORMAT</vt:lpstr>
      <vt:lpstr>DBCONFIG_SH</vt:lpstr>
      <vt:lpstr>DBPARAM_SH</vt:lpstr>
      <vt:lpstr>DEF_FIELDS</vt:lpstr>
      <vt:lpstr>DEF_FIELDS_DOMAIN</vt:lpstr>
      <vt:lpstr>DEF_MAX_DT</vt:lpstr>
      <vt:lpstr>DEF_MAX_DT_DBMS</vt:lpstr>
      <vt:lpstr>DEF_MIN_DT</vt:lpstr>
      <vt:lpstr>DEF_MIN_DT_DBMS</vt:lpstr>
      <vt:lpstr>delete_sec</vt:lpstr>
      <vt:lpstr>DICT_DOMAIN_ALL</vt:lpstr>
      <vt:lpstr>DICT_MAT_TEMPLATES</vt:lpstr>
      <vt:lpstr>DICT_PART_VIEWS</vt:lpstr>
      <vt:lpstr>DICT_TEMPLATES</vt:lpstr>
      <vt:lpstr>DICT_TEMPLATES_ATTR_META</vt:lpstr>
      <vt:lpstr>DICT_TYPES</vt:lpstr>
      <vt:lpstr>DICT_TYPES_LOOKUP</vt:lpstr>
      <vt:lpstr>DOMAIN</vt:lpstr>
      <vt:lpstr>drop_view_block</vt:lpstr>
      <vt:lpstr>ERM_DOMAIN</vt:lpstr>
      <vt:lpstr>ERM_DOMAIN_ALL</vt:lpstr>
      <vt:lpstr>ERM_DOMAIN_NM</vt:lpstr>
      <vt:lpstr>ERM_TABLE_ALL</vt:lpstr>
      <vt:lpstr>ERM_TABLE_ATTR_ALL</vt:lpstr>
      <vt:lpstr>ERM_TABLE_NM</vt:lpstr>
      <vt:lpstr>ERM_TABLE_VIEW</vt:lpstr>
      <vt:lpstr>ETL_DROP</vt:lpstr>
      <vt:lpstr>ETL_PROC_ALL</vt:lpstr>
      <vt:lpstr>ETL_PROC_PARAM_ALL</vt:lpstr>
      <vt:lpstr>EXCEL_BUG_DT</vt:lpstr>
      <vt:lpstr>FLAT_HIER</vt:lpstr>
      <vt:lpstr>INSERT_attr</vt:lpstr>
      <vt:lpstr>INSERT_table</vt:lpstr>
      <vt:lpstr>JOIN_ATTR_ALL</vt:lpstr>
      <vt:lpstr>JOIN_PART!JOIN_LIST_ALL</vt:lpstr>
      <vt:lpstr>JOIN_PART_EXP!JOIN_LIST_ALL</vt:lpstr>
      <vt:lpstr>JOIN_LIST_ALL</vt:lpstr>
      <vt:lpstr>JOIN_PART_EXP!JOIN_PART_ALL</vt:lpstr>
      <vt:lpstr>JOIN_PART_ALL</vt:lpstr>
      <vt:lpstr>JOIN_PART_EXP_ALL</vt:lpstr>
      <vt:lpstr>K_SELECT</vt:lpstr>
      <vt:lpstr>LOGON_BTEQ</vt:lpstr>
      <vt:lpstr>LU</vt:lpstr>
      <vt:lpstr>MAIN_BTEQ</vt:lpstr>
      <vt:lpstr>MAIN_SH</vt:lpstr>
      <vt:lpstr>MAT_VIEW_TEMPLATE</vt:lpstr>
      <vt:lpstr>META_SCRIPTS</vt:lpstr>
      <vt:lpstr>METADATA_DROP</vt:lpstr>
      <vt:lpstr>METADATA_INSERT</vt:lpstr>
      <vt:lpstr>METADATA_TAB</vt:lpstr>
      <vt:lpstr>MetadataModel</vt:lpstr>
      <vt:lpstr>PARTITION</vt:lpstr>
      <vt:lpstr>PLUS</vt:lpstr>
      <vt:lpstr>PRIV_NAME_ALL</vt:lpstr>
      <vt:lpstr>PROTECTED_MODE</vt:lpstr>
      <vt:lpstr>Q_VIEW_TEMPLATE</vt:lpstr>
      <vt:lpstr>ROLE_NAME</vt:lpstr>
      <vt:lpstr>SCHEMA_SYSDBA</vt:lpstr>
      <vt:lpstr>SCRIPT_PARTS</vt:lpstr>
      <vt:lpstr>SCRIPT_PARTS_FICT</vt:lpstr>
      <vt:lpstr>sec_grp</vt:lpstr>
      <vt:lpstr>SEC_GRP_ALL</vt:lpstr>
      <vt:lpstr>SEC_GRP_TAB_ATR_ALL</vt:lpstr>
      <vt:lpstr>SEC_ROLE_ALL</vt:lpstr>
      <vt:lpstr>SEC_ROLES_PRIV_ALL</vt:lpstr>
      <vt:lpstr>set_antepost_flag</vt:lpstr>
      <vt:lpstr>set_insert_flag</vt:lpstr>
      <vt:lpstr>set_jazz_build</vt:lpstr>
      <vt:lpstr>set_jazz_no</vt:lpstr>
      <vt:lpstr>SRD_PREF_1</vt:lpstr>
      <vt:lpstr>STD_VIEW_COLUMNS</vt:lpstr>
      <vt:lpstr>TAB_SEC_GRP</vt:lpstr>
      <vt:lpstr>templates_meta</vt:lpstr>
      <vt:lpstr>USR_ALL</vt:lpstr>
      <vt:lpstr>USR_GRP_ALL</vt:lpstr>
      <vt:lpstr>USR_GRP_NAME</vt:lpstr>
      <vt:lpstr>USR_GRP_SEC_GRP_ALL</vt:lpstr>
      <vt:lpstr>USR_NAME</vt:lpstr>
      <vt:lpstr>USR_USR_GRP_ALL</vt:lpstr>
      <vt:lpstr>V_K_PATCH</vt:lpstr>
      <vt:lpstr>V_PATCH</vt:lpstr>
      <vt:lpstr>V_PATCH_RDM</vt:lpstr>
      <vt:lpstr>V_PATCH_UNILOAD</vt:lpstr>
      <vt:lpstr>V_PATCH_UNISAVE</vt:lpstr>
      <vt:lpstr>V_SELECT</vt:lpstr>
      <vt:lpstr>V_VIEW_TEMPLATE</vt:lpstr>
      <vt:lpstr>VIEW_LOG</vt:lpstr>
      <vt:lpstr>W_VIEW_TEMPLATE</vt:lpstr>
      <vt:lpstr>X_VIEW_TEMPLATE</vt:lpstr>
      <vt:lpstr>Y_VIEW_TEMPLATE</vt:lpstr>
      <vt:lpstr>YN</vt:lpstr>
      <vt:lpstr>Z_VIEW_TEMPLATE</vt:lpstr>
      <vt:lpstr>Z_VIEW_XREF_TEMPLATE</vt:lpstr>
      <vt:lpstr>Z_VIEW_XREF_TEMPLATE_DT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O.Ashcheulova@hostco.ru</dc:creator>
  <cp:lastModifiedBy>Ashcheulova Olga</cp:lastModifiedBy>
  <cp:lastPrinted>2012-06-21T11:04:29Z</cp:lastPrinted>
  <dcterms:created xsi:type="dcterms:W3CDTF">2012-05-03T09:37:57Z</dcterms:created>
  <dcterms:modified xsi:type="dcterms:W3CDTF">2019-01-26T06:36:38Z</dcterms:modified>
</cp:coreProperties>
</file>