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ЭтаКнига"/>
  <mc:AlternateContent xmlns:mc="http://schemas.openxmlformats.org/markup-compatibility/2006">
    <mc:Choice Requires="x15">
      <x15ac:absPath xmlns:x15ac="http://schemas.microsoft.com/office/spreadsheetml/2010/11/ac" url="J:\Макросы_25_01\"/>
    </mc:Choice>
  </mc:AlternateContent>
  <bookViews>
    <workbookView xWindow="120" yWindow="348" windowWidth="15120" windowHeight="7776" firstSheet="1" activeTab="1"/>
  </bookViews>
  <sheets>
    <sheet name="Видимость" sheetId="4" state="hidden" r:id="rId1"/>
    <sheet name="Прочти меня!" sheetId="5" r:id="rId2"/>
    <sheet name="Пояснительная записка" sheetId="1" r:id="rId3"/>
    <sheet name="Справочник" sheetId="2" state="hidden" r:id="rId4"/>
    <sheet name="Обоснование начальной стоимости" sheetId="3" r:id="rId5"/>
  </sheets>
  <functionGroups builtInGroupCount="18"/>
  <definedNames>
    <definedName name="АХР">Справочник!$D$2:$D$153</definedName>
    <definedName name="Вариант_закупки">Видимость!$C$38</definedName>
    <definedName name="Категория_предмета_закупки">'Пояснительная записка'!$C$47</definedName>
    <definedName name="КЗ">Справочник!$G$2:$G$34</definedName>
    <definedName name="Наличие_на_складе">'Пояснительная записка'!$C$57</definedName>
    <definedName name="Наличие_средств_в_смете">'Пояснительная записка'!$C$17</definedName>
    <definedName name="Не_принадлежит">'Пояснительная записка'!$C$76</definedName>
    <definedName name="_xlnm.Print_Area" localSheetId="2">'Пояснительная записка'!$A$1:$L$156</definedName>
    <definedName name="Обоснование_стоимости_закупки">'Пояснительная записка'!$C$54</definedName>
    <definedName name="ОРПЛ">Справочник!$F$2:$F$22</definedName>
    <definedName name="План_РМТБ">Справочник!$H$2</definedName>
    <definedName name="Принадлежность_предмета_закупки">'Пояснительная записка'!$F$76</definedName>
    <definedName name="Причина_неиспользования">'Пояснительная записка'!$C$62</definedName>
    <definedName name="Проверить_РМТБ">'Пояснительная записка'!$C$21</definedName>
    <definedName name="РСХ">Справочник!$E$2:$E$20</definedName>
    <definedName name="СМЕТА">'Пояснительная записка'!$D$22</definedName>
    <definedName name="СМЕТЫ">Справочник!$A$2:$A$6</definedName>
    <definedName name="Способ_закупки">'Пояснительная записка'!$F$77</definedName>
    <definedName name="Способ_закупки_616">'Пояснительная записка'!$F$78</definedName>
    <definedName name="Способы_закупки">Справочник!$A$30:$A$33</definedName>
    <definedName name="Способы_закупки_616">Справочник!$A$38:$A$39</definedName>
    <definedName name="СТАТЬЯ">'Пояснительная записка'!$E$22:$L$22</definedName>
    <definedName name="Таблица_Лотов">'Пояснительная записка'!$D$49:$L$52</definedName>
    <definedName name="Таблица_Отклоненные">'Пояснительная записка'!$D$129:$L$130</definedName>
    <definedName name="Таблица_Поставщики">'Пояснительная записка'!$D$132:$L$133</definedName>
    <definedName name="Таблица_Смет">'Пояснительная записка'!$D$22:$L$23</definedName>
    <definedName name="Таблица_Товаров">'Пояснительная записка'!$D$60:$L$61</definedName>
    <definedName name="Таблица_Участники1">'Пояснительная записка'!$D$119:$I$120</definedName>
    <definedName name="Таблица_Участники2">'Пояснительная записка'!$D$124:$L$125</definedName>
    <definedName name="Учтены_при_закупке">'Пояснительная записка'!#REF!</definedName>
    <definedName name="Форма_договора">'Пояснительная записка'!$C$68</definedName>
    <definedName name="Формат1">'Пояснительная записка'!$F$81</definedName>
    <definedName name="Формат2">'Пояснительная записка'!$F$89</definedName>
    <definedName name="Формат3">'Пояснительная записка'!$F$99</definedName>
    <definedName name="Формат4">'Пояснительная записка'!$F$108</definedName>
    <definedName name="Форматы">Справочник!$A$42:$A$43</definedName>
    <definedName name="Электронный_аукцион">Справочник!$A$39</definedName>
    <definedName name="Этап_закупочных_процедур">'Пояснительная записка'!$C$12</definedName>
  </definedNames>
  <calcPr calcId="162913"/>
</workbook>
</file>

<file path=xl/calcChain.xml><?xml version="1.0" encoding="utf-8"?>
<calcChain xmlns="http://schemas.openxmlformats.org/spreadsheetml/2006/main">
  <c r="H52" i="1" l="1"/>
  <c r="L52" i="1"/>
  <c r="C62" i="1" l="1"/>
  <c r="B20" i="4" s="1"/>
  <c r="A20" i="4"/>
  <c r="C20" i="4" l="1"/>
  <c r="B16" i="4"/>
  <c r="B15" i="4"/>
  <c r="B17" i="4"/>
  <c r="C17" i="4"/>
  <c r="C16" i="4"/>
  <c r="C15" i="4"/>
  <c r="A16" i="4"/>
  <c r="A15" i="4"/>
  <c r="D18" i="4"/>
  <c r="D19" i="4"/>
  <c r="D16" i="4"/>
  <c r="D15" i="4"/>
  <c r="A17" i="4"/>
  <c r="D20" i="4"/>
  <c r="C24" i="4" l="1"/>
  <c r="B23" i="4"/>
  <c r="B22" i="4"/>
  <c r="C23" i="4"/>
  <c r="C22" i="4"/>
  <c r="C18" i="1"/>
  <c r="C17" i="1" s="1"/>
  <c r="D17" i="4"/>
  <c r="B50" i="4" l="1"/>
  <c r="B49" i="4"/>
  <c r="B47" i="4"/>
  <c r="B46" i="4"/>
  <c r="B44" i="4"/>
  <c r="B43" i="4"/>
  <c r="B41" i="4"/>
  <c r="B40" i="4"/>
  <c r="C76" i="1"/>
  <c r="C27" i="4" s="1"/>
  <c r="A49" i="4"/>
  <c r="A44" i="4"/>
  <c r="A34" i="4"/>
  <c r="A47" i="4"/>
  <c r="A40" i="4"/>
  <c r="A41" i="4"/>
  <c r="A50" i="4"/>
  <c r="A46" i="4"/>
  <c r="A43" i="4"/>
  <c r="B31" i="4" l="1"/>
  <c r="B34" i="4"/>
  <c r="B30" i="4"/>
  <c r="B35" i="4"/>
  <c r="B33" i="4"/>
  <c r="B32" i="4"/>
  <c r="C35" i="4"/>
  <c r="C34" i="4"/>
  <c r="C33" i="4"/>
  <c r="C32" i="4"/>
  <c r="C31" i="4"/>
  <c r="C30" i="4"/>
  <c r="B26" i="4"/>
  <c r="B27" i="4"/>
  <c r="C26" i="4"/>
  <c r="C21" i="1"/>
  <c r="B10" i="4" s="1"/>
  <c r="D34" i="4"/>
  <c r="D30" i="4"/>
  <c r="A11" i="4"/>
  <c r="A12" i="4"/>
  <c r="A13" i="4"/>
  <c r="A9" i="4"/>
  <c r="A10" i="4"/>
  <c r="D35" i="4"/>
  <c r="B13" i="4" l="1"/>
  <c r="C13" i="4"/>
  <c r="B12" i="4"/>
  <c r="C12" i="4"/>
  <c r="C10" i="4"/>
  <c r="C11" i="4"/>
  <c r="B11" i="4"/>
  <c r="C37" i="4"/>
  <c r="C38" i="4" s="1"/>
  <c r="C50" i="4" s="1"/>
  <c r="B9" i="4"/>
  <c r="C9" i="4"/>
  <c r="A35" i="4"/>
  <c r="A30" i="4"/>
  <c r="A31" i="4"/>
  <c r="A32" i="4"/>
  <c r="A33" i="4"/>
  <c r="D9" i="4"/>
  <c r="D10" i="4"/>
  <c r="D12" i="4"/>
  <c r="D50" i="4"/>
  <c r="D24" i="4"/>
  <c r="D11" i="4"/>
  <c r="C49" i="4" l="1"/>
  <c r="C47" i="4"/>
  <c r="C46" i="4"/>
  <c r="C44" i="4"/>
  <c r="C43" i="4"/>
  <c r="C40" i="4"/>
  <c r="C41" i="4"/>
  <c r="B24" i="4"/>
  <c r="A5" i="4"/>
  <c r="A4" i="4"/>
  <c r="A27" i="4"/>
  <c r="A26" i="4"/>
  <c r="D22" i="4"/>
  <c r="A24" i="4"/>
  <c r="A22" i="4"/>
  <c r="D43" i="4"/>
  <c r="A6" i="4"/>
  <c r="A7" i="4"/>
  <c r="D41" i="4"/>
  <c r="D33" i="4"/>
  <c r="D40" i="4"/>
  <c r="D46" i="4"/>
  <c r="D47" i="4"/>
  <c r="A3" i="4"/>
  <c r="D44" i="4"/>
  <c r="A23" i="4"/>
  <c r="A2" i="4"/>
  <c r="D49" i="4"/>
  <c r="D23" i="4"/>
  <c r="C77" i="1" l="1"/>
  <c r="C70" i="1"/>
  <c r="C12" i="1" l="1"/>
  <c r="B7" i="4" s="1"/>
  <c r="F106" i="1"/>
  <c r="F27" i="1"/>
  <c r="B3" i="4" l="1"/>
  <c r="B4" i="4"/>
  <c r="B5" i="4"/>
  <c r="B2" i="4"/>
  <c r="B6" i="4"/>
  <c r="C2" i="4"/>
  <c r="C3" i="4"/>
  <c r="C6" i="4"/>
  <c r="C4" i="4"/>
  <c r="C7" i="4"/>
  <c r="C5" i="4"/>
  <c r="I120" i="1"/>
  <c r="I119" i="1"/>
  <c r="D2" i="4"/>
  <c r="D6" i="4"/>
  <c r="D5" i="4"/>
  <c r="D3" i="4"/>
  <c r="D7" i="4"/>
  <c r="D4" i="4"/>
  <c r="F97" i="1" l="1"/>
  <c r="F88" i="1" l="1"/>
  <c r="F80" i="1" l="1"/>
  <c r="B64" i="1" l="1"/>
  <c r="D27" i="4"/>
  <c r="D31" i="4"/>
  <c r="D13" i="4"/>
  <c r="D26" i="4"/>
  <c r="D32" i="4"/>
</calcChain>
</file>

<file path=xl/comments1.xml><?xml version="1.0" encoding="utf-8"?>
<comments xmlns="http://schemas.openxmlformats.org/spreadsheetml/2006/main">
  <authors>
    <author>Автор</author>
  </authors>
  <commentList>
    <comment ref="F10" authorId="0" shapeId="0">
      <text>
        <r>
          <rPr>
            <sz val="10"/>
            <color indexed="81"/>
            <rFont val="Tahoma"/>
            <family val="2"/>
            <charset val="204"/>
          </rPr>
          <t>В поле необходимо указать наименование закупаемого товара/услуги</t>
        </r>
      </text>
    </comment>
    <comment ref="F11" authorId="0" shapeId="0">
      <text>
        <r>
          <rPr>
            <sz val="10"/>
            <color indexed="81"/>
            <rFont val="Tahoma"/>
            <family val="2"/>
            <charset val="204"/>
          </rPr>
          <t>В поле необходимо указать подразделение, для которого закупается товар/услуга</t>
        </r>
      </text>
    </comment>
    <comment ref="F13" authorId="0" shapeId="0">
      <text>
        <r>
          <rPr>
            <sz val="10"/>
            <color indexed="81"/>
            <rFont val="Tahoma"/>
            <family val="2"/>
            <charset val="204"/>
          </rPr>
          <t>Поле заполняется при необходимости введения дополнительной информации</t>
        </r>
      </text>
    </comment>
    <comment ref="F25" authorId="0" shapeId="0">
      <text>
        <r>
          <rPr>
            <sz val="10"/>
            <color indexed="81"/>
            <rFont val="Tahoma"/>
            <family val="2"/>
            <charset val="204"/>
          </rPr>
          <t>Сумма указывается в рублях и копейках</t>
        </r>
      </text>
    </comment>
    <comment ref="F26" authorId="0" shapeId="0">
      <text>
        <r>
          <rPr>
            <sz val="10"/>
            <color indexed="81"/>
            <rFont val="Tahoma"/>
            <family val="2"/>
            <charset val="204"/>
          </rPr>
          <t>Сумма указывается в рублях и копейках</t>
        </r>
      </text>
    </comment>
    <comment ref="F35" authorId="0" shapeId="0">
      <text>
        <r>
          <rPr>
            <sz val="10"/>
            <color indexed="81"/>
            <rFont val="Tahoma"/>
            <family val="2"/>
            <charset val="204"/>
          </rPr>
          <t>Сумма указывается в рублях и копейках</t>
        </r>
      </text>
    </comment>
    <comment ref="F38" authorId="0" shapeId="0">
      <text>
        <r>
          <rPr>
            <sz val="10"/>
            <color indexed="81"/>
            <rFont val="Tahoma"/>
            <family val="2"/>
            <charset val="204"/>
          </rPr>
          <t>Сумма указывается в рублях и копейках</t>
        </r>
      </text>
    </comment>
    <comment ref="F41" authorId="0" shapeId="0">
      <text>
        <r>
          <rPr>
            <sz val="10"/>
            <color indexed="81"/>
            <rFont val="Tahoma"/>
            <family val="2"/>
            <charset val="204"/>
          </rPr>
          <t>Поле заполняется при необходимости введения дополнительной информации</t>
        </r>
      </text>
    </comment>
    <comment ref="F44" authorId="0" shapeId="0">
      <text>
        <r>
          <rPr>
            <sz val="10"/>
            <color indexed="81"/>
            <rFont val="Tahoma"/>
            <family val="2"/>
            <charset val="204"/>
          </rPr>
          <t>- наименование причины;
- цель, связь с деятельностью банка;
- причина инициирования закупки (окончание договора, указание ЦА, форс-мажор и т.п.);
- нормативный документ, регулирующий выбор товара/услуги (ВНД, Постановление правления, решение Совета Отделения и т.п.);
- дополнительная информация.</t>
        </r>
      </text>
    </comment>
    <comment ref="F84" authorId="0" shapeId="0">
      <text>
        <r>
          <rPr>
            <sz val="10"/>
            <color indexed="81"/>
            <rFont val="Tahoma"/>
            <family val="2"/>
            <charset val="204"/>
          </rPr>
          <t>Указать перечень аккредитованных (выбранных) поставщиков</t>
        </r>
      </text>
    </comment>
    <comment ref="F92" authorId="0" shapeId="0">
      <text>
        <r>
          <rPr>
            <sz val="10"/>
            <color indexed="81"/>
            <rFont val="Tahoma"/>
            <family val="2"/>
            <charset val="204"/>
          </rPr>
          <t>Указать перечень аккредитованных (выбранных) поставщиков</t>
        </r>
      </text>
    </comment>
    <comment ref="F102" authorId="0" shapeId="0">
      <text>
        <r>
          <rPr>
            <sz val="10"/>
            <color indexed="81"/>
            <rFont val="Tahoma"/>
            <family val="2"/>
            <charset val="204"/>
          </rPr>
          <t>Указать перечень аккредитованных (выбранных) поставщиков</t>
        </r>
      </text>
    </comment>
    <comment ref="F111" authorId="0" shapeId="0">
      <text>
        <r>
          <rPr>
            <sz val="10"/>
            <color indexed="81"/>
            <rFont val="Tahoma"/>
            <family val="2"/>
            <charset val="204"/>
          </rPr>
          <t>Указать перечень аккредитованных (выбранных) поставщиков</t>
        </r>
      </text>
    </comment>
    <comment ref="D132" authorId="0" shapeId="0">
      <text>
        <r>
          <rPr>
            <b/>
            <sz val="9"/>
            <color indexed="81"/>
            <rFont val="Tahoma"/>
            <family val="2"/>
            <charset val="204"/>
          </rPr>
          <t>Заполняется с указанием выбранных поставщиков по лотам</t>
        </r>
      </text>
    </comment>
    <comment ref="F138" authorId="0" shapeId="0">
      <text>
        <r>
          <rPr>
            <sz val="10"/>
            <color indexed="81"/>
            <rFont val="Tahoma"/>
            <family val="2"/>
            <charset val="204"/>
          </rPr>
          <t>В поле необходимо указать название приложения</t>
        </r>
      </text>
    </comment>
    <comment ref="D142" authorId="0" shapeId="0">
      <text>
        <r>
          <rPr>
            <sz val="10"/>
            <color indexed="81"/>
            <rFont val="Tahoma"/>
            <family val="2"/>
            <charset val="204"/>
          </rPr>
          <t xml:space="preserve">Заполняется с разбивкой по лотам.
Обязательное указание общей суммы документации/договора(ов). 
</t>
        </r>
        <r>
          <rPr>
            <u/>
            <sz val="10"/>
            <color indexed="81"/>
            <rFont val="Tahoma"/>
            <family val="2"/>
            <charset val="204"/>
          </rPr>
          <t>При подведении итогов</t>
        </r>
        <r>
          <rPr>
            <sz val="10"/>
            <color indexed="81"/>
            <rFont val="Tahoma"/>
            <family val="2"/>
            <charset val="204"/>
          </rPr>
          <t xml:space="preserve"> необходимо указывать тарифы(расценки, стоимость единицы товара/услуги), срок заключения договора, наменование контрагента, срок гарантии, размер аванса.
При утверждении Рабочей группы обязательно указывается ее состав.</t>
        </r>
      </text>
    </comment>
  </commentList>
</comments>
</file>

<file path=xl/sharedStrings.xml><?xml version="1.0" encoding="utf-8"?>
<sst xmlns="http://schemas.openxmlformats.org/spreadsheetml/2006/main" count="524" uniqueCount="451">
  <si>
    <t>"__" _________ 20__ г.</t>
  </si>
  <si>
    <t>Председателю Конкурсной комиссии</t>
  </si>
  <si>
    <t xml:space="preserve">Западно-Уральского банка ОАО </t>
  </si>
  <si>
    <t>«Сбербанк России»</t>
  </si>
  <si>
    <t>Сметы</t>
  </si>
  <si>
    <t>ОРПЛ</t>
  </si>
  <si>
    <t>АХР</t>
  </si>
  <si>
    <t>РСХ</t>
  </si>
  <si>
    <t>КЗ</t>
  </si>
  <si>
    <t>год</t>
  </si>
  <si>
    <t>Статья Сметы РСХ</t>
  </si>
  <si>
    <t>Статья Смета АХР</t>
  </si>
  <si>
    <t>Статья сметы ОРПЛ</t>
  </si>
  <si>
    <t>Статья сметы КЗ</t>
  </si>
  <si>
    <t>1.1.1. Выплаты по решению руководства/собрания акционеров Банка</t>
  </si>
  <si>
    <t>1.1.2. Премии и подарки победителям конкурсов</t>
  </si>
  <si>
    <t>1.1.3. Фонд премирования Президента Банка, Председателя ТБ</t>
  </si>
  <si>
    <t>1.2.1. Корпоративная пенсионная программа</t>
  </si>
  <si>
    <t>1.2.2. Доплаты и надбавки к пенсиям</t>
  </si>
  <si>
    <t>1.2.3. Оплата путевок в санатории/ДО, мат.помощь пенсионерам и др.лицам</t>
  </si>
  <si>
    <t>1.3.1. ДМС работников Банка и иные расходы аналогичного характера</t>
  </si>
  <si>
    <t>1.4.1. Выплаты родственникам работников банка и др. лицам</t>
  </si>
  <si>
    <t>1.4.2. Материальная помощь (иные цели и другие аналогичные расходы)</t>
  </si>
  <si>
    <t>1.4.3. Материальная помощь (при переводе работника)</t>
  </si>
  <si>
    <t>1.4.4. Материальная помощь (форс-мажорные/чрезв. обстоятельства)</t>
  </si>
  <si>
    <t>1.4.5. Материальная помощь работникам по семейным обстоятельствам</t>
  </si>
  <si>
    <t>1.4.6. Мед.обслуживание, содержание детей сотрудников в озд.лагерях</t>
  </si>
  <si>
    <t>1.4.7. Оплата расходов, связанных с погребением</t>
  </si>
  <si>
    <t>1.4.8. Оплата проезда и компенсации затрат работн. Крайнего Севера</t>
  </si>
  <si>
    <t>1.4.9. Выплаты ежемесячного пособия детям</t>
  </si>
  <si>
    <t>1.4.10. Оплата операций/содержание работников в Центрах реабилитации 2014</t>
  </si>
  <si>
    <t>1.5.1. Компенсации работникам в рамках соглашений</t>
  </si>
  <si>
    <t>1.5.2. Обязательные выплаты при увольнении работников</t>
  </si>
  <si>
    <t>2.1.1.1.1. Расходы на аренду по новым объектам переформатирования в 2015 году</t>
  </si>
  <si>
    <t>2.1.1.1.2. Расходы по объектам переформатирования, взятым в аренду в 2014 году</t>
  </si>
  <si>
    <t>2.1.1.1.3. Прочие расходы на аренду</t>
  </si>
  <si>
    <t>2.1.2.1. Расходы на содержание зданий, помещений</t>
  </si>
  <si>
    <t>2.1.2.2. Коммунальные услуги</t>
  </si>
  <si>
    <t>2.1.3.1. Услуги по реализации, сдаче в аренду имущества Банка и пр.</t>
  </si>
  <si>
    <t>2.1.3.2. Капитальные вложения в арендованные помещения</t>
  </si>
  <si>
    <t>2.1.3.3. Текущий ремонт зданий, помещений</t>
  </si>
  <si>
    <t>2.1.3.4. Расходы на содержание непроизводственной сферы</t>
  </si>
  <si>
    <t>2.1.3.5. Капитальный ремонт зданий, помещений</t>
  </si>
  <si>
    <t>2.1.3.6. Оплата услуг за пользование имуществом сторонних организаций</t>
  </si>
  <si>
    <t>2.1.3.7. Оплата услуг по оценке стоимости имущества Банка</t>
  </si>
  <si>
    <t>2.1.3.8. Расходы на регистрационные сборы, оплату справок БТИ и проч.</t>
  </si>
  <si>
    <t>2.1.3.9. Информационные услуги по профилю МТО</t>
  </si>
  <si>
    <t>2.1.4.1. Обслуживание оборудования и мебели объектов недвижимости</t>
  </si>
  <si>
    <t>2.1.4.2. Ремонт типографского и полиграфического оборудования</t>
  </si>
  <si>
    <t>2.1.4.3. Приобретение мебели, обор.для реконструкции помещений</t>
  </si>
  <si>
    <t>2.1.4.4. Ремонт оборудования и инвентаря (ДНиЭ)</t>
  </si>
  <si>
    <t>2.1.4.5. Обслуживание типографского и полиграфического оборудования</t>
  </si>
  <si>
    <t>2.1.4.6. Приобретение материальных запасов, мебели, хоз.инвентаря</t>
  </si>
  <si>
    <t>2.1.5.1. Расходы на охрану объектов недвижимости</t>
  </si>
  <si>
    <t>2.1.5.2. Расходы на охрану (кроме объектов недвижимости)</t>
  </si>
  <si>
    <t>2.1.6.1. Страхование денежной наличности и ценностей</t>
  </si>
  <si>
    <t>2.1.6.2. Страхование имущественных интересов Банка</t>
  </si>
  <si>
    <t>2.1.6.3. Страхование транспорта</t>
  </si>
  <si>
    <t>2.2.1.1. Обслуживание ИТ-оборудования, техники, приобретение материалов</t>
  </si>
  <si>
    <t>2.2.1.2. Приобретение малоценного ИТ-оборудования и материальных запасов</t>
  </si>
  <si>
    <t>2.2.1.3. Ремонт ИТ-оборудования, инвентаря, приобретение комплектующих</t>
  </si>
  <si>
    <t>2.2.2.1. Аренда каналов связи и пр.</t>
  </si>
  <si>
    <t>2.2.2.2. Расходы на аренду линий связи</t>
  </si>
  <si>
    <t>2.2.3.1. Поддержка и сопровождение ПО по профилю Безопасность</t>
  </si>
  <si>
    <t>2.2.3.2. СБТ - расходы на поддержку ПО</t>
  </si>
  <si>
    <t>2.2.3.3. Услуги по поддержке и сопровождению ПО (кроме СБТ)</t>
  </si>
  <si>
    <t>2.2.4.1. Телефонные расходы по операциям банка</t>
  </si>
  <si>
    <t>2.2.5.1. Информационные услуги (рыночная и аналитическая информации)</t>
  </si>
  <si>
    <t>2.2.5.2. Информационные услуги (статистическая информации)</t>
  </si>
  <si>
    <t>2.2.5.3. Информационные услуги в рамках обеспечения безопасности</t>
  </si>
  <si>
    <t>2.2.5.4. СБТ - расходы по оплате информационных услуг</t>
  </si>
  <si>
    <t>2.2.5.5. СБТ - расходы по оплате консультационных услуг</t>
  </si>
  <si>
    <t>2.2.5.6. Управленческий и бизнес консалтинг в области ИТ (без СБТ)</t>
  </si>
  <si>
    <t>2.3.1.1. Стоимость заготовок банк.карт,  сертификация центра эмиссии</t>
  </si>
  <si>
    <t>2.3.2.1. Обслуживание  оборудования персонализации карт</t>
  </si>
  <si>
    <t>2.3.2.2. Обслуживание оборудования и техники для УС</t>
  </si>
  <si>
    <t>2.3.2.3. Обслуживание оборудования и техники для POS</t>
  </si>
  <si>
    <t>2.3.2.4. Приобретение материальных запасов для УС</t>
  </si>
  <si>
    <t>2.3.2.5. Приобретение материальных запасов для POS</t>
  </si>
  <si>
    <t>2.3.2.6. Ремонт устройств самообслуживания</t>
  </si>
  <si>
    <t>2.3.2.7. Ремонт POS-терминалов</t>
  </si>
  <si>
    <t>2.3.2.8. Размещение и аренда мест для УС</t>
  </si>
  <si>
    <t>2.3.2.9. Поддержка ПО для УС</t>
  </si>
  <si>
    <t>2.3.2.10. Поддержка ПО для POS</t>
  </si>
  <si>
    <t>2.3.3.1. Приобретение материальных запасов по профилю Кассовая работа</t>
  </si>
  <si>
    <t>2.3.3.2. Приобретение расходных материалов для нужд кассы (КР)</t>
  </si>
  <si>
    <t>2.3.3.3. Приобретение расходных материалов для нужд кассы (МТО)</t>
  </si>
  <si>
    <t>2.3.3.4. Ремонт оборудования, инвентаря (инкассация)</t>
  </si>
  <si>
    <t>2.3.3.5. Содержание и ремонт спецавтотранспорта</t>
  </si>
  <si>
    <t>2.3.3.6. Содержание оружия, разрешения на него, связ.расходы (инк)</t>
  </si>
  <si>
    <t>2.3.3.7. Найм транспорта для перевозки монет и драг.металлов</t>
  </si>
  <si>
    <t>2.3.3.8. Обслуживание оборудования  по профилю Кассовая работа</t>
  </si>
  <si>
    <t>2.3.3.9. Обслуживание оборудования и техники (инк)</t>
  </si>
  <si>
    <t>2.3.3.10. Приобретение материальных запасов по профилю инкассация</t>
  </si>
  <si>
    <t>2.3.3.11. Ремонт оборудования для обработки денежной наличности и ценностей</t>
  </si>
  <si>
    <t>2.3.3.12. Бланки строгой отчетности, простого учета, бланки договоров</t>
  </si>
  <si>
    <t>2.3.4.1. Обслуживание оборудования по профилю Безопасность</t>
  </si>
  <si>
    <t>2.3.4.2. Приобретение материальных запасов для охранного оборудования</t>
  </si>
  <si>
    <t>2.3.4.3. Ремонт оборудования по профилю Безопасность</t>
  </si>
  <si>
    <t>2.3.5.1. Почтовые расходы</t>
  </si>
  <si>
    <t>2.3.5.2. Телеграфные расходы</t>
  </si>
  <si>
    <t>2.3.5.3. Доставка банковских документов (фельдсвязь, спецсвязь и др.) 2014</t>
  </si>
  <si>
    <t>2.3.6.1. Телефонные расходы (входящие звонки колл-центра)</t>
  </si>
  <si>
    <t>2.3.6.2. Услуги аутсорсинга сторонних контакт-центров</t>
  </si>
  <si>
    <t>2.3.6.3. Телефонные расходы по sms-рассылкам</t>
  </si>
  <si>
    <t>2.4.1.1. Полиграфическая продукция рекламного характера</t>
  </si>
  <si>
    <t>2.4.1.2. Расходы на проведение рекламных выставок</t>
  </si>
  <si>
    <t>2.4.1.3. Расходы по рекламе</t>
  </si>
  <si>
    <t>2.4.1.4. Спонсорская реклама</t>
  </si>
  <si>
    <t>2.4.2.1. Консалтинговые услуги - маркетинг и коммуникации</t>
  </si>
  <si>
    <t>2.4.2.2. Маркетинговые акции</t>
  </si>
  <si>
    <t>2.4.2.3. Маркетинговые исследования</t>
  </si>
  <si>
    <t>2.4.2.4. Информационные услуги - маркетинг и коммуникации2014</t>
  </si>
  <si>
    <t>2.4.2.5. Размещение в СМИ информации не рекламного характера 2014</t>
  </si>
  <si>
    <t>2.4.2.6. Полиграфическая продукция нерекламного характера2014</t>
  </si>
  <si>
    <t>2.5.1.1. Консалтинг. услуги по работе с пробл. активами ФЛ</t>
  </si>
  <si>
    <t>2.5.1.2. Консалтинг. услуги по работе с пробл. активами ЮЛ</t>
  </si>
  <si>
    <t>2.5.2.1. Консультационные услуги в области управления персоналом</t>
  </si>
  <si>
    <t>2.5.3.1. Консультационные услуги (правовое обеспечение)</t>
  </si>
  <si>
    <t>2.5.4.1. Подбор персонала, объявления в СМИ</t>
  </si>
  <si>
    <t>2.5.5.1. Вступительные/членские/учредительные и аналогичные взносы</t>
  </si>
  <si>
    <t>2.5.5.2. Оплата судебных расходов</t>
  </si>
  <si>
    <t>2.6.1. Служебные командировки, оплата связанных услуг</t>
  </si>
  <si>
    <t>2.6.2. Представительские расходы</t>
  </si>
  <si>
    <t>2.6.3. Представительские расходы сотрудников Банка 2015</t>
  </si>
  <si>
    <t>2.7.1. Обучение персонала внешними провайдерами</t>
  </si>
  <si>
    <t>2.7.2. Развитие персонала</t>
  </si>
  <si>
    <t>2.7.3. Услуги Корпоративного университета</t>
  </si>
  <si>
    <t>2.7.4. Участие в симпозиумах/конференциях/выставках и т.п. (Россия)</t>
  </si>
  <si>
    <t>2.8.1.1. Канцелярские расходы общего назначения</t>
  </si>
  <si>
    <t>2.8.1.2. Канцелярские расходы спец. назначения по профилю ОД</t>
  </si>
  <si>
    <t>2.8.1.3. Канцелярские расходы специального назначения</t>
  </si>
  <si>
    <t>2.8.2.1. Изготовление почетных знаков/грамот/визиток/бейджей и т.п.</t>
  </si>
  <si>
    <t>2.8.2.2. Переплетные работы архивных документов</t>
  </si>
  <si>
    <t>2.8.2.3. Типографские расходы, полигр.продукция нерекламного характера</t>
  </si>
  <si>
    <t>2.8.2.4. Расходы на изготовление печатей и штампов 2014</t>
  </si>
  <si>
    <t>2.8.3.1. Форменная/специальная одежда-отдельные категории работников</t>
  </si>
  <si>
    <t>2.8.4.1. Оплата услуг за хранение документов</t>
  </si>
  <si>
    <t>2.8.4.2. Подписка на периодические издания (текущие расходы)</t>
  </si>
  <si>
    <t>2.8.4.3. Расходы на оплату нотариальных услуг</t>
  </si>
  <si>
    <t>2.8.4.4. Расходы по оплате переводов</t>
  </si>
  <si>
    <t>2.8.4.5. Приобретение справочников, отчетов и обзоров</t>
  </si>
  <si>
    <t>2.9.1. Расходы по найму транспортных средств</t>
  </si>
  <si>
    <t>2.9.2. Содержание и ремонт служебного и прочего транспорта</t>
  </si>
  <si>
    <t>2.10.1. Благотворительные и иные взносы аналогичного характера</t>
  </si>
  <si>
    <t>2.10.2. Поддержка высших учебных заведений</t>
  </si>
  <si>
    <t>2.10.3. Расходы по работе с ВУЗами и студентами</t>
  </si>
  <si>
    <t>2.11.1. Приобретение памятных подарков</t>
  </si>
  <si>
    <t>2.11.2. Культурно-просветительские и праздничные мероприятия</t>
  </si>
  <si>
    <t>2.11.3. Спортивные мероприятия</t>
  </si>
  <si>
    <t>2.11.4. Корпоративные мероприятия</t>
  </si>
  <si>
    <t>4.1.1. Расходы от выбытия объектов соц-культурного назначения</t>
  </si>
  <si>
    <t>4.1.2. Расходы от выбытия  мебели,  оборудования (ДС)</t>
  </si>
  <si>
    <t>4.1.3. Расходы от выбытия прочего инвентаря, оборудования, мебели</t>
  </si>
  <si>
    <t>4.1.4. Расходы от выбытия служебного автотранспорта</t>
  </si>
  <si>
    <t>4.1.5. Расходы от выбытия служебных зданий</t>
  </si>
  <si>
    <t>4.1.6. Расходы от выбытия нематериальных активов  по профилю ДС 2014</t>
  </si>
  <si>
    <t>4.1.7. Расходы от выбытия инженерно-технического оборудования</t>
  </si>
  <si>
    <t>4.1.8. Расходы от выбытия нематериальных активов по профилю ОД</t>
  </si>
  <si>
    <t>4.1.9. Расходы от выбытия почтового и типографского оборудования</t>
  </si>
  <si>
    <t>4.1.10. Расходы от выбытия вычислительной техники и проч.ИТ-оборуд.</t>
  </si>
  <si>
    <t>4.1.11. Расходы от выбытия нематериальных активов</t>
  </si>
  <si>
    <t>4.1.12. Расходы от выбытия оборудования сетей и систем связи</t>
  </si>
  <si>
    <t>4.1.13. Расходы от выбытия нематериальных активов СБТ</t>
  </si>
  <si>
    <t>4.1.14. Расходы от выбытия оборудования сетей и систем связи (инк)</t>
  </si>
  <si>
    <t>4.1.15. Расходы от выбытия оргтехники</t>
  </si>
  <si>
    <t>4.1.16. Выбытие эмиссионного оборудования</t>
  </si>
  <si>
    <t>4.1.17. Расходы от выбытия прочего спецоборуд. обеспечения без-ти</t>
  </si>
  <si>
    <t>4.1.18. Выбытие устройств самообслуживания</t>
  </si>
  <si>
    <t>4.1.19. Расходы от выбытия нематериальных активов для УС</t>
  </si>
  <si>
    <t>4.1.20. Расходы от выбытия нематериальных активов для POS</t>
  </si>
  <si>
    <t>4.1.21. Расходы на выбытие  специальных транспортных средств</t>
  </si>
  <si>
    <t>4.1.22. Выбытие оборудования инкассации</t>
  </si>
  <si>
    <t>4.1.23. Выбытие оборудования для обработки ден.наличности и ценностей</t>
  </si>
  <si>
    <t>4.1.24. Расходы от выбытия нематериальных активов по профилю ДБ</t>
  </si>
  <si>
    <t>4.1.25. Расходы от выбытия технических средств защиты информации</t>
  </si>
  <si>
    <t>4.1.26. Расходы от выбытия НМА -  маркетинг и коммуникации</t>
  </si>
  <si>
    <t>4.1.27. Расходы от выбытия нематериальных активов по профилю РП</t>
  </si>
  <si>
    <t>4.2.1. Услуги по кассово-инкассаторскому обслуживанию</t>
  </si>
  <si>
    <t>5.1.1. Периодические лицензионные платежи и ПО до 12 мес</t>
  </si>
  <si>
    <t>5.2.1. Лицензии (неисключительные права) - маркетинг и коммуникации</t>
  </si>
  <si>
    <t>5.3.1. Лицензии (неисключительные права) к УС</t>
  </si>
  <si>
    <t>5.3.2. Лицензии (неисключительные права) к POS</t>
  </si>
  <si>
    <t>5.3.3. Лицензии (неисключительные права) по профилю Безопасность</t>
  </si>
  <si>
    <t>5.4.1. Лицензии (неисключительные права) на учебные материалы</t>
  </si>
  <si>
    <t>1.1.1.  Приобретение земельных участков</t>
  </si>
  <si>
    <t>1.1.2. Приобретение жил. и соц-культурных объектов</t>
  </si>
  <si>
    <t>1.1.3. Приобретение служебных зданий (нов)</t>
  </si>
  <si>
    <t>1.2.1. Строительство и реконструкция служебных зданий (нов) 2014</t>
  </si>
  <si>
    <t>1.2.2. Строительство и реконструкция соц-культурных объектов (нов) 2014</t>
  </si>
  <si>
    <t>1.3.1. Строительство и реконструкция служебных зданий (перех) 2014</t>
  </si>
  <si>
    <t>1.3.2. Строительство и реконструкция соц-культурных объектов(перех) 2014</t>
  </si>
  <si>
    <t>1.4.1. Исключительные права по профилю ДС 2014</t>
  </si>
  <si>
    <t>1.4.2. Приобретение инвентаря, оборудования, мебели.</t>
  </si>
  <si>
    <t>1.4.3. Приобретение нематериальных активов  по профилю ОД</t>
  </si>
  <si>
    <t>1.4.4. Приобретение типографского, почтового, телеграфного оборуд.</t>
  </si>
  <si>
    <t>1.4.5. Приобретение инвентаря, оборудования, мебели (ДС)</t>
  </si>
  <si>
    <t>1.4.6. Приобретение инженерно-технического оборудования</t>
  </si>
  <si>
    <t>2.1.1. Приобретение вычислительной и компьютерной техники</t>
  </si>
  <si>
    <t>2.1.2. Приобретение оргтехники</t>
  </si>
  <si>
    <t>2.1.3. Приобретение ИТ-оборудования по сетям и системам связи</t>
  </si>
  <si>
    <t>2.2. Разработка и модернизация ПО</t>
  </si>
  <si>
    <t>2.2.1. Разработка и модернизация программного обеспечения (кроме СБТ)</t>
  </si>
  <si>
    <t>2.2.2. СБТ - разработка и модификация ПО по проекту</t>
  </si>
  <si>
    <t>2.2.3. Приобретение НМА по профилю работы с персоналом</t>
  </si>
  <si>
    <t>3.1.1. Приобретение устройств самообслуживания</t>
  </si>
  <si>
    <t>3.1.2. Приобретение эмиссионного оборудования</t>
  </si>
  <si>
    <t>3.1.3. Приобретение нематериальных активов для УС</t>
  </si>
  <si>
    <t>3.1.4. Приобретение нематериальных активов для POS</t>
  </si>
  <si>
    <t>3.2.1. Приобретение инвентаря, оборудования для инкассаци</t>
  </si>
  <si>
    <t>3.2.2. Приобретение оборудования по сетям и системам связи инкассации</t>
  </si>
  <si>
    <t>3.2.3. Приобретение специальных транспортных средств</t>
  </si>
  <si>
    <t>3.2.4. Приобретение спецбанк. и иного оборуд. (работа с ценностями)</t>
  </si>
  <si>
    <t>3.3.1. Приобретение и монтаж техники для службы безопасности</t>
  </si>
  <si>
    <t>3.3.2. Приобретение нематериальных активов по профилю ДБ</t>
  </si>
  <si>
    <t>3.3.3. Приобретение технических средств для защиты информации</t>
  </si>
  <si>
    <t>4.1. Приобретение служебного транспорта.</t>
  </si>
  <si>
    <t>5.1. Приобретение НМА - маркетинг и коммуникации</t>
  </si>
  <si>
    <t>1.1.1.  Арендная плата, подлежащ. отнесению на расходы в послед.годы</t>
  </si>
  <si>
    <t>1.2.1. Приобретение мат. запасов долгосрочного использования (МТО)</t>
  </si>
  <si>
    <t>1.2.2. Приобретение мат. запасов долгосрочного использования (ОД)</t>
  </si>
  <si>
    <t>1.2.3. Приобретение мат. запасов долгосрочного использования (ДС)</t>
  </si>
  <si>
    <t>2.1.1. Долгосрочные услуги по обслуживанию оборудования (РБП)</t>
  </si>
  <si>
    <t>2.1.2.  Приобретение мат. запасов долгосрочного использования по профилю ИТ</t>
  </si>
  <si>
    <t>2.2.2. Расходы на аренду линий связи (РБП)</t>
  </si>
  <si>
    <t>2.3.1. Долгосрочные услуги по поддержке ПО (РБП)</t>
  </si>
  <si>
    <t>2.3.2. Приобретение ПО сроком полезного использования от12 мес</t>
  </si>
  <si>
    <t>2.3.3. Приобретение ПО сроком полезного использования от12 мес (безопасность)</t>
  </si>
  <si>
    <t>2.3.4. Приобретение ПО сроком полезного использования от12 мес (ДКП)</t>
  </si>
  <si>
    <t>2.4.1. Долгосрочные информационные услуги (РБП)</t>
  </si>
  <si>
    <t>3.1.1. Приобретение долгоср. мат.запасов для УС</t>
  </si>
  <si>
    <t>3.1.2. Приобретение ПО сроком полезн. исп. от 12 мес (УС)</t>
  </si>
  <si>
    <t>3.1.3. Приобретение ПО сроком полезн. исп. от 12мес (POS)</t>
  </si>
  <si>
    <t>3.2.1. Приобретение мат. запасов долгосрочного использования (касса)</t>
  </si>
  <si>
    <t>3.2.2. Приобретение материальных запасов по профилю инкассация(РБП)</t>
  </si>
  <si>
    <t>3.3.1. Приобретение долгоср.  мат.запасов по профилю Безопасность</t>
  </si>
  <si>
    <t>4.1. Приобретение ПО сроком полезн. исп. от 12 мес (маркетинг)</t>
  </si>
  <si>
    <t>5.1. ДМС работников Банка и иные расходы аналогичного характера (РБП)</t>
  </si>
  <si>
    <t>5.2. Приобретение памятных подарков (РБП)</t>
  </si>
  <si>
    <t>Валюта</t>
  </si>
  <si>
    <t>Евро</t>
  </si>
  <si>
    <t>(фамилия, инициалы)</t>
  </si>
  <si>
    <t>________________________________</t>
  </si>
  <si>
    <t>Предмет закупки:</t>
  </si>
  <si>
    <t>Инициатор закупки:</t>
  </si>
  <si>
    <t>Комментарии:</t>
  </si>
  <si>
    <t>Рубль</t>
  </si>
  <si>
    <t>Доллар США</t>
  </si>
  <si>
    <t>Решение Бюджетной комиссии (БК)</t>
  </si>
  <si>
    <t>Смета</t>
  </si>
  <si>
    <t>Смета:</t>
  </si>
  <si>
    <t>Статья:</t>
  </si>
  <si>
    <t>План РМТБ</t>
  </si>
  <si>
    <t>Выбор статьи не требуется</t>
  </si>
  <si>
    <t>Корректировка Плана РМТБ</t>
  </si>
  <si>
    <t>Сумма:</t>
  </si>
  <si>
    <t>Источник:</t>
  </si>
  <si>
    <t>Запланированная сумма:</t>
  </si>
  <si>
    <t>Израсходованная сумма:</t>
  </si>
  <si>
    <t>N лота</t>
  </si>
  <si>
    <t>Наименование лота</t>
  </si>
  <si>
    <t>Наименование 
предмета закупки</t>
  </si>
  <si>
    <t>Единица измерения</t>
  </si>
  <si>
    <t>Объем закупки</t>
  </si>
  <si>
    <t>Период закупки</t>
  </si>
  <si>
    <t>Денежная единица</t>
  </si>
  <si>
    <t>Цена за единицу товара/услуги 
(с НДС)</t>
  </si>
  <si>
    <t>Итоговая стоимость</t>
  </si>
  <si>
    <t>Итого:</t>
  </si>
  <si>
    <t>Категория предмета закупки:</t>
  </si>
  <si>
    <t>Наличие на складе:</t>
  </si>
  <si>
    <t>Количество учтеных в закупке</t>
  </si>
  <si>
    <t>Количество на складе</t>
  </si>
  <si>
    <t>добавить плюсы и минусы</t>
  </si>
  <si>
    <t>мес.</t>
  </si>
  <si>
    <t>Дата окончания закупки</t>
  </si>
  <si>
    <t>Срок</t>
  </si>
  <si>
    <t>Обоснование стоимости закупки:</t>
  </si>
  <si>
    <t>Обоснование начальной стоимости закупки</t>
  </si>
  <si>
    <t>№</t>
  </si>
  <si>
    <t>Источник информации</t>
  </si>
  <si>
    <t>Наименование контрагента</t>
  </si>
  <si>
    <t>Наменование товара/услуги</t>
  </si>
  <si>
    <t>Цена за единицу</t>
  </si>
  <si>
    <t>Общая сумма</t>
  </si>
  <si>
    <t>Закупки прошлых лет</t>
  </si>
  <si>
    <t>Контрагент 1</t>
  </si>
  <si>
    <t>Товар/услуга 1</t>
  </si>
  <si>
    <t>Товар/услуга 2</t>
  </si>
  <si>
    <t>Контрагент 2</t>
  </si>
  <si>
    <t>Коммерческие предложения</t>
  </si>
  <si>
    <t>Информация из открытых источников</t>
  </si>
  <si>
    <t>Источник 1</t>
  </si>
  <si>
    <t>Источник 2</t>
  </si>
  <si>
    <t>Информация о закупках других территориальных банков из АС ЕКС или с сайта ЗАО "Сбербанк-АСТ"</t>
  </si>
  <si>
    <t>Тарриториальный банк 1</t>
  </si>
  <si>
    <t>Территориальный банк 2</t>
  </si>
  <si>
    <t>Информация о стомости предмета закупки у производителя</t>
  </si>
  <si>
    <t>Производитель 1</t>
  </si>
  <si>
    <t>Производитель 2</t>
  </si>
  <si>
    <t>Анализ информации о ценах:</t>
  </si>
  <si>
    <t>Номер БК:</t>
  </si>
  <si>
    <t>Номер вопроса:</t>
  </si>
  <si>
    <t>Дата БК:</t>
  </si>
  <si>
    <t>Форма договора</t>
  </si>
  <si>
    <t>Типовая</t>
  </si>
  <si>
    <t>Не типовая</t>
  </si>
  <si>
    <t>Источник типовой формы договора</t>
  </si>
  <si>
    <t>Портал ЦА</t>
  </si>
  <si>
    <t>Портал Юридической службы ТБ</t>
  </si>
  <si>
    <t>Методика от 30.11.2011 №2332</t>
  </si>
  <si>
    <t>Причина неприменения типовой формы:</t>
  </si>
  <si>
    <t>Способ закупки</t>
  </si>
  <si>
    <t>Электронный аукцион</t>
  </si>
  <si>
    <t>Конкурс</t>
  </si>
  <si>
    <t>Запрос предложений</t>
  </si>
  <si>
    <t>Запрос котировок</t>
  </si>
  <si>
    <t>Закупка у единственного источника</t>
  </si>
  <si>
    <t>Перечнь 616 +другое</t>
  </si>
  <si>
    <t>Оборудование и аппаратура для радио, телевидения и связи</t>
  </si>
  <si>
    <t>Автомобили, прицепы и полуприцепы, кузова для автомобилей, детали и принадлежности к автомобилям, гаражное оборудование</t>
  </si>
  <si>
    <t>Транспортные средства</t>
  </si>
  <si>
    <t>Канцелярские принадлежности</t>
  </si>
  <si>
    <t>Природная вода и лед</t>
  </si>
  <si>
    <t>Услуги по торговле, техническому обслуживанию и ремонту автомобилей и мотоциклов</t>
  </si>
  <si>
    <t>Услуги по техническому обслуживанию и ремонту оргтехники для офисов, электронных вычислительных машин и используемого совместно с ними периферийного оборудования</t>
  </si>
  <si>
    <t>Услуги по уборке зданий</t>
  </si>
  <si>
    <t>Принадлежность предмета закупки к перечню товаров/услуг, закупка которых осуществляется в электронной форме</t>
  </si>
  <si>
    <t>Не принадлежит</t>
  </si>
  <si>
    <t>Целлюлоза, бумага, картон и изделия из них (кроме подарочных наборов и сувенирных изделий)</t>
  </si>
  <si>
    <t>Полиграфическая и печатная продукция  (кроме рекламных материалов, рисунков, чертежей, фотографий напечатанных и сувенирных  и  подарочных наборов (блокноты и записные книжки))</t>
  </si>
  <si>
    <t>Канцелярская, бухгалтерская и электронно-вычислительная техника</t>
  </si>
  <si>
    <t>Аппаратура медицинская; средства измерения; фото- и киноаппаратура, часы (кроме медицинских и  хирургических оборудований;  ортопедических приспособлений, программно-технических комплексов для автоматизированных систем контроля и управления технологическими процессами, оптических приборов, линз объективов или камер, проекторов, фотографических увеличителей и уменьшителей)</t>
  </si>
  <si>
    <t>Статья</t>
  </si>
  <si>
    <t>Способ закупки 616</t>
  </si>
  <si>
    <t>Для всех других</t>
  </si>
  <si>
    <t>с ограниченным количеством участников</t>
  </si>
  <si>
    <t>открытый</t>
  </si>
  <si>
    <t>Формат</t>
  </si>
  <si>
    <t>Причина ограничения количества участников:</t>
  </si>
  <si>
    <t>Положение о закупках ООО "Сбербанк России" №2348  п. 2.2.6.1. Банком предварительно проведен открытый квалификационный отбор Поставщиков данного вида Продукции или размещается заказ среди Победителей ранее проведенной открытой Закупочной процедуры.</t>
  </si>
  <si>
    <t>Положение о закупках ООО "Сбербанк России" №2348  п.2.2.6.2. В силу действующего законодательства, специфики Продукции или структуры рынка, поставка закупаемой Продукции может быть проведена только ограниченным количеством Поставщиков, перечень которых может быть достоверно определен Банком.</t>
  </si>
  <si>
    <t>Положение о закупках ООО "Сбербанк России" №2348  п. 2.2.6.3. Раскрытие информации о планируемой Закупке, в том числе об условиях Закупки, может привести к снижению уровня безопасности Банка и его клиентов, к распространению информации об условиях защиты интересов Банка в судебных и иных органах, к потере конкурентных преимуществ Банка, ухудшению положения на рынке банковских услуг или снижению уровня безопасности проведения банковских операций.</t>
  </si>
  <si>
    <t>Реквизиты БК</t>
  </si>
  <si>
    <t>Для аукциона</t>
  </si>
  <si>
    <t>Для конкурса</t>
  </si>
  <si>
    <t>Количество этапов:</t>
  </si>
  <si>
    <t>Количество этапов</t>
  </si>
  <si>
    <t>Один</t>
  </si>
  <si>
    <t>Два</t>
  </si>
  <si>
    <t>Список аккредитованных участников:</t>
  </si>
  <si>
    <t>Единственный источник</t>
  </si>
  <si>
    <t>Причина выбора единственного источника</t>
  </si>
  <si>
    <t>Положение о закупках ООО "Сбербанк России" №2348  п. 2.2.5.1.  Вследствие обстоятельств непреодолимой силы, чрезвычайных ситуаций (в том числе аварийных) и иных обстоятельств, когда требуются незамедлительные действия для обеспечения поддержки и сохранения бесперебойной работы Банка с целью своевременного исполнения обязательств Банка перед его клиентами.</t>
  </si>
  <si>
    <t>Положение о закупках ООО "Сбербанк России" №2348  п. 2.2.5.2. Приобретение услуг проводится у дочерних компаний или у компаний с долей участия Банка в их уставном капитале  не менее 20% (включительно), деятельность которых специально направлена на поставку соответствующих услуг.</t>
  </si>
  <si>
    <t>Положение о закупках ООО "Сбербанк России" №2348  п. 2.2.5.3. Поставщик является единственным производителем и/или Поставщиком  данной Продукции.</t>
  </si>
  <si>
    <t>Положение о закупках ООО "Сбербанк России" №2348  п. 2.2.5.4. Проводится дополнительная Закупка, когда по соображениям стандартизации, унификации, а также для обеспечения совместимости с ранее приобретенной Продукцией новая Закупка должна быть сделана только у того же Поставщика.</t>
  </si>
  <si>
    <t>Положение о закупках ООО "Сбербанк России" №2348  п. 2.2.5.5. Проводится Закупка по договорам, заключаемым на основании рамочного (генерального) соглашения с одним Поставщиком, выбор которого осуществлен путем проведения конкурентной процедуры.</t>
  </si>
  <si>
    <t>Положение о закупках ООО "Сбербанк России" №2348  п. 2.2.5.6. Производится оплата услуг связи (кроме мобильной), водоснабжения, водоотведения, канализации, теплоснабжения, газоснабжения, энергоснабжения, подключения (присоединения) к сетям инженерно-технического обеспечения, а также иных услуг по регулируемым в соответствии с законодательством Российской Федерации ценам (тарифам).</t>
  </si>
  <si>
    <t>Положение о закупках ООО "Сбербанк России" №2348  п. 2.2.5.7. Имеется потребность в работах или услугах, выполнение или оказание которых может осуществляться исключительно органами исполнительной власти в соответствии с их полномочиями или подведомственными им государственными учреждениями, государственными унитарными предприятиями, соответствующие полномочия которых установлены нормативными правовыми актами Российской Федерации, нормативными правовыми актами субъекта Российской Федерации (за исключением случаев, при которых данные услуги могут предоставляться коммерческими организациями).</t>
  </si>
  <si>
    <t>Положение о закупках ООО "Сбербанк России" №2348  п. 2.2.5.8. Необходимые услуги оказываются театрами, учреждениями, осуществляющими концертную деятельность, концертными коллективами, а также  конкретными физическими лицами (общественные и политические деятели, ученые, авторы книг, статей и иных публикаций, поэты, певцы, деятели кино, артисты, спортсмены, музыканты и т.п.) или их партнерами, агентами и иными представителями, уполномоченными (или обладающими правами) организовывать оказание услуг и выполнение работ данными физическими лицами или при их участии.</t>
  </si>
  <si>
    <t>Положение о закупках ООО "Сбербанк России" №2348  п. 2.2.5.9. Приобретаются преподавательские услуги физических лиц.</t>
  </si>
  <si>
    <t>Положение о закупках ООО "Сбербанк России" №2348  п. 2.2.5.10. 2.2.5.10. Приобретаются услуги по авторскому контролю за разработкой проектной документации объектов капитального строительства, авторскому надзору за строительством, реконструкцией, капитальным ремонтом объектов капитального строительства соответствующими авторами.</t>
  </si>
  <si>
    <t>Положение о закупках ООО "Сбербанк России" №2348  п. 2.2.5.11. Приобретается авторская Продукция непосредственно у самих  авторов.</t>
  </si>
  <si>
    <t>Положение о закупках ООО "Сбербанк России" №2348  п. 2.2.5.12. Приобретаются права пользования на конкретные объекты интеллектуальной деятельности непосредственно у самих правообладателей.</t>
  </si>
  <si>
    <t>Положение о закупках ООО "Сбербанк России" №2348  п. 2.2.5.13. Приобретается спонсорский пакет непосредственно у организаторов мероприятий.</t>
  </si>
  <si>
    <t>Положение о закупках ООО "Сбербанк России" №2348  п. 2.2.5.14. Приобретается инновационная и/или уникальная продукция, не имеющая аналогов на рынке.</t>
  </si>
  <si>
    <t>Положение о закупках ООО "Сбербанк России" №2348  п. 2.2.5.15. Приобретается Продукция у Поставщика, занявшего второе место по итогам проведения Закупки, по причине отказа Победителя от заключения договора или расторжения договора с Победителем в случаях, установленных законом или договором, и необходимости Закупки в ограниченное время.</t>
  </si>
  <si>
    <t>Положение о закупках ООО "Сбербанк России" №2348  п. 2.2.5.16. Приобретается Продукция у Поставщика, являющегося единственным участником открытой Закупочной процедуры (при объявлении закупочной процедуры несостоявшейся).</t>
  </si>
  <si>
    <t>Положение о закупках ООО "Сбербанк России" №2348  п. 2.2.5.17. В иных случаях, когда личность контрагента имеет основополагающее значение в силу имеющегося у него эксклюзивного опыта, в том числе во взаимодействии с Банком по вопросам, к которым (по подготовке к которым) он ранее привлекался (например, адвокатская деятельность, деятельность патентных поверенных, представительство в судебных и правоохранительных органах по начатым/текущим гражданским, уголовным, административным делам и т.п.).</t>
  </si>
  <si>
    <t>Критерий выбора Запроса котировок, как вида закупки:</t>
  </si>
  <si>
    <t>Дополнительный критерий выбора Запроса котировок, как вида закупки:</t>
  </si>
  <si>
    <t>Критерий выбора Конкурса, как вида закупки:</t>
  </si>
  <si>
    <t>Критерий выбора Электронного аукциона, как вида закупки:</t>
  </si>
  <si>
    <t>Добавлять строчки</t>
  </si>
  <si>
    <t>Пункт(ы) Положения о закупках №2348, в соответствии с которым выбран вид закупки:</t>
  </si>
  <si>
    <t>Приложение 1</t>
  </si>
  <si>
    <t>Открытие закупочных процедур</t>
  </si>
  <si>
    <t>Подведение итогов закупочных процедур</t>
  </si>
  <si>
    <t>Этап закупочных процедур:</t>
  </si>
  <si>
    <t>Открытие квалификационного отбора</t>
  </si>
  <si>
    <t>Подведение итогов квалификационного отбора</t>
  </si>
  <si>
    <t>Продление даты подведения итогов</t>
  </si>
  <si>
    <t>(должность)</t>
  </si>
  <si>
    <t>_______________________________________</t>
  </si>
  <si>
    <t>________________</t>
  </si>
  <si>
    <t>(подпись)</t>
  </si>
  <si>
    <t>_________________________________________</t>
  </si>
  <si>
    <t>(ФИО)</t>
  </si>
  <si>
    <t>Исполнитель:</t>
  </si>
  <si>
    <t>Наличие средств в смете:</t>
  </si>
  <si>
    <t>ЕСЛИ ПОДВЕДЕНИЕ ИТОГОВ</t>
  </si>
  <si>
    <t>Наименование участника</t>
  </si>
  <si>
    <t>Сумма предложения</t>
  </si>
  <si>
    <t>Начальная цена</t>
  </si>
  <si>
    <t>Снижение, %</t>
  </si>
  <si>
    <t>Статус участника</t>
  </si>
  <si>
    <t>Плюс/минус</t>
  </si>
  <si>
    <t>Перечень всех участников:</t>
  </si>
  <si>
    <t>Отклоненные заявки:</t>
  </si>
  <si>
    <t>Причина отклонения</t>
  </si>
  <si>
    <t>Причины неаккредитации</t>
  </si>
  <si>
    <t>Аккредитован</t>
  </si>
  <si>
    <t>Не аккредитован</t>
  </si>
  <si>
    <t>Заштрих. Ячейку если аккредитован</t>
  </si>
  <si>
    <t>Если продление</t>
  </si>
  <si>
    <t>Новая дата подведения итогов:</t>
  </si>
  <si>
    <t>Причина продления даты подведения итогов:</t>
  </si>
  <si>
    <t>Остаток:</t>
  </si>
  <si>
    <t>Год:</t>
  </si>
  <si>
    <t>Обоснование закупки</t>
  </si>
  <si>
    <t>Информация о наличии стредств</t>
  </si>
  <si>
    <t>Прошу включить в повестку заседания Конкурсной комиссии вопрос:</t>
  </si>
  <si>
    <t>Причины закупки</t>
  </si>
  <si>
    <t>Параметры закупки</t>
  </si>
  <si>
    <t>Причина неиспользования складских остатков:</t>
  </si>
  <si>
    <t>Размер аванса:</t>
  </si>
  <si>
    <t>Гарантийный срок:</t>
  </si>
  <si>
    <t>Дата/период закупки:</t>
  </si>
  <si>
    <t>Форма договора:</t>
  </si>
  <si>
    <t>Код типовой формы договора на портале ЦА:</t>
  </si>
  <si>
    <t>Наименование товара</t>
  </si>
  <si>
    <t>Номер согласованной формы договора в АС ЕКС (БИК IBSO):</t>
  </si>
  <si>
    <t>Обоснование выбора способа закупки:</t>
  </si>
  <si>
    <t>Способ закупки:</t>
  </si>
  <si>
    <t>Формат:</t>
  </si>
  <si>
    <t>Наличие аккредитации:</t>
  </si>
  <si>
    <t>Пояснение проведение открытых закупочных процедур при наличии аккредитации:</t>
  </si>
  <si>
    <t>Приложения</t>
  </si>
  <si>
    <t>Проект решения:</t>
  </si>
  <si>
    <t xml:space="preserve"> </t>
  </si>
  <si>
    <t>Пояснение проведения открытых закупочных процедур при наличии аккредитации:</t>
  </si>
  <si>
    <t>Условие</t>
  </si>
  <si>
    <t>Область</t>
  </si>
  <si>
    <t>Формула</t>
  </si>
  <si>
    <t>Значения</t>
  </si>
  <si>
    <t>Вариант_закупки</t>
  </si>
  <si>
    <t>Способ_закупки_616</t>
  </si>
  <si>
    <t>Формат1</t>
  </si>
  <si>
    <t>Формат2</t>
  </si>
  <si>
    <t>Формат3</t>
  </si>
  <si>
    <t>Формат4</t>
  </si>
  <si>
    <t>Статья/План РМТБ:</t>
  </si>
  <si>
    <t>Обоснование аванса больше 50%</t>
  </si>
  <si>
    <t>Руководитель подразделения банка:</t>
  </si>
  <si>
    <t>Заместитель Председателя банка - куратор блока:</t>
  </si>
  <si>
    <t>(телефон)</t>
  </si>
  <si>
    <t>Стоимость является единственным критерием выбора Поставщика (Положение о закупках ООО "Сбербанк России" №2348  п. 2.2.2.)</t>
  </si>
  <si>
    <t>Стоимость не является единственным критерием выбора Поставщика  (Положение о закупках ООО "Сбербанк России" №2348  п. 2.2.3.).</t>
  </si>
  <si>
    <t>Выбранный/Аккредитованный Поставщик товара/услуги:</t>
  </si>
  <si>
    <t>Пояснительная записка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</si>
</sst>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21" x14ac:knownFonts="1">
    <font>
      <sz val="11"/>
      <color theme="1"/>
      <name val="Calibri"/>
      <family val="2"/>
      <charset val="204"/>
      <scheme val="minor"/>
    </font>
    <font>
      <b/>
      <sz val="11"/>
      <color theme="1"/>
      <name val="Calibri"/>
      <family val="2"/>
      <charset val="204"/>
      <scheme val="minor"/>
    </font>
    <font>
      <b/>
      <sz val="12"/>
      <color theme="1"/>
      <name val="Times New Roman"/>
      <family val="1"/>
      <charset val="204"/>
    </font>
    <font>
      <sz val="8"/>
      <color rgb="FF000000"/>
      <name val="Tahoma"/>
      <family val="2"/>
      <charset val="204"/>
    </font>
    <font>
      <b/>
      <sz val="14"/>
      <color theme="1"/>
      <name val="Times New Roman"/>
      <family val="1"/>
      <charset val="204"/>
    </font>
    <font>
      <b/>
      <sz val="12"/>
      <name val="Times New Roman"/>
      <family val="1"/>
      <charset val="204"/>
    </font>
    <font>
      <sz val="10"/>
      <color indexed="81"/>
      <name val="Tahoma"/>
      <family val="2"/>
      <charset val="204"/>
    </font>
    <font>
      <sz val="11"/>
      <color theme="1"/>
      <name val="Calibri"/>
      <family val="2"/>
      <charset val="204"/>
      <scheme val="minor"/>
    </font>
    <font>
      <b/>
      <i/>
      <u/>
      <sz val="14"/>
      <color theme="1"/>
      <name val="Times New Roman"/>
      <family val="1"/>
      <charset val="204"/>
    </font>
    <font>
      <b/>
      <i/>
      <sz val="14"/>
      <color theme="1"/>
      <name val="Times New Roman"/>
      <family val="1"/>
      <charset val="204"/>
    </font>
    <font>
      <b/>
      <sz val="11"/>
      <color theme="1"/>
      <name val="Times New Roman"/>
      <family val="1"/>
      <charset val="204"/>
    </font>
    <font>
      <sz val="11"/>
      <color theme="1"/>
      <name val="Times New Roman"/>
      <family val="1"/>
      <charset val="204"/>
    </font>
    <font>
      <i/>
      <sz val="11"/>
      <color theme="0" tint="-0.499984740745262"/>
      <name val="Times New Roman"/>
      <family val="1"/>
      <charset val="204"/>
    </font>
    <font>
      <u/>
      <sz val="10"/>
      <color indexed="81"/>
      <name val="Tahoma"/>
      <family val="2"/>
      <charset val="204"/>
    </font>
    <font>
      <sz val="14"/>
      <color theme="1"/>
      <name val="Times New Roman"/>
      <family val="1"/>
      <charset val="204"/>
    </font>
    <font>
      <i/>
      <sz val="14"/>
      <color theme="1"/>
      <name val="Times New Roman"/>
      <family val="1"/>
      <charset val="204"/>
    </font>
    <font>
      <b/>
      <sz val="14"/>
      <name val="Times New Roman"/>
      <family val="1"/>
      <charset val="204"/>
    </font>
    <font>
      <sz val="14"/>
      <name val="Times New Roman"/>
      <family val="1"/>
      <charset val="204"/>
    </font>
    <font>
      <sz val="14"/>
      <color theme="0" tint="-0.34998626667073579"/>
      <name val="Times New Roman"/>
      <family val="1"/>
      <charset val="204"/>
    </font>
    <font>
      <b/>
      <sz val="18"/>
      <color theme="1"/>
      <name val="Times New Roman"/>
      <family val="1"/>
      <charset val="204"/>
    </font>
    <font>
      <b/>
      <sz val="9"/>
      <color indexed="81"/>
      <name val="Tahoma"/>
      <family val="2"/>
      <charset val="204"/>
    </font>
  </fonts>
  <fills count="5">
    <fill>
      <patternFill patternType="none"/>
    </fill>
    <fill>
      <patternFill patternType="gray125"/>
    </fill>
    <fill>
      <patternFill patternType="solid">
        <fgColor theme="0"/>
        <bgColor indexed="64"/>
      </patternFill>
    </fill>
    <fill>
      <patternFill patternType="darkUp">
        <fgColor theme="0" tint="-0.499984740745262"/>
        <bgColor theme="0"/>
      </patternFill>
    </fill>
    <fill>
      <patternFill patternType="solid">
        <fgColor theme="9" tint="0.79998168889431442"/>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theme="0" tint="-0.34998626667073579"/>
      </left>
      <right style="thin">
        <color theme="0" tint="-0.34998626667073579"/>
      </right>
      <top style="medium">
        <color theme="0" tint="-0.34998626667073579"/>
      </top>
      <bottom style="medium">
        <color theme="0" tint="-0.34998626667073579"/>
      </bottom>
      <diagonal/>
    </border>
    <border>
      <left style="thin">
        <color theme="0" tint="-0.34998626667073579"/>
      </left>
      <right style="thin">
        <color theme="0" tint="-0.34998626667073579"/>
      </right>
      <top style="medium">
        <color theme="0" tint="-0.34998626667073579"/>
      </top>
      <bottom style="medium">
        <color theme="0" tint="-0.34998626667073579"/>
      </bottom>
      <diagonal/>
    </border>
    <border>
      <left style="thin">
        <color theme="0" tint="-0.34998626667073579"/>
      </left>
      <right style="medium">
        <color theme="0" tint="-0.34998626667073579"/>
      </right>
      <top style="medium">
        <color theme="0" tint="-0.34998626667073579"/>
      </top>
      <bottom style="medium">
        <color theme="0" tint="-0.34998626667073579"/>
      </bottom>
      <diagonal/>
    </border>
    <border>
      <left style="thin">
        <color indexed="64"/>
      </left>
      <right style="thin">
        <color indexed="64"/>
      </right>
      <top/>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indexed="64"/>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right/>
      <top/>
      <bottom style="thin">
        <color theme="0" tint="-0.499984740745262"/>
      </bottom>
      <diagonal/>
    </border>
    <border>
      <left style="thin">
        <color theme="0" tint="-0.499984740745262"/>
      </left>
      <right style="thin">
        <color indexed="64"/>
      </right>
      <top style="thin">
        <color theme="0" tint="-0.34998626667073579"/>
      </top>
      <bottom style="thin">
        <color theme="0" tint="-0.34998626667073579"/>
      </bottom>
      <diagonal/>
    </border>
    <border>
      <left style="thin">
        <color indexed="64"/>
      </left>
      <right style="thin">
        <color theme="0" tint="-0.499984740745262"/>
      </right>
      <top/>
      <bottom/>
      <diagonal/>
    </border>
    <border>
      <left style="thin">
        <color theme="0" tint="-0.34998626667073579"/>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7" fillId="0" borderId="0" applyFont="0" applyFill="0" applyBorder="0" applyAlignment="0" applyProtection="0"/>
    <xf numFmtId="164" fontId="7" fillId="0" borderId="0" applyFont="0" applyFill="0" applyBorder="0" applyAlignment="0" applyProtection="0"/>
  </cellStyleXfs>
  <cellXfs count="217">
    <xf numFmtId="0" fontId="0" fillId="0" borderId="0" xfId="0"/>
    <xf numFmtId="0" fontId="1" fillId="0" borderId="0" xfId="0" applyFont="1"/>
    <xf numFmtId="0" fontId="10" fillId="0" borderId="15" xfId="0" applyFont="1" applyBorder="1" applyAlignment="1"/>
    <xf numFmtId="0" fontId="10" fillId="0" borderId="16" xfId="0" applyFont="1" applyBorder="1" applyAlignment="1"/>
    <xf numFmtId="0" fontId="10" fillId="0" borderId="16" xfId="0" applyFont="1" applyBorder="1"/>
    <xf numFmtId="0" fontId="10" fillId="0" borderId="17" xfId="0" applyFont="1" applyBorder="1"/>
    <xf numFmtId="0" fontId="12" fillId="0" borderId="4" xfId="0" applyFont="1" applyBorder="1"/>
    <xf numFmtId="0" fontId="11" fillId="0" borderId="4" xfId="0" applyFont="1" applyBorder="1"/>
    <xf numFmtId="0" fontId="12" fillId="0" borderId="1" xfId="0" applyFont="1" applyBorder="1"/>
    <xf numFmtId="0" fontId="11" fillId="0" borderId="1" xfId="0" applyFont="1" applyBorder="1"/>
    <xf numFmtId="0" fontId="12" fillId="0" borderId="3" xfId="0" applyFont="1" applyBorder="1"/>
    <xf numFmtId="0" fontId="11" fillId="0" borderId="3" xfId="0" applyFont="1" applyBorder="1"/>
    <xf numFmtId="0" fontId="12" fillId="0" borderId="11" xfId="0" applyFont="1" applyBorder="1"/>
    <xf numFmtId="0" fontId="11" fillId="0" borderId="11" xfId="0" applyFont="1" applyBorder="1"/>
    <xf numFmtId="0" fontId="12" fillId="0" borderId="24" xfId="0" applyFont="1" applyBorder="1"/>
    <xf numFmtId="0" fontId="11" fillId="0" borderId="24" xfId="0" applyFont="1" applyBorder="1"/>
    <xf numFmtId="0" fontId="5" fillId="0" borderId="1" xfId="0" applyFont="1" applyBorder="1" applyAlignment="1">
      <alignment horizontal="left" vertical="center"/>
    </xf>
    <xf numFmtId="0" fontId="2" fillId="0" borderId="0" xfId="0" applyFont="1" applyAlignment="1">
      <alignment horizontal="left"/>
    </xf>
    <xf numFmtId="0" fontId="0" fillId="0" borderId="0" xfId="0" applyAlignment="1"/>
    <xf numFmtId="0" fontId="1" fillId="0" borderId="0" xfId="0" applyFont="1" applyAlignment="1"/>
    <xf numFmtId="0" fontId="2" fillId="0" borderId="0" xfId="0" applyFont="1" applyAlignment="1">
      <alignment vertical="center"/>
    </xf>
    <xf numFmtId="0" fontId="2" fillId="2" borderId="27" xfId="0" applyFont="1" applyFill="1" applyBorder="1" applyAlignment="1">
      <alignment horizontal="center" vertical="center" wrapText="1"/>
    </xf>
    <xf numFmtId="0" fontId="14" fillId="0" borderId="0" xfId="0" applyFont="1" applyProtection="1"/>
    <xf numFmtId="0" fontId="14" fillId="2" borderId="0" xfId="0" applyFont="1" applyFill="1" applyProtection="1">
      <protection locked="0"/>
    </xf>
    <xf numFmtId="0" fontId="18" fillId="2" borderId="0" xfId="0" applyFont="1" applyFill="1" applyProtection="1">
      <protection locked="0"/>
    </xf>
    <xf numFmtId="0" fontId="4" fillId="2" borderId="0" xfId="0" applyFont="1" applyFill="1" applyAlignment="1" applyProtection="1">
      <alignment vertical="center" wrapText="1"/>
      <protection locked="0"/>
    </xf>
    <xf numFmtId="0" fontId="14" fillId="0" borderId="0" xfId="0" applyFont="1" applyProtection="1">
      <protection locked="0"/>
    </xf>
    <xf numFmtId="0" fontId="14" fillId="2" borderId="0" xfId="0" applyFont="1" applyFill="1" applyBorder="1" applyProtection="1">
      <protection locked="0"/>
    </xf>
    <xf numFmtId="0" fontId="15" fillId="2" borderId="0" xfId="0" applyFont="1" applyFill="1" applyAlignment="1" applyProtection="1">
      <alignment vertical="center"/>
      <protection locked="0"/>
    </xf>
    <xf numFmtId="0" fontId="4" fillId="2" borderId="0" xfId="0" applyFont="1" applyFill="1" applyProtection="1">
      <protection locked="0"/>
    </xf>
    <xf numFmtId="0" fontId="14" fillId="2" borderId="0" xfId="0" applyFont="1" applyFill="1" applyBorder="1" applyAlignment="1" applyProtection="1">
      <alignment horizontal="left"/>
      <protection locked="0"/>
    </xf>
    <xf numFmtId="0" fontId="4" fillId="2" borderId="0" xfId="0" applyFont="1" applyFill="1" applyBorder="1" applyAlignment="1" applyProtection="1">
      <alignment horizontal="left"/>
      <protection locked="0"/>
    </xf>
    <xf numFmtId="0" fontId="16" fillId="2" borderId="0" xfId="0" applyFont="1" applyFill="1" applyBorder="1" applyAlignment="1" applyProtection="1">
      <alignment horizontal="center" vertical="center"/>
      <protection locked="0"/>
    </xf>
    <xf numFmtId="0" fontId="4" fillId="2" borderId="0" xfId="0" applyFont="1" applyFill="1" applyAlignment="1" applyProtection="1">
      <alignment horizontal="left"/>
      <protection locked="0"/>
    </xf>
    <xf numFmtId="0" fontId="4" fillId="2" borderId="0" xfId="0" applyFont="1" applyFill="1" applyAlignment="1" applyProtection="1">
      <alignment horizontal="left" vertical="center" wrapText="1"/>
      <protection locked="0"/>
    </xf>
    <xf numFmtId="0" fontId="14" fillId="2" borderId="0" xfId="0" applyFont="1" applyFill="1" applyBorder="1" applyAlignment="1" applyProtection="1">
      <alignment wrapText="1"/>
      <protection locked="0"/>
    </xf>
    <xf numFmtId="0" fontId="1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protection locked="0"/>
    </xf>
    <xf numFmtId="0" fontId="4" fillId="2" borderId="30" xfId="0" applyFont="1" applyFill="1" applyBorder="1" applyAlignment="1" applyProtection="1">
      <alignment horizontal="center" vertical="center" wrapText="1"/>
      <protection locked="0"/>
    </xf>
    <xf numFmtId="0" fontId="4" fillId="2" borderId="31" xfId="0" applyFont="1" applyFill="1" applyBorder="1" applyAlignment="1" applyProtection="1">
      <alignment horizontal="center" vertical="center" wrapText="1"/>
      <protection locked="0"/>
    </xf>
    <xf numFmtId="0" fontId="14" fillId="2" borderId="29" xfId="0" applyFont="1" applyFill="1" applyBorder="1" applyProtection="1">
      <protection locked="0"/>
    </xf>
    <xf numFmtId="0" fontId="14" fillId="2" borderId="28" xfId="0" applyFont="1" applyFill="1" applyBorder="1" applyProtection="1">
      <protection locked="0"/>
    </xf>
    <xf numFmtId="0" fontId="14" fillId="2" borderId="0" xfId="0" applyFont="1" applyFill="1" applyBorder="1" applyAlignment="1" applyProtection="1">
      <alignment horizontal="center" wrapText="1"/>
      <protection locked="0"/>
    </xf>
    <xf numFmtId="0" fontId="4" fillId="2" borderId="0" xfId="0" applyFont="1" applyFill="1" applyBorder="1" applyAlignment="1" applyProtection="1">
      <alignment horizontal="left" wrapText="1"/>
      <protection locked="0"/>
    </xf>
    <xf numFmtId="0" fontId="14" fillId="2" borderId="0" xfId="0" applyFont="1" applyFill="1" applyBorder="1" applyAlignment="1" applyProtection="1">
      <alignment horizontal="center"/>
      <protection locked="0"/>
    </xf>
    <xf numFmtId="0" fontId="15" fillId="2" borderId="0" xfId="0" applyFont="1" applyFill="1" applyAlignment="1" applyProtection="1">
      <alignment horizontal="center"/>
      <protection locked="0"/>
    </xf>
    <xf numFmtId="0" fontId="0" fillId="0" borderId="0" xfId="0" quotePrefix="1"/>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4" fillId="2" borderId="0" xfId="0" applyFont="1" applyFill="1" applyAlignment="1" applyProtection="1">
      <alignment horizontal="left" vertical="top"/>
      <protection locked="0"/>
    </xf>
    <xf numFmtId="0" fontId="14" fillId="2" borderId="0" xfId="0" applyFont="1" applyFill="1" applyAlignment="1" applyProtection="1">
      <alignment horizontal="left" vertical="top" wrapText="1"/>
      <protection locked="0"/>
    </xf>
    <xf numFmtId="0" fontId="0" fillId="0" borderId="0" xfId="0" applyAlignment="1">
      <alignment horizontal="center"/>
    </xf>
    <xf numFmtId="0" fontId="0" fillId="0" borderId="0" xfId="0" applyAlignment="1">
      <alignment horizontal="center"/>
    </xf>
    <xf numFmtId="0" fontId="14" fillId="2" borderId="0" xfId="0" applyFont="1" applyFill="1" applyAlignment="1" applyProtection="1">
      <alignment vertical="center" wrapText="1"/>
      <protection locked="0"/>
    </xf>
    <xf numFmtId="0" fontId="4" fillId="2" borderId="0" xfId="0" applyFont="1" applyFill="1" applyBorder="1" applyProtection="1">
      <protection locked="0"/>
    </xf>
    <xf numFmtId="0" fontId="14" fillId="2" borderId="0" xfId="0" applyFont="1" applyFill="1" applyBorder="1" applyAlignment="1" applyProtection="1">
      <alignment vertical="center" wrapText="1"/>
      <protection locked="0"/>
    </xf>
    <xf numFmtId="0" fontId="15" fillId="2" borderId="0" xfId="0" applyFont="1" applyFill="1" applyAlignment="1" applyProtection="1">
      <alignment horizontal="center"/>
      <protection locked="0"/>
    </xf>
    <xf numFmtId="0" fontId="14" fillId="2" borderId="39" xfId="0" applyFont="1" applyFill="1" applyBorder="1" applyProtection="1">
      <protection locked="0"/>
    </xf>
    <xf numFmtId="0" fontId="14" fillId="2" borderId="45" xfId="0" applyFont="1" applyFill="1" applyBorder="1" applyProtection="1">
      <protection locked="0"/>
    </xf>
    <xf numFmtId="0" fontId="14" fillId="4" borderId="35" xfId="0" applyFont="1" applyFill="1" applyBorder="1" applyProtection="1">
      <protection locked="0"/>
    </xf>
    <xf numFmtId="0" fontId="14" fillId="2" borderId="41" xfId="0" applyFont="1" applyFill="1" applyBorder="1" applyProtection="1">
      <protection locked="0"/>
    </xf>
    <xf numFmtId="0" fontId="4" fillId="2" borderId="40" xfId="0" applyFont="1" applyFill="1" applyBorder="1" applyAlignment="1" applyProtection="1">
      <alignment horizontal="center" vertical="center"/>
      <protection locked="0"/>
    </xf>
    <xf numFmtId="0" fontId="14" fillId="4" borderId="40" xfId="0" applyFont="1" applyFill="1" applyBorder="1" applyAlignment="1" applyProtection="1">
      <alignment horizontal="center"/>
      <protection locked="0"/>
    </xf>
    <xf numFmtId="0" fontId="4" fillId="2" borderId="39" xfId="0" applyFont="1" applyFill="1" applyBorder="1" applyAlignment="1" applyProtection="1">
      <alignment vertical="center" wrapText="1"/>
      <protection locked="0"/>
    </xf>
    <xf numFmtId="164" fontId="14" fillId="2" borderId="0" xfId="2" applyFont="1" applyFill="1" applyBorder="1" applyProtection="1">
      <protection locked="0"/>
    </xf>
    <xf numFmtId="164" fontId="14" fillId="2" borderId="36" xfId="2" applyFont="1" applyFill="1" applyBorder="1" applyProtection="1">
      <protection locked="0"/>
    </xf>
    <xf numFmtId="164" fontId="14" fillId="2" borderId="35" xfId="2" applyFont="1" applyFill="1" applyBorder="1" applyProtection="1">
      <protection locked="0"/>
    </xf>
    <xf numFmtId="0" fontId="14" fillId="2" borderId="35" xfId="0" applyFont="1" applyFill="1" applyBorder="1" applyProtection="1">
      <protection locked="0"/>
    </xf>
    <xf numFmtId="0" fontId="14" fillId="2" borderId="40" xfId="0" applyFont="1" applyFill="1" applyBorder="1" applyProtection="1">
      <protection locked="0"/>
    </xf>
    <xf numFmtId="0" fontId="4" fillId="2" borderId="41" xfId="0" applyFont="1" applyFill="1" applyBorder="1" applyAlignment="1" applyProtection="1">
      <alignment vertical="center" wrapText="1"/>
      <protection locked="0"/>
    </xf>
    <xf numFmtId="0" fontId="4" fillId="2" borderId="49" xfId="0" applyFont="1" applyFill="1" applyBorder="1" applyAlignment="1" applyProtection="1">
      <alignment horizontal="center" vertical="center" wrapText="1"/>
      <protection locked="0"/>
    </xf>
    <xf numFmtId="0" fontId="4" fillId="2" borderId="40" xfId="0" applyFont="1" applyFill="1" applyBorder="1" applyProtection="1">
      <protection locked="0"/>
    </xf>
    <xf numFmtId="0" fontId="4" fillId="2" borderId="40" xfId="0" applyFont="1" applyFill="1" applyBorder="1" applyAlignment="1" applyProtection="1">
      <alignment horizontal="center" vertical="center" wrapText="1"/>
      <protection locked="0"/>
    </xf>
    <xf numFmtId="0" fontId="14" fillId="2" borderId="50" xfId="0" applyFont="1" applyFill="1" applyBorder="1" applyProtection="1">
      <protection locked="0"/>
    </xf>
    <xf numFmtId="0" fontId="14" fillId="3" borderId="41" xfId="0" applyFont="1" applyFill="1" applyBorder="1" applyProtection="1">
      <protection locked="0"/>
    </xf>
    <xf numFmtId="0" fontId="14" fillId="3" borderId="40" xfId="0" applyFont="1" applyFill="1" applyBorder="1" applyProtection="1">
      <protection locked="0"/>
    </xf>
    <xf numFmtId="0" fontId="14" fillId="2" borderId="39" xfId="0" applyFont="1" applyFill="1" applyBorder="1" applyAlignment="1" applyProtection="1">
      <alignment vertical="center" wrapText="1"/>
      <protection locked="0"/>
    </xf>
    <xf numFmtId="0" fontId="4" fillId="2" borderId="50" xfId="0" applyFont="1" applyFill="1" applyBorder="1" applyAlignment="1" applyProtection="1">
      <alignment horizontal="center" vertical="center" wrapText="1"/>
      <protection locked="0"/>
    </xf>
    <xf numFmtId="0" fontId="14" fillId="3" borderId="35" xfId="0" applyFont="1" applyFill="1" applyBorder="1" applyProtection="1">
      <protection locked="0"/>
    </xf>
    <xf numFmtId="0" fontId="4" fillId="2" borderId="35" xfId="0" applyFont="1" applyFill="1" applyBorder="1" applyAlignment="1" applyProtection="1">
      <alignment horizontal="center" vertical="center" wrapText="1"/>
      <protection locked="0"/>
    </xf>
    <xf numFmtId="4" fontId="14" fillId="2" borderId="35" xfId="0" applyNumberFormat="1" applyFont="1" applyFill="1" applyBorder="1" applyProtection="1">
      <protection locked="0"/>
    </xf>
    <xf numFmtId="4" fontId="14" fillId="2" borderId="50" xfId="0" applyNumberFormat="1" applyFont="1" applyFill="1" applyBorder="1" applyProtection="1">
      <protection locked="0"/>
    </xf>
    <xf numFmtId="4" fontId="14" fillId="2" borderId="40" xfId="0" applyNumberFormat="1" applyFont="1" applyFill="1" applyBorder="1" applyProtection="1">
      <protection locked="0"/>
    </xf>
    <xf numFmtId="0" fontId="4" fillId="2" borderId="0" xfId="0" applyFont="1" applyFill="1" applyBorder="1" applyAlignment="1" applyProtection="1">
      <alignment vertical="center" wrapText="1"/>
      <protection locked="0"/>
    </xf>
    <xf numFmtId="0" fontId="14" fillId="0" borderId="51" xfId="0" applyFont="1" applyBorder="1" applyProtection="1"/>
    <xf numFmtId="9" fontId="14" fillId="2" borderId="50" xfId="1" applyFont="1" applyFill="1" applyBorder="1" applyProtection="1">
      <protection locked="0"/>
    </xf>
    <xf numFmtId="0" fontId="14" fillId="0" borderId="40" xfId="0" applyFont="1" applyBorder="1" applyProtection="1">
      <protection locked="0"/>
    </xf>
    <xf numFmtId="0" fontId="14" fillId="2" borderId="40" xfId="0" applyFont="1" applyFill="1" applyBorder="1" applyAlignment="1" applyProtection="1">
      <alignment horizontal="center"/>
      <protection locked="0"/>
    </xf>
    <xf numFmtId="0" fontId="4" fillId="2" borderId="40" xfId="0" applyFont="1" applyFill="1" applyBorder="1" applyAlignment="1" applyProtection="1">
      <alignment horizontal="left" vertical="center"/>
      <protection locked="0"/>
    </xf>
    <xf numFmtId="0" fontId="14" fillId="4" borderId="40" xfId="0" applyFont="1" applyFill="1" applyBorder="1" applyProtection="1">
      <protection locked="0"/>
    </xf>
    <xf numFmtId="9" fontId="14" fillId="2" borderId="40" xfId="1" applyFont="1" applyFill="1" applyBorder="1" applyProtection="1">
      <protection locked="0"/>
    </xf>
    <xf numFmtId="14" fontId="14" fillId="2" borderId="40" xfId="0" applyNumberFormat="1" applyFont="1" applyFill="1" applyBorder="1" applyAlignment="1" applyProtection="1">
      <alignment horizontal="center" vertical="center" wrapText="1"/>
      <protection locked="0"/>
    </xf>
    <xf numFmtId="0" fontId="4" fillId="2" borderId="40" xfId="0" applyFont="1" applyFill="1" applyBorder="1" applyAlignment="1" applyProtection="1">
      <alignment horizontal="left"/>
      <protection locked="0"/>
    </xf>
    <xf numFmtId="0" fontId="4" fillId="2" borderId="8" xfId="0" applyFont="1" applyFill="1" applyBorder="1" applyAlignment="1" applyProtection="1">
      <alignment wrapText="1"/>
      <protection locked="0"/>
    </xf>
    <xf numFmtId="0" fontId="14" fillId="2" borderId="8" xfId="0" applyFont="1" applyFill="1" applyBorder="1" applyAlignment="1" applyProtection="1">
      <alignment vertical="center" wrapText="1"/>
      <protection locked="0"/>
    </xf>
    <xf numFmtId="0" fontId="4" fillId="2" borderId="8" xfId="0" applyFont="1" applyFill="1" applyBorder="1" applyAlignment="1" applyProtection="1">
      <protection locked="0"/>
    </xf>
    <xf numFmtId="0" fontId="14" fillId="2" borderId="0" xfId="0" applyFont="1" applyFill="1" applyProtection="1"/>
    <xf numFmtId="0" fontId="14" fillId="2" borderId="41" xfId="0" applyFont="1" applyFill="1" applyBorder="1" applyProtection="1"/>
    <xf numFmtId="0" fontId="14" fillId="2" borderId="0" xfId="0" applyFont="1" applyFill="1" applyAlignment="1" applyProtection="1">
      <alignment horizontal="center" vertical="center"/>
    </xf>
    <xf numFmtId="0" fontId="4" fillId="2" borderId="0" xfId="0" applyFont="1" applyFill="1" applyProtection="1"/>
    <xf numFmtId="0" fontId="4" fillId="2" borderId="0" xfId="0" applyFont="1" applyFill="1" applyAlignment="1" applyProtection="1">
      <alignment horizontal="left"/>
    </xf>
    <xf numFmtId="0" fontId="14" fillId="2" borderId="0" xfId="0" applyFont="1" applyFill="1" applyAlignment="1" applyProtection="1">
      <alignment vertical="center"/>
    </xf>
    <xf numFmtId="0" fontId="14" fillId="2" borderId="0" xfId="0" applyFont="1" applyFill="1" applyBorder="1" applyProtection="1"/>
    <xf numFmtId="0" fontId="0" fillId="2" borderId="0" xfId="0" applyFill="1"/>
    <xf numFmtId="0" fontId="14" fillId="2" borderId="4" xfId="0" applyFont="1" applyFill="1" applyBorder="1" applyAlignment="1" applyProtection="1">
      <alignment horizontal="left"/>
      <protection locked="0"/>
    </xf>
    <xf numFmtId="0" fontId="4" fillId="2" borderId="53" xfId="0" applyFont="1" applyFill="1" applyBorder="1" applyAlignment="1" applyProtection="1">
      <alignment horizontal="left" vertical="top" wrapText="1"/>
      <protection locked="0"/>
    </xf>
    <xf numFmtId="0" fontId="4" fillId="2" borderId="54" xfId="0" applyFont="1" applyFill="1" applyBorder="1" applyAlignment="1" applyProtection="1">
      <alignment horizontal="left" vertical="top" wrapText="1"/>
      <protection locked="0"/>
    </xf>
    <xf numFmtId="0" fontId="4" fillId="2" borderId="55" xfId="0" applyFont="1" applyFill="1" applyBorder="1" applyAlignment="1" applyProtection="1">
      <alignment horizontal="left" vertical="top" wrapText="1"/>
      <protection locked="0"/>
    </xf>
    <xf numFmtId="0" fontId="4" fillId="2" borderId="40" xfId="0" applyFont="1" applyFill="1" applyBorder="1" applyAlignment="1" applyProtection="1">
      <alignment horizontal="left" vertical="center" wrapText="1"/>
      <protection locked="0"/>
    </xf>
    <xf numFmtId="0" fontId="14" fillId="2" borderId="40" xfId="0" applyFont="1" applyFill="1" applyBorder="1" applyAlignment="1" applyProtection="1">
      <alignment horizontal="center" wrapText="1"/>
      <protection locked="0"/>
    </xf>
    <xf numFmtId="0" fontId="4" fillId="2" borderId="34" xfId="0" applyFont="1" applyFill="1" applyBorder="1" applyAlignment="1" applyProtection="1">
      <alignment horizontal="center" vertical="center" wrapText="1"/>
      <protection locked="0"/>
    </xf>
    <xf numFmtId="0" fontId="4" fillId="2" borderId="37" xfId="0" applyFont="1" applyFill="1" applyBorder="1" applyAlignment="1" applyProtection="1">
      <alignment horizontal="center" vertical="center" wrapText="1"/>
      <protection locked="0"/>
    </xf>
    <xf numFmtId="0" fontId="4" fillId="2" borderId="38" xfId="0" applyFont="1" applyFill="1" applyBorder="1" applyAlignment="1" applyProtection="1">
      <alignment horizontal="center" vertical="center" wrapText="1"/>
      <protection locked="0"/>
    </xf>
    <xf numFmtId="0" fontId="4" fillId="2" borderId="35" xfId="0" applyFont="1" applyFill="1" applyBorder="1" applyAlignment="1" applyProtection="1">
      <alignment horizontal="center" vertical="center"/>
      <protection locked="0"/>
    </xf>
    <xf numFmtId="0" fontId="4" fillId="2" borderId="43" xfId="0" applyFont="1" applyFill="1" applyBorder="1" applyAlignment="1" applyProtection="1">
      <alignment horizontal="center" vertical="center"/>
      <protection locked="0"/>
    </xf>
    <xf numFmtId="0" fontId="4" fillId="2" borderId="35" xfId="0" applyFont="1" applyFill="1" applyBorder="1" applyAlignment="1" applyProtection="1">
      <alignment horizontal="center" vertical="center" wrapText="1"/>
      <protection locked="0"/>
    </xf>
    <xf numFmtId="0" fontId="4" fillId="2" borderId="43" xfId="0" applyFont="1" applyFill="1" applyBorder="1" applyAlignment="1" applyProtection="1">
      <alignment horizontal="center" vertical="center" wrapText="1"/>
      <protection locked="0"/>
    </xf>
    <xf numFmtId="0" fontId="4" fillId="2" borderId="34" xfId="0" applyFont="1" applyFill="1" applyBorder="1" applyAlignment="1" applyProtection="1">
      <alignment horizontal="center" vertical="center"/>
      <protection locked="0"/>
    </xf>
    <xf numFmtId="0" fontId="4" fillId="2" borderId="37" xfId="0" applyFont="1" applyFill="1" applyBorder="1" applyAlignment="1" applyProtection="1">
      <alignment horizontal="center" vertical="center"/>
      <protection locked="0"/>
    </xf>
    <xf numFmtId="0" fontId="4" fillId="2" borderId="42" xfId="0" applyFont="1" applyFill="1" applyBorder="1" applyAlignment="1" applyProtection="1">
      <alignment horizontal="center" vertical="center"/>
      <protection locked="0"/>
    </xf>
    <xf numFmtId="0" fontId="14" fillId="4" borderId="35" xfId="0" applyFont="1" applyFill="1" applyBorder="1" applyAlignment="1" applyProtection="1">
      <alignment horizontal="center"/>
      <protection locked="0"/>
    </xf>
    <xf numFmtId="0" fontId="14" fillId="4" borderId="36" xfId="0" applyFont="1" applyFill="1" applyBorder="1" applyAlignment="1" applyProtection="1">
      <alignment horizontal="center"/>
      <protection locked="0"/>
    </xf>
    <xf numFmtId="0" fontId="14" fillId="4" borderId="43" xfId="0" applyFont="1" applyFill="1" applyBorder="1" applyAlignment="1" applyProtection="1">
      <alignment horizontal="center"/>
      <protection locked="0"/>
    </xf>
    <xf numFmtId="0" fontId="14" fillId="2" borderId="40" xfId="0" applyFont="1" applyFill="1" applyBorder="1" applyAlignment="1" applyProtection="1">
      <alignment horizontal="left" vertical="center" wrapText="1"/>
      <protection locked="0"/>
    </xf>
    <xf numFmtId="0" fontId="4" fillId="2" borderId="0" xfId="0" applyFont="1" applyFill="1" applyBorder="1" applyAlignment="1" applyProtection="1">
      <alignment horizontal="left" vertical="center"/>
      <protection locked="0"/>
    </xf>
    <xf numFmtId="0" fontId="14" fillId="4" borderId="25" xfId="0" applyFont="1" applyFill="1" applyBorder="1" applyAlignment="1" applyProtection="1">
      <alignment horizontal="left"/>
      <protection locked="0"/>
    </xf>
    <xf numFmtId="0" fontId="14" fillId="4" borderId="0" xfId="0" applyFont="1" applyFill="1" applyBorder="1" applyAlignment="1" applyProtection="1">
      <alignment horizontal="left"/>
      <protection locked="0"/>
    </xf>
    <xf numFmtId="0" fontId="14" fillId="4" borderId="26" xfId="0" applyFont="1" applyFill="1" applyBorder="1" applyAlignment="1" applyProtection="1">
      <alignment horizontal="left"/>
      <protection locked="0"/>
    </xf>
    <xf numFmtId="0" fontId="14" fillId="4" borderId="40" xfId="0" applyFont="1" applyFill="1" applyBorder="1" applyAlignment="1" applyProtection="1">
      <alignment horizontal="center"/>
      <protection locked="0"/>
    </xf>
    <xf numFmtId="0" fontId="4" fillId="2" borderId="33" xfId="0" applyFont="1" applyFill="1" applyBorder="1" applyAlignment="1" applyProtection="1">
      <alignment horizontal="left" vertical="center" wrapText="1"/>
      <protection locked="0"/>
    </xf>
    <xf numFmtId="0" fontId="4" fillId="2" borderId="28" xfId="0" applyFont="1" applyFill="1" applyBorder="1" applyAlignment="1" applyProtection="1">
      <alignment horizontal="left"/>
      <protection locked="0"/>
    </xf>
    <xf numFmtId="0" fontId="4" fillId="2" borderId="28" xfId="0" applyFont="1" applyFill="1" applyBorder="1" applyAlignment="1" applyProtection="1">
      <alignment horizontal="center"/>
      <protection locked="0"/>
    </xf>
    <xf numFmtId="0" fontId="14" fillId="4" borderId="35" xfId="0" applyFont="1" applyFill="1" applyBorder="1" applyAlignment="1" applyProtection="1">
      <alignment horizontal="left" vertical="top" wrapText="1"/>
      <protection locked="0"/>
    </xf>
    <xf numFmtId="0" fontId="14" fillId="4" borderId="36" xfId="0" applyFont="1" applyFill="1" applyBorder="1" applyAlignment="1" applyProtection="1">
      <alignment horizontal="left" vertical="top" wrapText="1"/>
      <protection locked="0"/>
    </xf>
    <xf numFmtId="0" fontId="14" fillId="4" borderId="43" xfId="0" applyFont="1" applyFill="1" applyBorder="1" applyAlignment="1" applyProtection="1">
      <alignment horizontal="left" vertical="top" wrapText="1"/>
      <protection locked="0"/>
    </xf>
    <xf numFmtId="0" fontId="4" fillId="2" borderId="40" xfId="0" applyFont="1" applyFill="1" applyBorder="1" applyAlignment="1" applyProtection="1">
      <alignment horizontal="left" vertical="center"/>
      <protection locked="0"/>
    </xf>
    <xf numFmtId="0" fontId="14" fillId="4" borderId="40" xfId="0" applyFont="1" applyFill="1" applyBorder="1" applyAlignment="1" applyProtection="1">
      <alignment horizontal="left" vertical="center"/>
      <protection locked="0"/>
    </xf>
    <xf numFmtId="0" fontId="4" fillId="2" borderId="7" xfId="0" applyFont="1" applyFill="1" applyBorder="1" applyAlignment="1" applyProtection="1">
      <alignment horizontal="left" vertical="center" wrapText="1"/>
      <protection locked="0"/>
    </xf>
    <xf numFmtId="0" fontId="4" fillId="2" borderId="9" xfId="0" applyFont="1" applyFill="1" applyBorder="1" applyAlignment="1" applyProtection="1">
      <alignment horizontal="left" vertical="center" wrapText="1"/>
      <protection locked="0"/>
    </xf>
    <xf numFmtId="0" fontId="14" fillId="2" borderId="40" xfId="0" applyFont="1" applyFill="1" applyBorder="1" applyAlignment="1" applyProtection="1">
      <alignment horizontal="center"/>
      <protection locked="0"/>
    </xf>
    <xf numFmtId="0" fontId="4" fillId="2" borderId="35" xfId="0" applyFont="1" applyFill="1" applyBorder="1" applyAlignment="1" applyProtection="1">
      <alignment horizontal="left"/>
      <protection locked="0"/>
    </xf>
    <xf numFmtId="0" fontId="4" fillId="2" borderId="43" xfId="0" applyFont="1" applyFill="1" applyBorder="1" applyAlignment="1" applyProtection="1">
      <alignment horizontal="left"/>
      <protection locked="0"/>
    </xf>
    <xf numFmtId="0" fontId="4" fillId="2" borderId="44" xfId="0" applyFont="1" applyFill="1" applyBorder="1" applyAlignment="1" applyProtection="1">
      <alignment horizontal="left"/>
      <protection locked="0"/>
    </xf>
    <xf numFmtId="0" fontId="4" fillId="2" borderId="48" xfId="0" applyFont="1" applyFill="1" applyBorder="1" applyAlignment="1" applyProtection="1">
      <alignment horizontal="left"/>
      <protection locked="0"/>
    </xf>
    <xf numFmtId="0" fontId="4" fillId="2" borderId="40" xfId="0" applyFont="1" applyFill="1" applyBorder="1" applyAlignment="1" applyProtection="1">
      <alignment horizontal="left" wrapText="1"/>
      <protection locked="0"/>
    </xf>
    <xf numFmtId="0" fontId="4" fillId="2" borderId="40" xfId="0" applyFont="1" applyFill="1" applyBorder="1" applyAlignment="1" applyProtection="1">
      <alignment horizontal="left"/>
      <protection locked="0"/>
    </xf>
    <xf numFmtId="0" fontId="14" fillId="2" borderId="40" xfId="0" applyFont="1" applyFill="1" applyBorder="1" applyAlignment="1" applyProtection="1">
      <alignment vertical="center" wrapText="1"/>
      <protection locked="0"/>
    </xf>
    <xf numFmtId="0" fontId="14" fillId="2" borderId="40" xfId="0" applyFont="1" applyFill="1" applyBorder="1" applyAlignment="1" applyProtection="1">
      <alignment vertical="center"/>
      <protection locked="0"/>
    </xf>
    <xf numFmtId="0" fontId="4" fillId="2" borderId="49" xfId="0" applyFont="1" applyFill="1" applyBorder="1" applyAlignment="1" applyProtection="1">
      <alignment horizontal="left" vertical="center" wrapText="1"/>
      <protection locked="0"/>
    </xf>
    <xf numFmtId="0" fontId="14" fillId="4" borderId="49" xfId="0" applyFont="1" applyFill="1" applyBorder="1" applyAlignment="1" applyProtection="1">
      <alignment horizontal="left" vertical="center" wrapText="1"/>
      <protection locked="0"/>
    </xf>
    <xf numFmtId="9" fontId="4" fillId="2" borderId="40" xfId="1" applyFont="1" applyFill="1" applyBorder="1" applyAlignment="1" applyProtection="1">
      <alignment horizontal="left" vertical="center"/>
      <protection locked="0"/>
    </xf>
    <xf numFmtId="49" fontId="14" fillId="2" borderId="40" xfId="0" applyNumberFormat="1" applyFont="1" applyFill="1" applyBorder="1" applyAlignment="1" applyProtection="1">
      <alignment horizontal="center"/>
      <protection locked="0"/>
    </xf>
    <xf numFmtId="0" fontId="14" fillId="4" borderId="40" xfId="0" applyFont="1" applyFill="1" applyBorder="1" applyAlignment="1" applyProtection="1">
      <alignment horizontal="left" vertical="center" wrapText="1"/>
      <protection locked="0"/>
    </xf>
    <xf numFmtId="0" fontId="4" fillId="2" borderId="5" xfId="0" applyFont="1" applyFill="1" applyBorder="1" applyAlignment="1" applyProtection="1">
      <alignment horizontal="left" vertical="center" wrapText="1"/>
      <protection locked="0"/>
    </xf>
    <xf numFmtId="0" fontId="4" fillId="2" borderId="2" xfId="0" applyFont="1" applyFill="1" applyBorder="1" applyAlignment="1" applyProtection="1">
      <alignment horizontal="left" vertical="center" wrapText="1"/>
      <protection locked="0"/>
    </xf>
    <xf numFmtId="0" fontId="14" fillId="2" borderId="3" xfId="0" applyFont="1" applyFill="1" applyBorder="1" applyAlignment="1" applyProtection="1">
      <alignment horizontal="left"/>
      <protection locked="0"/>
    </xf>
    <xf numFmtId="0" fontId="14" fillId="2" borderId="1" xfId="0" applyFont="1" applyFill="1" applyBorder="1" applyAlignment="1" applyProtection="1">
      <alignment horizontal="left"/>
      <protection locked="0"/>
    </xf>
    <xf numFmtId="0" fontId="4" fillId="2" borderId="1" xfId="0" applyFont="1" applyFill="1" applyBorder="1" applyAlignment="1" applyProtection="1">
      <alignment horizontal="left" wrapText="1"/>
      <protection locked="0"/>
    </xf>
    <xf numFmtId="0" fontId="15" fillId="2" borderId="0" xfId="0" applyFont="1" applyFill="1" applyAlignment="1" applyProtection="1">
      <alignment horizontal="center"/>
      <protection locked="0"/>
    </xf>
    <xf numFmtId="0" fontId="14" fillId="2" borderId="0" xfId="0" applyFont="1" applyFill="1" applyAlignment="1" applyProtection="1">
      <alignment horizontal="center"/>
      <protection locked="0"/>
    </xf>
    <xf numFmtId="0" fontId="4" fillId="2" borderId="0" xfId="0" applyFont="1" applyFill="1" applyBorder="1" applyAlignment="1" applyProtection="1">
      <alignment horizontal="left"/>
      <protection locked="0"/>
    </xf>
    <xf numFmtId="0" fontId="4" fillId="2" borderId="40" xfId="0" applyFont="1" applyFill="1" applyBorder="1" applyAlignment="1" applyProtection="1">
      <alignment horizontal="center" vertical="center" wrapText="1"/>
      <protection locked="0"/>
    </xf>
    <xf numFmtId="0" fontId="16" fillId="2" borderId="28" xfId="0" applyFont="1" applyFill="1" applyBorder="1" applyAlignment="1" applyProtection="1">
      <alignment horizontal="center" vertical="center"/>
      <protection locked="0"/>
    </xf>
    <xf numFmtId="0" fontId="4" fillId="2" borderId="42" xfId="0" applyFont="1" applyFill="1" applyBorder="1" applyAlignment="1" applyProtection="1">
      <alignment horizontal="center" vertical="center" wrapText="1"/>
      <protection locked="0"/>
    </xf>
    <xf numFmtId="0" fontId="4" fillId="2" borderId="31" xfId="0" applyFont="1" applyFill="1" applyBorder="1" applyAlignment="1" applyProtection="1">
      <alignment horizontal="center" vertical="center" wrapText="1"/>
      <protection locked="0"/>
    </xf>
    <xf numFmtId="0" fontId="4" fillId="2" borderId="32" xfId="0" applyFont="1" applyFill="1" applyBorder="1" applyAlignment="1" applyProtection="1">
      <alignment horizontal="center" vertical="center" wrapText="1"/>
      <protection locked="0"/>
    </xf>
    <xf numFmtId="0" fontId="14" fillId="2" borderId="29" xfId="0" applyFont="1" applyFill="1" applyBorder="1" applyAlignment="1" applyProtection="1">
      <alignment horizontal="center"/>
      <protection locked="0"/>
    </xf>
    <xf numFmtId="0" fontId="14" fillId="2" borderId="28" xfId="0" applyFont="1" applyFill="1" applyBorder="1" applyAlignment="1" applyProtection="1">
      <alignment horizontal="center"/>
      <protection locked="0"/>
    </xf>
    <xf numFmtId="0" fontId="14" fillId="2" borderId="40" xfId="0" applyFont="1" applyFill="1" applyBorder="1" applyAlignment="1" applyProtection="1">
      <alignment horizontal="center" vertical="center" wrapText="1"/>
      <protection locked="0"/>
    </xf>
    <xf numFmtId="0" fontId="19" fillId="2" borderId="0" xfId="0" applyFont="1" applyFill="1" applyAlignment="1" applyProtection="1">
      <alignment horizontal="center" vertical="center" wrapText="1"/>
      <protection locked="0"/>
    </xf>
    <xf numFmtId="0" fontId="15" fillId="2" borderId="0" xfId="0" applyFont="1" applyFill="1" applyAlignment="1" applyProtection="1">
      <alignment horizontal="center" vertical="center"/>
      <protection locked="0"/>
    </xf>
    <xf numFmtId="0" fontId="4" fillId="2" borderId="46" xfId="0" applyFont="1" applyFill="1" applyBorder="1" applyAlignment="1" applyProtection="1">
      <alignment horizontal="left"/>
      <protection locked="0"/>
    </xf>
    <xf numFmtId="0" fontId="4" fillId="2" borderId="47" xfId="0" applyFont="1" applyFill="1" applyBorder="1" applyAlignment="1" applyProtection="1">
      <alignment horizontal="left"/>
      <protection locked="0"/>
    </xf>
    <xf numFmtId="0" fontId="14" fillId="2" borderId="0" xfId="0" applyFont="1" applyFill="1" applyAlignment="1" applyProtection="1">
      <alignment horizontal="left" wrapText="1"/>
      <protection locked="0"/>
    </xf>
    <xf numFmtId="0" fontId="14" fillId="2" borderId="0" xfId="0" applyFont="1" applyFill="1" applyAlignment="1" applyProtection="1">
      <alignment horizontal="left"/>
      <protection locked="0"/>
    </xf>
    <xf numFmtId="0" fontId="16" fillId="2" borderId="34" xfId="0" applyFont="1" applyFill="1" applyBorder="1" applyAlignment="1" applyProtection="1">
      <alignment horizontal="left" vertical="center"/>
      <protection locked="0"/>
    </xf>
    <xf numFmtId="0" fontId="16" fillId="2" borderId="38" xfId="0" applyFont="1" applyFill="1" applyBorder="1" applyAlignment="1" applyProtection="1">
      <alignment horizontal="left" vertical="center"/>
      <protection locked="0"/>
    </xf>
    <xf numFmtId="0" fontId="17" fillId="2" borderId="34" xfId="0" applyFont="1" applyFill="1" applyBorder="1" applyAlignment="1" applyProtection="1">
      <alignment horizontal="left" vertical="center" wrapText="1"/>
      <protection locked="0"/>
    </xf>
    <xf numFmtId="0" fontId="17" fillId="2" borderId="37" xfId="0" applyFont="1" applyFill="1" applyBorder="1" applyAlignment="1" applyProtection="1">
      <alignment horizontal="left" vertical="center" wrapText="1"/>
      <protection locked="0"/>
    </xf>
    <xf numFmtId="0" fontId="17" fillId="2" borderId="38" xfId="0" applyFont="1" applyFill="1" applyBorder="1" applyAlignment="1" applyProtection="1">
      <alignment horizontal="left" vertical="center" wrapText="1"/>
      <protection locked="0"/>
    </xf>
    <xf numFmtId="0" fontId="17" fillId="2" borderId="42" xfId="0" applyFont="1" applyFill="1" applyBorder="1" applyAlignment="1" applyProtection="1">
      <alignment horizontal="left" vertical="center" wrapText="1"/>
      <protection locked="0"/>
    </xf>
    <xf numFmtId="0" fontId="17" fillId="4" borderId="35" xfId="0" applyFont="1" applyFill="1" applyBorder="1" applyAlignment="1" applyProtection="1">
      <alignment horizontal="left" vertical="center" wrapText="1"/>
      <protection locked="0"/>
    </xf>
    <xf numFmtId="0" fontId="17" fillId="4" borderId="36" xfId="0" applyFont="1" applyFill="1" applyBorder="1" applyAlignment="1" applyProtection="1">
      <alignment horizontal="left" vertical="center" wrapText="1"/>
      <protection locked="0"/>
    </xf>
    <xf numFmtId="0" fontId="17" fillId="4" borderId="43" xfId="0" applyFont="1" applyFill="1" applyBorder="1" applyAlignment="1" applyProtection="1">
      <alignment horizontal="left" vertical="center" wrapText="1"/>
      <protection locked="0"/>
    </xf>
    <xf numFmtId="0" fontId="14" fillId="4" borderId="40" xfId="0" applyFont="1" applyFill="1" applyBorder="1" applyAlignment="1" applyProtection="1">
      <alignment horizontal="center" vertical="center" wrapText="1"/>
      <protection locked="0"/>
    </xf>
    <xf numFmtId="0" fontId="4" fillId="2" borderId="52" xfId="0" applyFont="1" applyFill="1" applyBorder="1" applyAlignment="1" applyProtection="1">
      <alignment horizontal="left" vertical="center" wrapText="1"/>
      <protection locked="0"/>
    </xf>
    <xf numFmtId="0" fontId="0" fillId="0" borderId="0" xfId="0" applyAlignment="1">
      <alignment horizontal="center"/>
    </xf>
    <xf numFmtId="0" fontId="11" fillId="0" borderId="18" xfId="0" applyFont="1" applyBorder="1" applyAlignment="1">
      <alignment horizontal="center" vertical="center"/>
    </xf>
    <xf numFmtId="0" fontId="11" fillId="0" borderId="12" xfId="0" applyFont="1" applyBorder="1" applyAlignment="1">
      <alignment horizontal="center" vertical="center"/>
    </xf>
    <xf numFmtId="0" fontId="11" fillId="0" borderId="23" xfId="0" applyFont="1" applyBorder="1" applyAlignment="1">
      <alignment horizontal="center" vertical="center"/>
    </xf>
    <xf numFmtId="0" fontId="11" fillId="0" borderId="4"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21" xfId="0" applyFont="1" applyBorder="1" applyAlignment="1">
      <alignment horizontal="center"/>
    </xf>
    <xf numFmtId="0" fontId="11" fillId="0" borderId="19" xfId="0" applyFont="1" applyBorder="1" applyAlignment="1">
      <alignment horizontal="center"/>
    </xf>
    <xf numFmtId="0" fontId="11" fillId="0" borderId="14" xfId="0" applyFont="1" applyBorder="1" applyAlignment="1">
      <alignment horizontal="center"/>
    </xf>
    <xf numFmtId="0" fontId="11" fillId="0" borderId="22" xfId="0" applyFont="1" applyBorder="1" applyAlignment="1">
      <alignment horizontal="center"/>
    </xf>
    <xf numFmtId="0" fontId="1" fillId="0" borderId="0" xfId="0" applyFont="1" applyAlignment="1">
      <alignment horizontal="center"/>
    </xf>
    <xf numFmtId="0" fontId="0" fillId="0" borderId="5" xfId="0" applyBorder="1" applyAlignment="1">
      <alignment horizontal="center"/>
    </xf>
    <xf numFmtId="0" fontId="0" fillId="0" borderId="2" xfId="0" applyBorder="1" applyAlignment="1">
      <alignment horizontal="center"/>
    </xf>
    <xf numFmtId="0" fontId="0" fillId="0" borderId="6" xfId="0" applyBorder="1" applyAlignment="1">
      <alignment horizontal="center"/>
    </xf>
    <xf numFmtId="0" fontId="0" fillId="0" borderId="25" xfId="0" applyBorder="1" applyAlignment="1">
      <alignment horizontal="center"/>
    </xf>
    <xf numFmtId="0" fontId="0" fillId="0" borderId="0" xfId="0" applyBorder="1" applyAlignment="1">
      <alignment horizontal="center"/>
    </xf>
    <xf numFmtId="0" fontId="0" fillId="0" borderId="2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1" fillId="0" borderId="13" xfId="0" applyFont="1" applyBorder="1" applyAlignment="1">
      <alignment horizontal="center" vertical="center"/>
    </xf>
    <xf numFmtId="0" fontId="11" fillId="0" borderId="3" xfId="0" applyFont="1" applyBorder="1" applyAlignment="1">
      <alignment horizontal="center" vertical="center" wrapText="1"/>
    </xf>
    <xf numFmtId="0" fontId="11" fillId="0" borderId="10" xfId="0" applyFont="1" applyBorder="1" applyAlignment="1">
      <alignment horizontal="center" vertical="center"/>
    </xf>
    <xf numFmtId="0" fontId="11" fillId="0" borderId="11" xfId="0" applyFont="1" applyBorder="1" applyAlignment="1">
      <alignment horizontal="center" vertical="center" wrapText="1"/>
    </xf>
    <xf numFmtId="0" fontId="8" fillId="0" borderId="20" xfId="0" applyFont="1" applyBorder="1" applyAlignment="1">
      <alignment horizontal="center"/>
    </xf>
    <xf numFmtId="0" fontId="9" fillId="0" borderId="20" xfId="0" applyFont="1" applyBorder="1" applyAlignment="1">
      <alignment horizontal="center"/>
    </xf>
  </cellXfs>
  <cellStyles count="3">
    <cellStyle name="Обычный" xfId="0" builtinId="0"/>
    <cellStyle name="Процентный" xfId="1" builtinId="5"/>
    <cellStyle name="Финансовый" xfId="2" builtinId="3"/>
  </cellStyles>
  <dxfs count="1">
    <dxf>
      <font>
        <color rgb="FFFF0000"/>
      </font>
    </dxf>
  </dxfs>
  <tableStyles count="0" defaultTableStyle="TableStyleMedium9" defaultPivotStyle="PivotStyleLight16"/>
  <colors>
    <mruColors>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hyperlink" Target="#'&#1054;&#1073;&#1086;&#1089;&#1085;&#1086;&#1074;&#1072;&#1085;&#1080;&#1077; &#1085;&#1072;&#1095;&#1072;&#1083;&#1100;&#1085;&#1086;&#1081; &#1089;&#1090;&#1086;&#1080;&#1084;&#1086;&#1089;&#1090;&#1080;'!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6.emf"/><Relationship Id="rId11" Type="http://schemas.openxmlformats.org/officeDocument/2006/relationships/image" Target="../media/image1.emf"/><Relationship Id="rId5" Type="http://schemas.openxmlformats.org/officeDocument/2006/relationships/image" Target="../media/image11.emf"/><Relationship Id="rId10" Type="http://schemas.openxmlformats.org/officeDocument/2006/relationships/image" Target="../media/image2.emf"/><Relationship Id="rId4" Type="http://schemas.openxmlformats.org/officeDocument/2006/relationships/image" Target="../media/image10.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10</xdr:col>
      <xdr:colOff>590551</xdr:colOff>
      <xdr:row>3</xdr:row>
      <xdr:rowOff>57151</xdr:rowOff>
    </xdr:to>
    <xdr:sp macro="" textlink="">
      <xdr:nvSpPr>
        <xdr:cNvPr id="7" name="Скругленный прямоугольник 6"/>
        <xdr:cNvSpPr/>
      </xdr:nvSpPr>
      <xdr:spPr>
        <a:xfrm>
          <a:off x="609600" y="190500"/>
          <a:ext cx="6076951" cy="438151"/>
        </a:xfrm>
        <a:prstGeom prst="roundRect">
          <a:avLst/>
        </a:prstGeom>
        <a:solidFill>
          <a:schemeClr val="bg1">
            <a:lumMod val="7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2800" b="1">
              <a:solidFill>
                <a:sysClr val="windowText" lastClr="000000"/>
              </a:solidFill>
            </a:rPr>
            <a:t>Как</a:t>
          </a:r>
          <a:r>
            <a:rPr lang="ru-RU" sz="2800" b="1" baseline="0">
              <a:solidFill>
                <a:sysClr val="windowText" lastClr="000000"/>
              </a:solidFill>
            </a:rPr>
            <a:t> заполняются ячейки:</a:t>
          </a:r>
          <a:endParaRPr lang="ru-RU" sz="2800" b="1">
            <a:solidFill>
              <a:sysClr val="windowText" lastClr="000000"/>
            </a:solidFill>
          </a:endParaRPr>
        </a:p>
      </xdr:txBody>
    </xdr:sp>
    <xdr:clientData/>
  </xdr:twoCellAnchor>
  <xdr:twoCellAnchor>
    <xdr:from>
      <xdr:col>1</xdr:col>
      <xdr:colOff>9525</xdr:colOff>
      <xdr:row>4</xdr:row>
      <xdr:rowOff>190499</xdr:rowOff>
    </xdr:from>
    <xdr:to>
      <xdr:col>3</xdr:col>
      <xdr:colOff>590325</xdr:colOff>
      <xdr:row>24</xdr:row>
      <xdr:rowOff>66674</xdr:rowOff>
    </xdr:to>
    <xdr:sp macro="" textlink="">
      <xdr:nvSpPr>
        <xdr:cNvPr id="8" name="Скругленный прямоугольник 7"/>
        <xdr:cNvSpPr/>
      </xdr:nvSpPr>
      <xdr:spPr>
        <a:xfrm>
          <a:off x="619125" y="952499"/>
          <a:ext cx="1800000" cy="3686175"/>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ru-RU" sz="2000" b="1">
              <a:solidFill>
                <a:schemeClr val="accent1">
                  <a:lumMod val="50000"/>
                </a:schemeClr>
              </a:solidFill>
              <a:latin typeface="Times New Roman" panose="02020603050405020304" pitchFamily="18" charset="0"/>
              <a:cs typeface="Times New Roman" panose="02020603050405020304" pitchFamily="18" charset="0"/>
            </a:rPr>
            <a:t>1</a:t>
          </a:r>
        </a:p>
        <a:p>
          <a:pPr algn="ctr"/>
          <a:r>
            <a:rPr lang="ru-RU" sz="1400" b="1" u="sng">
              <a:solidFill>
                <a:schemeClr val="accent1">
                  <a:lumMod val="50000"/>
                </a:schemeClr>
              </a:solidFill>
              <a:latin typeface="Times New Roman" panose="02020603050405020304" pitchFamily="18" charset="0"/>
              <a:cs typeface="Times New Roman" panose="02020603050405020304" pitchFamily="18" charset="0"/>
            </a:rPr>
            <a:t>Текстовые ячейки</a:t>
          </a:r>
        </a:p>
        <a:p>
          <a:pPr algn="ctr"/>
          <a:endParaRPr lang="ru-RU" sz="1200" b="1" u="sng">
            <a:solidFill>
              <a:schemeClr val="accent1">
                <a:lumMod val="50000"/>
              </a:schemeClr>
            </a:solidFill>
            <a:latin typeface="Times New Roman" panose="02020603050405020304" pitchFamily="18" charset="0"/>
            <a:cs typeface="Times New Roman" panose="02020603050405020304" pitchFamily="18" charset="0"/>
          </a:endParaRPr>
        </a:p>
        <a:p>
          <a:pPr algn="ctr"/>
          <a:r>
            <a:rPr lang="ru-RU" sz="1300">
              <a:solidFill>
                <a:schemeClr val="accent1">
                  <a:lumMod val="50000"/>
                </a:schemeClr>
              </a:solidFill>
              <a:latin typeface="Times New Roman" panose="02020603050405020304" pitchFamily="18" charset="0"/>
              <a:cs typeface="Times New Roman" panose="02020603050405020304" pitchFamily="18" charset="0"/>
            </a:rPr>
            <a:t>Заполняются текстом. Автоматически подстраиваются под размер введенного текста.</a:t>
          </a:r>
        </a:p>
        <a:p>
          <a:pPr algn="ctr"/>
          <a:r>
            <a:rPr lang="ru-RU" sz="1300">
              <a:solidFill>
                <a:schemeClr val="accent1">
                  <a:lumMod val="50000"/>
                </a:schemeClr>
              </a:solidFill>
              <a:latin typeface="Times New Roman" panose="02020603050405020304" pitchFamily="18" charset="0"/>
              <a:cs typeface="Times New Roman" panose="02020603050405020304" pitchFamily="18" charset="0"/>
            </a:rPr>
            <a:t>Дополнены комментариями о заполнении ячейки</a:t>
          </a:r>
          <a:r>
            <a:rPr lang="ru-RU" sz="1300" baseline="0">
              <a:solidFill>
                <a:schemeClr val="accent1">
                  <a:lumMod val="50000"/>
                </a:schemeClr>
              </a:solidFill>
              <a:latin typeface="Times New Roman" panose="02020603050405020304" pitchFamily="18" charset="0"/>
              <a:cs typeface="Times New Roman" panose="02020603050405020304" pitchFamily="18" charset="0"/>
            </a:rPr>
            <a:t> (видны в правом верхнем углу при наведении курсора на ячейку).</a:t>
          </a:r>
          <a:endParaRPr lang="ru-RU" sz="1300">
            <a:solidFill>
              <a:schemeClr val="accent1">
                <a:lumMod val="50000"/>
              </a:schemeClr>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323850</xdr:colOff>
      <xdr:row>5</xdr:row>
      <xdr:rowOff>0</xdr:rowOff>
    </xdr:from>
    <xdr:to>
      <xdr:col>7</xdr:col>
      <xdr:colOff>295050</xdr:colOff>
      <xdr:row>24</xdr:row>
      <xdr:rowOff>38100</xdr:rowOff>
    </xdr:to>
    <xdr:sp macro="" textlink="">
      <xdr:nvSpPr>
        <xdr:cNvPr id="9" name="Скругленный прямоугольник 8"/>
        <xdr:cNvSpPr/>
      </xdr:nvSpPr>
      <xdr:spPr>
        <a:xfrm>
          <a:off x="2762250" y="952500"/>
          <a:ext cx="1800000" cy="3657600"/>
        </a:xfrm>
        <a:prstGeom prst="round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ru-RU" sz="2000" b="1">
              <a:solidFill>
                <a:srgbClr val="C00000"/>
              </a:solidFill>
            </a:rPr>
            <a:t>2</a:t>
          </a:r>
        </a:p>
        <a:p>
          <a:pPr algn="ctr"/>
          <a:r>
            <a:rPr lang="ru-RU" sz="1400" b="1" u="sng">
              <a:solidFill>
                <a:srgbClr val="C00000"/>
              </a:solidFill>
              <a:latin typeface="Times New Roman" panose="02020603050405020304" pitchFamily="18" charset="0"/>
              <a:cs typeface="Times New Roman" panose="02020603050405020304" pitchFamily="18" charset="0"/>
            </a:rPr>
            <a:t>Выбор из </a:t>
          </a:r>
        </a:p>
        <a:p>
          <a:pPr algn="ctr"/>
          <a:r>
            <a:rPr lang="ru-RU" sz="1400" b="1" u="sng">
              <a:solidFill>
                <a:srgbClr val="C00000"/>
              </a:solidFill>
              <a:latin typeface="Times New Roman" panose="02020603050405020304" pitchFamily="18" charset="0"/>
              <a:cs typeface="Times New Roman" panose="02020603050405020304" pitchFamily="18" charset="0"/>
            </a:rPr>
            <a:t>списка</a:t>
          </a:r>
        </a:p>
        <a:p>
          <a:pPr algn="ctr"/>
          <a:endParaRPr lang="ru-RU" sz="1200" b="1" u="sng">
            <a:solidFill>
              <a:srgbClr val="C00000"/>
            </a:solidFill>
            <a:latin typeface="Times New Roman" panose="02020603050405020304" pitchFamily="18" charset="0"/>
            <a:cs typeface="Times New Roman" panose="02020603050405020304" pitchFamily="18" charset="0"/>
          </a:endParaRPr>
        </a:p>
        <a:p>
          <a:pPr algn="ctr"/>
          <a:r>
            <a:rPr lang="ru-RU" sz="1300">
              <a:solidFill>
                <a:srgbClr val="C00000"/>
              </a:solidFill>
              <a:latin typeface="Times New Roman" panose="02020603050405020304" pitchFamily="18" charset="0"/>
              <a:cs typeface="Times New Roman" panose="02020603050405020304" pitchFamily="18" charset="0"/>
            </a:rPr>
            <a:t>Заполняются с помощью выбора из предложенного перечня путем</a:t>
          </a:r>
          <a:r>
            <a:rPr lang="ru-RU" sz="1300" baseline="0">
              <a:solidFill>
                <a:srgbClr val="C00000"/>
              </a:solidFill>
              <a:latin typeface="Times New Roman" panose="02020603050405020304" pitchFamily="18" charset="0"/>
              <a:cs typeface="Times New Roman" panose="02020603050405020304" pitchFamily="18" charset="0"/>
            </a:rPr>
            <a:t> активации списка при нажатии знака </a:t>
          </a:r>
          <a:r>
            <a:rPr lang="ru-RU" sz="1300" baseline="0">
              <a:solidFill>
                <a:srgbClr val="C00000"/>
              </a:solidFill>
              <a:latin typeface="Times New Roman" panose="02020603050405020304" pitchFamily="18" charset="0"/>
              <a:cs typeface="Times New Roman" panose="02020603050405020304" pitchFamily="18" charset="0"/>
              <a:sym typeface="Wingdings 3"/>
            </a:rPr>
            <a:t>, находящегося справа от ячейки. </a:t>
          </a:r>
          <a:r>
            <a:rPr lang="ru-RU" sz="1300" baseline="0">
              <a:solidFill>
                <a:srgbClr val="C00000"/>
              </a:solidFill>
              <a:latin typeface="Times New Roman" panose="02020603050405020304" pitchFamily="18" charset="0"/>
              <a:cs typeface="Times New Roman" panose="02020603050405020304" pitchFamily="18" charset="0"/>
            </a:rPr>
            <a:t> </a:t>
          </a:r>
        </a:p>
        <a:p>
          <a:pPr algn="ctr"/>
          <a:r>
            <a:rPr lang="ru-RU" sz="1300" baseline="0">
              <a:solidFill>
                <a:srgbClr val="C00000"/>
              </a:solidFill>
              <a:latin typeface="Times New Roman" panose="02020603050405020304" pitchFamily="18" charset="0"/>
              <a:cs typeface="Times New Roman" panose="02020603050405020304" pitchFamily="18" charset="0"/>
            </a:rPr>
            <a:t>Подсвечены светло-розовым цветом.</a:t>
          </a:r>
          <a:endParaRPr lang="ru-RU" sz="1300">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47625</xdr:colOff>
      <xdr:row>5</xdr:row>
      <xdr:rowOff>0</xdr:rowOff>
    </xdr:from>
    <xdr:to>
      <xdr:col>11</xdr:col>
      <xdr:colOff>18825</xdr:colOff>
      <xdr:row>24</xdr:row>
      <xdr:rowOff>38100</xdr:rowOff>
    </xdr:to>
    <xdr:sp macro="" textlink="">
      <xdr:nvSpPr>
        <xdr:cNvPr id="10" name="Скругленный прямоугольник 9"/>
        <xdr:cNvSpPr/>
      </xdr:nvSpPr>
      <xdr:spPr>
        <a:xfrm>
          <a:off x="4924425" y="952500"/>
          <a:ext cx="1800000" cy="3657600"/>
        </a:xfrm>
        <a:prstGeom prst="roundRect">
          <a:avLst/>
        </a:prstGeom>
        <a:solidFill>
          <a:schemeClr val="accent3">
            <a:lumMod val="40000"/>
            <a:lumOff val="6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ru-RU" sz="2000" b="1">
              <a:solidFill>
                <a:schemeClr val="accent3">
                  <a:lumMod val="50000"/>
                </a:schemeClr>
              </a:solidFill>
            </a:rPr>
            <a:t>3</a:t>
          </a:r>
        </a:p>
        <a:p>
          <a:pPr algn="ctr"/>
          <a:r>
            <a:rPr lang="ru-RU" sz="1400" b="1" u="sng">
              <a:solidFill>
                <a:schemeClr val="accent3">
                  <a:lumMod val="50000"/>
                </a:schemeClr>
              </a:solidFill>
              <a:latin typeface="Times New Roman" panose="02020603050405020304" pitchFamily="18" charset="0"/>
              <a:cs typeface="Times New Roman" panose="02020603050405020304" pitchFamily="18" charset="0"/>
            </a:rPr>
            <a:t>Выбор</a:t>
          </a:r>
          <a:r>
            <a:rPr lang="ru-RU" sz="1400" b="1" u="sng" baseline="0">
              <a:solidFill>
                <a:schemeClr val="accent3">
                  <a:lumMod val="50000"/>
                </a:schemeClr>
              </a:solidFill>
              <a:latin typeface="Times New Roman" panose="02020603050405020304" pitchFamily="18" charset="0"/>
              <a:cs typeface="Times New Roman" panose="02020603050405020304" pitchFamily="18" charset="0"/>
            </a:rPr>
            <a:t> </a:t>
          </a:r>
        </a:p>
        <a:p>
          <a:pPr algn="ctr"/>
          <a:r>
            <a:rPr lang="ru-RU" sz="1400" b="1" u="sng" baseline="0">
              <a:solidFill>
                <a:schemeClr val="accent3">
                  <a:lumMod val="50000"/>
                </a:schemeClr>
              </a:solidFill>
              <a:latin typeface="Times New Roman" panose="02020603050405020304" pitchFamily="18" charset="0"/>
              <a:cs typeface="Times New Roman" panose="02020603050405020304" pitchFamily="18" charset="0"/>
            </a:rPr>
            <a:t>варианта</a:t>
          </a:r>
        </a:p>
        <a:p>
          <a:pPr algn="ctr"/>
          <a:endParaRPr lang="ru-RU" sz="1200" b="1" u="sng" baseline="0">
            <a:solidFill>
              <a:schemeClr val="accent3">
                <a:lumMod val="50000"/>
              </a:schemeClr>
            </a:solidFill>
            <a:latin typeface="Times New Roman" panose="02020603050405020304" pitchFamily="18" charset="0"/>
            <a:cs typeface="Times New Roman" panose="02020603050405020304" pitchFamily="18" charset="0"/>
          </a:endParaRPr>
        </a:p>
        <a:p>
          <a:pPr algn="ctr"/>
          <a:r>
            <a:rPr lang="ru-RU" sz="1300" baseline="0">
              <a:solidFill>
                <a:schemeClr val="accent3">
                  <a:lumMod val="50000"/>
                </a:schemeClr>
              </a:solidFill>
              <a:latin typeface="Times New Roman" panose="02020603050405020304" pitchFamily="18" charset="0"/>
              <a:cs typeface="Times New Roman" panose="02020603050405020304" pitchFamily="18" charset="0"/>
            </a:rPr>
            <a:t>Выбор выполняется с помощью проставления знаков </a:t>
          </a:r>
          <a:r>
            <a:rPr lang="ru-RU" sz="1050" baseline="0">
              <a:solidFill>
                <a:schemeClr val="accent3">
                  <a:lumMod val="50000"/>
                </a:schemeClr>
              </a:solidFill>
              <a:latin typeface="Times New Roman" panose="02020603050405020304" pitchFamily="18" charset="0"/>
              <a:cs typeface="Times New Roman" panose="02020603050405020304" pitchFamily="18" charset="0"/>
              <a:sym typeface="Wingdings"/>
            </a:rPr>
            <a:t></a:t>
          </a:r>
          <a:r>
            <a:rPr lang="ru-RU" sz="1300" baseline="0">
              <a:solidFill>
                <a:schemeClr val="accent3">
                  <a:lumMod val="50000"/>
                </a:schemeClr>
              </a:solidFill>
              <a:latin typeface="Times New Roman" panose="02020603050405020304" pitchFamily="18" charset="0"/>
              <a:cs typeface="Times New Roman" panose="02020603050405020304" pitchFamily="18" charset="0"/>
              <a:sym typeface="Wingdings"/>
            </a:rPr>
            <a:t> или </a:t>
          </a:r>
          <a:r>
            <a:rPr lang="ru-RU" sz="1400" b="1" baseline="0">
              <a:solidFill>
                <a:schemeClr val="accent3">
                  <a:lumMod val="50000"/>
                </a:schemeClr>
              </a:solidFill>
              <a:latin typeface="Times New Roman" panose="02020603050405020304" pitchFamily="18" charset="0"/>
              <a:cs typeface="Times New Roman" panose="02020603050405020304" pitchFamily="18" charset="0"/>
              <a:sym typeface="Wingdings"/>
            </a:rPr>
            <a:t></a:t>
          </a:r>
          <a:r>
            <a:rPr lang="ru-RU" sz="1300" baseline="0">
              <a:solidFill>
                <a:schemeClr val="accent3">
                  <a:lumMod val="50000"/>
                </a:schemeClr>
              </a:solidFill>
              <a:latin typeface="Times New Roman" panose="02020603050405020304" pitchFamily="18" charset="0"/>
              <a:cs typeface="Times New Roman" panose="02020603050405020304" pitchFamily="18" charset="0"/>
              <a:sym typeface="Wingdings"/>
            </a:rPr>
            <a:t> напротив выбранного варианта. </a:t>
          </a:r>
          <a:endParaRPr lang="ru-RU" sz="1300">
            <a:solidFill>
              <a:schemeClr val="accent3">
                <a:lumMod val="50000"/>
              </a:schemeClr>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25</xdr:row>
      <xdr:rowOff>9525</xdr:rowOff>
    </xdr:from>
    <xdr:to>
      <xdr:col>11</xdr:col>
      <xdr:colOff>0</xdr:colOff>
      <xdr:row>30</xdr:row>
      <xdr:rowOff>38100</xdr:rowOff>
    </xdr:to>
    <xdr:sp macro="" textlink="">
      <xdr:nvSpPr>
        <xdr:cNvPr id="11" name="Скругленный прямоугольник 10"/>
        <xdr:cNvSpPr/>
      </xdr:nvSpPr>
      <xdr:spPr>
        <a:xfrm>
          <a:off x="609600" y="4772025"/>
          <a:ext cx="6096000" cy="981075"/>
        </a:xfrm>
        <a:prstGeom prst="roundRect">
          <a:avLst/>
        </a:prstGeom>
        <a:solidFill>
          <a:srgbClr val="FCFEB8"/>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ru-RU" sz="1400">
              <a:solidFill>
                <a:schemeClr val="accent6">
                  <a:lumMod val="75000"/>
                </a:schemeClr>
              </a:solidFill>
              <a:latin typeface="Times New Roman" panose="02020603050405020304" pitchFamily="18" charset="0"/>
              <a:cs typeface="Times New Roman" panose="02020603050405020304" pitchFamily="18" charset="0"/>
            </a:rPr>
            <a:t>С помощью кнопок</a:t>
          </a:r>
          <a:r>
            <a:rPr lang="en-US" sz="1400">
              <a:solidFill>
                <a:schemeClr val="accent6">
                  <a:lumMod val="75000"/>
                </a:schemeClr>
              </a:solidFill>
              <a:latin typeface="Times New Roman" panose="02020603050405020304" pitchFamily="18" charset="0"/>
              <a:cs typeface="Times New Roman" panose="02020603050405020304" pitchFamily="18" charset="0"/>
            </a:rPr>
            <a:t>        </a:t>
          </a:r>
          <a:r>
            <a:rPr lang="en-US" sz="2000" b="1">
              <a:solidFill>
                <a:schemeClr val="accent6">
                  <a:lumMod val="75000"/>
                </a:schemeClr>
              </a:solidFill>
              <a:latin typeface="Times New Roman" panose="02020603050405020304" pitchFamily="18" charset="0"/>
              <a:cs typeface="Times New Roman" panose="02020603050405020304" pitchFamily="18" charset="0"/>
            </a:rPr>
            <a:t>/</a:t>
          </a:r>
          <a:r>
            <a:rPr lang="en-US" sz="1400">
              <a:solidFill>
                <a:schemeClr val="accent6">
                  <a:lumMod val="75000"/>
                </a:schemeClr>
              </a:solidFill>
              <a:latin typeface="Times New Roman" panose="02020603050405020304" pitchFamily="18" charset="0"/>
              <a:cs typeface="Times New Roman" panose="02020603050405020304" pitchFamily="18" charset="0"/>
            </a:rPr>
            <a:t>      </a:t>
          </a:r>
          <a:r>
            <a:rPr lang="ru-RU" sz="1400" b="0" baseline="0">
              <a:solidFill>
                <a:schemeClr val="accent6">
                  <a:lumMod val="75000"/>
                </a:schemeClr>
              </a:solidFill>
              <a:latin typeface="Times New Roman" panose="02020603050405020304" pitchFamily="18" charset="0"/>
              <a:cs typeface="Times New Roman" panose="02020603050405020304" pitchFamily="18" charset="0"/>
            </a:rPr>
            <a:t>добавляются/удаляются строки в таблицах</a:t>
          </a:r>
        </a:p>
        <a:p>
          <a:pPr marL="0" marR="0" indent="0" algn="ctr" defTabSz="914400" eaLnBrk="1" fontAlgn="auto" latinLnBrk="0" hangingPunct="1">
            <a:lnSpc>
              <a:spcPct val="100000"/>
            </a:lnSpc>
            <a:spcBef>
              <a:spcPts val="0"/>
            </a:spcBef>
            <a:spcAft>
              <a:spcPts val="0"/>
            </a:spcAft>
            <a:buClrTx/>
            <a:buSzTx/>
            <a:buFontTx/>
            <a:buNone/>
            <a:tabLst/>
            <a:defRPr/>
          </a:pPr>
          <a:endParaRPr lang="ru-RU" sz="1400" b="0" baseline="0">
            <a:solidFill>
              <a:schemeClr val="accent6">
                <a:lumMod val="75000"/>
              </a:schemeClr>
            </a:solidFill>
            <a:latin typeface="Times New Roman" panose="02020603050405020304" pitchFamily="18" charset="0"/>
            <a:cs typeface="Times New Roman" panose="02020603050405020304" pitchFamily="18" charset="0"/>
          </a:endParaRPr>
        </a:p>
        <a:p>
          <a:pPr marL="0" marR="0" indent="0" algn="ctr" defTabSz="914400" eaLnBrk="1" fontAlgn="auto" latinLnBrk="0" hangingPunct="1">
            <a:lnSpc>
              <a:spcPct val="100000"/>
            </a:lnSpc>
            <a:spcBef>
              <a:spcPts val="0"/>
            </a:spcBef>
            <a:spcAft>
              <a:spcPts val="0"/>
            </a:spcAft>
            <a:buClrTx/>
            <a:buSzTx/>
            <a:buFontTx/>
            <a:buNone/>
            <a:tabLst/>
            <a:defRPr/>
          </a:pPr>
          <a:r>
            <a:rPr lang="ru-RU" sz="1400" b="0" baseline="0">
              <a:solidFill>
                <a:schemeClr val="accent6">
                  <a:lumMod val="75000"/>
                </a:schemeClr>
              </a:solidFill>
              <a:effectLst/>
              <a:latin typeface="Times New Roman" panose="02020603050405020304" pitchFamily="18" charset="0"/>
              <a:ea typeface="+mn-ea"/>
              <a:cs typeface="Times New Roman" panose="02020603050405020304" pitchFamily="18" charset="0"/>
              <a:sym typeface="Wingdings"/>
            </a:rPr>
            <a:t>С помощью знаков</a:t>
          </a:r>
          <a:r>
            <a:rPr lang="en-US" sz="1400" b="0" baseline="0">
              <a:solidFill>
                <a:schemeClr val="accent6">
                  <a:lumMod val="75000"/>
                </a:schemeClr>
              </a:solidFill>
              <a:effectLst/>
              <a:latin typeface="Times New Roman" panose="02020603050405020304" pitchFamily="18" charset="0"/>
              <a:ea typeface="+mn-ea"/>
              <a:cs typeface="Times New Roman" panose="02020603050405020304" pitchFamily="18" charset="0"/>
              <a:sym typeface="Wingdings"/>
            </a:rPr>
            <a:t>        </a:t>
          </a:r>
          <a:r>
            <a:rPr lang="en-US" sz="2000" b="1" baseline="0">
              <a:solidFill>
                <a:schemeClr val="accent6">
                  <a:lumMod val="75000"/>
                </a:schemeClr>
              </a:solidFill>
              <a:effectLst/>
              <a:latin typeface="Times New Roman" panose="02020603050405020304" pitchFamily="18" charset="0"/>
              <a:ea typeface="+mn-ea"/>
              <a:cs typeface="Times New Roman" panose="02020603050405020304" pitchFamily="18" charset="0"/>
              <a:sym typeface="Wingdings"/>
            </a:rPr>
            <a:t>/</a:t>
          </a:r>
          <a:r>
            <a:rPr lang="en-US" sz="1400" b="0" baseline="0">
              <a:solidFill>
                <a:schemeClr val="accent6">
                  <a:lumMod val="75000"/>
                </a:schemeClr>
              </a:solidFill>
              <a:effectLst/>
              <a:latin typeface="Times New Roman" panose="02020603050405020304" pitchFamily="18" charset="0"/>
              <a:ea typeface="+mn-ea"/>
              <a:cs typeface="Times New Roman" panose="02020603050405020304" pitchFamily="18" charset="0"/>
              <a:sym typeface="Wingdings"/>
            </a:rPr>
            <a:t>       </a:t>
          </a:r>
          <a:r>
            <a:rPr lang="ru-RU" sz="1400" b="0" baseline="0">
              <a:solidFill>
                <a:schemeClr val="accent6">
                  <a:lumMod val="75000"/>
                </a:schemeClr>
              </a:solidFill>
              <a:latin typeface="Times New Roman" panose="02020603050405020304" pitchFamily="18" charset="0"/>
              <a:cs typeface="Times New Roman" panose="02020603050405020304" pitchFamily="18" charset="0"/>
              <a:sym typeface="Wingdings"/>
            </a:rPr>
            <a:t>добавляются/удаляются столбцы в таблицах</a:t>
          </a:r>
          <a:endParaRPr lang="ru-RU" sz="1400" b="0">
            <a:solidFill>
              <a:schemeClr val="accent6">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438150</xdr:colOff>
      <xdr:row>25</xdr:row>
      <xdr:rowOff>171450</xdr:rowOff>
    </xdr:from>
    <xdr:to>
      <xdr:col>5</xdr:col>
      <xdr:colOff>19050</xdr:colOff>
      <xdr:row>26</xdr:row>
      <xdr:rowOff>180975</xdr:rowOff>
    </xdr:to>
    <xdr:sp macro="" textlink="">
      <xdr:nvSpPr>
        <xdr:cNvPr id="12" name="Стрелка вправо 11"/>
        <xdr:cNvSpPr/>
      </xdr:nvSpPr>
      <xdr:spPr>
        <a:xfrm>
          <a:off x="2876550" y="4933950"/>
          <a:ext cx="190500" cy="200025"/>
        </a:xfrm>
        <a:prstGeom prst="rightArrow">
          <a:avLst/>
        </a:prstGeom>
        <a:solidFill>
          <a:schemeClr val="accent6">
            <a:lumMod val="75000"/>
          </a:schemeClr>
        </a:solidFill>
        <a:ln/>
        <a:scene3d>
          <a:camera prst="orthographicFront">
            <a:rot lat="0" lon="0" rev="5400000"/>
          </a:camera>
          <a:lightRig rig="threePt" dir="t">
            <a:rot lat="0" lon="0" rev="1200000"/>
          </a:lightRig>
        </a:scene3d>
        <a:sp3d>
          <a:bevelT w="63500" h="25400"/>
        </a:sp3d>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xdr:twoCellAnchor>
  <xdr:twoCellAnchor>
    <xdr:from>
      <xdr:col>4</xdr:col>
      <xdr:colOff>19050</xdr:colOff>
      <xdr:row>28</xdr:row>
      <xdr:rowOff>104775</xdr:rowOff>
    </xdr:from>
    <xdr:to>
      <xdr:col>4</xdr:col>
      <xdr:colOff>209550</xdr:colOff>
      <xdr:row>29</xdr:row>
      <xdr:rowOff>114300</xdr:rowOff>
    </xdr:to>
    <xdr:sp macro="" textlink="">
      <xdr:nvSpPr>
        <xdr:cNvPr id="13" name="Стрелка вправо 12"/>
        <xdr:cNvSpPr/>
      </xdr:nvSpPr>
      <xdr:spPr>
        <a:xfrm>
          <a:off x="2457450" y="5438775"/>
          <a:ext cx="190500" cy="200025"/>
        </a:xfrm>
        <a:prstGeom prst="rightArrow">
          <a:avLst/>
        </a:prstGeom>
        <a:solidFill>
          <a:schemeClr val="accent6">
            <a:lumMod val="75000"/>
          </a:schemeClr>
        </a:solidFill>
        <a:ln/>
        <a:scene3d>
          <a:camera prst="orthographicFront">
            <a:rot lat="0" lon="0" rev="0"/>
          </a:camera>
          <a:lightRig rig="threePt" dir="t">
            <a:rot lat="0" lon="0" rev="1200000"/>
          </a:lightRig>
        </a:scene3d>
        <a:sp3d>
          <a:bevelT w="63500" h="25400"/>
        </a:sp3d>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xdr:twoCellAnchor>
  <xdr:twoCellAnchor>
    <xdr:from>
      <xdr:col>4</xdr:col>
      <xdr:colOff>333375</xdr:colOff>
      <xdr:row>28</xdr:row>
      <xdr:rowOff>104775</xdr:rowOff>
    </xdr:from>
    <xdr:to>
      <xdr:col>4</xdr:col>
      <xdr:colOff>523875</xdr:colOff>
      <xdr:row>29</xdr:row>
      <xdr:rowOff>114300</xdr:rowOff>
    </xdr:to>
    <xdr:sp macro="" textlink="">
      <xdr:nvSpPr>
        <xdr:cNvPr id="14" name="Стрелка вправо 13"/>
        <xdr:cNvSpPr/>
      </xdr:nvSpPr>
      <xdr:spPr>
        <a:xfrm>
          <a:off x="2771775" y="5438775"/>
          <a:ext cx="190500" cy="200025"/>
        </a:xfrm>
        <a:prstGeom prst="rightArrow">
          <a:avLst/>
        </a:prstGeom>
        <a:solidFill>
          <a:schemeClr val="accent6">
            <a:lumMod val="75000"/>
          </a:schemeClr>
        </a:solidFill>
        <a:ln/>
        <a:scene3d>
          <a:camera prst="orthographicFront">
            <a:rot lat="0" lon="0" rev="10800000"/>
          </a:camera>
          <a:lightRig rig="threePt" dir="t">
            <a:rot lat="0" lon="0" rev="1200000"/>
          </a:lightRig>
        </a:scene3d>
        <a:sp3d>
          <a:bevelT w="63500" h="25400"/>
        </a:sp3d>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xdr:twoCellAnchor>
  <xdr:twoCellAnchor>
    <xdr:from>
      <xdr:col>4</xdr:col>
      <xdr:colOff>152400</xdr:colOff>
      <xdr:row>25</xdr:row>
      <xdr:rowOff>171450</xdr:rowOff>
    </xdr:from>
    <xdr:to>
      <xdr:col>4</xdr:col>
      <xdr:colOff>342900</xdr:colOff>
      <xdr:row>26</xdr:row>
      <xdr:rowOff>180975</xdr:rowOff>
    </xdr:to>
    <xdr:sp macro="" textlink="">
      <xdr:nvSpPr>
        <xdr:cNvPr id="15" name="Стрелка вправо 14"/>
        <xdr:cNvSpPr/>
      </xdr:nvSpPr>
      <xdr:spPr>
        <a:xfrm>
          <a:off x="2590800" y="4933950"/>
          <a:ext cx="190500" cy="200025"/>
        </a:xfrm>
        <a:prstGeom prst="rightArrow">
          <a:avLst/>
        </a:prstGeom>
        <a:solidFill>
          <a:schemeClr val="accent6">
            <a:lumMod val="75000"/>
          </a:schemeClr>
        </a:solidFill>
        <a:ln/>
        <a:scene3d>
          <a:camera prst="orthographicFront">
            <a:rot lat="0" lon="0" rev="16200000"/>
          </a:camera>
          <a:lightRig rig="threePt" dir="t">
            <a:rot lat="0" lon="0" rev="1200000"/>
          </a:lightRig>
        </a:scene3d>
        <a:sp3d>
          <a:bevelT w="63500" h="25400"/>
        </a:sp3d>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357187</xdr:colOff>
          <xdr:row>53</xdr:row>
          <xdr:rowOff>0</xdr:rowOff>
        </xdr:from>
        <xdr:to>
          <xdr:col>7</xdr:col>
          <xdr:colOff>915773</xdr:colOff>
          <xdr:row>54</xdr:row>
          <xdr:rowOff>0</xdr:rowOff>
        </xdr:to>
        <xdr:grpSp>
          <xdr:nvGrpSpPr>
            <xdr:cNvPr id="3" name="Группа 2"/>
            <xdr:cNvGrpSpPr/>
          </xdr:nvGrpSpPr>
          <xdr:grpSpPr>
            <a:xfrm>
              <a:off x="3128962" y="11220450"/>
              <a:ext cx="3225586" cy="276225"/>
              <a:chOff x="3050163" y="13967114"/>
              <a:chExt cx="3164969" cy="277091"/>
            </a:xfrm>
          </xdr:grpSpPr>
          <xdr:sp macro="" textlink="">
            <xdr:nvSpPr>
              <xdr:cNvPr id="1225" name="OptionButton12" hidden="1">
                <a:extLst>
                  <a:ext uri="{63B3BB69-23CF-44E3-9099-C40C66FF867C}">
                    <a14:compatExt spid="_x0000_s1225"/>
                  </a:ext>
                </a:extLst>
              </xdr:cNvPr>
              <xdr:cNvSpPr/>
            </xdr:nvSpPr>
            <xdr:spPr bwMode="auto">
              <a:xfrm>
                <a:off x="3050163" y="13967114"/>
                <a:ext cx="1216538" cy="277091"/>
              </a:xfrm>
              <a:prstGeom prst="rect">
                <a:avLst/>
              </a:prstGeom>
              <a:noFill/>
              <a:ln>
                <a:noFill/>
              </a:ln>
              <a:extLst>
                <a:ext uri="{91240B29-F687-4F45-9708-019B960494DF}">
                  <a14:hiddenLine w="9525">
                    <a:noFill/>
                    <a:miter lim="800000"/>
                    <a:headEnd/>
                    <a:tailEnd/>
                  </a14:hiddenLine>
                </a:ext>
              </a:extLst>
            </xdr:spPr>
          </xdr:sp>
          <xdr:sp macro="" textlink="">
            <xdr:nvSpPr>
              <xdr:cNvPr id="1226" name="OptionButton13" hidden="1">
                <a:extLst>
                  <a:ext uri="{63B3BB69-23CF-44E3-9099-C40C66FF867C}">
                    <a14:compatExt spid="_x0000_s1226"/>
                  </a:ext>
                </a:extLst>
              </xdr:cNvPr>
              <xdr:cNvSpPr/>
            </xdr:nvSpPr>
            <xdr:spPr bwMode="auto">
              <a:xfrm>
                <a:off x="4277590" y="13967114"/>
                <a:ext cx="1937542" cy="27709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104224</xdr:colOff>
          <xdr:row>111</xdr:row>
          <xdr:rowOff>26770</xdr:rowOff>
        </xdr:from>
        <xdr:to>
          <xdr:col>6</xdr:col>
          <xdr:colOff>867834</xdr:colOff>
          <xdr:row>111</xdr:row>
          <xdr:rowOff>275168</xdr:rowOff>
        </xdr:to>
        <xdr:grpSp>
          <xdr:nvGrpSpPr>
            <xdr:cNvPr id="1129" name="Группа 1128"/>
            <xdr:cNvGrpSpPr/>
          </xdr:nvGrpSpPr>
          <xdr:grpSpPr>
            <a:xfrm>
              <a:off x="2875999" y="33469045"/>
              <a:ext cx="2192360" cy="248398"/>
              <a:chOff x="5586410" y="34898853"/>
              <a:chExt cx="2150032" cy="248398"/>
            </a:xfrm>
          </xdr:grpSpPr>
          <xdr:sp macro="" textlink="">
            <xdr:nvSpPr>
              <xdr:cNvPr id="1111" name="Check Box 87" hidden="1">
                <a:extLst>
                  <a:ext uri="{63B3BB69-23CF-44E3-9099-C40C66FF867C}">
                    <a14:compatExt spid="_x0000_s1111"/>
                  </a:ext>
                </a:extLst>
              </xdr:cNvPr>
              <xdr:cNvSpPr/>
            </xdr:nvSpPr>
            <xdr:spPr bwMode="auto">
              <a:xfrm>
                <a:off x="5586410" y="34903834"/>
                <a:ext cx="1123437" cy="2434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Да</a:t>
                </a:r>
              </a:p>
            </xdr:txBody>
          </xdr:sp>
          <xdr:sp macro="" textlink="">
            <xdr:nvSpPr>
              <xdr:cNvPr id="1112" name="Check Box 88" hidden="1">
                <a:extLst>
                  <a:ext uri="{63B3BB69-23CF-44E3-9099-C40C66FF867C}">
                    <a14:compatExt spid="_x0000_s1112"/>
                  </a:ext>
                </a:extLst>
              </xdr:cNvPr>
              <xdr:cNvSpPr/>
            </xdr:nvSpPr>
            <xdr:spPr bwMode="auto">
              <a:xfrm>
                <a:off x="6809230" y="34898853"/>
                <a:ext cx="927212" cy="24839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Нет</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52937</xdr:colOff>
          <xdr:row>106</xdr:row>
          <xdr:rowOff>27517</xdr:rowOff>
        </xdr:from>
        <xdr:to>
          <xdr:col>11</xdr:col>
          <xdr:colOff>2349500</xdr:colOff>
          <xdr:row>106</xdr:row>
          <xdr:rowOff>1134223</xdr:rowOff>
        </xdr:to>
        <xdr:grpSp>
          <xdr:nvGrpSpPr>
            <xdr:cNvPr id="1128" name="Группа 1127"/>
            <xdr:cNvGrpSpPr/>
          </xdr:nvGrpSpPr>
          <xdr:grpSpPr>
            <a:xfrm>
              <a:off x="2824712" y="30764692"/>
              <a:ext cx="9611763" cy="1106706"/>
              <a:chOff x="5535112" y="32200850"/>
              <a:chExt cx="9408547" cy="1106706"/>
            </a:xfrm>
          </xdr:grpSpPr>
          <xdr:sp macro="" textlink="">
            <xdr:nvSpPr>
              <xdr:cNvPr id="1124" name="Check Box 100" hidden="1">
                <a:extLst>
                  <a:ext uri="{63B3BB69-23CF-44E3-9099-C40C66FF867C}">
                    <a14:compatExt spid="_x0000_s1124"/>
                  </a:ext>
                </a:extLst>
              </xdr:cNvPr>
              <xdr:cNvSpPr/>
            </xdr:nvSpPr>
            <xdr:spPr bwMode="auto">
              <a:xfrm>
                <a:off x="5535864" y="33051749"/>
                <a:ext cx="9407795" cy="2558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если в Документации к ранее проведенной открытой Закупочной процедуре предусмотрено, что распределение объемов среди Победителей происходит путем проведения дополнительной конкурентной процедуры.</a:t>
                </a:r>
              </a:p>
            </xdr:txBody>
          </xdr:sp>
          <xdr:sp macro="" textlink="">
            <xdr:nvSpPr>
              <xdr:cNvPr id="1125" name="Check Box 101" hidden="1">
                <a:extLst>
                  <a:ext uri="{63B3BB69-23CF-44E3-9099-C40C66FF867C}">
                    <a14:compatExt spid="_x0000_s1125"/>
                  </a:ext>
                </a:extLst>
              </xdr:cNvPr>
              <xdr:cNvSpPr/>
            </xdr:nvSpPr>
            <xdr:spPr bwMode="auto">
              <a:xfrm>
                <a:off x="5538848" y="32766003"/>
                <a:ext cx="9383651" cy="2769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при наличии нескольких Поставщиков аналогичной Продукции, прошедших квалификационный отбор и/или с которыми у Банка заключены генеральные (рамочные) соглашения.</a:t>
                </a:r>
              </a:p>
            </xdr:txBody>
          </xdr:sp>
          <xdr:sp macro="" textlink="">
            <xdr:nvSpPr>
              <xdr:cNvPr id="1123" name="Check Box 99" hidden="1">
                <a:extLst>
                  <a:ext uri="{63B3BB69-23CF-44E3-9099-C40C66FF867C}">
                    <a14:compatExt spid="_x0000_s1123"/>
                  </a:ext>
                </a:extLst>
              </xdr:cNvPr>
              <xdr:cNvSpPr/>
            </xdr:nvSpPr>
            <xdr:spPr bwMode="auto">
              <a:xfrm>
                <a:off x="5535112" y="32490834"/>
                <a:ext cx="9387404" cy="2222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с целью обеспечения бесперебойной работы Банка необходимо ограничить сроки Закупки.</a:t>
                </a:r>
              </a:p>
            </xdr:txBody>
          </xdr:sp>
          <xdr:sp macro="" textlink="">
            <xdr:nvSpPr>
              <xdr:cNvPr id="1126" name="Check Box 102" hidden="1">
                <a:extLst>
                  <a:ext uri="{63B3BB69-23CF-44E3-9099-C40C66FF867C}">
                    <a14:compatExt spid="_x0000_s1126"/>
                  </a:ext>
                </a:extLst>
              </xdr:cNvPr>
              <xdr:cNvSpPr/>
            </xdr:nvSpPr>
            <xdr:spPr bwMode="auto">
              <a:xfrm>
                <a:off x="5543984" y="32200850"/>
                <a:ext cx="9357349" cy="2370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стоимость закупаемой Продукции не превышает 5 миллионов рублей. </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114813</xdr:colOff>
          <xdr:row>102</xdr:row>
          <xdr:rowOff>116416</xdr:rowOff>
        </xdr:from>
        <xdr:to>
          <xdr:col>6</xdr:col>
          <xdr:colOff>1095759</xdr:colOff>
          <xdr:row>102</xdr:row>
          <xdr:rowOff>243416</xdr:rowOff>
        </xdr:to>
        <xdr:grpSp>
          <xdr:nvGrpSpPr>
            <xdr:cNvPr id="1127" name="Группа 1126"/>
            <xdr:cNvGrpSpPr/>
          </xdr:nvGrpSpPr>
          <xdr:grpSpPr>
            <a:xfrm>
              <a:off x="2886588" y="28624741"/>
              <a:ext cx="2409696" cy="127000"/>
              <a:chOff x="5544067" y="29537845"/>
              <a:chExt cx="2367344" cy="264673"/>
            </a:xfrm>
          </xdr:grpSpPr>
          <xdr:sp macro="" textlink="">
            <xdr:nvSpPr>
              <xdr:cNvPr id="1079" name="Check Box 55" hidden="1">
                <a:extLst>
                  <a:ext uri="{63B3BB69-23CF-44E3-9099-C40C66FF867C}">
                    <a14:compatExt spid="_x0000_s1079"/>
                  </a:ext>
                </a:extLst>
              </xdr:cNvPr>
              <xdr:cNvSpPr/>
            </xdr:nvSpPr>
            <xdr:spPr bwMode="auto">
              <a:xfrm>
                <a:off x="5544067" y="29537937"/>
                <a:ext cx="1108266" cy="26458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Да</a:t>
                </a:r>
              </a:p>
            </xdr:txBody>
          </xdr:sp>
          <xdr:sp macro="" textlink="">
            <xdr:nvSpPr>
              <xdr:cNvPr id="1080" name="Check Box 56" hidden="1">
                <a:extLst>
                  <a:ext uri="{63B3BB69-23CF-44E3-9099-C40C66FF867C}">
                    <a14:compatExt spid="_x0000_s1080"/>
                  </a:ext>
                </a:extLst>
              </xdr:cNvPr>
              <xdr:cNvSpPr/>
            </xdr:nvSpPr>
            <xdr:spPr bwMode="auto">
              <a:xfrm>
                <a:off x="6805657" y="29537845"/>
                <a:ext cx="1105754" cy="26458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Нет</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107156</xdr:colOff>
          <xdr:row>97</xdr:row>
          <xdr:rowOff>97610</xdr:rowOff>
        </xdr:from>
        <xdr:to>
          <xdr:col>11</xdr:col>
          <xdr:colOff>2262188</xdr:colOff>
          <xdr:row>97</xdr:row>
          <xdr:rowOff>1192985</xdr:rowOff>
        </xdr:to>
        <xdr:grpSp>
          <xdr:nvGrpSpPr>
            <xdr:cNvPr id="1121" name="Группа 1120"/>
            <xdr:cNvGrpSpPr/>
          </xdr:nvGrpSpPr>
          <xdr:grpSpPr>
            <a:xfrm>
              <a:off x="2878931" y="25862735"/>
              <a:ext cx="9470232" cy="1095375"/>
              <a:chOff x="5505449" y="20488253"/>
              <a:chExt cx="9439276" cy="1114429"/>
            </a:xfrm>
          </xdr:grpSpPr>
          <xdr:sp macro="" textlink="">
            <xdr:nvSpPr>
              <xdr:cNvPr id="1087" name="Check Box 63" hidden="1">
                <a:extLst>
                  <a:ext uri="{63B3BB69-23CF-44E3-9099-C40C66FF867C}">
                    <a14:compatExt spid="_x0000_s1087"/>
                  </a:ext>
                </a:extLst>
              </xdr:cNvPr>
              <xdr:cNvSpPr/>
            </xdr:nvSpPr>
            <xdr:spPr bwMode="auto">
              <a:xfrm>
                <a:off x="5505449" y="21335981"/>
                <a:ext cx="9439276" cy="2667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стоимость закупаемой Продукции не превышает 5 миллионов рублей. </a:t>
                </a:r>
              </a:p>
            </xdr:txBody>
          </xdr:sp>
          <xdr:sp macro="" textlink="">
            <xdr:nvSpPr>
              <xdr:cNvPr id="1084" name="Check Box 60" hidden="1">
                <a:extLst>
                  <a:ext uri="{63B3BB69-23CF-44E3-9099-C40C66FF867C}">
                    <a14:compatExt spid="_x0000_s1084"/>
                  </a:ext>
                </a:extLst>
              </xdr:cNvPr>
              <xdr:cNvSpPr/>
            </xdr:nvSpPr>
            <xdr:spPr bwMode="auto">
              <a:xfrm>
                <a:off x="5505450" y="21059356"/>
                <a:ext cx="9439275" cy="2505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с целью обеспечения бесперебойной работы Банка необходимо ограничить сроки Закупки.</a:t>
                </a:r>
              </a:p>
            </xdr:txBody>
          </xdr:sp>
          <xdr:sp macro="" textlink="">
            <xdr:nvSpPr>
              <xdr:cNvPr id="1086" name="Check Box 62" hidden="1">
                <a:extLst>
                  <a:ext uri="{63B3BB69-23CF-44E3-9099-C40C66FF867C}">
                    <a14:compatExt spid="_x0000_s1086"/>
                  </a:ext>
                </a:extLst>
              </xdr:cNvPr>
              <xdr:cNvSpPr/>
            </xdr:nvSpPr>
            <xdr:spPr bwMode="auto">
              <a:xfrm>
                <a:off x="5505450" y="20769053"/>
                <a:ext cx="9420225" cy="2505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при наличии нескольких Поставщиков аналогичной Продукции, прошедших квалификационный отбор и/или с которыми у Банка заключены генеральные (рамочные) соглашения.</a:t>
                </a:r>
              </a:p>
            </xdr:txBody>
          </xdr:sp>
          <xdr:sp macro="" textlink="">
            <xdr:nvSpPr>
              <xdr:cNvPr id="1085" name="Check Box 61" hidden="1">
                <a:extLst>
                  <a:ext uri="{63B3BB69-23CF-44E3-9099-C40C66FF867C}">
                    <a14:compatExt spid="_x0000_s1085"/>
                  </a:ext>
                </a:extLst>
              </xdr:cNvPr>
              <xdr:cNvSpPr/>
            </xdr:nvSpPr>
            <xdr:spPr bwMode="auto">
              <a:xfrm>
                <a:off x="5505450" y="20488253"/>
                <a:ext cx="9439275" cy="2505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если в Документации к ранее проведенной открытой Закупочной процедуре предусмотрено, что распределение объемов среди Победителей происходит путем проведения дополнительной конкурентной процедуры.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111386</xdr:colOff>
          <xdr:row>92</xdr:row>
          <xdr:rowOff>115882</xdr:rowOff>
        </xdr:from>
        <xdr:to>
          <xdr:col>7</xdr:col>
          <xdr:colOff>22485</xdr:colOff>
          <xdr:row>92</xdr:row>
          <xdr:rowOff>309560</xdr:rowOff>
        </xdr:to>
        <xdr:grpSp>
          <xdr:nvGrpSpPr>
            <xdr:cNvPr id="1122" name="Группа 1121"/>
            <xdr:cNvGrpSpPr/>
          </xdr:nvGrpSpPr>
          <xdr:grpSpPr>
            <a:xfrm>
              <a:off x="2883161" y="23499757"/>
              <a:ext cx="2578099" cy="193678"/>
              <a:chOff x="5567109" y="24023635"/>
              <a:chExt cx="2506654" cy="193678"/>
            </a:xfrm>
          </xdr:grpSpPr>
          <xdr:sp macro="" textlink="">
            <xdr:nvSpPr>
              <xdr:cNvPr id="1107" name="Check Box 83" hidden="1">
                <a:extLst>
                  <a:ext uri="{63B3BB69-23CF-44E3-9099-C40C66FF867C}">
                    <a14:compatExt spid="_x0000_s1107"/>
                  </a:ext>
                </a:extLst>
              </xdr:cNvPr>
              <xdr:cNvSpPr/>
            </xdr:nvSpPr>
            <xdr:spPr bwMode="auto">
              <a:xfrm>
                <a:off x="5567109" y="24025222"/>
                <a:ext cx="1142726" cy="1841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Да</a:t>
                </a:r>
              </a:p>
            </xdr:txBody>
          </xdr:sp>
          <xdr:sp macro="" textlink="">
            <xdr:nvSpPr>
              <xdr:cNvPr id="1108" name="Check Box 84" hidden="1">
                <a:extLst>
                  <a:ext uri="{63B3BB69-23CF-44E3-9099-C40C66FF867C}">
                    <a14:compatExt spid="_x0000_s1108"/>
                  </a:ext>
                </a:extLst>
              </xdr:cNvPr>
              <xdr:cNvSpPr/>
            </xdr:nvSpPr>
            <xdr:spPr bwMode="auto">
              <a:xfrm>
                <a:off x="6929894" y="24023635"/>
                <a:ext cx="1143869" cy="1936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Нет</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90220</xdr:colOff>
          <xdr:row>84</xdr:row>
          <xdr:rowOff>50006</xdr:rowOff>
        </xdr:from>
        <xdr:to>
          <xdr:col>7</xdr:col>
          <xdr:colOff>29695</xdr:colOff>
          <xdr:row>84</xdr:row>
          <xdr:rowOff>257175</xdr:rowOff>
        </xdr:to>
        <xdr:grpSp>
          <xdr:nvGrpSpPr>
            <xdr:cNvPr id="1120" name="Группа 1119"/>
            <xdr:cNvGrpSpPr/>
          </xdr:nvGrpSpPr>
          <xdr:grpSpPr>
            <a:xfrm>
              <a:off x="2861995" y="19814381"/>
              <a:ext cx="2606475" cy="207169"/>
              <a:chOff x="5490905" y="20157281"/>
              <a:chExt cx="2539795" cy="207169"/>
            </a:xfrm>
          </xdr:grpSpPr>
          <xdr:sp macro="" textlink="">
            <xdr:nvSpPr>
              <xdr:cNvPr id="1069" name="Check Box 45" hidden="1">
                <a:extLst>
                  <a:ext uri="{63B3BB69-23CF-44E3-9099-C40C66FF867C}">
                    <a14:compatExt spid="_x0000_s1069"/>
                  </a:ext>
                </a:extLst>
              </xdr:cNvPr>
              <xdr:cNvSpPr/>
            </xdr:nvSpPr>
            <xdr:spPr bwMode="auto">
              <a:xfrm>
                <a:off x="5490905" y="20157281"/>
                <a:ext cx="1146719" cy="1976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Да</a:t>
                </a:r>
              </a:p>
            </xdr:txBody>
          </xdr:sp>
          <xdr:sp macro="" textlink="">
            <xdr:nvSpPr>
              <xdr:cNvPr id="1070" name="Check Box 46" hidden="1">
                <a:extLst>
                  <a:ext uri="{63B3BB69-23CF-44E3-9099-C40C66FF867C}">
                    <a14:compatExt spid="_x0000_s1070"/>
                  </a:ext>
                </a:extLst>
              </xdr:cNvPr>
              <xdr:cNvSpPr/>
            </xdr:nvSpPr>
            <xdr:spPr bwMode="auto">
              <a:xfrm>
                <a:off x="6886583" y="20157281"/>
                <a:ext cx="1144117" cy="207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 Нет</a:t>
                </a:r>
              </a:p>
            </xdr:txBody>
          </xdr:sp>
        </xdr:grpSp>
        <xdr:clientData/>
      </xdr:twoCellAnchor>
    </mc:Choice>
    <mc:Fallback/>
  </mc:AlternateContent>
  <xdr:twoCellAnchor>
    <xdr:from>
      <xdr:col>12</xdr:col>
      <xdr:colOff>931484</xdr:colOff>
      <xdr:row>48</xdr:row>
      <xdr:rowOff>613323</xdr:rowOff>
    </xdr:from>
    <xdr:to>
      <xdr:col>14</xdr:col>
      <xdr:colOff>892970</xdr:colOff>
      <xdr:row>48</xdr:row>
      <xdr:rowOff>821531</xdr:rowOff>
    </xdr:to>
    <xdr:sp macro="" textlink="">
      <xdr:nvSpPr>
        <xdr:cNvPr id="42" name="Прямоугольник 41"/>
        <xdr:cNvSpPr/>
      </xdr:nvSpPr>
      <xdr:spPr>
        <a:xfrm>
          <a:off x="13147297" y="9447761"/>
          <a:ext cx="2271298"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a:solidFill>
                <a:sysClr val="windowText" lastClr="000000"/>
              </a:solidFill>
              <a:latin typeface="+mn-lt"/>
              <a:ea typeface="+mn-ea"/>
              <a:cs typeface="+mn-cs"/>
            </a:rPr>
            <a:t>Добавить/удалить строки</a:t>
          </a:r>
        </a:p>
      </xdr:txBody>
    </xdr:sp>
    <xdr:clientData fPrintsWithSheet="0"/>
  </xdr:twoCellAnchor>
  <mc:AlternateContent xmlns:mc="http://schemas.openxmlformats.org/markup-compatibility/2006">
    <mc:Choice xmlns:a14="http://schemas.microsoft.com/office/drawing/2010/main" Requires="a14">
      <xdr:twoCellAnchor>
        <xdr:from>
          <xdr:col>5</xdr:col>
          <xdr:colOff>180975</xdr:colOff>
          <xdr:row>67</xdr:row>
          <xdr:rowOff>35718</xdr:rowOff>
        </xdr:from>
        <xdr:to>
          <xdr:col>7</xdr:col>
          <xdr:colOff>0</xdr:colOff>
          <xdr:row>68</xdr:row>
          <xdr:rowOff>23813</xdr:rowOff>
        </xdr:to>
        <xdr:grpSp>
          <xdr:nvGrpSpPr>
            <xdr:cNvPr id="29" name="Группа 28"/>
            <xdr:cNvGrpSpPr/>
          </xdr:nvGrpSpPr>
          <xdr:grpSpPr>
            <a:xfrm>
              <a:off x="2952750" y="14408943"/>
              <a:ext cx="2486025" cy="273845"/>
              <a:chOff x="4693444" y="18049875"/>
              <a:chExt cx="2426491" cy="285751"/>
            </a:xfrm>
          </xdr:grpSpPr>
          <xdr:sp macro="" textlink="">
            <xdr:nvSpPr>
              <xdr:cNvPr id="1204" name="OptionButton2" hidden="1">
                <a:extLst>
                  <a:ext uri="{63B3BB69-23CF-44E3-9099-C40C66FF867C}">
                    <a14:compatExt spid="_x0000_s1204"/>
                  </a:ext>
                </a:extLst>
              </xdr:cNvPr>
              <xdr:cNvSpPr/>
            </xdr:nvSpPr>
            <xdr:spPr bwMode="auto">
              <a:xfrm>
                <a:off x="5905500" y="18049875"/>
                <a:ext cx="1214435" cy="285751"/>
              </a:xfrm>
              <a:prstGeom prst="rect">
                <a:avLst/>
              </a:prstGeom>
              <a:noFill/>
              <a:ln>
                <a:noFill/>
              </a:ln>
              <a:extLst>
                <a:ext uri="{91240B29-F687-4F45-9708-019B960494DF}">
                  <a14:hiddenLine w="9525">
                    <a:noFill/>
                    <a:miter lim="800000"/>
                    <a:headEnd/>
                    <a:tailEnd/>
                  </a14:hiddenLine>
                </a:ext>
              </a:extLst>
            </xdr:spPr>
          </xdr:sp>
          <xdr:sp macro="" textlink="">
            <xdr:nvSpPr>
              <xdr:cNvPr id="1203" name="OptionButton1" hidden="1">
                <a:extLst>
                  <a:ext uri="{63B3BB69-23CF-44E3-9099-C40C66FF867C}">
                    <a14:compatExt spid="_x0000_s1203"/>
                  </a:ext>
                </a:extLst>
              </xdr:cNvPr>
              <xdr:cNvSpPr/>
            </xdr:nvSpPr>
            <xdr:spPr bwMode="auto">
              <a:xfrm>
                <a:off x="4693444" y="18049875"/>
                <a:ext cx="1212059" cy="285751"/>
              </a:xfrm>
              <a:prstGeom prst="rect">
                <a:avLst/>
              </a:prstGeom>
              <a:noFill/>
              <a:ln>
                <a:noFill/>
              </a:ln>
              <a:extLst>
                <a:ext uri="{91240B29-F687-4F45-9708-019B960494DF}">
                  <a14:hiddenLine w="9525">
                    <a:no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59532</xdr:colOff>
          <xdr:row>16</xdr:row>
          <xdr:rowOff>11906</xdr:rowOff>
        </xdr:from>
        <xdr:to>
          <xdr:col>9</xdr:col>
          <xdr:colOff>0</xdr:colOff>
          <xdr:row>19</xdr:row>
          <xdr:rowOff>95249</xdr:rowOff>
        </xdr:to>
        <xdr:grpSp>
          <xdr:nvGrpSpPr>
            <xdr:cNvPr id="22" name="Группа 21"/>
            <xdr:cNvGrpSpPr/>
          </xdr:nvGrpSpPr>
          <xdr:grpSpPr>
            <a:xfrm>
              <a:off x="2831307" y="4107656"/>
              <a:ext cx="4883943" cy="769143"/>
              <a:chOff x="8596313" y="4071940"/>
              <a:chExt cx="4774406" cy="797728"/>
            </a:xfrm>
          </xdr:grpSpPr>
          <xdr:sp macro="" textlink="">
            <xdr:nvSpPr>
              <xdr:cNvPr id="1211" name="OptionButton3" hidden="1">
                <a:extLst>
                  <a:ext uri="{63B3BB69-23CF-44E3-9099-C40C66FF867C}">
                    <a14:compatExt spid="_x0000_s1211"/>
                  </a:ext>
                </a:extLst>
              </xdr:cNvPr>
              <xdr:cNvSpPr/>
            </xdr:nvSpPr>
            <xdr:spPr bwMode="auto">
              <a:xfrm>
                <a:off x="8596313" y="4071940"/>
                <a:ext cx="4774406" cy="273848"/>
              </a:xfrm>
              <a:prstGeom prst="rect">
                <a:avLst/>
              </a:prstGeom>
              <a:noFill/>
              <a:ln>
                <a:noFill/>
              </a:ln>
              <a:extLst>
                <a:ext uri="{91240B29-F687-4F45-9708-019B960494DF}">
                  <a14:hiddenLine w="9525">
                    <a:noFill/>
                    <a:miter lim="800000"/>
                    <a:headEnd/>
                    <a:tailEnd/>
                  </a14:hiddenLine>
                </a:ext>
              </a:extLst>
            </xdr:spPr>
          </xdr:sp>
          <xdr:sp macro="" textlink="">
            <xdr:nvSpPr>
              <xdr:cNvPr id="1212" name="OptionButton4" hidden="1">
                <a:extLst>
                  <a:ext uri="{63B3BB69-23CF-44E3-9099-C40C66FF867C}">
                    <a14:compatExt spid="_x0000_s1212"/>
                  </a:ext>
                </a:extLst>
              </xdr:cNvPr>
              <xdr:cNvSpPr/>
            </xdr:nvSpPr>
            <xdr:spPr bwMode="auto">
              <a:xfrm>
                <a:off x="8596313" y="4333875"/>
                <a:ext cx="4774406" cy="273843"/>
              </a:xfrm>
              <a:prstGeom prst="rect">
                <a:avLst/>
              </a:prstGeom>
              <a:noFill/>
              <a:ln>
                <a:noFill/>
              </a:ln>
              <a:extLst>
                <a:ext uri="{91240B29-F687-4F45-9708-019B960494DF}">
                  <a14:hiddenLine w="9525">
                    <a:noFill/>
                    <a:miter lim="800000"/>
                    <a:headEnd/>
                    <a:tailEnd/>
                  </a14:hiddenLine>
                </a:ext>
              </a:extLst>
            </xdr:spPr>
          </xdr:sp>
          <xdr:sp macro="" textlink="">
            <xdr:nvSpPr>
              <xdr:cNvPr id="1213" name="OptionButton5" hidden="1">
                <a:extLst>
                  <a:ext uri="{63B3BB69-23CF-44E3-9099-C40C66FF867C}">
                    <a14:compatExt spid="_x0000_s1213"/>
                  </a:ext>
                </a:extLst>
              </xdr:cNvPr>
              <xdr:cNvSpPr/>
            </xdr:nvSpPr>
            <xdr:spPr bwMode="auto">
              <a:xfrm>
                <a:off x="8596313" y="4583918"/>
                <a:ext cx="4774406"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46</xdr:row>
          <xdr:rowOff>1</xdr:rowOff>
        </xdr:from>
        <xdr:to>
          <xdr:col>6</xdr:col>
          <xdr:colOff>547688</xdr:colOff>
          <xdr:row>47</xdr:row>
          <xdr:rowOff>83344</xdr:rowOff>
        </xdr:to>
        <xdr:grpSp>
          <xdr:nvGrpSpPr>
            <xdr:cNvPr id="2" name="Группа 1"/>
            <xdr:cNvGrpSpPr/>
          </xdr:nvGrpSpPr>
          <xdr:grpSpPr>
            <a:xfrm>
              <a:off x="2771775" y="8915401"/>
              <a:ext cx="1976438" cy="311943"/>
              <a:chOff x="9298778" y="8339153"/>
              <a:chExt cx="1940715" cy="321468"/>
            </a:xfrm>
          </xdr:grpSpPr>
          <xdr:sp macro="" textlink="">
            <xdr:nvSpPr>
              <xdr:cNvPr id="1218" name="OptionButton6" hidden="1">
                <a:extLst>
                  <a:ext uri="{63B3BB69-23CF-44E3-9099-C40C66FF867C}">
                    <a14:compatExt spid="_x0000_s1218"/>
                  </a:ext>
                </a:extLst>
              </xdr:cNvPr>
              <xdr:cNvSpPr/>
            </xdr:nvSpPr>
            <xdr:spPr bwMode="auto">
              <a:xfrm>
                <a:off x="9298778" y="8339153"/>
                <a:ext cx="1012035" cy="321468"/>
              </a:xfrm>
              <a:prstGeom prst="rect">
                <a:avLst/>
              </a:prstGeom>
              <a:noFill/>
              <a:ln>
                <a:noFill/>
              </a:ln>
              <a:extLst>
                <a:ext uri="{91240B29-F687-4F45-9708-019B960494DF}">
                  <a14:hiddenLine w="9525">
                    <a:noFill/>
                    <a:miter lim="800000"/>
                    <a:headEnd/>
                    <a:tailEnd/>
                  </a14:hiddenLine>
                </a:ext>
              </a:extLst>
            </xdr:spPr>
          </xdr:sp>
          <xdr:sp macro="" textlink="">
            <xdr:nvSpPr>
              <xdr:cNvPr id="1219" name="OptionButton7" hidden="1">
                <a:extLst>
                  <a:ext uri="{63B3BB69-23CF-44E3-9099-C40C66FF867C}">
                    <a14:compatExt spid="_x0000_s1219"/>
                  </a:ext>
                </a:extLst>
              </xdr:cNvPr>
              <xdr:cNvSpPr/>
            </xdr:nvSpPr>
            <xdr:spPr bwMode="auto">
              <a:xfrm>
                <a:off x="10310809" y="8358188"/>
                <a:ext cx="928684" cy="297656"/>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761999</xdr:colOff>
          <xdr:row>56</xdr:row>
          <xdr:rowOff>23812</xdr:rowOff>
        </xdr:from>
        <xdr:to>
          <xdr:col>6</xdr:col>
          <xdr:colOff>297655</xdr:colOff>
          <xdr:row>57</xdr:row>
          <xdr:rowOff>71437</xdr:rowOff>
        </xdr:to>
        <xdr:grpSp>
          <xdr:nvGrpSpPr>
            <xdr:cNvPr id="10" name="Группа 9"/>
            <xdr:cNvGrpSpPr/>
          </xdr:nvGrpSpPr>
          <xdr:grpSpPr>
            <a:xfrm>
              <a:off x="1866899" y="11768137"/>
              <a:ext cx="2631281" cy="276225"/>
              <a:chOff x="8084344" y="11251406"/>
              <a:chExt cx="2547939" cy="285750"/>
            </a:xfrm>
          </xdr:grpSpPr>
          <xdr:sp macro="" textlink="">
            <xdr:nvSpPr>
              <xdr:cNvPr id="1220" name="OptionButton8" hidden="1">
                <a:extLst>
                  <a:ext uri="{63B3BB69-23CF-44E3-9099-C40C66FF867C}">
                    <a14:compatExt spid="_x0000_s1220"/>
                  </a:ext>
                </a:extLst>
              </xdr:cNvPr>
              <xdr:cNvSpPr/>
            </xdr:nvSpPr>
            <xdr:spPr bwMode="auto">
              <a:xfrm>
                <a:off x="8084344" y="11251406"/>
                <a:ext cx="1214438" cy="285750"/>
              </a:xfrm>
              <a:prstGeom prst="rect">
                <a:avLst/>
              </a:prstGeom>
              <a:noFill/>
              <a:ln>
                <a:noFill/>
              </a:ln>
              <a:extLst>
                <a:ext uri="{91240B29-F687-4F45-9708-019B960494DF}">
                  <a14:hiddenLine w="9525">
                    <a:noFill/>
                    <a:miter lim="800000"/>
                    <a:headEnd/>
                    <a:tailEnd/>
                  </a14:hiddenLine>
                </a:ext>
              </a:extLst>
            </xdr:spPr>
          </xdr:sp>
          <xdr:sp macro="" textlink="">
            <xdr:nvSpPr>
              <xdr:cNvPr id="1221" name="OptionButton9" hidden="1">
                <a:extLst>
                  <a:ext uri="{63B3BB69-23CF-44E3-9099-C40C66FF867C}">
                    <a14:compatExt spid="_x0000_s1221"/>
                  </a:ext>
                </a:extLst>
              </xdr:cNvPr>
              <xdr:cNvSpPr/>
            </xdr:nvSpPr>
            <xdr:spPr bwMode="auto">
              <a:xfrm>
                <a:off x="9298782" y="11251406"/>
                <a:ext cx="1333501"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5</xdr:col>
      <xdr:colOff>333372</xdr:colOff>
      <xdr:row>54</xdr:row>
      <xdr:rowOff>13439</xdr:rowOff>
    </xdr:from>
    <xdr:to>
      <xdr:col>9</xdr:col>
      <xdr:colOff>250028</xdr:colOff>
      <xdr:row>54</xdr:row>
      <xdr:rowOff>242455</xdr:rowOff>
    </xdr:to>
    <xdr:sp macro="" textlink="">
      <xdr:nvSpPr>
        <xdr:cNvPr id="13" name="Скругленная прямоугольная выноска 12">
          <a:hlinkClick xmlns:r="http://schemas.openxmlformats.org/officeDocument/2006/relationships" r:id="rId1" tooltip="Перейти на лист"/>
        </xdr:cNvPr>
        <xdr:cNvSpPr/>
      </xdr:nvSpPr>
      <xdr:spPr>
        <a:xfrm>
          <a:off x="3026349" y="14223007"/>
          <a:ext cx="4748429" cy="229016"/>
        </a:xfrm>
        <a:prstGeom prst="wedgeRoundRectCallout">
          <a:avLst>
            <a:gd name="adj1" fmla="val -26986"/>
            <a:gd name="adj2" fmla="val -48682"/>
            <a:gd name="adj3" fmla="val 16667"/>
          </a:avLst>
        </a:prstGeom>
        <a:ln/>
      </xdr:spPr>
      <xdr:style>
        <a:lnRef idx="1">
          <a:schemeClr val="accent2"/>
        </a:lnRef>
        <a:fillRef idx="3">
          <a:schemeClr val="accent2"/>
        </a:fillRef>
        <a:effectRef idx="2">
          <a:schemeClr val="accent2"/>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ru-RU" sz="1400" b="0">
              <a:solidFill>
                <a:schemeClr val="bg1"/>
              </a:solidFill>
              <a:latin typeface="+mn-lt"/>
              <a:ea typeface="+mn-ea"/>
              <a:cs typeface="+mn-cs"/>
            </a:rPr>
            <a:t>Не</a:t>
          </a:r>
          <a:r>
            <a:rPr lang="ru-RU" sz="1400" b="0" baseline="0">
              <a:solidFill>
                <a:schemeClr val="bg1"/>
              </a:solidFill>
              <a:latin typeface="+mn-lt"/>
              <a:ea typeface="+mn-ea"/>
              <a:cs typeface="+mn-cs"/>
            </a:rPr>
            <a:t> забудьте заполнить  обоснование начальной стоимости</a:t>
          </a:r>
          <a:endParaRPr lang="ru-RU" sz="1400" b="0">
            <a:solidFill>
              <a:schemeClr val="bg1"/>
            </a:solidFill>
            <a:latin typeface="+mn-lt"/>
            <a:ea typeface="+mn-ea"/>
            <a:cs typeface="+mn-cs"/>
          </a:endParaRPr>
        </a:p>
      </xdr:txBody>
    </xdr:sp>
    <xdr:clientData fPrintsWithSheet="0"/>
  </xdr:twoCellAnchor>
  <xdr:twoCellAnchor>
    <xdr:from>
      <xdr:col>12</xdr:col>
      <xdr:colOff>154780</xdr:colOff>
      <xdr:row>48</xdr:row>
      <xdr:rowOff>83346</xdr:rowOff>
    </xdr:from>
    <xdr:to>
      <xdr:col>12</xdr:col>
      <xdr:colOff>370780</xdr:colOff>
      <xdr:row>48</xdr:row>
      <xdr:rowOff>299346</xdr:rowOff>
    </xdr:to>
    <xdr:sp macro="[0]!Добавить_Лот_Кол" textlink="">
      <xdr:nvSpPr>
        <xdr:cNvPr id="7" name="Стрелка влево 6"/>
        <xdr:cNvSpPr/>
      </xdr:nvSpPr>
      <xdr:spPr>
        <a:xfrm>
          <a:off x="12372757" y="9071482"/>
          <a:ext cx="216000" cy="216000"/>
        </a:xfrm>
        <a:prstGeom prst="left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580159</xdr:colOff>
      <xdr:row>48</xdr:row>
      <xdr:rowOff>86593</xdr:rowOff>
    </xdr:from>
    <xdr:to>
      <xdr:col>12</xdr:col>
      <xdr:colOff>796159</xdr:colOff>
      <xdr:row>48</xdr:row>
      <xdr:rowOff>302593</xdr:rowOff>
    </xdr:to>
    <xdr:sp macro="[0]!Удалить_Лот_Кол" textlink="">
      <xdr:nvSpPr>
        <xdr:cNvPr id="11" name="Стрелка вправо 10"/>
        <xdr:cNvSpPr/>
      </xdr:nvSpPr>
      <xdr:spPr>
        <a:xfrm>
          <a:off x="12798136" y="9074729"/>
          <a:ext cx="216000" cy="216000"/>
        </a:xfrm>
        <a:prstGeom prst="right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155864</xdr:colOff>
      <xdr:row>48</xdr:row>
      <xdr:rowOff>623458</xdr:rowOff>
    </xdr:from>
    <xdr:to>
      <xdr:col>12</xdr:col>
      <xdr:colOff>371864</xdr:colOff>
      <xdr:row>48</xdr:row>
      <xdr:rowOff>839458</xdr:rowOff>
    </xdr:to>
    <xdr:sp macro="[0]!Добавить_Лот" textlink="">
      <xdr:nvSpPr>
        <xdr:cNvPr id="6" name="Стрелка вниз 5"/>
        <xdr:cNvSpPr/>
      </xdr:nvSpPr>
      <xdr:spPr>
        <a:xfrm>
          <a:off x="12373841" y="12676913"/>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580159</xdr:colOff>
      <xdr:row>48</xdr:row>
      <xdr:rowOff>623458</xdr:rowOff>
    </xdr:from>
    <xdr:to>
      <xdr:col>12</xdr:col>
      <xdr:colOff>796159</xdr:colOff>
      <xdr:row>48</xdr:row>
      <xdr:rowOff>839458</xdr:rowOff>
    </xdr:to>
    <xdr:sp macro="[0]!Удалить_Лот" textlink="">
      <xdr:nvSpPr>
        <xdr:cNvPr id="12" name="Стрелка вверх 11"/>
        <xdr:cNvSpPr/>
      </xdr:nvSpPr>
      <xdr:spPr>
        <a:xfrm>
          <a:off x="12798136" y="12676913"/>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155864</xdr:colOff>
      <xdr:row>58</xdr:row>
      <xdr:rowOff>57364</xdr:rowOff>
    </xdr:from>
    <xdr:to>
      <xdr:col>12</xdr:col>
      <xdr:colOff>371864</xdr:colOff>
      <xdr:row>58</xdr:row>
      <xdr:rowOff>273364</xdr:rowOff>
    </xdr:to>
    <xdr:sp macro="[0]!Добавить_Товар" textlink="">
      <xdr:nvSpPr>
        <xdr:cNvPr id="63" name="Стрелка вниз 62"/>
        <xdr:cNvSpPr/>
      </xdr:nvSpPr>
      <xdr:spPr>
        <a:xfrm>
          <a:off x="12371677" y="14821114"/>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580159</xdr:colOff>
      <xdr:row>58</xdr:row>
      <xdr:rowOff>57364</xdr:rowOff>
    </xdr:from>
    <xdr:to>
      <xdr:col>12</xdr:col>
      <xdr:colOff>796159</xdr:colOff>
      <xdr:row>58</xdr:row>
      <xdr:rowOff>273364</xdr:rowOff>
    </xdr:to>
    <xdr:sp macro="[0]!Удалить_Товар" textlink="">
      <xdr:nvSpPr>
        <xdr:cNvPr id="64" name="Стрелка вверх 63"/>
        <xdr:cNvSpPr/>
      </xdr:nvSpPr>
      <xdr:spPr>
        <a:xfrm>
          <a:off x="12795972" y="14821114"/>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909205</xdr:colOff>
      <xdr:row>58</xdr:row>
      <xdr:rowOff>57367</xdr:rowOff>
    </xdr:from>
    <xdr:to>
      <xdr:col>14</xdr:col>
      <xdr:colOff>870691</xdr:colOff>
      <xdr:row>58</xdr:row>
      <xdr:rowOff>265575</xdr:rowOff>
    </xdr:to>
    <xdr:sp macro="" textlink="">
      <xdr:nvSpPr>
        <xdr:cNvPr id="67" name="Прямоугольник 66"/>
        <xdr:cNvSpPr/>
      </xdr:nvSpPr>
      <xdr:spPr>
        <a:xfrm>
          <a:off x="13125018" y="14821117"/>
          <a:ext cx="247370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baseline="0">
              <a:solidFill>
                <a:sysClr val="windowText" lastClr="000000"/>
              </a:solidFill>
              <a:effectLst/>
              <a:latin typeface="+mn-lt"/>
              <a:ea typeface="+mn-ea"/>
              <a:cs typeface="+mn-cs"/>
            </a:rPr>
            <a:t>Д</a:t>
          </a:r>
          <a:r>
            <a:rPr lang="ru-RU" sz="1400">
              <a:solidFill>
                <a:sysClr val="windowText" lastClr="000000"/>
              </a:solidFill>
              <a:latin typeface="+mn-lt"/>
              <a:ea typeface="+mn-ea"/>
              <a:cs typeface="+mn-cs"/>
            </a:rPr>
            <a:t>обавить/удалить</a:t>
          </a:r>
        </a:p>
      </xdr:txBody>
    </xdr:sp>
    <xdr:clientData fPrintsWithSheet="0"/>
  </xdr:twoCellAnchor>
  <xdr:twoCellAnchor>
    <xdr:from>
      <xdr:col>12</xdr:col>
      <xdr:colOff>129885</xdr:colOff>
      <xdr:row>20</xdr:row>
      <xdr:rowOff>17321</xdr:rowOff>
    </xdr:from>
    <xdr:to>
      <xdr:col>12</xdr:col>
      <xdr:colOff>345885</xdr:colOff>
      <xdr:row>20</xdr:row>
      <xdr:rowOff>233321</xdr:rowOff>
    </xdr:to>
    <xdr:sp macro="[0]!Добавить_Статью" textlink="">
      <xdr:nvSpPr>
        <xdr:cNvPr id="68" name="Стрелка вниз 67"/>
        <xdr:cNvSpPr/>
      </xdr:nvSpPr>
      <xdr:spPr>
        <a:xfrm>
          <a:off x="12347862" y="5273389"/>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554180</xdr:colOff>
      <xdr:row>20</xdr:row>
      <xdr:rowOff>17321</xdr:rowOff>
    </xdr:from>
    <xdr:to>
      <xdr:col>12</xdr:col>
      <xdr:colOff>770180</xdr:colOff>
      <xdr:row>20</xdr:row>
      <xdr:rowOff>233321</xdr:rowOff>
    </xdr:to>
    <xdr:sp macro="[0]!Удалить_Статью" textlink="">
      <xdr:nvSpPr>
        <xdr:cNvPr id="69" name="Стрелка вверх 68"/>
        <xdr:cNvSpPr/>
      </xdr:nvSpPr>
      <xdr:spPr>
        <a:xfrm>
          <a:off x="12772157" y="5273389"/>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883226</xdr:colOff>
      <xdr:row>20</xdr:row>
      <xdr:rowOff>17324</xdr:rowOff>
    </xdr:from>
    <xdr:to>
      <xdr:col>14</xdr:col>
      <xdr:colOff>844712</xdr:colOff>
      <xdr:row>20</xdr:row>
      <xdr:rowOff>225532</xdr:rowOff>
    </xdr:to>
    <xdr:sp macro="" textlink="">
      <xdr:nvSpPr>
        <xdr:cNvPr id="70" name="Прямоугольник 69"/>
        <xdr:cNvSpPr/>
      </xdr:nvSpPr>
      <xdr:spPr>
        <a:xfrm>
          <a:off x="13101203" y="5273392"/>
          <a:ext cx="246396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a:solidFill>
                <a:sysClr val="windowText" lastClr="000000"/>
              </a:solidFill>
              <a:latin typeface="+mn-lt"/>
              <a:ea typeface="+mn-ea"/>
              <a:cs typeface="+mn-cs"/>
            </a:rPr>
            <a:t>Добавить/удалить</a:t>
          </a:r>
        </a:p>
      </xdr:txBody>
    </xdr:sp>
    <xdr:clientData fPrintsWithSheet="0"/>
  </xdr:twoCellAnchor>
  <xdr:twoCellAnchor>
    <xdr:from>
      <xdr:col>12</xdr:col>
      <xdr:colOff>225137</xdr:colOff>
      <xdr:row>117</xdr:row>
      <xdr:rowOff>138546</xdr:rowOff>
    </xdr:from>
    <xdr:to>
      <xdr:col>12</xdr:col>
      <xdr:colOff>441137</xdr:colOff>
      <xdr:row>117</xdr:row>
      <xdr:rowOff>354546</xdr:rowOff>
    </xdr:to>
    <xdr:sp macro="[0]!Добавить_Участники1" textlink="">
      <xdr:nvSpPr>
        <xdr:cNvPr id="71" name="Стрелка вниз 70"/>
        <xdr:cNvSpPr/>
      </xdr:nvSpPr>
      <xdr:spPr>
        <a:xfrm>
          <a:off x="12443114" y="39779864"/>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649432</xdr:colOff>
      <xdr:row>117</xdr:row>
      <xdr:rowOff>138546</xdr:rowOff>
    </xdr:from>
    <xdr:to>
      <xdr:col>12</xdr:col>
      <xdr:colOff>865432</xdr:colOff>
      <xdr:row>117</xdr:row>
      <xdr:rowOff>354546</xdr:rowOff>
    </xdr:to>
    <xdr:sp macro="[0]!Удалить_Участники1" textlink="">
      <xdr:nvSpPr>
        <xdr:cNvPr id="72" name="Стрелка вверх 71"/>
        <xdr:cNvSpPr/>
      </xdr:nvSpPr>
      <xdr:spPr>
        <a:xfrm>
          <a:off x="12867409" y="39779864"/>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978478</xdr:colOff>
      <xdr:row>117</xdr:row>
      <xdr:rowOff>138549</xdr:rowOff>
    </xdr:from>
    <xdr:to>
      <xdr:col>14</xdr:col>
      <xdr:colOff>939964</xdr:colOff>
      <xdr:row>117</xdr:row>
      <xdr:rowOff>346757</xdr:rowOff>
    </xdr:to>
    <xdr:sp macro="" textlink="">
      <xdr:nvSpPr>
        <xdr:cNvPr id="73" name="Прямоугольник 72"/>
        <xdr:cNvSpPr/>
      </xdr:nvSpPr>
      <xdr:spPr>
        <a:xfrm>
          <a:off x="13196455" y="39779867"/>
          <a:ext cx="246396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baseline="0">
              <a:solidFill>
                <a:sysClr val="windowText" lastClr="000000"/>
              </a:solidFill>
              <a:effectLst/>
              <a:latin typeface="+mn-lt"/>
              <a:ea typeface="+mn-ea"/>
              <a:cs typeface="+mn-cs"/>
            </a:rPr>
            <a:t>Д</a:t>
          </a:r>
          <a:r>
            <a:rPr lang="ru-RU" sz="1400">
              <a:solidFill>
                <a:sysClr val="windowText" lastClr="000000"/>
              </a:solidFill>
              <a:latin typeface="+mn-lt"/>
              <a:ea typeface="+mn-ea"/>
              <a:cs typeface="+mn-cs"/>
            </a:rPr>
            <a:t>обавить/удалить</a:t>
          </a:r>
        </a:p>
      </xdr:txBody>
    </xdr:sp>
    <xdr:clientData fPrintsWithSheet="0"/>
  </xdr:twoCellAnchor>
  <xdr:twoCellAnchor>
    <xdr:from>
      <xdr:col>12</xdr:col>
      <xdr:colOff>242452</xdr:colOff>
      <xdr:row>122</xdr:row>
      <xdr:rowOff>138549</xdr:rowOff>
    </xdr:from>
    <xdr:to>
      <xdr:col>12</xdr:col>
      <xdr:colOff>458452</xdr:colOff>
      <xdr:row>122</xdr:row>
      <xdr:rowOff>354549</xdr:rowOff>
    </xdr:to>
    <xdr:sp macro="[0]!Добавить_Участники2" textlink="">
      <xdr:nvSpPr>
        <xdr:cNvPr id="74" name="Стрелка вниз 73"/>
        <xdr:cNvSpPr/>
      </xdr:nvSpPr>
      <xdr:spPr>
        <a:xfrm>
          <a:off x="12460429" y="41589617"/>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666747</xdr:colOff>
      <xdr:row>122</xdr:row>
      <xdr:rowOff>138549</xdr:rowOff>
    </xdr:from>
    <xdr:to>
      <xdr:col>12</xdr:col>
      <xdr:colOff>882747</xdr:colOff>
      <xdr:row>122</xdr:row>
      <xdr:rowOff>354549</xdr:rowOff>
    </xdr:to>
    <xdr:sp macro="[0]!Удалить_Участники2" textlink="">
      <xdr:nvSpPr>
        <xdr:cNvPr id="75" name="Стрелка вверх 74"/>
        <xdr:cNvSpPr/>
      </xdr:nvSpPr>
      <xdr:spPr>
        <a:xfrm>
          <a:off x="12884724" y="41589617"/>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995793</xdr:colOff>
      <xdr:row>122</xdr:row>
      <xdr:rowOff>138552</xdr:rowOff>
    </xdr:from>
    <xdr:to>
      <xdr:col>14</xdr:col>
      <xdr:colOff>957279</xdr:colOff>
      <xdr:row>122</xdr:row>
      <xdr:rowOff>346760</xdr:rowOff>
    </xdr:to>
    <xdr:sp macro="" textlink="">
      <xdr:nvSpPr>
        <xdr:cNvPr id="76" name="Прямоугольник 75"/>
        <xdr:cNvSpPr/>
      </xdr:nvSpPr>
      <xdr:spPr>
        <a:xfrm>
          <a:off x="13213770" y="41589620"/>
          <a:ext cx="246396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baseline="0">
              <a:solidFill>
                <a:sysClr val="windowText" lastClr="000000"/>
              </a:solidFill>
              <a:effectLst/>
              <a:latin typeface="+mn-lt"/>
              <a:ea typeface="+mn-ea"/>
              <a:cs typeface="+mn-cs"/>
            </a:rPr>
            <a:t>Д</a:t>
          </a:r>
          <a:r>
            <a:rPr lang="ru-RU" sz="1400">
              <a:solidFill>
                <a:sysClr val="windowText" lastClr="000000"/>
              </a:solidFill>
              <a:latin typeface="+mn-lt"/>
              <a:ea typeface="+mn-ea"/>
              <a:cs typeface="+mn-cs"/>
            </a:rPr>
            <a:t>обавить/удалить</a:t>
          </a:r>
        </a:p>
      </xdr:txBody>
    </xdr:sp>
    <xdr:clientData fPrintsWithSheet="0"/>
  </xdr:twoCellAnchor>
  <xdr:twoCellAnchor>
    <xdr:from>
      <xdr:col>12</xdr:col>
      <xdr:colOff>242452</xdr:colOff>
      <xdr:row>127</xdr:row>
      <xdr:rowOff>60613</xdr:rowOff>
    </xdr:from>
    <xdr:to>
      <xdr:col>12</xdr:col>
      <xdr:colOff>458452</xdr:colOff>
      <xdr:row>127</xdr:row>
      <xdr:rowOff>276613</xdr:rowOff>
    </xdr:to>
    <xdr:sp macro="[0]!Добавить_Отклоненные" textlink="">
      <xdr:nvSpPr>
        <xdr:cNvPr id="77" name="Стрелка вниз 76"/>
        <xdr:cNvSpPr/>
      </xdr:nvSpPr>
      <xdr:spPr>
        <a:xfrm>
          <a:off x="12460429" y="42966408"/>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666747</xdr:colOff>
      <xdr:row>127</xdr:row>
      <xdr:rowOff>60613</xdr:rowOff>
    </xdr:from>
    <xdr:to>
      <xdr:col>12</xdr:col>
      <xdr:colOff>882747</xdr:colOff>
      <xdr:row>127</xdr:row>
      <xdr:rowOff>276613</xdr:rowOff>
    </xdr:to>
    <xdr:sp macro="[0]!Удалить_Отклоненные" textlink="">
      <xdr:nvSpPr>
        <xdr:cNvPr id="78" name="Стрелка вверх 77"/>
        <xdr:cNvSpPr/>
      </xdr:nvSpPr>
      <xdr:spPr>
        <a:xfrm>
          <a:off x="12884724" y="42966408"/>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995793</xdr:colOff>
      <xdr:row>127</xdr:row>
      <xdr:rowOff>60616</xdr:rowOff>
    </xdr:from>
    <xdr:to>
      <xdr:col>14</xdr:col>
      <xdr:colOff>957279</xdr:colOff>
      <xdr:row>127</xdr:row>
      <xdr:rowOff>268824</xdr:rowOff>
    </xdr:to>
    <xdr:sp macro="" textlink="">
      <xdr:nvSpPr>
        <xdr:cNvPr id="79" name="Прямоугольник 78"/>
        <xdr:cNvSpPr/>
      </xdr:nvSpPr>
      <xdr:spPr>
        <a:xfrm>
          <a:off x="13213770" y="42966411"/>
          <a:ext cx="246396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baseline="0">
              <a:solidFill>
                <a:sysClr val="windowText" lastClr="000000"/>
              </a:solidFill>
              <a:effectLst/>
              <a:latin typeface="+mn-lt"/>
              <a:ea typeface="+mn-ea"/>
              <a:cs typeface="+mn-cs"/>
            </a:rPr>
            <a:t>Д</a:t>
          </a:r>
          <a:r>
            <a:rPr lang="ru-RU" sz="1400">
              <a:solidFill>
                <a:sysClr val="windowText" lastClr="000000"/>
              </a:solidFill>
              <a:latin typeface="+mn-lt"/>
              <a:ea typeface="+mn-ea"/>
              <a:cs typeface="+mn-cs"/>
            </a:rPr>
            <a:t>обавить/удалить</a:t>
          </a:r>
        </a:p>
      </xdr:txBody>
    </xdr:sp>
    <xdr:clientData fPrintsWithSheet="0"/>
  </xdr:twoCellAnchor>
  <xdr:twoCellAnchor>
    <xdr:from>
      <xdr:col>12</xdr:col>
      <xdr:colOff>242452</xdr:colOff>
      <xdr:row>130</xdr:row>
      <xdr:rowOff>129885</xdr:rowOff>
    </xdr:from>
    <xdr:to>
      <xdr:col>12</xdr:col>
      <xdr:colOff>458452</xdr:colOff>
      <xdr:row>130</xdr:row>
      <xdr:rowOff>345885</xdr:rowOff>
    </xdr:to>
    <xdr:sp macro="[0]!Добавить_Поставщик" textlink="">
      <xdr:nvSpPr>
        <xdr:cNvPr id="80" name="Стрелка вниз 79"/>
        <xdr:cNvSpPr/>
      </xdr:nvSpPr>
      <xdr:spPr>
        <a:xfrm>
          <a:off x="12460429" y="44092090"/>
          <a:ext cx="216000" cy="216000"/>
        </a:xfrm>
        <a:prstGeom prst="down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666747</xdr:colOff>
      <xdr:row>130</xdr:row>
      <xdr:rowOff>129885</xdr:rowOff>
    </xdr:from>
    <xdr:to>
      <xdr:col>12</xdr:col>
      <xdr:colOff>882747</xdr:colOff>
      <xdr:row>130</xdr:row>
      <xdr:rowOff>345885</xdr:rowOff>
    </xdr:to>
    <xdr:sp macro="[0]!Удалить_Поставщики" textlink="">
      <xdr:nvSpPr>
        <xdr:cNvPr id="81" name="Стрелка вверх 80"/>
        <xdr:cNvSpPr/>
      </xdr:nvSpPr>
      <xdr:spPr>
        <a:xfrm>
          <a:off x="12884724" y="44092090"/>
          <a:ext cx="216000" cy="216000"/>
        </a:xfrm>
        <a:prstGeom prst="upArrow">
          <a:avLst/>
        </a:prstGeom>
        <a:solidFill>
          <a:schemeClr val="accent5">
            <a:lumMod val="60000"/>
            <a:lumOff val="40000"/>
          </a:schemeClr>
        </a:solidFill>
        <a:ln>
          <a:noFill/>
        </a:ln>
        <a:effectLst>
          <a:outerShdw blurRad="50800" dist="254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l"/>
          <a:endParaRPr lang="ru-RU" sz="1100">
            <a:solidFill>
              <a:schemeClr val="lt1"/>
            </a:solidFill>
            <a:latin typeface="+mn-lt"/>
            <a:ea typeface="+mn-ea"/>
            <a:cs typeface="+mn-cs"/>
          </a:endParaRPr>
        </a:p>
      </xdr:txBody>
    </xdr:sp>
    <xdr:clientData fPrintsWithSheet="0"/>
  </xdr:twoCellAnchor>
  <xdr:twoCellAnchor>
    <xdr:from>
      <xdr:col>12</xdr:col>
      <xdr:colOff>995793</xdr:colOff>
      <xdr:row>130</xdr:row>
      <xdr:rowOff>129888</xdr:rowOff>
    </xdr:from>
    <xdr:to>
      <xdr:col>14</xdr:col>
      <xdr:colOff>957279</xdr:colOff>
      <xdr:row>130</xdr:row>
      <xdr:rowOff>338096</xdr:rowOff>
    </xdr:to>
    <xdr:sp macro="" textlink="">
      <xdr:nvSpPr>
        <xdr:cNvPr id="82" name="Прямоугольник 81"/>
        <xdr:cNvSpPr/>
      </xdr:nvSpPr>
      <xdr:spPr>
        <a:xfrm>
          <a:off x="13213770" y="44092093"/>
          <a:ext cx="246396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baseline="0">
              <a:solidFill>
                <a:sysClr val="windowText" lastClr="000000"/>
              </a:solidFill>
              <a:effectLst/>
              <a:latin typeface="+mn-lt"/>
              <a:ea typeface="+mn-ea"/>
              <a:cs typeface="+mn-cs"/>
            </a:rPr>
            <a:t>Д</a:t>
          </a:r>
          <a:r>
            <a:rPr lang="ru-RU" sz="1400">
              <a:solidFill>
                <a:sysClr val="windowText" lastClr="000000"/>
              </a:solidFill>
              <a:latin typeface="+mn-lt"/>
              <a:ea typeface="+mn-ea"/>
              <a:cs typeface="+mn-cs"/>
            </a:rPr>
            <a:t>обавить/удалить</a:t>
          </a:r>
        </a:p>
      </xdr:txBody>
    </xdr:sp>
    <xdr:clientData fPrintsWithSheet="0"/>
  </xdr:twoCellAnchor>
  <xdr:twoCellAnchor>
    <xdr:from>
      <xdr:col>12</xdr:col>
      <xdr:colOff>940595</xdr:colOff>
      <xdr:row>48</xdr:row>
      <xdr:rowOff>83344</xdr:rowOff>
    </xdr:from>
    <xdr:to>
      <xdr:col>14</xdr:col>
      <xdr:colOff>902081</xdr:colOff>
      <xdr:row>48</xdr:row>
      <xdr:rowOff>291552</xdr:rowOff>
    </xdr:to>
    <xdr:sp macro="" textlink="">
      <xdr:nvSpPr>
        <xdr:cNvPr id="83" name="Прямоугольник 82"/>
        <xdr:cNvSpPr/>
      </xdr:nvSpPr>
      <xdr:spPr>
        <a:xfrm>
          <a:off x="13156408" y="11941969"/>
          <a:ext cx="2473704" cy="208208"/>
        </a:xfrm>
        <a:prstGeom prst="rect">
          <a:avLst/>
        </a:prstGeom>
        <a:noFill/>
        <a:ln/>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ru-RU" sz="1400">
              <a:solidFill>
                <a:sysClr val="windowText" lastClr="000000"/>
              </a:solidFill>
              <a:latin typeface="+mn-lt"/>
              <a:ea typeface="+mn-ea"/>
              <a:cs typeface="+mn-cs"/>
            </a:rPr>
            <a:t>Добавить/удалить колонки</a:t>
          </a:r>
        </a:p>
      </xdr:txBody>
    </xdr:sp>
    <xdr:clientData fPrintsWithSheet="0"/>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pPr>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defPPr marL="0" indent="0" algn="l">
          <a:defRPr sz="1100">
            <a:solidFill>
              <a:schemeClr val="lt1"/>
            </a:solidFill>
            <a:latin typeface="+mn-lt"/>
            <a:ea typeface="+mn-ea"/>
            <a:cs typeface="+mn-cs"/>
          </a:defRPr>
        </a:defPPr>
      </a:lstStyle>
      <a:style>
        <a:lnRef idx="0">
          <a:schemeClr val="accent3"/>
        </a:lnRef>
        <a:fillRef idx="3">
          <a:schemeClr val="accent3"/>
        </a:fillRef>
        <a:effectRef idx="3">
          <a:schemeClr val="accent3"/>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9" Type="http://schemas.openxmlformats.org/officeDocument/2006/relationships/ctrlProp" Target="../ctrlProps/ctrlProp14.xml"/><Relationship Id="rId21" Type="http://schemas.openxmlformats.org/officeDocument/2006/relationships/image" Target="../media/image9.emf"/><Relationship Id="rId34" Type="http://schemas.openxmlformats.org/officeDocument/2006/relationships/ctrlProp" Target="../ctrlProps/ctrlProp9.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41"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40" Type="http://schemas.openxmlformats.org/officeDocument/2006/relationships/ctrlProp" Target="../ctrlProps/ctrlProp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trlProp" Target="../ctrlProps/ctrlProp8.xml"/><Relationship Id="rId38"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D50"/>
  <sheetViews>
    <sheetView workbookViewId="0">
      <selection activeCell="D2" sqref="D2"/>
    </sheetView>
  </sheetViews>
  <sheetFormatPr defaultRowHeight="14.4" x14ac:dyDescent="0.3"/>
  <cols>
    <col min="1" max="1" width="71.5546875" customWidth="1"/>
    <col min="2" max="2" width="47.88671875" bestFit="1" customWidth="1"/>
    <col min="3" max="3" width="12" style="47" customWidth="1"/>
    <col min="4" max="4" width="48.44140625" bestFit="1" customWidth="1"/>
  </cols>
  <sheetData>
    <row r="1" spans="1:4" x14ac:dyDescent="0.3">
      <c r="A1" s="1" t="s">
        <v>434</v>
      </c>
      <c r="B1" s="1" t="s">
        <v>435</v>
      </c>
      <c r="C1" s="48" t="s">
        <v>432</v>
      </c>
      <c r="D1" s="1" t="s">
        <v>433</v>
      </c>
    </row>
    <row r="2" spans="1:4" x14ac:dyDescent="0.3">
      <c r="A2" s="46" t="str">
        <f t="shared" ref="A2:A30" si="0">ВИДИМОСТЬ_ФОРМУЛА(C2)</f>
        <v>Этап_закупочных_процедур=Справочник!A50</v>
      </c>
      <c r="B2" s="46" t="str">
        <f>Этап_закупочных_процедур&amp;"="&amp;Справочник!A50</f>
        <v>0=Открытие квалификационного отбора</v>
      </c>
      <c r="C2" s="47" t="b">
        <f>Этап_закупочных_процедур=Справочник!A50</f>
        <v>0</v>
      </c>
      <c r="D2" t="str">
        <f>ВИДИМОСТЬ_СТРОКИ(C2, 'Пояснительная записка'!15:42,'Пояснительная записка'!46:136)</f>
        <v>Показать  15:42; 46:136</v>
      </c>
    </row>
    <row r="3" spans="1:4" x14ac:dyDescent="0.3">
      <c r="A3" s="46" t="str">
        <f t="shared" si="0"/>
        <v>Этап_закупочных_процедур=Справочник!A51</v>
      </c>
      <c r="B3" s="46" t="str">
        <f>Этап_закупочных_процедур&amp;"="&amp;Справочник!A51</f>
        <v>0=Подведение итогов квалификационного отбора</v>
      </c>
      <c r="C3" s="47" t="b">
        <f>Этап_закупочных_процедур=Справочник!A51</f>
        <v>0</v>
      </c>
      <c r="D3" t="str">
        <f>ВИДИМОСТЬ_СТРОКИ(C3, 'Пояснительная записка'!15:121, 'Пояснительная записка'!131:136)</f>
        <v>Показать  15:121; 131:136</v>
      </c>
    </row>
    <row r="4" spans="1:4" x14ac:dyDescent="0.3">
      <c r="A4" s="46" t="str">
        <f t="shared" si="0"/>
        <v>Этап_закупочных_процедур=Справочник!A52</v>
      </c>
      <c r="B4" s="46" t="str">
        <f>Этап_закупочных_процедур&amp;"="&amp;Справочник!A52</f>
        <v>0=Открытие закупочных процедур</v>
      </c>
      <c r="C4" s="47" t="b">
        <f>Этап_закупочных_процедур=Справочник!A52</f>
        <v>0</v>
      </c>
      <c r="D4" t="str">
        <f>ВИДИМОСТЬ_СТРОКИ(C4, 'Пояснительная записка'!117:136)</f>
        <v>Показать  117:136</v>
      </c>
    </row>
    <row r="5" spans="1:4" x14ac:dyDescent="0.3">
      <c r="A5" s="46" t="str">
        <f t="shared" si="0"/>
        <v>Этап_закупочных_процедур=Справочник!A53</v>
      </c>
      <c r="B5" s="46" t="str">
        <f>Этап_закупочных_процедур&amp;"="&amp;Справочник!A53</f>
        <v>0=Подведение итогов закупочных процедур</v>
      </c>
      <c r="C5" s="47" t="b">
        <f>Этап_закупочных_процедур=Справочник!A53</f>
        <v>0</v>
      </c>
      <c r="D5" t="str">
        <f>ВИДИМОСТЬ_СТРОКИ(C5, 'Пояснительная записка'!15:63, 'Пояснительная записка'!65:65, 'Пояснительная записка'!68:116, 'Пояснительная записка'!122:126, 'Пояснительная записка'!134:135)</f>
        <v>Показать  15:63; 65:65; 68:116; 122:126; 134:135</v>
      </c>
    </row>
    <row r="6" spans="1:4" x14ac:dyDescent="0.3">
      <c r="A6" s="46" t="str">
        <f t="shared" si="0"/>
        <v>Этап_закупочных_процедур=Справочник!A54</v>
      </c>
      <c r="B6" s="46" t="str">
        <f>Этап_закупочных_процедур&amp;"="&amp;Справочник!A54</f>
        <v>0=Закупка у единственного источника</v>
      </c>
      <c r="C6" s="47" t="b">
        <f>Этап_закупочных_процедур=Справочник!A54</f>
        <v>0</v>
      </c>
      <c r="D6" t="str">
        <f>ВИДИМОСТЬ_СТРОКИ(C6, 'Пояснительная записка'!73:73, 'Пояснительная записка'!75:114, 'Пояснительная записка'!117:130, 'Пояснительная записка'!134:136)</f>
        <v>Показать  73:73; 75:114; 117:130; 134:136</v>
      </c>
    </row>
    <row r="7" spans="1:4" x14ac:dyDescent="0.3">
      <c r="A7" s="46" t="str">
        <f t="shared" si="0"/>
        <v>Этап_закупочных_процедур=Справочник!A55</v>
      </c>
      <c r="B7" s="46" t="str">
        <f>Этап_закупочных_процедур&amp;"="&amp;Справочник!A55</f>
        <v>0=Продление даты подведения итогов</v>
      </c>
      <c r="C7" s="47" t="b">
        <f>Этап_закупочных_процедур=Справочник!A55</f>
        <v>0</v>
      </c>
      <c r="D7" t="str">
        <f>ВИДИМОСТЬ_СТРОКИ(C7, 'Пояснительная записка'!15:133)</f>
        <v>Показать  15:133</v>
      </c>
    </row>
    <row r="8" spans="1:4" x14ac:dyDescent="0.3">
      <c r="A8" s="46"/>
      <c r="B8" s="46"/>
      <c r="C8" s="51"/>
    </row>
    <row r="9" spans="1:4" x14ac:dyDescent="0.3">
      <c r="A9" s="46" t="str">
        <f t="shared" ref="A9:A10" si="1">ВИДИМОСТЬ_ФОРМУЛА(C9)</f>
        <v>Наличие_средств_в_смете=1</v>
      </c>
      <c r="B9" s="46" t="str">
        <f>Наличие_средств_в_смете&amp;"="&amp;1</f>
        <v>3=1</v>
      </c>
      <c r="C9" s="51" t="b">
        <f>Наличие_средств_в_смете=1</f>
        <v>0</v>
      </c>
      <c r="D9" t="str">
        <f>ВИДИМОСТЬ_СТРОКИ(C9, 'Пояснительная записка'!29:36, 'Пояснительная записка'!37:40)</f>
        <v>Показать  29:36; 37:40</v>
      </c>
    </row>
    <row r="10" spans="1:4" x14ac:dyDescent="0.3">
      <c r="A10" s="46" t="str">
        <f t="shared" si="1"/>
        <v>AND(Наличие_средств_в_смете=2, Проверить_РМТБ&lt;&gt;TRUE)</v>
      </c>
      <c r="B10" s="46" t="str">
        <f>Наличие_средств_в_смете&amp;"="&amp;2 &amp;" И "&amp; Проверить_РМТБ &amp;"&lt;&gt;"&amp;TRUE</f>
        <v>3=2 И ЛОЖЬ&lt;&gt;ИСТИНА</v>
      </c>
      <c r="C10" s="51" t="b">
        <f>AND(Наличие_средств_в_смете=2, Проверить_РМТБ&lt;&gt;TRUE)</f>
        <v>0</v>
      </c>
      <c r="D10" t="str">
        <f>ВИДИМОСТЬ_СТРОКИ(C10, 'Пояснительная записка'!37:40)</f>
        <v>Показать  37:40</v>
      </c>
    </row>
    <row r="11" spans="1:4" x14ac:dyDescent="0.3">
      <c r="A11" s="46" t="str">
        <f t="shared" ref="A11" si="2">ВИДИМОСТЬ_ФОРМУЛА(C11)</f>
        <v>AND(Наличие_средств_в_смете=2, Проверить_РМТБ=TRUE)</v>
      </c>
      <c r="B11" s="46" t="str">
        <f>Наличие_средств_в_смете&amp;"="&amp;2 &amp;" И "&amp; Проверить_РМТБ &amp;"="&amp;TRUE</f>
        <v>3=2 И ЛОЖЬ=ИСТИНА</v>
      </c>
      <c r="C11" s="51" t="b">
        <f>AND(Наличие_средств_в_смете=2, Проверить_РМТБ=TRUE)</f>
        <v>0</v>
      </c>
      <c r="D11" t="str">
        <f>ВИДИМОСТЬ_СТРОКИ(C11, 'Пояснительная записка'!29:36)</f>
        <v>Показать  29:36</v>
      </c>
    </row>
    <row r="12" spans="1:4" x14ac:dyDescent="0.3">
      <c r="A12" s="46" t="str">
        <f t="shared" ref="A12" si="3">ВИДИМОСТЬ_ФОРМУЛА(C12)</f>
        <v>AND(Наличие_средств_в_смете=3, Проверить_РМТБ&lt;&gt;TRUE)</v>
      </c>
      <c r="B12" s="46" t="str">
        <f>Наличие_средств_в_смете&amp;"="&amp;3 &amp;" И "&amp; Проверить_РМТБ &amp;"&lt;&gt;"&amp;TRUE</f>
        <v>3=3 И ЛОЖЬ&lt;&gt;ИСТИНА</v>
      </c>
      <c r="C12" s="51" t="b">
        <f>AND(Наличие_средств_в_смете=3, Проверить_РМТБ&lt;&gt;TRUE)</f>
        <v>1</v>
      </c>
      <c r="D12" t="str">
        <f>ВИДИМОСТЬ_СТРОКИ(C12, 'Пояснительная записка'!24:28, 'Пояснительная записка'!37:40)</f>
        <v>Скрыть  24:28; 37:40</v>
      </c>
    </row>
    <row r="13" spans="1:4" x14ac:dyDescent="0.3">
      <c r="A13" s="46" t="str">
        <f t="shared" ref="A13:A17" si="4">ВИДИМОСТЬ_ФОРМУЛА(C13)</f>
        <v>AND(Наличие_средств_в_смете=3, Проверить_РМТБ=TRUE)</v>
      </c>
      <c r="B13" s="46" t="str">
        <f>Наличие_средств_в_смете&amp;"="&amp;3 &amp;" И "&amp; Проверить_РМТБ &amp;"="&amp;TRUE</f>
        <v>3=3 И ЛОЖЬ=ИСТИНА</v>
      </c>
      <c r="C13" s="51" t="b">
        <f>AND(Наличие_средств_в_смете=3, Проверить_РМТБ=TRUE)</f>
        <v>0</v>
      </c>
      <c r="D13" t="str">
        <f>ВИДИМОСТЬ_СТРОКИ(C13, 'Пояснительная записка'!24:28, 'Пояснительная записка'!29:36)</f>
        <v>Показать  24:28; 29:36</v>
      </c>
    </row>
    <row r="14" spans="1:4" x14ac:dyDescent="0.3">
      <c r="A14" s="46"/>
      <c r="B14" s="46"/>
      <c r="C14" s="55"/>
    </row>
    <row r="15" spans="1:4" x14ac:dyDescent="0.3">
      <c r="A15" s="46" t="str">
        <f t="shared" si="4"/>
        <v>Категория_предмета_закупки=TRUE</v>
      </c>
      <c r="B15" s="46" t="str">
        <f>"Товар="&amp;Категория_предмета_закупки</f>
        <v>Товар=ИСТИНА</v>
      </c>
      <c r="C15" s="55" t="b">
        <f>Категория_предмета_закупки=TRUE</f>
        <v>1</v>
      </c>
      <c r="D15" t="str">
        <f>ВИДИМОСТЬ_СТРОКИ(NOT(C15), 'Пояснительная записка'!57:63)</f>
        <v>Показать  57:63</v>
      </c>
    </row>
    <row r="16" spans="1:4" x14ac:dyDescent="0.3">
      <c r="A16" s="46" t="str">
        <f t="shared" si="4"/>
        <v>Наличие_на_складе=TRUE</v>
      </c>
      <c r="B16" s="46" t="str">
        <f>"В наличии="&amp;Наличие_на_складе</f>
        <v>В наличии=ИСТИНА</v>
      </c>
      <c r="C16" s="55" t="b">
        <f>Наличие_на_складе=TRUE</f>
        <v>1</v>
      </c>
      <c r="D16" t="str">
        <f>ВИДИМОСТЬ_СТРОКИ(NOT(C16), 'Пояснительная записка'!59:63)</f>
        <v>Показать  59:63</v>
      </c>
    </row>
    <row r="17" spans="1:4" x14ac:dyDescent="0.3">
      <c r="A17" s="46" t="str">
        <f t="shared" si="4"/>
        <v>Обоснование_стоимости_закупки=TRUE</v>
      </c>
      <c r="B17" s="46" t="str">
        <f>"Требуется="&amp;Обоснование_стоимости_закупки</f>
        <v>Требуется=ИСТИНА</v>
      </c>
      <c r="C17" s="55" t="b">
        <f>Обоснование_стоимости_закупки=TRUE</f>
        <v>1</v>
      </c>
      <c r="D17" t="str">
        <f>ВИДИМОСТЬ_СТРОКИ(NOT(C17), 'Пояснительная записка'!55:55)</f>
        <v>Показать  55:55</v>
      </c>
    </row>
    <row r="18" spans="1:4" x14ac:dyDescent="0.3">
      <c r="A18" s="46"/>
      <c r="B18" s="46"/>
      <c r="C18" s="56"/>
      <c r="D18" t="str">
        <f>ВИДИМОСТЬ_ЛИСТ(NOT(C17),'Обоснование начальной стоимости'!A1)</f>
        <v>Показать листы:  Обоснование начальной стоимости</v>
      </c>
    </row>
    <row r="19" spans="1:4" x14ac:dyDescent="0.3">
      <c r="A19" s="46"/>
      <c r="B19" s="46"/>
      <c r="C19" s="55"/>
      <c r="D19" t="str">
        <f>ВИДИМОСТЬ_СТРОКИ(C17, 'Пояснительная записка'!56:56)</f>
        <v>Скрыть  56:56</v>
      </c>
    </row>
    <row r="20" spans="1:4" x14ac:dyDescent="0.3">
      <c r="A20" s="46" t="str">
        <f t="shared" ref="A20" si="5">ВИДИМОСТЬ_ФОРМУЛА(C20)</f>
        <v>Причина_неиспользования=TRUE</v>
      </c>
      <c r="B20" s="46" t="str">
        <f>Причина_неиспользования&amp;"="&amp;TRUE</f>
        <v>ЛОЖЬ=ИСТИНА</v>
      </c>
      <c r="C20" s="51" t="b">
        <f>Причина_неиспользования=TRUE</f>
        <v>0</v>
      </c>
      <c r="D20" t="str">
        <f>ВИДИМОСТЬ_СТРОКИ(NOT(C20),'Пояснительная записка'!62:63)</f>
        <v>Скрыть  62:63</v>
      </c>
    </row>
    <row r="21" spans="1:4" x14ac:dyDescent="0.3">
      <c r="A21" s="46"/>
      <c r="B21" s="46"/>
      <c r="C21" s="56"/>
    </row>
    <row r="22" spans="1:4" x14ac:dyDescent="0.3">
      <c r="A22" s="46" t="str">
        <f t="shared" si="0"/>
        <v>Форма_договора&lt;&gt;TRUE</v>
      </c>
      <c r="B22" s="46" t="str">
        <f>Форма_договора&amp;"&lt;&gt;"&amp;TRUE</f>
        <v>ЛОЖЬ&lt;&gt;ИСТИНА</v>
      </c>
      <c r="C22" s="47" t="b">
        <f>Форма_договора&lt;&gt;TRUE</f>
        <v>1</v>
      </c>
      <c r="D22" t="str">
        <f>ВИДИМОСТЬ_СТРОКИ(C22, 'Пояснительная записка'!70:71)</f>
        <v>Скрыть  70:71</v>
      </c>
    </row>
    <row r="23" spans="1:4" x14ac:dyDescent="0.3">
      <c r="A23" s="46" t="str">
        <f t="shared" si="0"/>
        <v>Форма_договора&lt;&gt;FALSE</v>
      </c>
      <c r="B23" s="46" t="str">
        <f>Форма_договора&amp;"&lt;&gt;"&amp;FALSE</f>
        <v>ЛОЖЬ&lt;&gt;ЛОЖЬ</v>
      </c>
      <c r="C23" s="49" t="b">
        <f>Форма_договора&lt;&gt;FALSE</f>
        <v>0</v>
      </c>
      <c r="D23" t="str">
        <f>ВИДИМОСТЬ_СТРОКИ(C23, 'Пояснительная записка'!72:73)</f>
        <v>Показать  72:73</v>
      </c>
    </row>
    <row r="24" spans="1:4" x14ac:dyDescent="0.3">
      <c r="A24" s="46" t="str">
        <f t="shared" si="0"/>
        <v>OR('Пояснительная записка'!F70&lt;&gt;Справочник!A24, Форма_договора&lt;&gt;TRUE)</v>
      </c>
      <c r="B24" t="str">
        <f>'Пояснительная записка'!F70&amp;"&lt;&gt;"&amp;Справочник!A24</f>
        <v>&lt;&gt;Портал ЦА</v>
      </c>
      <c r="C24" s="47" t="b">
        <f>OR('Пояснительная записка'!F70&lt;&gt;Справочник!A24, Форма_договора&lt;&gt;TRUE)</f>
        <v>1</v>
      </c>
      <c r="D24" t="str">
        <f>ВИДИМОСТЬ_СТРОКИ(C24, 'Пояснительная записка'!71:71)</f>
        <v>Скрыть  71:71</v>
      </c>
    </row>
    <row r="25" spans="1:4" x14ac:dyDescent="0.3">
      <c r="A25" s="46"/>
      <c r="C25" s="50"/>
    </row>
    <row r="26" spans="1:4" x14ac:dyDescent="0.3">
      <c r="A26" s="46" t="str">
        <f t="shared" si="0"/>
        <v>Не_принадлежит=FALSE</v>
      </c>
      <c r="B26" t="str">
        <f>Не_принадлежит&amp;"="&amp;FALSE</f>
        <v>ЛОЖЬ=ЛОЖЬ</v>
      </c>
      <c r="C26" s="52" t="b">
        <f>Не_принадлежит=FALSE</f>
        <v>1</v>
      </c>
      <c r="D26" t="str">
        <f>ВИДИМОСТЬ_СТРОКИ(C26, 'Пояснительная записка'!77:77)</f>
        <v>Скрыть  77:77</v>
      </c>
    </row>
    <row r="27" spans="1:4" x14ac:dyDescent="0.3">
      <c r="A27" s="46" t="str">
        <f t="shared" si="0"/>
        <v>Не_принадлежит=TRUE</v>
      </c>
      <c r="B27" t="str">
        <f>Не_принадлежит&amp;"="&amp;TRUE</f>
        <v>ЛОЖЬ=ИСТИНА</v>
      </c>
      <c r="C27" s="47" t="b">
        <f>Не_принадлежит=TRUE</f>
        <v>0</v>
      </c>
      <c r="D27" t="str">
        <f>ВИДИМОСТЬ_СТРОКИ(C27, 'Пояснительная записка'!78:78)</f>
        <v>Показать  78:78</v>
      </c>
    </row>
    <row r="28" spans="1:4" x14ac:dyDescent="0.3">
      <c r="A28" s="46"/>
      <c r="C28" s="52"/>
    </row>
    <row r="29" spans="1:4" x14ac:dyDescent="0.3">
      <c r="A29" s="46"/>
      <c r="C29" s="50"/>
    </row>
    <row r="30" spans="1:4" x14ac:dyDescent="0.3">
      <c r="A30" s="46" t="str">
        <f t="shared" si="0"/>
        <v>AND(Способ_закупки=Справочник!A30, Не_принадлежит)</v>
      </c>
      <c r="B30" t="str">
        <f>Способ_закупки&amp;"="&amp;Справочник!A30 &amp; " И " &amp; Не_принадлежит</f>
        <v>=Конкурс И ЛОЖЬ</v>
      </c>
      <c r="C30" s="47" t="b">
        <f>AND(Способ_закупки=Справочник!A30, Не_принадлежит)</f>
        <v>0</v>
      </c>
      <c r="D30" t="str">
        <f>ВИДИМОСТЬ_СТРОКИ(C30, 'Пояснительная записка'!80:87, 'Пояснительная записка'!97:105, 'Пояснительная записка'!106:114, 'Пояснительная записка'!115:136)</f>
        <v>Показать  80:87; 97:105; 106:114; 115:136</v>
      </c>
    </row>
    <row r="31" spans="1:4" x14ac:dyDescent="0.3">
      <c r="A31" s="46" t="str">
        <f t="shared" ref="A31:A33" si="6">ВИДИМОСТЬ_ФОРМУЛА(C31)</f>
        <v>AND(Способ_закупки=Справочник!A31, Не_принадлежит)</v>
      </c>
      <c r="B31" t="str">
        <f>Способ_закупки&amp;"="&amp;Справочник!A31 &amp; " И " &amp; Не_принадлежит</f>
        <v>=Запрос предложений И ЛОЖЬ</v>
      </c>
      <c r="C31" s="50" t="b">
        <f>AND(Способ_закупки=Справочник!A31, Не_принадлежит)</f>
        <v>0</v>
      </c>
      <c r="D31" t="str">
        <f>ВИДИМОСТЬ_СТРОКИ(C31,'Пояснительная записка'!80:87,'Пояснительная записка'!88:96,'Пояснительная записка'!97:105,'Пояснительная записка'!115:136)</f>
        <v>Показать  80:87; 88:96; 97:105; 115:136</v>
      </c>
    </row>
    <row r="32" spans="1:4" x14ac:dyDescent="0.3">
      <c r="A32" s="46" t="str">
        <f t="shared" si="6"/>
        <v>AND(Способ_закупки=Справочник!A32, Не_принадлежит)</v>
      </c>
      <c r="B32" t="str">
        <f>Способ_закупки&amp;"="&amp;Справочник!A32 &amp; " И " &amp; Не_принадлежит</f>
        <v>=Электронный аукцион И ЛОЖЬ</v>
      </c>
      <c r="C32" s="50" t="b">
        <f>AND(Способ_закупки=Справочник!A32, Не_принадлежит)</f>
        <v>0</v>
      </c>
      <c r="D32" t="str">
        <f>ВИДИМОСТЬ_СТРОКИ(C32, 'Пояснительная записка'!88:96, 'Пояснительная записка'!97:105, 'Пояснительная записка'!106:114, 'Пояснительная записка'!115:136)</f>
        <v>Показать  88:96; 97:105; 106:114; 115:136</v>
      </c>
    </row>
    <row r="33" spans="1:4" x14ac:dyDescent="0.3">
      <c r="A33" s="46" t="str">
        <f t="shared" si="6"/>
        <v>AND(Способ_закупки=Справочник!A33, Не_принадлежит)</v>
      </c>
      <c r="B33" t="str">
        <f>Способ_закупки&amp;"="&amp;Справочник!A33 &amp; " И " &amp; Не_принадлежит</f>
        <v>=Запрос котировок И ЛОЖЬ</v>
      </c>
      <c r="C33" s="50" t="b">
        <f>AND(Способ_закупки=Справочник!A33, Не_принадлежит)</f>
        <v>0</v>
      </c>
      <c r="D33" t="str">
        <f>ВИДИМОСТЬ_СТРОКИ(C33, 'Пояснительная записка'!80:87, 'Пояснительная записка'!88:96, 'Пояснительная записка'!106:114, 'Пояснительная записка'!115:136)</f>
        <v>Показать  80:87; 88:96; 106:114; 115:136</v>
      </c>
    </row>
    <row r="34" spans="1:4" x14ac:dyDescent="0.3">
      <c r="A34" s="46" t="str">
        <f>ВИДИМОСТЬ_ФОРМУЛА(C34)</f>
        <v>AND(Способ_закупки_616=Справочник!A38, NOT(Не_принадлежит))</v>
      </c>
      <c r="B34" t="str">
        <f>Способ_закупки_616&amp;"="&amp;Справочник!A38 &amp; " И " &amp; NOT(Не_принадлежит)</f>
        <v>=Электронный аукцион И ИСТИНА</v>
      </c>
      <c r="C34" s="50" t="b">
        <f>AND(Способ_закупки_616=Справочник!A38, NOT(Не_принадлежит))</f>
        <v>0</v>
      </c>
      <c r="D34" t="str">
        <f>ВИДИМОСТЬ_СТРОКИ(C34, 'Пояснительная записка'!88:96,'Пояснительная записка'!97:105,'Пояснительная записка'!106:136)</f>
        <v>Показать  88:96; 97:105; 106:136</v>
      </c>
    </row>
    <row r="35" spans="1:4" x14ac:dyDescent="0.3">
      <c r="A35" s="46" t="str">
        <f t="shared" ref="A35" si="7">ВИДИМОСТЬ_ФОРМУЛА(C35)</f>
        <v>AND(Способ_закупки_616=Справочник!A39, NOT(Не_принадлежит))</v>
      </c>
      <c r="B35" t="str">
        <f>Способ_закупки_616&amp;"="&amp;Справочник!A39 &amp; " И " &amp; NOT(Не_принадлежит)</f>
        <v>=Запрос котировок И ИСТИНА</v>
      </c>
      <c r="C35" s="47" t="b">
        <f>AND(Способ_закупки_616=Справочник!A39, NOT(Не_принадлежит))</f>
        <v>0</v>
      </c>
      <c r="D35" t="str">
        <f>ВИДИМОСТЬ_СТРОКИ(C35, 'Пояснительная записка'!80:87,'Пояснительная записка'!88:96,'Пояснительная записка'!106:136)</f>
        <v>Показать  80:87; 88:96; 106:136</v>
      </c>
    </row>
    <row r="36" spans="1:4" x14ac:dyDescent="0.3">
      <c r="A36" s="46"/>
      <c r="C36" s="52"/>
    </row>
    <row r="37" spans="1:4" x14ac:dyDescent="0.3">
      <c r="A37" s="46"/>
      <c r="C37" s="52" t="e">
        <f>MATCH(TRUE,C30:C35,0)</f>
        <v>#N/A</v>
      </c>
    </row>
    <row r="38" spans="1:4" x14ac:dyDescent="0.3">
      <c r="A38" s="46" t="s">
        <v>436</v>
      </c>
      <c r="C38" s="52">
        <f>IF(ISNA(C37),0,C37)</f>
        <v>0</v>
      </c>
    </row>
    <row r="40" spans="1:4" x14ac:dyDescent="0.3">
      <c r="A40" s="46" t="str">
        <f t="shared" ref="A40:A41" si="8">ВИДИМОСТЬ_ФОРМУЛА(C40)</f>
        <v>AND(Формат1=Справочник!A$42,OR(Вариант_закупки=3,Вариант_закупки=5))</v>
      </c>
      <c r="B40" t="str">
        <f>Формат1&amp;"="&amp;Справочник!A$42</f>
        <v>=с ограниченным количеством участников</v>
      </c>
      <c r="C40" s="47" t="b">
        <f>AND(Формат1=Справочник!A$42,OR(Вариант_закупки=3,Вариант_закупки=5))</f>
        <v>0</v>
      </c>
      <c r="D40" t="str">
        <f>ВИДИМОСТЬ_СТРОКИ(C40, 'Пояснительная записка'!85:86)</f>
        <v>Показать  85:86</v>
      </c>
    </row>
    <row r="41" spans="1:4" x14ac:dyDescent="0.3">
      <c r="A41" s="46" t="str">
        <f t="shared" si="8"/>
        <v>AND(Формат1=Справочник!A$43,OR(Вариант_закупки=3,Вариант_закупки=5))</v>
      </c>
      <c r="B41" t="str">
        <f>Формат1&amp;"="&amp;Справочник!A$43</f>
        <v>=открытый</v>
      </c>
      <c r="C41" s="52" t="b">
        <f>AND(Формат1=Справочник!A$43,OR(Вариант_закупки=3,Вариант_закупки=5))</f>
        <v>0</v>
      </c>
      <c r="D41" t="str">
        <f>ВИДИМОСТЬ_СТРОКИ(C41, 'Пояснительная записка'!82:84)</f>
        <v>Показать  82:84</v>
      </c>
    </row>
    <row r="43" spans="1:4" x14ac:dyDescent="0.3">
      <c r="A43" s="46" t="str">
        <f t="shared" ref="A43:A44" si="9">ВИДИМОСТЬ_ФОРМУЛА(C43)</f>
        <v>AND(Формат2=Справочник!A$42,Вариант_закупки=1)</v>
      </c>
      <c r="B43" t="str">
        <f>Формат2&amp;"="&amp;Справочник!A$42</f>
        <v>=с ограниченным количеством участников</v>
      </c>
      <c r="C43" s="52" t="b">
        <f>AND(Формат2=Справочник!A$42,Вариант_закупки=1)</f>
        <v>0</v>
      </c>
      <c r="D43" t="str">
        <f>ВИДИМОСТЬ_СТРОКИ(C43, 'Пояснительная записка'!93:94)</f>
        <v>Показать  93:94</v>
      </c>
    </row>
    <row r="44" spans="1:4" x14ac:dyDescent="0.3">
      <c r="A44" s="46" t="str">
        <f t="shared" si="9"/>
        <v>AND(Формат2=Справочник!A$43,Вариант_закупки=1)</v>
      </c>
      <c r="B44" t="str">
        <f>Формат2&amp;"="&amp;Справочник!A$43</f>
        <v>=открытый</v>
      </c>
      <c r="C44" s="52" t="b">
        <f>AND(Формат2=Справочник!A$43,Вариант_закупки=1)</f>
        <v>0</v>
      </c>
      <c r="D44" t="str">
        <f>ВИДИМОСТЬ_СТРОКИ(C44, 'Пояснительная записка'!90:92)</f>
        <v>Показать  90:92</v>
      </c>
    </row>
    <row r="46" spans="1:4" x14ac:dyDescent="0.3">
      <c r="A46" s="46" t="str">
        <f t="shared" ref="A46:A47" si="10">ВИДИМОСТЬ_ФОРМУЛА(C46)</f>
        <v>AND(Формат3=Справочник!A$42,OR(Вариант_закупки=4,Вариант_закупки=6))</v>
      </c>
      <c r="B46" t="str">
        <f>Формат3&amp;"="&amp;Справочник!A$42</f>
        <v>=с ограниченным количеством участников</v>
      </c>
      <c r="C46" s="52" t="b">
        <f>AND(Формат3=Справочник!A$42,OR(Вариант_закупки=4,Вариант_закупки=6))</f>
        <v>0</v>
      </c>
      <c r="D46" t="str">
        <f>ВИДИМОСТЬ_СТРОКИ(C46, 'Пояснительная записка'!103:104)</f>
        <v>Показать  103:104</v>
      </c>
    </row>
    <row r="47" spans="1:4" x14ac:dyDescent="0.3">
      <c r="A47" s="46" t="str">
        <f t="shared" si="10"/>
        <v>AND(Формат3=Справочник!A$43,OR(Вариант_закупки=4,Вариант_закупки=6))</v>
      </c>
      <c r="B47" t="str">
        <f>Формат3&amp;"="&amp;Справочник!A$43</f>
        <v>=открытый</v>
      </c>
      <c r="C47" s="52" t="b">
        <f>AND(Формат3=Справочник!A$43,OR(Вариант_закупки=4,Вариант_закупки=6))</f>
        <v>0</v>
      </c>
      <c r="D47" t="str">
        <f>ВИДИМОСТЬ_СТРОКИ(C47,'Пояснительная записка'!100:102)</f>
        <v>Показать  100:102</v>
      </c>
    </row>
    <row r="49" spans="1:4" x14ac:dyDescent="0.3">
      <c r="A49" s="46" t="str">
        <f t="shared" ref="A49:A50" si="11">ВИДИМОСТЬ_ФОРМУЛА(C49)</f>
        <v>AND(Формат4=Справочник!A$42,Вариант_закупки=2)</v>
      </c>
      <c r="B49" t="str">
        <f>Формат4&amp;"="&amp;Справочник!A$42</f>
        <v>=с ограниченным количеством участников</v>
      </c>
      <c r="C49" s="52" t="b">
        <f>AND(Формат4=Справочник!A$42,Вариант_закупки=2)</f>
        <v>0</v>
      </c>
      <c r="D49" t="str">
        <f>ВИДИМОСТЬ_СТРОКИ(C49,'Пояснительная записка'!112:113)</f>
        <v>Показать  112:113</v>
      </c>
    </row>
    <row r="50" spans="1:4" x14ac:dyDescent="0.3">
      <c r="A50" s="46" t="str">
        <f t="shared" si="11"/>
        <v>AND(Формат4=Справочник!A$43,Вариант_закупки=2)</v>
      </c>
      <c r="B50" t="str">
        <f>Формат4&amp;"="&amp;Справочник!A$43</f>
        <v>=открытый</v>
      </c>
      <c r="C50" s="52" t="b">
        <f>AND(Формат4=Справочник!A$43,Вариант_закупки=2)</f>
        <v>0</v>
      </c>
      <c r="D50" t="str">
        <f>ВИДИМОСТЬ_СТРОКИ(C50,'Пояснительная записка'!110:111)</f>
        <v>Показать  110:111</v>
      </c>
    </row>
  </sheetData>
  <conditionalFormatting sqref="D2:D50">
    <cfRule type="beginsWith" dxfId="0" priority="1" operator="beginsWith" text="Скрыть">
      <formula>LEFT(D2,LEN("Скрыть"))="Скрыть"</formula>
    </cfRule>
  </conditionalFormatting>
  <pageMargins left="0.7" right="0.7" top="0.75" bottom="0.75" header="0.3" footer="0.3"/>
  <pageSetup paperSize="9" orientation="portrait" verticalDpi="0"/>
  <ignoredErrors>
    <ignoredError sqref="C37"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theme="3" tint="-0.499984740745262"/>
  </sheetPr>
  <dimension ref="A1"/>
  <sheetViews>
    <sheetView tabSelected="1" workbookViewId="0">
      <selection activeCell="M20" sqref="M20"/>
    </sheetView>
  </sheetViews>
  <sheetFormatPr defaultColWidth="9.109375" defaultRowHeight="14.4" x14ac:dyDescent="0.3"/>
  <cols>
    <col min="1" max="16384" width="9.109375" style="107"/>
  </cols>
  <sheetData/>
  <sheetProtection password="CAA8"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pageSetUpPr fitToPage="1"/>
  </sheetPr>
  <dimension ref="A1:P156"/>
  <sheetViews>
    <sheetView showWhiteSpace="0" topLeftCell="D105" zoomScale="80" zoomScaleNormal="80" zoomScaleSheetLayoutView="80" zoomScalePageLayoutView="70" workbookViewId="0">
      <selection activeCell="E2" sqref="E2:K2"/>
    </sheetView>
  </sheetViews>
  <sheetFormatPr defaultColWidth="9.109375" defaultRowHeight="18" x14ac:dyDescent="0.35"/>
  <cols>
    <col min="1" max="3" width="18.6640625" style="22" hidden="1" customWidth="1"/>
    <col min="4" max="4" width="16.109375" style="23" customWidth="1"/>
    <col min="5" max="5" width="24.33203125" style="23" customWidth="1"/>
    <col min="6" max="6" width="20.88671875" style="23" customWidth="1"/>
    <col min="7" max="8" width="18.109375" style="23" customWidth="1"/>
    <col min="9" max="9" width="15.109375" style="23" customWidth="1"/>
    <col min="10" max="10" width="13.88671875" style="23" customWidth="1"/>
    <col min="11" max="11" width="20.6640625" style="23" customWidth="1"/>
    <col min="12" max="12" width="35.6640625" style="23" customWidth="1"/>
    <col min="13" max="13" width="18.88671875" style="100" customWidth="1"/>
    <col min="14" max="16" width="18.6640625" style="100" customWidth="1"/>
    <col min="17" max="17" width="10.109375" style="100" customWidth="1"/>
    <col min="18" max="16384" width="9.109375" style="100"/>
  </cols>
  <sheetData>
    <row r="1" spans="1:13" x14ac:dyDescent="0.35">
      <c r="A1" s="22">
        <v>1</v>
      </c>
    </row>
    <row r="2" spans="1:13" ht="48" customHeight="1" x14ac:dyDescent="0.35">
      <c r="A2" s="22">
        <v>2</v>
      </c>
      <c r="D2" s="24"/>
      <c r="E2" s="173" t="s">
        <v>450</v>
      </c>
      <c r="F2" s="173"/>
      <c r="G2" s="173"/>
      <c r="H2" s="173"/>
      <c r="I2" s="173"/>
      <c r="J2" s="173"/>
      <c r="K2" s="173"/>
      <c r="L2" s="25"/>
    </row>
    <row r="3" spans="1:13" ht="20.25" customHeight="1" x14ac:dyDescent="0.35">
      <c r="A3" s="22">
        <v>3</v>
      </c>
      <c r="D3" s="24"/>
      <c r="E3" s="24"/>
    </row>
    <row r="4" spans="1:13" ht="21" customHeight="1" x14ac:dyDescent="0.35">
      <c r="A4" s="22">
        <v>4</v>
      </c>
      <c r="D4" s="24"/>
      <c r="E4" s="23" t="s">
        <v>0</v>
      </c>
      <c r="F4" s="26"/>
      <c r="J4" s="177" t="s">
        <v>1</v>
      </c>
      <c r="K4" s="177"/>
      <c r="L4" s="177"/>
    </row>
    <row r="5" spans="1:13" x14ac:dyDescent="0.35">
      <c r="A5" s="22">
        <v>5</v>
      </c>
      <c r="D5" s="24"/>
      <c r="E5" s="24"/>
      <c r="J5" s="178" t="s">
        <v>2</v>
      </c>
      <c r="K5" s="178"/>
      <c r="L5" s="178"/>
    </row>
    <row r="6" spans="1:13" x14ac:dyDescent="0.35">
      <c r="A6" s="22">
        <v>6</v>
      </c>
      <c r="D6" s="24"/>
      <c r="E6" s="24"/>
      <c r="J6" s="178" t="s">
        <v>3</v>
      </c>
      <c r="K6" s="178"/>
      <c r="L6" s="178"/>
    </row>
    <row r="7" spans="1:13" x14ac:dyDescent="0.35">
      <c r="A7" s="22">
        <v>7</v>
      </c>
      <c r="D7" s="24"/>
      <c r="E7" s="24"/>
      <c r="F7" s="27"/>
      <c r="I7" s="27"/>
      <c r="J7" s="23" t="s">
        <v>242</v>
      </c>
    </row>
    <row r="8" spans="1:13" x14ac:dyDescent="0.35">
      <c r="A8" s="22">
        <v>8</v>
      </c>
      <c r="F8" s="27"/>
      <c r="I8" s="26"/>
      <c r="J8" s="174" t="s">
        <v>241</v>
      </c>
      <c r="K8" s="174"/>
      <c r="L8" s="28"/>
    </row>
    <row r="9" spans="1:13" x14ac:dyDescent="0.35">
      <c r="A9" s="22">
        <v>9</v>
      </c>
      <c r="D9" s="29" t="s">
        <v>412</v>
      </c>
      <c r="E9" s="27"/>
    </row>
    <row r="10" spans="1:13" x14ac:dyDescent="0.35">
      <c r="A10" s="22">
        <v>10</v>
      </c>
      <c r="D10" s="179" t="s">
        <v>243</v>
      </c>
      <c r="E10" s="180"/>
      <c r="F10" s="181"/>
      <c r="G10" s="182"/>
      <c r="H10" s="182"/>
      <c r="I10" s="182"/>
      <c r="J10" s="182"/>
      <c r="K10" s="182"/>
      <c r="L10" s="183"/>
    </row>
    <row r="11" spans="1:13" x14ac:dyDescent="0.35">
      <c r="A11" s="22">
        <v>11</v>
      </c>
      <c r="D11" s="179" t="s">
        <v>244</v>
      </c>
      <c r="E11" s="180"/>
      <c r="F11" s="181"/>
      <c r="G11" s="182"/>
      <c r="H11" s="182"/>
      <c r="I11" s="182"/>
      <c r="J11" s="182"/>
      <c r="K11" s="182"/>
      <c r="L11" s="184"/>
      <c r="M11" s="101"/>
    </row>
    <row r="12" spans="1:13" x14ac:dyDescent="0.35">
      <c r="A12" s="22">
        <v>12</v>
      </c>
      <c r="C12" s="22">
        <f>F12</f>
        <v>0</v>
      </c>
      <c r="D12" s="179" t="s">
        <v>379</v>
      </c>
      <c r="E12" s="180"/>
      <c r="F12" s="185"/>
      <c r="G12" s="186"/>
      <c r="H12" s="186"/>
      <c r="I12" s="186"/>
      <c r="J12" s="186"/>
      <c r="K12" s="186"/>
      <c r="L12" s="187"/>
    </row>
    <row r="13" spans="1:13" x14ac:dyDescent="0.35">
      <c r="A13" s="22">
        <v>13</v>
      </c>
      <c r="D13" s="179" t="s">
        <v>245</v>
      </c>
      <c r="E13" s="180"/>
      <c r="F13" s="181"/>
      <c r="G13" s="182"/>
      <c r="H13" s="182"/>
      <c r="I13" s="182"/>
      <c r="J13" s="182"/>
      <c r="K13" s="182"/>
      <c r="L13" s="183"/>
      <c r="M13" s="101"/>
    </row>
    <row r="14" spans="1:13" x14ac:dyDescent="0.35">
      <c r="A14" s="22">
        <v>14</v>
      </c>
      <c r="F14" s="27"/>
      <c r="G14" s="27"/>
      <c r="I14" s="25"/>
      <c r="J14" s="25"/>
    </row>
    <row r="15" spans="1:13" x14ac:dyDescent="0.35">
      <c r="A15" s="22">
        <v>15</v>
      </c>
      <c r="D15" s="29" t="s">
        <v>411</v>
      </c>
      <c r="E15" s="62"/>
      <c r="F15" s="27"/>
    </row>
    <row r="16" spans="1:13" x14ac:dyDescent="0.35">
      <c r="A16" s="22">
        <v>16</v>
      </c>
      <c r="D16" s="175" t="s">
        <v>409</v>
      </c>
      <c r="E16" s="176"/>
      <c r="F16" s="63">
        <v>2015</v>
      </c>
      <c r="G16" s="64"/>
      <c r="H16" s="53"/>
      <c r="I16" s="53"/>
      <c r="J16" s="53"/>
      <c r="K16" s="53"/>
      <c r="L16" s="53"/>
    </row>
    <row r="17" spans="1:13" x14ac:dyDescent="0.35">
      <c r="A17" s="22">
        <v>17</v>
      </c>
      <c r="B17" s="22" t="b">
        <v>0</v>
      </c>
      <c r="C17" s="22">
        <f>C18</f>
        <v>3</v>
      </c>
      <c r="D17" s="29" t="s">
        <v>390</v>
      </c>
      <c r="E17" s="61"/>
      <c r="F17" s="27"/>
      <c r="H17" s="53"/>
      <c r="I17" s="53"/>
      <c r="J17" s="53"/>
      <c r="K17" s="53"/>
      <c r="L17" s="53"/>
    </row>
    <row r="18" spans="1:13" x14ac:dyDescent="0.35">
      <c r="A18" s="22">
        <v>18</v>
      </c>
      <c r="B18" s="22" t="b">
        <v>0</v>
      </c>
      <c r="C18" s="22">
        <f>IF(B17,1,IF(B18,2,IF(B19,3,0)))</f>
        <v>3</v>
      </c>
      <c r="H18" s="53"/>
      <c r="I18" s="54"/>
      <c r="J18" s="53"/>
      <c r="K18" s="53"/>
      <c r="L18" s="53"/>
    </row>
    <row r="19" spans="1:13" x14ac:dyDescent="0.35">
      <c r="A19" s="22">
        <v>19</v>
      </c>
      <c r="B19" s="22" t="b">
        <v>1</v>
      </c>
      <c r="H19" s="53"/>
      <c r="I19" s="53"/>
      <c r="J19" s="53"/>
      <c r="K19" s="53"/>
      <c r="L19" s="53"/>
    </row>
    <row r="20" spans="1:13" x14ac:dyDescent="0.35">
      <c r="A20" s="22">
        <v>21</v>
      </c>
      <c r="D20" s="62"/>
      <c r="I20" s="25"/>
      <c r="J20" s="25"/>
    </row>
    <row r="21" spans="1:13" x14ac:dyDescent="0.35">
      <c r="A21" s="22">
        <v>22</v>
      </c>
      <c r="C21" s="22" t="b">
        <f>NOT(ISNA(MATCH(Справочник!$A$6,D22:D23,0)))</f>
        <v>0</v>
      </c>
      <c r="D21" s="65" t="s">
        <v>249</v>
      </c>
      <c r="E21" s="121" t="s">
        <v>333</v>
      </c>
      <c r="F21" s="122"/>
      <c r="G21" s="122"/>
      <c r="H21" s="122"/>
      <c r="I21" s="122"/>
      <c r="J21" s="122"/>
      <c r="K21" s="122"/>
      <c r="L21" s="123"/>
      <c r="M21" s="101"/>
    </row>
    <row r="22" spans="1:13" x14ac:dyDescent="0.35">
      <c r="A22" s="22">
        <v>23</v>
      </c>
      <c r="D22" s="66"/>
      <c r="E22" s="124"/>
      <c r="F22" s="125"/>
      <c r="G22" s="125"/>
      <c r="H22" s="125"/>
      <c r="I22" s="125"/>
      <c r="J22" s="125"/>
      <c r="K22" s="125"/>
      <c r="L22" s="126"/>
      <c r="M22" s="101"/>
    </row>
    <row r="23" spans="1:13" x14ac:dyDescent="0.35">
      <c r="A23" s="22">
        <v>24</v>
      </c>
      <c r="D23" s="61"/>
      <c r="E23" s="61"/>
      <c r="F23" s="61"/>
      <c r="G23" s="61"/>
      <c r="H23" s="61"/>
      <c r="I23" s="67"/>
      <c r="J23" s="67"/>
      <c r="K23" s="61"/>
      <c r="L23" s="61"/>
    </row>
    <row r="24" spans="1:13" hidden="1" x14ac:dyDescent="0.35">
      <c r="A24" s="22">
        <v>25</v>
      </c>
      <c r="D24" s="144" t="s">
        <v>442</v>
      </c>
      <c r="E24" s="145"/>
      <c r="F24" s="69"/>
      <c r="G24" s="71"/>
      <c r="H24" s="71"/>
      <c r="I24" s="64"/>
    </row>
    <row r="25" spans="1:13" hidden="1" x14ac:dyDescent="0.35">
      <c r="A25" s="22">
        <v>26</v>
      </c>
      <c r="D25" s="144" t="s">
        <v>257</v>
      </c>
      <c r="E25" s="145"/>
      <c r="F25" s="68"/>
      <c r="G25" s="71"/>
      <c r="H25" s="72"/>
    </row>
    <row r="26" spans="1:13" hidden="1" x14ac:dyDescent="0.35">
      <c r="A26" s="22">
        <v>27</v>
      </c>
      <c r="D26" s="146" t="s">
        <v>258</v>
      </c>
      <c r="E26" s="147"/>
      <c r="F26" s="70"/>
      <c r="G26" s="72"/>
      <c r="H26" s="72"/>
    </row>
    <row r="27" spans="1:13" hidden="1" x14ac:dyDescent="0.35">
      <c r="A27" s="22">
        <v>28</v>
      </c>
      <c r="D27" s="146" t="s">
        <v>408</v>
      </c>
      <c r="E27" s="147"/>
      <c r="F27" s="70">
        <f>F25-F26</f>
        <v>0</v>
      </c>
      <c r="G27" s="71"/>
      <c r="H27" s="71"/>
      <c r="I27" s="73"/>
      <c r="J27" s="25"/>
    </row>
    <row r="28" spans="1:13" hidden="1" x14ac:dyDescent="0.35">
      <c r="A28" s="22">
        <v>29</v>
      </c>
      <c r="E28" s="61"/>
      <c r="I28" s="25"/>
      <c r="J28" s="25"/>
    </row>
    <row r="29" spans="1:13" ht="19.5" customHeight="1" x14ac:dyDescent="0.35">
      <c r="A29" s="22">
        <v>30</v>
      </c>
      <c r="D29" s="149" t="s">
        <v>248</v>
      </c>
      <c r="E29" s="149"/>
      <c r="F29" s="149"/>
      <c r="G29" s="149"/>
    </row>
    <row r="30" spans="1:13" x14ac:dyDescent="0.35">
      <c r="A30" s="22">
        <v>31</v>
      </c>
      <c r="D30" s="139" t="s">
        <v>343</v>
      </c>
      <c r="E30" s="139"/>
      <c r="F30" s="96" t="s">
        <v>301</v>
      </c>
      <c r="G30" s="96"/>
    </row>
    <row r="31" spans="1:13" x14ac:dyDescent="0.35">
      <c r="A31" s="22">
        <v>32</v>
      </c>
      <c r="D31" s="139"/>
      <c r="E31" s="139"/>
      <c r="F31" s="96" t="s">
        <v>302</v>
      </c>
      <c r="G31" s="96"/>
    </row>
    <row r="32" spans="1:13" x14ac:dyDescent="0.35">
      <c r="A32" s="22">
        <v>33</v>
      </c>
      <c r="D32" s="139"/>
      <c r="E32" s="139"/>
      <c r="F32" s="96" t="s">
        <v>303</v>
      </c>
      <c r="G32" s="96"/>
    </row>
    <row r="33" spans="1:12" x14ac:dyDescent="0.35">
      <c r="A33" s="22">
        <v>34</v>
      </c>
      <c r="D33" s="149" t="s">
        <v>250</v>
      </c>
      <c r="E33" s="149"/>
      <c r="F33" s="149"/>
      <c r="G33" s="149"/>
      <c r="J33" s="25"/>
    </row>
    <row r="34" spans="1:12" x14ac:dyDescent="0.35">
      <c r="A34" s="22">
        <v>35</v>
      </c>
      <c r="D34" s="149" t="s">
        <v>251</v>
      </c>
      <c r="E34" s="149"/>
      <c r="F34" s="149"/>
      <c r="G34" s="149"/>
    </row>
    <row r="35" spans="1:12" x14ac:dyDescent="0.35">
      <c r="A35" s="22">
        <v>36</v>
      </c>
      <c r="D35" s="149" t="s">
        <v>255</v>
      </c>
      <c r="E35" s="149"/>
      <c r="F35" s="149"/>
      <c r="G35" s="149"/>
    </row>
    <row r="36" spans="1:12" x14ac:dyDescent="0.35">
      <c r="A36" s="22">
        <v>37</v>
      </c>
      <c r="J36" s="25"/>
    </row>
    <row r="37" spans="1:12" hidden="1" x14ac:dyDescent="0.35">
      <c r="A37" s="22">
        <v>38</v>
      </c>
      <c r="D37" s="164" t="s">
        <v>254</v>
      </c>
      <c r="E37" s="164"/>
      <c r="F37" s="164"/>
      <c r="G37" s="30"/>
      <c r="I37" s="25"/>
    </row>
    <row r="38" spans="1:12" hidden="1" x14ac:dyDescent="0.35">
      <c r="A38" s="22">
        <v>39</v>
      </c>
      <c r="D38" s="134" t="s">
        <v>255</v>
      </c>
      <c r="E38" s="134"/>
      <c r="F38" s="135"/>
      <c r="G38" s="135"/>
      <c r="J38" s="25"/>
    </row>
    <row r="39" spans="1:12" hidden="1" x14ac:dyDescent="0.35">
      <c r="A39" s="22">
        <v>40</v>
      </c>
      <c r="D39" s="134" t="s">
        <v>256</v>
      </c>
      <c r="E39" s="134"/>
      <c r="F39" s="135"/>
      <c r="G39" s="135"/>
      <c r="H39" s="135"/>
      <c r="I39" s="135"/>
      <c r="J39" s="135"/>
      <c r="K39" s="135"/>
      <c r="L39" s="135"/>
    </row>
    <row r="40" spans="1:12" hidden="1" x14ac:dyDescent="0.35">
      <c r="A40" s="22">
        <v>41</v>
      </c>
      <c r="J40" s="25"/>
    </row>
    <row r="41" spans="1:12" x14ac:dyDescent="0.35">
      <c r="A41" s="22">
        <v>42</v>
      </c>
      <c r="D41" s="134" t="s">
        <v>245</v>
      </c>
      <c r="E41" s="134"/>
      <c r="F41" s="135"/>
      <c r="G41" s="135"/>
      <c r="H41" s="135"/>
      <c r="I41" s="135"/>
      <c r="J41" s="135"/>
      <c r="K41" s="135"/>
      <c r="L41" s="135"/>
    </row>
    <row r="42" spans="1:12" x14ac:dyDescent="0.35">
      <c r="A42" s="22">
        <v>43</v>
      </c>
      <c r="J42" s="25"/>
    </row>
    <row r="43" spans="1:12" x14ac:dyDescent="0.35">
      <c r="A43" s="22">
        <v>44</v>
      </c>
      <c r="D43" s="29" t="s">
        <v>410</v>
      </c>
      <c r="I43" s="25"/>
    </row>
    <row r="44" spans="1:12" x14ac:dyDescent="0.35">
      <c r="A44" s="22">
        <v>45</v>
      </c>
      <c r="D44" s="134" t="s">
        <v>413</v>
      </c>
      <c r="E44" s="134"/>
      <c r="F44" s="166"/>
      <c r="G44" s="166"/>
      <c r="H44" s="166"/>
      <c r="I44" s="166"/>
      <c r="J44" s="166"/>
      <c r="K44" s="166"/>
      <c r="L44" s="166"/>
    </row>
    <row r="45" spans="1:12" x14ac:dyDescent="0.35">
      <c r="A45" s="22">
        <v>46</v>
      </c>
      <c r="D45" s="31"/>
      <c r="E45" s="31"/>
      <c r="F45" s="32"/>
      <c r="G45" s="32"/>
      <c r="H45" s="32"/>
      <c r="I45" s="32"/>
      <c r="J45" s="32"/>
      <c r="K45" s="32"/>
      <c r="L45" s="32"/>
    </row>
    <row r="46" spans="1:12" x14ac:dyDescent="0.35">
      <c r="A46" s="22">
        <v>47</v>
      </c>
      <c r="D46" s="29" t="s">
        <v>414</v>
      </c>
      <c r="I46" s="25"/>
    </row>
    <row r="47" spans="1:12" x14ac:dyDescent="0.35">
      <c r="A47" s="22">
        <v>48</v>
      </c>
      <c r="C47" s="22" t="b">
        <v>1</v>
      </c>
      <c r="D47" s="29" t="s">
        <v>269</v>
      </c>
      <c r="I47" s="57"/>
    </row>
    <row r="48" spans="1:12" x14ac:dyDescent="0.35">
      <c r="A48" s="22">
        <v>49</v>
      </c>
    </row>
    <row r="49" spans="1:15" s="102" customFormat="1" ht="74.25" customHeight="1" x14ac:dyDescent="0.35">
      <c r="A49" s="22">
        <v>50</v>
      </c>
      <c r="B49" s="22"/>
      <c r="C49" s="22"/>
      <c r="D49" s="74" t="s">
        <v>259</v>
      </c>
      <c r="E49" s="76" t="s">
        <v>260</v>
      </c>
      <c r="F49" s="76" t="s">
        <v>261</v>
      </c>
      <c r="G49" s="76" t="s">
        <v>262</v>
      </c>
      <c r="H49" s="81" t="s">
        <v>263</v>
      </c>
      <c r="I49" s="76" t="s">
        <v>264</v>
      </c>
      <c r="J49" s="76" t="s">
        <v>265</v>
      </c>
      <c r="K49" s="76" t="s">
        <v>266</v>
      </c>
      <c r="L49" s="83" t="s">
        <v>267</v>
      </c>
      <c r="M49" s="101"/>
      <c r="N49" s="100"/>
      <c r="O49" s="100"/>
    </row>
    <row r="50" spans="1:15" x14ac:dyDescent="0.35">
      <c r="A50" s="22">
        <v>51</v>
      </c>
      <c r="D50" s="72"/>
      <c r="E50" s="71"/>
      <c r="F50" s="77"/>
      <c r="G50" s="72"/>
      <c r="H50" s="77"/>
      <c r="I50" s="72"/>
      <c r="J50" s="27"/>
      <c r="K50" s="72"/>
      <c r="L50" s="85"/>
      <c r="M50" s="101"/>
    </row>
    <row r="51" spans="1:15" x14ac:dyDescent="0.35">
      <c r="D51" s="72"/>
      <c r="E51" s="71"/>
      <c r="F51" s="72"/>
      <c r="G51" s="64"/>
      <c r="H51" s="77"/>
      <c r="I51" s="71"/>
      <c r="J51" s="72"/>
      <c r="K51" s="77"/>
      <c r="L51" s="86"/>
      <c r="M51" s="101"/>
    </row>
    <row r="52" spans="1:15" x14ac:dyDescent="0.35">
      <c r="A52" s="22">
        <v>53</v>
      </c>
      <c r="D52" s="75" t="s">
        <v>268</v>
      </c>
      <c r="E52" s="78"/>
      <c r="F52" s="79"/>
      <c r="G52" s="79"/>
      <c r="H52" s="71">
        <f>SUM(H50:H51)</f>
        <v>0</v>
      </c>
      <c r="I52" s="82"/>
      <c r="J52" s="82"/>
      <c r="K52" s="79"/>
      <c r="L52" s="84">
        <f>SUM(L50:L51)</f>
        <v>0</v>
      </c>
      <c r="M52" s="101"/>
    </row>
    <row r="53" spans="1:15" x14ac:dyDescent="0.35">
      <c r="A53" s="22">
        <v>54</v>
      </c>
      <c r="D53" s="61"/>
      <c r="E53" s="61"/>
      <c r="G53" s="61"/>
      <c r="I53" s="80"/>
    </row>
    <row r="54" spans="1:15" ht="21.75" customHeight="1" x14ac:dyDescent="0.35">
      <c r="A54" s="22">
        <v>55</v>
      </c>
      <c r="C54" s="22" t="b">
        <v>1</v>
      </c>
      <c r="D54" s="58" t="s">
        <v>277</v>
      </c>
      <c r="E54" s="27"/>
      <c r="F54" s="27"/>
      <c r="G54" s="27"/>
      <c r="H54" s="27"/>
      <c r="I54" s="59"/>
      <c r="J54" s="27"/>
      <c r="K54" s="27"/>
      <c r="L54" s="27"/>
    </row>
    <row r="55" spans="1:15" ht="20.25" customHeight="1" x14ac:dyDescent="0.35">
      <c r="A55" s="22">
        <v>56</v>
      </c>
      <c r="I55" s="57"/>
    </row>
    <row r="56" spans="1:15" ht="21" hidden="1" customHeight="1" x14ac:dyDescent="0.35">
      <c r="I56" s="57"/>
    </row>
    <row r="57" spans="1:15" x14ac:dyDescent="0.35">
      <c r="A57" s="22">
        <v>57</v>
      </c>
      <c r="C57" s="22" t="b">
        <v>1</v>
      </c>
      <c r="D57" s="29" t="s">
        <v>270</v>
      </c>
      <c r="J57" s="57"/>
    </row>
    <row r="58" spans="1:15" x14ac:dyDescent="0.35">
      <c r="A58" s="22">
        <v>58</v>
      </c>
      <c r="D58" s="29"/>
      <c r="J58" s="57"/>
    </row>
    <row r="59" spans="1:15" s="103" customFormat="1" ht="26.25" customHeight="1" x14ac:dyDescent="0.35">
      <c r="A59" s="22">
        <v>59</v>
      </c>
      <c r="B59" s="22" t="s">
        <v>273</v>
      </c>
      <c r="C59" s="22"/>
      <c r="D59" s="114" t="s">
        <v>421</v>
      </c>
      <c r="E59" s="115"/>
      <c r="F59" s="115"/>
      <c r="G59" s="115"/>
      <c r="H59" s="116"/>
      <c r="I59" s="121" t="s">
        <v>272</v>
      </c>
      <c r="J59" s="123"/>
      <c r="K59" s="114" t="s">
        <v>271</v>
      </c>
      <c r="L59" s="167"/>
      <c r="M59" s="101"/>
      <c r="N59" s="100"/>
      <c r="O59" s="100"/>
    </row>
    <row r="60" spans="1:15" x14ac:dyDescent="0.35">
      <c r="A60" s="22">
        <v>60</v>
      </c>
      <c r="D60" s="114"/>
      <c r="E60" s="115"/>
      <c r="F60" s="115"/>
      <c r="G60" s="115"/>
      <c r="H60" s="116"/>
      <c r="I60" s="117"/>
      <c r="J60" s="118"/>
      <c r="K60" s="119"/>
      <c r="L60" s="120"/>
      <c r="M60" s="101"/>
    </row>
    <row r="61" spans="1:15" x14ac:dyDescent="0.35">
      <c r="A61" s="22">
        <v>61</v>
      </c>
      <c r="D61" s="27"/>
      <c r="E61" s="27"/>
      <c r="F61" s="27"/>
      <c r="G61" s="27"/>
      <c r="I61" s="87"/>
      <c r="K61" s="27"/>
    </row>
    <row r="62" spans="1:15" ht="38.25" hidden="1" customHeight="1" x14ac:dyDescent="0.35">
      <c r="A62" s="22">
        <v>63</v>
      </c>
      <c r="C62" s="22" t="b">
        <f>AND(SUM(I60:J61)&gt;=SUM(K60:L61), SUM(I60:J61)&gt;0)</f>
        <v>0</v>
      </c>
      <c r="D62" s="112" t="s">
        <v>415</v>
      </c>
      <c r="E62" s="112"/>
      <c r="F62" s="143"/>
      <c r="G62" s="143"/>
      <c r="H62" s="143"/>
      <c r="I62" s="143"/>
      <c r="J62" s="143"/>
      <c r="K62" s="143"/>
      <c r="L62" s="143"/>
    </row>
    <row r="63" spans="1:15" hidden="1" x14ac:dyDescent="0.35">
      <c r="A63" s="22">
        <v>64</v>
      </c>
      <c r="J63" s="25"/>
    </row>
    <row r="64" spans="1:15" ht="36" customHeight="1" x14ac:dyDescent="0.35">
      <c r="A64" s="22">
        <v>65</v>
      </c>
      <c r="B64" s="22" t="b">
        <f>F64&gt;50</f>
        <v>0</v>
      </c>
      <c r="C64" s="88"/>
      <c r="D64" s="154" t="s">
        <v>416</v>
      </c>
      <c r="E64" s="154"/>
      <c r="F64" s="89">
        <v>0</v>
      </c>
      <c r="G64" s="64"/>
      <c r="I64" s="87"/>
      <c r="J64" s="27"/>
      <c r="K64" s="27"/>
    </row>
    <row r="65" spans="1:16" ht="37.5" customHeight="1" x14ac:dyDescent="0.35">
      <c r="A65" s="22">
        <v>66</v>
      </c>
      <c r="D65" s="112" t="s">
        <v>443</v>
      </c>
      <c r="E65" s="112"/>
      <c r="F65" s="143"/>
      <c r="G65" s="143"/>
      <c r="H65" s="143"/>
      <c r="I65" s="143"/>
      <c r="J65" s="143"/>
      <c r="K65" s="143"/>
      <c r="L65" s="143"/>
    </row>
    <row r="66" spans="1:16" x14ac:dyDescent="0.35">
      <c r="A66" s="22">
        <v>67</v>
      </c>
      <c r="D66" s="154" t="s">
        <v>417</v>
      </c>
      <c r="E66" s="154"/>
      <c r="F66" s="90"/>
      <c r="G66" s="91" t="s">
        <v>274</v>
      </c>
      <c r="J66" s="25"/>
    </row>
    <row r="67" spans="1:16" s="104" customFormat="1" x14ac:dyDescent="0.35">
      <c r="A67" s="22">
        <v>68</v>
      </c>
      <c r="B67" s="22"/>
      <c r="C67" s="22"/>
      <c r="D67" s="139" t="s">
        <v>418</v>
      </c>
      <c r="E67" s="139"/>
      <c r="F67" s="155"/>
      <c r="G67" s="155"/>
      <c r="H67" s="23"/>
      <c r="I67" s="25"/>
      <c r="J67" s="23"/>
      <c r="K67" s="23"/>
      <c r="L67" s="23"/>
      <c r="M67" s="100"/>
      <c r="N67" s="100"/>
      <c r="O67" s="100"/>
      <c r="P67" s="100"/>
    </row>
    <row r="68" spans="1:16" s="104" customFormat="1" ht="23.25" customHeight="1" x14ac:dyDescent="0.35">
      <c r="A68" s="22">
        <v>69</v>
      </c>
      <c r="B68" s="22"/>
      <c r="C68" s="22" t="b">
        <v>0</v>
      </c>
      <c r="D68" s="139" t="s">
        <v>419</v>
      </c>
      <c r="E68" s="139"/>
      <c r="F68" s="30"/>
      <c r="G68" s="33"/>
      <c r="H68" s="33"/>
      <c r="I68" s="33"/>
      <c r="J68" s="34"/>
      <c r="K68" s="33"/>
      <c r="L68" s="33"/>
      <c r="M68" s="100"/>
      <c r="N68" s="100"/>
      <c r="O68" s="100"/>
    </row>
    <row r="69" spans="1:16" x14ac:dyDescent="0.35">
      <c r="A69" s="22">
        <v>70</v>
      </c>
      <c r="D69" s="31"/>
      <c r="E69" s="31"/>
      <c r="F69" s="30"/>
      <c r="G69" s="33"/>
      <c r="H69" s="33"/>
      <c r="I69" s="33"/>
      <c r="J69" s="34"/>
      <c r="K69" s="33"/>
      <c r="L69" s="33"/>
      <c r="P69" s="104"/>
    </row>
    <row r="70" spans="1:16" hidden="1" x14ac:dyDescent="0.35">
      <c r="A70" s="22">
        <v>71</v>
      </c>
      <c r="C70" s="22">
        <f>F70</f>
        <v>0</v>
      </c>
      <c r="D70" s="112" t="s">
        <v>307</v>
      </c>
      <c r="E70" s="112"/>
      <c r="F70" s="140"/>
      <c r="G70" s="140"/>
      <c r="J70" s="25"/>
    </row>
    <row r="71" spans="1:16" ht="38.25" hidden="1" customHeight="1" x14ac:dyDescent="0.35">
      <c r="A71" s="22">
        <v>72</v>
      </c>
      <c r="D71" s="141" t="s">
        <v>420</v>
      </c>
      <c r="E71" s="142"/>
      <c r="F71" s="108"/>
      <c r="G71" s="108"/>
    </row>
    <row r="72" spans="1:16" x14ac:dyDescent="0.35">
      <c r="A72" s="22">
        <v>73</v>
      </c>
      <c r="D72" s="157" t="s">
        <v>311</v>
      </c>
      <c r="E72" s="158"/>
      <c r="F72" s="159"/>
      <c r="G72" s="159"/>
      <c r="H72" s="159"/>
      <c r="I72" s="159"/>
      <c r="J72" s="159"/>
      <c r="K72" s="159"/>
      <c r="L72" s="160"/>
    </row>
    <row r="73" spans="1:16" x14ac:dyDescent="0.35">
      <c r="A73" s="22">
        <v>74</v>
      </c>
      <c r="D73" s="161" t="s">
        <v>422</v>
      </c>
      <c r="E73" s="161"/>
      <c r="F73" s="161"/>
      <c r="G73" s="161"/>
      <c r="H73" s="161"/>
      <c r="I73" s="161"/>
      <c r="J73" s="160"/>
      <c r="K73" s="160"/>
    </row>
    <row r="74" spans="1:16" x14ac:dyDescent="0.35">
      <c r="A74" s="22">
        <v>75</v>
      </c>
    </row>
    <row r="75" spans="1:16" x14ac:dyDescent="0.35">
      <c r="A75" s="22">
        <v>76</v>
      </c>
      <c r="D75" s="128" t="s">
        <v>423</v>
      </c>
      <c r="E75" s="128"/>
      <c r="F75" s="128"/>
    </row>
    <row r="76" spans="1:16" ht="93.75" customHeight="1" x14ac:dyDescent="0.35">
      <c r="A76" s="22">
        <v>77</v>
      </c>
      <c r="C76" s="22" t="b">
        <f>Принадлежность_предмета_закупки=Справочник!$J$14</f>
        <v>0</v>
      </c>
      <c r="D76" s="112" t="s">
        <v>327</v>
      </c>
      <c r="E76" s="112"/>
      <c r="F76" s="136"/>
      <c r="G76" s="137"/>
      <c r="H76" s="137"/>
      <c r="I76" s="137"/>
      <c r="J76" s="137"/>
      <c r="K76" s="137"/>
      <c r="L76" s="138"/>
    </row>
    <row r="77" spans="1:16" hidden="1" x14ac:dyDescent="0.35">
      <c r="A77" s="22">
        <v>79</v>
      </c>
      <c r="B77" s="22" t="s">
        <v>335</v>
      </c>
      <c r="C77" s="22">
        <f>F77</f>
        <v>0</v>
      </c>
      <c r="D77" s="133" t="s">
        <v>424</v>
      </c>
      <c r="E77" s="133"/>
      <c r="F77" s="129"/>
      <c r="G77" s="130"/>
      <c r="H77" s="131"/>
    </row>
    <row r="78" spans="1:16" x14ac:dyDescent="0.35">
      <c r="A78" s="22">
        <v>80</v>
      </c>
      <c r="C78" s="22" t="s">
        <v>437</v>
      </c>
      <c r="D78" s="112" t="s">
        <v>424</v>
      </c>
      <c r="E78" s="112"/>
      <c r="F78" s="124"/>
      <c r="G78" s="125"/>
      <c r="H78" s="126"/>
    </row>
    <row r="79" spans="1:16" ht="20.25" customHeight="1" x14ac:dyDescent="0.35">
      <c r="A79" s="22">
        <v>81</v>
      </c>
    </row>
    <row r="80" spans="1:16" ht="56.25" customHeight="1" x14ac:dyDescent="0.35">
      <c r="A80" s="22">
        <v>82</v>
      </c>
      <c r="D80" s="112" t="s">
        <v>373</v>
      </c>
      <c r="E80" s="112"/>
      <c r="F80" s="127" t="str">
        <f>Справочник!N2</f>
        <v>Стоимость является единственным критерием выбора Поставщика (Положение о закупках ООО "Сбербанк России" №2348  п. 2.2.2.)</v>
      </c>
      <c r="G80" s="127"/>
      <c r="H80" s="127"/>
      <c r="I80" s="127"/>
      <c r="J80" s="127"/>
      <c r="K80" s="127"/>
      <c r="L80" s="127"/>
    </row>
    <row r="81" spans="1:16" x14ac:dyDescent="0.35">
      <c r="A81" s="22">
        <v>83</v>
      </c>
      <c r="C81" s="22" t="s">
        <v>438</v>
      </c>
      <c r="D81" s="139" t="s">
        <v>425</v>
      </c>
      <c r="E81" s="139"/>
      <c r="F81" s="132"/>
      <c r="G81" s="132"/>
      <c r="H81" s="132"/>
    </row>
    <row r="82" spans="1:16" s="105" customFormat="1" ht="21.75" customHeight="1" x14ac:dyDescent="0.35">
      <c r="A82" s="22">
        <v>84</v>
      </c>
      <c r="B82" s="22"/>
      <c r="C82" s="22"/>
      <c r="D82" s="92"/>
      <c r="E82" s="92"/>
      <c r="F82" s="27"/>
      <c r="G82" s="23"/>
      <c r="H82" s="23"/>
      <c r="I82" s="23"/>
      <c r="J82" s="23"/>
      <c r="K82" s="23"/>
      <c r="L82" s="23"/>
      <c r="M82" s="100"/>
      <c r="N82" s="100"/>
      <c r="O82" s="100"/>
      <c r="P82" s="100"/>
    </row>
    <row r="83" spans="1:16" ht="42" customHeight="1" x14ac:dyDescent="0.35">
      <c r="A83" s="22">
        <v>85</v>
      </c>
      <c r="D83" s="112" t="s">
        <v>339</v>
      </c>
      <c r="E83" s="112"/>
      <c r="F83" s="156"/>
      <c r="G83" s="156"/>
      <c r="H83" s="156"/>
      <c r="I83" s="156"/>
      <c r="J83" s="156"/>
      <c r="K83" s="156"/>
      <c r="L83" s="156"/>
      <c r="P83" s="105"/>
    </row>
    <row r="84" spans="1:16" ht="44.25" customHeight="1" x14ac:dyDescent="0.35">
      <c r="A84" s="22">
        <v>86</v>
      </c>
      <c r="D84" s="112" t="s">
        <v>350</v>
      </c>
      <c r="E84" s="112"/>
      <c r="F84" s="113"/>
      <c r="G84" s="113"/>
      <c r="H84" s="113"/>
      <c r="I84" s="113"/>
      <c r="J84" s="113"/>
      <c r="K84" s="113"/>
      <c r="L84" s="113"/>
    </row>
    <row r="85" spans="1:16" ht="24" customHeight="1" x14ac:dyDescent="0.35">
      <c r="A85" s="22">
        <v>87</v>
      </c>
      <c r="D85" s="139" t="s">
        <v>426</v>
      </c>
      <c r="E85" s="139"/>
    </row>
    <row r="86" spans="1:16" ht="79.5" customHeight="1" x14ac:dyDescent="0.35">
      <c r="A86" s="22">
        <v>88</v>
      </c>
      <c r="D86" s="112" t="s">
        <v>427</v>
      </c>
      <c r="E86" s="112"/>
      <c r="F86" s="143"/>
      <c r="G86" s="143"/>
      <c r="H86" s="143"/>
      <c r="I86" s="143"/>
      <c r="J86" s="143"/>
      <c r="K86" s="143"/>
      <c r="L86" s="143"/>
    </row>
    <row r="87" spans="1:16" x14ac:dyDescent="0.35">
      <c r="A87" s="22">
        <v>89</v>
      </c>
    </row>
    <row r="88" spans="1:16" ht="37.5" customHeight="1" x14ac:dyDescent="0.35">
      <c r="A88" s="22">
        <v>90</v>
      </c>
      <c r="C88" s="22" t="s">
        <v>314</v>
      </c>
      <c r="D88" s="148" t="s">
        <v>372</v>
      </c>
      <c r="E88" s="148"/>
      <c r="F88" s="150" t="str">
        <f>Справочник!N4</f>
        <v>Стоимость не является единственным критерием выбора Поставщика  (Положение о закупках ООО "Сбербанк России" №2348  п. 2.2.3.).</v>
      </c>
      <c r="G88" s="150"/>
      <c r="H88" s="150"/>
      <c r="I88" s="150"/>
      <c r="J88" s="150"/>
      <c r="K88" s="150"/>
      <c r="L88" s="150"/>
    </row>
    <row r="89" spans="1:16" x14ac:dyDescent="0.35">
      <c r="A89" s="22">
        <v>91</v>
      </c>
      <c r="C89" s="22" t="s">
        <v>439</v>
      </c>
      <c r="D89" s="149" t="s">
        <v>425</v>
      </c>
      <c r="E89" s="149"/>
      <c r="F89" s="132"/>
      <c r="G89" s="132"/>
      <c r="H89" s="132"/>
    </row>
    <row r="90" spans="1:16" s="105" customFormat="1" x14ac:dyDescent="0.35">
      <c r="A90" s="22">
        <v>92</v>
      </c>
      <c r="B90" s="22"/>
      <c r="C90" s="22"/>
      <c r="D90" s="31"/>
      <c r="E90" s="31"/>
      <c r="F90" s="27"/>
      <c r="G90" s="27"/>
      <c r="H90" s="27"/>
      <c r="I90" s="27"/>
      <c r="J90" s="27"/>
      <c r="K90" s="27"/>
      <c r="L90" s="27"/>
      <c r="M90" s="100"/>
      <c r="N90" s="100"/>
      <c r="O90" s="100"/>
      <c r="P90" s="100"/>
    </row>
    <row r="91" spans="1:16" ht="42" customHeight="1" x14ac:dyDescent="0.35">
      <c r="A91" s="22">
        <v>93</v>
      </c>
      <c r="D91" s="112" t="s">
        <v>339</v>
      </c>
      <c r="E91" s="112"/>
      <c r="F91" s="156"/>
      <c r="G91" s="156"/>
      <c r="H91" s="156"/>
      <c r="I91" s="156"/>
      <c r="J91" s="156"/>
      <c r="K91" s="156"/>
      <c r="L91" s="156"/>
      <c r="P91" s="105"/>
    </row>
    <row r="92" spans="1:16" ht="48" customHeight="1" x14ac:dyDescent="0.35">
      <c r="A92" s="22">
        <v>94</v>
      </c>
      <c r="D92" s="112" t="s">
        <v>350</v>
      </c>
      <c r="E92" s="112"/>
      <c r="F92" s="113"/>
      <c r="G92" s="113"/>
      <c r="H92" s="113"/>
      <c r="I92" s="113"/>
      <c r="J92" s="113"/>
      <c r="K92" s="113"/>
      <c r="L92" s="113"/>
    </row>
    <row r="93" spans="1:16" ht="33" customHeight="1" x14ac:dyDescent="0.35">
      <c r="A93" s="22">
        <v>95</v>
      </c>
      <c r="D93" s="139" t="s">
        <v>426</v>
      </c>
      <c r="E93" s="139"/>
    </row>
    <row r="94" spans="1:16" ht="75" customHeight="1" x14ac:dyDescent="0.35">
      <c r="A94" s="22">
        <v>96</v>
      </c>
      <c r="D94" s="148" t="s">
        <v>427</v>
      </c>
      <c r="E94" s="148"/>
      <c r="F94" s="143"/>
      <c r="G94" s="143"/>
      <c r="H94" s="143"/>
      <c r="I94" s="143"/>
      <c r="J94" s="143"/>
      <c r="K94" s="143"/>
      <c r="L94" s="143"/>
    </row>
    <row r="95" spans="1:16" x14ac:dyDescent="0.35">
      <c r="A95" s="22">
        <v>97</v>
      </c>
      <c r="D95" s="149" t="s">
        <v>346</v>
      </c>
      <c r="E95" s="149"/>
      <c r="F95" s="93" t="s">
        <v>349</v>
      </c>
    </row>
    <row r="96" spans="1:16" x14ac:dyDescent="0.35">
      <c r="A96" s="22">
        <v>98</v>
      </c>
    </row>
    <row r="97" spans="1:16" ht="43.5" customHeight="1" x14ac:dyDescent="0.35">
      <c r="A97" s="22">
        <v>99</v>
      </c>
      <c r="C97" s="22" t="s">
        <v>316</v>
      </c>
      <c r="D97" s="112" t="s">
        <v>370</v>
      </c>
      <c r="E97" s="112"/>
      <c r="F97" s="150" t="str">
        <f>Справочник!N2</f>
        <v>Стоимость является единственным критерием выбора Поставщика (Положение о закупках ООО "Сбербанк России" №2348  п. 2.2.2.)</v>
      </c>
      <c r="G97" s="150"/>
      <c r="H97" s="150"/>
      <c r="I97" s="150"/>
      <c r="J97" s="150"/>
      <c r="K97" s="150"/>
      <c r="L97" s="150"/>
    </row>
    <row r="98" spans="1:16" ht="101.25" customHeight="1" x14ac:dyDescent="0.35">
      <c r="A98" s="22">
        <v>100</v>
      </c>
      <c r="D98" s="112" t="s">
        <v>371</v>
      </c>
      <c r="E98" s="112"/>
      <c r="F98" s="151"/>
      <c r="G98" s="151"/>
      <c r="H98" s="151"/>
      <c r="I98" s="151"/>
      <c r="J98" s="151"/>
      <c r="K98" s="151"/>
      <c r="L98" s="151"/>
    </row>
    <row r="99" spans="1:16" s="106" customFormat="1" x14ac:dyDescent="0.35">
      <c r="A99" s="22">
        <v>101</v>
      </c>
      <c r="B99" s="22"/>
      <c r="C99" s="22" t="s">
        <v>440</v>
      </c>
      <c r="D99" s="139" t="s">
        <v>425</v>
      </c>
      <c r="E99" s="139"/>
      <c r="F99" s="132"/>
      <c r="G99" s="132"/>
      <c r="H99" s="132"/>
      <c r="I99" s="23"/>
      <c r="J99" s="23"/>
      <c r="K99" s="23"/>
      <c r="L99" s="23"/>
      <c r="M99" s="100"/>
      <c r="N99" s="100"/>
      <c r="O99" s="100"/>
      <c r="P99" s="100"/>
    </row>
    <row r="100" spans="1:16" s="105" customFormat="1" ht="17.25" customHeight="1" x14ac:dyDescent="0.35">
      <c r="A100" s="22">
        <v>102</v>
      </c>
      <c r="B100" s="22"/>
      <c r="C100" s="22"/>
      <c r="D100" s="31"/>
      <c r="E100" s="31"/>
      <c r="F100" s="27"/>
      <c r="G100" s="27"/>
      <c r="H100" s="27"/>
      <c r="I100" s="27"/>
      <c r="J100" s="27"/>
      <c r="K100" s="27"/>
      <c r="L100" s="27"/>
      <c r="M100" s="100"/>
      <c r="N100" s="100"/>
      <c r="O100" s="100"/>
      <c r="P100" s="106"/>
    </row>
    <row r="101" spans="1:16" ht="42" customHeight="1" x14ac:dyDescent="0.35">
      <c r="A101" s="22">
        <v>103</v>
      </c>
      <c r="D101" s="152" t="s">
        <v>339</v>
      </c>
      <c r="E101" s="152"/>
      <c r="F101" s="153"/>
      <c r="G101" s="153"/>
      <c r="H101" s="153"/>
      <c r="I101" s="153"/>
      <c r="J101" s="153"/>
      <c r="K101" s="153"/>
      <c r="L101" s="153"/>
      <c r="P101" s="105"/>
    </row>
    <row r="102" spans="1:16" ht="39" customHeight="1" x14ac:dyDescent="0.35">
      <c r="A102" s="22">
        <v>104</v>
      </c>
      <c r="D102" s="112" t="s">
        <v>350</v>
      </c>
      <c r="E102" s="112"/>
      <c r="F102" s="113"/>
      <c r="G102" s="113"/>
      <c r="H102" s="113"/>
      <c r="I102" s="113"/>
      <c r="J102" s="113"/>
      <c r="K102" s="113"/>
      <c r="L102" s="113"/>
    </row>
    <row r="103" spans="1:16" ht="27.75" customHeight="1" x14ac:dyDescent="0.35">
      <c r="A103" s="22">
        <v>105</v>
      </c>
      <c r="D103" s="139" t="s">
        <v>426</v>
      </c>
      <c r="E103" s="139"/>
      <c r="F103" s="27"/>
      <c r="G103" s="27"/>
      <c r="H103" s="27"/>
      <c r="I103" s="27"/>
      <c r="J103" s="27"/>
      <c r="K103" s="27"/>
      <c r="L103" s="27"/>
    </row>
    <row r="104" spans="1:16" ht="75" customHeight="1" x14ac:dyDescent="0.35">
      <c r="A104" s="22">
        <v>106</v>
      </c>
      <c r="D104" s="112" t="s">
        <v>431</v>
      </c>
      <c r="E104" s="112"/>
      <c r="F104" s="143"/>
      <c r="G104" s="143"/>
      <c r="H104" s="143"/>
      <c r="I104" s="143"/>
      <c r="J104" s="143"/>
      <c r="K104" s="143"/>
      <c r="L104" s="143"/>
    </row>
    <row r="105" spans="1:16" x14ac:dyDescent="0.35">
      <c r="A105" s="22">
        <v>107</v>
      </c>
    </row>
    <row r="106" spans="1:16" ht="54.75" customHeight="1" x14ac:dyDescent="0.35">
      <c r="A106" s="22">
        <v>108</v>
      </c>
      <c r="C106" s="22" t="s">
        <v>315</v>
      </c>
      <c r="D106" s="112" t="s">
        <v>370</v>
      </c>
      <c r="E106" s="112"/>
      <c r="F106" s="150" t="str">
        <f>Справочник!N4</f>
        <v>Стоимость не является единственным критерием выбора Поставщика  (Положение о закупках ООО "Сбербанк России" №2348  п. 2.2.3.).</v>
      </c>
      <c r="G106" s="150"/>
      <c r="H106" s="150"/>
      <c r="I106" s="150"/>
      <c r="J106" s="150"/>
      <c r="K106" s="150"/>
      <c r="L106" s="150"/>
    </row>
    <row r="107" spans="1:16" ht="90.75" customHeight="1" x14ac:dyDescent="0.35">
      <c r="A107" s="22">
        <v>109</v>
      </c>
      <c r="D107" s="112" t="s">
        <v>371</v>
      </c>
      <c r="E107" s="112"/>
      <c r="F107" s="151"/>
      <c r="G107" s="151"/>
      <c r="H107" s="151"/>
      <c r="I107" s="151"/>
      <c r="J107" s="151"/>
      <c r="K107" s="151"/>
      <c r="L107" s="151"/>
    </row>
    <row r="108" spans="1:16" s="106" customFormat="1" x14ac:dyDescent="0.35">
      <c r="A108" s="22">
        <v>110</v>
      </c>
      <c r="B108" s="22"/>
      <c r="C108" s="22" t="s">
        <v>441</v>
      </c>
      <c r="D108" s="139" t="s">
        <v>425</v>
      </c>
      <c r="E108" s="139"/>
      <c r="F108" s="132"/>
      <c r="G108" s="132"/>
      <c r="H108" s="132"/>
      <c r="I108" s="23"/>
      <c r="J108" s="23"/>
      <c r="K108" s="23"/>
      <c r="L108" s="23"/>
      <c r="M108" s="100"/>
      <c r="N108" s="100"/>
      <c r="O108" s="100"/>
      <c r="P108" s="100"/>
    </row>
    <row r="109" spans="1:16" s="105" customFormat="1" ht="18.75" customHeight="1" x14ac:dyDescent="0.35">
      <c r="A109" s="22">
        <v>111</v>
      </c>
      <c r="B109" s="22"/>
      <c r="C109" s="22"/>
      <c r="D109" s="31"/>
      <c r="E109" s="31"/>
      <c r="F109" s="27"/>
      <c r="G109" s="27"/>
      <c r="H109" s="27"/>
      <c r="I109" s="27"/>
      <c r="J109" s="27"/>
      <c r="K109" s="27"/>
      <c r="L109" s="27"/>
      <c r="M109" s="100"/>
      <c r="N109" s="100"/>
      <c r="O109" s="100"/>
      <c r="P109" s="106"/>
    </row>
    <row r="110" spans="1:16" ht="45" customHeight="1" x14ac:dyDescent="0.35">
      <c r="A110" s="22">
        <v>112</v>
      </c>
      <c r="D110" s="112" t="s">
        <v>339</v>
      </c>
      <c r="E110" s="112"/>
      <c r="F110" s="153"/>
      <c r="G110" s="153"/>
      <c r="H110" s="153"/>
      <c r="I110" s="153"/>
      <c r="J110" s="153"/>
      <c r="K110" s="153"/>
      <c r="L110" s="153"/>
      <c r="P110" s="105"/>
    </row>
    <row r="111" spans="1:16" ht="41.25" customHeight="1" x14ac:dyDescent="0.35">
      <c r="A111" s="22">
        <v>113</v>
      </c>
      <c r="D111" s="152" t="s">
        <v>350</v>
      </c>
      <c r="E111" s="152"/>
      <c r="F111" s="113"/>
      <c r="G111" s="113"/>
      <c r="H111" s="113"/>
      <c r="I111" s="113"/>
      <c r="J111" s="113"/>
      <c r="K111" s="113"/>
      <c r="L111" s="113"/>
    </row>
    <row r="112" spans="1:16" ht="23.25" customHeight="1" x14ac:dyDescent="0.35">
      <c r="A112" s="22">
        <v>114</v>
      </c>
      <c r="D112" s="139" t="s">
        <v>426</v>
      </c>
      <c r="E112" s="139"/>
      <c r="F112" s="27"/>
      <c r="G112" s="27"/>
      <c r="H112" s="27"/>
      <c r="I112" s="27"/>
      <c r="J112" s="27"/>
      <c r="K112" s="27"/>
      <c r="L112" s="27"/>
    </row>
    <row r="113" spans="1:15" ht="87" customHeight="1" x14ac:dyDescent="0.35">
      <c r="A113" s="22">
        <v>115</v>
      </c>
      <c r="D113" s="189" t="s">
        <v>427</v>
      </c>
      <c r="E113" s="189"/>
      <c r="F113" s="143"/>
      <c r="G113" s="143"/>
      <c r="H113" s="143"/>
      <c r="I113" s="143"/>
      <c r="J113" s="143"/>
      <c r="K113" s="143"/>
      <c r="L113" s="143"/>
    </row>
    <row r="114" spans="1:15" ht="18.75" customHeight="1" x14ac:dyDescent="0.35">
      <c r="A114" s="22">
        <v>116</v>
      </c>
    </row>
    <row r="115" spans="1:15" ht="90.75" customHeight="1" x14ac:dyDescent="0.35">
      <c r="A115" s="22">
        <v>117</v>
      </c>
      <c r="B115" s="22" t="s">
        <v>374</v>
      </c>
      <c r="C115" s="22" t="s">
        <v>351</v>
      </c>
      <c r="D115" s="112" t="s">
        <v>375</v>
      </c>
      <c r="E115" s="112"/>
      <c r="F115" s="188"/>
      <c r="G115" s="188"/>
      <c r="H115" s="188"/>
      <c r="I115" s="188"/>
      <c r="J115" s="188"/>
      <c r="K115" s="188"/>
      <c r="L115" s="188"/>
      <c r="O115" s="106"/>
    </row>
    <row r="116" spans="1:15" ht="18.75" customHeight="1" x14ac:dyDescent="0.35">
      <c r="A116" s="22">
        <v>118</v>
      </c>
      <c r="D116" s="35"/>
      <c r="E116" s="36"/>
      <c r="F116" s="36"/>
      <c r="G116" s="36"/>
      <c r="H116" s="36"/>
      <c r="I116" s="36"/>
      <c r="J116" s="36"/>
      <c r="K116" s="36"/>
    </row>
    <row r="117" spans="1:15" x14ac:dyDescent="0.35">
      <c r="A117" s="22">
        <v>119</v>
      </c>
      <c r="B117" s="22" t="s">
        <v>397</v>
      </c>
      <c r="C117" s="22" t="s">
        <v>391</v>
      </c>
      <c r="D117" s="37" t="s">
        <v>398</v>
      </c>
      <c r="E117" s="36"/>
      <c r="F117" s="36"/>
      <c r="G117" s="36"/>
      <c r="H117" s="36"/>
      <c r="I117" s="36"/>
      <c r="J117" s="36"/>
      <c r="K117" s="36"/>
    </row>
    <row r="118" spans="1:15" ht="34.799999999999997" x14ac:dyDescent="0.35">
      <c r="A118" s="22">
        <v>120</v>
      </c>
      <c r="D118" s="76" t="s">
        <v>259</v>
      </c>
      <c r="E118" s="76" t="s">
        <v>260</v>
      </c>
      <c r="F118" s="76" t="s">
        <v>394</v>
      </c>
      <c r="G118" s="76" t="s">
        <v>392</v>
      </c>
      <c r="H118" s="76" t="s">
        <v>393</v>
      </c>
      <c r="I118" s="76" t="s">
        <v>395</v>
      </c>
      <c r="J118" s="36"/>
      <c r="K118" s="36"/>
    </row>
    <row r="119" spans="1:15" x14ac:dyDescent="0.35">
      <c r="A119" s="22">
        <v>121</v>
      </c>
      <c r="D119" s="72"/>
      <c r="E119" s="72"/>
      <c r="F119" s="72"/>
      <c r="G119" s="72"/>
      <c r="H119" s="72"/>
      <c r="I119" s="94">
        <f>IF(F119&lt;&gt;0,-H119/F119+1,0)</f>
        <v>0</v>
      </c>
      <c r="J119" s="36"/>
      <c r="K119" s="36"/>
    </row>
    <row r="120" spans="1:15" x14ac:dyDescent="0.35">
      <c r="A120" s="22">
        <v>122</v>
      </c>
      <c r="D120" s="72"/>
      <c r="E120" s="72"/>
      <c r="F120" s="72"/>
      <c r="G120" s="72"/>
      <c r="H120" s="72"/>
      <c r="I120" s="94">
        <f>IF(F120&lt;&gt;0,-H120/F120+1,0)</f>
        <v>0</v>
      </c>
      <c r="J120" s="36"/>
      <c r="K120" s="36"/>
    </row>
    <row r="121" spans="1:15" x14ac:dyDescent="0.35">
      <c r="A121" s="22">
        <v>123</v>
      </c>
      <c r="D121" s="35"/>
      <c r="E121" s="36"/>
      <c r="F121" s="36"/>
      <c r="G121" s="36"/>
      <c r="H121" s="36"/>
      <c r="I121" s="36"/>
      <c r="J121" s="36"/>
      <c r="K121" s="36"/>
    </row>
    <row r="122" spans="1:15" ht="48" customHeight="1" thickBot="1" x14ac:dyDescent="0.4">
      <c r="A122" s="22">
        <v>124</v>
      </c>
      <c r="D122" s="37" t="s">
        <v>398</v>
      </c>
      <c r="E122" s="36"/>
      <c r="F122" s="36"/>
      <c r="G122" s="36"/>
      <c r="H122" s="36"/>
      <c r="I122" s="36"/>
      <c r="J122" s="36"/>
      <c r="K122" s="36"/>
    </row>
    <row r="123" spans="1:15" ht="35.4" thickBot="1" x14ac:dyDescent="0.4">
      <c r="A123" s="22">
        <v>125</v>
      </c>
      <c r="B123" s="22" t="s">
        <v>397</v>
      </c>
      <c r="D123" s="38" t="s">
        <v>259</v>
      </c>
      <c r="E123" s="39" t="s">
        <v>260</v>
      </c>
      <c r="F123" s="39" t="s">
        <v>392</v>
      </c>
      <c r="G123" s="39" t="s">
        <v>396</v>
      </c>
      <c r="H123" s="168" t="s">
        <v>401</v>
      </c>
      <c r="I123" s="168"/>
      <c r="J123" s="168"/>
      <c r="K123" s="168"/>
      <c r="L123" s="169"/>
    </row>
    <row r="124" spans="1:15" x14ac:dyDescent="0.35">
      <c r="A124" s="22">
        <v>126</v>
      </c>
      <c r="B124" s="22" t="s">
        <v>404</v>
      </c>
      <c r="D124" s="40"/>
      <c r="E124" s="40"/>
      <c r="F124" s="40"/>
      <c r="G124" s="40" t="s">
        <v>403</v>
      </c>
      <c r="H124" s="170"/>
      <c r="I124" s="170"/>
      <c r="J124" s="170"/>
      <c r="K124" s="170"/>
      <c r="L124" s="170"/>
    </row>
    <row r="125" spans="1:15" x14ac:dyDescent="0.35">
      <c r="A125" s="22">
        <v>127</v>
      </c>
      <c r="D125" s="41"/>
      <c r="E125" s="41"/>
      <c r="F125" s="41"/>
      <c r="G125" s="41"/>
      <c r="H125" s="171"/>
      <c r="I125" s="171"/>
      <c r="J125" s="171"/>
      <c r="K125" s="171"/>
      <c r="L125" s="171"/>
    </row>
    <row r="126" spans="1:15" x14ac:dyDescent="0.35">
      <c r="A126" s="22">
        <v>128</v>
      </c>
      <c r="D126" s="35"/>
      <c r="E126" s="36"/>
      <c r="F126" s="36"/>
      <c r="G126" s="36"/>
      <c r="H126" s="36"/>
      <c r="I126" s="36"/>
      <c r="J126" s="36"/>
      <c r="K126" s="36"/>
    </row>
    <row r="127" spans="1:15" x14ac:dyDescent="0.35">
      <c r="A127" s="22">
        <v>129</v>
      </c>
      <c r="D127" s="37" t="s">
        <v>399</v>
      </c>
      <c r="E127" s="36"/>
      <c r="F127" s="36"/>
      <c r="G127" s="36"/>
      <c r="H127" s="36"/>
      <c r="I127" s="36"/>
      <c r="J127" s="36"/>
      <c r="K127" s="36"/>
    </row>
    <row r="128" spans="1:15" ht="26.25" customHeight="1" x14ac:dyDescent="0.35">
      <c r="A128" s="22">
        <v>130</v>
      </c>
      <c r="B128" s="22" t="s">
        <v>397</v>
      </c>
      <c r="D128" s="165" t="s">
        <v>392</v>
      </c>
      <c r="E128" s="165"/>
      <c r="F128" s="165" t="s">
        <v>400</v>
      </c>
      <c r="G128" s="165"/>
      <c r="H128" s="165"/>
      <c r="I128" s="165"/>
      <c r="J128" s="165"/>
      <c r="K128" s="165"/>
      <c r="L128" s="165"/>
    </row>
    <row r="129" spans="1:12" x14ac:dyDescent="0.35">
      <c r="A129" s="22">
        <v>131</v>
      </c>
      <c r="D129" s="113"/>
      <c r="E129" s="113"/>
      <c r="F129" s="172"/>
      <c r="G129" s="172"/>
      <c r="H129" s="172"/>
      <c r="I129" s="172"/>
      <c r="J129" s="172"/>
      <c r="K129" s="172"/>
      <c r="L129" s="172"/>
    </row>
    <row r="130" spans="1:12" ht="37.5" customHeight="1" x14ac:dyDescent="0.35">
      <c r="A130" s="22">
        <v>132</v>
      </c>
      <c r="D130" s="42"/>
      <c r="E130" s="42"/>
      <c r="F130" s="36"/>
      <c r="G130" s="36"/>
      <c r="H130" s="36"/>
      <c r="I130" s="36"/>
      <c r="J130" s="36"/>
      <c r="K130" s="36"/>
      <c r="L130" s="36"/>
    </row>
    <row r="131" spans="1:12" ht="37.5" customHeight="1" x14ac:dyDescent="0.35">
      <c r="A131" s="22">
        <v>133</v>
      </c>
      <c r="D131" s="99" t="s">
        <v>449</v>
      </c>
      <c r="E131" s="97"/>
      <c r="F131" s="98"/>
      <c r="G131" s="98"/>
      <c r="H131" s="98"/>
      <c r="I131" s="98"/>
      <c r="J131" s="98"/>
      <c r="K131" s="98"/>
      <c r="L131" s="98"/>
    </row>
    <row r="132" spans="1:12" x14ac:dyDescent="0.35">
      <c r="D132" s="109"/>
      <c r="E132" s="110"/>
      <c r="F132" s="110"/>
      <c r="G132" s="110"/>
      <c r="H132" s="110"/>
      <c r="I132" s="110"/>
      <c r="J132" s="110"/>
      <c r="K132" s="110"/>
      <c r="L132" s="111"/>
    </row>
    <row r="133" spans="1:12" ht="36" customHeight="1" x14ac:dyDescent="0.35">
      <c r="A133" s="22">
        <v>134</v>
      </c>
      <c r="D133" s="31" t="s">
        <v>430</v>
      </c>
      <c r="E133" s="31"/>
      <c r="F133" s="36"/>
      <c r="G133" s="36"/>
      <c r="H133" s="36"/>
      <c r="I133" s="36"/>
      <c r="J133" s="36"/>
      <c r="K133" s="36"/>
      <c r="L133" s="36"/>
    </row>
    <row r="134" spans="1:12" x14ac:dyDescent="0.35">
      <c r="A134" s="22">
        <v>135</v>
      </c>
      <c r="C134" s="22" t="s">
        <v>405</v>
      </c>
      <c r="D134" s="112" t="s">
        <v>406</v>
      </c>
      <c r="E134" s="112"/>
      <c r="F134" s="95"/>
      <c r="G134" s="36"/>
      <c r="H134" s="36"/>
      <c r="I134" s="36"/>
      <c r="J134" s="36"/>
      <c r="K134" s="36"/>
      <c r="L134" s="36"/>
    </row>
    <row r="135" spans="1:12" ht="18.75" customHeight="1" x14ac:dyDescent="0.35">
      <c r="A135" s="22">
        <v>136</v>
      </c>
      <c r="D135" s="112" t="s">
        <v>407</v>
      </c>
      <c r="E135" s="112"/>
      <c r="F135" s="143"/>
      <c r="G135" s="143"/>
      <c r="H135" s="143"/>
      <c r="I135" s="143"/>
      <c r="J135" s="143"/>
      <c r="K135" s="143"/>
      <c r="L135" s="143"/>
    </row>
    <row r="136" spans="1:12" x14ac:dyDescent="0.35">
      <c r="A136" s="22">
        <v>137</v>
      </c>
      <c r="D136" s="43"/>
      <c r="E136" s="43"/>
      <c r="F136" s="44"/>
      <c r="G136" s="44"/>
      <c r="H136" s="44"/>
      <c r="I136" s="44"/>
      <c r="J136" s="44"/>
      <c r="K136" s="44"/>
      <c r="L136" s="44"/>
    </row>
    <row r="137" spans="1:12" x14ac:dyDescent="0.35">
      <c r="A137" s="22">
        <v>138</v>
      </c>
      <c r="D137" s="29" t="s">
        <v>428</v>
      </c>
    </row>
    <row r="138" spans="1:12" x14ac:dyDescent="0.35">
      <c r="A138" s="22">
        <v>139</v>
      </c>
      <c r="B138" s="22" t="s">
        <v>374</v>
      </c>
      <c r="D138" s="143" t="s">
        <v>376</v>
      </c>
      <c r="E138" s="143"/>
      <c r="F138" s="143"/>
      <c r="G138" s="143"/>
      <c r="H138" s="143"/>
      <c r="I138" s="143"/>
      <c r="J138" s="143"/>
      <c r="K138" s="143"/>
      <c r="L138" s="143"/>
    </row>
    <row r="139" spans="1:12" x14ac:dyDescent="0.35">
      <c r="A139" s="22">
        <v>140</v>
      </c>
    </row>
    <row r="140" spans="1:12" x14ac:dyDescent="0.35">
      <c r="A140" s="22">
        <v>141</v>
      </c>
    </row>
    <row r="141" spans="1:12" ht="39" customHeight="1" x14ac:dyDescent="0.35">
      <c r="A141" s="22">
        <v>142</v>
      </c>
      <c r="D141" s="29" t="s">
        <v>429</v>
      </c>
    </row>
    <row r="142" spans="1:12" x14ac:dyDescent="0.35">
      <c r="A142" s="22">
        <v>143</v>
      </c>
      <c r="D142" s="143"/>
      <c r="E142" s="143"/>
      <c r="F142" s="143"/>
      <c r="G142" s="143"/>
      <c r="H142" s="143"/>
      <c r="I142" s="143"/>
      <c r="J142" s="143"/>
      <c r="K142" s="143"/>
      <c r="L142" s="143"/>
    </row>
    <row r="143" spans="1:12" x14ac:dyDescent="0.35">
      <c r="A143" s="22">
        <v>144</v>
      </c>
    </row>
    <row r="144" spans="1:12" x14ac:dyDescent="0.35">
      <c r="A144" s="22">
        <v>145</v>
      </c>
    </row>
    <row r="145" spans="1:11" x14ac:dyDescent="0.35">
      <c r="A145" s="22">
        <v>146</v>
      </c>
      <c r="D145" s="29" t="s">
        <v>444</v>
      </c>
    </row>
    <row r="146" spans="1:11" x14ac:dyDescent="0.35">
      <c r="A146" s="22">
        <v>147</v>
      </c>
      <c r="D146" s="163" t="s">
        <v>384</v>
      </c>
      <c r="E146" s="163"/>
      <c r="G146" s="23" t="s">
        <v>385</v>
      </c>
      <c r="I146" s="163" t="s">
        <v>387</v>
      </c>
      <c r="J146" s="163"/>
      <c r="K146" s="163"/>
    </row>
    <row r="147" spans="1:11" x14ac:dyDescent="0.35">
      <c r="A147" s="22">
        <v>148</v>
      </c>
      <c r="D147" s="162" t="s">
        <v>383</v>
      </c>
      <c r="E147" s="162"/>
      <c r="G147" s="45" t="s">
        <v>386</v>
      </c>
      <c r="I147" s="162" t="s">
        <v>388</v>
      </c>
      <c r="J147" s="162"/>
      <c r="K147" s="162"/>
    </row>
    <row r="148" spans="1:11" x14ac:dyDescent="0.35">
      <c r="A148" s="22">
        <v>149</v>
      </c>
    </row>
    <row r="149" spans="1:11" x14ac:dyDescent="0.35">
      <c r="A149" s="22">
        <v>150</v>
      </c>
      <c r="D149" s="29" t="s">
        <v>445</v>
      </c>
    </row>
    <row r="150" spans="1:11" x14ac:dyDescent="0.35">
      <c r="A150" s="22">
        <v>151</v>
      </c>
      <c r="D150" s="163" t="s">
        <v>384</v>
      </c>
      <c r="E150" s="163"/>
      <c r="G150" s="23" t="s">
        <v>385</v>
      </c>
      <c r="I150" s="163" t="s">
        <v>387</v>
      </c>
      <c r="J150" s="163"/>
      <c r="K150" s="163"/>
    </row>
    <row r="151" spans="1:11" x14ac:dyDescent="0.35">
      <c r="A151" s="22">
        <v>152</v>
      </c>
      <c r="D151" s="162" t="s">
        <v>383</v>
      </c>
      <c r="E151" s="162"/>
      <c r="G151" s="45" t="s">
        <v>386</v>
      </c>
      <c r="I151" s="162" t="s">
        <v>388</v>
      </c>
      <c r="J151" s="162"/>
      <c r="K151" s="162"/>
    </row>
    <row r="152" spans="1:11" x14ac:dyDescent="0.35">
      <c r="A152" s="22">
        <v>153</v>
      </c>
    </row>
    <row r="153" spans="1:11" x14ac:dyDescent="0.35">
      <c r="A153" s="22">
        <v>150</v>
      </c>
      <c r="D153" s="29" t="s">
        <v>389</v>
      </c>
    </row>
    <row r="154" spans="1:11" x14ac:dyDescent="0.35">
      <c r="A154" s="22">
        <v>151</v>
      </c>
      <c r="D154" s="163" t="s">
        <v>384</v>
      </c>
      <c r="E154" s="163"/>
      <c r="G154" s="23" t="s">
        <v>385</v>
      </c>
      <c r="I154" s="163" t="s">
        <v>387</v>
      </c>
      <c r="J154" s="163"/>
      <c r="K154" s="163"/>
    </row>
    <row r="155" spans="1:11" x14ac:dyDescent="0.35">
      <c r="A155" s="22">
        <v>152</v>
      </c>
      <c r="D155" s="162" t="s">
        <v>383</v>
      </c>
      <c r="E155" s="162"/>
      <c r="G155" s="60" t="s">
        <v>388</v>
      </c>
      <c r="I155" s="162" t="s">
        <v>446</v>
      </c>
      <c r="J155" s="162"/>
      <c r="K155" s="162"/>
    </row>
    <row r="156" spans="1:11" x14ac:dyDescent="0.35">
      <c r="A156" s="22">
        <v>154</v>
      </c>
    </row>
  </sheetData>
  <mergeCells count="144">
    <mergeCell ref="D154:E154"/>
    <mergeCell ref="I154:K154"/>
    <mergeCell ref="D155:E155"/>
    <mergeCell ref="I155:K155"/>
    <mergeCell ref="F115:L115"/>
    <mergeCell ref="F102:L102"/>
    <mergeCell ref="D103:E103"/>
    <mergeCell ref="D104:E104"/>
    <mergeCell ref="F104:L104"/>
    <mergeCell ref="D106:E106"/>
    <mergeCell ref="D111:E111"/>
    <mergeCell ref="F111:L111"/>
    <mergeCell ref="D112:E112"/>
    <mergeCell ref="D113:E113"/>
    <mergeCell ref="F113:L113"/>
    <mergeCell ref="D107:E107"/>
    <mergeCell ref="F107:L107"/>
    <mergeCell ref="D108:E108"/>
    <mergeCell ref="D110:E110"/>
    <mergeCell ref="F110:L110"/>
    <mergeCell ref="D142:L142"/>
    <mergeCell ref="D151:E151"/>
    <mergeCell ref="I151:K151"/>
    <mergeCell ref="D146:E146"/>
    <mergeCell ref="E2:K2"/>
    <mergeCell ref="J8:K8"/>
    <mergeCell ref="D30:E32"/>
    <mergeCell ref="F35:G35"/>
    <mergeCell ref="F33:G33"/>
    <mergeCell ref="F34:G34"/>
    <mergeCell ref="D27:E27"/>
    <mergeCell ref="D34:E34"/>
    <mergeCell ref="D35:E35"/>
    <mergeCell ref="D16:E16"/>
    <mergeCell ref="D24:E24"/>
    <mergeCell ref="D29:G29"/>
    <mergeCell ref="D33:E33"/>
    <mergeCell ref="J4:L4"/>
    <mergeCell ref="J5:L5"/>
    <mergeCell ref="J6:L6"/>
    <mergeCell ref="D10:E10"/>
    <mergeCell ref="D11:E11"/>
    <mergeCell ref="D12:E12"/>
    <mergeCell ref="F10:L10"/>
    <mergeCell ref="F11:L11"/>
    <mergeCell ref="D13:E13"/>
    <mergeCell ref="F13:L13"/>
    <mergeCell ref="F12:L12"/>
    <mergeCell ref="D147:E147"/>
    <mergeCell ref="I146:K146"/>
    <mergeCell ref="I147:K147"/>
    <mergeCell ref="D150:E150"/>
    <mergeCell ref="I150:K150"/>
    <mergeCell ref="D37:F37"/>
    <mergeCell ref="D128:E128"/>
    <mergeCell ref="F128:L128"/>
    <mergeCell ref="D129:E129"/>
    <mergeCell ref="D138:E138"/>
    <mergeCell ref="D41:E41"/>
    <mergeCell ref="F41:L41"/>
    <mergeCell ref="D44:E44"/>
    <mergeCell ref="F44:L44"/>
    <mergeCell ref="D59:H59"/>
    <mergeCell ref="I59:J59"/>
    <mergeCell ref="K59:L59"/>
    <mergeCell ref="D62:E62"/>
    <mergeCell ref="F62:L62"/>
    <mergeCell ref="H123:L123"/>
    <mergeCell ref="H124:L124"/>
    <mergeCell ref="H125:L125"/>
    <mergeCell ref="F138:L138"/>
    <mergeCell ref="F129:L129"/>
    <mergeCell ref="D67:E67"/>
    <mergeCell ref="F67:G67"/>
    <mergeCell ref="D89:E89"/>
    <mergeCell ref="D91:E91"/>
    <mergeCell ref="F91:L91"/>
    <mergeCell ref="D92:E92"/>
    <mergeCell ref="D72:E72"/>
    <mergeCell ref="F72:L72"/>
    <mergeCell ref="D115:E115"/>
    <mergeCell ref="F89:H89"/>
    <mergeCell ref="F99:H99"/>
    <mergeCell ref="F108:H108"/>
    <mergeCell ref="F78:H78"/>
    <mergeCell ref="J73:K73"/>
    <mergeCell ref="D73:I73"/>
    <mergeCell ref="F106:L106"/>
    <mergeCell ref="D85:E85"/>
    <mergeCell ref="D86:E86"/>
    <mergeCell ref="F86:L86"/>
    <mergeCell ref="D88:E88"/>
    <mergeCell ref="F88:L88"/>
    <mergeCell ref="D81:E81"/>
    <mergeCell ref="F83:L83"/>
    <mergeCell ref="D83:E83"/>
    <mergeCell ref="F70:G70"/>
    <mergeCell ref="D71:E71"/>
    <mergeCell ref="D134:E134"/>
    <mergeCell ref="D135:E135"/>
    <mergeCell ref="F135:L135"/>
    <mergeCell ref="D25:E25"/>
    <mergeCell ref="D26:E26"/>
    <mergeCell ref="F92:L92"/>
    <mergeCell ref="D93:E93"/>
    <mergeCell ref="D94:E94"/>
    <mergeCell ref="F94:L94"/>
    <mergeCell ref="D95:E95"/>
    <mergeCell ref="D97:E97"/>
    <mergeCell ref="F97:L97"/>
    <mergeCell ref="D98:E98"/>
    <mergeCell ref="F98:L98"/>
    <mergeCell ref="D99:E99"/>
    <mergeCell ref="D101:E101"/>
    <mergeCell ref="F101:L101"/>
    <mergeCell ref="D102:E102"/>
    <mergeCell ref="D64:E64"/>
    <mergeCell ref="D65:E65"/>
    <mergeCell ref="F65:L65"/>
    <mergeCell ref="D66:E66"/>
    <mergeCell ref="F71:G71"/>
    <mergeCell ref="D132:L132"/>
    <mergeCell ref="D84:E84"/>
    <mergeCell ref="F84:L84"/>
    <mergeCell ref="D60:H60"/>
    <mergeCell ref="I60:J60"/>
    <mergeCell ref="K60:L60"/>
    <mergeCell ref="E21:L21"/>
    <mergeCell ref="E22:L22"/>
    <mergeCell ref="F80:L80"/>
    <mergeCell ref="D75:F75"/>
    <mergeCell ref="F77:H77"/>
    <mergeCell ref="F81:H81"/>
    <mergeCell ref="D77:E77"/>
    <mergeCell ref="D78:E78"/>
    <mergeCell ref="D80:E80"/>
    <mergeCell ref="D38:E38"/>
    <mergeCell ref="D39:E39"/>
    <mergeCell ref="F39:L39"/>
    <mergeCell ref="F38:G38"/>
    <mergeCell ref="D76:E76"/>
    <mergeCell ref="F76:L76"/>
    <mergeCell ref="D68:E68"/>
    <mergeCell ref="D70:E70"/>
  </mergeCells>
  <dataValidations count="4">
    <dataValidation type="list" allowBlank="1" showInputMessage="1" showErrorMessage="1" sqref="F77">
      <formula1>Способы_закупки</formula1>
    </dataValidation>
    <dataValidation type="list" allowBlank="1" showInputMessage="1" showErrorMessage="1" sqref="F78">
      <formula1>Способы_закупки_616</formula1>
    </dataValidation>
    <dataValidation type="list" allowBlank="1" showInputMessage="1" showErrorMessage="1" sqref="F108 F99 F81 F89">
      <formula1>Форматы</formula1>
    </dataValidation>
    <dataValidation type="list" allowBlank="1" showInputMessage="1" showErrorMessage="1" sqref="D22">
      <formula1>СМЕТЫ</formula1>
    </dataValidation>
  </dataValidations>
  <pageMargins left="0.70866141732283472" right="0.70866141732283472" top="0.74803149606299213" bottom="0.74803149606299213" header="0.31496062992125984" footer="0.31496062992125984"/>
  <pageSetup paperSize="9" scale="47" fitToHeight="0" orientation="portrait" verticalDpi="200" r:id="rId1"/>
  <drawing r:id="rId2"/>
  <legacyDrawing r:id="rId3"/>
  <controls>
    <mc:AlternateContent xmlns:mc="http://schemas.openxmlformats.org/markup-compatibility/2006">
      <mc:Choice Requires="x14">
        <control shapeId="1226" r:id="rId4" name="OptionButton13">
          <controlPr defaultSize="0" autoLine="0" autoPict="0" r:id="rId5">
            <anchor moveWithCells="1">
              <from>
                <xdr:col>6</xdr:col>
                <xdr:colOff>182880</xdr:colOff>
                <xdr:row>53</xdr:row>
                <xdr:rowOff>0</xdr:rowOff>
              </from>
              <to>
                <xdr:col>7</xdr:col>
                <xdr:colOff>914400</xdr:colOff>
                <xdr:row>54</xdr:row>
                <xdr:rowOff>0</xdr:rowOff>
              </to>
            </anchor>
          </controlPr>
        </control>
      </mc:Choice>
      <mc:Fallback>
        <control shapeId="1226" r:id="rId4" name="OptionButton13"/>
      </mc:Fallback>
    </mc:AlternateContent>
    <mc:AlternateContent xmlns:mc="http://schemas.openxmlformats.org/markup-compatibility/2006">
      <mc:Choice Requires="x14">
        <control shapeId="1225" r:id="rId6" name="OptionButton12">
          <controlPr defaultSize="0" autoLine="0" autoPict="0" linkedCell="C54" r:id="rId7">
            <anchor moveWithCells="1">
              <from>
                <xdr:col>5</xdr:col>
                <xdr:colOff>358140</xdr:colOff>
                <xdr:row>53</xdr:row>
                <xdr:rowOff>0</xdr:rowOff>
              </from>
              <to>
                <xdr:col>6</xdr:col>
                <xdr:colOff>167640</xdr:colOff>
                <xdr:row>54</xdr:row>
                <xdr:rowOff>0</xdr:rowOff>
              </to>
            </anchor>
          </controlPr>
        </control>
      </mc:Choice>
      <mc:Fallback>
        <control shapeId="1225" r:id="rId6" name="OptionButton12"/>
      </mc:Fallback>
    </mc:AlternateContent>
    <mc:AlternateContent xmlns:mc="http://schemas.openxmlformats.org/markup-compatibility/2006">
      <mc:Choice Requires="x14">
        <control shapeId="1221" r:id="rId8" name="OptionButton9">
          <controlPr defaultSize="0" autoLine="0" autoPict="0" r:id="rId9">
            <anchor moveWithCells="1" sizeWithCells="1">
              <from>
                <xdr:col>5</xdr:col>
                <xdr:colOff>350520</xdr:colOff>
                <xdr:row>56</xdr:row>
                <xdr:rowOff>22860</xdr:rowOff>
              </from>
              <to>
                <xdr:col>6</xdr:col>
                <xdr:colOff>297180</xdr:colOff>
                <xdr:row>57</xdr:row>
                <xdr:rowOff>68580</xdr:rowOff>
              </to>
            </anchor>
          </controlPr>
        </control>
      </mc:Choice>
      <mc:Fallback>
        <control shapeId="1221" r:id="rId8" name="OptionButton9"/>
      </mc:Fallback>
    </mc:AlternateContent>
    <mc:AlternateContent xmlns:mc="http://schemas.openxmlformats.org/markup-compatibility/2006">
      <mc:Choice Requires="x14">
        <control shapeId="1220" r:id="rId10" name="OptionButton8">
          <controlPr defaultSize="0" autoLine="0" autoPict="0" linkedCell="Наличие_на_складе" r:id="rId11">
            <anchor moveWithCells="1" sizeWithCells="1">
              <from>
                <xdr:col>4</xdr:col>
                <xdr:colOff>762000</xdr:colOff>
                <xdr:row>56</xdr:row>
                <xdr:rowOff>22860</xdr:rowOff>
              </from>
              <to>
                <xdr:col>5</xdr:col>
                <xdr:colOff>350520</xdr:colOff>
                <xdr:row>57</xdr:row>
                <xdr:rowOff>68580</xdr:rowOff>
              </to>
            </anchor>
          </controlPr>
        </control>
      </mc:Choice>
      <mc:Fallback>
        <control shapeId="1220" r:id="rId10" name="OptionButton8"/>
      </mc:Fallback>
    </mc:AlternateContent>
    <mc:AlternateContent xmlns:mc="http://schemas.openxmlformats.org/markup-compatibility/2006">
      <mc:Choice Requires="x14">
        <control shapeId="1219" r:id="rId12" name="OptionButton7">
          <controlPr defaultSize="0" autoLine="0" autoPict="0" r:id="rId13">
            <anchor moveWithCells="1">
              <from>
                <xdr:col>5</xdr:col>
                <xdr:colOff>1028700</xdr:colOff>
                <xdr:row>46</xdr:row>
                <xdr:rowOff>15240</xdr:rowOff>
              </from>
              <to>
                <xdr:col>6</xdr:col>
                <xdr:colOff>548640</xdr:colOff>
                <xdr:row>47</xdr:row>
                <xdr:rowOff>76200</xdr:rowOff>
              </to>
            </anchor>
          </controlPr>
        </control>
      </mc:Choice>
      <mc:Fallback>
        <control shapeId="1219" r:id="rId12" name="OptionButton7"/>
      </mc:Fallback>
    </mc:AlternateContent>
    <mc:AlternateContent xmlns:mc="http://schemas.openxmlformats.org/markup-compatibility/2006">
      <mc:Choice Requires="x14">
        <control shapeId="1218" r:id="rId14" name="OptionButton6">
          <controlPr defaultSize="0" autoLine="0" autoPict="0" linkedCell="Категория_предмета_закупки" r:id="rId15">
            <anchor moveWithCells="1">
              <from>
                <xdr:col>5</xdr:col>
                <xdr:colOff>0</xdr:colOff>
                <xdr:row>46</xdr:row>
                <xdr:rowOff>0</xdr:rowOff>
              </from>
              <to>
                <xdr:col>5</xdr:col>
                <xdr:colOff>1028700</xdr:colOff>
                <xdr:row>47</xdr:row>
                <xdr:rowOff>83820</xdr:rowOff>
              </to>
            </anchor>
          </controlPr>
        </control>
      </mc:Choice>
      <mc:Fallback>
        <control shapeId="1218" r:id="rId14" name="OptionButton6"/>
      </mc:Fallback>
    </mc:AlternateContent>
    <mc:AlternateContent xmlns:mc="http://schemas.openxmlformats.org/markup-compatibility/2006">
      <mc:Choice Requires="x14">
        <control shapeId="1204" r:id="rId16" name="OptionButton2">
          <controlPr locked="0" defaultSize="0" autoLine="0" autoPict="0" r:id="rId17">
            <anchor moveWithCells="1" sizeWithCells="1">
              <from>
                <xdr:col>5</xdr:col>
                <xdr:colOff>1424940</xdr:colOff>
                <xdr:row>67</xdr:row>
                <xdr:rowOff>38100</xdr:rowOff>
              </from>
              <to>
                <xdr:col>7</xdr:col>
                <xdr:colOff>0</xdr:colOff>
                <xdr:row>68</xdr:row>
                <xdr:rowOff>22860</xdr:rowOff>
              </to>
            </anchor>
          </controlPr>
        </control>
      </mc:Choice>
      <mc:Fallback>
        <control shapeId="1204" r:id="rId16" name="OptionButton2"/>
      </mc:Fallback>
    </mc:AlternateContent>
    <mc:AlternateContent xmlns:mc="http://schemas.openxmlformats.org/markup-compatibility/2006">
      <mc:Choice Requires="x14">
        <control shapeId="1203" r:id="rId18" name="OptionButton1">
          <controlPr locked="0" defaultSize="0" autoLine="0" autoPict="0" linkedCell="Форма_договора" r:id="rId19">
            <anchor moveWithCells="1" sizeWithCells="1">
              <from>
                <xdr:col>5</xdr:col>
                <xdr:colOff>182880</xdr:colOff>
                <xdr:row>67</xdr:row>
                <xdr:rowOff>38100</xdr:rowOff>
              </from>
              <to>
                <xdr:col>5</xdr:col>
                <xdr:colOff>1424940</xdr:colOff>
                <xdr:row>68</xdr:row>
                <xdr:rowOff>22860</xdr:rowOff>
              </to>
            </anchor>
          </controlPr>
        </control>
      </mc:Choice>
      <mc:Fallback>
        <control shapeId="1203" r:id="rId18" name="OptionButton1"/>
      </mc:Fallback>
    </mc:AlternateContent>
    <mc:AlternateContent xmlns:mc="http://schemas.openxmlformats.org/markup-compatibility/2006">
      <mc:Choice Requires="x14">
        <control shapeId="1211" r:id="rId20" name="OptionButton3">
          <controlPr locked="0" defaultSize="0" autoLine="0" autoPict="0" linkedCell="B17" r:id="rId21">
            <anchor moveWithCells="1" sizeWithCells="1">
              <from>
                <xdr:col>5</xdr:col>
                <xdr:colOff>60960</xdr:colOff>
                <xdr:row>16</xdr:row>
                <xdr:rowOff>15240</xdr:rowOff>
              </from>
              <to>
                <xdr:col>9</xdr:col>
                <xdr:colOff>0</xdr:colOff>
                <xdr:row>17</xdr:row>
                <xdr:rowOff>45720</xdr:rowOff>
              </to>
            </anchor>
          </controlPr>
        </control>
      </mc:Choice>
      <mc:Fallback>
        <control shapeId="1211" r:id="rId20" name="OptionButton3"/>
      </mc:Fallback>
    </mc:AlternateContent>
    <mc:AlternateContent xmlns:mc="http://schemas.openxmlformats.org/markup-compatibility/2006">
      <mc:Choice Requires="x14">
        <control shapeId="1212" r:id="rId22" name="OptionButton4">
          <controlPr locked="0" defaultSize="0" autoLine="0" autoPict="0" linkedCell="B18" r:id="rId23">
            <anchor moveWithCells="1">
              <from>
                <xdr:col>5</xdr:col>
                <xdr:colOff>60960</xdr:colOff>
                <xdr:row>17</xdr:row>
                <xdr:rowOff>38100</xdr:rowOff>
              </from>
              <to>
                <xdr:col>9</xdr:col>
                <xdr:colOff>0</xdr:colOff>
                <xdr:row>18</xdr:row>
                <xdr:rowOff>68580</xdr:rowOff>
              </to>
            </anchor>
          </controlPr>
        </control>
      </mc:Choice>
      <mc:Fallback>
        <control shapeId="1212" r:id="rId22" name="OptionButton4"/>
      </mc:Fallback>
    </mc:AlternateContent>
    <mc:AlternateContent xmlns:mc="http://schemas.openxmlformats.org/markup-compatibility/2006">
      <mc:Choice Requires="x14">
        <control shapeId="1213" r:id="rId24" name="OptionButton5">
          <controlPr locked="0" defaultSize="0" autoLine="0" autoPict="0" linkedCell="B19" r:id="rId25">
            <anchor moveWithCells="1">
              <from>
                <xdr:col>5</xdr:col>
                <xdr:colOff>60960</xdr:colOff>
                <xdr:row>18</xdr:row>
                <xdr:rowOff>45720</xdr:rowOff>
              </from>
              <to>
                <xdr:col>9</xdr:col>
                <xdr:colOff>0</xdr:colOff>
                <xdr:row>19</xdr:row>
                <xdr:rowOff>91440</xdr:rowOff>
              </to>
            </anchor>
          </controlPr>
        </control>
      </mc:Choice>
      <mc:Fallback>
        <control shapeId="1213" r:id="rId24" name="OptionButton5"/>
      </mc:Fallback>
    </mc:AlternateContent>
    <mc:AlternateContent xmlns:mc="http://schemas.openxmlformats.org/markup-compatibility/2006">
      <mc:Choice Requires="x14">
        <control shapeId="1069" r:id="rId26" name="Check Box 45">
          <controlPr defaultSize="0" autoFill="0" autoLine="0" autoPict="0">
            <anchor moveWithCells="1">
              <from>
                <xdr:col>5</xdr:col>
                <xdr:colOff>91440</xdr:colOff>
                <xdr:row>84</xdr:row>
                <xdr:rowOff>53340</xdr:rowOff>
              </from>
              <to>
                <xdr:col>5</xdr:col>
                <xdr:colOff>1264920</xdr:colOff>
                <xdr:row>84</xdr:row>
                <xdr:rowOff>251460</xdr:rowOff>
              </to>
            </anchor>
          </controlPr>
        </control>
      </mc:Choice>
    </mc:AlternateContent>
    <mc:AlternateContent xmlns:mc="http://schemas.openxmlformats.org/markup-compatibility/2006">
      <mc:Choice Requires="x14">
        <control shapeId="1070" r:id="rId27" name="Check Box 46">
          <controlPr defaultSize="0" autoFill="0" autoLine="0" autoPict="0">
            <anchor moveWithCells="1">
              <from>
                <xdr:col>6</xdr:col>
                <xdr:colOff>91440</xdr:colOff>
                <xdr:row>84</xdr:row>
                <xdr:rowOff>53340</xdr:rowOff>
              </from>
              <to>
                <xdr:col>7</xdr:col>
                <xdr:colOff>30480</xdr:colOff>
                <xdr:row>84</xdr:row>
                <xdr:rowOff>259080</xdr:rowOff>
              </to>
            </anchor>
          </controlPr>
        </control>
      </mc:Choice>
    </mc:AlternateContent>
    <mc:AlternateContent xmlns:mc="http://schemas.openxmlformats.org/markup-compatibility/2006">
      <mc:Choice Requires="x14">
        <control shapeId="1079" r:id="rId28" name="Check Box 55">
          <controlPr defaultSize="0" autoFill="0" autoLine="0" autoPict="0">
            <anchor moveWithCells="1">
              <from>
                <xdr:col>5</xdr:col>
                <xdr:colOff>114300</xdr:colOff>
                <xdr:row>102</xdr:row>
                <xdr:rowOff>114300</xdr:rowOff>
              </from>
              <to>
                <xdr:col>5</xdr:col>
                <xdr:colOff>1242060</xdr:colOff>
                <xdr:row>102</xdr:row>
                <xdr:rowOff>243840</xdr:rowOff>
              </to>
            </anchor>
          </controlPr>
        </control>
      </mc:Choice>
    </mc:AlternateContent>
    <mc:AlternateContent xmlns:mc="http://schemas.openxmlformats.org/markup-compatibility/2006">
      <mc:Choice Requires="x14">
        <control shapeId="1080" r:id="rId29" name="Check Box 56">
          <controlPr defaultSize="0" autoFill="0" autoLine="0" autoPict="0">
            <anchor moveWithCells="1">
              <from>
                <xdr:col>5</xdr:col>
                <xdr:colOff>1402080</xdr:colOff>
                <xdr:row>102</xdr:row>
                <xdr:rowOff>114300</xdr:rowOff>
              </from>
              <to>
                <xdr:col>6</xdr:col>
                <xdr:colOff>1097280</xdr:colOff>
                <xdr:row>102</xdr:row>
                <xdr:rowOff>243840</xdr:rowOff>
              </to>
            </anchor>
          </controlPr>
        </control>
      </mc:Choice>
    </mc:AlternateContent>
    <mc:AlternateContent xmlns:mc="http://schemas.openxmlformats.org/markup-compatibility/2006">
      <mc:Choice Requires="x14">
        <control shapeId="1084" r:id="rId30" name="Check Box 60">
          <controlPr defaultSize="0" autoFill="0" autoLine="0" autoPict="0">
            <anchor moveWithCells="1" sizeWithCells="1">
              <from>
                <xdr:col>5</xdr:col>
                <xdr:colOff>106680</xdr:colOff>
                <xdr:row>97</xdr:row>
                <xdr:rowOff>655320</xdr:rowOff>
              </from>
              <to>
                <xdr:col>11</xdr:col>
                <xdr:colOff>2263140</xdr:colOff>
                <xdr:row>97</xdr:row>
                <xdr:rowOff>906780</xdr:rowOff>
              </to>
            </anchor>
          </controlPr>
        </control>
      </mc:Choice>
    </mc:AlternateContent>
    <mc:AlternateContent xmlns:mc="http://schemas.openxmlformats.org/markup-compatibility/2006">
      <mc:Choice Requires="x14">
        <control shapeId="1085" r:id="rId31" name="Check Box 61">
          <controlPr defaultSize="0" autoFill="0" autoLine="0" autoPict="0">
            <anchor moveWithCells="1" sizeWithCells="1">
              <from>
                <xdr:col>5</xdr:col>
                <xdr:colOff>106680</xdr:colOff>
                <xdr:row>97</xdr:row>
                <xdr:rowOff>99060</xdr:rowOff>
              </from>
              <to>
                <xdr:col>11</xdr:col>
                <xdr:colOff>2263140</xdr:colOff>
                <xdr:row>97</xdr:row>
                <xdr:rowOff>342900</xdr:rowOff>
              </to>
            </anchor>
          </controlPr>
        </control>
      </mc:Choice>
    </mc:AlternateContent>
    <mc:AlternateContent xmlns:mc="http://schemas.openxmlformats.org/markup-compatibility/2006">
      <mc:Choice Requires="x14">
        <control shapeId="1086" r:id="rId32" name="Check Box 62">
          <controlPr defaultSize="0" autoFill="0" autoLine="0" autoPict="0">
            <anchor moveWithCells="1" sizeWithCells="1">
              <from>
                <xdr:col>5</xdr:col>
                <xdr:colOff>106680</xdr:colOff>
                <xdr:row>97</xdr:row>
                <xdr:rowOff>373380</xdr:rowOff>
              </from>
              <to>
                <xdr:col>11</xdr:col>
                <xdr:colOff>2240280</xdr:colOff>
                <xdr:row>97</xdr:row>
                <xdr:rowOff>617220</xdr:rowOff>
              </to>
            </anchor>
          </controlPr>
        </control>
      </mc:Choice>
    </mc:AlternateContent>
    <mc:AlternateContent xmlns:mc="http://schemas.openxmlformats.org/markup-compatibility/2006">
      <mc:Choice Requires="x14">
        <control shapeId="1087" r:id="rId33" name="Check Box 63">
          <controlPr defaultSize="0" autoFill="0" autoLine="0" autoPict="0">
            <anchor moveWithCells="1" sizeWithCells="1">
              <from>
                <xdr:col>5</xdr:col>
                <xdr:colOff>106680</xdr:colOff>
                <xdr:row>97</xdr:row>
                <xdr:rowOff>929640</xdr:rowOff>
              </from>
              <to>
                <xdr:col>11</xdr:col>
                <xdr:colOff>2263140</xdr:colOff>
                <xdr:row>97</xdr:row>
                <xdr:rowOff>1196340</xdr:rowOff>
              </to>
            </anchor>
          </controlPr>
        </control>
      </mc:Choice>
    </mc:AlternateContent>
    <mc:AlternateContent xmlns:mc="http://schemas.openxmlformats.org/markup-compatibility/2006">
      <mc:Choice Requires="x14">
        <control shapeId="1107" r:id="rId34" name="Check Box 83">
          <controlPr defaultSize="0" autoFill="0" autoLine="0" autoPict="0">
            <anchor moveWithCells="1">
              <from>
                <xdr:col>5</xdr:col>
                <xdr:colOff>114300</xdr:colOff>
                <xdr:row>92</xdr:row>
                <xdr:rowOff>114300</xdr:rowOff>
              </from>
              <to>
                <xdr:col>5</xdr:col>
                <xdr:colOff>1287780</xdr:colOff>
                <xdr:row>92</xdr:row>
                <xdr:rowOff>304800</xdr:rowOff>
              </to>
            </anchor>
          </controlPr>
        </control>
      </mc:Choice>
    </mc:AlternateContent>
    <mc:AlternateContent xmlns:mc="http://schemas.openxmlformats.org/markup-compatibility/2006">
      <mc:Choice Requires="x14">
        <control shapeId="1108" r:id="rId35" name="Check Box 84">
          <controlPr defaultSize="0" autoFill="0" autoLine="0" autoPict="0">
            <anchor moveWithCells="1">
              <from>
                <xdr:col>6</xdr:col>
                <xdr:colOff>83820</xdr:colOff>
                <xdr:row>92</xdr:row>
                <xdr:rowOff>114300</xdr:rowOff>
              </from>
              <to>
                <xdr:col>7</xdr:col>
                <xdr:colOff>22860</xdr:colOff>
                <xdr:row>92</xdr:row>
                <xdr:rowOff>312420</xdr:rowOff>
              </to>
            </anchor>
          </controlPr>
        </control>
      </mc:Choice>
    </mc:AlternateContent>
    <mc:AlternateContent xmlns:mc="http://schemas.openxmlformats.org/markup-compatibility/2006">
      <mc:Choice Requires="x14">
        <control shapeId="1111" r:id="rId36" name="Check Box 87">
          <controlPr defaultSize="0" autoFill="0" autoLine="0" autoPict="0">
            <anchor moveWithCells="1" sizeWithCells="1">
              <from>
                <xdr:col>5</xdr:col>
                <xdr:colOff>106680</xdr:colOff>
                <xdr:row>111</xdr:row>
                <xdr:rowOff>30480</xdr:rowOff>
              </from>
              <to>
                <xdr:col>5</xdr:col>
                <xdr:colOff>1249680</xdr:colOff>
                <xdr:row>111</xdr:row>
                <xdr:rowOff>274320</xdr:rowOff>
              </to>
            </anchor>
          </controlPr>
        </control>
      </mc:Choice>
    </mc:AlternateContent>
    <mc:AlternateContent xmlns:mc="http://schemas.openxmlformats.org/markup-compatibility/2006">
      <mc:Choice Requires="x14">
        <control shapeId="1112" r:id="rId37" name="Check Box 88">
          <controlPr defaultSize="0" autoFill="0" autoLine="0" autoPict="0">
            <anchor moveWithCells="1" sizeWithCells="1">
              <from>
                <xdr:col>5</xdr:col>
                <xdr:colOff>1348740</xdr:colOff>
                <xdr:row>111</xdr:row>
                <xdr:rowOff>30480</xdr:rowOff>
              </from>
              <to>
                <xdr:col>6</xdr:col>
                <xdr:colOff>868680</xdr:colOff>
                <xdr:row>111</xdr:row>
                <xdr:rowOff>274320</xdr:rowOff>
              </to>
            </anchor>
          </controlPr>
        </control>
      </mc:Choice>
    </mc:AlternateContent>
    <mc:AlternateContent xmlns:mc="http://schemas.openxmlformats.org/markup-compatibility/2006">
      <mc:Choice Requires="x14">
        <control shapeId="1123" r:id="rId38" name="Check Box 99">
          <controlPr defaultSize="0" autoFill="0" autoLine="0" autoPict="0">
            <anchor moveWithCells="1" sizeWithCells="1">
              <from>
                <xdr:col>5</xdr:col>
                <xdr:colOff>53340</xdr:colOff>
                <xdr:row>106</xdr:row>
                <xdr:rowOff>320040</xdr:rowOff>
              </from>
              <to>
                <xdr:col>11</xdr:col>
                <xdr:colOff>2324100</xdr:colOff>
                <xdr:row>106</xdr:row>
                <xdr:rowOff>541020</xdr:rowOff>
              </to>
            </anchor>
          </controlPr>
        </control>
      </mc:Choice>
    </mc:AlternateContent>
    <mc:AlternateContent xmlns:mc="http://schemas.openxmlformats.org/markup-compatibility/2006">
      <mc:Choice Requires="x14">
        <control shapeId="1124" r:id="rId39" name="Check Box 100">
          <controlPr defaultSize="0" autoFill="0" autoLine="0" autoPict="0">
            <anchor moveWithCells="1" sizeWithCells="1">
              <from>
                <xdr:col>5</xdr:col>
                <xdr:colOff>53340</xdr:colOff>
                <xdr:row>106</xdr:row>
                <xdr:rowOff>876300</xdr:rowOff>
              </from>
              <to>
                <xdr:col>11</xdr:col>
                <xdr:colOff>2346960</xdr:colOff>
                <xdr:row>106</xdr:row>
                <xdr:rowOff>1135380</xdr:rowOff>
              </to>
            </anchor>
          </controlPr>
        </control>
      </mc:Choice>
    </mc:AlternateContent>
    <mc:AlternateContent xmlns:mc="http://schemas.openxmlformats.org/markup-compatibility/2006">
      <mc:Choice Requires="x14">
        <control shapeId="1125" r:id="rId40" name="Check Box 101">
          <controlPr defaultSize="0" autoFill="0" autoLine="0" autoPict="0">
            <anchor moveWithCells="1" sizeWithCells="1">
              <from>
                <xdr:col>5</xdr:col>
                <xdr:colOff>53340</xdr:colOff>
                <xdr:row>106</xdr:row>
                <xdr:rowOff>594360</xdr:rowOff>
              </from>
              <to>
                <xdr:col>11</xdr:col>
                <xdr:colOff>2324100</xdr:colOff>
                <xdr:row>106</xdr:row>
                <xdr:rowOff>868680</xdr:rowOff>
              </to>
            </anchor>
          </controlPr>
        </control>
      </mc:Choice>
    </mc:AlternateContent>
    <mc:AlternateContent xmlns:mc="http://schemas.openxmlformats.org/markup-compatibility/2006">
      <mc:Choice Requires="x14">
        <control shapeId="1126" r:id="rId41" name="Check Box 102">
          <controlPr defaultSize="0" autoFill="0" autoLine="0" autoPict="0">
            <anchor moveWithCells="1" sizeWithCells="1">
              <from>
                <xdr:col>5</xdr:col>
                <xdr:colOff>60960</xdr:colOff>
                <xdr:row>106</xdr:row>
                <xdr:rowOff>30480</xdr:rowOff>
              </from>
              <to>
                <xdr:col>11</xdr:col>
                <xdr:colOff>2308860</xdr:colOff>
                <xdr:row>106</xdr:row>
                <xdr:rowOff>266700</xdr:rowOff>
              </to>
            </anchor>
          </controlPr>
        </control>
      </mc:Choice>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Справочник!$A$20:$A$21</xm:f>
          </x14:formula1>
          <xm:sqref>F69</xm:sqref>
        </x14:dataValidation>
        <x14:dataValidation type="list" allowBlank="1" showInputMessage="1" showErrorMessage="1">
          <x14:formula1>
            <xm:f>Справочник!$A$24:$A$26</xm:f>
          </x14:formula1>
          <xm:sqref>F70</xm:sqref>
        </x14:dataValidation>
        <x14:dataValidation type="list" allowBlank="1" showInputMessage="1" showErrorMessage="1">
          <x14:formula1>
            <xm:f>Справочник!$J$2:$J$14</xm:f>
          </x14:formula1>
          <xm:sqref>F76</xm:sqref>
        </x14:dataValidation>
        <x14:dataValidation type="list" allowBlank="1" showInputMessage="1" showErrorMessage="1">
          <x14:formula1>
            <xm:f>Справочник!$K$2:$K$4</xm:f>
          </x14:formula1>
          <xm:sqref>F101 F83 F91 F110</xm:sqref>
        </x14:dataValidation>
        <x14:dataValidation type="list" allowBlank="1" showInputMessage="1" showErrorMessage="1">
          <x14:formula1>
            <xm:f>Справочник!$A$46:$A$47</xm:f>
          </x14:formula1>
          <xm:sqref>F95</xm:sqref>
        </x14:dataValidation>
        <x14:dataValidation type="list" allowBlank="1" showInputMessage="1" showErrorMessage="1">
          <x14:formula1>
            <xm:f>Справочник!$A$50:$A$55</xm:f>
          </x14:formula1>
          <xm:sqref>E12:F12</xm:sqref>
        </x14:dataValidation>
        <x14:dataValidation type="list" allowBlank="1" showInputMessage="1" showErrorMessage="1">
          <x14:formula1>
            <xm:f>Справочник!$K$7:$K$23</xm:f>
          </x14:formula1>
          <xm:sqref>E122 F115 E116:E117</xm:sqref>
        </x14:dataValidation>
        <x14:dataValidation type="list" allowBlank="1" showInputMessage="1" showErrorMessage="1">
          <x14:formula1>
            <xm:f>Справочник!$B$2:$B$12</xm:f>
          </x14:formula1>
          <xm:sqref>F16</xm:sqref>
        </x14:dataValidation>
        <x14:dataValidation type="list" allowBlank="1" showInputMessage="1" showErrorMessage="1">
          <x14:formula1>
            <xm:f>Справочник!$A$42:$A$43</xm:f>
          </x14:formula1>
          <xm:sqref>F109</xm:sqref>
        </x14:dataValidation>
        <x14:dataValidation type="list" allowBlank="1" showInputMessage="1" showErrorMessage="1">
          <x14:formula1>
            <xm:f>Справочник!$A$10:$A$12</xm:f>
          </x14:formula1>
          <xm:sqref>J50:J51</xm:sqref>
        </x14:dataValidation>
        <x14:dataValidation type="list" allowBlank="1" showInputMessage="1" showErrorMessage="1">
          <x14:formula1>
            <xm:f>Справочник!$A$58:$A$59</xm:f>
          </x14:formula1>
          <xm:sqref>G124:G125</xm:sqref>
        </x14:dataValidation>
        <x14:dataValidation type="list" allowBlank="1" showInputMessage="1" showErrorMessage="1">
          <x14:formula1>
            <xm:f>Справочник!A$42:A$43</xm:f>
          </x14:formula1>
          <xm:sqref>F100 F90 F82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N153"/>
  <sheetViews>
    <sheetView topLeftCell="H1" workbookViewId="0">
      <selection activeCell="N27" sqref="N27"/>
    </sheetView>
  </sheetViews>
  <sheetFormatPr defaultRowHeight="14.4" x14ac:dyDescent="0.3"/>
  <cols>
    <col min="1" max="1" width="46.88671875" customWidth="1"/>
    <col min="4" max="4" width="21.88671875" customWidth="1"/>
    <col min="5" max="5" width="23.5546875" customWidth="1"/>
    <col min="6" max="6" width="27.33203125" customWidth="1"/>
    <col min="7" max="7" width="72.88671875" customWidth="1"/>
    <col min="8" max="8" width="12" customWidth="1"/>
    <col min="10" max="10" width="56.5546875" style="18" customWidth="1"/>
  </cols>
  <sheetData>
    <row r="1" spans="1:14" s="1" customFormat="1" ht="15.6" x14ac:dyDescent="0.3">
      <c r="A1" s="1" t="s">
        <v>4</v>
      </c>
      <c r="B1" s="1" t="s">
        <v>9</v>
      </c>
      <c r="D1" s="1" t="s">
        <v>11</v>
      </c>
      <c r="E1" s="1" t="s">
        <v>10</v>
      </c>
      <c r="F1" s="1" t="s">
        <v>12</v>
      </c>
      <c r="G1" s="1" t="s">
        <v>13</v>
      </c>
      <c r="H1" s="1" t="s">
        <v>252</v>
      </c>
      <c r="J1" s="19" t="s">
        <v>318</v>
      </c>
      <c r="K1" s="20" t="s">
        <v>339</v>
      </c>
      <c r="N1" s="19" t="s">
        <v>344</v>
      </c>
    </row>
    <row r="2" spans="1:14" x14ac:dyDescent="0.3">
      <c r="A2" t="s">
        <v>6</v>
      </c>
      <c r="B2">
        <v>2015</v>
      </c>
      <c r="D2" t="s">
        <v>33</v>
      </c>
      <c r="E2" t="s">
        <v>14</v>
      </c>
      <c r="F2" t="s">
        <v>218</v>
      </c>
      <c r="G2" t="s">
        <v>185</v>
      </c>
      <c r="H2" t="s">
        <v>253</v>
      </c>
      <c r="J2" s="18" t="s">
        <v>329</v>
      </c>
      <c r="K2" s="18" t="s">
        <v>340</v>
      </c>
      <c r="N2" s="18" t="s">
        <v>447</v>
      </c>
    </row>
    <row r="3" spans="1:14" x14ac:dyDescent="0.3">
      <c r="A3" t="s">
        <v>7</v>
      </c>
      <c r="B3">
        <v>2016</v>
      </c>
      <c r="D3" t="s">
        <v>34</v>
      </c>
      <c r="E3" t="s">
        <v>15</v>
      </c>
      <c r="F3" t="s">
        <v>219</v>
      </c>
      <c r="G3" t="s">
        <v>186</v>
      </c>
      <c r="J3" s="18" t="s">
        <v>330</v>
      </c>
      <c r="K3" s="18" t="s">
        <v>341</v>
      </c>
      <c r="N3" s="19" t="s">
        <v>345</v>
      </c>
    </row>
    <row r="4" spans="1:14" x14ac:dyDescent="0.3">
      <c r="A4" t="s">
        <v>5</v>
      </c>
      <c r="B4">
        <v>2017</v>
      </c>
      <c r="D4" t="s">
        <v>35</v>
      </c>
      <c r="E4" t="s">
        <v>16</v>
      </c>
      <c r="F4" t="s">
        <v>220</v>
      </c>
      <c r="G4" t="s">
        <v>187</v>
      </c>
      <c r="J4" s="18" t="s">
        <v>331</v>
      </c>
      <c r="K4" s="18" t="s">
        <v>342</v>
      </c>
      <c r="N4" s="18" t="s">
        <v>448</v>
      </c>
    </row>
    <row r="5" spans="1:14" x14ac:dyDescent="0.3">
      <c r="A5" t="s">
        <v>8</v>
      </c>
      <c r="B5">
        <v>2018</v>
      </c>
      <c r="D5" t="s">
        <v>36</v>
      </c>
      <c r="E5" t="s">
        <v>17</v>
      </c>
      <c r="F5" t="s">
        <v>221</v>
      </c>
      <c r="G5" t="s">
        <v>188</v>
      </c>
      <c r="J5" s="18" t="s">
        <v>319</v>
      </c>
    </row>
    <row r="6" spans="1:14" ht="15.6" x14ac:dyDescent="0.3">
      <c r="A6" t="s">
        <v>252</v>
      </c>
      <c r="B6">
        <v>2019</v>
      </c>
      <c r="D6" t="s">
        <v>37</v>
      </c>
      <c r="E6" t="s">
        <v>18</v>
      </c>
      <c r="F6" t="s">
        <v>222</v>
      </c>
      <c r="G6" t="s">
        <v>189</v>
      </c>
      <c r="J6" s="18" t="s">
        <v>332</v>
      </c>
      <c r="K6" s="20" t="s">
        <v>352</v>
      </c>
    </row>
    <row r="7" spans="1:14" x14ac:dyDescent="0.3">
      <c r="B7">
        <v>2020</v>
      </c>
      <c r="D7" t="s">
        <v>38</v>
      </c>
      <c r="E7" t="s">
        <v>19</v>
      </c>
      <c r="F7" t="s">
        <v>223</v>
      </c>
      <c r="G7" t="s">
        <v>190</v>
      </c>
      <c r="J7" s="18" t="s">
        <v>320</v>
      </c>
      <c r="K7" s="18" t="s">
        <v>353</v>
      </c>
    </row>
    <row r="8" spans="1:14" x14ac:dyDescent="0.3">
      <c r="B8">
        <v>2021</v>
      </c>
      <c r="D8" t="s">
        <v>39</v>
      </c>
      <c r="E8" t="s">
        <v>20</v>
      </c>
      <c r="F8" t="s">
        <v>224</v>
      </c>
      <c r="G8" t="s">
        <v>191</v>
      </c>
      <c r="J8" s="18" t="s">
        <v>321</v>
      </c>
      <c r="K8" t="s">
        <v>354</v>
      </c>
    </row>
    <row r="9" spans="1:14" x14ac:dyDescent="0.3">
      <c r="A9" s="1" t="s">
        <v>239</v>
      </c>
      <c r="B9">
        <v>2022</v>
      </c>
      <c r="D9" t="s">
        <v>40</v>
      </c>
      <c r="E9" t="s">
        <v>21</v>
      </c>
      <c r="F9" t="s">
        <v>225</v>
      </c>
      <c r="G9" t="s">
        <v>192</v>
      </c>
      <c r="J9" s="18" t="s">
        <v>322</v>
      </c>
      <c r="K9" t="s">
        <v>355</v>
      </c>
    </row>
    <row r="10" spans="1:14" x14ac:dyDescent="0.3">
      <c r="A10" t="s">
        <v>246</v>
      </c>
      <c r="B10">
        <v>2023</v>
      </c>
      <c r="D10" t="s">
        <v>41</v>
      </c>
      <c r="E10" t="s">
        <v>22</v>
      </c>
      <c r="F10" t="s">
        <v>226</v>
      </c>
      <c r="G10" t="s">
        <v>193</v>
      </c>
      <c r="J10" s="18" t="s">
        <v>323</v>
      </c>
      <c r="K10" t="s">
        <v>356</v>
      </c>
    </row>
    <row r="11" spans="1:14" x14ac:dyDescent="0.3">
      <c r="A11" t="s">
        <v>247</v>
      </c>
      <c r="B11">
        <v>2024</v>
      </c>
      <c r="D11" t="s">
        <v>42</v>
      </c>
      <c r="E11" t="s">
        <v>23</v>
      </c>
      <c r="F11" t="s">
        <v>227</v>
      </c>
      <c r="G11" t="s">
        <v>194</v>
      </c>
      <c r="J11" s="18" t="s">
        <v>324</v>
      </c>
      <c r="K11" s="18" t="s">
        <v>357</v>
      </c>
    </row>
    <row r="12" spans="1:14" x14ac:dyDescent="0.3">
      <c r="A12" t="s">
        <v>240</v>
      </c>
      <c r="B12">
        <v>2025</v>
      </c>
      <c r="D12" t="s">
        <v>43</v>
      </c>
      <c r="E12" t="s">
        <v>24</v>
      </c>
      <c r="F12" t="s">
        <v>228</v>
      </c>
      <c r="G12" t="s">
        <v>195</v>
      </c>
      <c r="J12" s="18" t="s">
        <v>325</v>
      </c>
      <c r="K12" s="18" t="s">
        <v>358</v>
      </c>
    </row>
    <row r="13" spans="1:14" x14ac:dyDescent="0.3">
      <c r="D13" t="s">
        <v>44</v>
      </c>
      <c r="E13" t="s">
        <v>25</v>
      </c>
      <c r="F13" t="s">
        <v>229</v>
      </c>
      <c r="G13" t="s">
        <v>196</v>
      </c>
      <c r="J13" s="18" t="s">
        <v>326</v>
      </c>
      <c r="K13" s="18" t="s">
        <v>359</v>
      </c>
    </row>
    <row r="14" spans="1:14" x14ac:dyDescent="0.3">
      <c r="D14" t="s">
        <v>45</v>
      </c>
      <c r="E14" t="s">
        <v>26</v>
      </c>
      <c r="F14" t="s">
        <v>230</v>
      </c>
      <c r="G14" t="s">
        <v>197</v>
      </c>
      <c r="J14" s="18" t="s">
        <v>328</v>
      </c>
      <c r="K14" t="s">
        <v>360</v>
      </c>
    </row>
    <row r="15" spans="1:14" x14ac:dyDescent="0.3">
      <c r="A15" s="1" t="s">
        <v>276</v>
      </c>
      <c r="D15" t="s">
        <v>46</v>
      </c>
      <c r="E15" t="s">
        <v>27</v>
      </c>
      <c r="F15" t="s">
        <v>231</v>
      </c>
      <c r="G15" t="s">
        <v>198</v>
      </c>
      <c r="K15" t="s">
        <v>361</v>
      </c>
    </row>
    <row r="16" spans="1:14" x14ac:dyDescent="0.3">
      <c r="A16" t="s">
        <v>264</v>
      </c>
      <c r="D16" t="s">
        <v>47</v>
      </c>
      <c r="E16" t="s">
        <v>28</v>
      </c>
      <c r="F16" t="s">
        <v>232</v>
      </c>
      <c r="G16" t="s">
        <v>199</v>
      </c>
      <c r="K16" t="s">
        <v>362</v>
      </c>
    </row>
    <row r="17" spans="1:11" x14ac:dyDescent="0.3">
      <c r="A17" t="s">
        <v>275</v>
      </c>
      <c r="D17" t="s">
        <v>48</v>
      </c>
      <c r="E17" t="s">
        <v>29</v>
      </c>
      <c r="F17" t="s">
        <v>233</v>
      </c>
      <c r="G17" t="s">
        <v>200</v>
      </c>
      <c r="K17" t="s">
        <v>363</v>
      </c>
    </row>
    <row r="18" spans="1:11" x14ac:dyDescent="0.3">
      <c r="D18" t="s">
        <v>49</v>
      </c>
      <c r="E18" t="s">
        <v>30</v>
      </c>
      <c r="F18" t="s">
        <v>234</v>
      </c>
      <c r="G18" t="s">
        <v>201</v>
      </c>
      <c r="K18" t="s">
        <v>364</v>
      </c>
    </row>
    <row r="19" spans="1:11" x14ac:dyDescent="0.3">
      <c r="A19" s="1" t="s">
        <v>304</v>
      </c>
      <c r="D19" t="s">
        <v>50</v>
      </c>
      <c r="E19" t="s">
        <v>31</v>
      </c>
      <c r="F19" t="s">
        <v>235</v>
      </c>
      <c r="G19" t="s">
        <v>202</v>
      </c>
      <c r="K19" t="s">
        <v>365</v>
      </c>
    </row>
    <row r="20" spans="1:11" x14ac:dyDescent="0.3">
      <c r="A20" t="s">
        <v>305</v>
      </c>
      <c r="D20" t="s">
        <v>51</v>
      </c>
      <c r="E20" t="s">
        <v>32</v>
      </c>
      <c r="F20" t="s">
        <v>236</v>
      </c>
      <c r="G20" t="s">
        <v>203</v>
      </c>
      <c r="K20" t="s">
        <v>366</v>
      </c>
    </row>
    <row r="21" spans="1:11" x14ac:dyDescent="0.3">
      <c r="A21" t="s">
        <v>306</v>
      </c>
      <c r="D21" t="s">
        <v>52</v>
      </c>
      <c r="F21" t="s">
        <v>237</v>
      </c>
      <c r="G21" t="s">
        <v>204</v>
      </c>
      <c r="K21" t="s">
        <v>367</v>
      </c>
    </row>
    <row r="22" spans="1:11" x14ac:dyDescent="0.3">
      <c r="D22" t="s">
        <v>53</v>
      </c>
      <c r="F22" t="s">
        <v>238</v>
      </c>
      <c r="G22" t="s">
        <v>205</v>
      </c>
      <c r="K22" t="s">
        <v>368</v>
      </c>
    </row>
    <row r="23" spans="1:11" ht="15.6" x14ac:dyDescent="0.3">
      <c r="A23" s="17" t="s">
        <v>307</v>
      </c>
      <c r="D23" t="s">
        <v>54</v>
      </c>
      <c r="G23" t="s">
        <v>206</v>
      </c>
      <c r="K23" t="s">
        <v>369</v>
      </c>
    </row>
    <row r="24" spans="1:11" x14ac:dyDescent="0.3">
      <c r="A24" t="s">
        <v>308</v>
      </c>
      <c r="D24" t="s">
        <v>55</v>
      </c>
      <c r="G24" t="s">
        <v>207</v>
      </c>
    </row>
    <row r="25" spans="1:11" x14ac:dyDescent="0.3">
      <c r="A25" t="s">
        <v>309</v>
      </c>
      <c r="D25" t="s">
        <v>56</v>
      </c>
      <c r="G25" t="s">
        <v>208</v>
      </c>
    </row>
    <row r="26" spans="1:11" x14ac:dyDescent="0.3">
      <c r="A26" t="s">
        <v>310</v>
      </c>
      <c r="D26" t="s">
        <v>57</v>
      </c>
      <c r="G26" t="s">
        <v>209</v>
      </c>
    </row>
    <row r="27" spans="1:11" x14ac:dyDescent="0.3">
      <c r="D27" t="s">
        <v>58</v>
      </c>
      <c r="G27" t="s">
        <v>210</v>
      </c>
    </row>
    <row r="28" spans="1:11" x14ac:dyDescent="0.3">
      <c r="D28" t="s">
        <v>59</v>
      </c>
      <c r="G28" t="s">
        <v>211</v>
      </c>
    </row>
    <row r="29" spans="1:11" x14ac:dyDescent="0.3">
      <c r="A29" s="1" t="s">
        <v>312</v>
      </c>
      <c r="D29" t="s">
        <v>60</v>
      </c>
      <c r="G29" t="s">
        <v>212</v>
      </c>
    </row>
    <row r="30" spans="1:11" x14ac:dyDescent="0.3">
      <c r="A30" t="s">
        <v>314</v>
      </c>
      <c r="D30" t="s">
        <v>61</v>
      </c>
      <c r="G30" t="s">
        <v>213</v>
      </c>
    </row>
    <row r="31" spans="1:11" x14ac:dyDescent="0.3">
      <c r="A31" t="s">
        <v>315</v>
      </c>
      <c r="D31" t="s">
        <v>62</v>
      </c>
      <c r="G31" t="s">
        <v>214</v>
      </c>
    </row>
    <row r="32" spans="1:11" x14ac:dyDescent="0.3">
      <c r="A32" t="s">
        <v>313</v>
      </c>
      <c r="D32" t="s">
        <v>63</v>
      </c>
      <c r="G32" t="s">
        <v>215</v>
      </c>
    </row>
    <row r="33" spans="1:7" x14ac:dyDescent="0.3">
      <c r="A33" t="s">
        <v>316</v>
      </c>
      <c r="D33" t="s">
        <v>64</v>
      </c>
      <c r="G33" t="s">
        <v>216</v>
      </c>
    </row>
    <row r="34" spans="1:7" x14ac:dyDescent="0.3">
      <c r="D34" t="s">
        <v>65</v>
      </c>
      <c r="G34" t="s">
        <v>217</v>
      </c>
    </row>
    <row r="35" spans="1:7" x14ac:dyDescent="0.3">
      <c r="D35" t="s">
        <v>66</v>
      </c>
    </row>
    <row r="36" spans="1:7" x14ac:dyDescent="0.3">
      <c r="D36" t="s">
        <v>67</v>
      </c>
    </row>
    <row r="37" spans="1:7" x14ac:dyDescent="0.3">
      <c r="A37" s="1" t="s">
        <v>334</v>
      </c>
      <c r="D37" t="s">
        <v>68</v>
      </c>
    </row>
    <row r="38" spans="1:7" x14ac:dyDescent="0.3">
      <c r="A38" t="s">
        <v>313</v>
      </c>
      <c r="D38" t="s">
        <v>69</v>
      </c>
    </row>
    <row r="39" spans="1:7" x14ac:dyDescent="0.3">
      <c r="A39" t="s">
        <v>316</v>
      </c>
      <c r="D39" t="s">
        <v>70</v>
      </c>
    </row>
    <row r="40" spans="1:7" x14ac:dyDescent="0.3">
      <c r="D40" t="s">
        <v>71</v>
      </c>
    </row>
    <row r="41" spans="1:7" x14ac:dyDescent="0.3">
      <c r="A41" s="1" t="s">
        <v>338</v>
      </c>
      <c r="D41" t="s">
        <v>72</v>
      </c>
    </row>
    <row r="42" spans="1:7" x14ac:dyDescent="0.3">
      <c r="A42" t="s">
        <v>336</v>
      </c>
      <c r="D42" t="s">
        <v>73</v>
      </c>
    </row>
    <row r="43" spans="1:7" x14ac:dyDescent="0.3">
      <c r="A43" t="s">
        <v>337</v>
      </c>
      <c r="D43" t="s">
        <v>74</v>
      </c>
    </row>
    <row r="44" spans="1:7" x14ac:dyDescent="0.3">
      <c r="D44" t="s">
        <v>75</v>
      </c>
    </row>
    <row r="45" spans="1:7" x14ac:dyDescent="0.3">
      <c r="A45" s="1" t="s">
        <v>347</v>
      </c>
      <c r="D45" t="s">
        <v>76</v>
      </c>
    </row>
    <row r="46" spans="1:7" x14ac:dyDescent="0.3">
      <c r="A46" t="s">
        <v>348</v>
      </c>
      <c r="D46" t="s">
        <v>77</v>
      </c>
    </row>
    <row r="47" spans="1:7" x14ac:dyDescent="0.3">
      <c r="A47" t="s">
        <v>349</v>
      </c>
      <c r="D47" t="s">
        <v>78</v>
      </c>
    </row>
    <row r="48" spans="1:7" x14ac:dyDescent="0.3">
      <c r="D48" t="s">
        <v>79</v>
      </c>
    </row>
    <row r="49" spans="1:4" ht="15.6" x14ac:dyDescent="0.3">
      <c r="A49" s="16" t="s">
        <v>379</v>
      </c>
      <c r="D49" t="s">
        <v>80</v>
      </c>
    </row>
    <row r="50" spans="1:4" x14ac:dyDescent="0.3">
      <c r="A50" t="s">
        <v>380</v>
      </c>
      <c r="D50" t="s">
        <v>81</v>
      </c>
    </row>
    <row r="51" spans="1:4" x14ac:dyDescent="0.3">
      <c r="A51" t="s">
        <v>381</v>
      </c>
      <c r="D51" t="s">
        <v>82</v>
      </c>
    </row>
    <row r="52" spans="1:4" x14ac:dyDescent="0.3">
      <c r="A52" t="s">
        <v>377</v>
      </c>
      <c r="D52" t="s">
        <v>83</v>
      </c>
    </row>
    <row r="53" spans="1:4" x14ac:dyDescent="0.3">
      <c r="A53" t="s">
        <v>378</v>
      </c>
      <c r="D53" t="s">
        <v>84</v>
      </c>
    </row>
    <row r="54" spans="1:4" x14ac:dyDescent="0.3">
      <c r="A54" t="s">
        <v>317</v>
      </c>
      <c r="D54" t="s">
        <v>85</v>
      </c>
    </row>
    <row r="55" spans="1:4" x14ac:dyDescent="0.3">
      <c r="A55" t="s">
        <v>382</v>
      </c>
      <c r="D55" t="s">
        <v>86</v>
      </c>
    </row>
    <row r="56" spans="1:4" ht="15" thickBot="1" x14ac:dyDescent="0.35">
      <c r="D56" t="s">
        <v>87</v>
      </c>
    </row>
    <row r="57" spans="1:4" ht="16.2" thickBot="1" x14ac:dyDescent="0.35">
      <c r="A57" s="21" t="s">
        <v>396</v>
      </c>
      <c r="D57" t="s">
        <v>88</v>
      </c>
    </row>
    <row r="58" spans="1:4" x14ac:dyDescent="0.3">
      <c r="A58" t="s">
        <v>402</v>
      </c>
      <c r="D58" t="s">
        <v>89</v>
      </c>
    </row>
    <row r="59" spans="1:4" x14ac:dyDescent="0.3">
      <c r="A59" t="s">
        <v>403</v>
      </c>
      <c r="D59" t="s">
        <v>90</v>
      </c>
    </row>
    <row r="60" spans="1:4" x14ac:dyDescent="0.3">
      <c r="D60" t="s">
        <v>91</v>
      </c>
    </row>
    <row r="61" spans="1:4" x14ac:dyDescent="0.3">
      <c r="D61" t="s">
        <v>92</v>
      </c>
    </row>
    <row r="62" spans="1:4" x14ac:dyDescent="0.3">
      <c r="D62" t="s">
        <v>93</v>
      </c>
    </row>
    <row r="63" spans="1:4" x14ac:dyDescent="0.3">
      <c r="D63" t="s">
        <v>94</v>
      </c>
    </row>
    <row r="64" spans="1:4" x14ac:dyDescent="0.3">
      <c r="D64" t="s">
        <v>95</v>
      </c>
    </row>
    <row r="65" spans="4:4" x14ac:dyDescent="0.3">
      <c r="D65" t="s">
        <v>96</v>
      </c>
    </row>
    <row r="66" spans="4:4" x14ac:dyDescent="0.3">
      <c r="D66" t="s">
        <v>97</v>
      </c>
    </row>
    <row r="67" spans="4:4" x14ac:dyDescent="0.3">
      <c r="D67" t="s">
        <v>98</v>
      </c>
    </row>
    <row r="68" spans="4:4" x14ac:dyDescent="0.3">
      <c r="D68" t="s">
        <v>99</v>
      </c>
    </row>
    <row r="69" spans="4:4" x14ac:dyDescent="0.3">
      <c r="D69" t="s">
        <v>100</v>
      </c>
    </row>
    <row r="70" spans="4:4" x14ac:dyDescent="0.3">
      <c r="D70" t="s">
        <v>101</v>
      </c>
    </row>
    <row r="71" spans="4:4" x14ac:dyDescent="0.3">
      <c r="D71" t="s">
        <v>102</v>
      </c>
    </row>
    <row r="72" spans="4:4" x14ac:dyDescent="0.3">
      <c r="D72" t="s">
        <v>103</v>
      </c>
    </row>
    <row r="73" spans="4:4" x14ac:dyDescent="0.3">
      <c r="D73" t="s">
        <v>104</v>
      </c>
    </row>
    <row r="74" spans="4:4" x14ac:dyDescent="0.3">
      <c r="D74" t="s">
        <v>105</v>
      </c>
    </row>
    <row r="75" spans="4:4" x14ac:dyDescent="0.3">
      <c r="D75" t="s">
        <v>106</v>
      </c>
    </row>
    <row r="76" spans="4:4" x14ac:dyDescent="0.3">
      <c r="D76" t="s">
        <v>107</v>
      </c>
    </row>
    <row r="77" spans="4:4" x14ac:dyDescent="0.3">
      <c r="D77" t="s">
        <v>108</v>
      </c>
    </row>
    <row r="78" spans="4:4" x14ac:dyDescent="0.3">
      <c r="D78" t="s">
        <v>109</v>
      </c>
    </row>
    <row r="79" spans="4:4" x14ac:dyDescent="0.3">
      <c r="D79" t="s">
        <v>110</v>
      </c>
    </row>
    <row r="80" spans="4:4" x14ac:dyDescent="0.3">
      <c r="D80" t="s">
        <v>111</v>
      </c>
    </row>
    <row r="81" spans="4:4" x14ac:dyDescent="0.3">
      <c r="D81" t="s">
        <v>112</v>
      </c>
    </row>
    <row r="82" spans="4:4" x14ac:dyDescent="0.3">
      <c r="D82" t="s">
        <v>113</v>
      </c>
    </row>
    <row r="83" spans="4:4" x14ac:dyDescent="0.3">
      <c r="D83" t="s">
        <v>114</v>
      </c>
    </row>
    <row r="84" spans="4:4" x14ac:dyDescent="0.3">
      <c r="D84" t="s">
        <v>115</v>
      </c>
    </row>
    <row r="85" spans="4:4" x14ac:dyDescent="0.3">
      <c r="D85" t="s">
        <v>116</v>
      </c>
    </row>
    <row r="86" spans="4:4" x14ac:dyDescent="0.3">
      <c r="D86" t="s">
        <v>117</v>
      </c>
    </row>
    <row r="87" spans="4:4" x14ac:dyDescent="0.3">
      <c r="D87" t="s">
        <v>118</v>
      </c>
    </row>
    <row r="88" spans="4:4" x14ac:dyDescent="0.3">
      <c r="D88" t="s">
        <v>119</v>
      </c>
    </row>
    <row r="89" spans="4:4" x14ac:dyDescent="0.3">
      <c r="D89" t="s">
        <v>120</v>
      </c>
    </row>
    <row r="90" spans="4:4" x14ac:dyDescent="0.3">
      <c r="D90" t="s">
        <v>121</v>
      </c>
    </row>
    <row r="91" spans="4:4" x14ac:dyDescent="0.3">
      <c r="D91" t="s">
        <v>122</v>
      </c>
    </row>
    <row r="92" spans="4:4" x14ac:dyDescent="0.3">
      <c r="D92" t="s">
        <v>123</v>
      </c>
    </row>
    <row r="93" spans="4:4" x14ac:dyDescent="0.3">
      <c r="D93" t="s">
        <v>124</v>
      </c>
    </row>
    <row r="94" spans="4:4" x14ac:dyDescent="0.3">
      <c r="D94" t="s">
        <v>125</v>
      </c>
    </row>
    <row r="95" spans="4:4" x14ac:dyDescent="0.3">
      <c r="D95" t="s">
        <v>126</v>
      </c>
    </row>
    <row r="96" spans="4:4" x14ac:dyDescent="0.3">
      <c r="D96" t="s">
        <v>127</v>
      </c>
    </row>
    <row r="97" spans="4:4" x14ac:dyDescent="0.3">
      <c r="D97" t="s">
        <v>128</v>
      </c>
    </row>
    <row r="98" spans="4:4" x14ac:dyDescent="0.3">
      <c r="D98" t="s">
        <v>129</v>
      </c>
    </row>
    <row r="99" spans="4:4" x14ac:dyDescent="0.3">
      <c r="D99" t="s">
        <v>130</v>
      </c>
    </row>
    <row r="100" spans="4:4" x14ac:dyDescent="0.3">
      <c r="D100" t="s">
        <v>131</v>
      </c>
    </row>
    <row r="101" spans="4:4" x14ac:dyDescent="0.3">
      <c r="D101" t="s">
        <v>132</v>
      </c>
    </row>
    <row r="102" spans="4:4" x14ac:dyDescent="0.3">
      <c r="D102" t="s">
        <v>133</v>
      </c>
    </row>
    <row r="103" spans="4:4" x14ac:dyDescent="0.3">
      <c r="D103" t="s">
        <v>134</v>
      </c>
    </row>
    <row r="104" spans="4:4" x14ac:dyDescent="0.3">
      <c r="D104" t="s">
        <v>135</v>
      </c>
    </row>
    <row r="105" spans="4:4" x14ac:dyDescent="0.3">
      <c r="D105" t="s">
        <v>136</v>
      </c>
    </row>
    <row r="106" spans="4:4" x14ac:dyDescent="0.3">
      <c r="D106" t="s">
        <v>137</v>
      </c>
    </row>
    <row r="107" spans="4:4" x14ac:dyDescent="0.3">
      <c r="D107" t="s">
        <v>138</v>
      </c>
    </row>
    <row r="108" spans="4:4" x14ac:dyDescent="0.3">
      <c r="D108" t="s">
        <v>139</v>
      </c>
    </row>
    <row r="109" spans="4:4" x14ac:dyDescent="0.3">
      <c r="D109" t="s">
        <v>140</v>
      </c>
    </row>
    <row r="110" spans="4:4" x14ac:dyDescent="0.3">
      <c r="D110" t="s">
        <v>141</v>
      </c>
    </row>
    <row r="111" spans="4:4" x14ac:dyDescent="0.3">
      <c r="D111" t="s">
        <v>142</v>
      </c>
    </row>
    <row r="112" spans="4:4" x14ac:dyDescent="0.3">
      <c r="D112" t="s">
        <v>143</v>
      </c>
    </row>
    <row r="113" spans="4:4" x14ac:dyDescent="0.3">
      <c r="D113" t="s">
        <v>144</v>
      </c>
    </row>
    <row r="114" spans="4:4" x14ac:dyDescent="0.3">
      <c r="D114" t="s">
        <v>145</v>
      </c>
    </row>
    <row r="115" spans="4:4" x14ac:dyDescent="0.3">
      <c r="D115" t="s">
        <v>146</v>
      </c>
    </row>
    <row r="116" spans="4:4" x14ac:dyDescent="0.3">
      <c r="D116" t="s">
        <v>147</v>
      </c>
    </row>
    <row r="117" spans="4:4" x14ac:dyDescent="0.3">
      <c r="D117" t="s">
        <v>148</v>
      </c>
    </row>
    <row r="118" spans="4:4" x14ac:dyDescent="0.3">
      <c r="D118" t="s">
        <v>149</v>
      </c>
    </row>
    <row r="119" spans="4:4" x14ac:dyDescent="0.3">
      <c r="D119" t="s">
        <v>150</v>
      </c>
    </row>
    <row r="120" spans="4:4" x14ac:dyDescent="0.3">
      <c r="D120" t="s">
        <v>151</v>
      </c>
    </row>
    <row r="121" spans="4:4" x14ac:dyDescent="0.3">
      <c r="D121" t="s">
        <v>152</v>
      </c>
    </row>
    <row r="122" spans="4:4" x14ac:dyDescent="0.3">
      <c r="D122" t="s">
        <v>153</v>
      </c>
    </row>
    <row r="123" spans="4:4" x14ac:dyDescent="0.3">
      <c r="D123" t="s">
        <v>154</v>
      </c>
    </row>
    <row r="124" spans="4:4" x14ac:dyDescent="0.3">
      <c r="D124" t="s">
        <v>155</v>
      </c>
    </row>
    <row r="125" spans="4:4" x14ac:dyDescent="0.3">
      <c r="D125" t="s">
        <v>156</v>
      </c>
    </row>
    <row r="126" spans="4:4" x14ac:dyDescent="0.3">
      <c r="D126" t="s">
        <v>157</v>
      </c>
    </row>
    <row r="127" spans="4:4" x14ac:dyDescent="0.3">
      <c r="D127" t="s">
        <v>158</v>
      </c>
    </row>
    <row r="128" spans="4:4" x14ac:dyDescent="0.3">
      <c r="D128" t="s">
        <v>159</v>
      </c>
    </row>
    <row r="129" spans="4:4" x14ac:dyDescent="0.3">
      <c r="D129" t="s">
        <v>160</v>
      </c>
    </row>
    <row r="130" spans="4:4" x14ac:dyDescent="0.3">
      <c r="D130" t="s">
        <v>161</v>
      </c>
    </row>
    <row r="131" spans="4:4" x14ac:dyDescent="0.3">
      <c r="D131" t="s">
        <v>162</v>
      </c>
    </row>
    <row r="132" spans="4:4" x14ac:dyDescent="0.3">
      <c r="D132" t="s">
        <v>163</v>
      </c>
    </row>
    <row r="133" spans="4:4" x14ac:dyDescent="0.3">
      <c r="D133" t="s">
        <v>164</v>
      </c>
    </row>
    <row r="134" spans="4:4" x14ac:dyDescent="0.3">
      <c r="D134" t="s">
        <v>165</v>
      </c>
    </row>
    <row r="135" spans="4:4" x14ac:dyDescent="0.3">
      <c r="D135" t="s">
        <v>166</v>
      </c>
    </row>
    <row r="136" spans="4:4" x14ac:dyDescent="0.3">
      <c r="D136" t="s">
        <v>167</v>
      </c>
    </row>
    <row r="137" spans="4:4" x14ac:dyDescent="0.3">
      <c r="D137" t="s">
        <v>168</v>
      </c>
    </row>
    <row r="138" spans="4:4" x14ac:dyDescent="0.3">
      <c r="D138" t="s">
        <v>169</v>
      </c>
    </row>
    <row r="139" spans="4:4" x14ac:dyDescent="0.3">
      <c r="D139" t="s">
        <v>170</v>
      </c>
    </row>
    <row r="140" spans="4:4" x14ac:dyDescent="0.3">
      <c r="D140" t="s">
        <v>171</v>
      </c>
    </row>
    <row r="141" spans="4:4" ht="15" customHeight="1" x14ac:dyDescent="0.3">
      <c r="D141" t="s">
        <v>172</v>
      </c>
    </row>
    <row r="142" spans="4:4" x14ac:dyDescent="0.3">
      <c r="D142" t="s">
        <v>173</v>
      </c>
    </row>
    <row r="143" spans="4:4" x14ac:dyDescent="0.3">
      <c r="D143" t="s">
        <v>174</v>
      </c>
    </row>
    <row r="144" spans="4:4" x14ac:dyDescent="0.3">
      <c r="D144" t="s">
        <v>175</v>
      </c>
    </row>
    <row r="145" spans="4:4" x14ac:dyDescent="0.3">
      <c r="D145" t="s">
        <v>176</v>
      </c>
    </row>
    <row r="146" spans="4:4" x14ac:dyDescent="0.3">
      <c r="D146" t="s">
        <v>177</v>
      </c>
    </row>
    <row r="147" spans="4:4" x14ac:dyDescent="0.3">
      <c r="D147" t="s">
        <v>178</v>
      </c>
    </row>
    <row r="148" spans="4:4" x14ac:dyDescent="0.3">
      <c r="D148" t="s">
        <v>179</v>
      </c>
    </row>
    <row r="149" spans="4:4" x14ac:dyDescent="0.3">
      <c r="D149" t="s">
        <v>180</v>
      </c>
    </row>
    <row r="150" spans="4:4" x14ac:dyDescent="0.3">
      <c r="D150" t="s">
        <v>181</v>
      </c>
    </row>
    <row r="151" spans="4:4" x14ac:dyDescent="0.3">
      <c r="D151" t="s">
        <v>182</v>
      </c>
    </row>
    <row r="152" spans="4:4" x14ac:dyDescent="0.3">
      <c r="D152" t="s">
        <v>183</v>
      </c>
    </row>
    <row r="153" spans="4:4" x14ac:dyDescent="0.3">
      <c r="D153" t="s">
        <v>184</v>
      </c>
    </row>
  </sheetData>
  <pageMargins left="0.7" right="0.7" top="0.75" bottom="0.75" header="0.3" footer="0.3"/>
  <pageSetup paperSize="9" orientation="portrait" horizontalDpi="180" verticalDpi="18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theme="5"/>
  </sheetPr>
  <dimension ref="A4:F31"/>
  <sheetViews>
    <sheetView workbookViewId="0"/>
  </sheetViews>
  <sheetFormatPr defaultRowHeight="14.4" x14ac:dyDescent="0.3"/>
  <cols>
    <col min="1" max="1" width="7.5546875" customWidth="1"/>
    <col min="2" max="2" width="27.109375" customWidth="1"/>
    <col min="3" max="3" width="30" customWidth="1"/>
    <col min="4" max="4" width="30.6640625" customWidth="1"/>
    <col min="5" max="5" width="16.6640625" customWidth="1"/>
    <col min="6" max="6" width="18.6640625" customWidth="1"/>
    <col min="7" max="7" width="13.109375" customWidth="1"/>
    <col min="8" max="8" width="16.6640625" customWidth="1"/>
    <col min="9" max="9" width="16.44140625" customWidth="1"/>
  </cols>
  <sheetData>
    <row r="4" spans="1:6" ht="18.600000000000001" thickBot="1" x14ac:dyDescent="0.4">
      <c r="A4" s="215" t="s">
        <v>278</v>
      </c>
      <c r="B4" s="216"/>
      <c r="C4" s="216"/>
      <c r="D4" s="216"/>
      <c r="E4" s="216"/>
      <c r="F4" s="216"/>
    </row>
    <row r="5" spans="1:6" s="1" customFormat="1" ht="15" thickBot="1" x14ac:dyDescent="0.35">
      <c r="A5" s="2" t="s">
        <v>279</v>
      </c>
      <c r="B5" s="3" t="s">
        <v>280</v>
      </c>
      <c r="C5" s="4" t="s">
        <v>281</v>
      </c>
      <c r="D5" s="4" t="s">
        <v>282</v>
      </c>
      <c r="E5" s="4" t="s">
        <v>283</v>
      </c>
      <c r="F5" s="5" t="s">
        <v>284</v>
      </c>
    </row>
    <row r="6" spans="1:6" x14ac:dyDescent="0.3">
      <c r="A6" s="191">
        <v>1</v>
      </c>
      <c r="B6" s="194" t="s">
        <v>285</v>
      </c>
      <c r="C6" s="6" t="s">
        <v>286</v>
      </c>
      <c r="D6" s="6" t="s">
        <v>287</v>
      </c>
      <c r="E6" s="7"/>
      <c r="F6" s="197"/>
    </row>
    <row r="7" spans="1:6" x14ac:dyDescent="0.3">
      <c r="A7" s="192"/>
      <c r="B7" s="195"/>
      <c r="C7" s="8"/>
      <c r="D7" s="8" t="s">
        <v>288</v>
      </c>
      <c r="E7" s="9"/>
      <c r="F7" s="198"/>
    </row>
    <row r="8" spans="1:6" x14ac:dyDescent="0.3">
      <c r="A8" s="192"/>
      <c r="B8" s="195"/>
      <c r="C8" s="8" t="s">
        <v>289</v>
      </c>
      <c r="D8" s="8" t="s">
        <v>287</v>
      </c>
      <c r="E8" s="9"/>
      <c r="F8" s="199"/>
    </row>
    <row r="9" spans="1:6" ht="15" thickBot="1" x14ac:dyDescent="0.35">
      <c r="A9" s="211"/>
      <c r="B9" s="212"/>
      <c r="C9" s="10"/>
      <c r="D9" s="10" t="s">
        <v>288</v>
      </c>
      <c r="E9" s="11"/>
      <c r="F9" s="200"/>
    </row>
    <row r="10" spans="1:6" x14ac:dyDescent="0.3">
      <c r="A10" s="213">
        <v>2</v>
      </c>
      <c r="B10" s="214" t="s">
        <v>290</v>
      </c>
      <c r="C10" s="12" t="s">
        <v>286</v>
      </c>
      <c r="D10" s="12" t="s">
        <v>287</v>
      </c>
      <c r="E10" s="13"/>
      <c r="F10" s="197"/>
    </row>
    <row r="11" spans="1:6" x14ac:dyDescent="0.3">
      <c r="A11" s="192"/>
      <c r="B11" s="195"/>
      <c r="C11" s="8"/>
      <c r="D11" s="8" t="s">
        <v>288</v>
      </c>
      <c r="E11" s="9"/>
      <c r="F11" s="198"/>
    </row>
    <row r="12" spans="1:6" x14ac:dyDescent="0.3">
      <c r="A12" s="192"/>
      <c r="B12" s="195"/>
      <c r="C12" s="8" t="s">
        <v>289</v>
      </c>
      <c r="D12" s="8" t="s">
        <v>287</v>
      </c>
      <c r="E12" s="9"/>
      <c r="F12" s="199"/>
    </row>
    <row r="13" spans="1:6" ht="15" thickBot="1" x14ac:dyDescent="0.35">
      <c r="A13" s="193"/>
      <c r="B13" s="196"/>
      <c r="C13" s="14"/>
      <c r="D13" s="14" t="s">
        <v>288</v>
      </c>
      <c r="E13" s="15"/>
      <c r="F13" s="200"/>
    </row>
    <row r="14" spans="1:6" x14ac:dyDescent="0.3">
      <c r="A14" s="191">
        <v>3</v>
      </c>
      <c r="B14" s="194" t="s">
        <v>291</v>
      </c>
      <c r="C14" s="6" t="s">
        <v>292</v>
      </c>
      <c r="D14" s="6" t="s">
        <v>287</v>
      </c>
      <c r="E14" s="7"/>
      <c r="F14" s="197"/>
    </row>
    <row r="15" spans="1:6" x14ac:dyDescent="0.3">
      <c r="A15" s="192"/>
      <c r="B15" s="195"/>
      <c r="C15" s="8"/>
      <c r="D15" s="8" t="s">
        <v>288</v>
      </c>
      <c r="E15" s="9"/>
      <c r="F15" s="198"/>
    </row>
    <row r="16" spans="1:6" x14ac:dyDescent="0.3">
      <c r="A16" s="192"/>
      <c r="B16" s="195"/>
      <c r="C16" s="8" t="s">
        <v>293</v>
      </c>
      <c r="D16" s="8" t="s">
        <v>287</v>
      </c>
      <c r="E16" s="9"/>
      <c r="F16" s="199"/>
    </row>
    <row r="17" spans="1:6" ht="15" thickBot="1" x14ac:dyDescent="0.35">
      <c r="A17" s="211"/>
      <c r="B17" s="212"/>
      <c r="C17" s="10"/>
      <c r="D17" s="10" t="s">
        <v>288</v>
      </c>
      <c r="E17" s="11"/>
      <c r="F17" s="200"/>
    </row>
    <row r="18" spans="1:6" x14ac:dyDescent="0.3">
      <c r="A18" s="213">
        <v>4</v>
      </c>
      <c r="B18" s="214" t="s">
        <v>294</v>
      </c>
      <c r="C18" s="12" t="s">
        <v>295</v>
      </c>
      <c r="D18" s="12" t="s">
        <v>287</v>
      </c>
      <c r="E18" s="13"/>
      <c r="F18" s="197"/>
    </row>
    <row r="19" spans="1:6" x14ac:dyDescent="0.3">
      <c r="A19" s="192"/>
      <c r="B19" s="195"/>
      <c r="C19" s="8"/>
      <c r="D19" s="8" t="s">
        <v>288</v>
      </c>
      <c r="E19" s="9"/>
      <c r="F19" s="198"/>
    </row>
    <row r="20" spans="1:6" x14ac:dyDescent="0.3">
      <c r="A20" s="192"/>
      <c r="B20" s="195"/>
      <c r="C20" s="8" t="s">
        <v>296</v>
      </c>
      <c r="D20" s="8" t="s">
        <v>287</v>
      </c>
      <c r="E20" s="9"/>
      <c r="F20" s="199"/>
    </row>
    <row r="21" spans="1:6" ht="15" thickBot="1" x14ac:dyDescent="0.35">
      <c r="A21" s="193"/>
      <c r="B21" s="196"/>
      <c r="C21" s="14"/>
      <c r="D21" s="14" t="s">
        <v>288</v>
      </c>
      <c r="E21" s="15"/>
      <c r="F21" s="200"/>
    </row>
    <row r="22" spans="1:6" x14ac:dyDescent="0.3">
      <c r="A22" s="191">
        <v>5</v>
      </c>
      <c r="B22" s="194" t="s">
        <v>297</v>
      </c>
      <c r="C22" s="6" t="s">
        <v>298</v>
      </c>
      <c r="D22" s="6" t="s">
        <v>287</v>
      </c>
      <c r="E22" s="7"/>
      <c r="F22" s="197"/>
    </row>
    <row r="23" spans="1:6" x14ac:dyDescent="0.3">
      <c r="A23" s="192"/>
      <c r="B23" s="195"/>
      <c r="C23" s="8"/>
      <c r="D23" s="8" t="s">
        <v>288</v>
      </c>
      <c r="E23" s="9"/>
      <c r="F23" s="198"/>
    </row>
    <row r="24" spans="1:6" x14ac:dyDescent="0.3">
      <c r="A24" s="192"/>
      <c r="B24" s="195"/>
      <c r="C24" s="8" t="s">
        <v>299</v>
      </c>
      <c r="D24" s="8" t="s">
        <v>287</v>
      </c>
      <c r="E24" s="9"/>
      <c r="F24" s="199"/>
    </row>
    <row r="25" spans="1:6" ht="15" thickBot="1" x14ac:dyDescent="0.35">
      <c r="A25" s="193"/>
      <c r="B25" s="196"/>
      <c r="C25" s="14"/>
      <c r="D25" s="14" t="s">
        <v>288</v>
      </c>
      <c r="E25" s="15"/>
      <c r="F25" s="200"/>
    </row>
    <row r="27" spans="1:6" x14ac:dyDescent="0.3">
      <c r="A27" s="201" t="s">
        <v>300</v>
      </c>
      <c r="B27" s="201"/>
      <c r="C27" s="202"/>
      <c r="D27" s="203"/>
      <c r="E27" s="203"/>
      <c r="F27" s="204"/>
    </row>
    <row r="28" spans="1:6" x14ac:dyDescent="0.3">
      <c r="C28" s="205"/>
      <c r="D28" s="206"/>
      <c r="E28" s="206"/>
      <c r="F28" s="207"/>
    </row>
    <row r="29" spans="1:6" x14ac:dyDescent="0.3">
      <c r="C29" s="208"/>
      <c r="D29" s="209"/>
      <c r="E29" s="209"/>
      <c r="F29" s="210"/>
    </row>
    <row r="31" spans="1:6" x14ac:dyDescent="0.3">
      <c r="A31" s="190"/>
      <c r="B31" s="190"/>
    </row>
  </sheetData>
  <mergeCells count="24">
    <mergeCell ref="A10:A13"/>
    <mergeCell ref="B10:B13"/>
    <mergeCell ref="F10:F11"/>
    <mergeCell ref="F12:F13"/>
    <mergeCell ref="A4:F4"/>
    <mergeCell ref="A6:A9"/>
    <mergeCell ref="B6:B9"/>
    <mergeCell ref="F6:F7"/>
    <mergeCell ref="F8:F9"/>
    <mergeCell ref="A14:A17"/>
    <mergeCell ref="B14:B17"/>
    <mergeCell ref="F14:F15"/>
    <mergeCell ref="F16:F17"/>
    <mergeCell ref="A18:A21"/>
    <mergeCell ref="B18:B21"/>
    <mergeCell ref="F18:F19"/>
    <mergeCell ref="F20:F21"/>
    <mergeCell ref="A31:B31"/>
    <mergeCell ref="A22:A25"/>
    <mergeCell ref="B22:B25"/>
    <mergeCell ref="F22:F23"/>
    <mergeCell ref="F24:F25"/>
    <mergeCell ref="A27:B27"/>
    <mergeCell ref="C27:F2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Документ" ma:contentTypeID="0x0101008202023085C9014C8EF73BC511CFC37B" ma:contentTypeVersion="0" ma:contentTypeDescription="Создание документа." ma:contentTypeScope="" ma:versionID="a91475b9e369555a19f20b094b5b093f">
  <xsd:schema xmlns:xsd="http://www.w3.org/2001/XMLSchema" xmlns:xs="http://www.w3.org/2001/XMLSchema" xmlns:p="http://schemas.microsoft.com/office/2006/metadata/properties" targetNamespace="http://schemas.microsoft.com/office/2006/metadata/properties" ma:root="true" ma:fieldsID="02f955febea7e716b4e91cddba171100">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8CEFDBF-175A-4339-8BF7-882FC4A66366}">
  <ds:schemaRefs>
    <ds:schemaRef ds:uri="http://schemas.microsoft.com/sharepoint/v3/contenttype/forms"/>
  </ds:schemaRefs>
</ds:datastoreItem>
</file>

<file path=customXml/itemProps2.xml><?xml version="1.0" encoding="utf-8"?>
<ds:datastoreItem xmlns:ds="http://schemas.openxmlformats.org/officeDocument/2006/customXml" ds:itemID="{F20E4CF7-56CE-4ECC-9405-F01F2EE57A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E4D260F-2C54-4336-8845-F44416FAD1C9}">
  <ds:schemaRefs>
    <ds:schemaRef ds:uri="http://schemas.microsoft.com/office/2006/metadata/properties"/>
    <ds:schemaRef ds:uri="http://purl.org/dc/terms/"/>
    <ds:schemaRef ds:uri="http://schemas.microsoft.com/office/2006/documentManagement/types"/>
    <ds:schemaRef ds:uri="http://purl.org/dc/dcmitype/"/>
    <ds:schemaRef ds:uri="http://schemas.openxmlformats.org/package/2006/metadata/core-properties"/>
    <ds:schemaRef ds:uri="http://purl.org/dc/elements/1.1/"/>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37</vt:i4>
      </vt:variant>
    </vt:vector>
  </HeadingPairs>
  <TitlesOfParts>
    <vt:vector size="42" baseType="lpstr">
      <vt:lpstr>Видимость</vt:lpstr>
      <vt:lpstr>Прочти меня!</vt:lpstr>
      <vt:lpstr>Пояснительная записка</vt:lpstr>
      <vt:lpstr>Справочник</vt:lpstr>
      <vt:lpstr>Обоснование начальной стоимости</vt:lpstr>
      <vt:lpstr>АХР</vt:lpstr>
      <vt:lpstr>Вариант_закупки</vt:lpstr>
      <vt:lpstr>Категория_предмета_закупки</vt:lpstr>
      <vt:lpstr>КЗ</vt:lpstr>
      <vt:lpstr>Наличие_на_складе</vt:lpstr>
      <vt:lpstr>Наличие_средств_в_смете</vt:lpstr>
      <vt:lpstr>Не_принадлежит</vt:lpstr>
      <vt:lpstr>'Пояснительная записка'!Область_печати</vt:lpstr>
      <vt:lpstr>Обоснование_стоимости_закупки</vt:lpstr>
      <vt:lpstr>ОРПЛ</vt:lpstr>
      <vt:lpstr>План_РМТБ</vt:lpstr>
      <vt:lpstr>Принадлежность_предмета_закупки</vt:lpstr>
      <vt:lpstr>Причина_неиспользования</vt:lpstr>
      <vt:lpstr>Проверить_РМТБ</vt:lpstr>
      <vt:lpstr>РСХ</vt:lpstr>
      <vt:lpstr>СМЕТА</vt:lpstr>
      <vt:lpstr>СМЕТЫ</vt:lpstr>
      <vt:lpstr>Способ_закупки</vt:lpstr>
      <vt:lpstr>Способ_закупки_616</vt:lpstr>
      <vt:lpstr>Способы_закупки</vt:lpstr>
      <vt:lpstr>Способы_закупки_616</vt:lpstr>
      <vt:lpstr>СТАТЬЯ</vt:lpstr>
      <vt:lpstr>Таблица_Лотов</vt:lpstr>
      <vt:lpstr>Таблица_Отклоненные</vt:lpstr>
      <vt:lpstr>Таблица_Поставщики</vt:lpstr>
      <vt:lpstr>Таблица_Смет</vt:lpstr>
      <vt:lpstr>Таблица_Товаров</vt:lpstr>
      <vt:lpstr>Таблица_Участники1</vt:lpstr>
      <vt:lpstr>Таблица_Участники2</vt:lpstr>
      <vt:lpstr>Форма_договора</vt:lpstr>
      <vt:lpstr>Формат1</vt:lpstr>
      <vt:lpstr>Формат2</vt:lpstr>
      <vt:lpstr>Формат3</vt:lpstr>
      <vt:lpstr>Формат4</vt:lpstr>
      <vt:lpstr>Форматы</vt:lpstr>
      <vt:lpstr>Электронный_аукцион</vt:lpstr>
      <vt:lpstr>Этап_закупочных_процедур</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O.Ashcheulova@hostco.ru</dc:creator>
  <cp:lastModifiedBy>Ashcheulova Olga</cp:lastModifiedBy>
  <dcterms:created xsi:type="dcterms:W3CDTF">2006-09-28T05:33:49Z</dcterms:created>
  <dcterms:modified xsi:type="dcterms:W3CDTF">2019-01-26T06:56:57Z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0x0101008202023085C9014C8EF73BC511CFC37B</vt:lpwstr>
  </property>
</Properties>
</file>